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5" sheetId="3" r:id="rId1"/>
    <sheet name="8.20 workings" sheetId="36" state="hidden" r:id="rId2"/>
  </sheets>
  <calcPr calcId="144525"/>
</workbook>
</file>

<file path=xl/calcChain.xml><?xml version="1.0" encoding="utf-8"?>
<calcChain xmlns="http://schemas.openxmlformats.org/spreadsheetml/2006/main">
  <c r="G5" i="3" l="1"/>
  <c r="B5" i="3" l="1"/>
  <c r="C5" i="3"/>
  <c r="D5" i="3"/>
  <c r="E5" i="3"/>
  <c r="F5" i="3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<sst xmlns="http://schemas.openxmlformats.org/spreadsheetml/2006/main" count="189" uniqueCount="94">
  <si>
    <t>Total</t>
  </si>
  <si>
    <t>wlcmuj</t>
  </si>
  <si>
    <t>Source: Department of Judicial Administration</t>
  </si>
  <si>
    <t>Number of cases logged</t>
  </si>
  <si>
    <t>Source: Maldives Police Service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</si>
  <si>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</si>
  <si>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</si>
  <si>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</si>
  <si>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</si>
  <si>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</si>
  <si>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</si>
  <si>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</si>
  <si>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</si>
  <si>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</si>
  <si>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</si>
  <si>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</si>
  <si>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</si>
  <si>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</si>
  <si>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</si>
  <si>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</si>
  <si>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</si>
  <si>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</si>
  <si>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</si>
  <si>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</si>
  <si>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</si>
  <si>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</si>
  <si>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</si>
  <si>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</si>
  <si>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</si>
  <si>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</si>
  <si>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</si>
  <si>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</si>
  <si>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</si>
  <si>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</si>
  <si>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</si>
  <si>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</si>
  <si>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</si>
  <si>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</si>
  <si>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</si>
  <si>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</si>
  <si>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</si>
  <si>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</si>
  <si>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</si>
  <si>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</si>
  <si>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</si>
  <si>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</si>
  <si>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</si>
  <si>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</si>
  <si>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</si>
  <si>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</si>
  <si>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</si>
  <si>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</si>
  <si>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</si>
  <si>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</si>
  <si>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</si>
  <si>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</si>
  <si>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</si>
  <si>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</si>
  <si>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</si>
  <si>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</si>
  <si>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</si>
  <si>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</si>
  <si>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</si>
  <si>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</si>
  <si>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</si>
  <si>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</si>
  <si>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</si>
  <si>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</si>
  <si>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</si>
  <si>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</si>
  <si>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</si>
  <si>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</si>
  <si>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</si>
  <si>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</si>
  <si>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</si>
  <si>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</si>
  <si>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</si>
  <si>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</si>
  <si>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</si>
  <si>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</si>
  <si>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</si>
  <si>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</si>
  <si>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</si>
  <si>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</si>
  <si>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</si>
  <si>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</si>
  <si>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</si>
  <si>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</si>
  <si>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</si>
  <si>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</si>
  <si>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</si>
  <si>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cawtwlwscawm WviwފiLehwSuh</t>
  </si>
  <si>
    <t>Table 8.5: LOGGED CASES  2009 - 2014</t>
  </si>
  <si>
    <t>2014 - 2009 ,cawtwlwscawm WviawfiLehwSuh : 8.5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</si>
</sst>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12"/>
      <name val="A_Randhoo"/>
    </font>
    <font>
      <b/>
      <sz val="10"/>
      <color rgb="FF000000"/>
      <name val="Arial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indexed="8"/>
      <name val="Faruma"/>
      <family val="3"/>
    </font>
    <font>
      <sz val="10"/>
      <color rgb="FF000000"/>
      <name val="Calibri"/>
      <family val="2"/>
      <scheme val="minor"/>
    </font>
    <font>
      <i/>
      <sz val="8"/>
      <name val="Arial"/>
      <family val="2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9" fillId="0" borderId="0"/>
    <xf numFmtId="0" fontId="21" fillId="0" borderId="11" applyNumberFormat="0" applyFill="0" applyAlignment="0" applyProtection="0"/>
    <xf numFmtId="0" fontId="12" fillId="0" borderId="0"/>
    <xf numFmtId="166" fontId="2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0" borderId="13" applyNumberFormat="0" applyFill="0" applyAlignment="0" applyProtection="0"/>
    <xf numFmtId="0" fontId="27" fillId="0" borderId="14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5" applyNumberFormat="0" applyAlignment="0" applyProtection="0"/>
    <xf numFmtId="0" fontId="32" fillId="8" borderId="16" applyNumberFormat="0" applyAlignment="0" applyProtection="0"/>
    <xf numFmtId="0" fontId="33" fillId="8" borderId="15" applyNumberFormat="0" applyAlignment="0" applyProtection="0"/>
    <xf numFmtId="0" fontId="34" fillId="0" borderId="17" applyNumberFormat="0" applyFill="0" applyAlignment="0" applyProtection="0"/>
    <xf numFmtId="0" fontId="35" fillId="9" borderId="18" applyNumberFormat="0" applyAlignment="0" applyProtection="0"/>
    <xf numFmtId="0" fontId="23" fillId="0" borderId="0" applyNumberFormat="0" applyFill="0" applyBorder="0" applyAlignment="0" applyProtection="0"/>
    <xf numFmtId="0" fontId="1" fillId="10" borderId="19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12" fillId="0" borderId="0"/>
  </cellStyleXfs>
  <cellXfs count="68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0" fontId="4" fillId="2" borderId="6" xfId="2" applyNumberFormat="1" applyFont="1" applyFill="1" applyBorder="1" applyAlignment="1">
      <alignment horizontal="left" vertical="center"/>
    </xf>
    <xf numFmtId="0" fontId="4" fillId="2" borderId="9" xfId="2" applyNumberFormat="1" applyFont="1" applyFill="1" applyBorder="1" applyAlignment="1">
      <alignment horizontal="left" vertical="center"/>
    </xf>
    <xf numFmtId="164" fontId="0" fillId="2" borderId="0" xfId="0" applyNumberFormat="1" applyFill="1" applyAlignment="1">
      <alignment horizontal="center"/>
    </xf>
    <xf numFmtId="164" fontId="8" fillId="2" borderId="7" xfId="0" applyNumberFormat="1" applyFont="1" applyFill="1" applyBorder="1" applyAlignment="1">
      <alignment horizontal="center"/>
    </xf>
    <xf numFmtId="164" fontId="17" fillId="2" borderId="5" xfId="0" applyNumberFormat="1" applyFont="1" applyFill="1" applyBorder="1" applyAlignment="1" applyProtection="1">
      <alignment horizontal="right" vertical="center"/>
    </xf>
    <xf numFmtId="0" fontId="18" fillId="2" borderId="6" xfId="2" applyNumberFormat="1" applyFont="1" applyFill="1" applyBorder="1" applyAlignment="1">
      <alignment vertical="center"/>
    </xf>
    <xf numFmtId="0" fontId="18" fillId="2" borderId="9" xfId="2" applyNumberFormat="1" applyFont="1" applyFill="1" applyBorder="1" applyAlignment="1">
      <alignment vertical="center"/>
    </xf>
    <xf numFmtId="164" fontId="0" fillId="2" borderId="0" xfId="0" applyNumberFormat="1" applyFont="1" applyFill="1"/>
    <xf numFmtId="164" fontId="6" fillId="2" borderId="5" xfId="0" applyNumberFormat="1" applyFont="1" applyFill="1" applyBorder="1"/>
    <xf numFmtId="166" fontId="6" fillId="2" borderId="5" xfId="1" applyNumberFormat="1" applyFont="1" applyFill="1" applyBorder="1" applyAlignment="1">
      <alignment horizontal="right" vertical="center"/>
    </xf>
    <xf numFmtId="166" fontId="19" fillId="2" borderId="6" xfId="1" applyNumberFormat="1" applyFont="1" applyFill="1" applyBorder="1" applyAlignment="1">
      <alignment horizontal="right" vertical="center"/>
    </xf>
    <xf numFmtId="166" fontId="19" fillId="2" borderId="6" xfId="1" applyNumberFormat="1" applyFont="1" applyFill="1" applyBorder="1" applyAlignment="1" applyProtection="1">
      <alignment horizontal="right" vertical="center"/>
      <protection locked="0"/>
    </xf>
    <xf numFmtId="166" fontId="19" fillId="2" borderId="9" xfId="1" applyNumberFormat="1" applyFont="1" applyFill="1" applyBorder="1" applyAlignment="1">
      <alignment horizontal="right" vertical="center"/>
    </xf>
    <xf numFmtId="166" fontId="19" fillId="2" borderId="9" xfId="1" applyNumberFormat="1" applyFont="1" applyFill="1" applyBorder="1" applyAlignment="1" applyProtection="1">
      <alignment horizontal="right" vertical="center"/>
      <protection locked="0"/>
    </xf>
    <xf numFmtId="164" fontId="10" fillId="2" borderId="6" xfId="0" applyNumberFormat="1" applyFont="1" applyFill="1" applyBorder="1"/>
    <xf numFmtId="164" fontId="17" fillId="2" borderId="8" xfId="0" applyNumberFormat="1" applyFont="1" applyFill="1" applyBorder="1" applyAlignment="1" applyProtection="1">
      <alignment horizontal="right" vertical="center"/>
    </xf>
    <xf numFmtId="164" fontId="13" fillId="2" borderId="8" xfId="0" applyNumberFormat="1" applyFont="1" applyFill="1" applyBorder="1" applyAlignment="1">
      <alignment horizontal="right" vertical="center"/>
    </xf>
    <xf numFmtId="164" fontId="13" fillId="2" borderId="8" xfId="0" applyNumberFormat="1" applyFont="1" applyFill="1" applyBorder="1" applyAlignment="1">
      <alignment vertical="center"/>
    </xf>
    <xf numFmtId="164" fontId="0" fillId="2" borderId="6" xfId="0" applyNumberFormat="1" applyFill="1" applyBorder="1" applyAlignment="1">
      <alignment vertical="top"/>
    </xf>
    <xf numFmtId="164" fontId="5" fillId="2" borderId="1" xfId="0" applyNumberFormat="1" applyFont="1" applyFill="1" applyBorder="1" applyAlignment="1">
      <alignment horizontal="right" vertical="top"/>
    </xf>
    <xf numFmtId="164" fontId="20" fillId="2" borderId="5" xfId="0" applyNumberFormat="1" applyFont="1" applyFill="1" applyBorder="1" applyAlignment="1" applyProtection="1">
      <alignment vertical="top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left" vertical="center" wrapText="1"/>
    </xf>
    <xf numFmtId="3" fontId="4" fillId="2" borderId="12" xfId="1" applyNumberFormat="1" applyFont="1" applyFill="1" applyBorder="1" applyAlignment="1"/>
    <xf numFmtId="3" fontId="3" fillId="2" borderId="1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4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6" fontId="11" fillId="2" borderId="5" xfId="1" applyNumberFormat="1" applyFont="1" applyFill="1" applyBorder="1" applyAlignment="1">
      <alignment horizontal="right" vertical="center"/>
    </xf>
    <xf numFmtId="164" fontId="7" fillId="2" borderId="6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/>
    </xf>
    <xf numFmtId="164" fontId="15" fillId="2" borderId="0" xfId="0" applyNumberFormat="1" applyFont="1" applyFill="1" applyAlignment="1">
      <alignment horizontal="center"/>
    </xf>
    <xf numFmtId="164" fontId="16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65834121254567E-2"/>
          <c:y val="0.18892489634893891"/>
          <c:w val="0.90774484356455565"/>
          <c:h val="0.66368363340525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'8.5'!$F$4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'8.5'!$F$6:$F$17</c:f>
              <c:numCache>
                <c:formatCode>_-* #,##0_-;\-* #,##0_-;_-* "-"??_-;_-@_-</c:formatCode>
                <c:ptCount val="12"/>
                <c:pt idx="0">
                  <c:v>1676</c:v>
                </c:pt>
                <c:pt idx="1">
                  <c:v>1597</c:v>
                </c:pt>
                <c:pt idx="2">
                  <c:v>1952</c:v>
                </c:pt>
                <c:pt idx="3">
                  <c:v>1796</c:v>
                </c:pt>
                <c:pt idx="4">
                  <c:v>1740</c:v>
                </c:pt>
                <c:pt idx="5">
                  <c:v>1942</c:v>
                </c:pt>
                <c:pt idx="6">
                  <c:v>2005</c:v>
                </c:pt>
                <c:pt idx="7">
                  <c:v>2007</c:v>
                </c:pt>
                <c:pt idx="8">
                  <c:v>1833</c:v>
                </c:pt>
                <c:pt idx="9">
                  <c:v>1727</c:v>
                </c:pt>
                <c:pt idx="10">
                  <c:v>1706</c:v>
                </c:pt>
                <c:pt idx="11">
                  <c:v>1904</c:v>
                </c:pt>
              </c:numCache>
            </c:numRef>
          </c:val>
        </c:ser>
        <c:ser>
          <c:idx val="1"/>
          <c:order val="1"/>
          <c:tx>
            <c:strRef>
              <c:f>'8.5'!$G$4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'8.5'!$G$6:$G$17</c:f>
              <c:numCache>
                <c:formatCode>_-* #,##0_-;\-* #,##0_-;_-* "-"??_-;_-@_-</c:formatCode>
                <c:ptCount val="12"/>
                <c:pt idx="0">
                  <c:v>2011</c:v>
                </c:pt>
                <c:pt idx="1">
                  <c:v>1552</c:v>
                </c:pt>
                <c:pt idx="2">
                  <c:v>1798</c:v>
                </c:pt>
                <c:pt idx="3">
                  <c:v>1650</c:v>
                </c:pt>
                <c:pt idx="4">
                  <c:v>1640</c:v>
                </c:pt>
                <c:pt idx="5">
                  <c:v>1489</c:v>
                </c:pt>
                <c:pt idx="6">
                  <c:v>1412</c:v>
                </c:pt>
                <c:pt idx="7">
                  <c:v>1380</c:v>
                </c:pt>
                <c:pt idx="8">
                  <c:v>1245</c:v>
                </c:pt>
                <c:pt idx="9">
                  <c:v>1497</c:v>
                </c:pt>
                <c:pt idx="10">
                  <c:v>1349</c:v>
                </c:pt>
                <c:pt idx="11">
                  <c:v>1170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8277760"/>
        <c:axId val="48279552"/>
      </c:barChart>
      <c:catAx>
        <c:axId val="48277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48279552"/>
        <c:crosses val="autoZero"/>
        <c:auto val="1"/>
        <c:lblAlgn val="ctr"/>
        <c:lblOffset val="100"/>
        <c:noMultiLvlLbl val="0"/>
      </c:catAx>
      <c:valAx>
        <c:axId val="4827955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8277760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2660733346522721"/>
          <c:y val="0.22345053987357918"/>
          <c:w val="0.16775482153120941"/>
          <c:h val="6.291914803305694E-2"/>
        </c:manualLayout>
      </c:layout>
      <c:overlay val="0"/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57184"/>
        <c:axId val="78958976"/>
      </c:barChart>
      <c:catAx>
        <c:axId val="7895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958976"/>
        <c:crosses val="autoZero"/>
        <c:auto val="1"/>
        <c:lblAlgn val="ctr"/>
        <c:lblOffset val="100"/>
        <c:noMultiLvlLbl val="0"/>
      </c:catAx>
      <c:valAx>
        <c:axId val="78958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957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77280"/>
        <c:axId val="78979072"/>
      </c:barChart>
      <c:catAx>
        <c:axId val="7897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979072"/>
        <c:crosses val="autoZero"/>
        <c:auto val="1"/>
        <c:lblAlgn val="ctr"/>
        <c:lblOffset val="100"/>
        <c:noMultiLvlLbl val="0"/>
      </c:catAx>
      <c:valAx>
        <c:axId val="78979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977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13760"/>
        <c:axId val="79015296"/>
      </c:barChart>
      <c:catAx>
        <c:axId val="7901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9015296"/>
        <c:crosses val="autoZero"/>
        <c:auto val="1"/>
        <c:lblAlgn val="ctr"/>
        <c:lblOffset val="100"/>
        <c:noMultiLvlLbl val="0"/>
      </c:catAx>
      <c:valAx>
        <c:axId val="7901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013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33856"/>
        <c:axId val="79035392"/>
      </c:barChart>
      <c:catAx>
        <c:axId val="7903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9035392"/>
        <c:crosses val="autoZero"/>
        <c:auto val="1"/>
        <c:lblAlgn val="ctr"/>
        <c:lblOffset val="100"/>
        <c:noMultiLvlLbl val="0"/>
      </c:catAx>
      <c:valAx>
        <c:axId val="79035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033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115776"/>
        <c:axId val="79117312"/>
      </c:barChart>
      <c:catAx>
        <c:axId val="7911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9117312"/>
        <c:crosses val="autoZero"/>
        <c:auto val="1"/>
        <c:lblAlgn val="ctr"/>
        <c:lblOffset val="100"/>
        <c:noMultiLvlLbl val="0"/>
      </c:catAx>
      <c:valAx>
        <c:axId val="79117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7911577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91200"/>
        <c:axId val="80692736"/>
      </c:barChart>
      <c:catAx>
        <c:axId val="8069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0692736"/>
        <c:crosses val="autoZero"/>
        <c:auto val="1"/>
        <c:lblAlgn val="ctr"/>
        <c:lblOffset val="100"/>
        <c:noMultiLvlLbl val="0"/>
      </c:catAx>
      <c:valAx>
        <c:axId val="80692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0691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12672"/>
        <c:axId val="80822656"/>
      </c:barChart>
      <c:catAx>
        <c:axId val="8081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0822656"/>
        <c:crosses val="autoZero"/>
        <c:auto val="1"/>
        <c:lblAlgn val="ctr"/>
        <c:lblOffset val="100"/>
        <c:noMultiLvlLbl val="0"/>
      </c:catAx>
      <c:valAx>
        <c:axId val="80822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08126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150493</xdr:colOff>
      <xdr:row>19</xdr:row>
      <xdr:rowOff>78106</xdr:rowOff>
    </xdr:from>
    <xdr:to>
      <xdr:col>7</xdr:col>
      <xdr:colOff>1590675</xdr:colOff>
      <xdr:row>33</xdr:row>
      <xdr:rowOff>68580</xdr:rowOff>
    </xdr:to>
    <xdr:graphicFrame macro="">
      <xdr:nvGraphicFramePr>
        <xdr:cNvPr id="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323849</xdr:colOff>
      <xdr:row>20</xdr:row>
      <xdr:rowOff>171449</xdr:rowOff>
    </xdr:from>
    <xdr:to>
      <xdr:col>7</xdr:col>
      <xdr:colOff>95250</xdr:colOff>
      <xdr:row>20</xdr:row>
      <xdr:rowOff>180974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838324" y="4552949"/>
          <a:ext cx="4514851" cy="9525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0.22513</cdr:x>
      <cdr:y>0.02079</cdr:y>
    </cdr:from>
    <cdr:to>
      <cdr:x>0.82801</cdr:x>
      <cdr:y>0.1319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33046" y="55255"/>
          <a:ext cx="4641085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8.6: Number of logged cases by month, 2013 - 2014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8"/>
  <sheetViews>
    <sheetView tabSelected="1" workbookViewId="0">
      <selection activeCell="Q17" sqref="Q17"/>
    </sheetView>
  </sheetViews>
  <sheetFormatPr defaultColWidth="9.140625" defaultRowHeight="15"/>
  <cols>
    <col min="1" max="1" width="22.7109375" style="2" customWidth="1"/>
    <col min="2" max="2" width="7.5703125" style="2" bestFit="1" customWidth="1"/>
    <col min="3" max="7" width="12.7109375" style="2" customWidth="1"/>
    <col min="8" max="8" width="24.85546875" style="2" customWidth="1"/>
    <col min="9" max="9" width="9.140625" style="2"/>
    <col min="10" max="14" width="3.28515625" style="2" customWidth="1"/>
    <col min="15" max="15" width="7.5703125" style="2" customWidth="1"/>
    <col min="16" max="16" width="7.28515625" style="2" customWidth="1"/>
    <col min="17" max="22" width="3.28515625" style="2" customWidth="1"/>
    <col min="23" max="23" width="9.140625" style="2"/>
    <col min="24" max="28" width="9.85546875" style="2" customWidth="1"/>
    <col min="29" max="16384" width="9.140625" style="2"/>
  </cols>
  <sheetData>
    <row r="1" spans="1:10" ht="19.5">
      <c r="A1" s="59" t="s">
        <v>93</v>
      </c>
      <c r="B1" s="59"/>
      <c r="C1" s="59"/>
      <c r="D1" s="59"/>
      <c r="E1" s="59"/>
      <c r="F1" s="59"/>
      <c r="G1" s="59"/>
      <c r="H1" s="59"/>
    </row>
    <row r="2" spans="1:10">
      <c r="A2" s="60" t="s">
        <v>92</v>
      </c>
      <c r="B2" s="60"/>
      <c r="C2" s="60"/>
      <c r="D2" s="60"/>
      <c r="E2" s="60"/>
      <c r="F2" s="60"/>
      <c r="G2" s="60"/>
      <c r="H2" s="60"/>
    </row>
    <row r="3" spans="1:10" ht="5.25" customHeight="1">
      <c r="A3" s="6"/>
      <c r="B3" s="6"/>
      <c r="C3" s="6"/>
      <c r="D3" s="6"/>
      <c r="E3" s="6"/>
      <c r="F3" s="6"/>
      <c r="G3" s="6"/>
      <c r="H3" s="6"/>
    </row>
    <row r="4" spans="1:10" s="17" customFormat="1" ht="19.5" customHeight="1">
      <c r="A4" s="20" t="s">
        <v>3</v>
      </c>
      <c r="B4" s="19">
        <v>2009</v>
      </c>
      <c r="C4" s="19">
        <v>2010</v>
      </c>
      <c r="D4" s="19">
        <v>2011</v>
      </c>
      <c r="E4" s="19">
        <v>2012</v>
      </c>
      <c r="F4" s="19">
        <v>2013</v>
      </c>
      <c r="G4" s="19">
        <v>2014</v>
      </c>
      <c r="H4" s="18" t="s">
        <v>91</v>
      </c>
    </row>
    <row r="5" spans="1:10" ht="15.75">
      <c r="A5" s="11" t="s">
        <v>0</v>
      </c>
      <c r="B5" s="12">
        <f t="shared" ref="B5:G5" si="0">SUM(B6:B17)</f>
        <v>19259</v>
      </c>
      <c r="C5" s="58">
        <f t="shared" si="0"/>
        <v>16994</v>
      </c>
      <c r="D5" s="12">
        <f t="shared" si="0"/>
        <v>17803</v>
      </c>
      <c r="E5" s="12">
        <f t="shared" si="0"/>
        <v>20512</v>
      </c>
      <c r="F5" s="12">
        <f t="shared" si="0"/>
        <v>21885</v>
      </c>
      <c r="G5" s="12">
        <f t="shared" si="0"/>
        <v>18193</v>
      </c>
      <c r="H5" s="7" t="s">
        <v>1</v>
      </c>
      <c r="J5" s="17"/>
    </row>
    <row r="6" spans="1:10" ht="18.75">
      <c r="A6" s="3" t="s">
        <v>5</v>
      </c>
      <c r="B6" s="13">
        <v>1834</v>
      </c>
      <c r="C6" s="13">
        <v>1495</v>
      </c>
      <c r="D6" s="13">
        <v>1490</v>
      </c>
      <c r="E6" s="14">
        <v>1688</v>
      </c>
      <c r="F6" s="14">
        <v>1676</v>
      </c>
      <c r="G6" s="14">
        <v>2011</v>
      </c>
      <c r="H6" s="8" t="s">
        <v>6</v>
      </c>
      <c r="J6" s="17"/>
    </row>
    <row r="7" spans="1:10" ht="18.75">
      <c r="A7" s="3" t="s">
        <v>7</v>
      </c>
      <c r="B7" s="13">
        <v>1601</v>
      </c>
      <c r="C7" s="13">
        <v>1327</v>
      </c>
      <c r="D7" s="13">
        <v>1404</v>
      </c>
      <c r="E7" s="14">
        <v>1423</v>
      </c>
      <c r="F7" s="14">
        <v>1597</v>
      </c>
      <c r="G7" s="14">
        <v>1552</v>
      </c>
      <c r="H7" s="8" t="s">
        <v>8</v>
      </c>
      <c r="J7" s="17"/>
    </row>
    <row r="8" spans="1:10" ht="18.75">
      <c r="A8" s="3" t="s">
        <v>9</v>
      </c>
      <c r="B8" s="13">
        <v>1877</v>
      </c>
      <c r="C8" s="13">
        <v>1516</v>
      </c>
      <c r="D8" s="13">
        <v>1735</v>
      </c>
      <c r="E8" s="14">
        <v>1578</v>
      </c>
      <c r="F8" s="14">
        <v>1952</v>
      </c>
      <c r="G8" s="14">
        <v>1798</v>
      </c>
      <c r="H8" s="8" t="s">
        <v>10</v>
      </c>
      <c r="J8" s="17"/>
    </row>
    <row r="9" spans="1:10" ht="18.75">
      <c r="A9" s="3" t="s">
        <v>11</v>
      </c>
      <c r="B9" s="13">
        <v>1701</v>
      </c>
      <c r="C9" s="13">
        <v>1621</v>
      </c>
      <c r="D9" s="13">
        <v>1477</v>
      </c>
      <c r="E9" s="14">
        <v>1959</v>
      </c>
      <c r="F9" s="14">
        <v>1796</v>
      </c>
      <c r="G9" s="14">
        <v>1650</v>
      </c>
      <c r="H9" s="8" t="s">
        <v>12</v>
      </c>
      <c r="J9" s="17"/>
    </row>
    <row r="10" spans="1:10" ht="18.75">
      <c r="A10" s="3" t="s">
        <v>13</v>
      </c>
      <c r="B10" s="13">
        <v>1556</v>
      </c>
      <c r="C10" s="13">
        <v>1493</v>
      </c>
      <c r="D10" s="13">
        <v>1473</v>
      </c>
      <c r="E10" s="14">
        <v>1621</v>
      </c>
      <c r="F10" s="14">
        <v>1740</v>
      </c>
      <c r="G10" s="14">
        <v>1640</v>
      </c>
      <c r="H10" s="8" t="s">
        <v>14</v>
      </c>
      <c r="J10" s="17"/>
    </row>
    <row r="11" spans="1:10" ht="18.75">
      <c r="A11" s="3" t="s">
        <v>15</v>
      </c>
      <c r="B11" s="13">
        <v>1663</v>
      </c>
      <c r="C11" s="13">
        <v>1366</v>
      </c>
      <c r="D11" s="13">
        <v>1505</v>
      </c>
      <c r="E11" s="14">
        <v>1668</v>
      </c>
      <c r="F11" s="14">
        <v>1942</v>
      </c>
      <c r="G11" s="14">
        <v>1489</v>
      </c>
      <c r="H11" s="8" t="s">
        <v>16</v>
      </c>
      <c r="J11" s="17"/>
    </row>
    <row r="12" spans="1:10" ht="18.75">
      <c r="A12" s="3" t="s">
        <v>17</v>
      </c>
      <c r="B12" s="13">
        <v>1597</v>
      </c>
      <c r="C12" s="13">
        <v>1253</v>
      </c>
      <c r="D12" s="13">
        <v>1300</v>
      </c>
      <c r="E12" s="14">
        <v>1773</v>
      </c>
      <c r="F12" s="14">
        <v>2005</v>
      </c>
      <c r="G12" s="14">
        <v>1412</v>
      </c>
      <c r="H12" s="8" t="s">
        <v>18</v>
      </c>
      <c r="J12" s="17"/>
    </row>
    <row r="13" spans="1:10" ht="18.75">
      <c r="A13" s="3" t="s">
        <v>19</v>
      </c>
      <c r="B13" s="13">
        <v>1433</v>
      </c>
      <c r="C13" s="13">
        <v>1510</v>
      </c>
      <c r="D13" s="13">
        <v>1464</v>
      </c>
      <c r="E13" s="14">
        <v>2001</v>
      </c>
      <c r="F13" s="14">
        <v>2007</v>
      </c>
      <c r="G13" s="14">
        <v>1380</v>
      </c>
      <c r="H13" s="8" t="s">
        <v>20</v>
      </c>
      <c r="J13" s="17"/>
    </row>
    <row r="14" spans="1:10" ht="18.75">
      <c r="A14" s="3" t="s">
        <v>21</v>
      </c>
      <c r="B14" s="13">
        <v>1699</v>
      </c>
      <c r="C14" s="13">
        <v>1395</v>
      </c>
      <c r="D14" s="13">
        <v>1460</v>
      </c>
      <c r="E14" s="14">
        <v>1732</v>
      </c>
      <c r="F14" s="14">
        <v>1833</v>
      </c>
      <c r="G14" s="14">
        <v>1245</v>
      </c>
      <c r="H14" s="8" t="s">
        <v>22</v>
      </c>
      <c r="J14" s="17"/>
    </row>
    <row r="15" spans="1:10" ht="18.75">
      <c r="A15" s="3" t="s">
        <v>23</v>
      </c>
      <c r="B15" s="13">
        <v>1574</v>
      </c>
      <c r="C15" s="13">
        <v>1517</v>
      </c>
      <c r="D15" s="13">
        <v>1712</v>
      </c>
      <c r="E15" s="14">
        <v>1704</v>
      </c>
      <c r="F15" s="14">
        <v>1727</v>
      </c>
      <c r="G15" s="14">
        <v>1497</v>
      </c>
      <c r="H15" s="8" t="s">
        <v>24</v>
      </c>
      <c r="J15" s="17"/>
    </row>
    <row r="16" spans="1:10" ht="18.75">
      <c r="A16" s="3" t="s">
        <v>25</v>
      </c>
      <c r="B16" s="13">
        <v>1387</v>
      </c>
      <c r="C16" s="13">
        <v>1252</v>
      </c>
      <c r="D16" s="13">
        <v>1374</v>
      </c>
      <c r="E16" s="14">
        <v>1724</v>
      </c>
      <c r="F16" s="14">
        <v>1706</v>
      </c>
      <c r="G16" s="14">
        <v>1349</v>
      </c>
      <c r="H16" s="8" t="s">
        <v>26</v>
      </c>
      <c r="J16" s="17"/>
    </row>
    <row r="17" spans="1:10" ht="18.75" customHeight="1">
      <c r="A17" s="4" t="s">
        <v>27</v>
      </c>
      <c r="B17" s="15">
        <v>1337</v>
      </c>
      <c r="C17" s="15">
        <v>1249</v>
      </c>
      <c r="D17" s="15">
        <v>1409</v>
      </c>
      <c r="E17" s="16">
        <v>1641</v>
      </c>
      <c r="F17" s="16">
        <v>1904</v>
      </c>
      <c r="G17" s="16">
        <v>1170</v>
      </c>
      <c r="H17" s="9" t="s">
        <v>28</v>
      </c>
      <c r="J17" s="17"/>
    </row>
    <row r="18" spans="1:10">
      <c r="A18" s="23" t="s">
        <v>4</v>
      </c>
      <c r="B18" s="21"/>
      <c r="C18" s="21"/>
      <c r="D18" s="21"/>
      <c r="E18" s="21"/>
      <c r="F18" s="21"/>
      <c r="G18" s="21"/>
      <c r="H18" s="22" t="s">
        <v>30</v>
      </c>
    </row>
  </sheetData>
  <sortState ref="O22:P34">
    <sortCondition descending="1" ref="P22:P34"/>
  </sortState>
  <mergeCells count="2">
    <mergeCell ref="A1:H1"/>
    <mergeCell ref="A2:H2"/>
  </mergeCells>
  <pageMargins left="0.7" right="0.7" top="0.19" bottom="0.23" header="0.17" footer="0.17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5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0" customWidth="1"/>
    <col min="36" max="16384" width="12.28515625" style="1"/>
  </cols>
  <sheetData>
    <row r="1" spans="1:36" ht="21">
      <c r="A1" s="61" t="s">
        <v>76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</row>
    <row r="2" spans="1:36">
      <c r="A2" s="62" t="s">
        <v>69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</row>
    <row r="3" spans="1:36" ht="15" customHeight="1">
      <c r="A3" s="63"/>
      <c r="B3" s="63"/>
      <c r="C3" s="65" t="s">
        <v>65</v>
      </c>
      <c r="D3" s="65"/>
      <c r="E3" s="65"/>
      <c r="F3" s="65"/>
      <c r="G3" s="65"/>
      <c r="H3" s="49"/>
      <c r="I3" s="49"/>
      <c r="J3" s="66" t="s">
        <v>31</v>
      </c>
      <c r="K3" s="66"/>
      <c r="L3" s="66"/>
      <c r="M3" s="66"/>
      <c r="N3" s="66"/>
      <c r="O3" s="44"/>
      <c r="P3" s="66" t="s">
        <v>32</v>
      </c>
      <c r="Q3" s="66"/>
      <c r="R3" s="66"/>
      <c r="S3" s="66"/>
      <c r="T3" s="66"/>
      <c r="U3" s="26"/>
      <c r="V3" s="26"/>
      <c r="W3" s="26"/>
      <c r="X3" s="67" t="s">
        <v>33</v>
      </c>
      <c r="Y3" s="67"/>
      <c r="Z3" s="67"/>
      <c r="AA3" s="67"/>
      <c r="AB3" s="67"/>
      <c r="AC3" s="45"/>
      <c r="AD3" s="45"/>
      <c r="AE3" s="67" t="s">
        <v>34</v>
      </c>
      <c r="AF3" s="67"/>
      <c r="AG3" s="67"/>
      <c r="AH3" s="67"/>
      <c r="AI3" s="67"/>
    </row>
    <row r="4" spans="1:36" ht="25.5">
      <c r="A4" s="64"/>
      <c r="B4" s="64"/>
      <c r="C4" s="50" t="s">
        <v>35</v>
      </c>
      <c r="D4" s="50" t="s">
        <v>36</v>
      </c>
      <c r="E4" s="50" t="s">
        <v>29</v>
      </c>
      <c r="F4" s="51" t="s">
        <v>37</v>
      </c>
      <c r="G4" s="50" t="s">
        <v>38</v>
      </c>
      <c r="H4" s="50" t="s">
        <v>71</v>
      </c>
      <c r="I4" s="50" t="s">
        <v>77</v>
      </c>
      <c r="J4" s="33" t="s">
        <v>35</v>
      </c>
      <c r="K4" s="33" t="s">
        <v>36</v>
      </c>
      <c r="L4" s="33" t="s">
        <v>29</v>
      </c>
      <c r="M4" s="34" t="s">
        <v>37</v>
      </c>
      <c r="N4" s="33" t="s">
        <v>38</v>
      </c>
      <c r="O4" s="50" t="s">
        <v>71</v>
      </c>
      <c r="P4" s="33" t="s">
        <v>35</v>
      </c>
      <c r="Q4" s="33" t="s">
        <v>36</v>
      </c>
      <c r="R4" s="33" t="s">
        <v>29</v>
      </c>
      <c r="S4" s="34" t="s">
        <v>37</v>
      </c>
      <c r="T4" s="33" t="s">
        <v>38</v>
      </c>
      <c r="U4" s="50" t="s">
        <v>71</v>
      </c>
      <c r="V4" s="50"/>
      <c r="W4" s="50"/>
      <c r="X4" s="33" t="s">
        <v>35</v>
      </c>
      <c r="Y4" s="33" t="s">
        <v>36</v>
      </c>
      <c r="Z4" s="33" t="s">
        <v>29</v>
      </c>
      <c r="AA4" s="34" t="s">
        <v>37</v>
      </c>
      <c r="AB4" s="33" t="s">
        <v>38</v>
      </c>
      <c r="AC4" s="50" t="s">
        <v>71</v>
      </c>
      <c r="AD4" s="50"/>
      <c r="AE4" s="33" t="s">
        <v>35</v>
      </c>
      <c r="AF4" s="33" t="s">
        <v>36</v>
      </c>
      <c r="AG4" s="33" t="s">
        <v>29</v>
      </c>
      <c r="AH4" s="34" t="s">
        <v>37</v>
      </c>
      <c r="AI4" s="33" t="s">
        <v>38</v>
      </c>
      <c r="AJ4" s="50" t="s">
        <v>71</v>
      </c>
    </row>
    <row r="5" spans="1:36" ht="14.25" customHeight="1">
      <c r="A5" s="43"/>
      <c r="B5" s="47" t="s">
        <v>73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73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73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74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74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74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75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75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75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45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46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47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48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49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50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51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52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53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54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55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56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57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58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59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60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61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62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63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64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39</v>
      </c>
      <c r="B28" s="29" t="s">
        <v>40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39</v>
      </c>
      <c r="B29" s="29" t="s">
        <v>41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39</v>
      </c>
      <c r="B30" s="29" t="s">
        <v>42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39</v>
      </c>
      <c r="B31" s="29" t="s">
        <v>43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39</v>
      </c>
      <c r="B32" s="36" t="s">
        <v>44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2</v>
      </c>
      <c r="AI33" s="25" t="s">
        <v>70</v>
      </c>
    </row>
    <row r="36" spans="1:35">
      <c r="A36" s="1"/>
      <c r="B36" s="46" t="s">
        <v>71</v>
      </c>
    </row>
    <row r="37" spans="1:35">
      <c r="B37" s="47" t="s">
        <v>65</v>
      </c>
      <c r="C37" s="47" t="s">
        <v>72</v>
      </c>
      <c r="D37" s="47" t="s">
        <v>66</v>
      </c>
      <c r="E37" s="47"/>
      <c r="F37" s="47"/>
    </row>
    <row r="38" spans="1:35">
      <c r="A38" s="47" t="s">
        <v>73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74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75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78</v>
      </c>
      <c r="C42" s="54"/>
      <c r="D42" s="54"/>
    </row>
    <row r="43" spans="1:35">
      <c r="B43" s="47" t="s">
        <v>65</v>
      </c>
      <c r="C43" s="47" t="s">
        <v>72</v>
      </c>
      <c r="D43" s="47" t="s">
        <v>66</v>
      </c>
    </row>
    <row r="44" spans="1:35">
      <c r="A44" s="47" t="s">
        <v>73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74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75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79</v>
      </c>
      <c r="C49" s="54"/>
      <c r="D49" s="54"/>
    </row>
    <row r="50" spans="1:5">
      <c r="B50" s="47" t="s">
        <v>65</v>
      </c>
      <c r="C50" s="47" t="s">
        <v>72</v>
      </c>
      <c r="D50" s="47" t="s">
        <v>66</v>
      </c>
    </row>
    <row r="51" spans="1:5">
      <c r="A51" s="47" t="s">
        <v>73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74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75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68</v>
      </c>
      <c r="C56" s="54" t="s">
        <v>39</v>
      </c>
      <c r="D56" s="54" t="s">
        <v>67</v>
      </c>
    </row>
    <row r="57" spans="1:5">
      <c r="A57" s="54" t="s">
        <v>80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81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79</v>
      </c>
      <c r="B59" s="55">
        <v>14232</v>
      </c>
      <c r="C59" s="55">
        <v>6099</v>
      </c>
      <c r="D59" s="55">
        <v>8133</v>
      </c>
    </row>
    <row r="60" spans="1:5">
      <c r="A60" s="54" t="s">
        <v>78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82</v>
      </c>
    </row>
    <row r="67" spans="1:11">
      <c r="B67" s="54"/>
      <c r="H67" s="54" t="s">
        <v>83</v>
      </c>
    </row>
    <row r="68" spans="1:11">
      <c r="A68" s="1"/>
      <c r="B68" s="54"/>
      <c r="C68" s="54" t="s">
        <v>84</v>
      </c>
      <c r="D68" s="54" t="s">
        <v>85</v>
      </c>
      <c r="E68" s="54" t="s">
        <v>86</v>
      </c>
      <c r="F68" s="54" t="s">
        <v>87</v>
      </c>
      <c r="G68" s="54"/>
      <c r="H68" s="56" t="s">
        <v>88</v>
      </c>
      <c r="I68" s="54" t="s">
        <v>89</v>
      </c>
      <c r="J68" s="54" t="s">
        <v>90</v>
      </c>
      <c r="K68" s="54"/>
    </row>
    <row r="69" spans="1:11">
      <c r="A69" s="1"/>
      <c r="B69" s="54" t="s">
        <v>45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46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47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48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49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50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51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52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53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54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55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56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57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58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59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60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61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62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63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64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8.5</vt:lpstr>
      <vt:lpstr>8.20 workings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2016-02-17T08:08:16Z</cp:lastPrinted>
  <dcterms:created xsi:type="dcterms:W3CDTF">2013-04-04T04:05:16Z</dcterms:created>
  <dcterms:modified xsi:type="dcterms:W3CDTF">2016-02-17T08:10:52Z</dcterms:modified>
</cp:coreProperties>
</file>