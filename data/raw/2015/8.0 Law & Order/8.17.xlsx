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120" yWindow="105" windowWidth="15135" windowHeight="7365" tabRatio="861"/>
  </bookViews>
  <sheets>
    <sheet name="8.17" sheetId="16" r:id="rId1"/>
    <sheet name="8.20 workings" sheetId="36" state="hidden" r:id="rId2"/>
  </sheets>
  <calcPr calcId="144525"/>
</workbook>
</file>

<file path=xl/calcChain.xml><?xml version="1.0" encoding="utf-8"?>
<calcChain xmlns="http://schemas.openxmlformats.org/spreadsheetml/2006/main">
  <c r="F6" i="16" l="1"/>
  <c r="E6" i="16" l="1"/>
  <c r="C6" i="16"/>
  <c r="D6" i="16"/>
  <c r="B6" i="16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<sst xmlns="http://schemas.openxmlformats.org/spreadsheetml/2006/main" count="172" uniqueCount="78">
  <si>
    <t>Total</t>
  </si>
  <si>
    <t>Source: Department of Judicial Administration</t>
  </si>
  <si>
    <t>Source: Maldives Police Service</t>
  </si>
  <si>
    <t>Male</t>
  </si>
  <si>
    <t>Female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</si>
  <si>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</si>
  <si>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</si>
  <si>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</si>
  <si>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</si>
  <si>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</si>
  <si>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</si>
  <si>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</si>
  <si>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</si>
  <si>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</si>
  <si>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</si>
  <si>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</si>
  <si>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</si>
  <si>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</si>
  <si>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</si>
  <si>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</si>
  <si>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</si>
  <si>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</si>
  <si>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</si>
  <si>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</si>
  <si>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</si>
  <si>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</si>
  <si>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</si>
  <si>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</si>
  <si>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</si>
  <si>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</si>
  <si>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</si>
  <si>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</si>
  <si>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</si>
  <si>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</si>
  <si>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</si>
  <si>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</si>
  <si>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</si>
  <si>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</si>
  <si>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</si>
  <si>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</si>
  <si>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</si>
  <si>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</si>
  <si>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</si>
  <si>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Total police personnel</t>
  </si>
  <si>
    <t>Republic</t>
  </si>
  <si>
    <t>Details</t>
  </si>
  <si>
    <t>ތަފްސީލް</t>
  </si>
  <si>
    <t>މަޢުލޫމާތު ދެއްވީ: މޯލްޑިވްސް ޕޮލިސް ސަރވިސް</t>
  </si>
  <si>
    <t>ފިރިހެން</t>
  </si>
  <si>
    <t>އަންހެން</t>
  </si>
  <si>
    <t xml:space="preserve">ޖުމްލަ ފުލުހުންގެ އަދަދު </t>
  </si>
  <si>
    <r>
      <t xml:space="preserve">Year       </t>
    </r>
    <r>
      <rPr>
        <b/>
        <sz val="11"/>
        <rFont val="Faruma"/>
        <family val="3"/>
      </rPr>
      <t xml:space="preserve">  އަހަރު</t>
    </r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</si>
  <si>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</si>
  <si>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</si>
  <si>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</si>
  <si>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</si>
  <si>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</si>
  <si>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</si>
  <si>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</si>
  <si>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</si>
  <si>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</si>
  <si>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</si>
  <si>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</si>
  <si>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</si>
  <si>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</si>
  <si>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</si>
  <si>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</si>
  <si>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</si>
  <si>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</si>
  <si>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</si>
  <si>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</si>
  <si>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</si>
  <si>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</si>
  <si>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</si>
  <si>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TABLE 8.17: POLICE PERSONNEL BY SEX AND FINANCIAL RESOURCES, 2010 - 2014</t>
  </si>
  <si>
    <t>ތާވަލު 8.17: ފުލުހުންގެ ޚިދުމަތުގައި ތިބީ މީހުންގެ އަދަދު އަދި ހިނގި ޚަރަދު، 2010 - 2014</t>
  </si>
  <si>
    <t xml:space="preserve">Total police expenditure (million  MVR) </t>
  </si>
  <si>
    <t>ފުލުހުންނަށް ހިނގި ޚަރަދު (މިލިއަން ރުފިޔާ)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</si>
</sst>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69" formatCode="_(* #,##0.0_);_(* \(#,##0.0\);_(* &quot;-&quot;??_);_(@_)"/>
    <numFmt numFmtId="170" formatCode="_(* #,##0_);_(* \(#,##0\);_(* &quot;-&quot;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name val="Arial"/>
      <family val="2"/>
    </font>
    <font>
      <sz val="10"/>
      <color rgb="FF000000"/>
      <name val="Faruma"/>
      <family val="3"/>
    </font>
    <font>
      <b/>
      <sz val="11"/>
      <color theme="1"/>
      <name val="Faruma"/>
      <family val="3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theme="1"/>
      <name val="Faruma"/>
      <family val="3"/>
    </font>
    <font>
      <sz val="11"/>
      <color theme="1"/>
      <name val="Faruma"/>
      <family val="3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  <family val="3"/>
    </font>
    <font>
      <b/>
      <sz val="15"/>
      <color theme="3"/>
      <name val="Arial Mäori"/>
      <family val="2"/>
    </font>
    <font>
      <b/>
      <sz val="10"/>
      <color rgb="FF000000"/>
      <name val="Faruma"/>
      <family val="3"/>
    </font>
    <font>
      <sz val="9"/>
      <color rgb="FF000000"/>
      <name val="Faruma"/>
      <family val="3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MS Sans Serif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7" fillId="0" borderId="0"/>
    <xf numFmtId="0" fontId="19" fillId="0" borderId="8" applyNumberFormat="0" applyFill="0" applyAlignment="0" applyProtection="0"/>
    <xf numFmtId="0" fontId="8" fillId="0" borderId="0"/>
    <xf numFmtId="166" fontId="22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8" applyNumberFormat="0" applyFill="0" applyAlignment="0" applyProtection="0"/>
    <xf numFmtId="0" fontId="26" fillId="0" borderId="11" applyNumberFormat="0" applyFill="0" applyAlignment="0" applyProtection="0"/>
    <xf numFmtId="0" fontId="27" fillId="0" borderId="12" applyNumberFormat="0" applyFill="0" applyAlignment="0" applyProtection="0"/>
    <xf numFmtId="0" fontId="27" fillId="0" borderId="0" applyNumberFormat="0" applyFill="0" applyBorder="0" applyAlignment="0" applyProtection="0"/>
    <xf numFmtId="0" fontId="28" fillId="4" borderId="0" applyNumberFormat="0" applyBorder="0" applyAlignment="0" applyProtection="0"/>
    <xf numFmtId="0" fontId="29" fillId="5" borderId="0" applyNumberFormat="0" applyBorder="0" applyAlignment="0" applyProtection="0"/>
    <xf numFmtId="0" fontId="30" fillId="6" borderId="0" applyNumberFormat="0" applyBorder="0" applyAlignment="0" applyProtection="0"/>
    <xf numFmtId="0" fontId="31" fillId="7" borderId="13" applyNumberFormat="0" applyAlignment="0" applyProtection="0"/>
    <xf numFmtId="0" fontId="32" fillId="8" borderId="14" applyNumberFormat="0" applyAlignment="0" applyProtection="0"/>
    <xf numFmtId="0" fontId="33" fillId="8" borderId="13" applyNumberFormat="0" applyAlignment="0" applyProtection="0"/>
    <xf numFmtId="0" fontId="34" fillId="0" borderId="15" applyNumberFormat="0" applyFill="0" applyAlignment="0" applyProtection="0"/>
    <xf numFmtId="0" fontId="35" fillId="9" borderId="16" applyNumberFormat="0" applyAlignment="0" applyProtection="0"/>
    <xf numFmtId="0" fontId="23" fillId="0" borderId="0" applyNumberFormat="0" applyFill="0" applyBorder="0" applyAlignment="0" applyProtection="0"/>
    <xf numFmtId="0" fontId="1" fillId="10" borderId="17" applyNumberFormat="0" applyFont="0" applyAlignment="0" applyProtection="0"/>
    <xf numFmtId="0" fontId="36" fillId="0" borderId="0" applyNumberFormat="0" applyFill="0" applyBorder="0" applyAlignment="0" applyProtection="0"/>
    <xf numFmtId="0" fontId="2" fillId="0" borderId="18" applyNumberFormat="0" applyFill="0" applyAlignment="0" applyProtection="0"/>
    <xf numFmtId="0" fontId="37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7" fillId="18" borderId="0" applyNumberFormat="0" applyBorder="0" applyAlignment="0" applyProtection="0"/>
    <xf numFmtId="0" fontId="37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7" fillId="22" borderId="0" applyNumberFormat="0" applyBorder="0" applyAlignment="0" applyProtection="0"/>
    <xf numFmtId="0" fontId="37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7" fillId="34" borderId="0" applyNumberFormat="0" applyBorder="0" applyAlignment="0" applyProtection="0"/>
    <xf numFmtId="0" fontId="1" fillId="0" borderId="0"/>
    <xf numFmtId="0" fontId="8" fillId="0" borderId="0"/>
  </cellStyleXfs>
  <cellXfs count="74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12" fillId="2" borderId="0" xfId="0" applyNumberFormat="1" applyFont="1" applyFill="1"/>
    <xf numFmtId="0" fontId="2" fillId="2" borderId="4" xfId="0" applyNumberFormat="1" applyFont="1" applyFill="1" applyBorder="1" applyAlignment="1">
      <alignment horizontal="right" vertical="center"/>
    </xf>
    <xf numFmtId="0" fontId="12" fillId="2" borderId="4" xfId="0" applyNumberFormat="1" applyFont="1" applyFill="1" applyBorder="1" applyAlignment="1">
      <alignment horizontal="left" vertical="center"/>
    </xf>
    <xf numFmtId="0" fontId="13" fillId="2" borderId="0" xfId="0" applyNumberFormat="1" applyFont="1" applyFill="1" applyBorder="1" applyAlignment="1">
      <alignment horizontal="left" vertical="center" indent="2"/>
    </xf>
    <xf numFmtId="0" fontId="17" fillId="2" borderId="0" xfId="0" applyNumberFormat="1" applyFont="1" applyFill="1" applyBorder="1" applyAlignment="1">
      <alignment horizontal="left" vertical="center"/>
    </xf>
    <xf numFmtId="164" fontId="17" fillId="2" borderId="0" xfId="0" applyNumberFormat="1" applyFont="1" applyFill="1"/>
    <xf numFmtId="164" fontId="0" fillId="2" borderId="0" xfId="0" applyNumberFormat="1" applyFont="1" applyFill="1"/>
    <xf numFmtId="170" fontId="17" fillId="2" borderId="0" xfId="1" applyNumberFormat="1" applyFont="1" applyFill="1" applyBorder="1" applyAlignment="1">
      <alignment horizontal="right" vertical="center"/>
    </xf>
    <xf numFmtId="170" fontId="12" fillId="2" borderId="0" xfId="1" applyNumberFormat="1" applyFont="1" applyFill="1" applyBorder="1" applyAlignment="1">
      <alignment horizontal="right" vertical="center"/>
    </xf>
    <xf numFmtId="0" fontId="9" fillId="2" borderId="6" xfId="0" applyNumberFormat="1" applyFont="1" applyFill="1" applyBorder="1" applyAlignment="1">
      <alignment vertical="top"/>
    </xf>
    <xf numFmtId="164" fontId="15" fillId="2" borderId="0" xfId="0" applyNumberFormat="1" applyFont="1" applyFill="1" applyBorder="1" applyAlignment="1"/>
    <xf numFmtId="0" fontId="9" fillId="2" borderId="4" xfId="0" applyNumberFormat="1" applyFont="1" applyFill="1" applyBorder="1" applyAlignment="1">
      <alignment vertical="top"/>
    </xf>
    <xf numFmtId="0" fontId="20" fillId="2" borderId="6" xfId="0" applyNumberFormat="1" applyFont="1" applyFill="1" applyBorder="1" applyAlignment="1">
      <alignment vertical="top"/>
    </xf>
    <xf numFmtId="170" fontId="0" fillId="2" borderId="0" xfId="1" applyNumberFormat="1" applyFont="1" applyFill="1"/>
    <xf numFmtId="164" fontId="6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5" fillId="2" borderId="10" xfId="0" applyNumberFormat="1" applyFont="1" applyFill="1" applyBorder="1" applyAlignment="1">
      <alignment horizontal="center" vertical="center"/>
    </xf>
    <xf numFmtId="0" fontId="5" fillId="2" borderId="10" xfId="0" applyNumberFormat="1" applyFont="1" applyFill="1" applyBorder="1" applyAlignment="1">
      <alignment horizontal="left" vertical="center" wrapText="1"/>
    </xf>
    <xf numFmtId="3" fontId="5" fillId="2" borderId="10" xfId="1" applyNumberFormat="1" applyFont="1" applyFill="1" applyBorder="1" applyAlignment="1"/>
    <xf numFmtId="3" fontId="3" fillId="2" borderId="10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1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7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7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2" fillId="2" borderId="0" xfId="0" applyNumberFormat="1" applyFont="1" applyFill="1" applyAlignment="1">
      <alignment horizontal="center"/>
    </xf>
    <xf numFmtId="0" fontId="16" fillId="2" borderId="0" xfId="0" applyNumberFormat="1" applyFont="1" applyFill="1" applyAlignment="1">
      <alignment vertical="center"/>
    </xf>
    <xf numFmtId="0" fontId="4" fillId="2" borderId="0" xfId="0" applyNumberFormat="1" applyFont="1" applyFill="1" applyBorder="1" applyAlignment="1">
      <alignment vertical="center"/>
    </xf>
    <xf numFmtId="164" fontId="4" fillId="2" borderId="0" xfId="0" applyNumberFormat="1" applyFont="1" applyFill="1" applyAlignment="1">
      <alignment vertical="center"/>
    </xf>
    <xf numFmtId="0" fontId="21" fillId="2" borderId="6" xfId="0" applyNumberFormat="1" applyFont="1" applyFill="1" applyBorder="1" applyAlignment="1">
      <alignment vertical="center"/>
    </xf>
    <xf numFmtId="165" fontId="12" fillId="2" borderId="0" xfId="0" applyNumberFormat="1" applyFont="1" applyFill="1"/>
    <xf numFmtId="164" fontId="12" fillId="2" borderId="0" xfId="0" applyNumberFormat="1" applyFont="1" applyFill="1" applyBorder="1"/>
    <xf numFmtId="169" fontId="12" fillId="2" borderId="4" xfId="1" applyNumberFormat="1" applyFont="1" applyFill="1" applyBorder="1" applyAlignment="1">
      <alignment horizontal="right" vertical="center"/>
    </xf>
    <xf numFmtId="3" fontId="12" fillId="2" borderId="0" xfId="0" applyNumberFormat="1" applyFont="1" applyFill="1"/>
    <xf numFmtId="164" fontId="10" fillId="2" borderId="0" xfId="0" applyNumberFormat="1" applyFont="1" applyFill="1" applyBorder="1" applyAlignment="1">
      <alignment horizontal="center"/>
    </xf>
    <xf numFmtId="164" fontId="14" fillId="2" borderId="0" xfId="0" applyNumberFormat="1" applyFont="1" applyFill="1" applyBorder="1" applyAlignment="1">
      <alignment horizontal="center"/>
    </xf>
    <xf numFmtId="0" fontId="2" fillId="2" borderId="3" xfId="0" applyNumberFormat="1" applyFont="1" applyFill="1" applyBorder="1" applyAlignment="1">
      <alignment horizontal="left" vertical="center"/>
    </xf>
    <xf numFmtId="0" fontId="2" fillId="2" borderId="4" xfId="0" applyNumberFormat="1" applyFont="1" applyFill="1" applyBorder="1" applyAlignment="1">
      <alignment horizontal="left" vertical="center"/>
    </xf>
    <xf numFmtId="0" fontId="20" fillId="2" borderId="3" xfId="0" applyNumberFormat="1" applyFont="1" applyFill="1" applyBorder="1" applyAlignment="1">
      <alignment horizontal="right" vertical="center"/>
    </xf>
    <xf numFmtId="0" fontId="20" fillId="2" borderId="4" xfId="0" applyNumberFormat="1" applyFont="1" applyFill="1" applyBorder="1" applyAlignment="1">
      <alignment horizontal="right" vertical="center"/>
    </xf>
    <xf numFmtId="164" fontId="17" fillId="2" borderId="0" xfId="0" applyNumberFormat="1" applyFont="1" applyFill="1" applyAlignment="1">
      <alignment horizontal="center"/>
    </xf>
    <xf numFmtId="0" fontId="17" fillId="2" borderId="9" xfId="0" applyNumberFormat="1" applyFont="1" applyFill="1" applyBorder="1" applyAlignment="1">
      <alignment horizontal="center" vertical="center"/>
    </xf>
    <xf numFmtId="164" fontId="14" fillId="2" borderId="0" xfId="0" applyNumberFormat="1" applyFont="1" applyFill="1" applyAlignment="1">
      <alignment horizontal="center"/>
    </xf>
    <xf numFmtId="164" fontId="17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7" xfId="1" applyNumberFormat="1" applyFont="1" applyFill="1" applyBorder="1" applyAlignment="1">
      <alignment horizontal="center" vertical="center" wrapText="1"/>
    </xf>
    <xf numFmtId="166" fontId="3" fillId="2" borderId="7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AE9CC4"/>
      <color rgb="FFB8606F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'[2]8.9graphs'!$C$37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'[2]8.9graphs'!$D$37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644928"/>
        <c:axId val="77646464"/>
      </c:barChart>
      <c:catAx>
        <c:axId val="77644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7646464"/>
        <c:crosses val="autoZero"/>
        <c:auto val="1"/>
        <c:lblAlgn val="ctr"/>
        <c:lblOffset val="100"/>
        <c:noMultiLvlLbl val="0"/>
      </c:catAx>
      <c:valAx>
        <c:axId val="776464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776449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'[2]8.9graphs'!$C$43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'[2]8.9graphs'!$D$43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693696"/>
        <c:axId val="77695232"/>
      </c:barChart>
      <c:catAx>
        <c:axId val="77693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7695232"/>
        <c:crosses val="autoZero"/>
        <c:auto val="1"/>
        <c:lblAlgn val="ctr"/>
        <c:lblOffset val="100"/>
        <c:noMultiLvlLbl val="0"/>
      </c:catAx>
      <c:valAx>
        <c:axId val="776952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7693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'[2]8.9graphs'!$C$56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'[2]8.9graphs'!$D$56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057856"/>
        <c:axId val="78059392"/>
      </c:barChart>
      <c:catAx>
        <c:axId val="78057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8059392"/>
        <c:crosses val="autoZero"/>
        <c:auto val="1"/>
        <c:lblAlgn val="ctr"/>
        <c:lblOffset val="100"/>
        <c:noMultiLvlLbl val="0"/>
      </c:catAx>
      <c:valAx>
        <c:axId val="780593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0578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'[2]8.9graphs'!$C$50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'[2]8.9graphs'!$D$50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098432"/>
        <c:axId val="78099968"/>
      </c:barChart>
      <c:catAx>
        <c:axId val="78098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8099968"/>
        <c:crosses val="autoZero"/>
        <c:auto val="1"/>
        <c:lblAlgn val="ctr"/>
        <c:lblOffset val="100"/>
        <c:noMultiLvlLbl val="0"/>
      </c:catAx>
      <c:valAx>
        <c:axId val="780999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0984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877248"/>
        <c:axId val="77878784"/>
      </c:barChart>
      <c:catAx>
        <c:axId val="77877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77878784"/>
        <c:crosses val="autoZero"/>
        <c:auto val="1"/>
        <c:lblAlgn val="ctr"/>
        <c:lblOffset val="100"/>
        <c:noMultiLvlLbl val="0"/>
      </c:catAx>
      <c:valAx>
        <c:axId val="778787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77877248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908224"/>
        <c:axId val="77914112"/>
      </c:barChart>
      <c:catAx>
        <c:axId val="7790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77914112"/>
        <c:crosses val="autoZero"/>
        <c:auto val="1"/>
        <c:lblAlgn val="ctr"/>
        <c:lblOffset val="100"/>
        <c:noMultiLvlLbl val="0"/>
      </c:catAx>
      <c:valAx>
        <c:axId val="779141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779082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952128"/>
        <c:axId val="77953664"/>
      </c:barChart>
      <c:catAx>
        <c:axId val="77952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77953664"/>
        <c:crosses val="autoZero"/>
        <c:auto val="1"/>
        <c:lblAlgn val="ctr"/>
        <c:lblOffset val="100"/>
        <c:noMultiLvlLbl val="0"/>
      </c:catAx>
      <c:valAx>
        <c:axId val="779536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7795212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17"/>
  <sheetViews>
    <sheetView tabSelected="1" zoomScaleNormal="100" workbookViewId="0">
      <selection activeCell="N18" sqref="N18"/>
    </sheetView>
  </sheetViews>
  <sheetFormatPr defaultColWidth="9.140625" defaultRowHeight="15"/>
  <cols>
    <col min="1" max="1" width="35.28515625" style="3" customWidth="1"/>
    <col min="2" max="5" width="12.85546875" style="3" customWidth="1"/>
    <col min="6" max="6" width="14.28515625" style="3" bestFit="1" customWidth="1"/>
    <col min="7" max="7" width="28.5703125" style="3" customWidth="1"/>
    <col min="8" max="16384" width="9.140625" style="3"/>
  </cols>
  <sheetData>
    <row r="1" spans="1:8" ht="21">
      <c r="A1" s="59" t="s">
        <v>75</v>
      </c>
      <c r="B1" s="60"/>
      <c r="C1" s="60"/>
      <c r="D1" s="60"/>
      <c r="E1" s="60"/>
      <c r="F1" s="60"/>
      <c r="G1" s="60"/>
      <c r="H1" s="13"/>
    </row>
    <row r="2" spans="1:8">
      <c r="A2" s="65" t="s">
        <v>74</v>
      </c>
      <c r="B2" s="65"/>
      <c r="C2" s="65"/>
      <c r="D2" s="65"/>
      <c r="E2" s="65"/>
      <c r="F2" s="65"/>
      <c r="G2" s="65"/>
    </row>
    <row r="3" spans="1:8" ht="6" customHeight="1">
      <c r="A3" s="50"/>
      <c r="B3" s="50"/>
      <c r="C3" s="50"/>
      <c r="D3" s="50"/>
      <c r="E3" s="50"/>
      <c r="F3" s="50"/>
    </row>
    <row r="4" spans="1:8" ht="18.75" customHeight="1">
      <c r="A4" s="61" t="s">
        <v>45</v>
      </c>
      <c r="B4" s="66" t="s">
        <v>51</v>
      </c>
      <c r="C4" s="66"/>
      <c r="D4" s="66"/>
      <c r="E4" s="66"/>
      <c r="F4" s="66"/>
      <c r="G4" s="63" t="s">
        <v>46</v>
      </c>
    </row>
    <row r="5" spans="1:8" ht="18.75" customHeight="1">
      <c r="A5" s="62"/>
      <c r="B5" s="4">
        <v>2010</v>
      </c>
      <c r="C5" s="4">
        <v>2011</v>
      </c>
      <c r="D5" s="4">
        <v>2012</v>
      </c>
      <c r="E5" s="4">
        <v>2013</v>
      </c>
      <c r="F5" s="4">
        <v>2014</v>
      </c>
      <c r="G5" s="64"/>
    </row>
    <row r="6" spans="1:8" s="8" customFormat="1" ht="19.5" customHeight="1">
      <c r="A6" s="7" t="s">
        <v>43</v>
      </c>
      <c r="B6" s="10">
        <f>SUM(B7:B8)</f>
        <v>2933</v>
      </c>
      <c r="C6" s="10">
        <f>SUM(C7:C8)</f>
        <v>2975</v>
      </c>
      <c r="D6" s="10">
        <f>SUM(D7:D8)</f>
        <v>3217</v>
      </c>
      <c r="E6" s="10">
        <f>SUM(E7:E8)</f>
        <v>3003</v>
      </c>
      <c r="F6" s="10">
        <f>SUM(F7:F8)</f>
        <v>3214</v>
      </c>
      <c r="G6" s="15" t="s">
        <v>50</v>
      </c>
    </row>
    <row r="7" spans="1:8" ht="17.25" customHeight="1">
      <c r="A7" s="6" t="s">
        <v>3</v>
      </c>
      <c r="B7" s="11">
        <v>2640</v>
      </c>
      <c r="C7" s="11">
        <v>2690</v>
      </c>
      <c r="D7" s="11">
        <v>2923</v>
      </c>
      <c r="E7" s="11">
        <v>2732</v>
      </c>
      <c r="F7" s="11">
        <v>2938</v>
      </c>
      <c r="G7" s="12" t="s">
        <v>48</v>
      </c>
    </row>
    <row r="8" spans="1:8" ht="17.25" customHeight="1">
      <c r="A8" s="6" t="s">
        <v>4</v>
      </c>
      <c r="B8" s="11">
        <v>293</v>
      </c>
      <c r="C8" s="11">
        <v>285</v>
      </c>
      <c r="D8" s="11">
        <v>294</v>
      </c>
      <c r="E8" s="11">
        <v>271</v>
      </c>
      <c r="F8" s="11">
        <v>276</v>
      </c>
      <c r="G8" s="12" t="s">
        <v>49</v>
      </c>
    </row>
    <row r="9" spans="1:8" ht="19.5" customHeight="1">
      <c r="A9" s="5" t="s">
        <v>76</v>
      </c>
      <c r="B9" s="57">
        <v>714.50589947000003</v>
      </c>
      <c r="C9" s="57">
        <v>743.81639273999997</v>
      </c>
      <c r="D9" s="57">
        <v>837.16104358000007</v>
      </c>
      <c r="E9" s="57">
        <v>902.77045583000006</v>
      </c>
      <c r="F9" s="57">
        <v>1049.5818967499999</v>
      </c>
      <c r="G9" s="14" t="s">
        <v>77</v>
      </c>
    </row>
    <row r="10" spans="1:8" s="53" customFormat="1" ht="17.25">
      <c r="A10" s="51" t="s">
        <v>2</v>
      </c>
      <c r="B10" s="51"/>
      <c r="C10" s="52"/>
      <c r="G10" s="54" t="s">
        <v>47</v>
      </c>
    </row>
    <row r="13" spans="1:8">
      <c r="B13" s="55"/>
      <c r="C13" s="55"/>
      <c r="D13" s="55"/>
      <c r="E13" s="55"/>
      <c r="F13" s="55"/>
    </row>
    <row r="14" spans="1:8">
      <c r="B14" s="58"/>
      <c r="C14" s="58"/>
      <c r="D14" s="58"/>
      <c r="E14" s="58"/>
      <c r="F14" s="58"/>
    </row>
    <row r="15" spans="1:8">
      <c r="A15" s="56"/>
      <c r="B15" s="56"/>
      <c r="C15" s="56"/>
      <c r="D15" s="56"/>
      <c r="E15" s="56"/>
      <c r="F15" s="56"/>
      <c r="G15" s="56"/>
    </row>
    <row r="16" spans="1:8">
      <c r="A16" s="56"/>
      <c r="B16" s="11"/>
      <c r="C16" s="11"/>
      <c r="D16" s="11"/>
      <c r="E16" s="11"/>
      <c r="F16" s="11"/>
      <c r="G16" s="56"/>
    </row>
    <row r="17" spans="1:7">
      <c r="A17" s="56"/>
      <c r="B17" s="56"/>
      <c r="C17" s="56"/>
      <c r="D17" s="56"/>
      <c r="E17" s="56"/>
      <c r="F17" s="56"/>
      <c r="G17" s="56"/>
    </row>
  </sheetData>
  <mergeCells count="5">
    <mergeCell ref="A4:A5"/>
    <mergeCell ref="G4:G5"/>
    <mergeCell ref="A2:G2"/>
    <mergeCell ref="A1:G1"/>
    <mergeCell ref="B4:F4"/>
  </mergeCells>
  <pageMargins left="0.12" right="0.11" top="0.75" bottom="0.75" header="0.3" footer="0.3"/>
  <pageSetup paperSize="9" scale="90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9" customWidth="1"/>
    <col min="36" max="16384" width="12.28515625" style="1"/>
  </cols>
  <sheetData>
    <row r="1" spans="1:36" ht="21">
      <c r="A1" s="67" t="s">
        <v>59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</row>
    <row r="2" spans="1:36">
      <c r="A2" s="68" t="s">
        <v>52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</row>
    <row r="3" spans="1:36" ht="15" customHeight="1">
      <c r="A3" s="69"/>
      <c r="B3" s="69"/>
      <c r="C3" s="71" t="s">
        <v>40</v>
      </c>
      <c r="D3" s="71"/>
      <c r="E3" s="71"/>
      <c r="F3" s="71"/>
      <c r="G3" s="71"/>
      <c r="H3" s="41"/>
      <c r="I3" s="41"/>
      <c r="J3" s="72" t="s">
        <v>6</v>
      </c>
      <c r="K3" s="72"/>
      <c r="L3" s="72"/>
      <c r="M3" s="72"/>
      <c r="N3" s="72"/>
      <c r="O3" s="36"/>
      <c r="P3" s="72" t="s">
        <v>7</v>
      </c>
      <c r="Q3" s="72"/>
      <c r="R3" s="72"/>
      <c r="S3" s="72"/>
      <c r="T3" s="72"/>
      <c r="U3" s="18"/>
      <c r="V3" s="18"/>
      <c r="W3" s="18"/>
      <c r="X3" s="73" t="s">
        <v>8</v>
      </c>
      <c r="Y3" s="73"/>
      <c r="Z3" s="73"/>
      <c r="AA3" s="73"/>
      <c r="AB3" s="73"/>
      <c r="AC3" s="37"/>
      <c r="AD3" s="37"/>
      <c r="AE3" s="73" t="s">
        <v>9</v>
      </c>
      <c r="AF3" s="73"/>
      <c r="AG3" s="73"/>
      <c r="AH3" s="73"/>
      <c r="AI3" s="73"/>
    </row>
    <row r="4" spans="1:36" ht="25.5">
      <c r="A4" s="70"/>
      <c r="B4" s="70"/>
      <c r="C4" s="42" t="s">
        <v>10</v>
      </c>
      <c r="D4" s="42" t="s">
        <v>11</v>
      </c>
      <c r="E4" s="42" t="s">
        <v>5</v>
      </c>
      <c r="F4" s="43" t="s">
        <v>12</v>
      </c>
      <c r="G4" s="42" t="s">
        <v>13</v>
      </c>
      <c r="H4" s="42" t="s">
        <v>54</v>
      </c>
      <c r="I4" s="42" t="s">
        <v>60</v>
      </c>
      <c r="J4" s="25" t="s">
        <v>10</v>
      </c>
      <c r="K4" s="25" t="s">
        <v>11</v>
      </c>
      <c r="L4" s="25" t="s">
        <v>5</v>
      </c>
      <c r="M4" s="26" t="s">
        <v>12</v>
      </c>
      <c r="N4" s="25" t="s">
        <v>13</v>
      </c>
      <c r="O4" s="42" t="s">
        <v>54</v>
      </c>
      <c r="P4" s="25" t="s">
        <v>10</v>
      </c>
      <c r="Q4" s="25" t="s">
        <v>11</v>
      </c>
      <c r="R4" s="25" t="s">
        <v>5</v>
      </c>
      <c r="S4" s="26" t="s">
        <v>12</v>
      </c>
      <c r="T4" s="25" t="s">
        <v>13</v>
      </c>
      <c r="U4" s="42" t="s">
        <v>54</v>
      </c>
      <c r="V4" s="42"/>
      <c r="W4" s="42"/>
      <c r="X4" s="25" t="s">
        <v>10</v>
      </c>
      <c r="Y4" s="25" t="s">
        <v>11</v>
      </c>
      <c r="Z4" s="25" t="s">
        <v>5</v>
      </c>
      <c r="AA4" s="26" t="s">
        <v>12</v>
      </c>
      <c r="AB4" s="25" t="s">
        <v>13</v>
      </c>
      <c r="AC4" s="42" t="s">
        <v>54</v>
      </c>
      <c r="AD4" s="42"/>
      <c r="AE4" s="25" t="s">
        <v>10</v>
      </c>
      <c r="AF4" s="25" t="s">
        <v>11</v>
      </c>
      <c r="AG4" s="25" t="s">
        <v>5</v>
      </c>
      <c r="AH4" s="26" t="s">
        <v>12</v>
      </c>
      <c r="AI4" s="25" t="s">
        <v>13</v>
      </c>
      <c r="AJ4" s="42" t="s">
        <v>54</v>
      </c>
    </row>
    <row r="5" spans="1:36" ht="14.25" customHeight="1">
      <c r="A5" s="35"/>
      <c r="B5" s="39" t="s">
        <v>56</v>
      </c>
      <c r="C5" s="44">
        <f t="shared" ref="C5:G32" si="0">J5+P5</f>
        <v>3010</v>
      </c>
      <c r="D5" s="44">
        <f t="shared" si="0"/>
        <v>2381</v>
      </c>
      <c r="E5" s="44">
        <f t="shared" si="0"/>
        <v>5391</v>
      </c>
      <c r="F5" s="44">
        <f>M5+S5</f>
        <v>1774</v>
      </c>
      <c r="G5" s="44">
        <f t="shared" si="0"/>
        <v>3617</v>
      </c>
      <c r="H5" s="45">
        <f>F5/E5*100</f>
        <v>32.906696345761453</v>
      </c>
      <c r="I5" s="45">
        <f>G5/E5*100</f>
        <v>67.093303654238539</v>
      </c>
      <c r="J5" s="22">
        <v>2893</v>
      </c>
      <c r="K5" s="22">
        <v>2200</v>
      </c>
      <c r="L5" s="22">
        <v>5093</v>
      </c>
      <c r="M5" s="22">
        <v>1617</v>
      </c>
      <c r="N5" s="22">
        <v>3476</v>
      </c>
      <c r="O5" s="45">
        <f>M5/L5*100</f>
        <v>31.749460043196542</v>
      </c>
      <c r="P5" s="22">
        <v>117</v>
      </c>
      <c r="Q5" s="22">
        <v>181</v>
      </c>
      <c r="R5" s="22">
        <v>298</v>
      </c>
      <c r="S5" s="22">
        <v>157</v>
      </c>
      <c r="T5" s="22">
        <v>141</v>
      </c>
      <c r="U5" s="45">
        <f>S5/R5*100</f>
        <v>52.68456375838926</v>
      </c>
      <c r="V5" s="45"/>
      <c r="W5" s="39" t="s">
        <v>56</v>
      </c>
      <c r="X5" s="22">
        <v>3628</v>
      </c>
      <c r="Y5" s="22">
        <v>6873</v>
      </c>
      <c r="Z5" s="22">
        <v>10500</v>
      </c>
      <c r="AA5" s="22">
        <v>6554</v>
      </c>
      <c r="AB5" s="22">
        <v>3946</v>
      </c>
      <c r="AC5" s="45">
        <f>AA5/Z5*100</f>
        <v>62.419047619047618</v>
      </c>
      <c r="AD5" s="39" t="s">
        <v>56</v>
      </c>
      <c r="AE5" s="22">
        <v>890</v>
      </c>
      <c r="AF5" s="22">
        <v>6097</v>
      </c>
      <c r="AG5" s="22">
        <v>6987</v>
      </c>
      <c r="AH5" s="22">
        <v>5904</v>
      </c>
      <c r="AI5" s="22">
        <v>1083</v>
      </c>
      <c r="AJ5" s="45">
        <f>AH5/AG5*100</f>
        <v>84.499785315586081</v>
      </c>
    </row>
    <row r="6" spans="1:36" ht="14.25" customHeight="1">
      <c r="A6" s="35"/>
      <c r="B6" s="39" t="s">
        <v>57</v>
      </c>
      <c r="C6" s="44">
        <f t="shared" si="0"/>
        <v>2247</v>
      </c>
      <c r="D6" s="44">
        <f t="shared" si="0"/>
        <v>1246</v>
      </c>
      <c r="E6" s="44">
        <f t="shared" si="0"/>
        <v>3493</v>
      </c>
      <c r="F6" s="44">
        <f t="shared" si="0"/>
        <v>1084</v>
      </c>
      <c r="G6" s="44">
        <f t="shared" si="0"/>
        <v>2409</v>
      </c>
      <c r="H6" s="45">
        <f>F6/E6*100</f>
        <v>31.033495562553682</v>
      </c>
      <c r="I6" s="45">
        <f>G6/E6*100</f>
        <v>68.966504437446318</v>
      </c>
      <c r="J6" s="24">
        <v>2193</v>
      </c>
      <c r="K6" s="24">
        <v>1163</v>
      </c>
      <c r="L6" s="24">
        <v>3356</v>
      </c>
      <c r="M6" s="24">
        <v>990</v>
      </c>
      <c r="N6" s="24">
        <v>2366</v>
      </c>
      <c r="O6" s="45">
        <f>M6/L6*100</f>
        <v>29.499404052443385</v>
      </c>
      <c r="P6" s="24">
        <v>54</v>
      </c>
      <c r="Q6" s="24">
        <v>83</v>
      </c>
      <c r="R6" s="24">
        <v>137</v>
      </c>
      <c r="S6" s="24">
        <v>94</v>
      </c>
      <c r="T6" s="24">
        <v>43</v>
      </c>
      <c r="U6" s="45">
        <f>S6/R6*100</f>
        <v>68.613138686131393</v>
      </c>
      <c r="V6" s="45"/>
      <c r="W6" s="39" t="s">
        <v>57</v>
      </c>
      <c r="X6" s="24">
        <v>1847</v>
      </c>
      <c r="Y6" s="24">
        <v>2725</v>
      </c>
      <c r="Z6" s="24">
        <v>4571</v>
      </c>
      <c r="AA6" s="24">
        <v>2719</v>
      </c>
      <c r="AB6" s="24">
        <v>1852</v>
      </c>
      <c r="AC6" s="45">
        <f>AA6/Z6*100</f>
        <v>59.483701597024719</v>
      </c>
      <c r="AD6" s="39" t="s">
        <v>57</v>
      </c>
      <c r="AE6" s="24">
        <v>456</v>
      </c>
      <c r="AF6" s="24">
        <v>2367</v>
      </c>
      <c r="AG6" s="24">
        <v>2823</v>
      </c>
      <c r="AH6" s="24">
        <v>2296</v>
      </c>
      <c r="AI6" s="24">
        <v>527</v>
      </c>
      <c r="AJ6" s="45">
        <f>AH6/AG6*100</f>
        <v>81.331916400991858</v>
      </c>
    </row>
    <row r="7" spans="1:36" s="33" customFormat="1" ht="14.25" customHeight="1">
      <c r="A7" s="31"/>
      <c r="B7" s="39" t="s">
        <v>58</v>
      </c>
      <c r="C7" s="44">
        <f t="shared" si="0"/>
        <v>763</v>
      </c>
      <c r="D7" s="44">
        <f t="shared" si="0"/>
        <v>1135</v>
      </c>
      <c r="E7" s="44">
        <f t="shared" si="0"/>
        <v>1898</v>
      </c>
      <c r="F7" s="44">
        <f t="shared" si="0"/>
        <v>690</v>
      </c>
      <c r="G7" s="44">
        <f t="shared" si="0"/>
        <v>1208</v>
      </c>
      <c r="H7" s="45">
        <f>F7/E7*100</f>
        <v>36.354056902002107</v>
      </c>
      <c r="I7" s="45">
        <f>G7/E7*100</f>
        <v>63.645943097997893</v>
      </c>
      <c r="J7" s="24">
        <v>700</v>
      </c>
      <c r="K7" s="24">
        <v>1037</v>
      </c>
      <c r="L7" s="24">
        <v>1737</v>
      </c>
      <c r="M7" s="24">
        <v>627</v>
      </c>
      <c r="N7" s="24">
        <v>1110</v>
      </c>
      <c r="O7" s="45">
        <f>M7/L7*100</f>
        <v>36.096718480138165</v>
      </c>
      <c r="P7" s="24">
        <v>63</v>
      </c>
      <c r="Q7" s="24">
        <v>98</v>
      </c>
      <c r="R7" s="24">
        <v>161</v>
      </c>
      <c r="S7" s="24">
        <v>63</v>
      </c>
      <c r="T7" s="24">
        <v>98</v>
      </c>
      <c r="U7" s="45">
        <f>S7/R7*100</f>
        <v>39.130434782608695</v>
      </c>
      <c r="V7" s="45"/>
      <c r="W7" s="39" t="s">
        <v>58</v>
      </c>
      <c r="X7" s="24">
        <v>1781</v>
      </c>
      <c r="Y7" s="24">
        <v>4148</v>
      </c>
      <c r="Z7" s="24">
        <v>5929</v>
      </c>
      <c r="AA7" s="24">
        <v>3835</v>
      </c>
      <c r="AB7" s="24">
        <v>2094</v>
      </c>
      <c r="AC7" s="45">
        <f>AA7/Z7*100</f>
        <v>64.682071175577676</v>
      </c>
      <c r="AD7" s="39" t="s">
        <v>58</v>
      </c>
      <c r="AE7" s="24">
        <v>434</v>
      </c>
      <c r="AF7" s="24">
        <v>3730</v>
      </c>
      <c r="AG7" s="24">
        <v>4164</v>
      </c>
      <c r="AH7" s="24">
        <v>3608</v>
      </c>
      <c r="AI7" s="24">
        <v>556</v>
      </c>
      <c r="AJ7" s="45">
        <f>AH7/AG7*100</f>
        <v>86.647454370797306</v>
      </c>
    </row>
    <row r="8" spans="1:36" s="33" customFormat="1" ht="14.25" customHeight="1">
      <c r="A8" s="35" t="s">
        <v>20</v>
      </c>
      <c r="B8" s="19" t="s">
        <v>0</v>
      </c>
      <c r="C8" s="44">
        <f t="shared" si="0"/>
        <v>68</v>
      </c>
      <c r="D8" s="44">
        <f t="shared" si="0"/>
        <v>28</v>
      </c>
      <c r="E8" s="44">
        <f t="shared" si="0"/>
        <v>96</v>
      </c>
      <c r="F8" s="44">
        <f t="shared" si="0"/>
        <v>21</v>
      </c>
      <c r="G8" s="44">
        <f t="shared" si="0"/>
        <v>75</v>
      </c>
      <c r="H8" s="44"/>
      <c r="I8" s="44"/>
      <c r="J8" s="24">
        <v>61</v>
      </c>
      <c r="K8" s="24">
        <v>27</v>
      </c>
      <c r="L8" s="24">
        <v>88</v>
      </c>
      <c r="M8" s="24">
        <v>18</v>
      </c>
      <c r="N8" s="24">
        <v>70</v>
      </c>
      <c r="O8" s="24"/>
      <c r="P8" s="24">
        <v>7</v>
      </c>
      <c r="Q8" s="24">
        <v>1</v>
      </c>
      <c r="R8" s="24">
        <v>8</v>
      </c>
      <c r="S8" s="24">
        <v>3</v>
      </c>
      <c r="T8" s="24">
        <v>5</v>
      </c>
      <c r="U8" s="24"/>
      <c r="V8" s="24"/>
      <c r="W8" s="24"/>
      <c r="X8" s="24">
        <v>123</v>
      </c>
      <c r="Y8" s="24">
        <v>181</v>
      </c>
      <c r="Z8" s="24">
        <v>304</v>
      </c>
      <c r="AA8" s="24">
        <v>148</v>
      </c>
      <c r="AB8" s="24">
        <v>156</v>
      </c>
      <c r="AC8" s="24"/>
      <c r="AD8" s="24"/>
      <c r="AE8" s="24">
        <v>21</v>
      </c>
      <c r="AF8" s="24">
        <v>169</v>
      </c>
      <c r="AG8" s="24">
        <v>190</v>
      </c>
      <c r="AH8" s="24">
        <v>170</v>
      </c>
      <c r="AI8" s="24">
        <v>20</v>
      </c>
    </row>
    <row r="9" spans="1:36" s="33" customFormat="1" ht="14.25" customHeight="1">
      <c r="A9" s="35" t="s">
        <v>21</v>
      </c>
      <c r="B9" s="19" t="s">
        <v>0</v>
      </c>
      <c r="C9" s="44">
        <f t="shared" si="0"/>
        <v>81</v>
      </c>
      <c r="D9" s="44">
        <f t="shared" si="0"/>
        <v>73</v>
      </c>
      <c r="E9" s="44">
        <f t="shared" si="0"/>
        <v>154</v>
      </c>
      <c r="F9" s="44">
        <f t="shared" si="0"/>
        <v>41</v>
      </c>
      <c r="G9" s="44">
        <f t="shared" si="0"/>
        <v>113</v>
      </c>
      <c r="H9" s="44"/>
      <c r="I9" s="44"/>
      <c r="J9" s="24">
        <v>74</v>
      </c>
      <c r="K9" s="24">
        <v>69</v>
      </c>
      <c r="L9" s="24">
        <v>143</v>
      </c>
      <c r="M9" s="24">
        <v>34</v>
      </c>
      <c r="N9" s="24">
        <v>109</v>
      </c>
      <c r="O9" s="24"/>
      <c r="P9" s="24">
        <v>7</v>
      </c>
      <c r="Q9" s="24">
        <v>4</v>
      </c>
      <c r="R9" s="24">
        <v>11</v>
      </c>
      <c r="S9" s="24">
        <v>7</v>
      </c>
      <c r="T9" s="24">
        <v>4</v>
      </c>
      <c r="U9" s="24"/>
      <c r="V9" s="24"/>
      <c r="W9" s="24"/>
      <c r="X9" s="24">
        <v>93</v>
      </c>
      <c r="Y9" s="24">
        <v>178</v>
      </c>
      <c r="Z9" s="24">
        <v>271</v>
      </c>
      <c r="AA9" s="24">
        <v>104</v>
      </c>
      <c r="AB9" s="24">
        <v>167</v>
      </c>
      <c r="AC9" s="24"/>
      <c r="AD9" s="24"/>
      <c r="AE9" s="24">
        <v>34</v>
      </c>
      <c r="AF9" s="24">
        <v>233</v>
      </c>
      <c r="AG9" s="24">
        <v>267</v>
      </c>
      <c r="AH9" s="24">
        <v>222</v>
      </c>
      <c r="AI9" s="24">
        <v>45</v>
      </c>
    </row>
    <row r="10" spans="1:36" s="33" customFormat="1" ht="14.25" customHeight="1">
      <c r="A10" s="35" t="s">
        <v>22</v>
      </c>
      <c r="B10" s="19" t="s">
        <v>0</v>
      </c>
      <c r="C10" s="44">
        <f t="shared" si="0"/>
        <v>10</v>
      </c>
      <c r="D10" s="44">
        <f t="shared" si="0"/>
        <v>24</v>
      </c>
      <c r="E10" s="44">
        <f t="shared" si="0"/>
        <v>34</v>
      </c>
      <c r="F10" s="44">
        <f t="shared" si="0"/>
        <v>28</v>
      </c>
      <c r="G10" s="44">
        <f t="shared" si="0"/>
        <v>6</v>
      </c>
      <c r="H10" s="44"/>
      <c r="I10" s="44"/>
      <c r="J10" s="24">
        <v>10</v>
      </c>
      <c r="K10" s="24">
        <v>22</v>
      </c>
      <c r="L10" s="24">
        <v>32</v>
      </c>
      <c r="M10" s="24">
        <v>28</v>
      </c>
      <c r="N10" s="24">
        <v>4</v>
      </c>
      <c r="O10" s="24"/>
      <c r="P10" s="24">
        <v>0</v>
      </c>
      <c r="Q10" s="24">
        <v>2</v>
      </c>
      <c r="R10" s="24">
        <v>2</v>
      </c>
      <c r="S10" s="24">
        <v>0</v>
      </c>
      <c r="T10" s="24">
        <v>2</v>
      </c>
      <c r="U10" s="24"/>
      <c r="V10" s="24"/>
      <c r="W10" s="24"/>
      <c r="X10" s="24">
        <v>43</v>
      </c>
      <c r="Y10" s="24">
        <v>145</v>
      </c>
      <c r="Z10" s="24">
        <v>188</v>
      </c>
      <c r="AA10" s="24">
        <v>142</v>
      </c>
      <c r="AB10" s="24">
        <v>46</v>
      </c>
      <c r="AC10" s="24"/>
      <c r="AD10" s="24"/>
      <c r="AE10" s="24">
        <v>16</v>
      </c>
      <c r="AF10" s="24">
        <v>162</v>
      </c>
      <c r="AG10" s="24">
        <v>178</v>
      </c>
      <c r="AH10" s="24">
        <v>162</v>
      </c>
      <c r="AI10" s="24">
        <v>16</v>
      </c>
    </row>
    <row r="11" spans="1:36" s="33" customFormat="1" ht="14.25" customHeight="1">
      <c r="A11" s="35" t="s">
        <v>23</v>
      </c>
      <c r="B11" s="19" t="s">
        <v>0</v>
      </c>
      <c r="C11" s="44">
        <f t="shared" si="0"/>
        <v>48</v>
      </c>
      <c r="D11" s="44">
        <f t="shared" si="0"/>
        <v>62</v>
      </c>
      <c r="E11" s="44">
        <f t="shared" si="0"/>
        <v>110</v>
      </c>
      <c r="F11" s="44">
        <f t="shared" si="0"/>
        <v>45</v>
      </c>
      <c r="G11" s="44">
        <f t="shared" si="0"/>
        <v>65</v>
      </c>
      <c r="H11" s="44"/>
      <c r="I11" s="44"/>
      <c r="J11" s="24">
        <v>47</v>
      </c>
      <c r="K11" s="24">
        <v>58</v>
      </c>
      <c r="L11" s="24">
        <v>105</v>
      </c>
      <c r="M11" s="24">
        <v>42</v>
      </c>
      <c r="N11" s="24">
        <v>63</v>
      </c>
      <c r="O11" s="24"/>
      <c r="P11" s="24">
        <v>1</v>
      </c>
      <c r="Q11" s="24">
        <v>4</v>
      </c>
      <c r="R11" s="24">
        <v>5</v>
      </c>
      <c r="S11" s="24">
        <v>3</v>
      </c>
      <c r="T11" s="24">
        <v>2</v>
      </c>
      <c r="U11" s="24"/>
      <c r="V11" s="24"/>
      <c r="W11" s="24"/>
      <c r="X11" s="24">
        <v>117</v>
      </c>
      <c r="Y11" s="24">
        <v>186</v>
      </c>
      <c r="Z11" s="24">
        <v>303</v>
      </c>
      <c r="AA11" s="24">
        <v>174</v>
      </c>
      <c r="AB11" s="24">
        <v>129</v>
      </c>
      <c r="AC11" s="24"/>
      <c r="AD11" s="24"/>
      <c r="AE11" s="24">
        <v>30</v>
      </c>
      <c r="AF11" s="24">
        <v>215</v>
      </c>
      <c r="AG11" s="24">
        <v>245</v>
      </c>
      <c r="AH11" s="24">
        <v>188</v>
      </c>
      <c r="AI11" s="24">
        <v>57</v>
      </c>
    </row>
    <row r="12" spans="1:36" s="33" customFormat="1" ht="14.25" customHeight="1">
      <c r="A12" s="35" t="s">
        <v>24</v>
      </c>
      <c r="B12" s="19" t="s">
        <v>0</v>
      </c>
      <c r="C12" s="44">
        <f t="shared" si="0"/>
        <v>73</v>
      </c>
      <c r="D12" s="44">
        <f t="shared" si="0"/>
        <v>84</v>
      </c>
      <c r="E12" s="44">
        <f t="shared" si="0"/>
        <v>157</v>
      </c>
      <c r="F12" s="44">
        <f t="shared" si="0"/>
        <v>80</v>
      </c>
      <c r="G12" s="44">
        <f t="shared" si="0"/>
        <v>77</v>
      </c>
      <c r="H12" s="44"/>
      <c r="I12" s="44"/>
      <c r="J12" s="24">
        <v>70</v>
      </c>
      <c r="K12" s="24">
        <v>78</v>
      </c>
      <c r="L12" s="24">
        <v>148</v>
      </c>
      <c r="M12" s="24">
        <v>76</v>
      </c>
      <c r="N12" s="24">
        <v>72</v>
      </c>
      <c r="O12" s="24"/>
      <c r="P12" s="24">
        <v>3</v>
      </c>
      <c r="Q12" s="24">
        <v>6</v>
      </c>
      <c r="R12" s="24">
        <v>9</v>
      </c>
      <c r="S12" s="24">
        <v>4</v>
      </c>
      <c r="T12" s="24">
        <v>5</v>
      </c>
      <c r="U12" s="24"/>
      <c r="V12" s="24"/>
      <c r="W12" s="24"/>
      <c r="X12" s="24">
        <v>71</v>
      </c>
      <c r="Y12" s="24">
        <v>202</v>
      </c>
      <c r="Z12" s="24">
        <v>273</v>
      </c>
      <c r="AA12" s="24">
        <v>186</v>
      </c>
      <c r="AB12" s="24">
        <v>87</v>
      </c>
      <c r="AC12" s="24"/>
      <c r="AD12" s="24"/>
      <c r="AE12" s="24">
        <v>18</v>
      </c>
      <c r="AF12" s="24">
        <v>231</v>
      </c>
      <c r="AG12" s="24">
        <v>249</v>
      </c>
      <c r="AH12" s="24">
        <v>219</v>
      </c>
      <c r="AI12" s="24">
        <v>30</v>
      </c>
    </row>
    <row r="13" spans="1:36" s="33" customFormat="1" ht="14.25" customHeight="1">
      <c r="A13" s="35" t="s">
        <v>25</v>
      </c>
      <c r="B13" s="19" t="s">
        <v>0</v>
      </c>
      <c r="C13" s="44">
        <f t="shared" si="0"/>
        <v>21</v>
      </c>
      <c r="D13" s="44">
        <f t="shared" si="0"/>
        <v>26</v>
      </c>
      <c r="E13" s="44">
        <f t="shared" si="0"/>
        <v>47</v>
      </c>
      <c r="F13" s="44">
        <f t="shared" si="0"/>
        <v>10</v>
      </c>
      <c r="G13" s="44">
        <f t="shared" si="0"/>
        <v>37</v>
      </c>
      <c r="H13" s="44"/>
      <c r="I13" s="44"/>
      <c r="J13" s="24">
        <v>17</v>
      </c>
      <c r="K13" s="24">
        <v>23</v>
      </c>
      <c r="L13" s="24">
        <v>40</v>
      </c>
      <c r="M13" s="24">
        <v>9</v>
      </c>
      <c r="N13" s="24">
        <v>31</v>
      </c>
      <c r="O13" s="24"/>
      <c r="P13" s="24">
        <v>4</v>
      </c>
      <c r="Q13" s="24">
        <v>3</v>
      </c>
      <c r="R13" s="24">
        <v>7</v>
      </c>
      <c r="S13" s="24">
        <v>1</v>
      </c>
      <c r="T13" s="24">
        <v>6</v>
      </c>
      <c r="U13" s="24"/>
      <c r="V13" s="24"/>
      <c r="W13" s="24"/>
      <c r="X13" s="24">
        <v>38</v>
      </c>
      <c r="Y13" s="24">
        <v>183</v>
      </c>
      <c r="Z13" s="24">
        <v>221</v>
      </c>
      <c r="AA13" s="24">
        <v>119</v>
      </c>
      <c r="AB13" s="24">
        <v>102</v>
      </c>
      <c r="AC13" s="24"/>
      <c r="AD13" s="24"/>
      <c r="AE13" s="24">
        <v>20</v>
      </c>
      <c r="AF13" s="24">
        <v>135</v>
      </c>
      <c r="AG13" s="24">
        <v>155</v>
      </c>
      <c r="AH13" s="24">
        <v>124</v>
      </c>
      <c r="AI13" s="24">
        <v>31</v>
      </c>
    </row>
    <row r="14" spans="1:36" s="33" customFormat="1" ht="14.25" customHeight="1">
      <c r="A14" s="35" t="s">
        <v>26</v>
      </c>
      <c r="B14" s="19" t="s">
        <v>0</v>
      </c>
      <c r="C14" s="44">
        <f t="shared" si="0"/>
        <v>77</v>
      </c>
      <c r="D14" s="44">
        <f t="shared" si="0"/>
        <v>61</v>
      </c>
      <c r="E14" s="44">
        <f t="shared" si="0"/>
        <v>138</v>
      </c>
      <c r="F14" s="44">
        <f t="shared" si="0"/>
        <v>57</v>
      </c>
      <c r="G14" s="44">
        <f t="shared" si="0"/>
        <v>81</v>
      </c>
      <c r="H14" s="44"/>
      <c r="I14" s="44"/>
      <c r="J14" s="24">
        <v>72</v>
      </c>
      <c r="K14" s="24">
        <v>57</v>
      </c>
      <c r="L14" s="24">
        <v>129</v>
      </c>
      <c r="M14" s="24">
        <v>52</v>
      </c>
      <c r="N14" s="24">
        <v>77</v>
      </c>
      <c r="O14" s="24"/>
      <c r="P14" s="24">
        <v>5</v>
      </c>
      <c r="Q14" s="24">
        <v>4</v>
      </c>
      <c r="R14" s="24">
        <v>9</v>
      </c>
      <c r="S14" s="24">
        <v>5</v>
      </c>
      <c r="T14" s="24">
        <v>4</v>
      </c>
      <c r="U14" s="24"/>
      <c r="V14" s="24"/>
      <c r="W14" s="24"/>
      <c r="X14" s="24">
        <v>124</v>
      </c>
      <c r="Y14" s="24">
        <v>124</v>
      </c>
      <c r="Z14" s="24">
        <v>248</v>
      </c>
      <c r="AA14" s="24">
        <v>127</v>
      </c>
      <c r="AB14" s="24">
        <v>121</v>
      </c>
      <c r="AC14" s="24"/>
      <c r="AD14" s="24"/>
      <c r="AE14" s="24">
        <v>44</v>
      </c>
      <c r="AF14" s="24">
        <v>178</v>
      </c>
      <c r="AG14" s="24">
        <v>222</v>
      </c>
      <c r="AH14" s="24">
        <v>182</v>
      </c>
      <c r="AI14" s="24">
        <v>40</v>
      </c>
    </row>
    <row r="15" spans="1:36" s="33" customFormat="1" ht="14.25" customHeight="1">
      <c r="A15" s="35" t="s">
        <v>27</v>
      </c>
      <c r="B15" s="19" t="s">
        <v>0</v>
      </c>
      <c r="C15" s="44">
        <f t="shared" si="0"/>
        <v>31</v>
      </c>
      <c r="D15" s="44">
        <f t="shared" si="0"/>
        <v>41</v>
      </c>
      <c r="E15" s="44">
        <f t="shared" si="0"/>
        <v>72</v>
      </c>
      <c r="F15" s="44">
        <f t="shared" si="0"/>
        <v>31</v>
      </c>
      <c r="G15" s="44">
        <f t="shared" si="0"/>
        <v>41</v>
      </c>
      <c r="H15" s="44"/>
      <c r="I15" s="44"/>
      <c r="J15" s="24">
        <v>30</v>
      </c>
      <c r="K15" s="24">
        <v>37</v>
      </c>
      <c r="L15" s="24">
        <v>67</v>
      </c>
      <c r="M15" s="24">
        <v>30</v>
      </c>
      <c r="N15" s="24">
        <v>37</v>
      </c>
      <c r="O15" s="24"/>
      <c r="P15" s="24">
        <v>1</v>
      </c>
      <c r="Q15" s="24">
        <v>4</v>
      </c>
      <c r="R15" s="24">
        <v>5</v>
      </c>
      <c r="S15" s="24">
        <v>1</v>
      </c>
      <c r="T15" s="24">
        <v>4</v>
      </c>
      <c r="U15" s="24"/>
      <c r="V15" s="24"/>
      <c r="W15" s="24"/>
      <c r="X15" s="24">
        <v>67</v>
      </c>
      <c r="Y15" s="24">
        <v>145</v>
      </c>
      <c r="Z15" s="24">
        <v>212</v>
      </c>
      <c r="AA15" s="24">
        <v>153</v>
      </c>
      <c r="AB15" s="24">
        <v>59</v>
      </c>
      <c r="AC15" s="24"/>
      <c r="AD15" s="24"/>
      <c r="AE15" s="24">
        <v>17</v>
      </c>
      <c r="AF15" s="24">
        <v>218</v>
      </c>
      <c r="AG15" s="24">
        <v>235</v>
      </c>
      <c r="AH15" s="24">
        <v>217</v>
      </c>
      <c r="AI15" s="24">
        <v>18</v>
      </c>
    </row>
    <row r="16" spans="1:36" s="33" customFormat="1" ht="14.25" customHeight="1">
      <c r="A16" s="35" t="s">
        <v>28</v>
      </c>
      <c r="B16" s="19" t="s">
        <v>0</v>
      </c>
      <c r="C16" s="44">
        <f t="shared" si="0"/>
        <v>13</v>
      </c>
      <c r="D16" s="44">
        <f t="shared" si="0"/>
        <v>13</v>
      </c>
      <c r="E16" s="44">
        <f t="shared" si="0"/>
        <v>26</v>
      </c>
      <c r="F16" s="44">
        <f t="shared" si="0"/>
        <v>11</v>
      </c>
      <c r="G16" s="44">
        <f t="shared" si="0"/>
        <v>15</v>
      </c>
      <c r="H16" s="44"/>
      <c r="I16" s="44"/>
      <c r="J16" s="24">
        <v>12</v>
      </c>
      <c r="K16" s="24">
        <v>11</v>
      </c>
      <c r="L16" s="24">
        <v>23</v>
      </c>
      <c r="M16" s="24">
        <v>11</v>
      </c>
      <c r="N16" s="24">
        <v>12</v>
      </c>
      <c r="O16" s="24"/>
      <c r="P16" s="24">
        <v>1</v>
      </c>
      <c r="Q16" s="24">
        <v>2</v>
      </c>
      <c r="R16" s="24">
        <v>3</v>
      </c>
      <c r="S16" s="24">
        <v>0</v>
      </c>
      <c r="T16" s="24">
        <v>3</v>
      </c>
      <c r="U16" s="24"/>
      <c r="V16" s="24"/>
      <c r="W16" s="24"/>
      <c r="X16" s="24">
        <v>58</v>
      </c>
      <c r="Y16" s="24">
        <v>123</v>
      </c>
      <c r="Z16" s="24">
        <v>181</v>
      </c>
      <c r="AA16" s="24">
        <v>142</v>
      </c>
      <c r="AB16" s="24">
        <v>39</v>
      </c>
      <c r="AC16" s="24"/>
      <c r="AD16" s="24"/>
      <c r="AE16" s="24">
        <v>9</v>
      </c>
      <c r="AF16" s="24">
        <v>123</v>
      </c>
      <c r="AG16" s="24">
        <v>132</v>
      </c>
      <c r="AH16" s="24">
        <v>126</v>
      </c>
      <c r="AI16" s="24">
        <v>6</v>
      </c>
    </row>
    <row r="17" spans="1:35" s="33" customFormat="1">
      <c r="A17" s="35" t="s">
        <v>29</v>
      </c>
      <c r="B17" s="19" t="s">
        <v>0</v>
      </c>
      <c r="C17" s="44">
        <f t="shared" si="0"/>
        <v>14</v>
      </c>
      <c r="D17" s="44">
        <f t="shared" si="0"/>
        <v>18</v>
      </c>
      <c r="E17" s="44">
        <f t="shared" si="0"/>
        <v>32</v>
      </c>
      <c r="F17" s="44">
        <f t="shared" si="0"/>
        <v>23</v>
      </c>
      <c r="G17" s="44">
        <f t="shared" si="0"/>
        <v>9</v>
      </c>
      <c r="H17" s="44"/>
      <c r="I17" s="44"/>
      <c r="J17" s="24">
        <v>13</v>
      </c>
      <c r="K17" s="24">
        <v>16</v>
      </c>
      <c r="L17" s="24">
        <v>29</v>
      </c>
      <c r="M17" s="24">
        <v>22</v>
      </c>
      <c r="N17" s="24">
        <v>7</v>
      </c>
      <c r="O17" s="24"/>
      <c r="P17" s="24">
        <v>1</v>
      </c>
      <c r="Q17" s="24">
        <v>2</v>
      </c>
      <c r="R17" s="24">
        <v>3</v>
      </c>
      <c r="S17" s="24">
        <v>1</v>
      </c>
      <c r="T17" s="24">
        <v>2</v>
      </c>
      <c r="U17" s="24"/>
      <c r="V17" s="24"/>
      <c r="W17" s="24"/>
      <c r="X17" s="24">
        <v>78</v>
      </c>
      <c r="Y17" s="24">
        <v>145</v>
      </c>
      <c r="Z17" s="24">
        <v>223</v>
      </c>
      <c r="AA17" s="24">
        <v>155</v>
      </c>
      <c r="AB17" s="24">
        <v>68</v>
      </c>
      <c r="AC17" s="24"/>
      <c r="AD17" s="24"/>
      <c r="AE17" s="24">
        <v>25</v>
      </c>
      <c r="AF17" s="24">
        <v>141</v>
      </c>
      <c r="AG17" s="24">
        <v>166</v>
      </c>
      <c r="AH17" s="24">
        <v>138</v>
      </c>
      <c r="AI17" s="24">
        <v>28</v>
      </c>
    </row>
    <row r="18" spans="1:35" s="33" customFormat="1">
      <c r="A18" s="35" t="s">
        <v>30</v>
      </c>
      <c r="B18" s="19" t="s">
        <v>0</v>
      </c>
      <c r="C18" s="44">
        <f t="shared" si="0"/>
        <v>2</v>
      </c>
      <c r="D18" s="44">
        <f t="shared" si="0"/>
        <v>1</v>
      </c>
      <c r="E18" s="44">
        <f t="shared" si="0"/>
        <v>3</v>
      </c>
      <c r="F18" s="44">
        <f t="shared" si="0"/>
        <v>2</v>
      </c>
      <c r="G18" s="44">
        <f t="shared" si="0"/>
        <v>1</v>
      </c>
      <c r="H18" s="44"/>
      <c r="I18" s="44"/>
      <c r="J18" s="24">
        <v>2</v>
      </c>
      <c r="K18" s="24">
        <v>1</v>
      </c>
      <c r="L18" s="24">
        <v>3</v>
      </c>
      <c r="M18" s="24">
        <v>2</v>
      </c>
      <c r="N18" s="24">
        <v>1</v>
      </c>
      <c r="O18" s="24"/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/>
      <c r="V18" s="24"/>
      <c r="W18" s="24"/>
      <c r="X18" s="24">
        <v>6</v>
      </c>
      <c r="Y18" s="24">
        <v>33</v>
      </c>
      <c r="Z18" s="24">
        <v>39</v>
      </c>
      <c r="AA18" s="24">
        <v>28</v>
      </c>
      <c r="AB18" s="24">
        <v>11</v>
      </c>
      <c r="AC18" s="24"/>
      <c r="AD18" s="24"/>
      <c r="AE18" s="24">
        <v>2</v>
      </c>
      <c r="AF18" s="24">
        <v>19</v>
      </c>
      <c r="AG18" s="24">
        <v>21</v>
      </c>
      <c r="AH18" s="24">
        <v>21</v>
      </c>
      <c r="AI18" s="24">
        <v>0</v>
      </c>
    </row>
    <row r="19" spans="1:35" s="33" customFormat="1">
      <c r="A19" s="35" t="s">
        <v>31</v>
      </c>
      <c r="B19" s="19" t="s">
        <v>0</v>
      </c>
      <c r="C19" s="44">
        <f t="shared" si="0"/>
        <v>4</v>
      </c>
      <c r="D19" s="44">
        <f t="shared" si="0"/>
        <v>4</v>
      </c>
      <c r="E19" s="44">
        <f t="shared" si="0"/>
        <v>8</v>
      </c>
      <c r="F19" s="44">
        <f t="shared" si="0"/>
        <v>3</v>
      </c>
      <c r="G19" s="44">
        <f t="shared" si="0"/>
        <v>5</v>
      </c>
      <c r="H19" s="44"/>
      <c r="I19" s="44"/>
      <c r="J19" s="24">
        <v>4</v>
      </c>
      <c r="K19" s="24">
        <v>3</v>
      </c>
      <c r="L19" s="24">
        <v>7</v>
      </c>
      <c r="M19" s="24">
        <v>3</v>
      </c>
      <c r="N19" s="24">
        <v>4</v>
      </c>
      <c r="O19" s="24"/>
      <c r="P19" s="24">
        <v>0</v>
      </c>
      <c r="Q19" s="24">
        <v>1</v>
      </c>
      <c r="R19" s="24">
        <v>1</v>
      </c>
      <c r="S19" s="24">
        <v>0</v>
      </c>
      <c r="T19" s="24">
        <v>1</v>
      </c>
      <c r="U19" s="24"/>
      <c r="V19" s="24"/>
      <c r="W19" s="24"/>
      <c r="X19" s="24">
        <v>89</v>
      </c>
      <c r="Y19" s="24">
        <v>62</v>
      </c>
      <c r="Z19" s="24">
        <v>151</v>
      </c>
      <c r="AA19" s="24">
        <v>109</v>
      </c>
      <c r="AB19" s="24">
        <v>42</v>
      </c>
      <c r="AC19" s="24"/>
      <c r="AD19" s="24"/>
      <c r="AE19" s="24">
        <v>6</v>
      </c>
      <c r="AF19" s="24">
        <v>72</v>
      </c>
      <c r="AG19" s="24">
        <v>78</v>
      </c>
      <c r="AH19" s="24">
        <v>71</v>
      </c>
      <c r="AI19" s="24">
        <v>7</v>
      </c>
    </row>
    <row r="20" spans="1:35" s="33" customFormat="1">
      <c r="A20" s="35" t="s">
        <v>32</v>
      </c>
      <c r="B20" s="19" t="s">
        <v>0</v>
      </c>
      <c r="C20" s="44">
        <f t="shared" si="0"/>
        <v>6</v>
      </c>
      <c r="D20" s="44">
        <f t="shared" si="0"/>
        <v>14</v>
      </c>
      <c r="E20" s="44">
        <f t="shared" si="0"/>
        <v>20</v>
      </c>
      <c r="F20" s="44">
        <f t="shared" si="0"/>
        <v>13</v>
      </c>
      <c r="G20" s="44">
        <f t="shared" si="0"/>
        <v>7</v>
      </c>
      <c r="H20" s="44"/>
      <c r="I20" s="44"/>
      <c r="J20" s="24">
        <v>5</v>
      </c>
      <c r="K20" s="24">
        <v>14</v>
      </c>
      <c r="L20" s="24">
        <v>19</v>
      </c>
      <c r="M20" s="24">
        <v>12</v>
      </c>
      <c r="N20" s="24">
        <v>7</v>
      </c>
      <c r="O20" s="24"/>
      <c r="P20" s="24">
        <v>1</v>
      </c>
      <c r="Q20" s="24">
        <v>0</v>
      </c>
      <c r="R20" s="24">
        <v>1</v>
      </c>
      <c r="S20" s="24">
        <v>1</v>
      </c>
      <c r="T20" s="24">
        <v>0</v>
      </c>
      <c r="U20" s="24"/>
      <c r="V20" s="24"/>
      <c r="W20" s="24"/>
      <c r="X20" s="24">
        <v>50</v>
      </c>
      <c r="Y20" s="24">
        <v>83</v>
      </c>
      <c r="Z20" s="24">
        <v>133</v>
      </c>
      <c r="AA20" s="24">
        <v>84</v>
      </c>
      <c r="AB20" s="24">
        <v>49</v>
      </c>
      <c r="AC20" s="24"/>
      <c r="AD20" s="24"/>
      <c r="AE20" s="24">
        <v>14</v>
      </c>
      <c r="AF20" s="24">
        <v>70</v>
      </c>
      <c r="AG20" s="24">
        <v>84</v>
      </c>
      <c r="AH20" s="24">
        <v>70</v>
      </c>
      <c r="AI20" s="24">
        <v>14</v>
      </c>
    </row>
    <row r="21" spans="1:35" s="33" customFormat="1">
      <c r="A21" s="35" t="s">
        <v>33</v>
      </c>
      <c r="B21" s="19" t="s">
        <v>0</v>
      </c>
      <c r="C21" s="44">
        <f t="shared" si="0"/>
        <v>5</v>
      </c>
      <c r="D21" s="44">
        <f t="shared" si="0"/>
        <v>4</v>
      </c>
      <c r="E21" s="44">
        <f t="shared" si="0"/>
        <v>9</v>
      </c>
      <c r="F21" s="44">
        <f t="shared" si="0"/>
        <v>6</v>
      </c>
      <c r="G21" s="44">
        <f t="shared" si="0"/>
        <v>3</v>
      </c>
      <c r="H21" s="44"/>
      <c r="I21" s="44"/>
      <c r="J21" s="24">
        <v>3</v>
      </c>
      <c r="K21" s="24">
        <v>4</v>
      </c>
      <c r="L21" s="24">
        <v>7</v>
      </c>
      <c r="M21" s="24">
        <v>6</v>
      </c>
      <c r="N21" s="24">
        <v>1</v>
      </c>
      <c r="O21" s="24"/>
      <c r="P21" s="24">
        <v>2</v>
      </c>
      <c r="Q21" s="24">
        <v>0</v>
      </c>
      <c r="R21" s="24">
        <v>2</v>
      </c>
      <c r="S21" s="24">
        <v>0</v>
      </c>
      <c r="T21" s="24">
        <v>2</v>
      </c>
      <c r="U21" s="24"/>
      <c r="V21" s="24"/>
      <c r="W21" s="24"/>
      <c r="X21" s="24">
        <v>57</v>
      </c>
      <c r="Y21" s="24">
        <v>89</v>
      </c>
      <c r="Z21" s="24">
        <v>146</v>
      </c>
      <c r="AA21" s="24">
        <v>111</v>
      </c>
      <c r="AB21" s="24">
        <v>35</v>
      </c>
      <c r="AC21" s="24"/>
      <c r="AD21" s="24"/>
      <c r="AE21" s="24">
        <v>14</v>
      </c>
      <c r="AF21" s="24">
        <v>85</v>
      </c>
      <c r="AG21" s="24">
        <v>99</v>
      </c>
      <c r="AH21" s="24">
        <v>87</v>
      </c>
      <c r="AI21" s="24">
        <v>12</v>
      </c>
    </row>
    <row r="22" spans="1:35" s="33" customFormat="1">
      <c r="A22" s="35" t="s">
        <v>34</v>
      </c>
      <c r="B22" s="19" t="s">
        <v>0</v>
      </c>
      <c r="C22" s="44">
        <f t="shared" si="0"/>
        <v>46</v>
      </c>
      <c r="D22" s="44">
        <f t="shared" si="0"/>
        <v>76</v>
      </c>
      <c r="E22" s="44">
        <f t="shared" si="0"/>
        <v>122</v>
      </c>
      <c r="F22" s="44">
        <f t="shared" si="0"/>
        <v>34</v>
      </c>
      <c r="G22" s="44">
        <f t="shared" si="0"/>
        <v>88</v>
      </c>
      <c r="H22" s="44"/>
      <c r="I22" s="44"/>
      <c r="J22" s="24">
        <v>42</v>
      </c>
      <c r="K22" s="24">
        <v>67</v>
      </c>
      <c r="L22" s="24">
        <v>109</v>
      </c>
      <c r="M22" s="24">
        <v>27</v>
      </c>
      <c r="N22" s="24">
        <v>82</v>
      </c>
      <c r="O22" s="24"/>
      <c r="P22" s="24">
        <v>4</v>
      </c>
      <c r="Q22" s="24">
        <v>9</v>
      </c>
      <c r="R22" s="24">
        <v>13</v>
      </c>
      <c r="S22" s="24">
        <v>7</v>
      </c>
      <c r="T22" s="24">
        <v>6</v>
      </c>
      <c r="U22" s="24"/>
      <c r="V22" s="24"/>
      <c r="W22" s="24"/>
      <c r="X22" s="24">
        <v>103</v>
      </c>
      <c r="Y22" s="24">
        <v>177</v>
      </c>
      <c r="Z22" s="24">
        <v>280</v>
      </c>
      <c r="AA22" s="24">
        <v>172</v>
      </c>
      <c r="AB22" s="24">
        <v>108</v>
      </c>
      <c r="AC22" s="24"/>
      <c r="AD22" s="24"/>
      <c r="AE22" s="24">
        <v>22</v>
      </c>
      <c r="AF22" s="24">
        <v>171</v>
      </c>
      <c r="AG22" s="24">
        <v>193</v>
      </c>
      <c r="AH22" s="24">
        <v>168</v>
      </c>
      <c r="AI22" s="24">
        <v>25</v>
      </c>
    </row>
    <row r="23" spans="1:35" s="33" customFormat="1">
      <c r="A23" s="35" t="s">
        <v>35</v>
      </c>
      <c r="B23" s="19" t="s">
        <v>0</v>
      </c>
      <c r="C23" s="44">
        <f t="shared" si="0"/>
        <v>89</v>
      </c>
      <c r="D23" s="44">
        <f t="shared" si="0"/>
        <v>108</v>
      </c>
      <c r="E23" s="44">
        <f t="shared" si="0"/>
        <v>197</v>
      </c>
      <c r="F23" s="44">
        <f t="shared" si="0"/>
        <v>33</v>
      </c>
      <c r="G23" s="44">
        <f t="shared" si="0"/>
        <v>164</v>
      </c>
      <c r="H23" s="44"/>
      <c r="I23" s="44"/>
      <c r="J23" s="24">
        <v>82</v>
      </c>
      <c r="K23" s="24">
        <v>104</v>
      </c>
      <c r="L23" s="24">
        <v>186</v>
      </c>
      <c r="M23" s="24">
        <v>31</v>
      </c>
      <c r="N23" s="24">
        <v>155</v>
      </c>
      <c r="O23" s="24"/>
      <c r="P23" s="24">
        <v>7</v>
      </c>
      <c r="Q23" s="24">
        <v>4</v>
      </c>
      <c r="R23" s="24">
        <v>11</v>
      </c>
      <c r="S23" s="24">
        <v>2</v>
      </c>
      <c r="T23" s="24">
        <v>9</v>
      </c>
      <c r="U23" s="24"/>
      <c r="V23" s="24"/>
      <c r="W23" s="24"/>
      <c r="X23" s="24">
        <v>292</v>
      </c>
      <c r="Y23" s="24">
        <v>374</v>
      </c>
      <c r="Z23" s="24">
        <v>666</v>
      </c>
      <c r="AA23" s="24">
        <v>422</v>
      </c>
      <c r="AB23" s="24">
        <v>244</v>
      </c>
      <c r="AC23" s="24"/>
      <c r="AD23" s="24"/>
      <c r="AE23" s="24">
        <v>55</v>
      </c>
      <c r="AF23" s="24">
        <v>291</v>
      </c>
      <c r="AG23" s="24">
        <v>346</v>
      </c>
      <c r="AH23" s="24">
        <v>281</v>
      </c>
      <c r="AI23" s="24">
        <v>65</v>
      </c>
    </row>
    <row r="24" spans="1:35" s="33" customFormat="1">
      <c r="A24" s="35" t="s">
        <v>36</v>
      </c>
      <c r="B24" s="19" t="s">
        <v>0</v>
      </c>
      <c r="C24" s="44">
        <f t="shared" si="0"/>
        <v>34</v>
      </c>
      <c r="D24" s="44">
        <f t="shared" si="0"/>
        <v>48</v>
      </c>
      <c r="E24" s="44">
        <f t="shared" si="0"/>
        <v>82</v>
      </c>
      <c r="F24" s="44">
        <f t="shared" si="0"/>
        <v>48</v>
      </c>
      <c r="G24" s="44">
        <f t="shared" si="0"/>
        <v>34</v>
      </c>
      <c r="H24" s="44"/>
      <c r="I24" s="44"/>
      <c r="J24" s="24">
        <v>29</v>
      </c>
      <c r="K24" s="24">
        <v>47</v>
      </c>
      <c r="L24" s="24">
        <v>76</v>
      </c>
      <c r="M24" s="24">
        <v>45</v>
      </c>
      <c r="N24" s="24">
        <v>31</v>
      </c>
      <c r="O24" s="24"/>
      <c r="P24" s="24">
        <v>5</v>
      </c>
      <c r="Q24" s="24">
        <v>1</v>
      </c>
      <c r="R24" s="24">
        <v>6</v>
      </c>
      <c r="S24" s="24">
        <v>3</v>
      </c>
      <c r="T24" s="24">
        <v>3</v>
      </c>
      <c r="U24" s="24"/>
      <c r="V24" s="24"/>
      <c r="W24" s="24"/>
      <c r="X24" s="24">
        <v>185</v>
      </c>
      <c r="Y24" s="24">
        <v>652</v>
      </c>
      <c r="Z24" s="24">
        <v>837</v>
      </c>
      <c r="AA24" s="24">
        <v>625</v>
      </c>
      <c r="AB24" s="24">
        <v>212</v>
      </c>
      <c r="AC24" s="24"/>
      <c r="AD24" s="24"/>
      <c r="AE24" s="24">
        <v>31</v>
      </c>
      <c r="AF24" s="24">
        <v>238</v>
      </c>
      <c r="AG24" s="24">
        <v>269</v>
      </c>
      <c r="AH24" s="24">
        <v>245</v>
      </c>
      <c r="AI24" s="24">
        <v>24</v>
      </c>
    </row>
    <row r="25" spans="1:35" s="33" customFormat="1">
      <c r="A25" s="35" t="s">
        <v>37</v>
      </c>
      <c r="B25" s="19" t="s">
        <v>0</v>
      </c>
      <c r="C25" s="44">
        <f t="shared" si="0"/>
        <v>28</v>
      </c>
      <c r="D25" s="44">
        <f t="shared" si="0"/>
        <v>57</v>
      </c>
      <c r="E25" s="44">
        <f t="shared" si="0"/>
        <v>85</v>
      </c>
      <c r="F25" s="44">
        <f t="shared" si="0"/>
        <v>33</v>
      </c>
      <c r="G25" s="44">
        <f t="shared" si="0"/>
        <v>52</v>
      </c>
      <c r="H25" s="44"/>
      <c r="I25" s="44"/>
      <c r="J25" s="24">
        <v>27</v>
      </c>
      <c r="K25" s="24">
        <v>50</v>
      </c>
      <c r="L25" s="24">
        <v>77</v>
      </c>
      <c r="M25" s="24">
        <v>29</v>
      </c>
      <c r="N25" s="24">
        <v>48</v>
      </c>
      <c r="O25" s="24"/>
      <c r="P25" s="24">
        <v>1</v>
      </c>
      <c r="Q25" s="24">
        <v>7</v>
      </c>
      <c r="R25" s="24">
        <v>8</v>
      </c>
      <c r="S25" s="24">
        <v>4</v>
      </c>
      <c r="T25" s="24">
        <v>4</v>
      </c>
      <c r="U25" s="24"/>
      <c r="V25" s="24"/>
      <c r="W25" s="24"/>
      <c r="X25" s="24">
        <v>97</v>
      </c>
      <c r="Y25" s="24">
        <v>381</v>
      </c>
      <c r="Z25" s="24">
        <v>478</v>
      </c>
      <c r="AA25" s="24">
        <v>354</v>
      </c>
      <c r="AB25" s="24">
        <v>124</v>
      </c>
      <c r="AC25" s="24"/>
      <c r="AD25" s="24"/>
      <c r="AE25" s="24">
        <v>25</v>
      </c>
      <c r="AF25" s="24">
        <v>309</v>
      </c>
      <c r="AG25" s="24">
        <v>334</v>
      </c>
      <c r="AH25" s="24">
        <v>314</v>
      </c>
      <c r="AI25" s="24">
        <v>20</v>
      </c>
    </row>
    <row r="26" spans="1:35" s="33" customFormat="1">
      <c r="A26" s="35" t="s">
        <v>38</v>
      </c>
      <c r="B26" s="19" t="s">
        <v>0</v>
      </c>
      <c r="C26" s="44">
        <f t="shared" si="0"/>
        <v>106</v>
      </c>
      <c r="D26" s="44">
        <f t="shared" si="0"/>
        <v>149</v>
      </c>
      <c r="E26" s="44">
        <f t="shared" si="0"/>
        <v>255</v>
      </c>
      <c r="F26" s="44">
        <f t="shared" si="0"/>
        <v>110</v>
      </c>
      <c r="G26" s="44">
        <f t="shared" si="0"/>
        <v>145</v>
      </c>
      <c r="H26" s="44"/>
      <c r="I26" s="44"/>
      <c r="J26" s="24">
        <v>94</v>
      </c>
      <c r="K26" s="24">
        <v>128</v>
      </c>
      <c r="L26" s="24">
        <v>222</v>
      </c>
      <c r="M26" s="24">
        <v>95</v>
      </c>
      <c r="N26" s="24">
        <v>127</v>
      </c>
      <c r="O26" s="24"/>
      <c r="P26" s="24">
        <v>12</v>
      </c>
      <c r="Q26" s="24">
        <v>21</v>
      </c>
      <c r="R26" s="24">
        <v>33</v>
      </c>
      <c r="S26" s="24">
        <v>15</v>
      </c>
      <c r="T26" s="24">
        <v>18</v>
      </c>
      <c r="U26" s="24"/>
      <c r="V26" s="24"/>
      <c r="W26" s="24"/>
      <c r="X26" s="24">
        <v>49</v>
      </c>
      <c r="Y26" s="24">
        <v>295</v>
      </c>
      <c r="Z26" s="24">
        <v>344</v>
      </c>
      <c r="AA26" s="24">
        <v>257</v>
      </c>
      <c r="AB26" s="24">
        <v>87</v>
      </c>
      <c r="AC26" s="24"/>
      <c r="AD26" s="24"/>
      <c r="AE26" s="24">
        <v>18</v>
      </c>
      <c r="AF26" s="24">
        <v>242</v>
      </c>
      <c r="AG26" s="24">
        <v>260</v>
      </c>
      <c r="AH26" s="24">
        <v>228</v>
      </c>
      <c r="AI26" s="24">
        <v>32</v>
      </c>
    </row>
    <row r="27" spans="1:35" s="34" customFormat="1">
      <c r="A27" s="35" t="s">
        <v>39</v>
      </c>
      <c r="B27" s="19" t="s">
        <v>0</v>
      </c>
      <c r="C27" s="44">
        <f t="shared" si="0"/>
        <v>7</v>
      </c>
      <c r="D27" s="44">
        <f t="shared" si="0"/>
        <v>244</v>
      </c>
      <c r="E27" s="44">
        <f t="shared" si="0"/>
        <v>251</v>
      </c>
      <c r="F27" s="44">
        <f t="shared" si="0"/>
        <v>61</v>
      </c>
      <c r="G27" s="44">
        <f t="shared" si="0"/>
        <v>190</v>
      </c>
      <c r="H27" s="44"/>
      <c r="I27" s="44"/>
      <c r="J27" s="24">
        <v>6</v>
      </c>
      <c r="K27" s="24">
        <v>221</v>
      </c>
      <c r="L27" s="24">
        <v>227</v>
      </c>
      <c r="M27" s="24">
        <v>55</v>
      </c>
      <c r="N27" s="24">
        <v>172</v>
      </c>
      <c r="O27" s="24"/>
      <c r="P27" s="24">
        <v>1</v>
      </c>
      <c r="Q27" s="24">
        <v>23</v>
      </c>
      <c r="R27" s="24">
        <v>24</v>
      </c>
      <c r="S27" s="24">
        <v>6</v>
      </c>
      <c r="T27" s="24">
        <v>18</v>
      </c>
      <c r="U27" s="24"/>
      <c r="V27" s="24"/>
      <c r="W27" s="24"/>
      <c r="X27" s="24">
        <v>41</v>
      </c>
      <c r="Y27" s="24">
        <v>390</v>
      </c>
      <c r="Z27" s="24">
        <v>431</v>
      </c>
      <c r="AA27" s="24">
        <v>223</v>
      </c>
      <c r="AB27" s="24">
        <v>208</v>
      </c>
      <c r="AC27" s="24"/>
      <c r="AD27" s="24"/>
      <c r="AE27" s="24">
        <v>13</v>
      </c>
      <c r="AF27" s="24">
        <v>428</v>
      </c>
      <c r="AG27" s="24">
        <v>441</v>
      </c>
      <c r="AH27" s="24">
        <v>375</v>
      </c>
      <c r="AI27" s="24">
        <v>66</v>
      </c>
    </row>
    <row r="28" spans="1:35">
      <c r="A28" s="20" t="s">
        <v>14</v>
      </c>
      <c r="B28" s="21" t="s">
        <v>15</v>
      </c>
      <c r="C28" s="44">
        <f t="shared" si="0"/>
        <v>0</v>
      </c>
      <c r="D28" s="44">
        <f t="shared" si="0"/>
        <v>0</v>
      </c>
      <c r="E28" s="44">
        <f t="shared" si="0"/>
        <v>0</v>
      </c>
      <c r="F28" s="44">
        <f t="shared" si="0"/>
        <v>0</v>
      </c>
      <c r="G28" s="44">
        <f t="shared" si="0"/>
        <v>0</v>
      </c>
      <c r="H28" s="44"/>
      <c r="I28" s="44"/>
      <c r="J28" s="22">
        <v>0</v>
      </c>
      <c r="K28" s="23">
        <v>0</v>
      </c>
      <c r="L28" s="23">
        <v>0</v>
      </c>
      <c r="M28" s="23">
        <v>0</v>
      </c>
      <c r="N28" s="24">
        <v>0</v>
      </c>
      <c r="O28" s="24"/>
      <c r="P28" s="23">
        <v>0</v>
      </c>
      <c r="Q28" s="23">
        <v>0</v>
      </c>
      <c r="R28" s="23">
        <v>0</v>
      </c>
      <c r="S28" s="23">
        <v>0</v>
      </c>
      <c r="T28" s="24">
        <v>0</v>
      </c>
      <c r="U28" s="24"/>
      <c r="V28" s="24"/>
      <c r="W28" s="24"/>
      <c r="X28" s="23">
        <v>1736</v>
      </c>
      <c r="Y28" s="23">
        <v>2277</v>
      </c>
      <c r="Z28" s="23">
        <v>4013</v>
      </c>
      <c r="AA28" s="23">
        <v>2412</v>
      </c>
      <c r="AB28" s="24">
        <v>1601</v>
      </c>
      <c r="AC28" s="24"/>
      <c r="AD28" s="24"/>
      <c r="AE28" s="23">
        <v>0</v>
      </c>
      <c r="AF28" s="23">
        <v>0</v>
      </c>
      <c r="AG28" s="23">
        <v>0</v>
      </c>
      <c r="AH28" s="23">
        <v>0</v>
      </c>
      <c r="AI28" s="23">
        <v>0</v>
      </c>
    </row>
    <row r="29" spans="1:35">
      <c r="A29" s="20" t="s">
        <v>14</v>
      </c>
      <c r="B29" s="21" t="s">
        <v>16</v>
      </c>
      <c r="C29" s="44">
        <f t="shared" si="0"/>
        <v>2191</v>
      </c>
      <c r="D29" s="44">
        <f t="shared" si="0"/>
        <v>1158</v>
      </c>
      <c r="E29" s="44">
        <f t="shared" si="0"/>
        <v>3349</v>
      </c>
      <c r="F29" s="44">
        <f t="shared" si="0"/>
        <v>990</v>
      </c>
      <c r="G29" s="44">
        <f t="shared" si="0"/>
        <v>2359</v>
      </c>
      <c r="H29" s="44"/>
      <c r="I29" s="44"/>
      <c r="J29" s="23">
        <v>2191</v>
      </c>
      <c r="K29" s="23">
        <v>1158</v>
      </c>
      <c r="L29" s="23">
        <v>3349</v>
      </c>
      <c r="M29" s="23">
        <v>990</v>
      </c>
      <c r="N29" s="24">
        <v>2359</v>
      </c>
      <c r="O29" s="24"/>
      <c r="P29" s="23">
        <v>0</v>
      </c>
      <c r="Q29" s="23">
        <v>0</v>
      </c>
      <c r="R29" s="23">
        <v>0</v>
      </c>
      <c r="S29" s="23">
        <v>0</v>
      </c>
      <c r="T29" s="24">
        <v>0</v>
      </c>
      <c r="U29" s="24"/>
      <c r="V29" s="24"/>
      <c r="W29" s="24"/>
      <c r="X29" s="23">
        <v>0</v>
      </c>
      <c r="Y29" s="23">
        <v>0</v>
      </c>
      <c r="Z29" s="23">
        <v>0</v>
      </c>
      <c r="AA29" s="23">
        <v>0</v>
      </c>
      <c r="AB29" s="24">
        <v>0</v>
      </c>
      <c r="AC29" s="24"/>
      <c r="AD29" s="24"/>
      <c r="AE29" s="23">
        <v>0</v>
      </c>
      <c r="AF29" s="23">
        <v>0</v>
      </c>
      <c r="AG29" s="23">
        <v>0</v>
      </c>
      <c r="AH29" s="23">
        <v>0</v>
      </c>
      <c r="AI29" s="23">
        <v>0</v>
      </c>
    </row>
    <row r="30" spans="1:35">
      <c r="A30" s="20" t="s">
        <v>14</v>
      </c>
      <c r="B30" s="21" t="s">
        <v>17</v>
      </c>
      <c r="C30" s="44">
        <f t="shared" si="0"/>
        <v>0</v>
      </c>
      <c r="D30" s="44">
        <f t="shared" si="0"/>
        <v>0</v>
      </c>
      <c r="E30" s="44">
        <f t="shared" si="0"/>
        <v>0</v>
      </c>
      <c r="F30" s="44">
        <f t="shared" si="0"/>
        <v>0</v>
      </c>
      <c r="G30" s="44">
        <f t="shared" si="0"/>
        <v>0</v>
      </c>
      <c r="H30" s="44"/>
      <c r="I30" s="44"/>
      <c r="J30" s="23">
        <v>0</v>
      </c>
      <c r="K30" s="23">
        <v>0</v>
      </c>
      <c r="L30" s="23">
        <v>0</v>
      </c>
      <c r="M30" s="23">
        <v>0</v>
      </c>
      <c r="N30" s="24">
        <v>0</v>
      </c>
      <c r="O30" s="24"/>
      <c r="P30" s="23">
        <v>0</v>
      </c>
      <c r="Q30" s="23">
        <v>0</v>
      </c>
      <c r="R30" s="23">
        <v>0</v>
      </c>
      <c r="S30" s="23">
        <v>0</v>
      </c>
      <c r="T30" s="24">
        <v>0</v>
      </c>
      <c r="U30" s="24"/>
      <c r="V30" s="24"/>
      <c r="W30" s="24"/>
      <c r="X30" s="23">
        <v>0</v>
      </c>
      <c r="Y30" s="23">
        <v>0</v>
      </c>
      <c r="Z30" s="23">
        <v>0</v>
      </c>
      <c r="AA30" s="23">
        <v>0</v>
      </c>
      <c r="AB30" s="24">
        <v>0</v>
      </c>
      <c r="AC30" s="24"/>
      <c r="AD30" s="24"/>
      <c r="AE30" s="23">
        <v>451</v>
      </c>
      <c r="AF30" s="23">
        <v>2251</v>
      </c>
      <c r="AG30" s="23">
        <v>2702</v>
      </c>
      <c r="AH30" s="23">
        <v>2194</v>
      </c>
      <c r="AI30" s="23">
        <v>508</v>
      </c>
    </row>
    <row r="31" spans="1:35">
      <c r="A31" s="20" t="s">
        <v>14</v>
      </c>
      <c r="B31" s="21" t="s">
        <v>18</v>
      </c>
      <c r="C31" s="44">
        <f t="shared" si="0"/>
        <v>54</v>
      </c>
      <c r="D31" s="44">
        <f t="shared" si="0"/>
        <v>83</v>
      </c>
      <c r="E31" s="44">
        <f t="shared" si="0"/>
        <v>137</v>
      </c>
      <c r="F31" s="44">
        <f t="shared" si="0"/>
        <v>94</v>
      </c>
      <c r="G31" s="44">
        <f t="shared" si="0"/>
        <v>43</v>
      </c>
      <c r="H31" s="44"/>
      <c r="I31" s="44"/>
      <c r="J31" s="23">
        <v>0</v>
      </c>
      <c r="K31" s="23">
        <v>0</v>
      </c>
      <c r="L31" s="23">
        <v>0</v>
      </c>
      <c r="M31" s="23">
        <v>0</v>
      </c>
      <c r="N31" s="24">
        <v>0</v>
      </c>
      <c r="O31" s="24"/>
      <c r="P31" s="23">
        <v>54</v>
      </c>
      <c r="Q31" s="23">
        <v>83</v>
      </c>
      <c r="R31" s="23">
        <v>137</v>
      </c>
      <c r="S31" s="23">
        <v>94</v>
      </c>
      <c r="T31" s="24">
        <v>43</v>
      </c>
      <c r="U31" s="24"/>
      <c r="V31" s="24"/>
      <c r="W31" s="24"/>
      <c r="X31" s="23">
        <v>0</v>
      </c>
      <c r="Y31" s="23">
        <v>0</v>
      </c>
      <c r="Z31" s="23">
        <v>0</v>
      </c>
      <c r="AA31" s="23">
        <v>0</v>
      </c>
      <c r="AB31" s="24">
        <v>0</v>
      </c>
      <c r="AC31" s="24"/>
      <c r="AD31" s="24"/>
      <c r="AE31" s="23">
        <v>0</v>
      </c>
      <c r="AF31" s="23">
        <v>0</v>
      </c>
      <c r="AG31" s="23">
        <v>0</v>
      </c>
      <c r="AH31" s="23">
        <v>0</v>
      </c>
      <c r="AI31" s="23">
        <v>0</v>
      </c>
    </row>
    <row r="32" spans="1:35">
      <c r="A32" s="27" t="s">
        <v>14</v>
      </c>
      <c r="B32" s="28" t="s">
        <v>19</v>
      </c>
      <c r="C32" s="44">
        <f t="shared" si="0"/>
        <v>2</v>
      </c>
      <c r="D32" s="44">
        <f t="shared" si="0"/>
        <v>5</v>
      </c>
      <c r="E32" s="44">
        <f t="shared" si="0"/>
        <v>7</v>
      </c>
      <c r="F32" s="44">
        <f t="shared" si="0"/>
        <v>0</v>
      </c>
      <c r="G32" s="44">
        <f t="shared" si="0"/>
        <v>7</v>
      </c>
      <c r="H32" s="44"/>
      <c r="I32" s="44"/>
      <c r="J32" s="29">
        <v>2</v>
      </c>
      <c r="K32" s="29">
        <v>5</v>
      </c>
      <c r="L32" s="29">
        <v>7</v>
      </c>
      <c r="M32" s="29">
        <v>0</v>
      </c>
      <c r="N32" s="30">
        <v>7</v>
      </c>
      <c r="O32" s="30"/>
      <c r="P32" s="29">
        <v>0</v>
      </c>
      <c r="Q32" s="29">
        <v>0</v>
      </c>
      <c r="R32" s="29">
        <v>0</v>
      </c>
      <c r="S32" s="29">
        <v>0</v>
      </c>
      <c r="T32" s="30">
        <v>0</v>
      </c>
      <c r="U32" s="30"/>
      <c r="V32" s="30"/>
      <c r="W32" s="30"/>
      <c r="X32" s="29">
        <v>111</v>
      </c>
      <c r="Y32" s="29">
        <v>448</v>
      </c>
      <c r="Z32" s="29">
        <v>558</v>
      </c>
      <c r="AA32" s="29">
        <v>307</v>
      </c>
      <c r="AB32" s="30">
        <v>251</v>
      </c>
      <c r="AC32" s="30"/>
      <c r="AD32" s="30"/>
      <c r="AE32" s="29">
        <v>5</v>
      </c>
      <c r="AF32" s="29">
        <v>116</v>
      </c>
      <c r="AG32" s="29">
        <v>121</v>
      </c>
      <c r="AH32" s="29">
        <v>102</v>
      </c>
      <c r="AI32" s="29">
        <v>19</v>
      </c>
    </row>
    <row r="33" spans="1:35">
      <c r="A33" s="32" t="s">
        <v>1</v>
      </c>
      <c r="AI33" s="17" t="s">
        <v>53</v>
      </c>
    </row>
    <row r="36" spans="1:35">
      <c r="A36" s="1"/>
      <c r="B36" s="38" t="s">
        <v>54</v>
      </c>
    </row>
    <row r="37" spans="1:35">
      <c r="B37" s="39" t="s">
        <v>40</v>
      </c>
      <c r="C37" s="39" t="s">
        <v>55</v>
      </c>
      <c r="D37" s="39" t="s">
        <v>41</v>
      </c>
      <c r="E37" s="39"/>
      <c r="F37" s="39"/>
    </row>
    <row r="38" spans="1:35">
      <c r="A38" s="39" t="s">
        <v>56</v>
      </c>
      <c r="B38" s="40">
        <f>H5</f>
        <v>32.906696345761453</v>
      </c>
      <c r="C38" s="40">
        <f>AC5</f>
        <v>62.419047619047618</v>
      </c>
      <c r="D38" s="40">
        <f>AJ5</f>
        <v>84.499785315586081</v>
      </c>
    </row>
    <row r="39" spans="1:35">
      <c r="A39" s="39" t="s">
        <v>57</v>
      </c>
      <c r="B39" s="40">
        <f>H6</f>
        <v>31.033495562553682</v>
      </c>
      <c r="C39" s="40">
        <f>AC6</f>
        <v>59.483701597024719</v>
      </c>
      <c r="D39" s="40">
        <f>AJ6</f>
        <v>81.331916400991858</v>
      </c>
    </row>
    <row r="40" spans="1:35">
      <c r="A40" s="39" t="s">
        <v>58</v>
      </c>
      <c r="B40" s="40">
        <f>H7</f>
        <v>36.354056902002107</v>
      </c>
      <c r="C40" s="40">
        <f>AC7</f>
        <v>64.682071175577676</v>
      </c>
      <c r="D40" s="40">
        <f>AJ7</f>
        <v>86.647454370797306</v>
      </c>
    </row>
    <row r="42" spans="1:35">
      <c r="B42" s="46" t="s">
        <v>61</v>
      </c>
      <c r="C42" s="46"/>
      <c r="D42" s="46"/>
    </row>
    <row r="43" spans="1:35">
      <c r="B43" s="39" t="s">
        <v>40</v>
      </c>
      <c r="C43" s="39" t="s">
        <v>55</v>
      </c>
      <c r="D43" s="39" t="s">
        <v>41</v>
      </c>
    </row>
    <row r="44" spans="1:35">
      <c r="A44" s="39" t="s">
        <v>56</v>
      </c>
      <c r="B44" s="47">
        <f>G5</f>
        <v>3617</v>
      </c>
      <c r="C44" s="47">
        <f>AB5</f>
        <v>3946</v>
      </c>
      <c r="D44" s="47">
        <f>AI5</f>
        <v>1083</v>
      </c>
    </row>
    <row r="45" spans="1:35">
      <c r="A45" s="39" t="s">
        <v>57</v>
      </c>
      <c r="B45" s="47">
        <f>G6</f>
        <v>2409</v>
      </c>
      <c r="C45" s="47">
        <f>AB6</f>
        <v>1852</v>
      </c>
      <c r="D45" s="47">
        <f>AI6</f>
        <v>527</v>
      </c>
    </row>
    <row r="46" spans="1:35">
      <c r="A46" s="39" t="s">
        <v>58</v>
      </c>
      <c r="B46" s="47">
        <f>G7</f>
        <v>1208</v>
      </c>
      <c r="C46" s="47">
        <f>AB7</f>
        <v>2094</v>
      </c>
      <c r="D46" s="47">
        <f>AI7</f>
        <v>556</v>
      </c>
    </row>
    <row r="49" spans="1:5">
      <c r="B49" s="46" t="s">
        <v>62</v>
      </c>
      <c r="C49" s="46"/>
      <c r="D49" s="46"/>
    </row>
    <row r="50" spans="1:5">
      <c r="B50" s="39" t="s">
        <v>40</v>
      </c>
      <c r="C50" s="39" t="s">
        <v>55</v>
      </c>
      <c r="D50" s="39" t="s">
        <v>41</v>
      </c>
    </row>
    <row r="51" spans="1:5">
      <c r="A51" s="39" t="s">
        <v>56</v>
      </c>
      <c r="B51" s="47">
        <f>F5</f>
        <v>1774</v>
      </c>
      <c r="C51" s="47">
        <f>AA5</f>
        <v>6554</v>
      </c>
      <c r="D51" s="47">
        <f>AH5</f>
        <v>5904</v>
      </c>
    </row>
    <row r="52" spans="1:5">
      <c r="A52" s="39" t="s">
        <v>57</v>
      </c>
      <c r="B52" s="47">
        <f>F6</f>
        <v>1084</v>
      </c>
      <c r="C52" s="47">
        <f>AA6</f>
        <v>2719</v>
      </c>
      <c r="D52" s="47">
        <f>AH6</f>
        <v>2296</v>
      </c>
    </row>
    <row r="53" spans="1:5">
      <c r="A53" s="39" t="s">
        <v>58</v>
      </c>
      <c r="B53" s="47">
        <f>F7</f>
        <v>690</v>
      </c>
      <c r="C53" s="47">
        <f>AA7</f>
        <v>3835</v>
      </c>
      <c r="D53" s="47">
        <f>AH7</f>
        <v>3608</v>
      </c>
    </row>
    <row r="55" spans="1:5">
      <c r="A55" s="38" t="s">
        <v>0</v>
      </c>
      <c r="B55" s="46"/>
      <c r="C55" s="46"/>
      <c r="D55" s="46"/>
    </row>
    <row r="56" spans="1:5">
      <c r="A56" s="38"/>
      <c r="B56" s="46" t="s">
        <v>44</v>
      </c>
      <c r="C56" s="46" t="s">
        <v>14</v>
      </c>
      <c r="D56" s="46" t="s">
        <v>42</v>
      </c>
    </row>
    <row r="57" spans="1:5">
      <c r="A57" s="46" t="s">
        <v>63</v>
      </c>
      <c r="B57" s="47">
        <v>7528</v>
      </c>
      <c r="C57" s="47">
        <v>4550</v>
      </c>
      <c r="D57" s="47">
        <v>2978</v>
      </c>
      <c r="E57" s="16"/>
    </row>
    <row r="58" spans="1:5">
      <c r="A58" s="46" t="s">
        <v>64</v>
      </c>
      <c r="B58" s="47">
        <v>15351</v>
      </c>
      <c r="C58" s="47">
        <v>6338</v>
      </c>
      <c r="D58" s="47">
        <v>9013</v>
      </c>
      <c r="E58" s="16"/>
    </row>
    <row r="59" spans="1:5">
      <c r="A59" s="46" t="s">
        <v>62</v>
      </c>
      <c r="B59" s="47">
        <v>14232</v>
      </c>
      <c r="C59" s="47">
        <v>6099</v>
      </c>
      <c r="D59" s="47">
        <v>8133</v>
      </c>
    </row>
    <row r="60" spans="1:5">
      <c r="A60" s="46" t="s">
        <v>61</v>
      </c>
      <c r="B60" s="47">
        <v>8646</v>
      </c>
      <c r="C60" s="47">
        <v>4788</v>
      </c>
      <c r="D60" s="47">
        <v>3858</v>
      </c>
    </row>
    <row r="61" spans="1:5">
      <c r="B61" s="19"/>
      <c r="C61" s="19"/>
      <c r="D61" s="19"/>
    </row>
    <row r="62" spans="1:5">
      <c r="A62" s="1"/>
      <c r="B62" s="16"/>
      <c r="C62" s="16"/>
      <c r="D62" s="16"/>
      <c r="E62" s="16"/>
    </row>
    <row r="63" spans="1:5">
      <c r="A63" s="1"/>
      <c r="B63" s="16"/>
      <c r="C63" s="16"/>
      <c r="D63" s="16"/>
      <c r="E63" s="16"/>
    </row>
    <row r="64" spans="1:5">
      <c r="A64" s="1"/>
      <c r="B64" s="16"/>
      <c r="C64" s="16"/>
      <c r="D64" s="16"/>
      <c r="E64" s="16"/>
    </row>
    <row r="65" spans="1:11">
      <c r="A65" s="1"/>
      <c r="B65" s="16"/>
      <c r="C65" s="16"/>
      <c r="D65" s="16"/>
      <c r="E65" s="16"/>
    </row>
    <row r="66" spans="1:11">
      <c r="B66" s="38" t="s">
        <v>65</v>
      </c>
    </row>
    <row r="67" spans="1:11">
      <c r="B67" s="46"/>
      <c r="H67" s="46" t="s">
        <v>66</v>
      </c>
    </row>
    <row r="68" spans="1:11">
      <c r="A68" s="1"/>
      <c r="B68" s="46"/>
      <c r="C68" s="46" t="s">
        <v>67</v>
      </c>
      <c r="D68" s="46" t="s">
        <v>68</v>
      </c>
      <c r="E68" s="46" t="s">
        <v>69</v>
      </c>
      <c r="F68" s="46" t="s">
        <v>70</v>
      </c>
      <c r="G68" s="46"/>
      <c r="H68" s="48" t="s">
        <v>71</v>
      </c>
      <c r="I68" s="46" t="s">
        <v>72</v>
      </c>
      <c r="J68" s="46" t="s">
        <v>73</v>
      </c>
      <c r="K68" s="46"/>
    </row>
    <row r="69" spans="1:11">
      <c r="A69" s="1"/>
      <c r="B69" s="46" t="s">
        <v>20</v>
      </c>
      <c r="C69" s="46">
        <v>590</v>
      </c>
      <c r="D69" s="46">
        <v>339</v>
      </c>
      <c r="E69" s="46">
        <v>251</v>
      </c>
      <c r="F69" s="40">
        <f>D69/C69*100</f>
        <v>57.457627118644069</v>
      </c>
      <c r="G69" s="46"/>
      <c r="H69" s="49">
        <v>10</v>
      </c>
      <c r="I69" s="40">
        <f t="shared" ref="I69:I88" si="1">C69/H69</f>
        <v>59</v>
      </c>
      <c r="J69" s="40">
        <f t="shared" ref="J69:J88" si="2">D69/H69</f>
        <v>33.9</v>
      </c>
      <c r="K69" s="46"/>
    </row>
    <row r="70" spans="1:11">
      <c r="A70" s="1"/>
      <c r="B70" s="46" t="s">
        <v>21</v>
      </c>
      <c r="C70" s="46">
        <v>692</v>
      </c>
      <c r="D70" s="46">
        <v>367</v>
      </c>
      <c r="E70" s="46">
        <v>325</v>
      </c>
      <c r="F70" s="40">
        <f t="shared" ref="F70:F88" si="3">D70/C70*100</f>
        <v>53.034682080924853</v>
      </c>
      <c r="G70" s="46"/>
      <c r="H70" s="49">
        <v>8</v>
      </c>
      <c r="I70" s="40">
        <f t="shared" si="1"/>
        <v>86.5</v>
      </c>
      <c r="J70" s="40">
        <f t="shared" si="2"/>
        <v>45.875</v>
      </c>
      <c r="K70" s="46"/>
    </row>
    <row r="71" spans="1:11">
      <c r="A71" s="1"/>
      <c r="B71" s="46" t="s">
        <v>22</v>
      </c>
      <c r="C71" s="46">
        <v>400</v>
      </c>
      <c r="D71" s="46">
        <v>332</v>
      </c>
      <c r="E71" s="46">
        <v>68</v>
      </c>
      <c r="F71" s="40">
        <f t="shared" si="3"/>
        <v>83</v>
      </c>
      <c r="G71" s="46"/>
      <c r="H71" s="49">
        <v>4</v>
      </c>
      <c r="I71" s="40">
        <f t="shared" si="1"/>
        <v>100</v>
      </c>
      <c r="J71" s="40">
        <f t="shared" si="2"/>
        <v>83</v>
      </c>
      <c r="K71" s="46"/>
    </row>
    <row r="72" spans="1:11">
      <c r="A72" s="1"/>
      <c r="B72" s="46" t="s">
        <v>23</v>
      </c>
      <c r="C72" s="46">
        <v>658</v>
      </c>
      <c r="D72" s="46">
        <v>407</v>
      </c>
      <c r="E72" s="46">
        <v>251</v>
      </c>
      <c r="F72" s="40">
        <f t="shared" si="3"/>
        <v>61.854103343465049</v>
      </c>
      <c r="G72" s="46"/>
      <c r="H72" s="49">
        <v>5</v>
      </c>
      <c r="I72" s="40">
        <f t="shared" si="1"/>
        <v>131.6</v>
      </c>
      <c r="J72" s="40">
        <f t="shared" si="2"/>
        <v>81.400000000000006</v>
      </c>
      <c r="K72" s="46"/>
    </row>
    <row r="73" spans="1:11">
      <c r="A73" s="1"/>
      <c r="B73" s="46" t="s">
        <v>24</v>
      </c>
      <c r="C73" s="46">
        <v>679</v>
      </c>
      <c r="D73" s="46">
        <v>485</v>
      </c>
      <c r="E73" s="46">
        <v>194</v>
      </c>
      <c r="F73" s="40">
        <f t="shared" si="3"/>
        <v>71.428571428571431</v>
      </c>
      <c r="G73" s="46"/>
      <c r="H73" s="49">
        <v>7</v>
      </c>
      <c r="I73" s="40">
        <f t="shared" si="1"/>
        <v>97</v>
      </c>
      <c r="J73" s="40">
        <f t="shared" si="2"/>
        <v>69.285714285714292</v>
      </c>
      <c r="K73" s="46"/>
    </row>
    <row r="74" spans="1:11">
      <c r="B74" s="46" t="s">
        <v>25</v>
      </c>
      <c r="C74" s="46">
        <v>423</v>
      </c>
      <c r="D74" s="46">
        <v>253</v>
      </c>
      <c r="E74" s="46">
        <v>170</v>
      </c>
      <c r="F74" s="40">
        <f t="shared" si="3"/>
        <v>59.810874704491724</v>
      </c>
      <c r="G74" s="46"/>
      <c r="H74" s="49">
        <v>5</v>
      </c>
      <c r="I74" s="40">
        <f t="shared" si="1"/>
        <v>84.6</v>
      </c>
      <c r="J74" s="40">
        <f t="shared" si="2"/>
        <v>50.6</v>
      </c>
      <c r="K74" s="46"/>
    </row>
    <row r="75" spans="1:11">
      <c r="B75" s="46" t="s">
        <v>26</v>
      </c>
      <c r="C75" s="46">
        <v>608</v>
      </c>
      <c r="D75" s="46">
        <v>366</v>
      </c>
      <c r="E75" s="46">
        <v>242</v>
      </c>
      <c r="F75" s="40">
        <f t="shared" si="3"/>
        <v>60.19736842105263</v>
      </c>
      <c r="G75" s="46"/>
      <c r="H75" s="49">
        <v>1</v>
      </c>
      <c r="I75" s="40">
        <f t="shared" si="1"/>
        <v>608</v>
      </c>
      <c r="J75" s="40">
        <f t="shared" si="2"/>
        <v>366</v>
      </c>
      <c r="K75" s="46"/>
    </row>
    <row r="76" spans="1:11">
      <c r="B76" s="46" t="s">
        <v>27</v>
      </c>
      <c r="C76" s="46">
        <v>519</v>
      </c>
      <c r="D76" s="46">
        <v>401</v>
      </c>
      <c r="E76" s="46">
        <v>118</v>
      </c>
      <c r="F76" s="40">
        <f t="shared" si="3"/>
        <v>77.263969171483623</v>
      </c>
      <c r="G76" s="46"/>
      <c r="H76" s="49">
        <v>8</v>
      </c>
      <c r="I76" s="40">
        <f t="shared" si="1"/>
        <v>64.875</v>
      </c>
      <c r="J76" s="40">
        <f t="shared" si="2"/>
        <v>50.125</v>
      </c>
      <c r="K76" s="46"/>
    </row>
    <row r="77" spans="1:11">
      <c r="B77" s="46" t="s">
        <v>28</v>
      </c>
      <c r="C77" s="46">
        <v>339</v>
      </c>
      <c r="D77" s="46">
        <v>279</v>
      </c>
      <c r="E77" s="46">
        <v>60</v>
      </c>
      <c r="F77" s="40">
        <f t="shared" si="3"/>
        <v>82.30088495575221</v>
      </c>
      <c r="G77" s="46"/>
      <c r="H77" s="49">
        <v>7</v>
      </c>
      <c r="I77" s="40">
        <f t="shared" si="1"/>
        <v>48.428571428571431</v>
      </c>
      <c r="J77" s="40">
        <f t="shared" si="2"/>
        <v>39.857142857142854</v>
      </c>
      <c r="K77" s="46"/>
    </row>
    <row r="78" spans="1:11">
      <c r="B78" s="46" t="s">
        <v>29</v>
      </c>
      <c r="C78" s="46">
        <v>421</v>
      </c>
      <c r="D78" s="46">
        <v>316</v>
      </c>
      <c r="E78" s="46">
        <v>105</v>
      </c>
      <c r="F78" s="40">
        <f t="shared" si="3"/>
        <v>75.059382422802841</v>
      </c>
      <c r="G78" s="46"/>
      <c r="H78" s="49">
        <v>4</v>
      </c>
      <c r="I78" s="40">
        <f t="shared" si="1"/>
        <v>105.25</v>
      </c>
      <c r="J78" s="40">
        <f t="shared" si="2"/>
        <v>79</v>
      </c>
      <c r="K78" s="46"/>
    </row>
    <row r="79" spans="1:11">
      <c r="B79" s="46" t="s">
        <v>30</v>
      </c>
      <c r="C79" s="46">
        <v>63</v>
      </c>
      <c r="D79" s="46">
        <v>51</v>
      </c>
      <c r="E79" s="46">
        <v>12</v>
      </c>
      <c r="F79" s="40">
        <f t="shared" si="3"/>
        <v>80.952380952380949</v>
      </c>
      <c r="G79" s="46"/>
      <c r="H79" s="49">
        <v>2</v>
      </c>
      <c r="I79" s="40">
        <f t="shared" si="1"/>
        <v>31.5</v>
      </c>
      <c r="J79" s="40">
        <f t="shared" si="2"/>
        <v>25.5</v>
      </c>
      <c r="K79" s="46"/>
    </row>
    <row r="80" spans="1:11">
      <c r="B80" s="46" t="s">
        <v>31</v>
      </c>
      <c r="C80" s="46">
        <v>237</v>
      </c>
      <c r="D80" s="46">
        <v>183</v>
      </c>
      <c r="E80" s="46">
        <v>54</v>
      </c>
      <c r="F80" s="40">
        <f t="shared" si="3"/>
        <v>77.215189873417728</v>
      </c>
      <c r="G80" s="46"/>
      <c r="H80" s="49">
        <v>5</v>
      </c>
      <c r="I80" s="40">
        <f t="shared" si="1"/>
        <v>47.4</v>
      </c>
      <c r="J80" s="40">
        <f t="shared" si="2"/>
        <v>36.6</v>
      </c>
      <c r="K80" s="46"/>
    </row>
    <row r="81" spans="2:11">
      <c r="B81" s="46" t="s">
        <v>32</v>
      </c>
      <c r="C81" s="46">
        <v>237</v>
      </c>
      <c r="D81" s="46">
        <v>167</v>
      </c>
      <c r="E81" s="46">
        <v>70</v>
      </c>
      <c r="F81" s="40">
        <f t="shared" si="3"/>
        <v>70.46413502109705</v>
      </c>
      <c r="G81" s="46"/>
      <c r="H81" s="49">
        <v>3</v>
      </c>
      <c r="I81" s="40">
        <f t="shared" si="1"/>
        <v>79</v>
      </c>
      <c r="J81" s="40">
        <f t="shared" si="2"/>
        <v>55.666666666666664</v>
      </c>
      <c r="K81" s="46"/>
    </row>
    <row r="82" spans="2:11">
      <c r="B82" s="46" t="s">
        <v>33</v>
      </c>
      <c r="C82" s="46">
        <v>254</v>
      </c>
      <c r="D82" s="46">
        <v>204</v>
      </c>
      <c r="E82" s="46">
        <v>50</v>
      </c>
      <c r="F82" s="40">
        <f t="shared" si="3"/>
        <v>80.314960629921259</v>
      </c>
      <c r="G82" s="46"/>
      <c r="H82" s="49">
        <v>4</v>
      </c>
      <c r="I82" s="40">
        <f t="shared" si="1"/>
        <v>63.5</v>
      </c>
      <c r="J82" s="40">
        <f t="shared" si="2"/>
        <v>51</v>
      </c>
      <c r="K82" s="46"/>
    </row>
    <row r="83" spans="2:11">
      <c r="B83" s="46" t="s">
        <v>34</v>
      </c>
      <c r="C83" s="46">
        <v>595</v>
      </c>
      <c r="D83" s="46">
        <v>374</v>
      </c>
      <c r="E83" s="46">
        <v>221</v>
      </c>
      <c r="F83" s="40">
        <f t="shared" si="3"/>
        <v>62.857142857142854</v>
      </c>
      <c r="G83" s="46"/>
      <c r="H83" s="49">
        <v>10</v>
      </c>
      <c r="I83" s="40">
        <f t="shared" si="1"/>
        <v>59.5</v>
      </c>
      <c r="J83" s="40">
        <f t="shared" si="2"/>
        <v>37.4</v>
      </c>
      <c r="K83" s="46"/>
    </row>
    <row r="84" spans="2:11">
      <c r="B84" s="46" t="s">
        <v>35</v>
      </c>
      <c r="C84" s="46">
        <v>1209</v>
      </c>
      <c r="D84" s="46">
        <v>736</v>
      </c>
      <c r="E84" s="46">
        <v>473</v>
      </c>
      <c r="F84" s="40">
        <f t="shared" si="3"/>
        <v>60.876757650951198</v>
      </c>
      <c r="G84" s="46"/>
      <c r="H84" s="49">
        <v>9</v>
      </c>
      <c r="I84" s="40">
        <f t="shared" si="1"/>
        <v>134.33333333333334</v>
      </c>
      <c r="J84" s="40">
        <f t="shared" si="2"/>
        <v>81.777777777777771</v>
      </c>
      <c r="K84" s="46"/>
    </row>
    <row r="85" spans="2:11">
      <c r="B85" s="46" t="s">
        <v>36</v>
      </c>
      <c r="C85" s="46">
        <v>1188</v>
      </c>
      <c r="D85" s="46">
        <v>918</v>
      </c>
      <c r="E85" s="46">
        <v>270</v>
      </c>
      <c r="F85" s="40">
        <f t="shared" si="3"/>
        <v>77.272727272727266</v>
      </c>
      <c r="G85" s="46"/>
      <c r="H85" s="49">
        <v>10</v>
      </c>
      <c r="I85" s="40">
        <f t="shared" si="1"/>
        <v>118.8</v>
      </c>
      <c r="J85" s="40">
        <f t="shared" si="2"/>
        <v>91.8</v>
      </c>
      <c r="K85" s="46"/>
    </row>
    <row r="86" spans="2:11">
      <c r="B86" s="46" t="s">
        <v>37</v>
      </c>
      <c r="C86" s="46">
        <v>897</v>
      </c>
      <c r="D86" s="46">
        <v>701</v>
      </c>
      <c r="E86" s="46">
        <v>196</v>
      </c>
      <c r="F86" s="40">
        <f t="shared" si="3"/>
        <v>78.149386845039018</v>
      </c>
      <c r="G86" s="46"/>
      <c r="H86" s="49">
        <v>8</v>
      </c>
      <c r="I86" s="40">
        <f t="shared" si="1"/>
        <v>112.125</v>
      </c>
      <c r="J86" s="40">
        <f t="shared" si="2"/>
        <v>87.625</v>
      </c>
      <c r="K86" s="46"/>
    </row>
    <row r="87" spans="2:11">
      <c r="B87" s="46" t="s">
        <v>38</v>
      </c>
      <c r="C87" s="46">
        <v>859</v>
      </c>
      <c r="D87" s="46">
        <v>595</v>
      </c>
      <c r="E87" s="46">
        <v>264</v>
      </c>
      <c r="F87" s="40">
        <f t="shared" si="3"/>
        <v>69.266589057043078</v>
      </c>
      <c r="G87" s="46"/>
      <c r="H87" s="49">
        <v>2</v>
      </c>
      <c r="I87" s="40">
        <f t="shared" si="1"/>
        <v>429.5</v>
      </c>
      <c r="J87" s="40">
        <f t="shared" si="2"/>
        <v>297.5</v>
      </c>
      <c r="K87" s="46"/>
    </row>
    <row r="88" spans="2:11">
      <c r="B88" s="46" t="s">
        <v>39</v>
      </c>
      <c r="C88" s="46">
        <v>1123</v>
      </c>
      <c r="D88" s="46">
        <v>659</v>
      </c>
      <c r="E88" s="46">
        <v>464</v>
      </c>
      <c r="F88" s="40">
        <f t="shared" si="3"/>
        <v>58.682101513802323</v>
      </c>
      <c r="G88" s="46"/>
      <c r="H88" s="49">
        <v>8</v>
      </c>
      <c r="I88" s="40">
        <f t="shared" si="1"/>
        <v>140.375</v>
      </c>
      <c r="J88" s="40">
        <f t="shared" si="2"/>
        <v>82.375</v>
      </c>
      <c r="K88" s="46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8.17</vt:lpstr>
      <vt:lpstr>8.20 workings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2016-02-17T08:32:26Z</cp:lastPrinted>
  <dcterms:created xsi:type="dcterms:W3CDTF">2013-04-04T04:05:16Z</dcterms:created>
  <dcterms:modified xsi:type="dcterms:W3CDTF">2016-02-17T08:32:28Z</dcterms:modified>
</cp:coreProperties>
</file>