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drawings/drawing3.xml" ContentType="application/vnd.openxmlformats-officedocument.drawingml.chartshapes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 firstSheet="1" activeTab="1"/>
  </bookViews>
  <sheets>
    <sheet name="8.20 workings" sheetId="36" state="hidden" r:id="rId1"/>
    <sheet name="8.25" sheetId="60" r:id="rId2"/>
  </sheets>
  <definedNames>
    <definedName name="_xlnm.Print_Area" localSheetId="1">'8.25'!$A$1:$J$46</definedName>
  </definedNames>
  <calcPr calcId="144525"/>
</workbook>
</file>

<file path=xl/calcChain.xml><?xml version="1.0" encoding="utf-8"?>
<calcChain xmlns="http://schemas.openxmlformats.org/spreadsheetml/2006/main">
  <c r="F12" i="60" l="1"/>
  <c r="T25" i="60" l="1"/>
  <c r="T24" i="60"/>
  <c r="T23" i="60"/>
  <c r="T20" i="60"/>
  <c r="T19" i="60"/>
  <c r="S24" i="60"/>
  <c r="R24" i="60"/>
  <c r="Q24" i="60"/>
  <c r="S20" i="60"/>
  <c r="R20" i="60"/>
  <c r="Q20" i="60"/>
  <c r="S19" i="60"/>
  <c r="R19" i="60"/>
  <c r="Q19" i="60"/>
  <c r="F15" i="60"/>
  <c r="F14" i="60"/>
  <c r="F13" i="60"/>
  <c r="F11" i="60"/>
  <c r="F10" i="60"/>
  <c r="F9" i="60"/>
  <c r="F8" i="60"/>
  <c r="F7" i="60"/>
  <c r="F6" i="60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<sst xmlns="http://schemas.openxmlformats.org/spreadsheetml/2006/main" count="202" uniqueCount="96">
  <si>
    <t>Total</t>
  </si>
  <si>
    <t>Source: Department of Judicial Administration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</si>
  <si>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</si>
  <si>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</si>
  <si>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</si>
  <si>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</si>
  <si>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</si>
  <si>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</si>
  <si>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</si>
  <si>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</si>
  <si>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</si>
  <si>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</si>
  <si>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</si>
  <si>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</si>
  <si>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</si>
  <si>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</si>
  <si>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</si>
  <si>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</si>
  <si>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</si>
  <si>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</si>
  <si>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</si>
  <si>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</si>
  <si>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</si>
  <si>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</si>
  <si>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</si>
  <si>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</si>
  <si>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</si>
  <si>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</si>
  <si>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</si>
  <si>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</si>
  <si>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</si>
  <si>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</si>
  <si>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</si>
  <si>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</si>
  <si>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</si>
  <si>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</si>
  <si>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</si>
  <si>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</si>
  <si>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</si>
  <si>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</si>
  <si>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</si>
  <si>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Details</t>
  </si>
  <si>
    <t>ތަފްސީލް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</si>
  <si>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</si>
  <si>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</si>
  <si>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</si>
  <si>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</si>
  <si>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</si>
  <si>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</si>
  <si>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</si>
  <si>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</si>
  <si>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</si>
  <si>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</si>
  <si>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</si>
  <si>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</si>
  <si>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</si>
  <si>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</si>
  <si>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</si>
  <si>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</si>
  <si>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</si>
  <si>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</si>
  <si>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</si>
  <si>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</si>
  <si>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</si>
  <si>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</si>
  <si>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-</t>
  </si>
  <si>
    <t>Source: Prosecutor General's office</t>
  </si>
  <si>
    <t>މަޢުލޫމާތު ދެއްވި ފަރާތް: ޕްރޮސިކިއުޓަރ ޖެނެރަލްގެ އޮފީސް</t>
  </si>
  <si>
    <t xml:space="preserve">ތާވަލު: 8.25: ޕްރޮސިކިއުޓަރ ޖެނެރަލްގެ އޮފީހަށް ހުށަހެޅުނު އަދި ނިންމުނު މައްސަލަތައް، 2011 - 2014  </t>
  </si>
  <si>
    <t>TABLE 8.25: NUMBER OF CASES  SUBMITTED  AND COMPLETED, 2011 - 2014</t>
  </si>
  <si>
    <r>
      <rPr>
        <b/>
        <sz val="10"/>
        <color theme="1"/>
        <rFont val="Faruma"/>
      </rPr>
      <t>ބެހިފައިވާ ގޮތް (އިން ސައްތަ)</t>
    </r>
    <r>
      <rPr>
        <b/>
        <sz val="10"/>
        <color theme="1"/>
        <rFont val="Calibri"/>
        <family val="2"/>
        <scheme val="minor"/>
      </rPr>
      <t xml:space="preserve">   share % </t>
    </r>
  </si>
  <si>
    <t xml:space="preserve">Total Number of cases </t>
  </si>
  <si>
    <t xml:space="preserve">ދަޢްވާ ހުށަހަޅަން އޮފީސްތަކުން ފޮނުއްވި ޖުމްލަ
</t>
  </si>
  <si>
    <t>Number of cases completed by PG office</t>
  </si>
  <si>
    <t xml:space="preserve">ޕްރޮސިކިއުޓަރ ޖެނެރަލްގެ އޮފީހުން ނިންމުނު މައްސަލައިގެ ޖުމްލަ
</t>
  </si>
  <si>
    <t>Submitted to courts</t>
  </si>
  <si>
    <t>ކޯޓަށް ހުށަހެޅުނު</t>
  </si>
  <si>
    <t xml:space="preserve">send back to resend again </t>
  </si>
  <si>
    <t xml:space="preserve">       އަލުން ހުށަޙެޅުމަށްޓަކައި އަނބުރާ ފޮނުވާލެވުނު</t>
  </si>
  <si>
    <t>send back due to no evidence</t>
  </si>
  <si>
    <t xml:space="preserve">       ހެއްކާ ޤަރީނާ ލިބިފައިނުވާތީ އަނބުރާ ފޮނުވާލެވުނު</t>
  </si>
  <si>
    <t>send back due to other reasons</t>
  </si>
  <si>
    <t xml:space="preserve">       އެހެނިހެން ގޮތްގޮތުން އަނބުރާ ފޮނުވާލެވުނު</t>
  </si>
  <si>
    <t xml:space="preserve">       މިއޮފީހުގައި ހިފެހެއްޓިފައިހުރި މައްސަލަ</t>
  </si>
  <si>
    <t xml:space="preserve">       އިތުރު ފުރުސަތު</t>
  </si>
  <si>
    <t xml:space="preserve">       މާލޭ އެޑްރެސްނެތިގެން</t>
  </si>
  <si>
    <t>Number of cases not sent to court</t>
  </si>
  <si>
    <t>ކޯޓަށް ހުށަނޭޅި ހުރި މައްސަލަ</t>
  </si>
  <si>
    <t>Completion rate</t>
  </si>
  <si>
    <t>Submission rate to courts</t>
  </si>
  <si>
    <t xml:space="preserve">Completed </t>
  </si>
  <si>
    <t>Submitted to court</t>
  </si>
  <si>
    <t xml:space="preserve">Not sent to court </t>
  </si>
  <si>
    <t>No address in Male'</t>
  </si>
  <si>
    <t>Cases hold by PG Office</t>
  </si>
  <si>
    <t>given another 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</si>
</sst>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  <numFmt numFmtId="171" formatCode="#,##0_);\-#,##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Faruma"/>
    </font>
    <font>
      <b/>
      <sz val="11"/>
      <color indexed="8"/>
      <name val="Calibri"/>
      <family val="2"/>
      <scheme val="minor"/>
    </font>
    <font>
      <b/>
      <sz val="10"/>
      <color theme="1"/>
      <name val="Faruma"/>
    </font>
    <font>
      <b/>
      <sz val="12"/>
      <color indexed="8"/>
      <name val="Faruma"/>
    </font>
    <font>
      <sz val="11"/>
      <color indexed="8"/>
      <name val="Faruma"/>
    </font>
    <font>
      <sz val="10"/>
      <name val="Faruma"/>
    </font>
    <font>
      <sz val="9"/>
      <name val="Faruma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7" fillId="0" borderId="10" applyNumberFormat="0" applyFill="0" applyAlignment="0" applyProtection="0"/>
    <xf numFmtId="0" fontId="9" fillId="0" borderId="0"/>
    <xf numFmtId="166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14" applyNumberFormat="0" applyAlignment="0" applyProtection="0"/>
    <xf numFmtId="0" fontId="28" fillId="8" borderId="15" applyNumberFormat="0" applyAlignment="0" applyProtection="0"/>
    <xf numFmtId="0" fontId="29" fillId="8" borderId="14" applyNumberFormat="0" applyAlignment="0" applyProtection="0"/>
    <xf numFmtId="0" fontId="30" fillId="0" borderId="16" applyNumberFormat="0" applyFill="0" applyAlignment="0" applyProtection="0"/>
    <xf numFmtId="0" fontId="31" fillId="9" borderId="17" applyNumberFormat="0" applyAlignment="0" applyProtection="0"/>
    <xf numFmtId="0" fontId="19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32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3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3" fillId="34" borderId="0" applyNumberFormat="0" applyBorder="0" applyAlignment="0" applyProtection="0"/>
    <xf numFmtId="0" fontId="1" fillId="0" borderId="0"/>
    <xf numFmtId="0" fontId="9" fillId="0" borderId="0"/>
  </cellStyleXfs>
  <cellXfs count="8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1" xfId="0" applyNumberFormat="1" applyFont="1" applyFill="1" applyBorder="1" applyAlignment="1">
      <alignment horizontal="center" vertical="center"/>
    </xf>
    <xf numFmtId="0" fontId="4" fillId="2" borderId="11" xfId="0" applyNumberFormat="1" applyFont="1" applyFill="1" applyBorder="1" applyAlignment="1">
      <alignment horizontal="left" vertical="center" wrapText="1"/>
    </xf>
    <xf numFmtId="3" fontId="4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/>
    <xf numFmtId="168" fontId="0" fillId="2" borderId="0" xfId="0" applyNumberFormat="1" applyFill="1"/>
    <xf numFmtId="0" fontId="0" fillId="2" borderId="0" xfId="0" applyFill="1" applyBorder="1"/>
    <xf numFmtId="0" fontId="2" fillId="2" borderId="7" xfId="0" applyFont="1" applyFill="1" applyBorder="1" applyAlignment="1">
      <alignment horizontal="right" vertical="center" indent="4"/>
    </xf>
    <xf numFmtId="0" fontId="2" fillId="2" borderId="0" xfId="0" applyFont="1" applyFill="1" applyBorder="1"/>
    <xf numFmtId="170" fontId="15" fillId="2" borderId="0" xfId="1" applyNumberFormat="1" applyFont="1" applyFill="1" applyBorder="1" applyAlignment="1">
      <alignment horizontal="right" vertical="center" wrapText="1"/>
    </xf>
    <xf numFmtId="170" fontId="15" fillId="2" borderId="8" xfId="1" applyNumberFormat="1" applyFont="1" applyFill="1" applyBorder="1" applyAlignment="1">
      <alignment horizontal="right" vertical="center" wrapText="1" indent="4"/>
    </xf>
    <xf numFmtId="171" fontId="34" fillId="2" borderId="0" xfId="0" applyNumberFormat="1" applyFont="1" applyFill="1" applyBorder="1" applyAlignment="1">
      <alignment horizontal="right" vertical="top" wrapText="1"/>
    </xf>
    <xf numFmtId="0" fontId="2" fillId="2" borderId="0" xfId="0" applyFont="1" applyFill="1"/>
    <xf numFmtId="0" fontId="13" fillId="2" borderId="0" xfId="0" applyFont="1" applyFill="1" applyBorder="1" applyAlignment="1">
      <alignment horizontal="left" indent="2"/>
    </xf>
    <xf numFmtId="170" fontId="12" fillId="2" borderId="0" xfId="1" applyNumberFormat="1" applyFont="1" applyFill="1" applyBorder="1" applyAlignment="1">
      <alignment horizontal="right" vertical="center" wrapText="1"/>
    </xf>
    <xf numFmtId="170" fontId="12" fillId="2" borderId="8" xfId="1" applyNumberFormat="1" applyFont="1" applyFill="1" applyBorder="1" applyAlignment="1">
      <alignment horizontal="right" vertical="center" wrapText="1" indent="4"/>
    </xf>
    <xf numFmtId="170" fontId="12" fillId="2" borderId="0" xfId="1" applyNumberFormat="1" applyFont="1" applyFill="1" applyBorder="1" applyAlignment="1">
      <alignment horizontal="right" vertical="center" wrapText="1" indent="4"/>
    </xf>
    <xf numFmtId="171" fontId="38" fillId="2" borderId="0" xfId="0" applyNumberFormat="1" applyFont="1" applyFill="1" applyBorder="1" applyAlignment="1">
      <alignment horizontal="right" vertical="top" wrapText="1"/>
    </xf>
    <xf numFmtId="0" fontId="0" fillId="2" borderId="0" xfId="0" applyFill="1" applyBorder="1" applyAlignment="1">
      <alignment horizontal="right" vertical="center"/>
    </xf>
    <xf numFmtId="0" fontId="2" fillId="2" borderId="4" xfId="0" applyFont="1" applyFill="1" applyBorder="1"/>
    <xf numFmtId="170" fontId="15" fillId="2" borderId="4" xfId="1" applyNumberFormat="1" applyFont="1" applyFill="1" applyBorder="1" applyAlignment="1">
      <alignment horizontal="right" vertical="center" wrapText="1"/>
    </xf>
    <xf numFmtId="171" fontId="34" fillId="2" borderId="4" xfId="0" applyNumberFormat="1" applyFont="1" applyFill="1" applyBorder="1" applyAlignment="1">
      <alignment horizontal="right" vertical="top" wrapText="1"/>
    </xf>
    <xf numFmtId="0" fontId="11" fillId="2" borderId="0" xfId="0" applyFont="1" applyFill="1" applyAlignment="1">
      <alignment vertical="top"/>
    </xf>
    <xf numFmtId="170" fontId="0" fillId="2" borderId="0" xfId="0" applyNumberFormat="1" applyFill="1"/>
    <xf numFmtId="0" fontId="39" fillId="2" borderId="0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center"/>
    </xf>
    <xf numFmtId="166" fontId="16" fillId="2" borderId="0" xfId="5" applyNumberFormat="1" applyFont="1" applyFill="1" applyBorder="1" applyAlignment="1">
      <alignment horizontal="right" vertical="center"/>
    </xf>
    <xf numFmtId="0" fontId="8" fillId="2" borderId="9" xfId="0" applyFont="1" applyFill="1" applyBorder="1" applyAlignment="1">
      <alignment horizontal="center" vertical="center" wrapText="1"/>
    </xf>
    <xf numFmtId="170" fontId="12" fillId="2" borderId="7" xfId="1" applyNumberFormat="1" applyFont="1" applyFill="1" applyBorder="1" applyAlignment="1">
      <alignment horizontal="right" vertical="center" wrapText="1" indent="4"/>
    </xf>
    <xf numFmtId="0" fontId="5" fillId="2" borderId="0" xfId="0" applyFont="1" applyFill="1" applyAlignment="1">
      <alignment vertical="top"/>
    </xf>
    <xf numFmtId="0" fontId="40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center"/>
    </xf>
    <xf numFmtId="171" fontId="34" fillId="2" borderId="0" xfId="0" applyNumberFormat="1" applyFont="1" applyFill="1" applyBorder="1" applyAlignment="1">
      <alignment horizontal="right" vertical="center" wrapText="1"/>
    </xf>
    <xf numFmtId="171" fontId="34" fillId="2" borderId="0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center"/>
    </xf>
    <xf numFmtId="164" fontId="15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71" fontId="34" fillId="2" borderId="0" xfId="0" applyNumberFormat="1" applyFont="1" applyFill="1" applyBorder="1" applyAlignment="1">
      <alignment horizontal="center" vertical="top"/>
    </xf>
    <xf numFmtId="171" fontId="35" fillId="2" borderId="0" xfId="0" applyNumberFormat="1" applyFont="1" applyFill="1" applyBorder="1" applyAlignment="1">
      <alignment horizontal="center" vertical="top"/>
    </xf>
    <xf numFmtId="0" fontId="10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171" fontId="37" fillId="2" borderId="3" xfId="0" applyNumberFormat="1" applyFont="1" applyFill="1" applyBorder="1" applyAlignment="1">
      <alignment horizontal="right" vertical="center"/>
    </xf>
    <xf numFmtId="171" fontId="37" fillId="2" borderId="4" xfId="0" applyNumberFormat="1" applyFont="1" applyFill="1" applyBorder="1" applyAlignment="1">
      <alignment horizontal="right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519552"/>
        <c:axId val="146521088"/>
      </c:barChart>
      <c:catAx>
        <c:axId val="146519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521088"/>
        <c:crosses val="autoZero"/>
        <c:auto val="1"/>
        <c:lblAlgn val="ctr"/>
        <c:lblOffset val="100"/>
        <c:noMultiLvlLbl val="0"/>
      </c:catAx>
      <c:valAx>
        <c:axId val="1465210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46519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61536"/>
        <c:axId val="146963072"/>
      </c:barChart>
      <c:catAx>
        <c:axId val="14696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963072"/>
        <c:crosses val="autoZero"/>
        <c:auto val="1"/>
        <c:lblAlgn val="ctr"/>
        <c:lblOffset val="100"/>
        <c:noMultiLvlLbl val="0"/>
      </c:catAx>
      <c:valAx>
        <c:axId val="1469630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961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543360"/>
        <c:axId val="146544896"/>
      </c:barChart>
      <c:catAx>
        <c:axId val="14654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544896"/>
        <c:crosses val="autoZero"/>
        <c:auto val="1"/>
        <c:lblAlgn val="ctr"/>
        <c:lblOffset val="100"/>
        <c:noMultiLvlLbl val="0"/>
      </c:catAx>
      <c:valAx>
        <c:axId val="1465448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543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583936"/>
        <c:axId val="146585472"/>
      </c:barChart>
      <c:catAx>
        <c:axId val="14658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585472"/>
        <c:crosses val="autoZero"/>
        <c:auto val="1"/>
        <c:lblAlgn val="ctr"/>
        <c:lblOffset val="100"/>
        <c:noMultiLvlLbl val="0"/>
      </c:catAx>
      <c:valAx>
        <c:axId val="146585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583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51872"/>
        <c:axId val="146753408"/>
      </c:barChart>
      <c:catAx>
        <c:axId val="14675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6753408"/>
        <c:crosses val="autoZero"/>
        <c:auto val="1"/>
        <c:lblAlgn val="ctr"/>
        <c:lblOffset val="100"/>
        <c:noMultiLvlLbl val="0"/>
      </c:catAx>
      <c:valAx>
        <c:axId val="146753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4675187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86944"/>
        <c:axId val="146792832"/>
      </c:barChart>
      <c:catAx>
        <c:axId val="14678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6792832"/>
        <c:crosses val="autoZero"/>
        <c:auto val="1"/>
        <c:lblAlgn val="ctr"/>
        <c:lblOffset val="100"/>
        <c:noMultiLvlLbl val="0"/>
      </c:catAx>
      <c:valAx>
        <c:axId val="1467928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6786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830848"/>
        <c:axId val="146832384"/>
      </c:barChart>
      <c:catAx>
        <c:axId val="14683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6832384"/>
        <c:crosses val="autoZero"/>
        <c:auto val="1"/>
        <c:lblAlgn val="ctr"/>
        <c:lblOffset val="100"/>
        <c:noMultiLvlLbl val="0"/>
      </c:catAx>
      <c:valAx>
        <c:axId val="14683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68308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185017242109681E-2"/>
          <c:y val="0.18310610379697351"/>
          <c:w val="0.89950975764410335"/>
          <c:h val="0.691107785862518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'8.25'!$P$19</c:f>
              <c:strCache>
                <c:ptCount val="1"/>
                <c:pt idx="0">
                  <c:v>Completion rate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cat>
            <c:numRef>
              <c:f>'8.25'!$Q$18:$T$18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'8.25'!$Q$19:$T$19</c:f>
              <c:numCache>
                <c:formatCode>0.0</c:formatCode>
                <c:ptCount val="4"/>
                <c:pt idx="0">
                  <c:v>86.812804453723032</c:v>
                </c:pt>
                <c:pt idx="1">
                  <c:v>61.540749553837003</c:v>
                </c:pt>
                <c:pt idx="2">
                  <c:v>70.99408617290905</c:v>
                </c:pt>
                <c:pt idx="3">
                  <c:v>70.70082449941107</c:v>
                </c:pt>
              </c:numCache>
            </c:numRef>
          </c:val>
        </c:ser>
        <c:ser>
          <c:idx val="1"/>
          <c:order val="1"/>
          <c:tx>
            <c:strRef>
              <c:f>'8.25'!$P$20</c:f>
              <c:strCache>
                <c:ptCount val="1"/>
                <c:pt idx="0">
                  <c:v>Submission rate to courts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numRef>
              <c:f>'8.25'!$Q$18:$T$18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'8.25'!$Q$20:$T$20</c:f>
              <c:numCache>
                <c:formatCode>0.0</c:formatCode>
                <c:ptCount val="4"/>
                <c:pt idx="0">
                  <c:v>64.370215727209469</c:v>
                </c:pt>
                <c:pt idx="1">
                  <c:v>42.504461629982153</c:v>
                </c:pt>
                <c:pt idx="2">
                  <c:v>51.281329203041395</c:v>
                </c:pt>
                <c:pt idx="3">
                  <c:v>44.081272084805654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20224"/>
        <c:axId val="147621760"/>
      </c:barChart>
      <c:catAx>
        <c:axId val="14762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7621760"/>
        <c:crosses val="autoZero"/>
        <c:auto val="1"/>
        <c:lblAlgn val="ctr"/>
        <c:lblOffset val="100"/>
        <c:noMultiLvlLbl val="0"/>
      </c:catAx>
      <c:valAx>
        <c:axId val="147621760"/>
        <c:scaling>
          <c:orientation val="minMax"/>
        </c:scaling>
        <c:delete val="0"/>
        <c:axPos val="l"/>
        <c:majorGridlines>
          <c:spPr>
            <a:ln w="3175">
              <a:noFill/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1.1679884750303481E-2"/>
              <c:y val="0.3422495740700484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762022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988373967959698"/>
          <c:y val="0.24484035266688328"/>
          <c:w val="0.40503682480220171"/>
          <c:h val="6.9417523666457384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sq">
      <a:bevel/>
    </a:ln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05237947898864E-2"/>
          <c:y val="0.20435061400504825"/>
          <c:w val="0.89095767483283916"/>
          <c:h val="0.66754940100694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'8.25'!$P$23</c:f>
              <c:strCache>
                <c:ptCount val="1"/>
                <c:pt idx="0">
                  <c:v>Completed 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</c:spPr>
          </c:dPt>
          <c:cat>
            <c:numRef>
              <c:f>'8.25'!$Q$22:$T$22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'8.25'!$Q$23:$T$23</c:f>
              <c:numCache>
                <c:formatCode>_(* #,##0_);_(* \(#,##0\);_(* "-"??_);_(@_)</c:formatCode>
                <c:ptCount val="4"/>
                <c:pt idx="0">
                  <c:v>2495</c:v>
                </c:pt>
                <c:pt idx="1">
                  <c:v>2069</c:v>
                </c:pt>
                <c:pt idx="2">
                  <c:v>2521</c:v>
                </c:pt>
                <c:pt idx="3">
                  <c:v>2401</c:v>
                </c:pt>
              </c:numCache>
            </c:numRef>
          </c:val>
        </c:ser>
        <c:ser>
          <c:idx val="1"/>
          <c:order val="1"/>
          <c:tx>
            <c:strRef>
              <c:f>'8.25'!$P$24</c:f>
              <c:strCache>
                <c:ptCount val="1"/>
                <c:pt idx="0">
                  <c:v>Submitted to court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'8.25'!$Q$22:$T$22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'8.25'!$Q$24:$T$24</c:f>
              <c:numCache>
                <c:formatCode>_(* #,##0_);_(* \(#,##0\);_(* "-"??_);_(@_)</c:formatCode>
                <c:ptCount val="4"/>
                <c:pt idx="0">
                  <c:v>1850</c:v>
                </c:pt>
                <c:pt idx="1">
                  <c:v>1429</c:v>
                </c:pt>
                <c:pt idx="2">
                  <c:v>1821</c:v>
                </c:pt>
                <c:pt idx="3">
                  <c:v>1497</c:v>
                </c:pt>
              </c:numCache>
            </c:numRef>
          </c:val>
        </c:ser>
        <c:ser>
          <c:idx val="2"/>
          <c:order val="2"/>
          <c:tx>
            <c:strRef>
              <c:f>'8.25'!$P$25</c:f>
              <c:strCache>
                <c:ptCount val="1"/>
                <c:pt idx="0">
                  <c:v>Not sent to court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'8.25'!$Q$22:$T$22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'8.25'!$Q$25:$T$25</c:f>
              <c:numCache>
                <c:formatCode>_(* #,##0_);_(* \(#,##0\);_(* "-"??_);_(@_)</c:formatCode>
                <c:ptCount val="4"/>
                <c:pt idx="0">
                  <c:v>379</c:v>
                </c:pt>
                <c:pt idx="1">
                  <c:v>1293</c:v>
                </c:pt>
                <c:pt idx="2">
                  <c:v>1030</c:v>
                </c:pt>
                <c:pt idx="3">
                  <c:v>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480960"/>
        <c:axId val="147482496"/>
      </c:barChart>
      <c:catAx>
        <c:axId val="14748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7482496"/>
        <c:crosses val="autoZero"/>
        <c:auto val="1"/>
        <c:lblAlgn val="ctr"/>
        <c:lblOffset val="100"/>
        <c:noMultiLvlLbl val="0"/>
      </c:catAx>
      <c:valAx>
        <c:axId val="147482496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097507419415709E-2"/>
              <c:y val="0.11934286908392276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147480960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9988062280733174"/>
          <c:y val="0.21830992894447365"/>
          <c:w val="0.52584508339388569"/>
          <c:h val="7.826610454106972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6350" cap="sq">
      <a:bevel/>
    </a:ln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971551</xdr:colOff>
      <xdr:row>32</xdr:row>
      <xdr:rowOff>58934</xdr:rowOff>
    </xdr:from>
    <xdr:to>
      <xdr:col>6</xdr:col>
      <xdr:colOff>2209800</xdr:colOff>
      <xdr:row>45</xdr:row>
      <xdr:rowOff>228600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962024</xdr:colOff>
      <xdr:row>16</xdr:row>
      <xdr:rowOff>149244</xdr:rowOff>
    </xdr:from>
    <xdr:to>
      <xdr:col>6</xdr:col>
      <xdr:colOff>2181224</xdr:colOff>
      <xdr:row>29</xdr:row>
      <xdr:rowOff>200024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1880234</xdr:colOff>
      <xdr:row>18</xdr:row>
      <xdr:rowOff>123825</xdr:rowOff>
    </xdr:from>
    <xdr:to>
      <xdr:col>6</xdr:col>
      <xdr:colOff>1857374</xdr:colOff>
      <xdr:row>18</xdr:row>
      <xdr:rowOff>131446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880234" y="5000625"/>
          <a:ext cx="6044565" cy="7621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266700</xdr:colOff>
      <xdr:row>33</xdr:row>
      <xdr:rowOff>190500</xdr:rowOff>
    </xdr:from>
    <xdr:to>
      <xdr:col>6</xdr:col>
      <xdr:colOff>1019175</xdr:colOff>
      <xdr:row>33</xdr:row>
      <xdr:rowOff>190500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562225" y="8639175"/>
          <a:ext cx="452437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1676400</xdr:colOff>
      <xdr:row>16</xdr:row>
      <xdr:rowOff>200024</xdr:rowOff>
    </xdr:from>
    <xdr:to>
      <xdr:col>6</xdr:col>
      <xdr:colOff>1990724</xdr:colOff>
      <xdr:row>18</xdr:row>
      <xdr:rowOff>180975</xdr:rowOff>
    </xdr:to>
    <xdr:sp macro="" textlink="">
      <xdr:nvSpPr>
        <xdr:cNvPr id="5" name="TextBox 4"/>
        <xdr:cNvSpPr txBox="1"/>
      </xdr:nvSpPr>
      <xdr:spPr>
        <a:xfrm>
          <a:off x="1676400" y="4600574"/>
          <a:ext cx="6381749" cy="457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8.34: Number of cases completed and number of cases not sent to court,  2011 - 2014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0.21382</cdr:x>
      <cdr:y>0.04116</cdr:y>
    </cdr:from>
    <cdr:to>
      <cdr:x>0.88005</cdr:x>
      <cdr:y>0.14029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62099" y="134406"/>
          <a:ext cx="4867275" cy="3236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8.35: Number of cases completed by PG Office,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8" t="s">
        <v>50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</row>
    <row r="2" spans="1:36">
      <c r="A2" s="69" t="s">
        <v>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</row>
    <row r="3" spans="1:36" ht="15" customHeight="1">
      <c r="A3" s="70"/>
      <c r="B3" s="70"/>
      <c r="C3" s="72" t="s">
        <v>37</v>
      </c>
      <c r="D3" s="72"/>
      <c r="E3" s="72"/>
      <c r="F3" s="72"/>
      <c r="G3" s="72"/>
      <c r="H3" s="29"/>
      <c r="I3" s="29"/>
      <c r="J3" s="73" t="s">
        <v>3</v>
      </c>
      <c r="K3" s="73"/>
      <c r="L3" s="73"/>
      <c r="M3" s="73"/>
      <c r="N3" s="73"/>
      <c r="O3" s="24"/>
      <c r="P3" s="73" t="s">
        <v>4</v>
      </c>
      <c r="Q3" s="73"/>
      <c r="R3" s="73"/>
      <c r="S3" s="73"/>
      <c r="T3" s="73"/>
      <c r="U3" s="6"/>
      <c r="V3" s="6"/>
      <c r="W3" s="6"/>
      <c r="X3" s="74" t="s">
        <v>5</v>
      </c>
      <c r="Y3" s="74"/>
      <c r="Z3" s="74"/>
      <c r="AA3" s="74"/>
      <c r="AB3" s="74"/>
      <c r="AC3" s="25"/>
      <c r="AD3" s="25"/>
      <c r="AE3" s="74" t="s">
        <v>6</v>
      </c>
      <c r="AF3" s="74"/>
      <c r="AG3" s="74"/>
      <c r="AH3" s="74"/>
      <c r="AI3" s="74"/>
    </row>
    <row r="4" spans="1:36" ht="25.5">
      <c r="A4" s="71"/>
      <c r="B4" s="71"/>
      <c r="C4" s="30" t="s">
        <v>7</v>
      </c>
      <c r="D4" s="30" t="s">
        <v>8</v>
      </c>
      <c r="E4" s="30" t="s">
        <v>2</v>
      </c>
      <c r="F4" s="31" t="s">
        <v>9</v>
      </c>
      <c r="G4" s="30" t="s">
        <v>10</v>
      </c>
      <c r="H4" s="30" t="s">
        <v>45</v>
      </c>
      <c r="I4" s="30" t="s">
        <v>51</v>
      </c>
      <c r="J4" s="13" t="s">
        <v>7</v>
      </c>
      <c r="K4" s="13" t="s">
        <v>8</v>
      </c>
      <c r="L4" s="13" t="s">
        <v>2</v>
      </c>
      <c r="M4" s="14" t="s">
        <v>9</v>
      </c>
      <c r="N4" s="13" t="s">
        <v>10</v>
      </c>
      <c r="O4" s="30" t="s">
        <v>45</v>
      </c>
      <c r="P4" s="13" t="s">
        <v>7</v>
      </c>
      <c r="Q4" s="13" t="s">
        <v>8</v>
      </c>
      <c r="R4" s="13" t="s">
        <v>2</v>
      </c>
      <c r="S4" s="14" t="s">
        <v>9</v>
      </c>
      <c r="T4" s="13" t="s">
        <v>10</v>
      </c>
      <c r="U4" s="30" t="s">
        <v>45</v>
      </c>
      <c r="V4" s="30"/>
      <c r="W4" s="30"/>
      <c r="X4" s="13" t="s">
        <v>7</v>
      </c>
      <c r="Y4" s="13" t="s">
        <v>8</v>
      </c>
      <c r="Z4" s="13" t="s">
        <v>2</v>
      </c>
      <c r="AA4" s="14" t="s">
        <v>9</v>
      </c>
      <c r="AB4" s="13" t="s">
        <v>10</v>
      </c>
      <c r="AC4" s="30" t="s">
        <v>45</v>
      </c>
      <c r="AD4" s="30"/>
      <c r="AE4" s="13" t="s">
        <v>7</v>
      </c>
      <c r="AF4" s="13" t="s">
        <v>8</v>
      </c>
      <c r="AG4" s="13" t="s">
        <v>2</v>
      </c>
      <c r="AH4" s="14" t="s">
        <v>9</v>
      </c>
      <c r="AI4" s="13" t="s">
        <v>10</v>
      </c>
      <c r="AJ4" s="30" t="s">
        <v>45</v>
      </c>
    </row>
    <row r="5" spans="1:36" ht="14.25" customHeight="1">
      <c r="A5" s="23"/>
      <c r="B5" s="27" t="s">
        <v>47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47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47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48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48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48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49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49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49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17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18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19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20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21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22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23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24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25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26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27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28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29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30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31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32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33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34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35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36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11</v>
      </c>
      <c r="B28" s="9" t="s">
        <v>12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11</v>
      </c>
      <c r="B29" s="9" t="s">
        <v>13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11</v>
      </c>
      <c r="B30" s="9" t="s">
        <v>14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11</v>
      </c>
      <c r="B31" s="9" t="s">
        <v>15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11</v>
      </c>
      <c r="B32" s="16" t="s">
        <v>16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44</v>
      </c>
    </row>
    <row r="36" spans="1:35">
      <c r="A36" s="1"/>
      <c r="B36" s="26" t="s">
        <v>45</v>
      </c>
    </row>
    <row r="37" spans="1:35">
      <c r="B37" s="27" t="s">
        <v>37</v>
      </c>
      <c r="C37" s="27" t="s">
        <v>46</v>
      </c>
      <c r="D37" s="27" t="s">
        <v>38</v>
      </c>
      <c r="E37" s="27"/>
      <c r="F37" s="27"/>
    </row>
    <row r="38" spans="1:35">
      <c r="A38" s="27" t="s">
        <v>47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48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49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52</v>
      </c>
      <c r="C42" s="34"/>
      <c r="D42" s="34"/>
    </row>
    <row r="43" spans="1:35">
      <c r="B43" s="27" t="s">
        <v>37</v>
      </c>
      <c r="C43" s="27" t="s">
        <v>46</v>
      </c>
      <c r="D43" s="27" t="s">
        <v>38</v>
      </c>
    </row>
    <row r="44" spans="1:35">
      <c r="A44" s="27" t="s">
        <v>47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48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49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53</v>
      </c>
      <c r="C49" s="34"/>
      <c r="D49" s="34"/>
    </row>
    <row r="50" spans="1:5">
      <c r="B50" s="27" t="s">
        <v>37</v>
      </c>
      <c r="C50" s="27" t="s">
        <v>46</v>
      </c>
      <c r="D50" s="27" t="s">
        <v>38</v>
      </c>
    </row>
    <row r="51" spans="1:5">
      <c r="A51" s="27" t="s">
        <v>47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48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49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40</v>
      </c>
      <c r="C56" s="34" t="s">
        <v>11</v>
      </c>
      <c r="D56" s="34" t="s">
        <v>39</v>
      </c>
    </row>
    <row r="57" spans="1:5">
      <c r="A57" s="34" t="s">
        <v>54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55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53</v>
      </c>
      <c r="B59" s="35">
        <v>14232</v>
      </c>
      <c r="C59" s="35">
        <v>6099</v>
      </c>
      <c r="D59" s="35">
        <v>8133</v>
      </c>
    </row>
    <row r="60" spans="1:5">
      <c r="A60" s="34" t="s">
        <v>52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56</v>
      </c>
    </row>
    <row r="67" spans="1:11">
      <c r="B67" s="34"/>
      <c r="H67" s="34" t="s">
        <v>57</v>
      </c>
    </row>
    <row r="68" spans="1:11">
      <c r="A68" s="1"/>
      <c r="B68" s="34"/>
      <c r="C68" s="34" t="s">
        <v>58</v>
      </c>
      <c r="D68" s="34" t="s">
        <v>59</v>
      </c>
      <c r="E68" s="34" t="s">
        <v>60</v>
      </c>
      <c r="F68" s="34" t="s">
        <v>61</v>
      </c>
      <c r="G68" s="34"/>
      <c r="H68" s="36" t="s">
        <v>62</v>
      </c>
      <c r="I68" s="34" t="s">
        <v>63</v>
      </c>
      <c r="J68" s="34" t="s">
        <v>64</v>
      </c>
      <c r="K68" s="34"/>
    </row>
    <row r="69" spans="1:11">
      <c r="A69" s="1"/>
      <c r="B69" s="34" t="s">
        <v>17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18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19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20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21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22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23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24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25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26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27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28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29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30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31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32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33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34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35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36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30"/>
  <sheetViews>
    <sheetView tabSelected="1" zoomScaleNormal="100" workbookViewId="0">
      <selection activeCell="L7" sqref="L7"/>
    </sheetView>
  </sheetViews>
  <sheetFormatPr defaultColWidth="9.140625" defaultRowHeight="18.75" customHeight="1"/>
  <cols>
    <col min="1" max="1" width="34.42578125" style="38" customWidth="1"/>
    <col min="2" max="5" width="10.85546875" style="38" customWidth="1"/>
    <col min="6" max="6" width="13.140625" style="38" customWidth="1"/>
    <col min="7" max="7" width="46.140625" style="38" customWidth="1"/>
    <col min="8" max="8" width="8.28515625" style="38" hidden="1" customWidth="1"/>
    <col min="9" max="12" width="9.140625" style="38"/>
    <col min="13" max="15" width="39.28515625" style="38" customWidth="1"/>
    <col min="16" max="16" width="16.85546875" style="38" customWidth="1"/>
    <col min="17" max="17" width="9.140625" style="38"/>
    <col min="18" max="18" width="10.7109375" style="38" bestFit="1" customWidth="1"/>
    <col min="19" max="19" width="10.7109375" style="38" customWidth="1"/>
    <col min="20" max="16384" width="9.140625" style="38"/>
  </cols>
  <sheetData>
    <row r="1" spans="1:8" ht="21">
      <c r="A1" s="75" t="s">
        <v>68</v>
      </c>
      <c r="B1" s="75"/>
      <c r="C1" s="75"/>
      <c r="D1" s="75"/>
      <c r="E1" s="75"/>
      <c r="F1" s="75"/>
      <c r="G1" s="75"/>
      <c r="H1" s="75"/>
    </row>
    <row r="2" spans="1:8" ht="15">
      <c r="A2" s="76" t="s">
        <v>69</v>
      </c>
      <c r="B2" s="76"/>
      <c r="C2" s="76"/>
      <c r="D2" s="76"/>
      <c r="E2" s="76"/>
      <c r="F2" s="76"/>
      <c r="G2" s="76"/>
      <c r="H2" s="76"/>
    </row>
    <row r="3" spans="1:8" ht="15">
      <c r="A3" s="77"/>
      <c r="B3" s="77"/>
      <c r="C3" s="77"/>
      <c r="D3" s="77"/>
      <c r="E3" s="77"/>
      <c r="F3" s="77"/>
      <c r="G3" s="77"/>
    </row>
    <row r="4" spans="1:8" ht="50.25">
      <c r="A4" s="78" t="s">
        <v>41</v>
      </c>
      <c r="B4" s="80">
        <v>2011</v>
      </c>
      <c r="C4" s="80">
        <v>2012</v>
      </c>
      <c r="D4" s="80">
        <v>2013</v>
      </c>
      <c r="E4" s="80">
        <v>2014</v>
      </c>
      <c r="F4" s="61" t="s">
        <v>70</v>
      </c>
      <c r="G4" s="82" t="s">
        <v>42</v>
      </c>
    </row>
    <row r="5" spans="1:8" ht="15">
      <c r="A5" s="79"/>
      <c r="B5" s="81"/>
      <c r="C5" s="81"/>
      <c r="D5" s="81"/>
      <c r="E5" s="81"/>
      <c r="F5" s="41">
        <v>2014</v>
      </c>
      <c r="G5" s="83"/>
    </row>
    <row r="6" spans="1:8" s="46" customFormat="1" ht="21">
      <c r="A6" s="65" t="s">
        <v>71</v>
      </c>
      <c r="B6" s="43">
        <v>2874</v>
      </c>
      <c r="C6" s="43">
        <v>3362</v>
      </c>
      <c r="D6" s="43">
        <v>3551</v>
      </c>
      <c r="E6" s="43">
        <v>3396</v>
      </c>
      <c r="F6" s="44">
        <f>E6/$E$6*100</f>
        <v>100</v>
      </c>
      <c r="G6" s="67" t="s">
        <v>72</v>
      </c>
    </row>
    <row r="7" spans="1:8" s="46" customFormat="1" ht="24.6" customHeight="1">
      <c r="A7" s="65" t="s">
        <v>73</v>
      </c>
      <c r="B7" s="43">
        <v>2495</v>
      </c>
      <c r="C7" s="43">
        <v>2069</v>
      </c>
      <c r="D7" s="43">
        <v>2521</v>
      </c>
      <c r="E7" s="43">
        <v>2401</v>
      </c>
      <c r="F7" s="49">
        <f>E7/$E$6*100</f>
        <v>70.70082449941107</v>
      </c>
      <c r="G7" s="66" t="s">
        <v>74</v>
      </c>
    </row>
    <row r="8" spans="1:8" s="46" customFormat="1" ht="21">
      <c r="A8" s="42" t="s">
        <v>75</v>
      </c>
      <c r="B8" s="43">
        <v>1850</v>
      </c>
      <c r="C8" s="43">
        <v>1429</v>
      </c>
      <c r="D8" s="43">
        <v>1821</v>
      </c>
      <c r="E8" s="43">
        <v>1497</v>
      </c>
      <c r="F8" s="49">
        <f>E8/$E$6*100</f>
        <v>44.081272084805654</v>
      </c>
      <c r="G8" s="45" t="s">
        <v>76</v>
      </c>
    </row>
    <row r="9" spans="1:8" ht="21">
      <c r="A9" s="47" t="s">
        <v>77</v>
      </c>
      <c r="B9" s="48">
        <v>354</v>
      </c>
      <c r="C9" s="48">
        <v>334</v>
      </c>
      <c r="D9" s="48">
        <v>322</v>
      </c>
      <c r="E9" s="48">
        <v>283</v>
      </c>
      <c r="F9" s="49">
        <f t="shared" ref="F9:F15" si="0">E9/$E$6*100</f>
        <v>8.3333333333333321</v>
      </c>
      <c r="G9" s="51" t="s">
        <v>78</v>
      </c>
    </row>
    <row r="10" spans="1:8" ht="21">
      <c r="A10" s="47" t="s">
        <v>79</v>
      </c>
      <c r="B10" s="48">
        <v>291</v>
      </c>
      <c r="C10" s="48">
        <v>284</v>
      </c>
      <c r="D10" s="48">
        <v>327</v>
      </c>
      <c r="E10" s="48">
        <v>227</v>
      </c>
      <c r="F10" s="49">
        <f t="shared" si="0"/>
        <v>6.6843345111896353</v>
      </c>
      <c r="G10" s="51" t="s">
        <v>80</v>
      </c>
    </row>
    <row r="11" spans="1:8" ht="21">
      <c r="A11" s="47" t="s">
        <v>81</v>
      </c>
      <c r="B11" s="52">
        <v>0</v>
      </c>
      <c r="C11" s="48">
        <v>22</v>
      </c>
      <c r="D11" s="48">
        <v>51</v>
      </c>
      <c r="E11" s="48">
        <v>102</v>
      </c>
      <c r="F11" s="49">
        <f t="shared" si="0"/>
        <v>3.0035335689045937</v>
      </c>
      <c r="G11" s="51" t="s">
        <v>82</v>
      </c>
    </row>
    <row r="12" spans="1:8" ht="21">
      <c r="A12" s="47" t="s">
        <v>94</v>
      </c>
      <c r="B12" s="60" t="s">
        <v>65</v>
      </c>
      <c r="C12" s="60" t="s">
        <v>65</v>
      </c>
      <c r="D12" s="60" t="s">
        <v>65</v>
      </c>
      <c r="E12" s="48">
        <v>175</v>
      </c>
      <c r="F12" s="49">
        <f>E12/$E$6*100</f>
        <v>5.1531213191990579</v>
      </c>
      <c r="G12" s="51" t="s">
        <v>83</v>
      </c>
    </row>
    <row r="13" spans="1:8" ht="21">
      <c r="A13" s="47" t="s">
        <v>95</v>
      </c>
      <c r="B13" s="60" t="s">
        <v>65</v>
      </c>
      <c r="C13" s="60" t="s">
        <v>65</v>
      </c>
      <c r="D13" s="60" t="s">
        <v>65</v>
      </c>
      <c r="E13" s="48">
        <v>52</v>
      </c>
      <c r="F13" s="49">
        <f t="shared" si="0"/>
        <v>1.5312131919905771</v>
      </c>
      <c r="G13" s="51" t="s">
        <v>84</v>
      </c>
    </row>
    <row r="14" spans="1:8" ht="21">
      <c r="A14" s="47" t="s">
        <v>93</v>
      </c>
      <c r="B14" s="60" t="s">
        <v>65</v>
      </c>
      <c r="C14" s="60" t="s">
        <v>65</v>
      </c>
      <c r="D14" s="60" t="s">
        <v>65</v>
      </c>
      <c r="E14" s="48">
        <v>65</v>
      </c>
      <c r="F14" s="49">
        <f t="shared" si="0"/>
        <v>1.9140164899882215</v>
      </c>
      <c r="G14" s="51" t="s">
        <v>85</v>
      </c>
    </row>
    <row r="15" spans="1:8" s="46" customFormat="1" ht="21">
      <c r="A15" s="53" t="s">
        <v>86</v>
      </c>
      <c r="B15" s="54">
        <v>379</v>
      </c>
      <c r="C15" s="54">
        <v>1293</v>
      </c>
      <c r="D15" s="54">
        <v>1030</v>
      </c>
      <c r="E15" s="54">
        <v>995</v>
      </c>
      <c r="F15" s="62">
        <f t="shared" si="0"/>
        <v>29.299175500588927</v>
      </c>
      <c r="G15" s="55" t="s">
        <v>87</v>
      </c>
    </row>
    <row r="16" spans="1:8" ht="17.25">
      <c r="A16" s="63" t="s">
        <v>66</v>
      </c>
      <c r="B16" s="57"/>
      <c r="D16" s="57"/>
      <c r="E16" s="57"/>
      <c r="F16" s="57"/>
      <c r="G16" s="64" t="s">
        <v>67</v>
      </c>
    </row>
    <row r="17" spans="1:20" ht="18.75" customHeight="1">
      <c r="A17" s="56"/>
      <c r="G17" s="58"/>
    </row>
    <row r="18" spans="1:20" ht="18.75" customHeight="1">
      <c r="G18" s="58"/>
      <c r="P18" s="56"/>
      <c r="Q18" s="59">
        <v>2011</v>
      </c>
      <c r="R18" s="59">
        <v>2012</v>
      </c>
      <c r="S18" s="59">
        <v>2013</v>
      </c>
      <c r="T18" s="59">
        <v>2014</v>
      </c>
    </row>
    <row r="19" spans="1:20" ht="18.75" customHeight="1">
      <c r="A19" s="49"/>
      <c r="B19" s="50"/>
      <c r="G19" s="58"/>
      <c r="P19" s="56" t="s">
        <v>88</v>
      </c>
      <c r="Q19" s="39">
        <f>B7/B6*100</f>
        <v>86.812804453723032</v>
      </c>
      <c r="R19" s="39">
        <f>C7/C6*100</f>
        <v>61.540749553837003</v>
      </c>
      <c r="S19" s="39">
        <f>D7/D6*100</f>
        <v>70.99408617290905</v>
      </c>
      <c r="T19" s="39">
        <f>E7/E6*100</f>
        <v>70.70082449941107</v>
      </c>
    </row>
    <row r="20" spans="1:20" ht="18.75" customHeight="1">
      <c r="A20" s="49"/>
      <c r="B20" s="50"/>
      <c r="G20" s="58"/>
      <c r="P20" s="56" t="s">
        <v>89</v>
      </c>
      <c r="Q20" s="39">
        <f>B8/B6*100</f>
        <v>64.370215727209469</v>
      </c>
      <c r="R20" s="39">
        <f>C8/C6*100</f>
        <v>42.504461629982153</v>
      </c>
      <c r="S20" s="39">
        <f>D8/D6*100</f>
        <v>51.281329203041395</v>
      </c>
      <c r="T20" s="39">
        <f>E8/E6*100</f>
        <v>44.081272084805654</v>
      </c>
    </row>
    <row r="21" spans="1:20" ht="18.75" customHeight="1">
      <c r="A21" s="49"/>
      <c r="B21" s="50"/>
      <c r="P21" s="56"/>
    </row>
    <row r="22" spans="1:20" ht="18.75" customHeight="1">
      <c r="P22" s="56"/>
      <c r="Q22" s="59">
        <v>2011</v>
      </c>
      <c r="R22" s="59">
        <v>2012</v>
      </c>
      <c r="S22" s="59">
        <v>2013</v>
      </c>
      <c r="T22" s="59">
        <v>2014</v>
      </c>
    </row>
    <row r="23" spans="1:20" ht="18.75" customHeight="1">
      <c r="P23" s="42" t="s">
        <v>90</v>
      </c>
      <c r="Q23" s="43">
        <v>2495</v>
      </c>
      <c r="R23" s="43">
        <v>2069</v>
      </c>
      <c r="S23" s="43">
        <v>2521</v>
      </c>
      <c r="T23" s="43">
        <f>E7</f>
        <v>2401</v>
      </c>
    </row>
    <row r="24" spans="1:20" ht="18.75" customHeight="1">
      <c r="P24" s="53" t="s">
        <v>91</v>
      </c>
      <c r="Q24" s="57">
        <f>B8</f>
        <v>1850</v>
      </c>
      <c r="R24" s="57">
        <f>C8</f>
        <v>1429</v>
      </c>
      <c r="S24" s="57">
        <f>D8</f>
        <v>1821</v>
      </c>
      <c r="T24" s="57">
        <f>E8</f>
        <v>1497</v>
      </c>
    </row>
    <row r="25" spans="1:20" ht="18.75" customHeight="1">
      <c r="P25" s="53" t="s">
        <v>92</v>
      </c>
      <c r="Q25" s="54">
        <v>379</v>
      </c>
      <c r="R25" s="54">
        <v>1293</v>
      </c>
      <c r="S25" s="54">
        <v>1030</v>
      </c>
      <c r="T25" s="54">
        <f>E15</f>
        <v>995</v>
      </c>
    </row>
    <row r="26" spans="1:20" ht="18.75" customHeight="1">
      <c r="Q26" s="59">
        <v>2011</v>
      </c>
      <c r="R26" s="59">
        <v>2012</v>
      </c>
      <c r="S26" s="59">
        <v>2013</v>
      </c>
      <c r="T26" s="59">
        <v>2014</v>
      </c>
    </row>
    <row r="27" spans="1:20" ht="18.75" customHeight="1">
      <c r="P27" s="40" t="s">
        <v>75</v>
      </c>
      <c r="Q27" s="48">
        <v>1850</v>
      </c>
      <c r="R27" s="48">
        <v>1429</v>
      </c>
      <c r="S27" s="43">
        <v>1821</v>
      </c>
      <c r="T27" s="43">
        <v>1821</v>
      </c>
    </row>
    <row r="28" spans="1:20" ht="18.75" customHeight="1">
      <c r="P28" s="47" t="s">
        <v>77</v>
      </c>
      <c r="Q28" s="48">
        <v>354</v>
      </c>
      <c r="R28" s="48">
        <v>334</v>
      </c>
      <c r="S28" s="48">
        <v>322</v>
      </c>
      <c r="T28" s="48">
        <v>322</v>
      </c>
    </row>
    <row r="29" spans="1:20" ht="18.75" customHeight="1">
      <c r="P29" s="47" t="s">
        <v>79</v>
      </c>
      <c r="Q29" s="48">
        <v>291</v>
      </c>
      <c r="R29" s="48">
        <v>284</v>
      </c>
      <c r="S29" s="48">
        <v>327</v>
      </c>
      <c r="T29" s="48">
        <v>327</v>
      </c>
    </row>
    <row r="30" spans="1:20" ht="18.75" customHeight="1">
      <c r="P30" s="47" t="s">
        <v>81</v>
      </c>
      <c r="Q30" s="52">
        <v>0</v>
      </c>
      <c r="R30" s="48">
        <v>22</v>
      </c>
      <c r="S30" s="48">
        <v>51</v>
      </c>
      <c r="T30" s="48">
        <v>51</v>
      </c>
    </row>
  </sheetData>
  <mergeCells count="9">
    <mergeCell ref="A1:H1"/>
    <mergeCell ref="A2:H2"/>
    <mergeCell ref="A3:G3"/>
    <mergeCell ref="A4:A5"/>
    <mergeCell ref="B4:B5"/>
    <mergeCell ref="C4:C5"/>
    <mergeCell ref="D4:D5"/>
    <mergeCell ref="E4:E5"/>
    <mergeCell ref="G4:G5"/>
  </mergeCells>
  <pageMargins left="0.27" right="0.35" top="0.44" bottom="0.28999999999999998" header="0.3" footer="0.3"/>
  <pageSetup paperSize="9" scale="89" orientation="landscape" r:id="rId1"/>
  <rowBreaks count="1" manualBreakCount="1">
    <brk id="3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8.25</vt:lpstr>
      <vt:lpstr>'8.25'!Print_Area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2016-02-17T08:49:51Z</cp:lastPrinted>
  <dcterms:created xsi:type="dcterms:W3CDTF">2013-04-04T04:05:16Z</dcterms:created>
  <dcterms:modified xsi:type="dcterms:W3CDTF">2016-02-17T08:50:03Z</dcterms:modified>
</cp:coreProperties>
</file>