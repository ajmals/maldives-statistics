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3" sheetId="3" r:id="rId1"/>
  </sheets>
  <definedNames>
    <definedName name="_xlnm.Print_Area" localSheetId="0">'16.3'!$A$1:$O$35</definedName>
  </definedNames>
  <calcPr calcId="145621"/>
</workbook>
</file>

<file path=xl/calcChain.xml><?xml version="1.0" encoding="utf-8"?>
<calcChain xmlns="http://schemas.openxmlformats.org/spreadsheetml/2006/main">
  <c r="D10" i="3" l="1"/>
  <c r="E10" i="3"/>
  <c r="F10" i="3"/>
  <c r="G10" i="3"/>
  <c r="H10" i="3"/>
  <c r="I10" i="3"/>
  <c r="J10" i="3"/>
  <c r="K10" i="3"/>
  <c r="L10" i="3"/>
  <c r="M10" i="3"/>
  <c r="N10" i="3"/>
  <c r="C10" i="3"/>
  <c r="D11" i="3"/>
  <c r="E11" i="3"/>
  <c r="F11" i="3"/>
  <c r="G11" i="3"/>
  <c r="H11" i="3"/>
  <c r="I11" i="3"/>
  <c r="J11" i="3"/>
  <c r="K11" i="3"/>
  <c r="L11" i="3"/>
  <c r="M11" i="3"/>
  <c r="N11" i="3"/>
  <c r="C11" i="3"/>
  <c r="D14" i="3"/>
  <c r="E14" i="3"/>
  <c r="F14" i="3"/>
  <c r="G14" i="3"/>
  <c r="H14" i="3"/>
  <c r="I14" i="3"/>
  <c r="J14" i="3"/>
  <c r="K14" i="3"/>
  <c r="L14" i="3"/>
  <c r="M14" i="3"/>
  <c r="N14" i="3"/>
  <c r="C14" i="3"/>
  <c r="D19" i="3"/>
  <c r="E19" i="3"/>
  <c r="F19" i="3"/>
  <c r="G19" i="3"/>
  <c r="H19" i="3"/>
  <c r="I19" i="3"/>
  <c r="J19" i="3"/>
  <c r="K19" i="3"/>
  <c r="L19" i="3"/>
  <c r="M19" i="3"/>
  <c r="N19" i="3"/>
  <c r="C19" i="3"/>
</calcChain>
</file>

<file path=xl/sharedStrings.xml><?xml version="1.0" encoding="utf-8"?>
<sst xmlns="http://schemas.openxmlformats.org/spreadsheetml/2006/main" count="83" uniqueCount="80">
  <si>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</si>
  <si>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</si>
  <si>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</si>
  <si>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</si>
  <si>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</si>
  <si>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</si>
  <si>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</si>
  <si>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</si>
  <si>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</si>
  <si>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</si>
  <si>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</si>
  <si>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</si>
  <si>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</si>
  <si>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</si>
  <si>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</si>
  <si>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</si>
  <si>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</si>
  <si>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</si>
  <si>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</si>
  <si>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</si>
  <si>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</si>
  <si>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</si>
  <si>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</si>
  <si>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</si>
  <si>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</si>
  <si>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</si>
  <si>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</si>
  <si>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</si>
  <si>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</si>
  <si>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</si>
  <si>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</si>
  <si>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</si>
  <si>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</si>
  <si>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</si>
  <si>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</si>
  <si>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</si>
  <si>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</si>
  <si>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</si>
  <si>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</si>
  <si>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</si>
  <si>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</si>
  <si>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</si>
  <si>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</si>
  <si>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</si>
  <si>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</si>
  <si>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</si>
  <si>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</si>
  <si>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</si>
  <si>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</si>
  <si>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</si>
  <si>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</si>
  <si>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</si>
  <si>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</si>
  <si>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</si>
  <si>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</si>
  <si>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</si>
  <si>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</si>
  <si>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</si>
  <si>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</si>
  <si>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 xml:space="preserve"> MVR 8.4942617 per PPP$  (2003)</t>
  </si>
  <si>
    <t>(2003) Wyifur 8.4942617 Inehej cSwkwrwloD Ip.Ip.Ip</t>
  </si>
  <si>
    <t xml:space="preserve">(In percent , at 2003 constant prices) </t>
  </si>
  <si>
    <t xml:space="preserve">                                 (cniawtcawscnia ,cnugwa ImiaWd egurwhwawnwv 2003)</t>
  </si>
  <si>
    <t xml:space="preserve">    Total GVA at basic prices</t>
  </si>
  <si>
    <t>(cnugwa IsWswa) cDwDea uailev csorcg</t>
  </si>
  <si>
    <t>Source: National Bureau of Statistics</t>
  </si>
  <si>
    <t>Revised</t>
  </si>
  <si>
    <r>
      <t>2013</t>
    </r>
    <r>
      <rPr>
        <b/>
        <vertAlign val="superscript"/>
        <sz val="9"/>
        <rFont val="Calibri"/>
        <family val="2"/>
        <scheme val="minor"/>
      </rPr>
      <t>1_/</t>
    </r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</si>
  <si>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</si>
  <si>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 xml:space="preserve"> 2014- 2003 ,(cnugwaImiaWd)urwvcnim WrukWscaih cSwDnwgcnim egumwkiretcnudcaefua Imuawq ,cnukwtiawb IdWBitcqia : 16.3 ulwvWt</t>
  </si>
  <si>
    <t>Table  16.3 :  PERCENTAGE SHARES OF GROSS DOMESTIC PRODUCT (AT CONSTANT PRICES), BY KIND OF ACTIVITY,  2003 - 2014</t>
  </si>
  <si>
    <t>Published in October 2015</t>
  </si>
  <si>
    <r>
      <t xml:space="preserve">iawfiveruk cxilcbwp iawg 2015 </t>
    </r>
    <r>
      <rPr>
        <sz val="8"/>
        <rFont val="A_Reethi"/>
      </rPr>
      <t>އޮކްޓޯބަރ</t>
    </r>
  </si>
  <si>
    <r>
      <t xml:space="preserve">    Taxes less subsidies</t>
    </r>
    <r>
      <rPr>
        <vertAlign val="superscript"/>
        <sz val="9"/>
        <rFont val="Calibri"/>
        <family val="2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</si>
  <si>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October 2015</t>
    </r>
  </si>
  <si>
    <t>iawfiverukuhWlcsia iawg 2015 1އޮކްޓޯބަރ _/</t>
  </si>
  <si>
    <t>އިސްލާހުކުރެވިފައި</t>
  </si>
  <si>
    <r>
      <rPr>
        <vertAlign val="superscript"/>
        <sz val="9"/>
        <rFont val="A_Randhoo"/>
      </rPr>
      <t>1_/</t>
    </r>
    <r>
      <rPr>
        <sz val="9"/>
        <rFont val="A_Randhoo"/>
      </rPr>
      <t xml:space="preserve"> uqwrwf egIDiscbws  iaWa cswsckeT</t>
    </r>
  </si>
  <si>
    <r>
      <t xml:space="preserve">GDP at Market price </t>
    </r>
    <r>
      <rPr>
        <b/>
        <vertAlign val="superscript"/>
        <sz val="9"/>
        <rFont val="Calibri"/>
        <family val="2"/>
        <scheme val="minor"/>
      </rPr>
      <t>1_/</t>
    </r>
  </si>
  <si>
    <r>
      <rPr>
        <b/>
        <vertAlign val="superscript"/>
        <sz val="9"/>
        <rFont val="A_Randhoo"/>
      </rPr>
      <t xml:space="preserve">1_/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</si>
</sst>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7" formatCode="#,##0.0"/>
  </numFmts>
  <fonts count="3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i/>
      <sz val="8"/>
      <name val="Calibri"/>
      <family val="2"/>
    </font>
    <font>
      <i/>
      <sz val="9"/>
      <name val="Calibri"/>
      <family val="2"/>
    </font>
    <font>
      <b/>
      <sz val="9"/>
      <name val="Courier"/>
      <family val="3"/>
    </font>
    <font>
      <sz val="8"/>
      <name val="Calibri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8"/>
      <name val="A_Reethi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9"/>
      <name val="A_Utheem"/>
    </font>
    <font>
      <b/>
      <sz val="12"/>
      <name val="A_Randhoo"/>
    </font>
    <font>
      <b/>
      <i/>
      <sz val="8"/>
      <name val="Calibri"/>
      <family val="2"/>
      <scheme val="minor"/>
    </font>
    <font>
      <sz val="8"/>
      <color indexed="8"/>
      <name val="Courier"/>
      <family val="3"/>
    </font>
    <font>
      <sz val="8"/>
      <color theme="1"/>
      <name val="Courier"/>
      <family val="3"/>
    </font>
    <font>
      <b/>
      <vertAlign val="superscript"/>
      <sz val="9"/>
      <name val="Calibri"/>
      <family val="2"/>
      <scheme val="minor"/>
    </font>
    <font>
      <vertAlign val="superscript"/>
      <sz val="9"/>
      <name val="Calibri"/>
      <family val="2"/>
    </font>
    <font>
      <vertAlign val="superscript"/>
      <sz val="9"/>
      <name val="A_Randhoo"/>
    </font>
    <font>
      <b/>
      <vertAlign val="superscript"/>
      <sz val="9"/>
      <name val="A_Randhoo"/>
    </font>
    <font>
      <b/>
      <sz val="9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0" fontId="9" fillId="0" borderId="0"/>
    <xf numFmtId="164" fontId="1" fillId="0" borderId="0"/>
    <xf numFmtId="0" fontId="9" fillId="0" borderId="0"/>
    <xf numFmtId="164" fontId="1" fillId="0" borderId="0"/>
    <xf numFmtId="0" fontId="9" fillId="0" borderId="0"/>
    <xf numFmtId="43" fontId="9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164" fontId="5" fillId="2" borderId="2" xfId="1" applyFont="1" applyFill="1" applyBorder="1" applyAlignment="1" applyProtection="1">
      <alignment horizontal="left" vertical="center"/>
    </xf>
    <xf numFmtId="164" fontId="5" fillId="2" borderId="0" xfId="1" applyFont="1" applyFill="1" applyBorder="1" applyAlignment="1" applyProtection="1">
      <alignment horizontal="left" vertical="center"/>
    </xf>
    <xf numFmtId="164" fontId="10" fillId="2" borderId="1" xfId="1" applyFont="1" applyFill="1" applyBorder="1"/>
    <xf numFmtId="164" fontId="3" fillId="2" borderId="1" xfId="1" applyFont="1" applyFill="1" applyBorder="1" applyAlignment="1">
      <alignment horizontal="right" vertical="center"/>
    </xf>
    <xf numFmtId="164" fontId="10" fillId="2" borderId="0" xfId="1" applyFont="1" applyFill="1" applyBorder="1"/>
    <xf numFmtId="164" fontId="3" fillId="2" borderId="0" xfId="1" applyFont="1" applyFill="1" applyBorder="1" applyAlignment="1">
      <alignment horizontal="right" vertical="center"/>
    </xf>
    <xf numFmtId="164" fontId="11" fillId="2" borderId="0" xfId="1" applyFont="1" applyFill="1"/>
    <xf numFmtId="164" fontId="12" fillId="2" borderId="0" xfId="1" applyFont="1" applyFill="1" applyAlignment="1">
      <alignment horizontal="right" vertical="center"/>
    </xf>
    <xf numFmtId="164" fontId="13" fillId="2" borderId="0" xfId="1" applyFont="1" applyFill="1"/>
    <xf numFmtId="164" fontId="12" fillId="2" borderId="0" xfId="3" applyFont="1" applyFill="1" applyAlignment="1">
      <alignment horizontal="right" vertical="center"/>
    </xf>
    <xf numFmtId="164" fontId="3" fillId="2" borderId="3" xfId="1" applyFont="1" applyFill="1" applyBorder="1" applyAlignment="1">
      <alignment horizontal="right" vertical="center"/>
    </xf>
    <xf numFmtId="164" fontId="12" fillId="2" borderId="0" xfId="1" applyFont="1" applyFill="1" applyBorder="1" applyAlignment="1">
      <alignment horizontal="right" vertical="center"/>
    </xf>
    <xf numFmtId="164" fontId="11" fillId="2" borderId="0" xfId="1" applyFont="1" applyFill="1" applyBorder="1"/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/>
    <xf numFmtId="164" fontId="18" fillId="2" borderId="0" xfId="1" applyFont="1" applyFill="1"/>
    <xf numFmtId="164" fontId="20" fillId="2" borderId="0" xfId="1" applyFont="1" applyFill="1" applyBorder="1" applyAlignment="1">
      <alignment horizontal="right" vertical="center"/>
    </xf>
    <xf numFmtId="164" fontId="1" fillId="2" borderId="0" xfId="1" applyFill="1" applyAlignment="1">
      <alignment vertical="center"/>
    </xf>
    <xf numFmtId="164" fontId="23" fillId="2" borderId="0" xfId="1" applyFont="1" applyFill="1"/>
    <xf numFmtId="164" fontId="1" fillId="2" borderId="0" xfId="1" applyFont="1" applyFill="1"/>
    <xf numFmtId="164" fontId="24" fillId="2" borderId="0" xfId="1" applyFont="1" applyFill="1"/>
    <xf numFmtId="0" fontId="1" fillId="2" borderId="0" xfId="1" applyNumberFormat="1" applyFill="1" applyAlignment="1">
      <alignment vertical="center"/>
    </xf>
    <xf numFmtId="164" fontId="25" fillId="2" borderId="2" xfId="1" applyFont="1" applyFill="1" applyBorder="1" applyAlignment="1" applyProtection="1">
      <alignment horizontal="right" vertical="center"/>
    </xf>
    <xf numFmtId="164" fontId="6" fillId="2" borderId="0" xfId="3" applyFont="1" applyFill="1"/>
    <xf numFmtId="164" fontId="9" fillId="2" borderId="0" xfId="5" applyFont="1" applyFill="1" applyBorder="1" applyAlignment="1">
      <alignment vertical="center"/>
    </xf>
    <xf numFmtId="164" fontId="2" fillId="2" borderId="0" xfId="5" applyFont="1" applyFill="1" applyBorder="1" applyAlignment="1">
      <alignment vertical="center"/>
    </xf>
    <xf numFmtId="164" fontId="4" fillId="2" borderId="0" xfId="5" applyFont="1" applyFill="1" applyBorder="1" applyAlignment="1">
      <alignment vertical="center"/>
    </xf>
    <xf numFmtId="164" fontId="5" fillId="2" borderId="3" xfId="1" applyFont="1" applyFill="1" applyBorder="1" applyAlignment="1" applyProtection="1">
      <alignment horizontal="left" vertical="center"/>
    </xf>
    <xf numFmtId="164" fontId="4" fillId="2" borderId="3" xfId="5" applyFont="1" applyFill="1" applyBorder="1" applyAlignment="1">
      <alignment horizontal="centerContinuous" vertical="center"/>
    </xf>
    <xf numFmtId="164" fontId="4" fillId="2" borderId="0" xfId="5" applyFont="1" applyFill="1" applyBorder="1" applyAlignment="1">
      <alignment horizontal="centerContinuous" vertical="center"/>
    </xf>
    <xf numFmtId="164" fontId="4" fillId="2" borderId="2" xfId="1" applyFont="1" applyFill="1" applyBorder="1" applyAlignment="1" applyProtection="1">
      <alignment horizontal="right" vertical="center"/>
    </xf>
    <xf numFmtId="164" fontId="4" fillId="2" borderId="2" xfId="1" applyFont="1" applyFill="1" applyBorder="1" applyAlignment="1">
      <alignment vertical="center"/>
    </xf>
    <xf numFmtId="164" fontId="27" fillId="2" borderId="2" xfId="1" applyFont="1" applyFill="1" applyBorder="1" applyAlignment="1" applyProtection="1">
      <alignment horizontal="right" vertical="center"/>
    </xf>
    <xf numFmtId="164" fontId="4" fillId="2" borderId="0" xfId="1" applyFont="1" applyFill="1" applyBorder="1" applyAlignment="1">
      <alignment vertical="center"/>
    </xf>
    <xf numFmtId="164" fontId="4" fillId="2" borderId="0" xfId="1" applyFont="1" applyFill="1" applyBorder="1" applyAlignment="1" applyProtection="1">
      <alignment horizontal="right" vertical="center"/>
    </xf>
    <xf numFmtId="164" fontId="27" fillId="2" borderId="0" xfId="1" applyFont="1" applyFill="1" applyBorder="1" applyAlignment="1" applyProtection="1">
      <alignment horizontal="right" vertical="center"/>
    </xf>
    <xf numFmtId="1" fontId="5" fillId="2" borderId="0" xfId="5" applyNumberFormat="1" applyFont="1" applyFill="1" applyBorder="1" applyAlignment="1">
      <alignment vertical="center"/>
    </xf>
    <xf numFmtId="164" fontId="6" fillId="2" borderId="0" xfId="5" applyFont="1" applyFill="1" applyBorder="1"/>
    <xf numFmtId="164" fontId="11" fillId="2" borderId="0" xfId="5" applyFont="1" applyFill="1" applyBorder="1"/>
    <xf numFmtId="164" fontId="10" fillId="2" borderId="0" xfId="5" applyFont="1" applyFill="1" applyBorder="1"/>
    <xf numFmtId="164" fontId="6" fillId="2" borderId="0" xfId="5" applyFont="1" applyFill="1"/>
    <xf numFmtId="164" fontId="11" fillId="2" borderId="0" xfId="5" applyFont="1" applyFill="1"/>
    <xf numFmtId="164" fontId="16" fillId="2" borderId="0" xfId="5" applyFont="1" applyFill="1"/>
    <xf numFmtId="164" fontId="28" fillId="2" borderId="0" xfId="5" applyFont="1" applyFill="1"/>
    <xf numFmtId="164" fontId="29" fillId="2" borderId="0" xfId="5" applyFont="1" applyFill="1"/>
    <xf numFmtId="164" fontId="10" fillId="2" borderId="3" xfId="5" applyFont="1" applyFill="1" applyBorder="1"/>
    <xf numFmtId="164" fontId="15" fillId="2" borderId="0" xfId="5" applyFont="1" applyFill="1"/>
    <xf numFmtId="164" fontId="19" fillId="2" borderId="0" xfId="5" applyFont="1" applyFill="1"/>
    <xf numFmtId="164" fontId="12" fillId="2" borderId="0" xfId="5" applyFont="1" applyFill="1"/>
    <xf numFmtId="164" fontId="1" fillId="2" borderId="0" xfId="5" applyFill="1"/>
    <xf numFmtId="1" fontId="5" fillId="2" borderId="0" xfId="7" applyNumberFormat="1" applyFont="1" applyFill="1" applyAlignment="1">
      <alignment horizontal="right" vertical="center"/>
    </xf>
    <xf numFmtId="164" fontId="12" fillId="0" borderId="0" xfId="8" applyNumberFormat="1" applyFont="1" applyFill="1" applyBorder="1" applyAlignment="1">
      <alignment horizontal="right" vertical="center"/>
    </xf>
    <xf numFmtId="164" fontId="3" fillId="0" borderId="0" xfId="8" applyNumberFormat="1" applyFont="1" applyFill="1" applyBorder="1" applyAlignment="1">
      <alignment horizontal="right" vertical="center"/>
    </xf>
    <xf numFmtId="164" fontId="5" fillId="2" borderId="0" xfId="1" applyFont="1" applyFill="1" applyBorder="1" applyAlignment="1">
      <alignment horizontal="left"/>
    </xf>
    <xf numFmtId="165" fontId="10" fillId="2" borderId="1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4" fontId="7" fillId="2" borderId="0" xfId="1" applyFont="1" applyFill="1" applyBorder="1" applyAlignment="1" applyProtection="1">
      <alignment horizontal="right" vertical="center"/>
    </xf>
    <xf numFmtId="164" fontId="8" fillId="2" borderId="0" xfId="1" applyFont="1" applyFill="1" applyBorder="1" applyAlignment="1" applyProtection="1">
      <alignment horizontal="right" vertical="center"/>
    </xf>
    <xf numFmtId="167" fontId="10" fillId="2" borderId="1" xfId="5" applyNumberFormat="1" applyFont="1" applyFill="1" applyBorder="1" applyAlignment="1">
      <alignment vertical="center"/>
    </xf>
    <xf numFmtId="167" fontId="11" fillId="2" borderId="0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Border="1" applyAlignment="1">
      <alignment vertical="center"/>
    </xf>
    <xf numFmtId="166" fontId="11" fillId="2" borderId="0" xfId="5" applyNumberFormat="1" applyFont="1" applyFill="1" applyBorder="1" applyAlignment="1">
      <alignment vertical="center"/>
    </xf>
    <xf numFmtId="166" fontId="14" fillId="2" borderId="0" xfId="5" applyNumberFormat="1" applyFont="1" applyFill="1" applyBorder="1" applyAlignment="1">
      <alignment vertical="center"/>
    </xf>
    <xf numFmtId="166" fontId="10" fillId="2" borderId="3" xfId="5" applyNumberFormat="1" applyFont="1" applyFill="1" applyBorder="1" applyAlignment="1">
      <alignment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3" xfId="1" applyNumberFormat="1" applyFont="1" applyFill="1" applyBorder="1" applyAlignment="1">
      <alignment horizontal="right" vertical="center"/>
    </xf>
    <xf numFmtId="164" fontId="26" fillId="2" borderId="0" xfId="5" applyFont="1" applyFill="1" applyAlignment="1">
      <alignment horizontal="center" vertical="center"/>
    </xf>
    <xf numFmtId="164" fontId="2" fillId="2" borderId="0" xfId="5" applyFont="1" applyFill="1" applyAlignment="1" applyProtection="1">
      <alignment horizontal="center" vertical="center"/>
    </xf>
    <xf numFmtId="164" fontId="5" fillId="2" borderId="1" xfId="5" applyFont="1" applyFill="1" applyBorder="1" applyAlignment="1">
      <alignment horizontal="center" vertical="center"/>
    </xf>
    <xf numFmtId="164" fontId="5" fillId="2" borderId="0" xfId="5" applyFont="1" applyFill="1" applyBorder="1" applyAlignment="1">
      <alignment horizontal="center" vertical="center"/>
    </xf>
    <xf numFmtId="164" fontId="5" fillId="2" borderId="3" xfId="5" applyFont="1" applyFill="1" applyBorder="1" applyAlignment="1">
      <alignment horizontal="center" vertical="center"/>
    </xf>
    <xf numFmtId="164" fontId="5" fillId="2" borderId="1" xfId="5" applyFont="1" applyFill="1" applyBorder="1" applyAlignment="1">
      <alignment horizontal="left" vertical="center"/>
    </xf>
    <xf numFmtId="164" fontId="5" fillId="2" borderId="0" xfId="5" applyFont="1" applyFill="1" applyBorder="1" applyAlignment="1">
      <alignment horizontal="left" vertical="center"/>
    </xf>
    <xf numFmtId="164" fontId="5" fillId="2" borderId="3" xfId="5" applyFont="1" applyFill="1" applyBorder="1" applyAlignment="1">
      <alignment horizontal="left" vertical="center"/>
    </xf>
  </cellXfs>
  <cellStyles count="9">
    <cellStyle name="1" xfId="4"/>
    <cellStyle name="Comma 2" xfId="7"/>
    <cellStyle name="Normal" xfId="0" builtinId="0"/>
    <cellStyle name="Normal 2" xfId="6"/>
    <cellStyle name="Normal_Estimates96_99" xfId="2"/>
    <cellStyle name="Normal_XII-1 (Commerce)" xfId="1"/>
    <cellStyle name="Normal_XII-1 (Commerce) 2" xfId="8"/>
    <cellStyle name="Normal_XII-2 (Commerce)" xfId="3"/>
    <cellStyle name="Normal_XII-3 (Commerce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7"/>
  <sheetViews>
    <sheetView tabSelected="1" zoomScaleNormal="100" workbookViewId="0">
      <selection activeCell="S20" sqref="S20"/>
    </sheetView>
  </sheetViews>
  <sheetFormatPr defaultColWidth="10.28515625" defaultRowHeight="12" x14ac:dyDescent="0.15"/>
  <cols>
    <col min="1" max="1" width="5" style="50" customWidth="1"/>
    <col min="2" max="2" width="31.5703125" style="50" customWidth="1"/>
    <col min="3" max="6" width="8" style="50" customWidth="1"/>
    <col min="7" max="14" width="10.42578125" style="50" customWidth="1"/>
    <col min="15" max="15" width="32.140625" style="50" customWidth="1"/>
    <col min="16" max="16384" width="10.28515625" style="50"/>
  </cols>
  <sheetData>
    <row r="1" spans="1:17" s="25" customFormat="1" ht="19.5" x14ac:dyDescent="0.25">
      <c r="A1" s="69" t="s">
        <v>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7" s="26" customFormat="1" ht="15" x14ac:dyDescent="0.25">
      <c r="A2" s="70" t="s">
        <v>70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7" s="27" customFormat="1" x14ac:dyDescent="0.2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30"/>
    </row>
    <row r="4" spans="1:17" s="34" customFormat="1" ht="13.9" customHeight="1" x14ac:dyDescent="0.25">
      <c r="A4" s="71" t="s">
        <v>0</v>
      </c>
      <c r="B4" s="74" t="s">
        <v>1</v>
      </c>
      <c r="C4" s="1" t="s">
        <v>61</v>
      </c>
      <c r="D4" s="31"/>
      <c r="E4" s="31"/>
      <c r="F4" s="32"/>
      <c r="G4" s="33"/>
      <c r="H4" s="33"/>
      <c r="I4" s="33"/>
      <c r="J4" s="33"/>
      <c r="K4" s="33"/>
      <c r="L4" s="33"/>
      <c r="M4" s="33"/>
      <c r="N4" s="23" t="s">
        <v>62</v>
      </c>
      <c r="O4" s="66" t="s">
        <v>2</v>
      </c>
    </row>
    <row r="5" spans="1:17" s="34" customFormat="1" x14ac:dyDescent="0.25">
      <c r="A5" s="72"/>
      <c r="B5" s="75"/>
      <c r="C5" s="2"/>
      <c r="D5" s="35"/>
      <c r="E5" s="35"/>
      <c r="G5" s="36"/>
      <c r="H5" s="36"/>
      <c r="I5" s="36"/>
      <c r="J5" s="36"/>
      <c r="K5" s="36"/>
      <c r="L5" s="36"/>
      <c r="M5" s="57" t="s">
        <v>66</v>
      </c>
      <c r="N5" s="57" t="s">
        <v>66</v>
      </c>
      <c r="O5" s="67"/>
    </row>
    <row r="6" spans="1:17" s="34" customFormat="1" ht="16.5" x14ac:dyDescent="0.25">
      <c r="A6" s="72"/>
      <c r="B6" s="75"/>
      <c r="C6" s="2"/>
      <c r="D6" s="35"/>
      <c r="E6" s="35"/>
      <c r="G6" s="36"/>
      <c r="H6" s="36"/>
      <c r="I6" s="36"/>
      <c r="J6" s="36"/>
      <c r="K6" s="36"/>
      <c r="L6" s="36"/>
      <c r="M6" s="58" t="s">
        <v>76</v>
      </c>
      <c r="N6" s="58" t="s">
        <v>76</v>
      </c>
      <c r="O6" s="67"/>
    </row>
    <row r="7" spans="1:17" s="38" customFormat="1" ht="13.9" customHeight="1" x14ac:dyDescent="0.15">
      <c r="A7" s="73"/>
      <c r="B7" s="76"/>
      <c r="C7" s="37">
        <v>2003</v>
      </c>
      <c r="D7" s="37">
        <v>2004</v>
      </c>
      <c r="E7" s="37">
        <v>2005</v>
      </c>
      <c r="F7" s="37">
        <v>2006</v>
      </c>
      <c r="G7" s="37">
        <v>2007</v>
      </c>
      <c r="H7" s="37">
        <v>2008</v>
      </c>
      <c r="I7" s="37">
        <v>2009</v>
      </c>
      <c r="J7" s="37">
        <v>2010</v>
      </c>
      <c r="K7" s="37">
        <v>2011</v>
      </c>
      <c r="L7" s="37">
        <v>2012</v>
      </c>
      <c r="M7" s="51" t="s">
        <v>67</v>
      </c>
      <c r="N7" s="51" t="s">
        <v>68</v>
      </c>
      <c r="O7" s="68"/>
    </row>
    <row r="8" spans="1:17" s="38" customFormat="1" ht="17.25" x14ac:dyDescent="0.2">
      <c r="A8" s="3"/>
      <c r="B8" s="54" t="s">
        <v>78</v>
      </c>
      <c r="C8" s="59">
        <v>100</v>
      </c>
      <c r="D8" s="59">
        <v>100</v>
      </c>
      <c r="E8" s="59">
        <v>100</v>
      </c>
      <c r="F8" s="59">
        <v>100</v>
      </c>
      <c r="G8" s="59">
        <v>100</v>
      </c>
      <c r="H8" s="59">
        <v>100</v>
      </c>
      <c r="I8" s="59">
        <v>100</v>
      </c>
      <c r="J8" s="59">
        <v>100</v>
      </c>
      <c r="K8" s="59">
        <v>100</v>
      </c>
      <c r="L8" s="59">
        <v>100</v>
      </c>
      <c r="M8" s="59">
        <v>100</v>
      </c>
      <c r="N8" s="55">
        <v>100</v>
      </c>
      <c r="O8" s="4" t="s">
        <v>79</v>
      </c>
    </row>
    <row r="9" spans="1:17" s="38" customFormat="1" ht="16.5" x14ac:dyDescent="0.2">
      <c r="A9" s="5"/>
      <c r="B9" s="13" t="s">
        <v>73</v>
      </c>
      <c r="C9" s="60">
        <v>8.964506360756836</v>
      </c>
      <c r="D9" s="60">
        <v>9.510051589295923</v>
      </c>
      <c r="E9" s="60">
        <v>10.052281817816969</v>
      </c>
      <c r="F9" s="60">
        <v>10.279099549211095</v>
      </c>
      <c r="G9" s="60">
        <v>9.9661592943677775</v>
      </c>
      <c r="H9" s="60">
        <v>10.346007907697482</v>
      </c>
      <c r="I9" s="60">
        <v>8.7452285249821653</v>
      </c>
      <c r="J9" s="60">
        <v>8.8371549512674648</v>
      </c>
      <c r="K9" s="60">
        <v>10.709562848502054</v>
      </c>
      <c r="L9" s="60">
        <v>11.724826805071341</v>
      </c>
      <c r="M9" s="60">
        <v>12.137456646053387</v>
      </c>
      <c r="N9" s="56">
        <v>12.654209115639206</v>
      </c>
      <c r="O9" s="52" t="s">
        <v>77</v>
      </c>
    </row>
    <row r="10" spans="1:17" s="38" customFormat="1" ht="15" x14ac:dyDescent="0.2">
      <c r="A10" s="5"/>
      <c r="B10" s="5" t="s">
        <v>63</v>
      </c>
      <c r="C10" s="61">
        <f>C11+C14+C19+C31</f>
        <v>91.035493639243128</v>
      </c>
      <c r="D10" s="61">
        <f t="shared" ref="D10:N10" si="0">D11+D14+D19+D31</f>
        <v>90.489948410704088</v>
      </c>
      <c r="E10" s="61">
        <f t="shared" si="0"/>
        <v>89.947718182183024</v>
      </c>
      <c r="F10" s="61">
        <f t="shared" si="0"/>
        <v>89.720900450788918</v>
      </c>
      <c r="G10" s="61">
        <f t="shared" si="0"/>
        <v>90.033840705632258</v>
      </c>
      <c r="H10" s="61">
        <f t="shared" si="0"/>
        <v>89.653992092302573</v>
      </c>
      <c r="I10" s="61">
        <f t="shared" si="0"/>
        <v>91.254771475017776</v>
      </c>
      <c r="J10" s="61">
        <f t="shared" si="0"/>
        <v>91.162845048732549</v>
      </c>
      <c r="K10" s="61">
        <f t="shared" si="0"/>
        <v>89.290437151497898</v>
      </c>
      <c r="L10" s="61">
        <f t="shared" si="0"/>
        <v>88.275173194928598</v>
      </c>
      <c r="M10" s="61">
        <f t="shared" si="0"/>
        <v>87.862543353946592</v>
      </c>
      <c r="N10" s="61">
        <f t="shared" si="0"/>
        <v>87.345790884360852</v>
      </c>
      <c r="O10" s="53" t="s">
        <v>64</v>
      </c>
    </row>
    <row r="11" spans="1:17" s="38" customFormat="1" ht="15" x14ac:dyDescent="0.2">
      <c r="A11" s="40"/>
      <c r="B11" s="40" t="s">
        <v>3</v>
      </c>
      <c r="C11" s="62">
        <f>C12+C13</f>
        <v>5.4464360036169239</v>
      </c>
      <c r="D11" s="62">
        <f t="shared" ref="D11:N11" si="1">D12+D13</f>
        <v>4.911508791951789</v>
      </c>
      <c r="E11" s="62">
        <f t="shared" si="1"/>
        <v>5.6619687994529091</v>
      </c>
      <c r="F11" s="62">
        <f t="shared" si="1"/>
        <v>4.9305504995336769</v>
      </c>
      <c r="G11" s="62">
        <f t="shared" si="1"/>
        <v>3.9415375921133959</v>
      </c>
      <c r="H11" s="62">
        <f t="shared" si="1"/>
        <v>3.3793769812949144</v>
      </c>
      <c r="I11" s="62">
        <f t="shared" si="1"/>
        <v>3.4816128234851096</v>
      </c>
      <c r="J11" s="62">
        <f t="shared" si="1"/>
        <v>3.2202584675401571</v>
      </c>
      <c r="K11" s="62">
        <f t="shared" si="1"/>
        <v>2.9935473650006799</v>
      </c>
      <c r="L11" s="62">
        <f t="shared" si="1"/>
        <v>2.9194470631944318</v>
      </c>
      <c r="M11" s="62">
        <f t="shared" si="1"/>
        <v>2.9311175087601762</v>
      </c>
      <c r="N11" s="62">
        <f t="shared" si="1"/>
        <v>2.7575500824194177</v>
      </c>
      <c r="O11" s="6" t="s">
        <v>4</v>
      </c>
    </row>
    <row r="12" spans="1:17" s="41" customFormat="1" ht="15" x14ac:dyDescent="0.2">
      <c r="A12" s="7" t="s">
        <v>5</v>
      </c>
      <c r="B12" s="7" t="s">
        <v>6</v>
      </c>
      <c r="C12" s="63">
        <v>2.3547561984843086</v>
      </c>
      <c r="D12" s="63">
        <v>2.1686437968377112</v>
      </c>
      <c r="E12" s="63">
        <v>2.1610959061207957</v>
      </c>
      <c r="F12" s="63">
        <v>1.9907980812883501</v>
      </c>
      <c r="G12" s="63">
        <v>1.8614174804236934</v>
      </c>
      <c r="H12" s="63">
        <v>1.6684773191759876</v>
      </c>
      <c r="I12" s="63">
        <v>1.7218027499673969</v>
      </c>
      <c r="J12" s="63">
        <v>1.6720393526652173</v>
      </c>
      <c r="K12" s="63">
        <v>1.5849794466911502</v>
      </c>
      <c r="L12" s="63">
        <v>1.5547584705197692</v>
      </c>
      <c r="M12" s="63">
        <v>1.520754830154845</v>
      </c>
      <c r="N12" s="63">
        <v>1.4446708214520005</v>
      </c>
      <c r="O12" s="8" t="s">
        <v>7</v>
      </c>
    </row>
    <row r="13" spans="1:17" s="41" customFormat="1" ht="15" x14ac:dyDescent="0.2">
      <c r="A13" s="42" t="s">
        <v>8</v>
      </c>
      <c r="B13" s="39" t="s">
        <v>9</v>
      </c>
      <c r="C13" s="63">
        <v>3.0916798051326149</v>
      </c>
      <c r="D13" s="63">
        <v>2.7428649951140778</v>
      </c>
      <c r="E13" s="63">
        <v>3.5008728933321134</v>
      </c>
      <c r="F13" s="63">
        <v>2.9397524182453272</v>
      </c>
      <c r="G13" s="63">
        <v>2.0801201116897028</v>
      </c>
      <c r="H13" s="63">
        <v>1.7108996621189265</v>
      </c>
      <c r="I13" s="63">
        <v>1.7598100735177129</v>
      </c>
      <c r="J13" s="63">
        <v>1.54821911487494</v>
      </c>
      <c r="K13" s="63">
        <v>1.4085679183095294</v>
      </c>
      <c r="L13" s="63">
        <v>1.3646885926746626</v>
      </c>
      <c r="M13" s="63">
        <v>1.4103626786053312</v>
      </c>
      <c r="N13" s="63">
        <v>1.3128792609674171</v>
      </c>
      <c r="O13" s="8" t="s">
        <v>10</v>
      </c>
    </row>
    <row r="14" spans="1:17" s="38" customFormat="1" ht="15" x14ac:dyDescent="0.2">
      <c r="A14" s="40"/>
      <c r="B14" s="40" t="s">
        <v>11</v>
      </c>
      <c r="C14" s="62">
        <f>C15+C17+C18</f>
        <v>12.583558355345893</v>
      </c>
      <c r="D14" s="62">
        <f t="shared" ref="D14:N14" si="2">D15+D17+D18</f>
        <v>14.577278191612468</v>
      </c>
      <c r="E14" s="62">
        <f t="shared" si="2"/>
        <v>17.507941461910661</v>
      </c>
      <c r="F14" s="62">
        <f t="shared" si="2"/>
        <v>16.103976193010652</v>
      </c>
      <c r="G14" s="62">
        <f t="shared" si="2"/>
        <v>17.910699719226145</v>
      </c>
      <c r="H14" s="62">
        <f t="shared" si="2"/>
        <v>17.408696844759646</v>
      </c>
      <c r="I14" s="62">
        <f t="shared" si="2"/>
        <v>13.583293130895132</v>
      </c>
      <c r="J14" s="62">
        <f t="shared" si="2"/>
        <v>13.218953364048089</v>
      </c>
      <c r="K14" s="62">
        <f t="shared" si="2"/>
        <v>13.635549109691834</v>
      </c>
      <c r="L14" s="62">
        <f t="shared" si="2"/>
        <v>13.412358524226843</v>
      </c>
      <c r="M14" s="62">
        <f t="shared" si="2"/>
        <v>11.840691236294125</v>
      </c>
      <c r="N14" s="62">
        <f t="shared" si="2"/>
        <v>12.550406532786674</v>
      </c>
      <c r="O14" s="6" t="s">
        <v>12</v>
      </c>
    </row>
    <row r="15" spans="1:17" s="41" customFormat="1" ht="15" x14ac:dyDescent="0.2">
      <c r="A15" s="42" t="s">
        <v>13</v>
      </c>
      <c r="B15" s="42" t="s">
        <v>14</v>
      </c>
      <c r="C15" s="63">
        <v>5.3658700819796987</v>
      </c>
      <c r="D15" s="63">
        <v>5.4548933583329182</v>
      </c>
      <c r="E15" s="63">
        <v>5.7116243420793715</v>
      </c>
      <c r="F15" s="63">
        <v>5.1016838279507999</v>
      </c>
      <c r="G15" s="63">
        <v>4.8751971430949324</v>
      </c>
      <c r="H15" s="63">
        <v>4.9191469413891538</v>
      </c>
      <c r="I15" s="63">
        <v>4.1650918234183489</v>
      </c>
      <c r="J15" s="63">
        <v>3.6199364663559748</v>
      </c>
      <c r="K15" s="63">
        <v>3.4226139298876941</v>
      </c>
      <c r="L15" s="63">
        <v>3.4350810650106194</v>
      </c>
      <c r="M15" s="63">
        <v>3.0670799871893832</v>
      </c>
      <c r="N15" s="63">
        <v>2.9072264128183702</v>
      </c>
      <c r="O15" s="8" t="s">
        <v>15</v>
      </c>
    </row>
    <row r="16" spans="1:17" s="45" customFormat="1" ht="15" x14ac:dyDescent="0.2">
      <c r="A16" s="43"/>
      <c r="B16" s="9" t="s">
        <v>16</v>
      </c>
      <c r="C16" s="64">
        <v>2.7717372557312525</v>
      </c>
      <c r="D16" s="64">
        <v>2.9520695851158716</v>
      </c>
      <c r="E16" s="64">
        <v>3.4436497791038896</v>
      </c>
      <c r="F16" s="64">
        <v>2.9910424928353394</v>
      </c>
      <c r="G16" s="64">
        <v>2.6934626471991945</v>
      </c>
      <c r="H16" s="64">
        <v>2.8832827175240681</v>
      </c>
      <c r="I16" s="64">
        <v>2.3131362280212913</v>
      </c>
      <c r="J16" s="64">
        <v>1.798080770209975</v>
      </c>
      <c r="K16" s="64">
        <v>1.6362112119677192</v>
      </c>
      <c r="L16" s="64">
        <v>1.6799640654802064</v>
      </c>
      <c r="M16" s="64">
        <v>1.3704519858905695</v>
      </c>
      <c r="N16" s="64">
        <v>1.2198298808347656</v>
      </c>
      <c r="O16" s="8" t="s">
        <v>17</v>
      </c>
      <c r="P16" s="44"/>
      <c r="Q16" s="44"/>
    </row>
    <row r="17" spans="1:15" s="41" customFormat="1" ht="15" x14ac:dyDescent="0.2">
      <c r="A17" s="42" t="s">
        <v>18</v>
      </c>
      <c r="B17" s="42" t="s">
        <v>19</v>
      </c>
      <c r="C17" s="63">
        <v>1.9019098285382661</v>
      </c>
      <c r="D17" s="63">
        <v>1.921669235971847</v>
      </c>
      <c r="E17" s="63">
        <v>2.4462306571287047</v>
      </c>
      <c r="F17" s="63">
        <v>2.2993357520827464</v>
      </c>
      <c r="G17" s="63">
        <v>2.3983714986628071</v>
      </c>
      <c r="H17" s="63">
        <v>2.432978899389068</v>
      </c>
      <c r="I17" s="63">
        <v>2.7590468030857234</v>
      </c>
      <c r="J17" s="63">
        <v>2.8075958735596656</v>
      </c>
      <c r="K17" s="63">
        <v>2.7793610931649657</v>
      </c>
      <c r="L17" s="63">
        <v>2.8131663945441856</v>
      </c>
      <c r="M17" s="63">
        <v>2.8255383619690466</v>
      </c>
      <c r="N17" s="63">
        <v>2.8635083253197307</v>
      </c>
      <c r="O17" s="10" t="s">
        <v>20</v>
      </c>
    </row>
    <row r="18" spans="1:15" s="41" customFormat="1" ht="15" x14ac:dyDescent="0.2">
      <c r="A18" s="42" t="s">
        <v>21</v>
      </c>
      <c r="B18" s="42" t="s">
        <v>22</v>
      </c>
      <c r="C18" s="63">
        <v>5.3157784448279282</v>
      </c>
      <c r="D18" s="63">
        <v>7.2007155973077035</v>
      </c>
      <c r="E18" s="63">
        <v>9.3500864627025848</v>
      </c>
      <c r="F18" s="63">
        <v>8.7029566129771041</v>
      </c>
      <c r="G18" s="63">
        <v>10.637131077468405</v>
      </c>
      <c r="H18" s="63">
        <v>10.056571003981427</v>
      </c>
      <c r="I18" s="63">
        <v>6.6591545043910596</v>
      </c>
      <c r="J18" s="63">
        <v>6.7914210241324486</v>
      </c>
      <c r="K18" s="63">
        <v>7.4335740866391751</v>
      </c>
      <c r="L18" s="63">
        <v>7.1641110646720376</v>
      </c>
      <c r="M18" s="63">
        <v>5.9480728871356954</v>
      </c>
      <c r="N18" s="63">
        <v>6.7796717946485741</v>
      </c>
      <c r="O18" s="8" t="s">
        <v>23</v>
      </c>
    </row>
    <row r="19" spans="1:15" s="38" customFormat="1" ht="16.5" customHeight="1" x14ac:dyDescent="0.2">
      <c r="A19" s="40"/>
      <c r="B19" s="40" t="s">
        <v>24</v>
      </c>
      <c r="C19" s="62">
        <f>SUM(C20:C30)</f>
        <v>74.915831522529544</v>
      </c>
      <c r="D19" s="62">
        <f t="shared" ref="D19:N19" si="3">SUM(D20:D30)</f>
        <v>72.743426997364779</v>
      </c>
      <c r="E19" s="62">
        <f t="shared" si="3"/>
        <v>68.254418323445833</v>
      </c>
      <c r="F19" s="62">
        <f t="shared" si="3"/>
        <v>70.041445397956053</v>
      </c>
      <c r="G19" s="62">
        <f t="shared" si="3"/>
        <v>69.405568814382164</v>
      </c>
      <c r="H19" s="62">
        <f t="shared" si="3"/>
        <v>69.908027741029628</v>
      </c>
      <c r="I19" s="62">
        <f t="shared" si="3"/>
        <v>75.086835020404777</v>
      </c>
      <c r="J19" s="62">
        <f t="shared" si="3"/>
        <v>75.669712031674649</v>
      </c>
      <c r="K19" s="62">
        <f t="shared" si="3"/>
        <v>73.636438455363944</v>
      </c>
      <c r="L19" s="62">
        <f t="shared" si="3"/>
        <v>72.903481103800857</v>
      </c>
      <c r="M19" s="62">
        <f t="shared" si="3"/>
        <v>74.079164606745337</v>
      </c>
      <c r="N19" s="62">
        <f t="shared" si="3"/>
        <v>73.080905400102637</v>
      </c>
      <c r="O19" s="6" t="s">
        <v>25</v>
      </c>
    </row>
    <row r="20" spans="1:15" s="41" customFormat="1" ht="16.5" customHeight="1" x14ac:dyDescent="0.2">
      <c r="A20" s="42" t="s">
        <v>26</v>
      </c>
      <c r="B20" s="7" t="s">
        <v>27</v>
      </c>
      <c r="C20" s="63">
        <v>3.4197088968544427</v>
      </c>
      <c r="D20" s="63">
        <v>3.7421945640845564</v>
      </c>
      <c r="E20" s="63">
        <v>4.3829988844314629</v>
      </c>
      <c r="F20" s="63">
        <v>4.2217252890317232</v>
      </c>
      <c r="G20" s="63">
        <v>4.1577136578452087</v>
      </c>
      <c r="H20" s="63">
        <v>4.1748089256938536</v>
      </c>
      <c r="I20" s="63">
        <v>3.9125530230002989</v>
      </c>
      <c r="J20" s="63">
        <v>3.6724983070204815</v>
      </c>
      <c r="K20" s="63">
        <v>3.7297825928138262</v>
      </c>
      <c r="L20" s="63">
        <v>3.8938573617871302</v>
      </c>
      <c r="M20" s="63">
        <v>4.1432159163280771</v>
      </c>
      <c r="N20" s="63">
        <v>4.206870558172322</v>
      </c>
      <c r="O20" s="8" t="s">
        <v>28</v>
      </c>
    </row>
    <row r="21" spans="1:15" s="41" customFormat="1" ht="16.5" customHeight="1" x14ac:dyDescent="0.2">
      <c r="A21" s="42" t="s">
        <v>29</v>
      </c>
      <c r="B21" s="7" t="s">
        <v>30</v>
      </c>
      <c r="C21" s="63">
        <v>29.418174038094502</v>
      </c>
      <c r="D21" s="63">
        <v>29.696946862955237</v>
      </c>
      <c r="E21" s="63">
        <v>21.400704838047428</v>
      </c>
      <c r="F21" s="63">
        <v>25.756740704393572</v>
      </c>
      <c r="G21" s="63">
        <v>25.650249034508775</v>
      </c>
      <c r="H21" s="63">
        <v>23.566942282832912</v>
      </c>
      <c r="I21" s="63">
        <v>23.554112318188913</v>
      </c>
      <c r="J21" s="63">
        <v>25.447677398587665</v>
      </c>
      <c r="K21" s="63">
        <v>25.55533018602673</v>
      </c>
      <c r="L21" s="63">
        <v>24.915448427211935</v>
      </c>
      <c r="M21" s="63">
        <v>25.945809575312246</v>
      </c>
      <c r="N21" s="63">
        <v>25.346037745048189</v>
      </c>
      <c r="O21" s="8" t="s">
        <v>31</v>
      </c>
    </row>
    <row r="22" spans="1:15" s="41" customFormat="1" ht="16.5" customHeight="1" x14ac:dyDescent="0.2">
      <c r="A22" s="7" t="s">
        <v>32</v>
      </c>
      <c r="B22" s="7" t="s">
        <v>33</v>
      </c>
      <c r="C22" s="63">
        <v>7.5895943447157288</v>
      </c>
      <c r="D22" s="63">
        <v>7.7403604790982916</v>
      </c>
      <c r="E22" s="63">
        <v>7.5151748729403556</v>
      </c>
      <c r="F22" s="63">
        <v>7.9259232364334018</v>
      </c>
      <c r="G22" s="63">
        <v>7.8332773849226935</v>
      </c>
      <c r="H22" s="63">
        <v>7.3618715481976276</v>
      </c>
      <c r="I22" s="63">
        <v>7.8704229966428549</v>
      </c>
      <c r="J22" s="63">
        <v>8.5898000081501067</v>
      </c>
      <c r="K22" s="63">
        <v>8.454259548646597</v>
      </c>
      <c r="L22" s="63">
        <v>8.1443859265935377</v>
      </c>
      <c r="M22" s="63">
        <v>8.1028802846174965</v>
      </c>
      <c r="N22" s="63">
        <v>8.157391615252271</v>
      </c>
      <c r="O22" s="8" t="s">
        <v>34</v>
      </c>
    </row>
    <row r="23" spans="1:15" s="41" customFormat="1" ht="16.5" customHeight="1" x14ac:dyDescent="0.2">
      <c r="A23" s="7"/>
      <c r="B23" s="7" t="s">
        <v>35</v>
      </c>
      <c r="C23" s="63">
        <v>5.7072269934519211</v>
      </c>
      <c r="D23" s="63">
        <v>5.1749446271814614</v>
      </c>
      <c r="E23" s="63">
        <v>5.8234438563612043</v>
      </c>
      <c r="F23" s="63">
        <v>5.8016049509306766</v>
      </c>
      <c r="G23" s="63">
        <v>6.0717974010116338</v>
      </c>
      <c r="H23" s="63">
        <v>7.0008261486136671</v>
      </c>
      <c r="I23" s="63">
        <v>9.0467245712426649</v>
      </c>
      <c r="J23" s="63">
        <v>8.5999518535650221</v>
      </c>
      <c r="K23" s="63">
        <v>8.5739824033220859</v>
      </c>
      <c r="L23" s="63">
        <v>8.754830350627838</v>
      </c>
      <c r="M23" s="63">
        <v>9.2170959905923997</v>
      </c>
      <c r="N23" s="63">
        <v>9.396908515521794</v>
      </c>
      <c r="O23" s="8" t="s">
        <v>36</v>
      </c>
    </row>
    <row r="24" spans="1:15" s="41" customFormat="1" ht="16.5" customHeight="1" x14ac:dyDescent="0.2">
      <c r="A24" s="42" t="s">
        <v>37</v>
      </c>
      <c r="B24" s="7" t="s">
        <v>38</v>
      </c>
      <c r="C24" s="63">
        <v>2.5253223411326369</v>
      </c>
      <c r="D24" s="63">
        <v>2.5910440238038097</v>
      </c>
      <c r="E24" s="63">
        <v>2.4704660142927279</v>
      </c>
      <c r="F24" s="63">
        <v>2.5505141574550647</v>
      </c>
      <c r="G24" s="63">
        <v>2.5917144679103803</v>
      </c>
      <c r="H24" s="63">
        <v>2.4824692172130263</v>
      </c>
      <c r="I24" s="63">
        <v>2.4945006164156429</v>
      </c>
      <c r="J24" s="63">
        <v>2.4438103051827911</v>
      </c>
      <c r="K24" s="63">
        <v>2.3156878571882604</v>
      </c>
      <c r="L24" s="63">
        <v>2.264872648029058</v>
      </c>
      <c r="M24" s="63">
        <v>2.2021613839525185</v>
      </c>
      <c r="N24" s="63">
        <v>2.118127937250784</v>
      </c>
      <c r="O24" s="8" t="s">
        <v>39</v>
      </c>
    </row>
    <row r="25" spans="1:15" s="41" customFormat="1" ht="16.5" customHeight="1" x14ac:dyDescent="0.2">
      <c r="A25" s="42" t="s">
        <v>40</v>
      </c>
      <c r="B25" s="7" t="s">
        <v>41</v>
      </c>
      <c r="C25" s="63">
        <v>12.087583759690702</v>
      </c>
      <c r="D25" s="63">
        <v>10.839421522997148</v>
      </c>
      <c r="E25" s="63">
        <v>11.513378417211943</v>
      </c>
      <c r="F25" s="63">
        <v>9.6613310820707046</v>
      </c>
      <c r="G25" s="63">
        <v>8.6579394866201245</v>
      </c>
      <c r="H25" s="63">
        <v>7.3511249673811951</v>
      </c>
      <c r="I25" s="63">
        <v>7.7542062945501105</v>
      </c>
      <c r="J25" s="63">
        <v>7.4804326776820629</v>
      </c>
      <c r="K25" s="63">
        <v>7.0064232747254929</v>
      </c>
      <c r="L25" s="63">
        <v>6.9227597154602982</v>
      </c>
      <c r="M25" s="63">
        <v>6.8630932145574519</v>
      </c>
      <c r="N25" s="63">
        <v>6.7174624096827715</v>
      </c>
      <c r="O25" s="8" t="s">
        <v>42</v>
      </c>
    </row>
    <row r="26" spans="1:15" s="41" customFormat="1" ht="16.5" customHeight="1" x14ac:dyDescent="0.2">
      <c r="A26" s="42" t="s">
        <v>40</v>
      </c>
      <c r="B26" s="7" t="s">
        <v>43</v>
      </c>
      <c r="C26" s="63">
        <v>1.067124084733962</v>
      </c>
      <c r="D26" s="63">
        <v>1.0948960603448836</v>
      </c>
      <c r="E26" s="63">
        <v>1.0439434766122087</v>
      </c>
      <c r="F26" s="63">
        <v>1.0777693768212286</v>
      </c>
      <c r="G26" s="63">
        <v>1.0951793695454304</v>
      </c>
      <c r="H26" s="63">
        <v>1.0490156635253669</v>
      </c>
      <c r="I26" s="63">
        <v>1.0619016834451305</v>
      </c>
      <c r="J26" s="63">
        <v>1.0333937649995086</v>
      </c>
      <c r="K26" s="63">
        <v>0.98261946087218333</v>
      </c>
      <c r="L26" s="63">
        <v>0.96128981887262532</v>
      </c>
      <c r="M26" s="63">
        <v>0.93625082912490853</v>
      </c>
      <c r="N26" s="63">
        <v>0.90227875601311269</v>
      </c>
      <c r="O26" s="8" t="s">
        <v>44</v>
      </c>
    </row>
    <row r="27" spans="1:15" s="41" customFormat="1" ht="16.5" customHeight="1" x14ac:dyDescent="0.2">
      <c r="A27" s="42" t="s">
        <v>45</v>
      </c>
      <c r="B27" s="7" t="s">
        <v>46</v>
      </c>
      <c r="C27" s="63">
        <v>7.9474987177881653</v>
      </c>
      <c r="D27" s="63">
        <v>7.2154923973733727</v>
      </c>
      <c r="E27" s="63">
        <v>8.7465995698246708</v>
      </c>
      <c r="F27" s="63">
        <v>7.9495628122639381</v>
      </c>
      <c r="G27" s="63">
        <v>8.078976933718673</v>
      </c>
      <c r="H27" s="63">
        <v>9.9061643614469155</v>
      </c>
      <c r="I27" s="63">
        <v>11.510221269159151</v>
      </c>
      <c r="J27" s="63">
        <v>10.922561526199191</v>
      </c>
      <c r="K27" s="63">
        <v>9.9989512329274035</v>
      </c>
      <c r="L27" s="63">
        <v>10.03833555008263</v>
      </c>
      <c r="M27" s="63">
        <v>9.9821857762792519</v>
      </c>
      <c r="N27" s="63">
        <v>9.776989676545373</v>
      </c>
      <c r="O27" s="8" t="s">
        <v>47</v>
      </c>
    </row>
    <row r="28" spans="1:15" s="24" customFormat="1" ht="16.5" customHeight="1" x14ac:dyDescent="0.2">
      <c r="A28" s="7" t="s">
        <v>48</v>
      </c>
      <c r="B28" s="7" t="s">
        <v>49</v>
      </c>
      <c r="C28" s="63">
        <v>2.9620705018296052</v>
      </c>
      <c r="D28" s="63">
        <v>2.5884673371088192</v>
      </c>
      <c r="E28" s="63">
        <v>2.9282369769360135</v>
      </c>
      <c r="F28" s="63">
        <v>2.8166284775607133</v>
      </c>
      <c r="G28" s="63">
        <v>2.8018088420707934</v>
      </c>
      <c r="H28" s="63">
        <v>3.584516640660893</v>
      </c>
      <c r="I28" s="63">
        <v>4.0700383300922214</v>
      </c>
      <c r="J28" s="63">
        <v>3.8760679340849702</v>
      </c>
      <c r="K28" s="63">
        <v>3.6696536392084735</v>
      </c>
      <c r="L28" s="63">
        <v>3.6933283988651255</v>
      </c>
      <c r="M28" s="63">
        <v>3.5115900264861506</v>
      </c>
      <c r="N28" s="63">
        <v>3.3856247315111792</v>
      </c>
      <c r="O28" s="8" t="s">
        <v>50</v>
      </c>
    </row>
    <row r="29" spans="1:15" s="24" customFormat="1" ht="16.5" customHeight="1" x14ac:dyDescent="0.2">
      <c r="A29" s="7" t="s">
        <v>51</v>
      </c>
      <c r="B29" s="7" t="s">
        <v>52</v>
      </c>
      <c r="C29" s="63">
        <v>1.3146621302104198</v>
      </c>
      <c r="D29" s="63">
        <v>1.2492339270620805</v>
      </c>
      <c r="E29" s="63">
        <v>1.4762649228044649</v>
      </c>
      <c r="F29" s="63">
        <v>1.4378668226219036</v>
      </c>
      <c r="G29" s="63">
        <v>1.66022029839503</v>
      </c>
      <c r="H29" s="63">
        <v>2.3914242335346581</v>
      </c>
      <c r="I29" s="63">
        <v>2.8849815706556869</v>
      </c>
      <c r="J29" s="63">
        <v>2.727588398774071</v>
      </c>
      <c r="K29" s="63">
        <v>2.5348389536889666</v>
      </c>
      <c r="L29" s="63">
        <v>2.4989696035949716</v>
      </c>
      <c r="M29" s="63">
        <v>2.4376473729630566</v>
      </c>
      <c r="N29" s="63">
        <v>2.3980534964360678</v>
      </c>
      <c r="O29" s="8" t="s">
        <v>53</v>
      </c>
    </row>
    <row r="30" spans="1:15" s="24" customFormat="1" ht="16.5" customHeight="1" x14ac:dyDescent="0.2">
      <c r="A30" s="7" t="s">
        <v>54</v>
      </c>
      <c r="B30" s="7" t="s">
        <v>55</v>
      </c>
      <c r="C30" s="63">
        <v>0.87686571402746472</v>
      </c>
      <c r="D30" s="63">
        <v>0.81042519535510171</v>
      </c>
      <c r="E30" s="63">
        <v>0.95320649398336366</v>
      </c>
      <c r="F30" s="63">
        <v>0.84177848837314229</v>
      </c>
      <c r="G30" s="63">
        <v>0.8066919378334213</v>
      </c>
      <c r="H30" s="63">
        <v>1.0388637519295159</v>
      </c>
      <c r="I30" s="63">
        <v>0.92717234701212314</v>
      </c>
      <c r="J30" s="63">
        <v>0.8759298574287776</v>
      </c>
      <c r="K30" s="63">
        <v>0.81490930594393407</v>
      </c>
      <c r="L30" s="63">
        <v>0.8154033026757207</v>
      </c>
      <c r="M30" s="63">
        <v>0.73723423653177778</v>
      </c>
      <c r="N30" s="63">
        <v>0.67515995866876999</v>
      </c>
      <c r="O30" s="8" t="s">
        <v>56</v>
      </c>
    </row>
    <row r="31" spans="1:15" s="47" customFormat="1" ht="15.75" customHeight="1" x14ac:dyDescent="0.2">
      <c r="A31" s="46"/>
      <c r="B31" s="46" t="s">
        <v>57</v>
      </c>
      <c r="C31" s="65">
        <v>-1.910332242249245</v>
      </c>
      <c r="D31" s="65">
        <v>-1.7422655702249408</v>
      </c>
      <c r="E31" s="65">
        <v>-1.4766104026263751</v>
      </c>
      <c r="F31" s="65">
        <v>-1.3550716397114695</v>
      </c>
      <c r="G31" s="65">
        <v>-1.2239654200894445</v>
      </c>
      <c r="H31" s="65">
        <v>-1.0421094747816175</v>
      </c>
      <c r="I31" s="65">
        <v>-0.8969694997672365</v>
      </c>
      <c r="J31" s="65">
        <v>-0.94607881453035136</v>
      </c>
      <c r="K31" s="65">
        <v>-0.97509777855856583</v>
      </c>
      <c r="L31" s="65">
        <v>-0.96011349629353515</v>
      </c>
      <c r="M31" s="65">
        <v>-0.98842999785304331</v>
      </c>
      <c r="N31" s="65">
        <v>-1.0430711309478857</v>
      </c>
      <c r="O31" s="11" t="s">
        <v>58</v>
      </c>
    </row>
    <row r="32" spans="1:15" s="18" customFormat="1" ht="14.25" customHeight="1" x14ac:dyDescent="0.2">
      <c r="A32" s="14" t="s">
        <v>71</v>
      </c>
      <c r="B32" s="7"/>
      <c r="C32" s="15"/>
      <c r="D32" s="15"/>
      <c r="E32" s="15"/>
      <c r="F32" s="15"/>
      <c r="G32" s="15"/>
      <c r="H32" s="16"/>
      <c r="I32" s="16"/>
      <c r="J32" s="16"/>
      <c r="K32" s="16"/>
      <c r="L32" s="16"/>
      <c r="M32" s="16"/>
      <c r="N32" s="16"/>
      <c r="O32" s="17" t="s">
        <v>72</v>
      </c>
    </row>
    <row r="33" spans="1:20" s="18" customFormat="1" ht="14.25" customHeight="1" x14ac:dyDescent="0.2">
      <c r="A33" s="14" t="s">
        <v>74</v>
      </c>
      <c r="B33" s="19"/>
      <c r="C33" s="20"/>
      <c r="D33" s="20"/>
      <c r="E33" s="20"/>
      <c r="F33" s="20"/>
      <c r="G33" s="20"/>
      <c r="H33" s="21"/>
      <c r="I33" s="21"/>
      <c r="J33" s="21"/>
      <c r="K33" s="21"/>
      <c r="L33" s="21"/>
      <c r="M33" s="21"/>
      <c r="N33" s="21"/>
      <c r="O33" s="17" t="s">
        <v>75</v>
      </c>
      <c r="P33" s="22"/>
      <c r="R33" s="22"/>
      <c r="S33" s="22"/>
      <c r="T33" s="22"/>
    </row>
    <row r="34" spans="1:20" s="41" customFormat="1" ht="15.75" x14ac:dyDescent="0.4">
      <c r="A34" s="14" t="s">
        <v>59</v>
      </c>
      <c r="B34" s="48"/>
      <c r="O34" s="12" t="s">
        <v>60</v>
      </c>
      <c r="P34" s="49"/>
    </row>
    <row r="35" spans="1:20" s="41" customFormat="1" ht="15.75" x14ac:dyDescent="0.4">
      <c r="A35" s="14" t="s">
        <v>65</v>
      </c>
      <c r="O35" s="49"/>
      <c r="P35" s="49"/>
    </row>
    <row r="36" spans="1:20" s="41" customFormat="1" x14ac:dyDescent="0.15"/>
    <row r="37" spans="1:20" s="41" customFormat="1" x14ac:dyDescent="0.15"/>
    <row r="38" spans="1:20" s="41" customFormat="1" x14ac:dyDescent="0.15"/>
    <row r="39" spans="1:20" s="41" customFormat="1" x14ac:dyDescent="0.15"/>
    <row r="40" spans="1:20" s="41" customFormat="1" x14ac:dyDescent="0.15"/>
    <row r="41" spans="1:20" s="41" customFormat="1" x14ac:dyDescent="0.15"/>
    <row r="42" spans="1:20" s="41" customFormat="1" x14ac:dyDescent="0.15"/>
    <row r="43" spans="1:20" s="41" customFormat="1" x14ac:dyDescent="0.15"/>
    <row r="44" spans="1:20" s="41" customFormat="1" x14ac:dyDescent="0.15"/>
    <row r="45" spans="1:20" s="41" customFormat="1" x14ac:dyDescent="0.15"/>
    <row r="46" spans="1:20" s="41" customFormat="1" x14ac:dyDescent="0.15"/>
    <row r="47" spans="1:20" s="41" customFormat="1" x14ac:dyDescent="0.15"/>
    <row r="48" spans="1:20" s="41" customFormat="1" x14ac:dyDescent="0.15"/>
    <row r="49" spans="1:1" s="41" customFormat="1" x14ac:dyDescent="0.15"/>
    <row r="50" spans="1:1" s="41" customFormat="1" x14ac:dyDescent="0.15"/>
    <row r="51" spans="1:1" s="41" customFormat="1" x14ac:dyDescent="0.15"/>
    <row r="52" spans="1:1" s="41" customFormat="1" x14ac:dyDescent="0.15"/>
    <row r="53" spans="1:1" s="41" customFormat="1" x14ac:dyDescent="0.15"/>
    <row r="54" spans="1:1" s="41" customFormat="1" x14ac:dyDescent="0.15"/>
    <row r="55" spans="1:1" s="41" customFormat="1" x14ac:dyDescent="0.15"/>
    <row r="56" spans="1:1" s="41" customFormat="1" x14ac:dyDescent="0.15"/>
    <row r="57" spans="1:1" x14ac:dyDescent="0.15">
      <c r="A57" s="41"/>
    </row>
  </sheetData>
  <mergeCells count="5">
    <mergeCell ref="A1:O1"/>
    <mergeCell ref="A2:O2"/>
    <mergeCell ref="A4:A7"/>
    <mergeCell ref="B4:B7"/>
    <mergeCell ref="O4:O7"/>
  </mergeCells>
  <pageMargins left="0.7" right="0.7" top="0.75" bottom="0.75" header="0.3" footer="0.3"/>
  <pageSetup paperSize="9" scale="71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2016-03-16T07:35:51Z</cp:lastPrinted>
  <dcterms:created xsi:type="dcterms:W3CDTF">2014-05-21T04:36:27Z</dcterms:created>
  <dcterms:modified xsi:type="dcterms:W3CDTF">2016-03-16T07:35:53Z</dcterms:modified>
</cp:coreProperties>
</file>