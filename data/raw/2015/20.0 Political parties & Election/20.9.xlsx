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05" windowWidth="15480" windowHeight="11055" tabRatio="833" firstSheet="2" activeTab="2"/>
  </bookViews>
  <sheets>
    <sheet name="20.3" sheetId="2" state="hidden" r:id="rId1"/>
    <sheet name="20.4" sheetId="6" state="hidden" r:id="rId2"/>
    <sheet name="20.9" sheetId="17" r:id="rId3"/>
  </sheets>
  <definedNames>
    <definedName name="_xlnm.Print_Area" localSheetId="1">'20.4'!$A$1:$E$86</definedName>
    <definedName name="_xlnm.Print_Area" localSheetId="2">'20.9'!$A$1:$X$70</definedName>
    <definedName name="_xlnm.Print_Titles" localSheetId="1">'20.4'!$1:$3</definedName>
  </definedNames>
  <calcPr calcId="144525"/>
</workbook>
</file>

<file path=xl/calcChain.xml><?xml version="1.0" encoding="utf-8"?>
<calcChain xmlns="http://schemas.openxmlformats.org/spreadsheetml/2006/main">
  <c r="Q10" i="17" l="1"/>
  <c r="L9" i="17"/>
  <c r="K9" i="17"/>
  <c r="J9" i="17"/>
  <c r="I9" i="17"/>
  <c r="H9" i="17"/>
  <c r="T9" i="17" s="1"/>
  <c r="G9" i="17"/>
  <c r="F9" i="17"/>
  <c r="E9" i="17"/>
  <c r="Q9" i="17" l="1"/>
  <c r="R9" i="17"/>
  <c r="S9" i="17"/>
  <c r="B9" i="17"/>
  <c r="S10" i="17" l="1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C9" i="17"/>
  <c r="Q11" i="17"/>
  <c r="W30" i="17"/>
  <c r="V30" i="17"/>
  <c r="U30" i="17"/>
  <c r="S30" i="17"/>
  <c r="R30" i="17"/>
  <c r="Q30" i="17"/>
  <c r="W29" i="17"/>
  <c r="V29" i="17"/>
  <c r="U29" i="17"/>
  <c r="S29" i="17"/>
  <c r="R29" i="17"/>
  <c r="Q29" i="17"/>
  <c r="W28" i="17"/>
  <c r="V28" i="17"/>
  <c r="U28" i="17"/>
  <c r="S28" i="17"/>
  <c r="R28" i="17"/>
  <c r="Q28" i="17"/>
  <c r="W27" i="17"/>
  <c r="V27" i="17"/>
  <c r="U27" i="17"/>
  <c r="S27" i="17"/>
  <c r="R27" i="17"/>
  <c r="Q27" i="17"/>
  <c r="W26" i="17"/>
  <c r="V26" i="17"/>
  <c r="U26" i="17"/>
  <c r="S26" i="17"/>
  <c r="R26" i="17"/>
  <c r="Q26" i="17"/>
  <c r="W25" i="17"/>
  <c r="V25" i="17"/>
  <c r="U25" i="17"/>
  <c r="S25" i="17"/>
  <c r="R25" i="17"/>
  <c r="Q25" i="17"/>
  <c r="W24" i="17"/>
  <c r="V24" i="17"/>
  <c r="U24" i="17"/>
  <c r="S24" i="17"/>
  <c r="R24" i="17"/>
  <c r="Q24" i="17"/>
  <c r="W23" i="17"/>
  <c r="V23" i="17"/>
  <c r="U23" i="17"/>
  <c r="S23" i="17"/>
  <c r="R23" i="17"/>
  <c r="Q23" i="17"/>
  <c r="W22" i="17"/>
  <c r="V22" i="17"/>
  <c r="U22" i="17"/>
  <c r="S22" i="17"/>
  <c r="R22" i="17"/>
  <c r="Q22" i="17"/>
  <c r="W21" i="17"/>
  <c r="V21" i="17"/>
  <c r="U21" i="17"/>
  <c r="S21" i="17"/>
  <c r="R21" i="17"/>
  <c r="Q21" i="17"/>
  <c r="W20" i="17"/>
  <c r="V20" i="17"/>
  <c r="U20" i="17"/>
  <c r="S20" i="17"/>
  <c r="R20" i="17"/>
  <c r="Q20" i="17"/>
  <c r="W19" i="17"/>
  <c r="V19" i="17"/>
  <c r="U19" i="17"/>
  <c r="S19" i="17"/>
  <c r="R19" i="17"/>
  <c r="Q19" i="17"/>
  <c r="W18" i="17"/>
  <c r="V18" i="17"/>
  <c r="U18" i="17"/>
  <c r="S18" i="17"/>
  <c r="R18" i="17"/>
  <c r="Q18" i="17"/>
  <c r="W17" i="17"/>
  <c r="V17" i="17"/>
  <c r="U17" i="17"/>
  <c r="S17" i="17"/>
  <c r="R17" i="17"/>
  <c r="Q17" i="17"/>
  <c r="W16" i="17"/>
  <c r="V16" i="17"/>
  <c r="U16" i="17"/>
  <c r="S16" i="17"/>
  <c r="R16" i="17"/>
  <c r="Q16" i="17"/>
  <c r="W15" i="17"/>
  <c r="V15" i="17"/>
  <c r="U15" i="17"/>
  <c r="S15" i="17"/>
  <c r="R15" i="17"/>
  <c r="Q15" i="17"/>
  <c r="W14" i="17"/>
  <c r="V14" i="17"/>
  <c r="U14" i="17"/>
  <c r="S14" i="17"/>
  <c r="R14" i="17"/>
  <c r="Q14" i="17"/>
  <c r="W13" i="17"/>
  <c r="V13" i="17"/>
  <c r="U13" i="17"/>
  <c r="S13" i="17"/>
  <c r="R13" i="17"/>
  <c r="Q13" i="17"/>
  <c r="W12" i="17"/>
  <c r="V12" i="17"/>
  <c r="U12" i="17"/>
  <c r="S12" i="17"/>
  <c r="R12" i="17"/>
  <c r="Q12" i="17"/>
  <c r="W11" i="17"/>
  <c r="V11" i="17"/>
  <c r="U11" i="17"/>
  <c r="S11" i="17"/>
  <c r="R11" i="17"/>
  <c r="W10" i="17"/>
  <c r="V10" i="17"/>
  <c r="U10" i="17"/>
  <c r="R10" i="17"/>
  <c r="O9" i="17"/>
  <c r="N9" i="17"/>
  <c r="M9" i="17"/>
  <c r="U9" i="17" l="1"/>
  <c r="V9" i="17"/>
  <c r="W9" i="17"/>
  <c r="D78" i="6"/>
  <c r="D77" i="6"/>
  <c r="D76" i="6"/>
  <c r="D75" i="6"/>
  <c r="D74" i="6"/>
  <c r="C73" i="6"/>
  <c r="B73" i="6"/>
  <c r="D72" i="6"/>
  <c r="D71" i="6"/>
  <c r="D69" i="6"/>
  <c r="D68" i="6"/>
  <c r="D67" i="6"/>
  <c r="D66" i="6"/>
  <c r="D65" i="6"/>
  <c r="D64" i="6"/>
  <c r="D63" i="6"/>
  <c r="D62" i="6"/>
  <c r="C61" i="6"/>
  <c r="B61" i="6"/>
  <c r="D60" i="6"/>
  <c r="D59" i="6"/>
  <c r="D58" i="6"/>
  <c r="C57" i="6"/>
  <c r="B57" i="6"/>
  <c r="D56" i="6"/>
  <c r="D55" i="6"/>
  <c r="D54" i="6"/>
  <c r="D53" i="6"/>
  <c r="D52" i="6"/>
  <c r="D51" i="6"/>
  <c r="C50" i="6"/>
  <c r="B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C29" i="6"/>
  <c r="B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C8" i="6"/>
  <c r="C6" i="6" s="1"/>
  <c r="B8" i="6"/>
  <c r="B6" i="6" s="1"/>
  <c r="D6" i="6" l="1"/>
  <c r="D8" i="6"/>
  <c r="D29" i="6"/>
  <c r="D50" i="6"/>
  <c r="D57" i="6"/>
  <c r="D61" i="6"/>
  <c r="D73" i="6"/>
</calcChain>
</file>

<file path=xl/sharedStrings.xml><?xml version="1.0" encoding="utf-8"?>
<sst xmlns="http://schemas.openxmlformats.org/spreadsheetml/2006/main" count="255" uniqueCount="139">
  <si>
    <t>Eligible voters</t>
  </si>
  <si>
    <t>Number voted</t>
  </si>
  <si>
    <t>Voter turnout</t>
  </si>
  <si>
    <t>Correct votes</t>
  </si>
  <si>
    <t>Cancelled votes</t>
  </si>
  <si>
    <t>Republic</t>
  </si>
  <si>
    <t>HA</t>
  </si>
  <si>
    <t>Source: Elections Commission</t>
  </si>
  <si>
    <t xml:space="preserve">މަޢުލޫމާތު ދެއްވި ފަރާތް: އިލެކްޝަންސް ކޮމިޝަން </t>
  </si>
  <si>
    <t>Atoll/Island</t>
  </si>
  <si>
    <t>އަތޮޅާއި ރަށް</t>
  </si>
  <si>
    <t>ވޯޓްލީ މީހުންގެ އަދަދު</t>
  </si>
  <si>
    <t xml:space="preserve">ވޯޓުލުމުގެ ޙައްޤުލިބިފައިވާ މީހުންގެ އަދަދު </t>
  </si>
  <si>
    <t>ވޯޓްލީ މީހުންގެ އިން ސައްތަ</t>
  </si>
  <si>
    <t>މުޅި ރާއްޖެ</t>
  </si>
  <si>
    <t>ވޯޓުލީ މީހުންގެ ނިސްބަތް</t>
  </si>
  <si>
    <t>ބާތިލު ވޯޓު</t>
  </si>
  <si>
    <t>ވޯޓުލީ މީހުންގެ އަދަދު</t>
  </si>
  <si>
    <t>ވޯޓުލުމުގެ ޙައްޤު ލިބިފައިވާ މީހުންގެ އަދަދު</t>
  </si>
  <si>
    <t>AA</t>
  </si>
  <si>
    <t>B</t>
  </si>
  <si>
    <t>F</t>
  </si>
  <si>
    <t>GA</t>
  </si>
  <si>
    <t>K</t>
  </si>
  <si>
    <t>L</t>
  </si>
  <si>
    <t>M</t>
  </si>
  <si>
    <t>N</t>
  </si>
  <si>
    <t>R</t>
  </si>
  <si>
    <t>V</t>
  </si>
  <si>
    <t>ހއ</t>
  </si>
  <si>
    <t>ހދ</t>
  </si>
  <si>
    <t>ށ</t>
  </si>
  <si>
    <t>ނ</t>
  </si>
  <si>
    <t>ރ</t>
  </si>
  <si>
    <t>ބ</t>
  </si>
  <si>
    <t>ޅ</t>
  </si>
  <si>
    <t>ކ</t>
  </si>
  <si>
    <t>އއ</t>
  </si>
  <si>
    <t>އދ</t>
  </si>
  <si>
    <t>ވ</t>
  </si>
  <si>
    <t>މ</t>
  </si>
  <si>
    <t>ފ</t>
  </si>
  <si>
    <t>ދ</t>
  </si>
  <si>
    <t>ތ</t>
  </si>
  <si>
    <t>ލ</t>
  </si>
  <si>
    <t>ގއ</t>
  </si>
  <si>
    <t>އަތޮޅުތަކުގައި ބެހެއްޓުނު ފޮށިތައް</t>
  </si>
  <si>
    <t>ގދ</t>
  </si>
  <si>
    <t>ޏ</t>
  </si>
  <si>
    <t>ސ</t>
  </si>
  <si>
    <t>S</t>
  </si>
  <si>
    <t>Henveyru</t>
  </si>
  <si>
    <t>Galolhu</t>
  </si>
  <si>
    <t>Machangolhi</t>
  </si>
  <si>
    <t>Maafannu</t>
  </si>
  <si>
    <t>Villingili</t>
  </si>
  <si>
    <t>Hulhumale</t>
  </si>
  <si>
    <t>ހެންވޭރު</t>
  </si>
  <si>
    <t>ގަލޮޅު</t>
  </si>
  <si>
    <t>މައްޗަންގޮޅި</t>
  </si>
  <si>
    <t>މާފަންނު</t>
  </si>
  <si>
    <t>ވިލިގިލި</t>
  </si>
  <si>
    <t>ހުޅުމާލެ</t>
  </si>
  <si>
    <t>ރާއްޖެއިންބޭރުގައި ބެހެއްޓުނު ވޯޓުފޮށިތަކުން ލިބުނު ވޯޓު</t>
  </si>
  <si>
    <t>Colombo</t>
  </si>
  <si>
    <t>Kuala lumpur</t>
  </si>
  <si>
    <t>Singapore</t>
  </si>
  <si>
    <t>މާލޭގައި ބެހެއްޓުނު އަތޮޅުތަކުގެ ވޯޓުފޮށިތައް</t>
  </si>
  <si>
    <t>މާލެގައި ބެހެއްޓުނު ވޯޓުފޮށިތައް</t>
  </si>
  <si>
    <t>އިޤްތިސާދީ ބޮޑެތި މަސައްކަތް ކުރާ ތަންތަނުގައި ބެހެއްޓުނު ވޯޓުފޮށިތައް</t>
  </si>
  <si>
    <t>ރިސޯޓްތަކުގައި ބެހެއްޓުނު ވޯޓުފޮށިތައް</t>
  </si>
  <si>
    <t>U.K</t>
  </si>
  <si>
    <t>ކޮލަމްބޯ</t>
  </si>
  <si>
    <t>ކުއަލަމްޕޫރު</t>
  </si>
  <si>
    <t>ސިންގަޕޫރު</t>
  </si>
  <si>
    <t>ޓްރިވެންޑްރަމް</t>
  </si>
  <si>
    <t>ޔޫކޭ</t>
  </si>
  <si>
    <t xml:space="preserve">Boxes kept in Atolls  </t>
  </si>
  <si>
    <t xml:space="preserve">Boxes kept in places where Industrial works are done  </t>
  </si>
  <si>
    <t xml:space="preserve">Boxes kept in Tourist Resorts  </t>
  </si>
  <si>
    <t xml:space="preserve">Boxes kept abroad  </t>
  </si>
  <si>
    <t>ތަފްސީލް</t>
  </si>
  <si>
    <t>Details</t>
  </si>
  <si>
    <t>Gn</t>
  </si>
  <si>
    <t>GDh</t>
  </si>
  <si>
    <t>Dh</t>
  </si>
  <si>
    <t>Th</t>
  </si>
  <si>
    <t>ADh</t>
  </si>
  <si>
    <t>Lh</t>
  </si>
  <si>
    <t>Sh</t>
  </si>
  <si>
    <t>HDh</t>
  </si>
  <si>
    <t>Frist Round</t>
  </si>
  <si>
    <t>Second Round</t>
  </si>
  <si>
    <t xml:space="preserve">ނޯޓް: 18 އަހަރުން މަތީގެ ކޮންމެ މީހަކަށްވެސް ވޯޓްލުމުގެ ޙައްޤުލިބިގެންވެއެވެ. </t>
  </si>
  <si>
    <t xml:space="preserve">Boxes kept in Male' for the Atolls people  </t>
  </si>
  <si>
    <t xml:space="preserve">Boxes kept in Male'  </t>
  </si>
  <si>
    <t>Note: All those 18 years of age and over are eligible to vote.</t>
  </si>
  <si>
    <t>ފުރަތަމަ ބުރު</t>
  </si>
  <si>
    <t>Note:  Ballot / Boxes are kept in tourist resorts and industrial islands  for those locals working there and in selected countries for those maldivians  living abroad.</t>
  </si>
  <si>
    <t xml:space="preserve">  living abroad.</t>
  </si>
  <si>
    <t xml:space="preserve">ނޯޓް: މީހުން ދިރިއުޅޭ ރަށްރަށްފިޔަވާ ރިސޯޓްތަކާއި ސީނާޢީ ރަށްތަކުގައި މަސައްކަތްކުރާ ފަރާތްތައް ވޯޓްލުމަށްޓަކާ މިތަންތަނުގައި ވޯޓްފޮށި ބެހެއްޓުނެވެ. އަދި ރާއްޖޭންބޭރުގައި ދިރިއުޅޭ </t>
  </si>
  <si>
    <t xml:space="preserve">    ދިވެހީންނަށް ޚާއްސަކޮށްގެން ބައެއް ޤައުމުތަކުގައިވެސް ވޯޓްފޮށި ބެހެއްޓުނެވެ. </t>
  </si>
  <si>
    <t>ސައްހަ ވޯޓު</t>
  </si>
  <si>
    <t xml:space="preserve">ތާވަލު 20.3: 2013 ވަނަ އަހަރުގެ ރިޔާސީ އިންތިޚާބު </t>
  </si>
  <si>
    <t xml:space="preserve">TABLE 20.3: PRESIDENTIAL ELECTION, 2013 </t>
  </si>
  <si>
    <t>ތާވަލު 20.4:  2013 ވަނަ އަހަރުގެ ރިޔާސީ އިންތިޚާބުގެ ދެވަނަ ބުރުގައި ބެހެއްޓުނު ވޯޓު ފޮށިތަކުގެ ތަފްސީލް</t>
  </si>
  <si>
    <t>TABLE 20.4: DETAILS OF THE BALLOT BOXES KEPT DURING PRESIDENTIAL  ELECTIONS 2013</t>
  </si>
  <si>
    <t>-</t>
  </si>
  <si>
    <t xml:space="preserve">Source:  Ministry of Finance and Treasury and Elections Commission </t>
  </si>
  <si>
    <t>City / Atoll</t>
  </si>
  <si>
    <r>
      <t xml:space="preserve">Budget Expenditure  (MVR)      </t>
    </r>
    <r>
      <rPr>
        <b/>
        <sz val="10.5"/>
        <color theme="1"/>
        <rFont val="Faruma"/>
      </rPr>
      <t xml:space="preserve">  (ބަޖެޓް ޚަރަދު (ރުފިޔާ</t>
    </r>
    <r>
      <rPr>
        <b/>
        <sz val="10.5"/>
        <color theme="1"/>
        <rFont val="Calibri"/>
        <family val="2"/>
        <scheme val="minor"/>
      </rPr>
      <t xml:space="preserve"> </t>
    </r>
  </si>
  <si>
    <t>ސިޓީ / އަތޮޅު</t>
  </si>
  <si>
    <t xml:space="preserve">ކައުންސިލްތަކުގެ </t>
  </si>
  <si>
    <t>މެމްބަރުންގެ</t>
  </si>
  <si>
    <t>Total council budget</t>
  </si>
  <si>
    <t>Salary &amp; allowances of council members &amp; staff</t>
  </si>
  <si>
    <t xml:space="preserve"> ޢަދަދު</t>
  </si>
  <si>
    <t>ކައުންސިލް މެމްބަރުންނާއި މުވައްޒަފުންގެ މުސާރައާއި އެލަވަންސް</t>
  </si>
  <si>
    <t>Number of councils</t>
  </si>
  <si>
    <t>Number  of members (end)</t>
  </si>
  <si>
    <t>ކައުންސިލްތަކުގެ ޖުމްލަ ބަޖެޓް</t>
  </si>
  <si>
    <r>
      <t xml:space="preserve">Numbers      </t>
    </r>
    <r>
      <rPr>
        <b/>
        <sz val="10.5"/>
        <color theme="1"/>
        <rFont val="Faruma"/>
      </rPr>
      <t xml:space="preserve"> ޢަދަދު</t>
    </r>
  </si>
  <si>
    <r>
      <t xml:space="preserve">Percentage share  </t>
    </r>
    <r>
      <rPr>
        <b/>
        <sz val="10.5"/>
        <color theme="1"/>
        <rFont val="Faruma"/>
      </rPr>
      <t>އިންސައްތައިން</t>
    </r>
  </si>
  <si>
    <t>Total</t>
  </si>
  <si>
    <t>ޖުމްލަ</t>
  </si>
  <si>
    <t>Male' City</t>
  </si>
  <si>
    <t>މާލޭ ސިޓީ</t>
  </si>
  <si>
    <t>Addu City</t>
  </si>
  <si>
    <t>އައްޑޫ ސިޓީ</t>
  </si>
  <si>
    <t xml:space="preserve">މަޢުލޫމާތު ދެއްވި ފަރާތް:  މިނިސްޓްރީ އޮފް ފިނޭންސް އެންޑް ޓްރެޜަރީ އަދި އިލެކްޝަންސް ކޮމިޝަން </t>
  </si>
  <si>
    <t>ދެވަނަ ބުރު</t>
  </si>
  <si>
    <t>India</t>
  </si>
  <si>
    <t xml:space="preserve"> * Excluding Ballot/Boxes kept in Jails</t>
  </si>
  <si>
    <t xml:space="preserve">     *ޖަލުގައި ބެހެއްޓިފައިވާ ވޯޓުފޮށިތައް ނުހިމެނޭ</t>
  </si>
  <si>
    <t>MTEF 2014</t>
  </si>
  <si>
    <t>MTEF 2015</t>
  </si>
  <si>
    <t>MTEF 2016</t>
  </si>
  <si>
    <t>TABLE 20.9: ELECTED LOCAL COUNCIL MEMBERS BY ATOLL AND FINANCIAL RESOURCES, 2011-2014</t>
  </si>
  <si>
    <t>ތާވަލު 20.9: ލޯކަލް ކައުންސިލްތަކާއި މެމްބަރުންގެ ޢަދަދު އަދި ކައުންސިލްތަކަށް ހިނގި ޚަރަދު، 2014-2011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</si>
</sst>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sz val="10"/>
      <name val="Arial"/>
      <family val="2"/>
    </font>
    <font>
      <sz val="10"/>
      <color theme="1"/>
      <name val="Faruma"/>
    </font>
    <font>
      <b/>
      <sz val="9"/>
      <color theme="1"/>
      <name val="Faruma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0"/>
      <color theme="1"/>
      <name val="Calibri"/>
      <family val="2"/>
      <scheme val="minor"/>
    </font>
    <font>
      <sz val="10"/>
      <color theme="1" tint="0.14999847407452621"/>
      <name val="Faruma"/>
    </font>
    <font>
      <sz val="10"/>
      <name val="Faruma"/>
    </font>
    <font>
      <b/>
      <sz val="10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b/>
      <sz val="10.5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2"/>
      <color theme="1"/>
      <name val="Faruma"/>
    </font>
    <font>
      <sz val="10.5"/>
      <color theme="1"/>
      <name val="Calibri"/>
      <family val="2"/>
      <scheme val="minor"/>
    </font>
    <font>
      <b/>
      <sz val="10.5"/>
      <color theme="1"/>
      <name val="Faruma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/>
      <bottom style="hair">
        <color theme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theme="1"/>
      </top>
      <bottom/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theme="1"/>
      </left>
      <right/>
      <top style="hair">
        <color theme="1"/>
      </top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/>
      <top/>
      <bottom style="dotted">
        <color indexed="64"/>
      </bottom>
      <diagonal/>
    </border>
    <border>
      <left style="thin">
        <color theme="1"/>
      </left>
      <right/>
      <top style="dotted">
        <color indexed="64"/>
      </top>
      <bottom style="thin">
        <color indexed="64"/>
      </bottom>
      <diagonal/>
    </border>
    <border>
      <left style="thin">
        <color theme="1"/>
      </left>
      <right/>
      <top/>
      <bottom/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" fillId="0" borderId="0"/>
    <xf numFmtId="0" fontId="5" fillId="0" borderId="0"/>
    <xf numFmtId="0" fontId="1" fillId="0" borderId="0"/>
    <xf numFmtId="0" fontId="22" fillId="0" borderId="0"/>
    <xf numFmtId="0" fontId="1" fillId="0" borderId="0"/>
  </cellStyleXfs>
  <cellXfs count="189">
    <xf numFmtId="0" fontId="0" fillId="0" borderId="0" xfId="0"/>
    <xf numFmtId="0" fontId="0" fillId="2" borderId="0" xfId="0" applyFill="1"/>
    <xf numFmtId="0" fontId="0" fillId="2" borderId="0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Border="1"/>
    <xf numFmtId="0" fontId="2" fillId="2" borderId="0" xfId="0" applyFont="1" applyFill="1"/>
    <xf numFmtId="0" fontId="4" fillId="2" borderId="0" xfId="0" applyFont="1" applyFill="1"/>
    <xf numFmtId="0" fontId="6" fillId="2" borderId="0" xfId="0" applyFont="1" applyFill="1"/>
    <xf numFmtId="0" fontId="3" fillId="2" borderId="0" xfId="0" applyFont="1" applyFill="1" applyAlignment="1"/>
    <xf numFmtId="3" fontId="4" fillId="2" borderId="0" xfId="0" applyNumberFormat="1" applyFont="1" applyFill="1"/>
    <xf numFmtId="0" fontId="4" fillId="2" borderId="1" xfId="0" applyFont="1" applyFill="1" applyBorder="1"/>
    <xf numFmtId="0" fontId="0" fillId="2" borderId="0" xfId="0" applyFill="1" applyAlignment="1">
      <alignment horizontal="center"/>
    </xf>
    <xf numFmtId="0" fontId="8" fillId="2" borderId="0" xfId="0" applyFont="1" applyFill="1"/>
    <xf numFmtId="3" fontId="2" fillId="2" borderId="0" xfId="0" applyNumberFormat="1" applyFont="1" applyFill="1" applyBorder="1" applyAlignment="1">
      <alignment vertical="center"/>
    </xf>
    <xf numFmtId="3" fontId="0" fillId="2" borderId="0" xfId="0" applyNumberFormat="1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165" fontId="0" fillId="2" borderId="0" xfId="3" applyNumberFormat="1" applyFont="1" applyFill="1" applyAlignment="1">
      <alignment horizontal="center"/>
    </xf>
    <xf numFmtId="0" fontId="2" fillId="2" borderId="3" xfId="0" applyFont="1" applyFill="1" applyBorder="1" applyAlignment="1">
      <alignment horizontal="right" vertical="center" wrapText="1"/>
    </xf>
    <xf numFmtId="165" fontId="10" fillId="2" borderId="0" xfId="3" applyNumberFormat="1" applyFont="1" applyFill="1" applyAlignment="1">
      <alignment horizontal="center"/>
    </xf>
    <xf numFmtId="164" fontId="10" fillId="2" borderId="0" xfId="0" applyNumberFormat="1" applyFont="1" applyFill="1" applyAlignment="1">
      <alignment horizontal="center"/>
    </xf>
    <xf numFmtId="0" fontId="10" fillId="2" borderId="0" xfId="0" applyFont="1" applyFill="1"/>
    <xf numFmtId="3" fontId="9" fillId="2" borderId="0" xfId="2" applyNumberFormat="1" applyFont="1" applyFill="1" applyBorder="1" applyAlignment="1" applyProtection="1">
      <alignment horizontal="right" vertical="center"/>
    </xf>
    <xf numFmtId="3" fontId="11" fillId="2" borderId="0" xfId="2" applyNumberFormat="1" applyFont="1" applyFill="1" applyBorder="1" applyAlignment="1" applyProtection="1">
      <alignment horizontal="right" vertical="center"/>
    </xf>
    <xf numFmtId="3" fontId="12" fillId="2" borderId="0" xfId="2" applyNumberFormat="1" applyFont="1" applyFill="1" applyBorder="1" applyAlignment="1" applyProtection="1">
      <alignment horizontal="right" vertical="center"/>
    </xf>
    <xf numFmtId="165" fontId="10" fillId="2" borderId="0" xfId="3" applyNumberFormat="1" applyFont="1" applyFill="1" applyBorder="1" applyAlignment="1">
      <alignment horizontal="center"/>
    </xf>
    <xf numFmtId="0" fontId="10" fillId="2" borderId="0" xfId="0" applyFont="1" applyFill="1" applyBorder="1"/>
    <xf numFmtId="165" fontId="8" fillId="2" borderId="0" xfId="3" applyNumberFormat="1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wrapText="1"/>
    </xf>
    <xf numFmtId="0" fontId="10" fillId="2" borderId="1" xfId="0" applyFont="1" applyFill="1" applyBorder="1"/>
    <xf numFmtId="165" fontId="10" fillId="2" borderId="1" xfId="3" applyNumberFormat="1" applyFont="1" applyFill="1" applyBorder="1" applyAlignment="1">
      <alignment horizontal="center"/>
    </xf>
    <xf numFmtId="164" fontId="10" fillId="2" borderId="1" xfId="0" applyNumberFormat="1" applyFont="1" applyFill="1" applyBorder="1" applyAlignment="1">
      <alignment horizontal="center"/>
    </xf>
    <xf numFmtId="0" fontId="6" fillId="2" borderId="1" xfId="0" applyFont="1" applyFill="1" applyBorder="1"/>
    <xf numFmtId="0" fontId="2" fillId="2" borderId="1" xfId="0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>
      <alignment horizontal="center"/>
    </xf>
    <xf numFmtId="165" fontId="10" fillId="2" borderId="4" xfId="3" applyNumberFormat="1" applyFont="1" applyFill="1" applyBorder="1" applyAlignment="1">
      <alignment horizontal="center"/>
    </xf>
    <xf numFmtId="0" fontId="10" fillId="2" borderId="4" xfId="0" applyFont="1" applyFill="1" applyBorder="1"/>
    <xf numFmtId="0" fontId="6" fillId="2" borderId="4" xfId="0" applyFont="1" applyFill="1" applyBorder="1"/>
    <xf numFmtId="0" fontId="8" fillId="2" borderId="0" xfId="0" applyFont="1" applyFill="1" applyBorder="1"/>
    <xf numFmtId="164" fontId="10" fillId="2" borderId="0" xfId="0" applyNumberFormat="1" applyFont="1" applyFill="1" applyBorder="1" applyAlignment="1">
      <alignment horizontal="center"/>
    </xf>
    <xf numFmtId="0" fontId="13" fillId="2" borderId="0" xfId="0" applyFont="1" applyFill="1" applyBorder="1"/>
    <xf numFmtId="0" fontId="8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left" vertical="center" wrapText="1"/>
    </xf>
    <xf numFmtId="165" fontId="8" fillId="2" borderId="0" xfId="3" applyNumberFormat="1" applyFont="1" applyFill="1" applyBorder="1" applyAlignment="1">
      <alignment horizontal="center" vertical="center"/>
    </xf>
    <xf numFmtId="164" fontId="10" fillId="2" borderId="0" xfId="0" applyNumberFormat="1" applyFont="1" applyFill="1" applyBorder="1" applyAlignment="1">
      <alignment horizontal="center" vertical="center"/>
    </xf>
    <xf numFmtId="164" fontId="8" fillId="2" borderId="0" xfId="0" applyNumberFormat="1" applyFont="1" applyFill="1" applyBorder="1" applyAlignment="1">
      <alignment horizontal="center"/>
    </xf>
    <xf numFmtId="165" fontId="8" fillId="2" borderId="0" xfId="3" applyNumberFormat="1" applyFont="1" applyFill="1" applyBorder="1" applyAlignment="1">
      <alignment vertical="center" wrapText="1"/>
    </xf>
    <xf numFmtId="164" fontId="8" fillId="2" borderId="0" xfId="0" applyNumberFormat="1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4" fillId="2" borderId="0" xfId="0" applyFont="1" applyFill="1" applyAlignment="1">
      <alignment horizontal="left" vertical="center"/>
    </xf>
    <xf numFmtId="165" fontId="15" fillId="2" borderId="0" xfId="3" applyNumberFormat="1" applyFont="1" applyFill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0" xfId="0" applyFont="1" applyFill="1"/>
    <xf numFmtId="0" fontId="15" fillId="2" borderId="0" xfId="0" applyFont="1" applyFill="1"/>
    <xf numFmtId="0" fontId="0" fillId="2" borderId="0" xfId="0" applyFill="1" applyAlignment="1">
      <alignment vertical="top"/>
    </xf>
    <xf numFmtId="0" fontId="14" fillId="2" borderId="0" xfId="0" applyFont="1" applyFill="1" applyBorder="1" applyAlignment="1">
      <alignment horizontal="left" vertical="center"/>
    </xf>
    <xf numFmtId="3" fontId="0" fillId="2" borderId="0" xfId="0" applyNumberFormat="1" applyFont="1" applyFill="1" applyBorder="1" applyAlignment="1">
      <alignment horizontal="center"/>
    </xf>
    <xf numFmtId="0" fontId="16" fillId="2" borderId="0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165" fontId="10" fillId="2" borderId="0" xfId="3" applyNumberFormat="1" applyFont="1" applyFill="1" applyAlignment="1">
      <alignment horizontal="center" vertical="center"/>
    </xf>
    <xf numFmtId="2" fontId="0" fillId="2" borderId="0" xfId="0" applyNumberFormat="1" applyFill="1"/>
    <xf numFmtId="0" fontId="3" fillId="2" borderId="5" xfId="0" applyFont="1" applyFill="1" applyBorder="1" applyAlignment="1">
      <alignment vertical="center"/>
    </xf>
    <xf numFmtId="0" fontId="16" fillId="2" borderId="0" xfId="0" applyFont="1" applyFill="1" applyAlignment="1">
      <alignment vertical="top"/>
    </xf>
    <xf numFmtId="0" fontId="14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center"/>
    </xf>
    <xf numFmtId="10" fontId="0" fillId="2" borderId="0" xfId="1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vertical="center"/>
    </xf>
    <xf numFmtId="0" fontId="0" fillId="2" borderId="0" xfId="0" applyFont="1" applyFill="1" applyBorder="1"/>
    <xf numFmtId="165" fontId="18" fillId="2" borderId="0" xfId="3" applyNumberFormat="1" applyFont="1" applyFill="1" applyBorder="1" applyAlignment="1">
      <alignment horizontal="center" vertical="center"/>
    </xf>
    <xf numFmtId="0" fontId="19" fillId="2" borderId="0" xfId="0" applyFont="1" applyFill="1" applyAlignment="1"/>
    <xf numFmtId="165" fontId="0" fillId="2" borderId="0" xfId="3" applyNumberFormat="1" applyFont="1" applyFill="1" applyBorder="1"/>
    <xf numFmtId="0" fontId="20" fillId="2" borderId="2" xfId="0" applyFont="1" applyFill="1" applyBorder="1" applyAlignment="1">
      <alignment horizontal="center"/>
    </xf>
    <xf numFmtId="0" fontId="20" fillId="2" borderId="2" xfId="0" applyFont="1" applyFill="1" applyBorder="1"/>
    <xf numFmtId="0" fontId="21" fillId="2" borderId="0" xfId="0" applyFont="1" applyFill="1" applyBorder="1" applyAlignment="1">
      <alignment horizontal="right" vertical="center" wrapText="1"/>
    </xf>
    <xf numFmtId="0" fontId="17" fillId="2" borderId="0" xfId="0" applyFont="1" applyFill="1" applyBorder="1" applyAlignment="1">
      <alignment horizontal="right" vertical="center" wrapText="1"/>
    </xf>
    <xf numFmtId="0" fontId="17" fillId="2" borderId="0" xfId="0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right" vertical="center" wrapText="1"/>
    </xf>
    <xf numFmtId="0" fontId="17" fillId="2" borderId="9" xfId="0" applyFont="1" applyFill="1" applyBorder="1" applyAlignment="1">
      <alignment vertical="center" wrapText="1"/>
    </xf>
    <xf numFmtId="0" fontId="17" fillId="2" borderId="12" xfId="0" applyFont="1" applyFill="1" applyBorder="1" applyAlignment="1">
      <alignment horizontal="right" vertical="center" wrapText="1"/>
    </xf>
    <xf numFmtId="166" fontId="2" fillId="2" borderId="13" xfId="0" applyNumberFormat="1" applyFont="1" applyFill="1" applyBorder="1" applyAlignment="1">
      <alignment horizontal="center" vertical="center" wrapText="1"/>
    </xf>
    <xf numFmtId="0" fontId="18" fillId="2" borderId="0" xfId="6" applyFont="1" applyFill="1" applyBorder="1" applyAlignment="1">
      <alignment horizontal="left" vertical="top" wrapText="1" indent="2"/>
    </xf>
    <xf numFmtId="166" fontId="0" fillId="2" borderId="13" xfId="0" applyNumberFormat="1" applyFont="1" applyFill="1" applyBorder="1" applyAlignment="1">
      <alignment horizontal="center" vertical="center" wrapText="1"/>
    </xf>
    <xf numFmtId="43" fontId="0" fillId="2" borderId="0" xfId="3" applyFont="1" applyFill="1" applyBorder="1"/>
    <xf numFmtId="0" fontId="18" fillId="2" borderId="1" xfId="6" applyFont="1" applyFill="1" applyBorder="1" applyAlignment="1">
      <alignment horizontal="left" vertical="top" wrapText="1" indent="2"/>
    </xf>
    <xf numFmtId="166" fontId="0" fillId="2" borderId="14" xfId="0" applyNumberFormat="1" applyFont="1" applyFill="1" applyBorder="1" applyAlignment="1">
      <alignment horizontal="center" vertical="center" wrapText="1"/>
    </xf>
    <xf numFmtId="3" fontId="11" fillId="2" borderId="1" xfId="2" applyNumberFormat="1" applyFont="1" applyFill="1" applyBorder="1" applyAlignment="1" applyProtection="1">
      <alignment horizontal="right" vertical="center"/>
    </xf>
    <xf numFmtId="0" fontId="0" fillId="2" borderId="0" xfId="0" applyFill="1" applyBorder="1" applyAlignment="1">
      <alignment horizontal="center"/>
    </xf>
    <xf numFmtId="165" fontId="0" fillId="2" borderId="0" xfId="3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4" fillId="2" borderId="0" xfId="0" applyFont="1" applyFill="1" applyBorder="1" applyAlignment="1">
      <alignment horizontal="left" vertical="top" indent="3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/>
    <xf numFmtId="0" fontId="10" fillId="2" borderId="8" xfId="0" applyFont="1" applyFill="1" applyBorder="1"/>
    <xf numFmtId="165" fontId="10" fillId="2" borderId="8" xfId="3" applyNumberFormat="1" applyFont="1" applyFill="1" applyBorder="1" applyAlignment="1">
      <alignment horizontal="center"/>
    </xf>
    <xf numFmtId="164" fontId="10" fillId="2" borderId="8" xfId="0" applyNumberFormat="1" applyFont="1" applyFill="1" applyBorder="1" applyAlignment="1">
      <alignment horizontal="center"/>
    </xf>
    <xf numFmtId="0" fontId="6" fillId="2" borderId="8" xfId="0" applyFont="1" applyFill="1" applyBorder="1"/>
    <xf numFmtId="0" fontId="10" fillId="2" borderId="8" xfId="0" applyFont="1" applyFill="1" applyBorder="1" applyAlignment="1">
      <alignment vertical="center"/>
    </xf>
    <xf numFmtId="165" fontId="10" fillId="2" borderId="8" xfId="3" applyNumberFormat="1" applyFont="1" applyFill="1" applyBorder="1" applyAlignment="1">
      <alignment horizontal="center" vertical="center"/>
    </xf>
    <xf numFmtId="166" fontId="2" fillId="2" borderId="0" xfId="0" applyNumberFormat="1" applyFont="1" applyFill="1" applyBorder="1" applyAlignment="1">
      <alignment horizontal="center" vertical="center" wrapText="1"/>
    </xf>
    <xf numFmtId="166" fontId="0" fillId="2" borderId="0" xfId="0" applyNumberFormat="1" applyFont="1" applyFill="1" applyBorder="1" applyAlignment="1">
      <alignment horizontal="center" vertical="center" wrapText="1"/>
    </xf>
    <xf numFmtId="166" fontId="0" fillId="2" borderId="1" xfId="0" applyNumberFormat="1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wrapText="1"/>
    </xf>
    <xf numFmtId="0" fontId="0" fillId="2" borderId="0" xfId="0" applyFont="1" applyFill="1" applyBorder="1" applyAlignment="1">
      <alignment wrapText="1"/>
    </xf>
    <xf numFmtId="0" fontId="17" fillId="2" borderId="20" xfId="0" applyFont="1" applyFill="1" applyBorder="1" applyAlignment="1">
      <alignment horizontal="right" vertical="center" wrapText="1"/>
    </xf>
    <xf numFmtId="165" fontId="8" fillId="2" borderId="0" xfId="3" applyNumberFormat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3" fontId="13" fillId="2" borderId="0" xfId="2" applyNumberFormat="1" applyFont="1" applyFill="1" applyBorder="1" applyAlignment="1" applyProtection="1">
      <alignment horizontal="right"/>
    </xf>
    <xf numFmtId="3" fontId="10" fillId="2" borderId="0" xfId="2" applyNumberFormat="1" applyFont="1" applyFill="1" applyBorder="1"/>
    <xf numFmtId="3" fontId="8" fillId="2" borderId="0" xfId="2" applyNumberFormat="1" applyFont="1" applyFill="1" applyBorder="1" applyAlignment="1">
      <alignment vertical="center" wrapText="1"/>
    </xf>
    <xf numFmtId="3" fontId="13" fillId="2" borderId="0" xfId="2" applyNumberFormat="1" applyFont="1" applyFill="1" applyBorder="1" applyAlignment="1" applyProtection="1">
      <alignment vertical="center" wrapText="1"/>
    </xf>
    <xf numFmtId="3" fontId="6" fillId="2" borderId="0" xfId="2" applyNumberFormat="1" applyFont="1" applyFill="1" applyBorder="1" applyAlignment="1" applyProtection="1">
      <alignment horizontal="right" vertical="center"/>
    </xf>
    <xf numFmtId="3" fontId="10" fillId="2" borderId="0" xfId="2" applyNumberFormat="1" applyFont="1" applyFill="1" applyBorder="1" applyAlignment="1">
      <alignment horizontal="left" vertical="center"/>
    </xf>
    <xf numFmtId="3" fontId="13" fillId="2" borderId="0" xfId="2" applyNumberFormat="1" applyFont="1" applyFill="1" applyBorder="1" applyAlignment="1" applyProtection="1">
      <alignment horizontal="right" vertical="center"/>
    </xf>
    <xf numFmtId="3" fontId="10" fillId="2" borderId="4" xfId="2" applyNumberFormat="1" applyFont="1" applyFill="1" applyBorder="1"/>
    <xf numFmtId="3" fontId="6" fillId="2" borderId="4" xfId="2" applyNumberFormat="1" applyFont="1" applyFill="1" applyBorder="1" applyAlignment="1" applyProtection="1">
      <alignment horizontal="right" vertical="center"/>
    </xf>
    <xf numFmtId="3" fontId="13" fillId="2" borderId="0" xfId="2" applyNumberFormat="1" applyFont="1" applyFill="1" applyBorder="1" applyAlignment="1" applyProtection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/>
    </xf>
    <xf numFmtId="43" fontId="1" fillId="2" borderId="0" xfId="3" applyFont="1" applyFill="1" applyBorder="1" applyAlignment="1">
      <alignment vertical="center" wrapText="1"/>
    </xf>
    <xf numFmtId="43" fontId="1" fillId="2" borderId="0" xfId="3" applyFont="1" applyFill="1" applyBorder="1" applyAlignment="1">
      <alignment vertical="center"/>
    </xf>
    <xf numFmtId="37" fontId="2" fillId="2" borderId="0" xfId="3" applyNumberFormat="1" applyFont="1" applyFill="1" applyBorder="1" applyAlignment="1">
      <alignment vertical="center"/>
    </xf>
    <xf numFmtId="165" fontId="2" fillId="2" borderId="0" xfId="3" applyNumberFormat="1" applyFont="1" applyFill="1" applyBorder="1" applyAlignment="1">
      <alignment vertical="center" wrapText="1"/>
    </xf>
    <xf numFmtId="43" fontId="2" fillId="2" borderId="13" xfId="0" applyNumberFormat="1" applyFont="1" applyFill="1" applyBorder="1" applyAlignment="1">
      <alignment vertical="center" wrapText="1"/>
    </xf>
    <xf numFmtId="43" fontId="2" fillId="2" borderId="0" xfId="0" applyNumberFormat="1" applyFont="1" applyFill="1" applyBorder="1" applyAlignment="1">
      <alignment vertical="center" wrapText="1"/>
    </xf>
    <xf numFmtId="43" fontId="2" fillId="2" borderId="21" xfId="0" applyNumberFormat="1" applyFont="1" applyFill="1" applyBorder="1" applyAlignment="1">
      <alignment vertical="center" wrapText="1"/>
    </xf>
    <xf numFmtId="166" fontId="2" fillId="2" borderId="13" xfId="0" applyNumberFormat="1" applyFont="1" applyFill="1" applyBorder="1" applyAlignment="1">
      <alignment vertical="center" wrapText="1"/>
    </xf>
    <xf numFmtId="166" fontId="2" fillId="2" borderId="2" xfId="0" applyNumberFormat="1" applyFont="1" applyFill="1" applyBorder="1" applyAlignment="1">
      <alignment vertical="center" wrapText="1"/>
    </xf>
    <xf numFmtId="166" fontId="2" fillId="2" borderId="0" xfId="0" applyNumberFormat="1" applyFont="1" applyFill="1" applyBorder="1" applyAlignment="1">
      <alignment vertical="center" wrapText="1"/>
    </xf>
    <xf numFmtId="37" fontId="1" fillId="2" borderId="0" xfId="3" applyNumberFormat="1" applyFont="1" applyFill="1" applyBorder="1" applyAlignment="1">
      <alignment vertical="center"/>
    </xf>
    <xf numFmtId="165" fontId="1" fillId="2" borderId="0" xfId="3" applyNumberFormat="1" applyFont="1" applyFill="1" applyBorder="1" applyAlignment="1">
      <alignment vertical="center"/>
    </xf>
    <xf numFmtId="43" fontId="1" fillId="2" borderId="13" xfId="3" applyFont="1" applyFill="1" applyBorder="1" applyAlignment="1">
      <alignment vertical="center"/>
    </xf>
    <xf numFmtId="43" fontId="1" fillId="2" borderId="21" xfId="3" applyFont="1" applyFill="1" applyBorder="1" applyAlignment="1">
      <alignment vertical="center"/>
    </xf>
    <xf numFmtId="166" fontId="1" fillId="2" borderId="13" xfId="0" applyNumberFormat="1" applyFont="1" applyFill="1" applyBorder="1" applyAlignment="1">
      <alignment vertical="center" wrapText="1"/>
    </xf>
    <xf numFmtId="166" fontId="1" fillId="2" borderId="0" xfId="0" applyNumberFormat="1" applyFont="1" applyFill="1" applyBorder="1" applyAlignment="1">
      <alignment vertical="center" wrapText="1"/>
    </xf>
    <xf numFmtId="43" fontId="1" fillId="2" borderId="0" xfId="0" applyNumberFormat="1" applyFont="1" applyFill="1" applyBorder="1" applyAlignment="1">
      <alignment vertical="center" wrapText="1"/>
    </xf>
    <xf numFmtId="37" fontId="1" fillId="2" borderId="1" xfId="3" applyNumberFormat="1" applyFont="1" applyFill="1" applyBorder="1" applyAlignment="1">
      <alignment vertical="center"/>
    </xf>
    <xf numFmtId="165" fontId="1" fillId="2" borderId="1" xfId="3" applyNumberFormat="1" applyFont="1" applyFill="1" applyBorder="1" applyAlignment="1">
      <alignment vertical="center"/>
    </xf>
    <xf numFmtId="43" fontId="1" fillId="2" borderId="14" xfId="3" applyFont="1" applyFill="1" applyBorder="1" applyAlignment="1">
      <alignment vertical="center"/>
    </xf>
    <xf numFmtId="43" fontId="1" fillId="2" borderId="1" xfId="3" applyFont="1" applyFill="1" applyBorder="1" applyAlignment="1">
      <alignment vertical="center" wrapText="1"/>
    </xf>
    <xf numFmtId="43" fontId="1" fillId="2" borderId="18" xfId="3" applyFont="1" applyFill="1" applyBorder="1" applyAlignment="1">
      <alignment vertical="center"/>
    </xf>
    <xf numFmtId="43" fontId="1" fillId="2" borderId="1" xfId="3" applyFont="1" applyFill="1" applyBorder="1" applyAlignment="1">
      <alignment vertical="center"/>
    </xf>
    <xf numFmtId="166" fontId="1" fillId="2" borderId="14" xfId="0" applyNumberFormat="1" applyFont="1" applyFill="1" applyBorder="1" applyAlignment="1">
      <alignment vertical="center" wrapText="1"/>
    </xf>
    <xf numFmtId="166" fontId="1" fillId="2" borderId="1" xfId="0" applyNumberFormat="1" applyFont="1" applyFill="1" applyBorder="1" applyAlignment="1">
      <alignment vertical="center" wrapText="1"/>
    </xf>
    <xf numFmtId="0" fontId="15" fillId="2" borderId="0" xfId="0" applyFont="1" applyFill="1" applyBorder="1" applyAlignment="1">
      <alignment horizontal="center"/>
    </xf>
    <xf numFmtId="0" fontId="15" fillId="2" borderId="0" xfId="0" applyFont="1" applyFill="1" applyBorder="1"/>
    <xf numFmtId="0" fontId="15" fillId="2" borderId="0" xfId="0" applyFont="1" applyFill="1" applyBorder="1" applyAlignment="1">
      <alignment wrapText="1"/>
    </xf>
    <xf numFmtId="165" fontId="15" fillId="2" borderId="0" xfId="3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 wrapText="1"/>
    </xf>
    <xf numFmtId="0" fontId="16" fillId="2" borderId="0" xfId="0" applyFont="1" applyFill="1" applyAlignment="1">
      <alignment horizontal="right" vertical="center" wrapText="1" readingOrder="2"/>
    </xf>
    <xf numFmtId="0" fontId="14" fillId="2" borderId="0" xfId="0" applyFont="1" applyFill="1" applyBorder="1" applyAlignment="1">
      <alignment horizontal="left" vertical="top" indent="3"/>
    </xf>
    <xf numFmtId="0" fontId="14" fillId="2" borderId="2" xfId="0" applyFont="1" applyFill="1" applyBorder="1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/>
    </xf>
    <xf numFmtId="0" fontId="19" fillId="2" borderId="0" xfId="0" applyFont="1" applyFill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17" fillId="2" borderId="15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16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17" fillId="2" borderId="19" xfId="0" applyFont="1" applyFill="1" applyBorder="1" applyAlignment="1">
      <alignment horizontal="center" vertical="center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</cellXfs>
  <cellStyles count="12">
    <cellStyle name="Comma" xfId="3" builtinId="3"/>
    <cellStyle name="Comma 2" xfId="4"/>
    <cellStyle name="Comma 3" xfId="5"/>
    <cellStyle name="Normal" xfId="0" builtinId="0"/>
    <cellStyle name="Normal 2" xfId="8"/>
    <cellStyle name="Normal 2 2" xfId="10"/>
    <cellStyle name="Normal 2 3" xfId="11"/>
    <cellStyle name="Normal 3" xfId="7"/>
    <cellStyle name="Normal 3 2" xfId="9"/>
    <cellStyle name="Normal_19.8" xfId="6"/>
    <cellStyle name="Normal_II-15(Population) 2" xfId="2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293476811789627E-2"/>
          <c:y val="0.16591807102310044"/>
          <c:w val="0.89284232107309081"/>
          <c:h val="0.649352996098451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7030A0"/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'20.9'!$T$10:$T$30</c:f>
              <c:numCache>
                <c:formatCode>_(* #,##0.0_);_(* \(#,##0.0\);_(* "-"??_);_(@_)</c:formatCode>
                <c:ptCount val="21"/>
                <c:pt idx="0">
                  <c:v>45.928869698973017</c:v>
                </c:pt>
                <c:pt idx="1">
                  <c:v>75.438731634695557</c:v>
                </c:pt>
                <c:pt idx="2">
                  <c:v>73.640849569870952</c:v>
                </c:pt>
                <c:pt idx="3">
                  <c:v>69.034444432278065</c:v>
                </c:pt>
                <c:pt idx="4">
                  <c:v>70.496037691233511</c:v>
                </c:pt>
                <c:pt idx="5">
                  <c:v>62.964160159303418</c:v>
                </c:pt>
                <c:pt idx="6">
                  <c:v>70.51358090787943</c:v>
                </c:pt>
                <c:pt idx="7">
                  <c:v>67.787363840302746</c:v>
                </c:pt>
                <c:pt idx="8">
                  <c:v>71.325260353989179</c:v>
                </c:pt>
                <c:pt idx="9">
                  <c:v>64.928968542103078</c:v>
                </c:pt>
                <c:pt idx="10">
                  <c:v>76.479667858048288</c:v>
                </c:pt>
                <c:pt idx="11">
                  <c:v>73.249966889281581</c:v>
                </c:pt>
                <c:pt idx="12">
                  <c:v>73.420033448004745</c:v>
                </c:pt>
                <c:pt idx="13">
                  <c:v>72.958209267305634</c:v>
                </c:pt>
                <c:pt idx="14">
                  <c:v>74.511707961087609</c:v>
                </c:pt>
                <c:pt idx="15">
                  <c:v>75.449815846208708</c:v>
                </c:pt>
                <c:pt idx="16">
                  <c:v>67.000830416521936</c:v>
                </c:pt>
                <c:pt idx="17">
                  <c:v>69.087358379240854</c:v>
                </c:pt>
                <c:pt idx="18">
                  <c:v>70.310676685826863</c:v>
                </c:pt>
                <c:pt idx="19">
                  <c:v>71.670758807830069</c:v>
                </c:pt>
                <c:pt idx="20">
                  <c:v>55.423696831698507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658752"/>
        <c:axId val="141681024"/>
      </c:barChart>
      <c:catAx>
        <c:axId val="14165875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1681024"/>
        <c:crosses val="autoZero"/>
        <c:auto val="1"/>
        <c:lblAlgn val="ctr"/>
        <c:lblOffset val="100"/>
        <c:noMultiLvlLbl val="0"/>
      </c:catAx>
      <c:valAx>
        <c:axId val="141681024"/>
        <c:scaling>
          <c:orientation val="minMax"/>
          <c:max val="9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>
            <c:manualLayout>
              <c:xMode val="edge"/>
              <c:yMode val="edge"/>
              <c:x val="1.3078192943249675E-2"/>
              <c:y val="0.3577050338789825"/>
            </c:manualLayout>
          </c:layout>
          <c:overlay val="0"/>
        </c:title>
        <c:numFmt formatCode="#,##0" sourceLinked="0"/>
        <c:majorTickMark val="none"/>
        <c:minorTickMark val="none"/>
        <c:tickLblPos val="nextTo"/>
        <c:crossAx val="141658752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773212890571392E-2"/>
          <c:y val="0.18793382932943273"/>
          <c:w val="0.89559878922943592"/>
          <c:h val="0.6535951231945569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'20.9'!$B$7</c:f>
              <c:strCache>
                <c:ptCount val="1"/>
                <c:pt idx="0">
                  <c:v>Number of councils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'20.9'!$B$10:$B$30</c:f>
              <c:numCache>
                <c:formatCode>#,##0_);\(#,##0\)</c:formatCode>
                <c:ptCount val="21"/>
                <c:pt idx="0">
                  <c:v>1</c:v>
                </c:pt>
                <c:pt idx="1">
                  <c:v>15</c:v>
                </c:pt>
                <c:pt idx="2">
                  <c:v>14</c:v>
                </c:pt>
                <c:pt idx="3">
                  <c:v>15</c:v>
                </c:pt>
                <c:pt idx="4">
                  <c:v>14</c:v>
                </c:pt>
                <c:pt idx="5">
                  <c:v>16</c:v>
                </c:pt>
                <c:pt idx="6">
                  <c:v>14</c:v>
                </c:pt>
                <c:pt idx="7">
                  <c:v>5</c:v>
                </c:pt>
                <c:pt idx="8">
                  <c:v>10</c:v>
                </c:pt>
                <c:pt idx="9">
                  <c:v>9</c:v>
                </c:pt>
                <c:pt idx="10">
                  <c:v>11</c:v>
                </c:pt>
                <c:pt idx="11">
                  <c:v>6</c:v>
                </c:pt>
                <c:pt idx="12">
                  <c:v>9</c:v>
                </c:pt>
                <c:pt idx="13">
                  <c:v>6</c:v>
                </c:pt>
                <c:pt idx="14">
                  <c:v>8</c:v>
                </c:pt>
                <c:pt idx="15">
                  <c:v>14</c:v>
                </c:pt>
                <c:pt idx="16">
                  <c:v>13</c:v>
                </c:pt>
                <c:pt idx="17">
                  <c:v>10</c:v>
                </c:pt>
                <c:pt idx="18">
                  <c:v>10</c:v>
                </c:pt>
                <c:pt idx="19">
                  <c:v>9</c:v>
                </c:pt>
                <c:pt idx="20">
                  <c:v>1</c:v>
                </c:pt>
              </c:numCache>
            </c:numRef>
          </c:val>
        </c:ser>
        <c:ser>
          <c:idx val="1"/>
          <c:order val="1"/>
          <c:tx>
            <c:strRef>
              <c:f>'20.9'!$C$7</c:f>
              <c:strCache>
                <c:ptCount val="1"/>
                <c:pt idx="0">
                  <c:v>Number  of members (end)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'20.9'!$A$10:$A$30</c:f>
              <c:strCache>
                <c:ptCount val="21"/>
                <c:pt idx="0">
                  <c:v>Male' City</c:v>
                </c:pt>
                <c:pt idx="1">
                  <c:v>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Addu City</c:v>
                </c:pt>
              </c:strCache>
            </c:strRef>
          </c:cat>
          <c:val>
            <c:numRef>
              <c:f>'20.9'!$C$10:$C$30</c:f>
              <c:numCache>
                <c:formatCode>#,##0_);\(#,##0\)</c:formatCode>
                <c:ptCount val="21"/>
                <c:pt idx="0">
                  <c:v>11</c:v>
                </c:pt>
                <c:pt idx="1">
                  <c:v>86</c:v>
                </c:pt>
                <c:pt idx="2">
                  <c:v>77</c:v>
                </c:pt>
                <c:pt idx="3">
                  <c:v>78</c:v>
                </c:pt>
                <c:pt idx="4">
                  <c:v>71</c:v>
                </c:pt>
                <c:pt idx="5">
                  <c:v>87</c:v>
                </c:pt>
                <c:pt idx="6">
                  <c:v>73</c:v>
                </c:pt>
                <c:pt idx="7">
                  <c:v>30</c:v>
                </c:pt>
                <c:pt idx="8">
                  <c:v>51</c:v>
                </c:pt>
                <c:pt idx="9">
                  <c:v>46</c:v>
                </c:pt>
                <c:pt idx="10">
                  <c:v>56</c:v>
                </c:pt>
                <c:pt idx="11">
                  <c:v>31</c:v>
                </c:pt>
                <c:pt idx="12">
                  <c:v>46</c:v>
                </c:pt>
                <c:pt idx="13">
                  <c:v>31</c:v>
                </c:pt>
                <c:pt idx="14">
                  <c:v>36</c:v>
                </c:pt>
                <c:pt idx="15">
                  <c:v>71</c:v>
                </c:pt>
                <c:pt idx="16">
                  <c:v>70</c:v>
                </c:pt>
                <c:pt idx="17">
                  <c:v>53</c:v>
                </c:pt>
                <c:pt idx="18">
                  <c:v>55</c:v>
                </c:pt>
                <c:pt idx="19">
                  <c:v>30</c:v>
                </c:pt>
                <c:pt idx="20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771712"/>
        <c:axId val="142773248"/>
      </c:barChart>
      <c:catAx>
        <c:axId val="14277171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0" vert="horz"/>
          <a:lstStyle/>
          <a:p>
            <a:pPr>
              <a:defRPr sz="900"/>
            </a:pPr>
            <a:endParaRPr lang="en-US"/>
          </a:p>
        </c:txPr>
        <c:crossAx val="142773248"/>
        <c:crosses val="autoZero"/>
        <c:auto val="1"/>
        <c:lblAlgn val="ctr"/>
        <c:lblOffset val="100"/>
        <c:noMultiLvlLbl val="0"/>
      </c:catAx>
      <c:valAx>
        <c:axId val="142773248"/>
        <c:scaling>
          <c:orientation val="minMax"/>
          <c:max val="9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>
                    <a:latin typeface="+mn-lt"/>
                  </a:rPr>
                  <a:t>In Numbers</a:t>
                </a:r>
              </a:p>
            </c:rich>
          </c:tx>
          <c:layout>
            <c:manualLayout>
              <c:xMode val="edge"/>
              <c:yMode val="edge"/>
              <c:x val="9.228832099203655E-3"/>
              <c:y val="0.39834348137828041"/>
            </c:manualLayout>
          </c:layout>
          <c:overlay val="0"/>
        </c:title>
        <c:numFmt formatCode="#,##0_);\(#,##0\)" sourceLinked="1"/>
        <c:majorTickMark val="out"/>
        <c:minorTickMark val="none"/>
        <c:tickLblPos val="nextTo"/>
        <c:crossAx val="142771712"/>
        <c:crosses val="autoZero"/>
        <c:crossBetween val="between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egendEntry>
        <c:idx val="0"/>
        <c:txPr>
          <a:bodyPr/>
          <a:lstStyle/>
          <a:p>
            <a:pPr>
              <a:defRPr b="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b="0"/>
            </a:pPr>
            <a:endParaRPr lang="en-US"/>
          </a:p>
        </c:txPr>
      </c:legendEntry>
      <c:layout>
        <c:manualLayout>
          <c:xMode val="edge"/>
          <c:yMode val="edge"/>
          <c:x val="0.36754925083113921"/>
          <c:y val="0.203082303434866"/>
          <c:w val="0.55901592544780954"/>
          <c:h val="5.1010447639906448E-2"/>
        </c:manualLayout>
      </c:layout>
      <c:overlay val="0"/>
      <c:txPr>
        <a:bodyPr/>
        <a:lstStyle/>
        <a:p>
          <a:pPr>
            <a:defRPr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66" l="0.70000000000000062" r="0.70000000000000062" t="0.75000000000000266" header="0.30000000000000032" footer="0.30000000000000032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686741</xdr:colOff>
      <xdr:row>51</xdr:row>
      <xdr:rowOff>63530</xdr:rowOff>
    </xdr:from>
    <xdr:to>
      <xdr:col>11</xdr:col>
      <xdr:colOff>259080</xdr:colOff>
      <xdr:row>66</xdr:row>
      <xdr:rowOff>137160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703392</xdr:colOff>
      <xdr:row>32</xdr:row>
      <xdr:rowOff>141923</xdr:rowOff>
    </xdr:from>
    <xdr:to>
      <xdr:col>11</xdr:col>
      <xdr:colOff>198120</xdr:colOff>
      <xdr:row>49</xdr:row>
      <xdr:rowOff>97100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381000</xdr:colOff>
      <xdr:row>34</xdr:row>
      <xdr:rowOff>152399</xdr:rowOff>
    </xdr:from>
    <xdr:to>
      <xdr:col>10</xdr:col>
      <xdr:colOff>472440</xdr:colOff>
      <xdr:row>34</xdr:row>
      <xdr:rowOff>152399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272540" y="8381999"/>
          <a:ext cx="566928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1</xdr:col>
      <xdr:colOff>541020</xdr:colOff>
      <xdr:row>53</xdr:row>
      <xdr:rowOff>83820</xdr:rowOff>
    </xdr:from>
    <xdr:to>
      <xdr:col>11</xdr:col>
      <xdr:colOff>38100</xdr:colOff>
      <xdr:row>53</xdr:row>
      <xdr:rowOff>83820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>
          <a:off x="1432560" y="11788140"/>
          <a:ext cx="5669280" cy="0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0.08279</cdr:x>
      <cdr:y>0.0559</cdr:y>
    </cdr:from>
    <cdr:to>
      <cdr:x>0.98794</cdr:x>
      <cdr:y>0.14635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49421" y="157450"/>
          <a:ext cx="6006634" cy="2547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latin typeface="Consolas" pitchFamily="49" charset="0"/>
              <a:ea typeface="+mn-ea"/>
              <a:cs typeface="Consolas" pitchFamily="49" charset="0"/>
            </a:rPr>
            <a:t>Figure 20.7: Share of salary &amp; allowances  as  a percentage  of council budget, 2014</a:t>
          </a:r>
          <a:endParaRPr lang="en-US" sz="1100" b="1" i="0" baseline="0">
            <a:latin typeface="Consolas" pitchFamily="49" charset="0"/>
            <a:cs typeface="Consolas" pitchFamily="49" charset="0"/>
          </a:endParaRPr>
        </a:p>
        <a:p xmlns:a="http://schemas.openxmlformats.org/drawingml/2006/main">
          <a:pPr algn="ctr"/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0.08097</cdr:x>
      <cdr:y>0.02829</cdr:y>
    </cdr:from>
    <cdr:to>
      <cdr:x>0.95701</cdr:x>
      <cdr:y>0.11781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31048" y="86677"/>
          <a:ext cx="5745480" cy="274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latin typeface="Consolas" pitchFamily="49" charset="0"/>
              <a:ea typeface="+mn-ea"/>
              <a:cs typeface="Consolas" pitchFamily="49" charset="0"/>
            </a:rPr>
            <a:t>Figure 20.6: Number of local councils and council members by Atoll, 2014</a:t>
          </a: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2:J15"/>
  <sheetViews>
    <sheetView workbookViewId="0">
      <selection activeCell="B21" sqref="B21"/>
    </sheetView>
  </sheetViews>
  <sheetFormatPr defaultColWidth="9.140625" defaultRowHeight="15" x14ac:dyDescent="0.25"/>
  <cols>
    <col min="1" max="1" width="20.28515625" style="1" customWidth="1"/>
    <col min="2" max="2" width="12.28515625" style="1" customWidth="1"/>
    <col min="3" max="3" width="16.7109375" style="1" customWidth="1"/>
    <col min="4" max="4" width="38.5703125" style="1" customWidth="1"/>
    <col min="5" max="5" width="1.5703125" style="1" customWidth="1"/>
    <col min="6" max="16384" width="9.140625" style="1"/>
  </cols>
  <sheetData>
    <row r="2" spans="1:10" ht="21" x14ac:dyDescent="0.55000000000000004">
      <c r="A2" s="155" t="s">
        <v>103</v>
      </c>
      <c r="B2" s="155"/>
      <c r="C2" s="155"/>
      <c r="D2" s="155"/>
      <c r="E2" s="8"/>
      <c r="F2" s="8"/>
      <c r="G2" s="8"/>
      <c r="H2" s="8"/>
      <c r="I2" s="8"/>
      <c r="J2" s="8"/>
    </row>
    <row r="3" spans="1:10" ht="14.45" x14ac:dyDescent="0.3">
      <c r="A3" s="161" t="s">
        <v>104</v>
      </c>
      <c r="B3" s="161"/>
      <c r="C3" s="161"/>
      <c r="D3" s="161"/>
    </row>
    <row r="5" spans="1:10" s="5" customFormat="1" ht="17.25" customHeight="1" x14ac:dyDescent="0.25">
      <c r="A5" s="162" t="s">
        <v>82</v>
      </c>
      <c r="B5" s="65" t="s">
        <v>97</v>
      </c>
      <c r="C5" s="65" t="s">
        <v>130</v>
      </c>
      <c r="D5" s="163" t="s">
        <v>81</v>
      </c>
    </row>
    <row r="6" spans="1:10" s="5" customFormat="1" ht="17.25" customHeight="1" x14ac:dyDescent="0.25">
      <c r="A6" s="159"/>
      <c r="B6" s="35" t="s">
        <v>91</v>
      </c>
      <c r="C6" s="35" t="s">
        <v>92</v>
      </c>
      <c r="D6" s="164"/>
    </row>
    <row r="7" spans="1:10" ht="21" x14ac:dyDescent="0.55000000000000004">
      <c r="A7" s="2" t="s">
        <v>0</v>
      </c>
      <c r="B7" s="13">
        <v>239105</v>
      </c>
      <c r="C7" s="13">
        <v>239165</v>
      </c>
      <c r="D7" s="9" t="s">
        <v>18</v>
      </c>
    </row>
    <row r="8" spans="1:10" ht="21" x14ac:dyDescent="0.55000000000000004">
      <c r="A8" s="2" t="s">
        <v>1</v>
      </c>
      <c r="B8" s="14">
        <v>208504</v>
      </c>
      <c r="C8" s="14">
        <v>218619</v>
      </c>
      <c r="D8" s="6" t="s">
        <v>17</v>
      </c>
    </row>
    <row r="9" spans="1:10" ht="21" x14ac:dyDescent="0.55000000000000004">
      <c r="A9" s="2" t="s">
        <v>2</v>
      </c>
      <c r="B9" s="15">
        <v>0.872</v>
      </c>
      <c r="C9" s="69">
        <v>0.91400000000000003</v>
      </c>
      <c r="D9" s="6" t="s">
        <v>15</v>
      </c>
    </row>
    <row r="10" spans="1:10" ht="21" x14ac:dyDescent="0.55000000000000004">
      <c r="A10" s="2" t="s">
        <v>3</v>
      </c>
      <c r="B10" s="14">
        <v>206173</v>
      </c>
      <c r="C10" s="14">
        <v>216384</v>
      </c>
      <c r="D10" s="6" t="s">
        <v>102</v>
      </c>
    </row>
    <row r="11" spans="1:10" ht="21" x14ac:dyDescent="0.55000000000000004">
      <c r="A11" s="3" t="s">
        <v>4</v>
      </c>
      <c r="B11" s="16">
        <v>2331</v>
      </c>
      <c r="C11" s="16">
        <v>2237</v>
      </c>
      <c r="D11" s="10" t="s">
        <v>16</v>
      </c>
    </row>
    <row r="12" spans="1:10" s="11" customFormat="1" ht="17.25" x14ac:dyDescent="0.25">
      <c r="A12" s="59" t="s">
        <v>96</v>
      </c>
      <c r="B12" s="60"/>
      <c r="C12" s="60"/>
      <c r="D12" s="61" t="s">
        <v>93</v>
      </c>
    </row>
    <row r="13" spans="1:10" s="58" customFormat="1" ht="17.25" x14ac:dyDescent="0.25">
      <c r="A13" s="67" t="s">
        <v>7</v>
      </c>
      <c r="D13" s="66" t="s">
        <v>8</v>
      </c>
    </row>
    <row r="14" spans="1:10" s="58" customFormat="1" ht="31.5" customHeight="1" x14ac:dyDescent="0.3">
      <c r="A14" s="67"/>
      <c r="D14" s="66"/>
    </row>
    <row r="15" spans="1:10" ht="14.45" x14ac:dyDescent="0.3">
      <c r="C15" s="64"/>
    </row>
  </sheetData>
  <mergeCells count="4">
    <mergeCell ref="A2:D2"/>
    <mergeCell ref="A3:D3"/>
    <mergeCell ref="A5:A6"/>
    <mergeCell ref="D5:D6"/>
  </mergeCells>
  <pageMargins left="0.12" right="0.21" top="0.75" bottom="0.75" header="0.3" footer="0.3"/>
  <pageSetup paperSize="9" scale="1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93"/>
  <sheetViews>
    <sheetView view="pageBreakPreview" zoomScaleSheetLayoutView="100" workbookViewId="0">
      <selection activeCell="H18" sqref="H18"/>
    </sheetView>
  </sheetViews>
  <sheetFormatPr defaultColWidth="9.140625" defaultRowHeight="15" x14ac:dyDescent="0.25"/>
  <cols>
    <col min="1" max="1" width="23.140625" style="97" customWidth="1"/>
    <col min="2" max="2" width="16" style="112" customWidth="1"/>
    <col min="3" max="3" width="15.140625" style="112" customWidth="1"/>
    <col min="4" max="4" width="16.42578125" style="112" customWidth="1"/>
    <col min="5" max="5" width="32.28515625" style="97" customWidth="1"/>
    <col min="6" max="16384" width="9.140625" style="97"/>
  </cols>
  <sheetData>
    <row r="1" spans="1:5" ht="21" x14ac:dyDescent="0.55000000000000004">
      <c r="A1" s="155" t="s">
        <v>105</v>
      </c>
      <c r="B1" s="155"/>
      <c r="C1" s="155"/>
      <c r="D1" s="155"/>
      <c r="E1" s="155"/>
    </row>
    <row r="2" spans="1:5" ht="14.45" x14ac:dyDescent="0.3">
      <c r="A2" s="160" t="s">
        <v>106</v>
      </c>
      <c r="B2" s="160"/>
      <c r="C2" s="160"/>
      <c r="D2" s="160"/>
      <c r="E2" s="160"/>
    </row>
    <row r="3" spans="1:5" ht="7.5" customHeight="1" x14ac:dyDescent="0.3"/>
    <row r="4" spans="1:5" s="5" customFormat="1" ht="19.5" customHeight="1" x14ac:dyDescent="0.25">
      <c r="A4" s="162" t="s">
        <v>9</v>
      </c>
      <c r="B4" s="18" t="s">
        <v>0</v>
      </c>
      <c r="C4" s="18" t="s">
        <v>1</v>
      </c>
      <c r="D4" s="18" t="s">
        <v>2</v>
      </c>
      <c r="E4" s="163" t="s">
        <v>10</v>
      </c>
    </row>
    <row r="5" spans="1:5" s="93" customFormat="1" ht="33" customHeight="1" x14ac:dyDescent="0.45">
      <c r="A5" s="159"/>
      <c r="B5" s="30" t="s">
        <v>12</v>
      </c>
      <c r="C5" s="29" t="s">
        <v>11</v>
      </c>
      <c r="D5" s="30" t="s">
        <v>13</v>
      </c>
      <c r="E5" s="164"/>
    </row>
    <row r="6" spans="1:5" s="12" customFormat="1" ht="18.75" x14ac:dyDescent="0.5">
      <c r="A6" s="12" t="s">
        <v>5</v>
      </c>
      <c r="B6" s="110">
        <f>SUM(B8+B29+B50+B57+B61+B73)</f>
        <v>237436</v>
      </c>
      <c r="C6" s="110">
        <f>SUM(C8+C29+C50+C57+C61+C73)</f>
        <v>216985</v>
      </c>
      <c r="D6" s="111">
        <f>C6/B6*100</f>
        <v>91.386731582405361</v>
      </c>
      <c r="E6" s="113" t="s">
        <v>14</v>
      </c>
    </row>
    <row r="7" spans="1:5" s="21" customFormat="1" ht="13.9" x14ac:dyDescent="0.3">
      <c r="A7" s="114"/>
      <c r="B7" s="19"/>
      <c r="C7" s="19"/>
      <c r="D7" s="19"/>
    </row>
    <row r="8" spans="1:5" s="52" customFormat="1" ht="16.5" customHeight="1" x14ac:dyDescent="0.25">
      <c r="A8" s="115" t="s">
        <v>77</v>
      </c>
      <c r="B8" s="50">
        <f>SUM(B9:B28)</f>
        <v>138133</v>
      </c>
      <c r="C8" s="50">
        <f>SUM(C9:C28)</f>
        <v>126345</v>
      </c>
      <c r="D8" s="51">
        <f>(C8/B8)*100</f>
        <v>91.466195623058937</v>
      </c>
      <c r="E8" s="116" t="s">
        <v>46</v>
      </c>
    </row>
    <row r="9" spans="1:5" s="21" customFormat="1" ht="13.5" customHeight="1" x14ac:dyDescent="0.2">
      <c r="A9" s="114" t="s">
        <v>6</v>
      </c>
      <c r="B9" s="19">
        <v>8852</v>
      </c>
      <c r="C9" s="19">
        <v>8209</v>
      </c>
      <c r="D9" s="20">
        <f>C9/B9*100</f>
        <v>92.736104835065518</v>
      </c>
      <c r="E9" s="117" t="s">
        <v>29</v>
      </c>
    </row>
    <row r="10" spans="1:5" s="21" customFormat="1" ht="13.5" customHeight="1" x14ac:dyDescent="0.2">
      <c r="A10" s="114" t="s">
        <v>90</v>
      </c>
      <c r="B10" s="19">
        <v>12072</v>
      </c>
      <c r="C10" s="19">
        <v>10695</v>
      </c>
      <c r="D10" s="20">
        <f t="shared" ref="D10:D69" si="0">C10/B10*100</f>
        <v>88.593439363817097</v>
      </c>
      <c r="E10" s="117" t="s">
        <v>30</v>
      </c>
    </row>
    <row r="11" spans="1:5" s="21" customFormat="1" ht="13.5" customHeight="1" x14ac:dyDescent="0.2">
      <c r="A11" s="114" t="s">
        <v>89</v>
      </c>
      <c r="B11" s="19">
        <v>8093</v>
      </c>
      <c r="C11" s="19">
        <v>7461</v>
      </c>
      <c r="D11" s="20">
        <f t="shared" si="0"/>
        <v>92.190782157419989</v>
      </c>
      <c r="E11" s="117" t="s">
        <v>31</v>
      </c>
    </row>
    <row r="12" spans="1:5" s="21" customFormat="1" ht="13.5" customHeight="1" x14ac:dyDescent="0.2">
      <c r="A12" s="114" t="s">
        <v>26</v>
      </c>
      <c r="B12" s="19">
        <v>7692</v>
      </c>
      <c r="C12" s="19">
        <v>7067</v>
      </c>
      <c r="D12" s="20">
        <f t="shared" si="0"/>
        <v>91.87467498699948</v>
      </c>
      <c r="E12" s="117" t="s">
        <v>32</v>
      </c>
    </row>
    <row r="13" spans="1:5" s="21" customFormat="1" ht="13.5" customHeight="1" x14ac:dyDescent="0.2">
      <c r="A13" s="114" t="s">
        <v>27</v>
      </c>
      <c r="B13" s="19">
        <v>10325</v>
      </c>
      <c r="C13" s="19">
        <v>9414</v>
      </c>
      <c r="D13" s="20">
        <f t="shared" si="0"/>
        <v>91.176755447941886</v>
      </c>
      <c r="E13" s="117" t="s">
        <v>33</v>
      </c>
    </row>
    <row r="14" spans="1:5" s="21" customFormat="1" ht="13.5" customHeight="1" x14ac:dyDescent="0.2">
      <c r="A14" s="114" t="s">
        <v>20</v>
      </c>
      <c r="B14" s="19">
        <v>6829</v>
      </c>
      <c r="C14" s="19">
        <v>6322</v>
      </c>
      <c r="D14" s="20">
        <f t="shared" si="0"/>
        <v>92.575779762776406</v>
      </c>
      <c r="E14" s="117" t="s">
        <v>34</v>
      </c>
    </row>
    <row r="15" spans="1:5" s="21" customFormat="1" ht="13.5" customHeight="1" x14ac:dyDescent="0.2">
      <c r="A15" s="114" t="s">
        <v>88</v>
      </c>
      <c r="B15" s="19">
        <v>6079</v>
      </c>
      <c r="C15" s="19">
        <v>5619</v>
      </c>
      <c r="D15" s="20">
        <f t="shared" si="0"/>
        <v>92.432965948346762</v>
      </c>
      <c r="E15" s="117" t="s">
        <v>35</v>
      </c>
    </row>
    <row r="16" spans="1:5" s="21" customFormat="1" ht="13.5" customHeight="1" x14ac:dyDescent="0.2">
      <c r="A16" s="114" t="s">
        <v>23</v>
      </c>
      <c r="B16" s="19">
        <v>8447</v>
      </c>
      <c r="C16" s="19">
        <v>7855</v>
      </c>
      <c r="D16" s="20">
        <f t="shared" si="0"/>
        <v>92.991594648987814</v>
      </c>
      <c r="E16" s="117" t="s">
        <v>36</v>
      </c>
    </row>
    <row r="17" spans="1:5" s="21" customFormat="1" ht="13.5" customHeight="1" x14ac:dyDescent="0.2">
      <c r="A17" s="114" t="s">
        <v>19</v>
      </c>
      <c r="B17" s="19">
        <v>4313</v>
      </c>
      <c r="C17" s="19">
        <v>3950</v>
      </c>
      <c r="D17" s="20">
        <f t="shared" si="0"/>
        <v>91.583584511940643</v>
      </c>
      <c r="E17" s="117" t="s">
        <v>37</v>
      </c>
    </row>
    <row r="18" spans="1:5" s="21" customFormat="1" ht="13.5" customHeight="1" x14ac:dyDescent="0.2">
      <c r="A18" s="114" t="s">
        <v>87</v>
      </c>
      <c r="B18" s="19">
        <v>6416</v>
      </c>
      <c r="C18" s="19">
        <v>5878</v>
      </c>
      <c r="D18" s="20">
        <f t="shared" si="0"/>
        <v>91.614713216957611</v>
      </c>
      <c r="E18" s="117" t="s">
        <v>38</v>
      </c>
    </row>
    <row r="19" spans="1:5" s="26" customFormat="1" ht="13.5" customHeight="1" x14ac:dyDescent="0.2">
      <c r="A19" s="114" t="s">
        <v>28</v>
      </c>
      <c r="B19" s="25">
        <v>1191</v>
      </c>
      <c r="C19" s="19">
        <v>1078</v>
      </c>
      <c r="D19" s="20">
        <f t="shared" si="0"/>
        <v>90.51217464315701</v>
      </c>
      <c r="E19" s="117" t="s">
        <v>39</v>
      </c>
    </row>
    <row r="20" spans="1:5" s="26" customFormat="1" ht="13.5" customHeight="1" x14ac:dyDescent="0.2">
      <c r="A20" s="114" t="s">
        <v>25</v>
      </c>
      <c r="B20" s="25">
        <v>3517</v>
      </c>
      <c r="C20" s="19">
        <v>3251</v>
      </c>
      <c r="D20" s="20">
        <f t="shared" si="0"/>
        <v>92.436735854421386</v>
      </c>
      <c r="E20" s="117" t="s">
        <v>40</v>
      </c>
    </row>
    <row r="21" spans="1:5" s="26" customFormat="1" ht="13.5" customHeight="1" x14ac:dyDescent="0.2">
      <c r="A21" s="114" t="s">
        <v>21</v>
      </c>
      <c r="B21" s="25">
        <v>2778</v>
      </c>
      <c r="C21" s="19">
        <v>2630</v>
      </c>
      <c r="D21" s="20">
        <f t="shared" si="0"/>
        <v>94.67242620590352</v>
      </c>
      <c r="E21" s="117" t="s">
        <v>41</v>
      </c>
    </row>
    <row r="22" spans="1:5" s="26" customFormat="1" ht="13.5" customHeight="1" x14ac:dyDescent="0.2">
      <c r="A22" s="114" t="s">
        <v>85</v>
      </c>
      <c r="B22" s="25">
        <v>3973</v>
      </c>
      <c r="C22" s="19">
        <v>3797</v>
      </c>
      <c r="D22" s="20">
        <f t="shared" si="0"/>
        <v>95.570098162597532</v>
      </c>
      <c r="E22" s="117" t="s">
        <v>42</v>
      </c>
    </row>
    <row r="23" spans="1:5" s="26" customFormat="1" ht="13.5" customHeight="1" x14ac:dyDescent="0.2">
      <c r="A23" s="114" t="s">
        <v>86</v>
      </c>
      <c r="B23" s="25">
        <v>6640</v>
      </c>
      <c r="C23" s="19">
        <v>6059</v>
      </c>
      <c r="D23" s="20">
        <f t="shared" si="0"/>
        <v>91.25</v>
      </c>
      <c r="E23" s="117" t="s">
        <v>43</v>
      </c>
    </row>
    <row r="24" spans="1:5" s="26" customFormat="1" ht="13.5" customHeight="1" x14ac:dyDescent="0.2">
      <c r="A24" s="114" t="s">
        <v>24</v>
      </c>
      <c r="B24" s="25">
        <v>8511</v>
      </c>
      <c r="C24" s="19">
        <v>7971</v>
      </c>
      <c r="D24" s="20">
        <f t="shared" si="0"/>
        <v>93.655269651039831</v>
      </c>
      <c r="E24" s="117" t="s">
        <v>44</v>
      </c>
    </row>
    <row r="25" spans="1:5" s="26" customFormat="1" ht="13.5" customHeight="1" x14ac:dyDescent="0.2">
      <c r="A25" s="118" t="s">
        <v>22</v>
      </c>
      <c r="B25" s="19">
        <v>5507</v>
      </c>
      <c r="C25" s="19">
        <v>5132</v>
      </c>
      <c r="D25" s="20">
        <f t="shared" si="0"/>
        <v>93.190484837479573</v>
      </c>
      <c r="E25" s="119" t="s">
        <v>45</v>
      </c>
    </row>
    <row r="26" spans="1:5" s="26" customFormat="1" ht="13.5" customHeight="1" x14ac:dyDescent="0.2">
      <c r="A26" s="114" t="s">
        <v>84</v>
      </c>
      <c r="B26" s="25">
        <v>8156</v>
      </c>
      <c r="C26" s="19">
        <v>7151</v>
      </c>
      <c r="D26" s="20">
        <f t="shared" si="0"/>
        <v>87.677783227072098</v>
      </c>
      <c r="E26" s="117" t="s">
        <v>47</v>
      </c>
    </row>
    <row r="27" spans="1:5" s="26" customFormat="1" ht="13.5" customHeight="1" x14ac:dyDescent="0.2">
      <c r="A27" s="114" t="s">
        <v>83</v>
      </c>
      <c r="B27" s="25">
        <v>4958</v>
      </c>
      <c r="C27" s="19">
        <v>4653</v>
      </c>
      <c r="D27" s="20">
        <f t="shared" si="0"/>
        <v>93.848325937878172</v>
      </c>
      <c r="E27" s="117" t="s">
        <v>48</v>
      </c>
    </row>
    <row r="28" spans="1:5" s="26" customFormat="1" ht="13.5" customHeight="1" x14ac:dyDescent="0.2">
      <c r="A28" s="120" t="s">
        <v>50</v>
      </c>
      <c r="B28" s="37">
        <v>13784</v>
      </c>
      <c r="C28" s="37">
        <v>12153</v>
      </c>
      <c r="D28" s="36">
        <f t="shared" si="0"/>
        <v>88.16744051073708</v>
      </c>
      <c r="E28" s="121" t="s">
        <v>49</v>
      </c>
    </row>
    <row r="29" spans="1:5" s="26" customFormat="1" ht="32.25" customHeight="1" x14ac:dyDescent="0.2">
      <c r="A29" s="115" t="s">
        <v>94</v>
      </c>
      <c r="B29" s="27">
        <f>SUM(B30:B49)</f>
        <v>42536</v>
      </c>
      <c r="C29" s="27">
        <f>SUM(C30:C49)</f>
        <v>40713</v>
      </c>
      <c r="D29" s="49">
        <f t="shared" si="0"/>
        <v>95.714218544291896</v>
      </c>
      <c r="E29" s="122" t="s">
        <v>67</v>
      </c>
    </row>
    <row r="30" spans="1:5" s="26" customFormat="1" ht="13.5" customHeight="1" x14ac:dyDescent="0.2">
      <c r="A30" s="114" t="s">
        <v>6</v>
      </c>
      <c r="B30" s="25">
        <v>3755</v>
      </c>
      <c r="C30" s="19">
        <v>3634</v>
      </c>
      <c r="D30" s="20">
        <f t="shared" si="0"/>
        <v>96.777629826897467</v>
      </c>
      <c r="E30" s="117" t="s">
        <v>29</v>
      </c>
    </row>
    <row r="31" spans="1:5" s="26" customFormat="1" ht="13.5" customHeight="1" x14ac:dyDescent="0.2">
      <c r="A31" s="114" t="s">
        <v>90</v>
      </c>
      <c r="B31" s="19">
        <v>2730</v>
      </c>
      <c r="C31" s="25">
        <v>2579</v>
      </c>
      <c r="D31" s="20">
        <f t="shared" si="0"/>
        <v>94.468864468864467</v>
      </c>
      <c r="E31" s="117" t="s">
        <v>30</v>
      </c>
    </row>
    <row r="32" spans="1:5" s="21" customFormat="1" ht="13.5" customHeight="1" x14ac:dyDescent="0.2">
      <c r="A32" s="114" t="s">
        <v>89</v>
      </c>
      <c r="B32" s="19">
        <v>1919</v>
      </c>
      <c r="C32" s="19">
        <v>1819</v>
      </c>
      <c r="D32" s="20">
        <f t="shared" si="0"/>
        <v>94.788952579468472</v>
      </c>
      <c r="E32" s="117" t="s">
        <v>31</v>
      </c>
    </row>
    <row r="33" spans="1:5" s="21" customFormat="1" ht="13.5" customHeight="1" x14ac:dyDescent="0.2">
      <c r="A33" s="114" t="s">
        <v>26</v>
      </c>
      <c r="B33" s="19">
        <v>2066</v>
      </c>
      <c r="C33" s="19">
        <v>1968</v>
      </c>
      <c r="D33" s="20">
        <f t="shared" si="0"/>
        <v>95.256534365924495</v>
      </c>
      <c r="E33" s="117" t="s">
        <v>32</v>
      </c>
    </row>
    <row r="34" spans="1:5" s="21" customFormat="1" ht="13.5" customHeight="1" x14ac:dyDescent="0.2">
      <c r="A34" s="114" t="s">
        <v>27</v>
      </c>
      <c r="B34" s="19">
        <v>3012</v>
      </c>
      <c r="C34" s="19">
        <v>2859</v>
      </c>
      <c r="D34" s="20">
        <f t="shared" si="0"/>
        <v>94.920318725099605</v>
      </c>
      <c r="E34" s="117" t="s">
        <v>33</v>
      </c>
    </row>
    <row r="35" spans="1:5" s="21" customFormat="1" ht="13.5" customHeight="1" x14ac:dyDescent="0.2">
      <c r="A35" s="114" t="s">
        <v>20</v>
      </c>
      <c r="B35" s="19">
        <v>2225</v>
      </c>
      <c r="C35" s="19">
        <v>2137</v>
      </c>
      <c r="D35" s="20">
        <f t="shared" si="0"/>
        <v>96.044943820224717</v>
      </c>
      <c r="E35" s="117" t="s">
        <v>34</v>
      </c>
    </row>
    <row r="36" spans="1:5" s="21" customFormat="1" ht="13.5" customHeight="1" x14ac:dyDescent="0.2">
      <c r="A36" s="114" t="s">
        <v>88</v>
      </c>
      <c r="B36" s="19">
        <v>1943</v>
      </c>
      <c r="C36" s="19">
        <v>1873</v>
      </c>
      <c r="D36" s="20">
        <f t="shared" si="0"/>
        <v>96.397323726196603</v>
      </c>
      <c r="E36" s="117" t="s">
        <v>35</v>
      </c>
    </row>
    <row r="37" spans="1:5" s="21" customFormat="1" ht="13.5" customHeight="1" x14ac:dyDescent="0.2">
      <c r="A37" s="114" t="s">
        <v>23</v>
      </c>
      <c r="B37" s="19">
        <v>931</v>
      </c>
      <c r="C37" s="19">
        <v>883</v>
      </c>
      <c r="D37" s="20">
        <f t="shared" si="0"/>
        <v>94.844253490870031</v>
      </c>
      <c r="E37" s="117" t="s">
        <v>36</v>
      </c>
    </row>
    <row r="38" spans="1:5" s="21" customFormat="1" ht="13.5" customHeight="1" x14ac:dyDescent="0.2">
      <c r="A38" s="114" t="s">
        <v>19</v>
      </c>
      <c r="B38" s="19">
        <v>745</v>
      </c>
      <c r="C38" s="19">
        <v>718</v>
      </c>
      <c r="D38" s="20">
        <f t="shared" si="0"/>
        <v>96.375838926174495</v>
      </c>
      <c r="E38" s="117" t="s">
        <v>37</v>
      </c>
    </row>
    <row r="39" spans="1:5" s="21" customFormat="1" ht="13.5" customHeight="1" x14ac:dyDescent="0.2">
      <c r="A39" s="114" t="s">
        <v>87</v>
      </c>
      <c r="B39" s="19">
        <v>911</v>
      </c>
      <c r="C39" s="19">
        <v>872</v>
      </c>
      <c r="D39" s="20">
        <f>C39/B39*100</f>
        <v>95.718990120746426</v>
      </c>
      <c r="E39" s="117" t="s">
        <v>38</v>
      </c>
    </row>
    <row r="40" spans="1:5" s="21" customFormat="1" ht="13.5" customHeight="1" x14ac:dyDescent="0.2">
      <c r="A40" s="114" t="s">
        <v>28</v>
      </c>
      <c r="B40" s="19">
        <v>450</v>
      </c>
      <c r="C40" s="19">
        <v>441</v>
      </c>
      <c r="D40" s="20">
        <f>C40/B40*100</f>
        <v>98</v>
      </c>
      <c r="E40" s="117" t="s">
        <v>39</v>
      </c>
    </row>
    <row r="41" spans="1:5" s="21" customFormat="1" ht="13.5" customHeight="1" x14ac:dyDescent="0.2">
      <c r="A41" s="114" t="s">
        <v>25</v>
      </c>
      <c r="B41" s="19">
        <v>1176</v>
      </c>
      <c r="C41" s="19">
        <v>1125</v>
      </c>
      <c r="D41" s="20">
        <f t="shared" si="0"/>
        <v>95.66326530612244</v>
      </c>
      <c r="E41" s="117" t="s">
        <v>40</v>
      </c>
    </row>
    <row r="42" spans="1:5" s="21" customFormat="1" ht="13.5" customHeight="1" x14ac:dyDescent="0.2">
      <c r="A42" s="114" t="s">
        <v>21</v>
      </c>
      <c r="B42" s="19">
        <v>641</v>
      </c>
      <c r="C42" s="19">
        <v>616</v>
      </c>
      <c r="D42" s="20">
        <f t="shared" si="0"/>
        <v>96.099843993759748</v>
      </c>
      <c r="E42" s="117" t="s">
        <v>41</v>
      </c>
    </row>
    <row r="43" spans="1:5" s="21" customFormat="1" ht="13.5" customHeight="1" x14ac:dyDescent="0.2">
      <c r="A43" s="114" t="s">
        <v>85</v>
      </c>
      <c r="B43" s="19">
        <v>1080</v>
      </c>
      <c r="C43" s="19">
        <v>1050</v>
      </c>
      <c r="D43" s="20">
        <f t="shared" si="0"/>
        <v>97.222222222222214</v>
      </c>
      <c r="E43" s="117" t="s">
        <v>42</v>
      </c>
    </row>
    <row r="44" spans="1:5" s="21" customFormat="1" ht="13.5" customHeight="1" x14ac:dyDescent="0.2">
      <c r="A44" s="114" t="s">
        <v>86</v>
      </c>
      <c r="B44" s="19">
        <v>3005</v>
      </c>
      <c r="C44" s="19">
        <v>2918</v>
      </c>
      <c r="D44" s="20">
        <f t="shared" si="0"/>
        <v>97.104825291181356</v>
      </c>
      <c r="E44" s="117" t="s">
        <v>43</v>
      </c>
    </row>
    <row r="45" spans="1:5" s="21" customFormat="1" ht="13.5" customHeight="1" x14ac:dyDescent="0.2">
      <c r="A45" s="114" t="s">
        <v>24</v>
      </c>
      <c r="B45" s="19">
        <v>1983</v>
      </c>
      <c r="C45" s="19">
        <v>1891</v>
      </c>
      <c r="D45" s="20">
        <f t="shared" si="0"/>
        <v>95.360564800806856</v>
      </c>
      <c r="E45" s="117" t="s">
        <v>44</v>
      </c>
    </row>
    <row r="46" spans="1:5" s="21" customFormat="1" ht="13.5" customHeight="1" x14ac:dyDescent="0.2">
      <c r="A46" s="118" t="s">
        <v>22</v>
      </c>
      <c r="B46" s="19">
        <v>2750</v>
      </c>
      <c r="C46" s="19">
        <v>2662</v>
      </c>
      <c r="D46" s="20">
        <f t="shared" si="0"/>
        <v>96.8</v>
      </c>
      <c r="E46" s="119" t="s">
        <v>45</v>
      </c>
    </row>
    <row r="47" spans="1:5" s="21" customFormat="1" ht="13.5" customHeight="1" x14ac:dyDescent="0.2">
      <c r="A47" s="114" t="s">
        <v>84</v>
      </c>
      <c r="B47" s="19">
        <v>3967</v>
      </c>
      <c r="C47" s="25">
        <v>3762</v>
      </c>
      <c r="D47" s="20">
        <f t="shared" si="0"/>
        <v>94.832367027980851</v>
      </c>
      <c r="E47" s="117" t="s">
        <v>47</v>
      </c>
    </row>
    <row r="48" spans="1:5" s="21" customFormat="1" ht="13.5" customHeight="1" x14ac:dyDescent="0.2">
      <c r="A48" s="114" t="s">
        <v>83</v>
      </c>
      <c r="B48" s="19">
        <v>1620</v>
      </c>
      <c r="C48" s="19">
        <v>1561</v>
      </c>
      <c r="D48" s="20">
        <f t="shared" si="0"/>
        <v>96.358024691358025</v>
      </c>
      <c r="E48" s="117" t="s">
        <v>48</v>
      </c>
    </row>
    <row r="49" spans="1:5" s="21" customFormat="1" ht="13.5" customHeight="1" x14ac:dyDescent="0.2">
      <c r="A49" s="120" t="s">
        <v>50</v>
      </c>
      <c r="B49" s="37">
        <v>5627</v>
      </c>
      <c r="C49" s="37">
        <v>5345</v>
      </c>
      <c r="D49" s="36">
        <f t="shared" si="0"/>
        <v>94.988448551626092</v>
      </c>
      <c r="E49" s="121" t="s">
        <v>49</v>
      </c>
    </row>
    <row r="50" spans="1:5" s="26" customFormat="1" ht="17.25" customHeight="1" x14ac:dyDescent="0.5">
      <c r="A50" s="45" t="s">
        <v>95</v>
      </c>
      <c r="B50" s="27">
        <f>SUM(B51:B56)</f>
        <v>43004</v>
      </c>
      <c r="C50" s="27">
        <f>SUM(C51:C56)</f>
        <v>37533</v>
      </c>
      <c r="D50" s="49">
        <f t="shared" si="0"/>
        <v>87.277927634638644</v>
      </c>
      <c r="E50" s="42" t="s">
        <v>68</v>
      </c>
    </row>
    <row r="51" spans="1:5" s="21" customFormat="1" ht="17.25" customHeight="1" x14ac:dyDescent="0.5">
      <c r="A51" s="21" t="s">
        <v>51</v>
      </c>
      <c r="B51" s="19">
        <v>9811</v>
      </c>
      <c r="C51" s="19">
        <v>8336</v>
      </c>
      <c r="D51" s="20">
        <f t="shared" si="0"/>
        <v>84.965854652940578</v>
      </c>
      <c r="E51" s="7" t="s">
        <v>57</v>
      </c>
    </row>
    <row r="52" spans="1:5" s="21" customFormat="1" ht="17.25" customHeight="1" x14ac:dyDescent="0.5">
      <c r="A52" s="21" t="s">
        <v>52</v>
      </c>
      <c r="B52" s="19">
        <v>6731</v>
      </c>
      <c r="C52" s="19">
        <v>5852</v>
      </c>
      <c r="D52" s="20">
        <f t="shared" si="0"/>
        <v>86.941019165057199</v>
      </c>
      <c r="E52" s="7" t="s">
        <v>58</v>
      </c>
    </row>
    <row r="53" spans="1:5" s="21" customFormat="1" ht="17.25" customHeight="1" x14ac:dyDescent="0.5">
      <c r="A53" s="21" t="s">
        <v>53</v>
      </c>
      <c r="B53" s="19">
        <v>6652</v>
      </c>
      <c r="C53" s="19">
        <v>5692</v>
      </c>
      <c r="D53" s="20">
        <f t="shared" si="0"/>
        <v>85.568250150330726</v>
      </c>
      <c r="E53" s="7" t="s">
        <v>59</v>
      </c>
    </row>
    <row r="54" spans="1:5" s="21" customFormat="1" ht="17.25" customHeight="1" x14ac:dyDescent="0.5">
      <c r="A54" s="21" t="s">
        <v>54</v>
      </c>
      <c r="B54" s="19">
        <v>13986</v>
      </c>
      <c r="C54" s="19">
        <v>12137</v>
      </c>
      <c r="D54" s="20">
        <f t="shared" si="0"/>
        <v>86.779636779636775</v>
      </c>
      <c r="E54" s="7" t="s">
        <v>60</v>
      </c>
    </row>
    <row r="55" spans="1:5" s="21" customFormat="1" ht="17.25" customHeight="1" x14ac:dyDescent="0.5">
      <c r="A55" s="21" t="s">
        <v>55</v>
      </c>
      <c r="B55" s="19">
        <v>2149</v>
      </c>
      <c r="C55" s="19">
        <v>2052</v>
      </c>
      <c r="D55" s="20">
        <f t="shared" si="0"/>
        <v>95.486272684969748</v>
      </c>
      <c r="E55" s="7" t="s">
        <v>61</v>
      </c>
    </row>
    <row r="56" spans="1:5" s="21" customFormat="1" ht="17.25" customHeight="1" x14ac:dyDescent="0.5">
      <c r="A56" s="38" t="s">
        <v>56</v>
      </c>
      <c r="B56" s="37">
        <v>3675</v>
      </c>
      <c r="C56" s="37">
        <v>3464</v>
      </c>
      <c r="D56" s="36">
        <f t="shared" si="0"/>
        <v>94.258503401360542</v>
      </c>
      <c r="E56" s="39" t="s">
        <v>62</v>
      </c>
    </row>
    <row r="57" spans="1:5" s="26" customFormat="1" ht="38.25" customHeight="1" x14ac:dyDescent="0.2">
      <c r="A57" s="46" t="s">
        <v>78</v>
      </c>
      <c r="B57" s="47">
        <f>SUM(B58:B60)</f>
        <v>893</v>
      </c>
      <c r="C57" s="47">
        <f>SUM(C58:C60)</f>
        <v>844</v>
      </c>
      <c r="D57" s="48">
        <f t="shared" si="0"/>
        <v>94.512877939529673</v>
      </c>
      <c r="E57" s="44" t="s">
        <v>69</v>
      </c>
    </row>
    <row r="58" spans="1:5" s="21" customFormat="1" ht="18" customHeight="1" x14ac:dyDescent="0.5">
      <c r="A58" s="21" t="s">
        <v>23</v>
      </c>
      <c r="B58" s="19">
        <v>650</v>
      </c>
      <c r="C58" s="19">
        <v>619</v>
      </c>
      <c r="D58" s="20">
        <f t="shared" si="0"/>
        <v>95.230769230769226</v>
      </c>
      <c r="E58" s="7" t="s">
        <v>36</v>
      </c>
    </row>
    <row r="59" spans="1:5" s="21" customFormat="1" ht="18" customHeight="1" x14ac:dyDescent="0.5">
      <c r="A59" s="21" t="s">
        <v>24</v>
      </c>
      <c r="B59" s="19">
        <v>141</v>
      </c>
      <c r="C59" s="19">
        <v>134</v>
      </c>
      <c r="D59" s="20">
        <f t="shared" si="0"/>
        <v>95.035460992907801</v>
      </c>
      <c r="E59" s="7" t="s">
        <v>44</v>
      </c>
    </row>
    <row r="60" spans="1:5" s="21" customFormat="1" ht="18" customHeight="1" x14ac:dyDescent="0.5">
      <c r="A60" s="98" t="s">
        <v>22</v>
      </c>
      <c r="B60" s="99">
        <v>102</v>
      </c>
      <c r="C60" s="99">
        <v>91</v>
      </c>
      <c r="D60" s="100">
        <f t="shared" si="0"/>
        <v>89.215686274509807</v>
      </c>
      <c r="E60" s="101" t="s">
        <v>45</v>
      </c>
    </row>
    <row r="61" spans="1:5" s="40" customFormat="1" ht="29.25" customHeight="1" x14ac:dyDescent="0.5">
      <c r="A61" s="43" t="s">
        <v>79</v>
      </c>
      <c r="B61" s="27">
        <f>SUM(B62:B72)</f>
        <v>6522</v>
      </c>
      <c r="C61" s="27">
        <f>SUM(C62:C72)</f>
        <v>6172</v>
      </c>
      <c r="D61" s="41">
        <f t="shared" si="0"/>
        <v>94.633547991413678</v>
      </c>
      <c r="E61" s="42" t="s">
        <v>70</v>
      </c>
    </row>
    <row r="62" spans="1:5" s="21" customFormat="1" ht="17.25" customHeight="1" x14ac:dyDescent="0.5">
      <c r="A62" s="62" t="s">
        <v>6</v>
      </c>
      <c r="B62" s="63">
        <v>173</v>
      </c>
      <c r="C62" s="19">
        <v>169</v>
      </c>
      <c r="D62" s="20">
        <f t="shared" si="0"/>
        <v>97.687861271676297</v>
      </c>
      <c r="E62" s="7" t="s">
        <v>29</v>
      </c>
    </row>
    <row r="63" spans="1:5" s="21" customFormat="1" ht="17.25" customHeight="1" x14ac:dyDescent="0.5">
      <c r="A63" s="62" t="s">
        <v>89</v>
      </c>
      <c r="B63" s="63">
        <v>103</v>
      </c>
      <c r="C63" s="19">
        <v>99</v>
      </c>
      <c r="D63" s="20">
        <f t="shared" si="0"/>
        <v>96.116504854368941</v>
      </c>
      <c r="E63" s="7" t="s">
        <v>31</v>
      </c>
    </row>
    <row r="64" spans="1:5" s="21" customFormat="1" ht="17.25" customHeight="1" x14ac:dyDescent="0.5">
      <c r="A64" s="62" t="s">
        <v>26</v>
      </c>
      <c r="B64" s="63">
        <v>418</v>
      </c>
      <c r="C64" s="19">
        <v>388</v>
      </c>
      <c r="D64" s="20">
        <f t="shared" si="0"/>
        <v>92.822966507177028</v>
      </c>
      <c r="E64" s="7" t="s">
        <v>32</v>
      </c>
    </row>
    <row r="65" spans="1:5" s="21" customFormat="1" ht="17.25" customHeight="1" x14ac:dyDescent="0.5">
      <c r="A65" s="62" t="s">
        <v>20</v>
      </c>
      <c r="B65" s="63">
        <v>502</v>
      </c>
      <c r="C65" s="19">
        <v>473</v>
      </c>
      <c r="D65" s="20">
        <f t="shared" si="0"/>
        <v>94.223107569721122</v>
      </c>
      <c r="E65" s="7" t="s">
        <v>34</v>
      </c>
    </row>
    <row r="66" spans="1:5" s="21" customFormat="1" ht="17.25" customHeight="1" x14ac:dyDescent="0.5">
      <c r="A66" s="62" t="s">
        <v>88</v>
      </c>
      <c r="B66" s="63">
        <v>346</v>
      </c>
      <c r="C66" s="19">
        <v>333</v>
      </c>
      <c r="D66" s="20">
        <f t="shared" si="0"/>
        <v>96.242774566473983</v>
      </c>
      <c r="E66" s="7" t="s">
        <v>35</v>
      </c>
    </row>
    <row r="67" spans="1:5" s="21" customFormat="1" ht="17.25" customHeight="1" x14ac:dyDescent="0.5">
      <c r="A67" s="62" t="s">
        <v>23</v>
      </c>
      <c r="B67" s="63">
        <v>3031</v>
      </c>
      <c r="C67" s="19">
        <v>2867</v>
      </c>
      <c r="D67" s="20">
        <f t="shared" si="0"/>
        <v>94.589244473771032</v>
      </c>
      <c r="E67" s="7" t="s">
        <v>36</v>
      </c>
    </row>
    <row r="68" spans="1:5" s="21" customFormat="1" ht="17.25" customHeight="1" x14ac:dyDescent="0.5">
      <c r="A68" s="62" t="s">
        <v>19</v>
      </c>
      <c r="B68" s="63">
        <v>605</v>
      </c>
      <c r="C68" s="19">
        <v>575</v>
      </c>
      <c r="D68" s="20">
        <f t="shared" si="0"/>
        <v>95.041322314049594</v>
      </c>
      <c r="E68" s="7" t="s">
        <v>37</v>
      </c>
    </row>
    <row r="69" spans="1:5" s="21" customFormat="1" ht="17.25" customHeight="1" x14ac:dyDescent="0.5">
      <c r="A69" s="62" t="s">
        <v>87</v>
      </c>
      <c r="B69" s="63">
        <v>917</v>
      </c>
      <c r="C69" s="19">
        <v>868</v>
      </c>
      <c r="D69" s="20">
        <f t="shared" si="0"/>
        <v>94.656488549618317</v>
      </c>
      <c r="E69" s="7" t="s">
        <v>38</v>
      </c>
    </row>
    <row r="70" spans="1:5" s="21" customFormat="1" ht="17.25" customHeight="1" x14ac:dyDescent="0.5">
      <c r="A70" s="62" t="s">
        <v>21</v>
      </c>
      <c r="B70" s="63" t="s">
        <v>107</v>
      </c>
      <c r="C70" s="19" t="s">
        <v>107</v>
      </c>
      <c r="D70" s="20"/>
      <c r="E70" s="7" t="s">
        <v>41</v>
      </c>
    </row>
    <row r="71" spans="1:5" s="21" customFormat="1" ht="17.25" customHeight="1" x14ac:dyDescent="0.5">
      <c r="A71" s="62" t="s">
        <v>85</v>
      </c>
      <c r="B71" s="63">
        <v>100</v>
      </c>
      <c r="C71" s="19">
        <v>93</v>
      </c>
      <c r="D71" s="20">
        <f t="shared" ref="D71:D78" si="1">C71/B71*100</f>
        <v>93</v>
      </c>
      <c r="E71" s="7" t="s">
        <v>42</v>
      </c>
    </row>
    <row r="72" spans="1:5" s="21" customFormat="1" ht="17.25" customHeight="1" x14ac:dyDescent="0.5">
      <c r="A72" s="102" t="s">
        <v>22</v>
      </c>
      <c r="B72" s="103">
        <v>327</v>
      </c>
      <c r="C72" s="99">
        <v>307</v>
      </c>
      <c r="D72" s="100">
        <f t="shared" si="1"/>
        <v>93.883792048929664</v>
      </c>
      <c r="E72" s="101" t="s">
        <v>45</v>
      </c>
    </row>
    <row r="73" spans="1:5" s="12" customFormat="1" ht="37.5" customHeight="1" x14ac:dyDescent="0.2">
      <c r="A73" s="43" t="s">
        <v>80</v>
      </c>
      <c r="B73" s="27">
        <f>SUM(B74:B78)</f>
        <v>6348</v>
      </c>
      <c r="C73" s="27">
        <f>SUM(C74:C78)</f>
        <v>5378</v>
      </c>
      <c r="D73" s="41">
        <f t="shared" si="1"/>
        <v>84.71959672337745</v>
      </c>
      <c r="E73" s="44" t="s">
        <v>63</v>
      </c>
    </row>
    <row r="74" spans="1:5" s="21" customFormat="1" ht="17.25" customHeight="1" x14ac:dyDescent="0.5">
      <c r="A74" s="21" t="s">
        <v>64</v>
      </c>
      <c r="B74" s="19">
        <v>2690</v>
      </c>
      <c r="C74" s="19">
        <v>2430</v>
      </c>
      <c r="D74" s="20">
        <f t="shared" si="1"/>
        <v>90.334572490706321</v>
      </c>
      <c r="E74" s="7" t="s">
        <v>72</v>
      </c>
    </row>
    <row r="75" spans="1:5" s="21" customFormat="1" ht="17.25" customHeight="1" x14ac:dyDescent="0.5">
      <c r="A75" s="21" t="s">
        <v>65</v>
      </c>
      <c r="B75" s="19">
        <v>1428</v>
      </c>
      <c r="C75" s="19">
        <v>1224</v>
      </c>
      <c r="D75" s="20">
        <f t="shared" si="1"/>
        <v>85.714285714285708</v>
      </c>
      <c r="E75" s="7" t="s">
        <v>73</v>
      </c>
    </row>
    <row r="76" spans="1:5" s="21" customFormat="1" ht="17.25" customHeight="1" x14ac:dyDescent="0.5">
      <c r="A76" s="21" t="s">
        <v>66</v>
      </c>
      <c r="B76" s="19">
        <v>190</v>
      </c>
      <c r="C76" s="19">
        <v>177</v>
      </c>
      <c r="D76" s="20">
        <f t="shared" si="1"/>
        <v>93.15789473684211</v>
      </c>
      <c r="E76" s="7" t="s">
        <v>74</v>
      </c>
    </row>
    <row r="77" spans="1:5" s="21" customFormat="1" ht="17.25" customHeight="1" x14ac:dyDescent="0.5">
      <c r="A77" s="21" t="s">
        <v>131</v>
      </c>
      <c r="B77" s="19">
        <v>1698</v>
      </c>
      <c r="C77" s="19">
        <v>1315</v>
      </c>
      <c r="D77" s="20">
        <f t="shared" si="1"/>
        <v>77.444051825677263</v>
      </c>
      <c r="E77" s="7" t="s">
        <v>75</v>
      </c>
    </row>
    <row r="78" spans="1:5" s="21" customFormat="1" ht="17.25" customHeight="1" x14ac:dyDescent="0.5">
      <c r="A78" s="31" t="s">
        <v>71</v>
      </c>
      <c r="B78" s="32">
        <v>342</v>
      </c>
      <c r="C78" s="32">
        <v>232</v>
      </c>
      <c r="D78" s="33">
        <f t="shared" si="1"/>
        <v>67.836257309941516</v>
      </c>
      <c r="E78" s="34" t="s">
        <v>76</v>
      </c>
    </row>
    <row r="79" spans="1:5" s="57" customFormat="1" ht="15.75" customHeight="1" x14ac:dyDescent="0.2">
      <c r="A79" s="168" t="s">
        <v>98</v>
      </c>
      <c r="B79" s="168"/>
      <c r="C79" s="168"/>
      <c r="D79" s="168"/>
      <c r="E79" s="168"/>
    </row>
    <row r="80" spans="1:5" s="57" customFormat="1" ht="12.75" customHeight="1" x14ac:dyDescent="0.2">
      <c r="A80" s="167" t="s">
        <v>99</v>
      </c>
      <c r="B80" s="167"/>
      <c r="C80" s="167"/>
      <c r="D80" s="167"/>
      <c r="E80" s="167"/>
    </row>
    <row r="81" spans="1:5" s="57" customFormat="1" ht="12.75" customHeight="1" x14ac:dyDescent="0.2">
      <c r="A81" s="94" t="s">
        <v>132</v>
      </c>
      <c r="B81" s="94"/>
      <c r="C81" s="94"/>
      <c r="D81" s="94"/>
      <c r="E81" s="94"/>
    </row>
    <row r="82" spans="1:5" s="57" customFormat="1" ht="12.75" customHeight="1" x14ac:dyDescent="0.2">
      <c r="A82" s="53" t="s">
        <v>7</v>
      </c>
      <c r="B82" s="54"/>
      <c r="C82" s="54"/>
      <c r="D82" s="68"/>
    </row>
    <row r="83" spans="1:5" s="57" customFormat="1" ht="15.75" customHeight="1" x14ac:dyDescent="0.2">
      <c r="A83" s="165" t="s">
        <v>100</v>
      </c>
      <c r="B83" s="165"/>
      <c r="C83" s="165"/>
      <c r="D83" s="165"/>
      <c r="E83" s="165"/>
    </row>
    <row r="84" spans="1:5" s="57" customFormat="1" ht="15.75" customHeight="1" x14ac:dyDescent="0.2">
      <c r="A84" s="165" t="s">
        <v>101</v>
      </c>
      <c r="B84" s="165"/>
      <c r="C84" s="165"/>
      <c r="D84" s="165"/>
      <c r="E84" s="165"/>
    </row>
    <row r="85" spans="1:5" s="57" customFormat="1" ht="15.75" customHeight="1" x14ac:dyDescent="0.2">
      <c r="A85" s="166" t="s">
        <v>133</v>
      </c>
      <c r="B85" s="166"/>
      <c r="C85" s="166"/>
      <c r="D85" s="166"/>
      <c r="E85" s="166"/>
    </row>
    <row r="86" spans="1:5" s="57" customFormat="1" ht="15.75" customHeight="1" x14ac:dyDescent="0.45">
      <c r="B86" s="54"/>
      <c r="C86" s="54"/>
      <c r="D86" s="55"/>
      <c r="E86" s="56" t="s">
        <v>8</v>
      </c>
    </row>
    <row r="87" spans="1:5" s="57" customFormat="1" ht="12" x14ac:dyDescent="0.2">
      <c r="B87" s="54"/>
      <c r="C87" s="54"/>
      <c r="D87" s="68"/>
    </row>
    <row r="88" spans="1:5" s="21" customFormat="1" ht="12.75" x14ac:dyDescent="0.2">
      <c r="B88" s="19"/>
      <c r="C88" s="19"/>
      <c r="D88" s="28"/>
    </row>
    <row r="89" spans="1:5" s="21" customFormat="1" ht="12.75" x14ac:dyDescent="0.2">
      <c r="B89" s="19"/>
      <c r="C89" s="19"/>
      <c r="D89" s="28"/>
    </row>
    <row r="90" spans="1:5" x14ac:dyDescent="0.25">
      <c r="B90" s="17"/>
      <c r="C90" s="17"/>
      <c r="D90" s="97"/>
    </row>
    <row r="91" spans="1:5" x14ac:dyDescent="0.25">
      <c r="B91" s="17"/>
      <c r="C91" s="17"/>
      <c r="D91" s="97"/>
    </row>
    <row r="92" spans="1:5" x14ac:dyDescent="0.25">
      <c r="B92" s="17"/>
      <c r="C92" s="17"/>
      <c r="D92" s="97"/>
    </row>
    <row r="93" spans="1:5" x14ac:dyDescent="0.25">
      <c r="B93" s="17"/>
      <c r="C93" s="17"/>
      <c r="D93" s="97"/>
    </row>
  </sheetData>
  <mergeCells count="9">
    <mergeCell ref="A84:E84"/>
    <mergeCell ref="A85:E85"/>
    <mergeCell ref="A80:E80"/>
    <mergeCell ref="A83:E83"/>
    <mergeCell ref="A1:E1"/>
    <mergeCell ref="A2:E2"/>
    <mergeCell ref="A4:A5"/>
    <mergeCell ref="E4:E5"/>
    <mergeCell ref="A79:E79"/>
  </mergeCells>
  <pageMargins left="0.48" right="0.26" top="0.38" bottom="0.41" header="0.3" footer="0.3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D123"/>
  <sheetViews>
    <sheetView tabSelected="1" zoomScaleNormal="100" workbookViewId="0">
      <selection activeCell="AG23" sqref="AG23"/>
    </sheetView>
  </sheetViews>
  <sheetFormatPr defaultColWidth="9.140625" defaultRowHeight="15" x14ac:dyDescent="0.25"/>
  <cols>
    <col min="1" max="1" width="13" style="72" customWidth="1"/>
    <col min="2" max="2" width="13.7109375" style="96" customWidth="1"/>
    <col min="3" max="3" width="15.140625" style="72" customWidth="1"/>
    <col min="4" max="4" width="0.5703125" style="72" customWidth="1"/>
    <col min="5" max="6" width="8.7109375" style="72" customWidth="1"/>
    <col min="7" max="8" width="8.7109375" style="108" customWidth="1"/>
    <col min="9" max="12" width="8.7109375" style="72" customWidth="1"/>
    <col min="13" max="13" width="8.85546875" style="72" hidden="1" customWidth="1"/>
    <col min="14" max="14" width="9.140625" style="72" hidden="1" customWidth="1"/>
    <col min="15" max="15" width="15" style="75" hidden="1" customWidth="1"/>
    <col min="16" max="16" width="21" style="75" hidden="1" customWidth="1"/>
    <col min="17" max="17" width="9.140625" style="72"/>
    <col min="18" max="18" width="9.140625" style="72" customWidth="1"/>
    <col min="19" max="20" width="9.140625" style="72"/>
    <col min="21" max="23" width="9.140625" style="72" hidden="1" customWidth="1"/>
    <col min="24" max="24" width="12" style="72" customWidth="1"/>
    <col min="25" max="16384" width="9.140625" style="72"/>
  </cols>
  <sheetData>
    <row r="1" spans="1:30" ht="21.75" x14ac:dyDescent="0.55000000000000004">
      <c r="A1" s="171" t="s">
        <v>138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74"/>
      <c r="Z1" s="74"/>
      <c r="AA1" s="75"/>
      <c r="AB1" s="75"/>
    </row>
    <row r="2" spans="1:30" ht="14.45" x14ac:dyDescent="0.3">
      <c r="A2" s="172" t="s">
        <v>137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AA2" s="75"/>
      <c r="AB2" s="75"/>
    </row>
    <row r="3" spans="1:30" ht="14.45" x14ac:dyDescent="0.3">
      <c r="B3" s="170"/>
      <c r="C3" s="170"/>
      <c r="D3" s="170"/>
      <c r="E3" s="170"/>
      <c r="F3" s="96"/>
      <c r="G3" s="107"/>
      <c r="H3" s="107"/>
      <c r="I3" s="170"/>
      <c r="J3" s="170"/>
      <c r="K3" s="125"/>
      <c r="L3" s="125"/>
      <c r="M3" s="125"/>
      <c r="N3" s="125"/>
      <c r="O3" s="125"/>
      <c r="P3" s="125"/>
      <c r="Q3" s="125"/>
      <c r="R3" s="125"/>
      <c r="S3" s="125"/>
      <c r="T3" s="125"/>
      <c r="U3" s="125"/>
      <c r="V3" s="125"/>
      <c r="W3" s="125"/>
      <c r="AA3" s="75"/>
      <c r="AB3" s="75"/>
    </row>
    <row r="4" spans="1:30" ht="19.5" customHeight="1" x14ac:dyDescent="0.25">
      <c r="A4" s="162" t="s">
        <v>109</v>
      </c>
      <c r="B4" s="76"/>
      <c r="C4" s="77"/>
      <c r="D4" s="77"/>
      <c r="E4" s="173" t="s">
        <v>110</v>
      </c>
      <c r="F4" s="174"/>
      <c r="G4" s="174"/>
      <c r="H4" s="174"/>
      <c r="I4" s="175"/>
      <c r="J4" s="175"/>
      <c r="K4" s="175"/>
      <c r="L4" s="175"/>
      <c r="M4" s="175"/>
      <c r="N4" s="175"/>
      <c r="O4" s="175"/>
      <c r="P4" s="175"/>
      <c r="Q4" s="175"/>
      <c r="R4" s="175"/>
      <c r="S4" s="124"/>
      <c r="T4" s="124"/>
      <c r="U4" s="124"/>
      <c r="V4" s="124"/>
      <c r="W4" s="124"/>
      <c r="X4" s="156" t="s">
        <v>111</v>
      </c>
      <c r="AA4" s="75"/>
      <c r="AB4" s="75"/>
    </row>
    <row r="5" spans="1:30" ht="16.5" customHeight="1" x14ac:dyDescent="0.25">
      <c r="A5" s="169"/>
      <c r="B5" s="78" t="s">
        <v>112</v>
      </c>
      <c r="C5" s="78" t="s">
        <v>113</v>
      </c>
      <c r="D5" s="78"/>
      <c r="E5" s="176" t="s">
        <v>114</v>
      </c>
      <c r="F5" s="177"/>
      <c r="G5" s="177"/>
      <c r="H5" s="177"/>
      <c r="I5" s="180" t="s">
        <v>115</v>
      </c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57"/>
      <c r="AA5" s="75"/>
      <c r="AB5" s="75"/>
    </row>
    <row r="6" spans="1:30" ht="18" customHeight="1" x14ac:dyDescent="0.25">
      <c r="A6" s="169"/>
      <c r="B6" s="78" t="s">
        <v>116</v>
      </c>
      <c r="C6" s="78" t="s">
        <v>116</v>
      </c>
      <c r="D6" s="78"/>
      <c r="E6" s="178"/>
      <c r="F6" s="179"/>
      <c r="G6" s="179"/>
      <c r="H6" s="179"/>
      <c r="I6" s="182" t="s">
        <v>117</v>
      </c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57"/>
      <c r="AA6" s="75"/>
      <c r="AB6" s="75"/>
    </row>
    <row r="7" spans="1:30" ht="28.5" customHeight="1" x14ac:dyDescent="0.25">
      <c r="A7" s="169"/>
      <c r="B7" s="79" t="s">
        <v>118</v>
      </c>
      <c r="C7" s="79" t="s">
        <v>119</v>
      </c>
      <c r="D7" s="79"/>
      <c r="E7" s="184" t="s">
        <v>120</v>
      </c>
      <c r="F7" s="185"/>
      <c r="G7" s="185"/>
      <c r="H7" s="185"/>
      <c r="I7" s="186" t="s">
        <v>121</v>
      </c>
      <c r="J7" s="187"/>
      <c r="K7" s="187"/>
      <c r="L7" s="187"/>
      <c r="M7" s="187"/>
      <c r="N7" s="187"/>
      <c r="O7" s="187"/>
      <c r="P7" s="80"/>
      <c r="Q7" s="188" t="s">
        <v>122</v>
      </c>
      <c r="R7" s="187"/>
      <c r="S7" s="187"/>
      <c r="T7" s="187"/>
      <c r="U7" s="187"/>
      <c r="V7" s="187"/>
      <c r="W7" s="187"/>
      <c r="X7" s="157"/>
      <c r="AA7" s="75"/>
      <c r="AB7" s="75"/>
    </row>
    <row r="8" spans="1:30" ht="27.6" customHeight="1" x14ac:dyDescent="0.25">
      <c r="A8" s="159"/>
      <c r="B8" s="81">
        <v>2014</v>
      </c>
      <c r="C8" s="81">
        <v>2014</v>
      </c>
      <c r="D8" s="82"/>
      <c r="E8" s="83">
        <v>2011</v>
      </c>
      <c r="F8" s="81">
        <v>2012</v>
      </c>
      <c r="G8" s="81">
        <v>2013</v>
      </c>
      <c r="H8" s="81">
        <v>2014</v>
      </c>
      <c r="I8" s="109">
        <v>2011</v>
      </c>
      <c r="J8" s="81">
        <v>2012</v>
      </c>
      <c r="K8" s="81">
        <v>2013</v>
      </c>
      <c r="L8" s="81">
        <v>2014</v>
      </c>
      <c r="M8" s="81" t="s">
        <v>134</v>
      </c>
      <c r="N8" s="81" t="s">
        <v>135</v>
      </c>
      <c r="O8" s="81" t="s">
        <v>136</v>
      </c>
      <c r="P8" s="81"/>
      <c r="Q8" s="83">
        <v>2011</v>
      </c>
      <c r="R8" s="81">
        <v>2012</v>
      </c>
      <c r="S8" s="81">
        <v>2013</v>
      </c>
      <c r="T8" s="81">
        <v>2014</v>
      </c>
      <c r="U8" s="81" t="s">
        <v>134</v>
      </c>
      <c r="V8" s="81" t="s">
        <v>135</v>
      </c>
      <c r="W8" s="81" t="s">
        <v>136</v>
      </c>
      <c r="X8" s="158"/>
      <c r="AA8" s="75"/>
      <c r="AB8" s="75"/>
    </row>
    <row r="9" spans="1:30" ht="19.5" customHeight="1" x14ac:dyDescent="0.25">
      <c r="A9" s="95" t="s">
        <v>123</v>
      </c>
      <c r="B9" s="128">
        <f>SUM(B10:B30)</f>
        <v>210</v>
      </c>
      <c r="C9" s="128">
        <f>SUM(C10:C30)</f>
        <v>1095</v>
      </c>
      <c r="D9" s="129"/>
      <c r="E9" s="130">
        <f t="shared" ref="E9:H9" si="0">SUM(E10:E30)</f>
        <v>662.69137099999989</v>
      </c>
      <c r="F9" s="131">
        <f t="shared" si="0"/>
        <v>965.92251699999997</v>
      </c>
      <c r="G9" s="131">
        <f t="shared" si="0"/>
        <v>846.04417799999999</v>
      </c>
      <c r="H9" s="131">
        <f t="shared" si="0"/>
        <v>912.4775304444446</v>
      </c>
      <c r="I9" s="132">
        <f>SUM(I10:I30)</f>
        <v>446.27385500000003</v>
      </c>
      <c r="J9" s="131">
        <f t="shared" ref="J9:L9" si="1">SUM(J10:J30)</f>
        <v>620.73176699999999</v>
      </c>
      <c r="K9" s="131">
        <f t="shared" si="1"/>
        <v>597.28236500000003</v>
      </c>
      <c r="L9" s="131">
        <f t="shared" si="1"/>
        <v>594.18358399999988</v>
      </c>
      <c r="M9" s="131">
        <f t="shared" ref="M9:O9" si="2">SUM(M10:M30)</f>
        <v>570.82328900000005</v>
      </c>
      <c r="N9" s="131">
        <f t="shared" si="2"/>
        <v>565.94458000000009</v>
      </c>
      <c r="O9" s="131">
        <f t="shared" si="2"/>
        <v>566.06018200000005</v>
      </c>
      <c r="P9" s="131"/>
      <c r="Q9" s="133">
        <f t="shared" ref="Q9:Q30" si="3">I9/E9*100</f>
        <v>67.342638599107403</v>
      </c>
      <c r="R9" s="134">
        <f t="shared" ref="R9:R30" si="4">J9/F9*100</f>
        <v>64.263101447090492</v>
      </c>
      <c r="S9" s="135">
        <f t="shared" ref="S9:S30" si="5">K9/G9*100</f>
        <v>70.597065795304133</v>
      </c>
      <c r="T9" s="134">
        <f t="shared" ref="T9:T30" si="6">L9/H9*100</f>
        <v>65.117612672674596</v>
      </c>
      <c r="U9" s="104" t="e">
        <f>M9/#REF!*100</f>
        <v>#REF!</v>
      </c>
      <c r="V9" s="84" t="e">
        <f>N9/#REF!*100</f>
        <v>#REF!</v>
      </c>
      <c r="W9" s="84" t="e">
        <f>O9/#REF!*100</f>
        <v>#REF!</v>
      </c>
      <c r="X9" s="123" t="s">
        <v>124</v>
      </c>
      <c r="AA9" s="75"/>
      <c r="AB9" s="75"/>
    </row>
    <row r="10" spans="1:30" ht="19.5" customHeight="1" x14ac:dyDescent="0.25">
      <c r="A10" s="85" t="s">
        <v>125</v>
      </c>
      <c r="B10" s="136">
        <v>1</v>
      </c>
      <c r="C10" s="136">
        <v>11</v>
      </c>
      <c r="D10" s="137"/>
      <c r="E10" s="138">
        <v>61.912550000000003</v>
      </c>
      <c r="F10" s="126">
        <v>156.82399699999999</v>
      </c>
      <c r="G10" s="126">
        <v>156.84509800000001</v>
      </c>
      <c r="H10" s="126">
        <v>178.29384844444445</v>
      </c>
      <c r="I10" s="139">
        <v>33.687016</v>
      </c>
      <c r="J10" s="127">
        <v>85.331259000000003</v>
      </c>
      <c r="K10" s="127">
        <v>84.670901000000001</v>
      </c>
      <c r="L10" s="127">
        <v>81.888349333333323</v>
      </c>
      <c r="M10" s="127">
        <v>68.495412999999999</v>
      </c>
      <c r="N10" s="127">
        <v>68.495412999999999</v>
      </c>
      <c r="O10" s="127">
        <v>68.495412999999999</v>
      </c>
      <c r="P10" s="127"/>
      <c r="Q10" s="140">
        <f t="shared" si="3"/>
        <v>54.410642107294883</v>
      </c>
      <c r="R10" s="141">
        <f t="shared" si="4"/>
        <v>54.412118446388021</v>
      </c>
      <c r="S10" s="141">
        <f t="shared" si="5"/>
        <v>53.983772575410669</v>
      </c>
      <c r="T10" s="141">
        <f t="shared" si="6"/>
        <v>45.928869698973017</v>
      </c>
      <c r="U10" s="105" t="e">
        <f>M10/#REF!*100</f>
        <v>#REF!</v>
      </c>
      <c r="V10" s="86" t="e">
        <f>N10/#REF!*100</f>
        <v>#REF!</v>
      </c>
      <c r="W10" s="86" t="e">
        <f>O10/#REF!*100</f>
        <v>#REF!</v>
      </c>
      <c r="X10" s="23" t="s">
        <v>126</v>
      </c>
      <c r="Z10" s="87"/>
      <c r="AA10" s="75"/>
      <c r="AB10" s="75"/>
      <c r="AC10" s="87"/>
      <c r="AD10" s="87"/>
    </row>
    <row r="11" spans="1:30" ht="19.5" customHeight="1" x14ac:dyDescent="0.25">
      <c r="A11" s="85" t="s">
        <v>6</v>
      </c>
      <c r="B11" s="136">
        <v>15</v>
      </c>
      <c r="C11" s="136">
        <v>86</v>
      </c>
      <c r="D11" s="137"/>
      <c r="E11" s="138">
        <v>42.078754000000004</v>
      </c>
      <c r="F11" s="126">
        <v>58.363619</v>
      </c>
      <c r="G11" s="126">
        <v>49.025638999999998</v>
      </c>
      <c r="H11" s="126">
        <v>51.026561333333333</v>
      </c>
      <c r="I11" s="139">
        <v>30.011016000000001</v>
      </c>
      <c r="J11" s="127">
        <v>38.961582999999997</v>
      </c>
      <c r="K11" s="127">
        <v>37.259529000000001</v>
      </c>
      <c r="L11" s="127">
        <v>38.493790666666662</v>
      </c>
      <c r="M11" s="127">
        <v>37.594686000000003</v>
      </c>
      <c r="N11" s="127">
        <v>37.594686000000003</v>
      </c>
      <c r="O11" s="127">
        <v>37.594686000000003</v>
      </c>
      <c r="P11" s="127"/>
      <c r="Q11" s="140">
        <f t="shared" si="3"/>
        <v>71.321066208376791</v>
      </c>
      <c r="R11" s="141">
        <f t="shared" si="4"/>
        <v>66.75662624690905</v>
      </c>
      <c r="S11" s="141">
        <f t="shared" si="5"/>
        <v>76.000088443518294</v>
      </c>
      <c r="T11" s="141">
        <f t="shared" si="6"/>
        <v>75.438731634695557</v>
      </c>
      <c r="U11" s="105" t="e">
        <f>M11/#REF!*100</f>
        <v>#REF!</v>
      </c>
      <c r="V11" s="86" t="e">
        <f>N11/#REF!*100</f>
        <v>#REF!</v>
      </c>
      <c r="W11" s="86" t="e">
        <f>O11/#REF!*100</f>
        <v>#REF!</v>
      </c>
      <c r="X11" s="23" t="s">
        <v>29</v>
      </c>
      <c r="Z11" s="87"/>
      <c r="AA11" s="75"/>
      <c r="AB11" s="75"/>
      <c r="AC11" s="87"/>
      <c r="AD11" s="87"/>
    </row>
    <row r="12" spans="1:30" ht="19.5" customHeight="1" x14ac:dyDescent="0.25">
      <c r="A12" s="85" t="s">
        <v>90</v>
      </c>
      <c r="B12" s="136">
        <v>14</v>
      </c>
      <c r="C12" s="136">
        <v>77</v>
      </c>
      <c r="D12" s="137"/>
      <c r="E12" s="138">
        <v>44.467179999999999</v>
      </c>
      <c r="F12" s="126">
        <v>61.807938999999998</v>
      </c>
      <c r="G12" s="126">
        <v>51.512613000000002</v>
      </c>
      <c r="H12" s="126">
        <v>50.520885555555559</v>
      </c>
      <c r="I12" s="139">
        <v>30.574224999999998</v>
      </c>
      <c r="J12" s="127">
        <v>40.657739999999997</v>
      </c>
      <c r="K12" s="127">
        <v>37.837862000000001</v>
      </c>
      <c r="L12" s="127">
        <v>37.204009333333332</v>
      </c>
      <c r="M12" s="127">
        <v>36.389119999999998</v>
      </c>
      <c r="N12" s="127">
        <v>36.389119999999998</v>
      </c>
      <c r="O12" s="127">
        <v>36.389119999999998</v>
      </c>
      <c r="P12" s="127"/>
      <c r="Q12" s="140">
        <f t="shared" si="3"/>
        <v>68.756833691724992</v>
      </c>
      <c r="R12" s="141">
        <f t="shared" si="4"/>
        <v>65.780772919802416</v>
      </c>
      <c r="S12" s="141">
        <f t="shared" si="5"/>
        <v>73.453586988491537</v>
      </c>
      <c r="T12" s="141">
        <f t="shared" si="6"/>
        <v>73.640849569870952</v>
      </c>
      <c r="U12" s="105" t="e">
        <f>M12/#REF!*100</f>
        <v>#REF!</v>
      </c>
      <c r="V12" s="86" t="e">
        <f>N12/#REF!*100</f>
        <v>#REF!</v>
      </c>
      <c r="W12" s="86" t="e">
        <f>O12/#REF!*100</f>
        <v>#REF!</v>
      </c>
      <c r="X12" s="23" t="s">
        <v>30</v>
      </c>
      <c r="Z12" s="87"/>
      <c r="AA12" s="75"/>
      <c r="AB12" s="75"/>
      <c r="AC12" s="87"/>
      <c r="AD12" s="87"/>
    </row>
    <row r="13" spans="1:30" ht="19.5" customHeight="1" x14ac:dyDescent="0.25">
      <c r="A13" s="85" t="s">
        <v>89</v>
      </c>
      <c r="B13" s="136">
        <v>15</v>
      </c>
      <c r="C13" s="136">
        <v>78</v>
      </c>
      <c r="D13" s="137"/>
      <c r="E13" s="138">
        <v>39.581037999999999</v>
      </c>
      <c r="F13" s="126">
        <v>53.821097000000002</v>
      </c>
      <c r="G13" s="126">
        <v>46.48086</v>
      </c>
      <c r="H13" s="126">
        <v>49.316340000000011</v>
      </c>
      <c r="I13" s="139">
        <v>27.44192</v>
      </c>
      <c r="J13" s="127">
        <v>34.639156999999997</v>
      </c>
      <c r="K13" s="127">
        <v>33.258971000000003</v>
      </c>
      <c r="L13" s="127">
        <v>34.045261333333329</v>
      </c>
      <c r="M13" s="127">
        <v>32.956069999999997</v>
      </c>
      <c r="N13" s="127">
        <v>32.956069999999997</v>
      </c>
      <c r="O13" s="127">
        <v>32.956069999999997</v>
      </c>
      <c r="P13" s="127"/>
      <c r="Q13" s="140">
        <f t="shared" si="3"/>
        <v>69.330976110328379</v>
      </c>
      <c r="R13" s="141">
        <f t="shared" si="4"/>
        <v>64.359812286992209</v>
      </c>
      <c r="S13" s="141">
        <f t="shared" si="5"/>
        <v>71.554121416858479</v>
      </c>
      <c r="T13" s="141">
        <f t="shared" si="6"/>
        <v>69.034444432278065</v>
      </c>
      <c r="U13" s="105" t="e">
        <f>M13/#REF!*100</f>
        <v>#REF!</v>
      </c>
      <c r="V13" s="86" t="e">
        <f>N13/#REF!*100</f>
        <v>#REF!</v>
      </c>
      <c r="W13" s="86" t="e">
        <f>O13/#REF!*100</f>
        <v>#REF!</v>
      </c>
      <c r="X13" s="23" t="s">
        <v>31</v>
      </c>
      <c r="Z13" s="87"/>
      <c r="AA13" s="75"/>
      <c r="AB13" s="75"/>
      <c r="AC13" s="87"/>
      <c r="AD13" s="87"/>
    </row>
    <row r="14" spans="1:30" ht="19.5" customHeight="1" x14ac:dyDescent="0.25">
      <c r="A14" s="85" t="s">
        <v>26</v>
      </c>
      <c r="B14" s="136">
        <v>14</v>
      </c>
      <c r="C14" s="136">
        <v>71</v>
      </c>
      <c r="D14" s="137"/>
      <c r="E14" s="138">
        <v>33.173864000000002</v>
      </c>
      <c r="F14" s="126">
        <v>48.364001999999999</v>
      </c>
      <c r="G14" s="126">
        <v>39.160907000000002</v>
      </c>
      <c r="H14" s="126">
        <v>42.540938444444443</v>
      </c>
      <c r="I14" s="139">
        <v>24.324807</v>
      </c>
      <c r="J14" s="127">
        <v>32.041421999999997</v>
      </c>
      <c r="K14" s="127">
        <v>30.084500999999999</v>
      </c>
      <c r="L14" s="127">
        <v>29.989675999999999</v>
      </c>
      <c r="M14" s="127">
        <v>28.417846000000001</v>
      </c>
      <c r="N14" s="127">
        <v>28.539137</v>
      </c>
      <c r="O14" s="127">
        <v>28.654738999999999</v>
      </c>
      <c r="P14" s="127"/>
      <c r="Q14" s="140">
        <f t="shared" si="3"/>
        <v>73.325214693109004</v>
      </c>
      <c r="R14" s="141">
        <f t="shared" si="4"/>
        <v>66.250559662122242</v>
      </c>
      <c r="S14" s="141">
        <f t="shared" si="5"/>
        <v>76.822789114664786</v>
      </c>
      <c r="T14" s="141">
        <f t="shared" si="6"/>
        <v>70.496037691233511</v>
      </c>
      <c r="U14" s="105" t="e">
        <f>M14/#REF!*100</f>
        <v>#REF!</v>
      </c>
      <c r="V14" s="86" t="e">
        <f>N14/#REF!*100</f>
        <v>#REF!</v>
      </c>
      <c r="W14" s="86" t="e">
        <f>O14/#REF!*100</f>
        <v>#REF!</v>
      </c>
      <c r="X14" s="24" t="s">
        <v>32</v>
      </c>
      <c r="Z14" s="87"/>
      <c r="AA14" s="75"/>
      <c r="AB14" s="75"/>
      <c r="AC14" s="87"/>
      <c r="AD14" s="87"/>
    </row>
    <row r="15" spans="1:30" ht="19.5" customHeight="1" x14ac:dyDescent="0.25">
      <c r="A15" s="85" t="s">
        <v>27</v>
      </c>
      <c r="B15" s="136">
        <v>16</v>
      </c>
      <c r="C15" s="136">
        <v>87</v>
      </c>
      <c r="D15" s="137"/>
      <c r="E15" s="138">
        <v>40.468159</v>
      </c>
      <c r="F15" s="126">
        <v>59.347352999999998</v>
      </c>
      <c r="G15" s="126">
        <v>50.771551000000002</v>
      </c>
      <c r="H15" s="126">
        <v>58.571000666666656</v>
      </c>
      <c r="I15" s="139">
        <v>29.724703999999999</v>
      </c>
      <c r="J15" s="127">
        <v>38.211796</v>
      </c>
      <c r="K15" s="127">
        <v>36.823645999999997</v>
      </c>
      <c r="L15" s="127">
        <v>36.878738666666663</v>
      </c>
      <c r="M15" s="127">
        <v>35.722608000000001</v>
      </c>
      <c r="N15" s="127">
        <v>35.722608000000001</v>
      </c>
      <c r="O15" s="127">
        <v>35.722608000000001</v>
      </c>
      <c r="P15" s="127"/>
      <c r="Q15" s="140">
        <f t="shared" si="3"/>
        <v>73.452078707113898</v>
      </c>
      <c r="R15" s="141">
        <f t="shared" si="4"/>
        <v>64.386689664154019</v>
      </c>
      <c r="S15" s="141">
        <f t="shared" si="5"/>
        <v>72.528109294908077</v>
      </c>
      <c r="T15" s="141">
        <f t="shared" si="6"/>
        <v>62.964160159303418</v>
      </c>
      <c r="U15" s="105" t="e">
        <f>M15/#REF!*100</f>
        <v>#REF!</v>
      </c>
      <c r="V15" s="86" t="e">
        <f>N15/#REF!*100</f>
        <v>#REF!</v>
      </c>
      <c r="W15" s="86" t="e">
        <f>O15/#REF!*100</f>
        <v>#REF!</v>
      </c>
      <c r="X15" s="23" t="s">
        <v>33</v>
      </c>
      <c r="Z15" s="87"/>
      <c r="AA15" s="75"/>
      <c r="AB15" s="75"/>
      <c r="AC15" s="87"/>
      <c r="AD15" s="87"/>
    </row>
    <row r="16" spans="1:30" ht="19.5" customHeight="1" x14ac:dyDescent="0.25">
      <c r="A16" s="85" t="s">
        <v>20</v>
      </c>
      <c r="B16" s="136">
        <v>14</v>
      </c>
      <c r="C16" s="136">
        <v>73</v>
      </c>
      <c r="D16" s="137"/>
      <c r="E16" s="138">
        <v>33.264260999999998</v>
      </c>
      <c r="F16" s="126">
        <v>47.697812999999996</v>
      </c>
      <c r="G16" s="126">
        <v>38.625048999999997</v>
      </c>
      <c r="H16" s="126">
        <v>40.532611777777774</v>
      </c>
      <c r="I16" s="139">
        <v>25.201101000000001</v>
      </c>
      <c r="J16" s="127">
        <v>30.289159000000001</v>
      </c>
      <c r="K16" s="127">
        <v>28.642721999999999</v>
      </c>
      <c r="L16" s="127">
        <v>28.580995999999995</v>
      </c>
      <c r="M16" s="127">
        <v>28.353985000000002</v>
      </c>
      <c r="N16" s="127">
        <v>28.353985000000002</v>
      </c>
      <c r="O16" s="127">
        <v>28.353985000000002</v>
      </c>
      <c r="P16" s="127"/>
      <c r="Q16" s="140">
        <f t="shared" si="3"/>
        <v>75.760291202621346</v>
      </c>
      <c r="R16" s="141">
        <f t="shared" si="4"/>
        <v>63.502196631111794</v>
      </c>
      <c r="S16" s="141">
        <f t="shared" si="5"/>
        <v>74.155820488408963</v>
      </c>
      <c r="T16" s="141">
        <f t="shared" si="6"/>
        <v>70.51358090787943</v>
      </c>
      <c r="U16" s="105" t="e">
        <f>M16/#REF!*100</f>
        <v>#REF!</v>
      </c>
      <c r="V16" s="86" t="e">
        <f>N16/#REF!*100</f>
        <v>#REF!</v>
      </c>
      <c r="W16" s="86" t="e">
        <f>O16/#REF!*100</f>
        <v>#REF!</v>
      </c>
      <c r="X16" s="23" t="s">
        <v>34</v>
      </c>
      <c r="Z16" s="87"/>
      <c r="AA16" s="75"/>
      <c r="AB16" s="75"/>
      <c r="AC16" s="87"/>
      <c r="AD16" s="87"/>
    </row>
    <row r="17" spans="1:30" ht="19.5" customHeight="1" x14ac:dyDescent="0.25">
      <c r="A17" s="85" t="s">
        <v>88</v>
      </c>
      <c r="B17" s="136">
        <v>5</v>
      </c>
      <c r="C17" s="136">
        <v>30</v>
      </c>
      <c r="D17" s="137"/>
      <c r="E17" s="138">
        <v>17.716802000000001</v>
      </c>
      <c r="F17" s="126">
        <v>25.177161999999999</v>
      </c>
      <c r="G17" s="126">
        <v>20.229092000000001</v>
      </c>
      <c r="H17" s="126">
        <v>22.131977333333335</v>
      </c>
      <c r="I17" s="139">
        <v>13.163275000000001</v>
      </c>
      <c r="J17" s="127">
        <v>16.339414000000001</v>
      </c>
      <c r="K17" s="127">
        <v>15.325837999999999</v>
      </c>
      <c r="L17" s="127">
        <v>15.002683999999999</v>
      </c>
      <c r="M17" s="127">
        <v>14.785809</v>
      </c>
      <c r="N17" s="127">
        <v>14.785809</v>
      </c>
      <c r="O17" s="127">
        <v>14.785809</v>
      </c>
      <c r="P17" s="127"/>
      <c r="Q17" s="140">
        <f t="shared" si="3"/>
        <v>74.298256536365869</v>
      </c>
      <c r="R17" s="141">
        <f t="shared" si="4"/>
        <v>64.897759326488043</v>
      </c>
      <c r="S17" s="141">
        <f t="shared" si="5"/>
        <v>75.761373768036634</v>
      </c>
      <c r="T17" s="141">
        <f t="shared" si="6"/>
        <v>67.787363840302746</v>
      </c>
      <c r="U17" s="105" t="e">
        <f>M17/#REF!*100</f>
        <v>#REF!</v>
      </c>
      <c r="V17" s="86" t="e">
        <f>N17/#REF!*100</f>
        <v>#REF!</v>
      </c>
      <c r="W17" s="86" t="e">
        <f>O17/#REF!*100</f>
        <v>#REF!</v>
      </c>
      <c r="X17" s="23" t="s">
        <v>35</v>
      </c>
      <c r="Z17" s="87"/>
      <c r="AA17" s="75"/>
      <c r="AB17" s="75"/>
      <c r="AC17" s="87"/>
      <c r="AD17" s="87"/>
    </row>
    <row r="18" spans="1:30" ht="19.5" customHeight="1" x14ac:dyDescent="0.25">
      <c r="A18" s="85" t="s">
        <v>23</v>
      </c>
      <c r="B18" s="136">
        <v>10</v>
      </c>
      <c r="C18" s="136">
        <v>51</v>
      </c>
      <c r="D18" s="137"/>
      <c r="E18" s="138">
        <v>25.699311000000002</v>
      </c>
      <c r="F18" s="126">
        <v>38.064436000000001</v>
      </c>
      <c r="G18" s="126">
        <v>33.295461000000003</v>
      </c>
      <c r="H18" s="126">
        <v>32.07280733333333</v>
      </c>
      <c r="I18" s="139">
        <v>19.601483000000002</v>
      </c>
      <c r="J18" s="127">
        <v>23.685687999999999</v>
      </c>
      <c r="K18" s="127">
        <v>23.181280000000001</v>
      </c>
      <c r="L18" s="127">
        <v>22.876013333333333</v>
      </c>
      <c r="M18" s="127">
        <v>21.945070999999999</v>
      </c>
      <c r="N18" s="127">
        <v>21.945070999999999</v>
      </c>
      <c r="O18" s="127">
        <v>21.945070999999999</v>
      </c>
      <c r="P18" s="127"/>
      <c r="Q18" s="140">
        <f t="shared" si="3"/>
        <v>76.27240668047483</v>
      </c>
      <c r="R18" s="141">
        <f t="shared" si="4"/>
        <v>62.225243531783839</v>
      </c>
      <c r="S18" s="141">
        <f t="shared" si="5"/>
        <v>69.622943499716072</v>
      </c>
      <c r="T18" s="141">
        <f t="shared" si="6"/>
        <v>71.325260353989179</v>
      </c>
      <c r="U18" s="105" t="e">
        <f>M18/#REF!*100</f>
        <v>#REF!</v>
      </c>
      <c r="V18" s="86" t="e">
        <f>N18/#REF!*100</f>
        <v>#REF!</v>
      </c>
      <c r="W18" s="86" t="e">
        <f>O18/#REF!*100</f>
        <v>#REF!</v>
      </c>
      <c r="X18" s="23" t="s">
        <v>36</v>
      </c>
      <c r="Z18" s="87"/>
      <c r="AA18" s="75"/>
      <c r="AB18" s="75"/>
      <c r="AC18" s="87"/>
      <c r="AD18" s="87"/>
    </row>
    <row r="19" spans="1:30" ht="19.5" customHeight="1" x14ac:dyDescent="0.25">
      <c r="A19" s="85" t="s">
        <v>19</v>
      </c>
      <c r="B19" s="136">
        <v>9</v>
      </c>
      <c r="C19" s="136">
        <v>46</v>
      </c>
      <c r="D19" s="137"/>
      <c r="E19" s="138">
        <v>20.612411000000002</v>
      </c>
      <c r="F19" s="126">
        <v>27.351718999999999</v>
      </c>
      <c r="G19" s="126">
        <v>25.354697999999999</v>
      </c>
      <c r="H19" s="126">
        <v>28.326072444444449</v>
      </c>
      <c r="I19" s="139">
        <v>15.423232</v>
      </c>
      <c r="J19" s="127">
        <v>18.752078000000001</v>
      </c>
      <c r="K19" s="127">
        <v>17.971557000000001</v>
      </c>
      <c r="L19" s="127">
        <v>18.391826666666663</v>
      </c>
      <c r="M19" s="127">
        <v>18.022638000000001</v>
      </c>
      <c r="N19" s="127">
        <v>18.022638000000001</v>
      </c>
      <c r="O19" s="127">
        <v>18.022638000000001</v>
      </c>
      <c r="P19" s="127"/>
      <c r="Q19" s="140">
        <f t="shared" si="3"/>
        <v>74.824978019310791</v>
      </c>
      <c r="R19" s="141">
        <f t="shared" si="4"/>
        <v>68.559047422211378</v>
      </c>
      <c r="S19" s="141">
        <f t="shared" si="5"/>
        <v>70.880580001386733</v>
      </c>
      <c r="T19" s="141">
        <f t="shared" si="6"/>
        <v>64.928968542103078</v>
      </c>
      <c r="U19" s="105" t="e">
        <f>M19/#REF!*100</f>
        <v>#REF!</v>
      </c>
      <c r="V19" s="86" t="e">
        <f>N19/#REF!*100</f>
        <v>#REF!</v>
      </c>
      <c r="W19" s="86" t="e">
        <f>O19/#REF!*100</f>
        <v>#REF!</v>
      </c>
      <c r="X19" s="23" t="s">
        <v>37</v>
      </c>
      <c r="Z19" s="87"/>
      <c r="AA19" s="75"/>
      <c r="AB19" s="75"/>
      <c r="AC19" s="87"/>
      <c r="AD19" s="87"/>
    </row>
    <row r="20" spans="1:30" ht="19.5" customHeight="1" x14ac:dyDescent="0.25">
      <c r="A20" s="85" t="s">
        <v>87</v>
      </c>
      <c r="B20" s="136">
        <v>11</v>
      </c>
      <c r="C20" s="136">
        <v>56</v>
      </c>
      <c r="D20" s="137"/>
      <c r="E20" s="138">
        <v>26.116046999999998</v>
      </c>
      <c r="F20" s="126">
        <v>38.328339999999997</v>
      </c>
      <c r="G20" s="126">
        <v>31.623099</v>
      </c>
      <c r="H20" s="126">
        <v>32.038992</v>
      </c>
      <c r="I20" s="139">
        <v>20.897197999999999</v>
      </c>
      <c r="J20" s="127">
        <v>26.914738</v>
      </c>
      <c r="K20" s="127">
        <v>25.181070999999999</v>
      </c>
      <c r="L20" s="127">
        <v>24.503314666666665</v>
      </c>
      <c r="M20" s="127">
        <v>24.070294000000001</v>
      </c>
      <c r="N20" s="127">
        <v>24.070294000000001</v>
      </c>
      <c r="O20" s="127">
        <v>24.070294000000001</v>
      </c>
      <c r="P20" s="127"/>
      <c r="Q20" s="140">
        <f t="shared" si="3"/>
        <v>80.016696248096054</v>
      </c>
      <c r="R20" s="141">
        <f t="shared" si="4"/>
        <v>70.221507114578927</v>
      </c>
      <c r="S20" s="141">
        <f t="shared" si="5"/>
        <v>79.628726457201424</v>
      </c>
      <c r="T20" s="141">
        <f t="shared" si="6"/>
        <v>76.479667858048288</v>
      </c>
      <c r="U20" s="105" t="e">
        <f>M20/#REF!*100</f>
        <v>#REF!</v>
      </c>
      <c r="V20" s="86" t="e">
        <f>N20/#REF!*100</f>
        <v>#REF!</v>
      </c>
      <c r="W20" s="86" t="e">
        <f>O20/#REF!*100</f>
        <v>#REF!</v>
      </c>
      <c r="X20" s="23" t="s">
        <v>38</v>
      </c>
      <c r="Z20" s="87"/>
      <c r="AA20" s="75"/>
      <c r="AB20" s="75"/>
      <c r="AC20" s="87"/>
      <c r="AD20" s="87"/>
    </row>
    <row r="21" spans="1:30" ht="18.75" x14ac:dyDescent="0.25">
      <c r="A21" s="85" t="s">
        <v>28</v>
      </c>
      <c r="B21" s="136">
        <v>6</v>
      </c>
      <c r="C21" s="136">
        <v>31</v>
      </c>
      <c r="D21" s="137"/>
      <c r="E21" s="138">
        <v>12.252014000000001</v>
      </c>
      <c r="F21" s="126">
        <v>15.961235</v>
      </c>
      <c r="G21" s="126">
        <v>14.705057999999999</v>
      </c>
      <c r="H21" s="142">
        <v>15.1075617777778</v>
      </c>
      <c r="I21" s="139">
        <v>9.5316729999999996</v>
      </c>
      <c r="J21" s="127">
        <v>11.360829000000001</v>
      </c>
      <c r="K21" s="127">
        <v>11.181990000000001</v>
      </c>
      <c r="L21" s="127">
        <v>11.066283999999998</v>
      </c>
      <c r="M21" s="127">
        <v>10.698921</v>
      </c>
      <c r="N21" s="127">
        <v>10.698921</v>
      </c>
      <c r="O21" s="127">
        <v>10.698921</v>
      </c>
      <c r="P21" s="127"/>
      <c r="Q21" s="140">
        <f t="shared" si="3"/>
        <v>77.796785083660524</v>
      </c>
      <c r="R21" s="141">
        <f t="shared" si="4"/>
        <v>71.177631304845775</v>
      </c>
      <c r="S21" s="141">
        <f t="shared" si="5"/>
        <v>76.041794598838038</v>
      </c>
      <c r="T21" s="141">
        <f t="shared" si="6"/>
        <v>73.249966889281581</v>
      </c>
      <c r="U21" s="105" t="e">
        <f>M21/#REF!*100</f>
        <v>#REF!</v>
      </c>
      <c r="V21" s="86" t="e">
        <f>N21/#REF!*100</f>
        <v>#REF!</v>
      </c>
      <c r="W21" s="86" t="e">
        <f>O21/#REF!*100</f>
        <v>#REF!</v>
      </c>
      <c r="X21" s="23" t="s">
        <v>39</v>
      </c>
      <c r="Z21" s="87"/>
      <c r="AA21" s="75"/>
      <c r="AB21" s="75"/>
      <c r="AC21" s="87"/>
      <c r="AD21" s="87"/>
    </row>
    <row r="22" spans="1:30" ht="24.75" customHeight="1" x14ac:dyDescent="0.25">
      <c r="A22" s="85" t="s">
        <v>25</v>
      </c>
      <c r="B22" s="136">
        <v>9</v>
      </c>
      <c r="C22" s="136">
        <v>46</v>
      </c>
      <c r="D22" s="137"/>
      <c r="E22" s="138">
        <v>26.333266999999999</v>
      </c>
      <c r="F22" s="126">
        <v>29.217924</v>
      </c>
      <c r="G22" s="126">
        <v>25.306804</v>
      </c>
      <c r="H22" s="126">
        <v>25.962817555555553</v>
      </c>
      <c r="I22" s="139">
        <v>16.919053999999999</v>
      </c>
      <c r="J22" s="127">
        <v>20.211186999999999</v>
      </c>
      <c r="K22" s="127">
        <v>18.904149</v>
      </c>
      <c r="L22" s="127">
        <v>19.061909333333332</v>
      </c>
      <c r="M22" s="127">
        <v>18.272455000000001</v>
      </c>
      <c r="N22" s="127">
        <v>18.272455000000001</v>
      </c>
      <c r="O22" s="127">
        <v>18.272455000000001</v>
      </c>
      <c r="P22" s="127"/>
      <c r="Q22" s="140">
        <f t="shared" si="3"/>
        <v>64.249733996165375</v>
      </c>
      <c r="R22" s="141">
        <f t="shared" si="4"/>
        <v>69.173932412172746</v>
      </c>
      <c r="S22" s="141">
        <f t="shared" si="5"/>
        <v>74.699867276800347</v>
      </c>
      <c r="T22" s="141">
        <f t="shared" si="6"/>
        <v>73.420033448004745</v>
      </c>
      <c r="U22" s="105" t="e">
        <f>M22/#REF!*100</f>
        <v>#REF!</v>
      </c>
      <c r="V22" s="86" t="e">
        <f>N22/#REF!*100</f>
        <v>#REF!</v>
      </c>
      <c r="W22" s="86" t="e">
        <f>O22/#REF!*100</f>
        <v>#REF!</v>
      </c>
      <c r="X22" s="23" t="s">
        <v>40</v>
      </c>
      <c r="Z22" s="87"/>
      <c r="AA22" s="75"/>
      <c r="AB22" s="75"/>
      <c r="AC22" s="87"/>
      <c r="AD22" s="87"/>
    </row>
    <row r="23" spans="1:30" ht="19.5" customHeight="1" x14ac:dyDescent="0.25">
      <c r="A23" s="85" t="s">
        <v>21</v>
      </c>
      <c r="B23" s="136">
        <v>6</v>
      </c>
      <c r="C23" s="136">
        <v>31</v>
      </c>
      <c r="D23" s="137"/>
      <c r="E23" s="138">
        <v>17.607847</v>
      </c>
      <c r="F23" s="126">
        <v>26.192948999999999</v>
      </c>
      <c r="G23" s="126">
        <v>21.824172999999998</v>
      </c>
      <c r="H23" s="126">
        <v>22.267414222222225</v>
      </c>
      <c r="I23" s="139">
        <v>12.888885999999999</v>
      </c>
      <c r="J23" s="127">
        <v>16.597159000000001</v>
      </c>
      <c r="K23" s="127">
        <v>16.125867</v>
      </c>
      <c r="L23" s="127">
        <v>16.245906666666666</v>
      </c>
      <c r="M23" s="127">
        <v>16.036221999999999</v>
      </c>
      <c r="N23" s="127">
        <v>16.036221999999999</v>
      </c>
      <c r="O23" s="127">
        <v>16.036221999999999</v>
      </c>
      <c r="P23" s="127"/>
      <c r="Q23" s="140">
        <f t="shared" si="3"/>
        <v>73.199670578691425</v>
      </c>
      <c r="R23" s="141">
        <f t="shared" si="4"/>
        <v>63.364988035520561</v>
      </c>
      <c r="S23" s="141">
        <f t="shared" si="5"/>
        <v>73.889933882030718</v>
      </c>
      <c r="T23" s="141">
        <f t="shared" si="6"/>
        <v>72.958209267305634</v>
      </c>
      <c r="U23" s="105" t="e">
        <f>M23/#REF!*100</f>
        <v>#REF!</v>
      </c>
      <c r="V23" s="86" t="e">
        <f>N23/#REF!*100</f>
        <v>#REF!</v>
      </c>
      <c r="W23" s="86" t="e">
        <f>O23/#REF!*100</f>
        <v>#REF!</v>
      </c>
      <c r="X23" s="23" t="s">
        <v>41</v>
      </c>
      <c r="Z23" s="87"/>
      <c r="AA23" s="75"/>
      <c r="AB23" s="75"/>
      <c r="AC23" s="87"/>
      <c r="AD23" s="87"/>
    </row>
    <row r="24" spans="1:30" ht="19.5" customHeight="1" x14ac:dyDescent="0.25">
      <c r="A24" s="85" t="s">
        <v>85</v>
      </c>
      <c r="B24" s="136">
        <v>8</v>
      </c>
      <c r="C24" s="136">
        <v>36</v>
      </c>
      <c r="D24" s="137"/>
      <c r="E24" s="138">
        <v>22.704632</v>
      </c>
      <c r="F24" s="126">
        <v>28.529138</v>
      </c>
      <c r="G24" s="126">
        <v>23.869446</v>
      </c>
      <c r="H24" s="126">
        <v>23.181994444444445</v>
      </c>
      <c r="I24" s="139">
        <v>15.778739</v>
      </c>
      <c r="J24" s="127">
        <v>19.847490000000001</v>
      </c>
      <c r="K24" s="127">
        <v>18.079702999999999</v>
      </c>
      <c r="L24" s="127">
        <v>17.273299999999999</v>
      </c>
      <c r="M24" s="127">
        <v>18.257165000000001</v>
      </c>
      <c r="N24" s="127">
        <v>18.257165000000001</v>
      </c>
      <c r="O24" s="127">
        <v>18.257165000000001</v>
      </c>
      <c r="P24" s="127"/>
      <c r="Q24" s="140">
        <f t="shared" si="3"/>
        <v>69.495682643083583</v>
      </c>
      <c r="R24" s="141">
        <f t="shared" si="4"/>
        <v>69.569189226817869</v>
      </c>
      <c r="S24" s="141">
        <f t="shared" si="5"/>
        <v>75.744124936959153</v>
      </c>
      <c r="T24" s="141">
        <f t="shared" si="6"/>
        <v>74.511707961087609</v>
      </c>
      <c r="U24" s="105" t="e">
        <f>M24/#REF!*100</f>
        <v>#REF!</v>
      </c>
      <c r="V24" s="86" t="e">
        <f>N24/#REF!*100</f>
        <v>#REF!</v>
      </c>
      <c r="W24" s="86" t="e">
        <f>O24/#REF!*100</f>
        <v>#REF!</v>
      </c>
      <c r="X24" s="23" t="s">
        <v>42</v>
      </c>
      <c r="Z24" s="87"/>
      <c r="AA24" s="75"/>
      <c r="AB24" s="75"/>
      <c r="AC24" s="87"/>
      <c r="AD24" s="87"/>
    </row>
    <row r="25" spans="1:30" ht="19.5" customHeight="1" x14ac:dyDescent="0.25">
      <c r="A25" s="85" t="s">
        <v>86</v>
      </c>
      <c r="B25" s="136">
        <v>14</v>
      </c>
      <c r="C25" s="136">
        <v>71</v>
      </c>
      <c r="D25" s="137"/>
      <c r="E25" s="138">
        <v>36.466698000000001</v>
      </c>
      <c r="F25" s="126">
        <v>46.752116999999998</v>
      </c>
      <c r="G25" s="126">
        <v>41.290306000000001</v>
      </c>
      <c r="H25" s="126">
        <v>41.47493577777778</v>
      </c>
      <c r="I25" s="139">
        <v>26.073442</v>
      </c>
      <c r="J25" s="127">
        <v>32.264834</v>
      </c>
      <c r="K25" s="127">
        <v>30.670287999999999</v>
      </c>
      <c r="L25" s="127">
        <v>31.292762666666668</v>
      </c>
      <c r="M25" s="127">
        <v>30.387090000000001</v>
      </c>
      <c r="N25" s="127">
        <v>30.387090000000001</v>
      </c>
      <c r="O25" s="127">
        <v>30.387090000000001</v>
      </c>
      <c r="P25" s="127"/>
      <c r="Q25" s="140">
        <f t="shared" si="3"/>
        <v>71.499322477730232</v>
      </c>
      <c r="R25" s="141">
        <f t="shared" si="4"/>
        <v>69.012562575508625</v>
      </c>
      <c r="S25" s="141">
        <f t="shared" si="5"/>
        <v>74.279633577915362</v>
      </c>
      <c r="T25" s="141">
        <f t="shared" si="6"/>
        <v>75.449815846208708</v>
      </c>
      <c r="U25" s="105" t="e">
        <f>M25/#REF!*100</f>
        <v>#REF!</v>
      </c>
      <c r="V25" s="86" t="e">
        <f>N25/#REF!*100</f>
        <v>#REF!</v>
      </c>
      <c r="W25" s="86" t="e">
        <f>O25/#REF!*100</f>
        <v>#REF!</v>
      </c>
      <c r="X25" s="23" t="s">
        <v>43</v>
      </c>
      <c r="Z25" s="87"/>
      <c r="AA25" s="75"/>
      <c r="AB25" s="75"/>
      <c r="AC25" s="87"/>
      <c r="AD25" s="87"/>
    </row>
    <row r="26" spans="1:30" ht="19.5" customHeight="1" x14ac:dyDescent="0.25">
      <c r="A26" s="85" t="s">
        <v>24</v>
      </c>
      <c r="B26" s="136">
        <v>13</v>
      </c>
      <c r="C26" s="136">
        <v>70</v>
      </c>
      <c r="D26" s="137"/>
      <c r="E26" s="138">
        <v>35.553330000000003</v>
      </c>
      <c r="F26" s="126">
        <v>49.389619000000003</v>
      </c>
      <c r="G26" s="126">
        <v>41.174689000000001</v>
      </c>
      <c r="H26" s="126">
        <v>47.319493111111107</v>
      </c>
      <c r="I26" s="139">
        <v>26.346751000000001</v>
      </c>
      <c r="J26" s="127">
        <v>34.536470999999999</v>
      </c>
      <c r="K26" s="127">
        <v>33.067154000000002</v>
      </c>
      <c r="L26" s="127">
        <v>31.704453333333333</v>
      </c>
      <c r="M26" s="127">
        <v>33.406253999999997</v>
      </c>
      <c r="N26" s="127">
        <v>33.406253999999997</v>
      </c>
      <c r="O26" s="127">
        <v>33.406253999999997</v>
      </c>
      <c r="P26" s="127"/>
      <c r="Q26" s="140">
        <f t="shared" si="3"/>
        <v>74.104875689562689</v>
      </c>
      <c r="R26" s="141">
        <f t="shared" si="4"/>
        <v>69.926579105621357</v>
      </c>
      <c r="S26" s="141">
        <f t="shared" si="5"/>
        <v>80.309420187727468</v>
      </c>
      <c r="T26" s="141">
        <f t="shared" si="6"/>
        <v>67.000830416521936</v>
      </c>
      <c r="U26" s="105" t="e">
        <f>M26/#REF!*100</f>
        <v>#REF!</v>
      </c>
      <c r="V26" s="86" t="e">
        <f>N26/#REF!*100</f>
        <v>#REF!</v>
      </c>
      <c r="W26" s="86" t="e">
        <f>O26/#REF!*100</f>
        <v>#REF!</v>
      </c>
      <c r="X26" s="23" t="s">
        <v>44</v>
      </c>
      <c r="Z26" s="87"/>
      <c r="AA26" s="75"/>
      <c r="AB26" s="75"/>
      <c r="AC26" s="87"/>
      <c r="AD26" s="87"/>
    </row>
    <row r="27" spans="1:30" ht="19.5" customHeight="1" x14ac:dyDescent="0.25">
      <c r="A27" s="85" t="s">
        <v>22</v>
      </c>
      <c r="B27" s="136">
        <v>10</v>
      </c>
      <c r="C27" s="136">
        <v>53</v>
      </c>
      <c r="D27" s="137"/>
      <c r="E27" s="138">
        <v>28.20215</v>
      </c>
      <c r="F27" s="126">
        <v>36.009540999999999</v>
      </c>
      <c r="G27" s="126">
        <v>31.218827999999998</v>
      </c>
      <c r="H27" s="126">
        <v>35.118752888888885</v>
      </c>
      <c r="I27" s="139">
        <v>19.840727000000001</v>
      </c>
      <c r="J27" s="127">
        <v>25.027142999999999</v>
      </c>
      <c r="K27" s="127">
        <v>24.753309000000002</v>
      </c>
      <c r="L27" s="127">
        <v>24.262618666666668</v>
      </c>
      <c r="M27" s="127">
        <v>23.047789000000002</v>
      </c>
      <c r="N27" s="127">
        <v>23.047789000000002</v>
      </c>
      <c r="O27" s="127">
        <v>23.047789000000002</v>
      </c>
      <c r="P27" s="127"/>
      <c r="Q27" s="140">
        <f t="shared" si="3"/>
        <v>70.351824240350481</v>
      </c>
      <c r="R27" s="141">
        <f t="shared" si="4"/>
        <v>69.501421859278906</v>
      </c>
      <c r="S27" s="141">
        <f t="shared" si="5"/>
        <v>79.289680573530831</v>
      </c>
      <c r="T27" s="141">
        <f t="shared" si="6"/>
        <v>69.087358379240854</v>
      </c>
      <c r="U27" s="105" t="e">
        <f>M27/#REF!*100</f>
        <v>#REF!</v>
      </c>
      <c r="V27" s="86" t="e">
        <f>N27/#REF!*100</f>
        <v>#REF!</v>
      </c>
      <c r="W27" s="86" t="e">
        <f>O27/#REF!*100</f>
        <v>#REF!</v>
      </c>
      <c r="X27" s="22" t="s">
        <v>45</v>
      </c>
      <c r="Z27" s="87"/>
      <c r="AA27" s="75"/>
      <c r="AB27" s="75"/>
      <c r="AC27" s="87"/>
      <c r="AD27" s="87"/>
    </row>
    <row r="28" spans="1:30" ht="19.5" customHeight="1" x14ac:dyDescent="0.25">
      <c r="A28" s="85" t="s">
        <v>84</v>
      </c>
      <c r="B28" s="136">
        <v>10</v>
      </c>
      <c r="C28" s="136">
        <v>55</v>
      </c>
      <c r="D28" s="137"/>
      <c r="E28" s="138">
        <v>29.237359000000001</v>
      </c>
      <c r="F28" s="126">
        <v>41.731053000000003</v>
      </c>
      <c r="G28" s="126">
        <v>36.326948000000002</v>
      </c>
      <c r="H28" s="126">
        <v>39.098331333333327</v>
      </c>
      <c r="I28" s="139">
        <v>21.271201999999999</v>
      </c>
      <c r="J28" s="127">
        <v>27.704087000000001</v>
      </c>
      <c r="K28" s="127">
        <v>27.277650000000001</v>
      </c>
      <c r="L28" s="127">
        <v>27.490301333333335</v>
      </c>
      <c r="M28" s="127">
        <v>25.543116000000001</v>
      </c>
      <c r="N28" s="127">
        <v>25.543116000000001</v>
      </c>
      <c r="O28" s="127">
        <v>25.543116000000001</v>
      </c>
      <c r="P28" s="127"/>
      <c r="Q28" s="140">
        <f t="shared" si="3"/>
        <v>72.753500068183314</v>
      </c>
      <c r="R28" s="141">
        <f t="shared" si="4"/>
        <v>66.387222483937805</v>
      </c>
      <c r="S28" s="141">
        <f t="shared" si="5"/>
        <v>75.08929734477006</v>
      </c>
      <c r="T28" s="141">
        <f t="shared" si="6"/>
        <v>70.310676685826863</v>
      </c>
      <c r="U28" s="105" t="e">
        <f>M28/#REF!*100</f>
        <v>#REF!</v>
      </c>
      <c r="V28" s="86" t="e">
        <f>N28/#REF!*100</f>
        <v>#REF!</v>
      </c>
      <c r="W28" s="86" t="e">
        <f>O28/#REF!*100</f>
        <v>#REF!</v>
      </c>
      <c r="X28" s="23" t="s">
        <v>47</v>
      </c>
      <c r="Z28" s="87"/>
      <c r="AA28" s="75"/>
      <c r="AB28" s="75"/>
      <c r="AC28" s="87"/>
      <c r="AD28" s="87"/>
    </row>
    <row r="29" spans="1:30" ht="19.5" customHeight="1" x14ac:dyDescent="0.25">
      <c r="A29" s="85" t="s">
        <v>83</v>
      </c>
      <c r="B29" s="136">
        <v>9</v>
      </c>
      <c r="C29" s="136">
        <v>30</v>
      </c>
      <c r="D29" s="137"/>
      <c r="E29" s="138">
        <v>18.340208000000001</v>
      </c>
      <c r="F29" s="126">
        <v>28.811620999999999</v>
      </c>
      <c r="G29" s="126">
        <v>28.107016000000002</v>
      </c>
      <c r="H29" s="126">
        <v>30.386428666666667</v>
      </c>
      <c r="I29" s="139">
        <v>4.6662730000000003</v>
      </c>
      <c r="J29" s="127">
        <v>18.061489999999999</v>
      </c>
      <c r="K29" s="127">
        <v>19.211731</v>
      </c>
      <c r="L29" s="127">
        <v>21.778184000000003</v>
      </c>
      <c r="M29" s="127">
        <v>19.117235000000001</v>
      </c>
      <c r="N29" s="127">
        <v>19.117235000000001</v>
      </c>
      <c r="O29" s="127">
        <v>19.117235000000001</v>
      </c>
      <c r="P29" s="127"/>
      <c r="Q29" s="140">
        <f t="shared" si="3"/>
        <v>25.442857572825783</v>
      </c>
      <c r="R29" s="141">
        <f t="shared" si="4"/>
        <v>62.688211815642028</v>
      </c>
      <c r="S29" s="141">
        <f t="shared" si="5"/>
        <v>68.352083337484132</v>
      </c>
      <c r="T29" s="141">
        <f t="shared" si="6"/>
        <v>71.670758807830069</v>
      </c>
      <c r="U29" s="105" t="e">
        <f>M29/#REF!*100</f>
        <v>#REF!</v>
      </c>
      <c r="V29" s="86" t="e">
        <f>N29/#REF!*100</f>
        <v>#REF!</v>
      </c>
      <c r="W29" s="86" t="e">
        <f>O29/#REF!*100</f>
        <v>#REF!</v>
      </c>
      <c r="X29" s="23" t="s">
        <v>48</v>
      </c>
      <c r="Z29" s="87"/>
      <c r="AA29" s="75"/>
      <c r="AB29" s="75"/>
      <c r="AC29" s="87"/>
      <c r="AD29" s="87"/>
    </row>
    <row r="30" spans="1:30" ht="19.5" customHeight="1" x14ac:dyDescent="0.25">
      <c r="A30" s="88" t="s">
        <v>127</v>
      </c>
      <c r="B30" s="143">
        <v>1</v>
      </c>
      <c r="C30" s="143">
        <v>6</v>
      </c>
      <c r="D30" s="144"/>
      <c r="E30" s="145">
        <v>50.903489</v>
      </c>
      <c r="F30" s="146">
        <v>48.179842999999998</v>
      </c>
      <c r="G30" s="146">
        <v>39.296843000000003</v>
      </c>
      <c r="H30" s="146">
        <v>47.187765333333338</v>
      </c>
      <c r="I30" s="147">
        <v>22.907131</v>
      </c>
      <c r="J30" s="148">
        <v>29.297042999999999</v>
      </c>
      <c r="K30" s="148">
        <v>27.772646000000002</v>
      </c>
      <c r="L30" s="148">
        <v>26.153203999999999</v>
      </c>
      <c r="M30" s="148">
        <v>29.303502000000002</v>
      </c>
      <c r="N30" s="148">
        <v>24.303502000000002</v>
      </c>
      <c r="O30" s="148">
        <v>24.303502000000002</v>
      </c>
      <c r="P30" s="148"/>
      <c r="Q30" s="149">
        <f t="shared" si="3"/>
        <v>45.00110198733136</v>
      </c>
      <c r="R30" s="150">
        <f t="shared" si="4"/>
        <v>60.807676355441842</v>
      </c>
      <c r="S30" s="150">
        <f t="shared" si="5"/>
        <v>70.673987729752227</v>
      </c>
      <c r="T30" s="150">
        <f t="shared" si="6"/>
        <v>55.423696831698507</v>
      </c>
      <c r="U30" s="106" t="e">
        <f>M30/#REF!*100</f>
        <v>#REF!</v>
      </c>
      <c r="V30" s="89" t="e">
        <f>N30/#REF!*100</f>
        <v>#REF!</v>
      </c>
      <c r="W30" s="89" t="e">
        <f>O30/#REF!*100</f>
        <v>#REF!</v>
      </c>
      <c r="X30" s="90" t="s">
        <v>128</v>
      </c>
      <c r="Z30" s="87"/>
      <c r="AA30" s="75"/>
      <c r="AB30" s="75"/>
      <c r="AC30" s="87"/>
      <c r="AD30" s="87"/>
    </row>
    <row r="31" spans="1:30" s="152" customFormat="1" ht="17.25" x14ac:dyDescent="0.2">
      <c r="A31" s="53" t="s">
        <v>108</v>
      </c>
      <c r="B31" s="151"/>
      <c r="G31" s="153"/>
      <c r="H31" s="153"/>
      <c r="X31" s="71" t="s">
        <v>129</v>
      </c>
      <c r="AA31" s="154"/>
      <c r="AB31" s="154"/>
    </row>
    <row r="34" spans="2:2" x14ac:dyDescent="0.25">
      <c r="B34" s="72"/>
    </row>
    <row r="59" spans="13:16" x14ac:dyDescent="0.25">
      <c r="M59" s="75"/>
      <c r="N59" s="75"/>
      <c r="O59" s="72"/>
      <c r="P59" s="72"/>
    </row>
    <row r="60" spans="13:16" x14ac:dyDescent="0.25">
      <c r="M60" s="75"/>
      <c r="N60" s="75"/>
      <c r="O60" s="72"/>
      <c r="P60" s="72"/>
    </row>
    <row r="61" spans="13:16" x14ac:dyDescent="0.25">
      <c r="M61" s="75"/>
      <c r="N61" s="75"/>
      <c r="O61" s="72"/>
      <c r="P61" s="72"/>
    </row>
    <row r="65" spans="1:16" x14ac:dyDescent="0.25">
      <c r="M65" s="75"/>
      <c r="N65" s="75"/>
      <c r="O65" s="72"/>
      <c r="P65" s="72"/>
    </row>
    <row r="66" spans="1:16" x14ac:dyDescent="0.25">
      <c r="B66" s="91"/>
      <c r="C66" s="4"/>
      <c r="M66" s="75"/>
      <c r="N66" s="75"/>
      <c r="O66" s="72"/>
      <c r="P66" s="72"/>
    </row>
    <row r="68" spans="1:16" x14ac:dyDescent="0.25">
      <c r="A68" s="85"/>
      <c r="B68" s="92"/>
      <c r="C68" s="73"/>
      <c r="M68" s="75"/>
      <c r="N68" s="75"/>
      <c r="O68" s="72"/>
      <c r="P68" s="72"/>
    </row>
    <row r="69" spans="1:16" x14ac:dyDescent="0.25">
      <c r="A69" s="85"/>
      <c r="B69" s="92"/>
      <c r="C69" s="73"/>
      <c r="M69" s="75"/>
      <c r="N69" s="75"/>
      <c r="O69" s="72"/>
      <c r="P69" s="72"/>
    </row>
    <row r="70" spans="1:16" x14ac:dyDescent="0.25">
      <c r="A70" s="85"/>
      <c r="B70" s="92"/>
      <c r="C70" s="73"/>
      <c r="M70" s="75"/>
      <c r="N70" s="75"/>
      <c r="O70" s="72"/>
      <c r="P70" s="72"/>
    </row>
    <row r="71" spans="1:16" x14ac:dyDescent="0.25">
      <c r="A71" s="85"/>
      <c r="B71" s="92"/>
      <c r="C71" s="73"/>
      <c r="M71" s="75"/>
      <c r="N71" s="75"/>
      <c r="O71" s="72"/>
      <c r="P71" s="72"/>
    </row>
    <row r="72" spans="1:16" x14ac:dyDescent="0.25">
      <c r="A72" s="85"/>
      <c r="B72" s="92"/>
      <c r="C72" s="73"/>
      <c r="M72" s="75"/>
      <c r="N72" s="75"/>
      <c r="O72" s="72"/>
      <c r="P72" s="72"/>
    </row>
    <row r="73" spans="1:16" x14ac:dyDescent="0.25">
      <c r="A73" s="85"/>
      <c r="B73" s="92"/>
      <c r="C73" s="73"/>
      <c r="M73" s="75"/>
      <c r="N73" s="75"/>
      <c r="O73" s="72"/>
      <c r="P73" s="72"/>
    </row>
    <row r="74" spans="1:16" x14ac:dyDescent="0.25">
      <c r="A74" s="85"/>
      <c r="B74" s="92"/>
      <c r="C74" s="73"/>
      <c r="M74" s="75"/>
      <c r="N74" s="75"/>
      <c r="O74" s="72"/>
      <c r="P74" s="72"/>
    </row>
    <row r="75" spans="1:16" x14ac:dyDescent="0.25">
      <c r="A75" s="85"/>
      <c r="B75" s="92"/>
      <c r="C75" s="73"/>
      <c r="M75" s="75"/>
      <c r="N75" s="75"/>
      <c r="O75" s="72"/>
      <c r="P75" s="72"/>
    </row>
    <row r="76" spans="1:16" x14ac:dyDescent="0.25">
      <c r="A76" s="85"/>
      <c r="B76" s="92"/>
      <c r="C76" s="73"/>
      <c r="M76" s="75"/>
      <c r="N76" s="75"/>
      <c r="O76" s="72"/>
      <c r="P76" s="72"/>
    </row>
    <row r="77" spans="1:16" x14ac:dyDescent="0.25">
      <c r="A77" s="85"/>
      <c r="B77" s="92"/>
      <c r="C77" s="73"/>
      <c r="M77" s="75"/>
      <c r="N77" s="75"/>
      <c r="O77" s="72"/>
      <c r="P77" s="72"/>
    </row>
    <row r="78" spans="1:16" x14ac:dyDescent="0.25">
      <c r="A78" s="85"/>
      <c r="B78" s="92"/>
      <c r="C78" s="73"/>
      <c r="M78" s="75"/>
      <c r="N78" s="75"/>
      <c r="O78" s="72"/>
      <c r="P78" s="72"/>
    </row>
    <row r="79" spans="1:16" x14ac:dyDescent="0.25">
      <c r="A79" s="85"/>
      <c r="B79" s="92"/>
      <c r="C79" s="73"/>
      <c r="M79" s="75"/>
      <c r="N79" s="75"/>
      <c r="O79" s="72"/>
      <c r="P79" s="72"/>
    </row>
    <row r="80" spans="1:16" x14ac:dyDescent="0.25">
      <c r="A80" s="85"/>
      <c r="B80" s="92"/>
      <c r="C80" s="73"/>
      <c r="M80" s="75"/>
      <c r="N80" s="75"/>
      <c r="O80" s="72"/>
      <c r="P80" s="72"/>
    </row>
    <row r="81" spans="1:16" x14ac:dyDescent="0.25">
      <c r="A81" s="85"/>
      <c r="B81" s="92"/>
      <c r="C81" s="73"/>
      <c r="M81" s="75"/>
      <c r="N81" s="75"/>
      <c r="O81" s="72"/>
      <c r="P81" s="72"/>
    </row>
    <row r="82" spans="1:16" x14ac:dyDescent="0.25">
      <c r="A82" s="85"/>
      <c r="B82" s="92"/>
      <c r="C82" s="73"/>
      <c r="M82" s="75"/>
      <c r="N82" s="75"/>
      <c r="O82" s="72"/>
      <c r="P82" s="72"/>
    </row>
    <row r="83" spans="1:16" x14ac:dyDescent="0.25">
      <c r="A83" s="85"/>
      <c r="B83" s="92"/>
      <c r="C83" s="73"/>
      <c r="M83" s="75"/>
      <c r="N83" s="75"/>
      <c r="O83" s="72"/>
      <c r="P83" s="72"/>
    </row>
    <row r="84" spans="1:16" x14ac:dyDescent="0.25">
      <c r="A84" s="85"/>
      <c r="B84" s="92"/>
      <c r="C84" s="73"/>
      <c r="M84" s="75"/>
      <c r="N84" s="75"/>
      <c r="O84" s="72"/>
      <c r="P84" s="72"/>
    </row>
    <row r="85" spans="1:16" x14ac:dyDescent="0.25">
      <c r="A85" s="85"/>
      <c r="B85" s="92"/>
      <c r="C85" s="73"/>
      <c r="M85" s="75"/>
      <c r="N85" s="75"/>
      <c r="O85" s="72"/>
      <c r="P85" s="72"/>
    </row>
    <row r="86" spans="1:16" x14ac:dyDescent="0.25">
      <c r="A86" s="85"/>
      <c r="B86" s="92"/>
      <c r="C86" s="73"/>
      <c r="M86" s="75"/>
      <c r="N86" s="75"/>
      <c r="O86" s="72"/>
      <c r="P86" s="72"/>
    </row>
    <row r="87" spans="1:16" x14ac:dyDescent="0.25">
      <c r="A87" s="85"/>
      <c r="B87" s="92"/>
      <c r="C87" s="73"/>
      <c r="M87" s="75"/>
      <c r="N87" s="75"/>
      <c r="O87" s="72"/>
      <c r="P87" s="72"/>
    </row>
    <row r="88" spans="1:16" x14ac:dyDescent="0.25">
      <c r="A88" s="85"/>
      <c r="B88" s="92"/>
      <c r="C88" s="73"/>
      <c r="M88" s="75"/>
      <c r="N88" s="75"/>
      <c r="O88" s="72"/>
      <c r="P88" s="72"/>
    </row>
    <row r="89" spans="1:16" x14ac:dyDescent="0.25">
      <c r="A89" s="95"/>
      <c r="B89" s="70"/>
      <c r="C89" s="73"/>
      <c r="M89" s="75"/>
      <c r="N89" s="75"/>
      <c r="O89" s="72"/>
      <c r="P89" s="72"/>
    </row>
    <row r="90" spans="1:16" x14ac:dyDescent="0.25">
      <c r="C90" s="73"/>
      <c r="M90" s="75"/>
      <c r="N90" s="75"/>
      <c r="O90" s="72"/>
      <c r="P90" s="72"/>
    </row>
    <row r="91" spans="1:16" x14ac:dyDescent="0.25">
      <c r="C91" s="73"/>
      <c r="M91" s="75"/>
      <c r="N91" s="75"/>
      <c r="O91" s="72"/>
      <c r="P91" s="72"/>
    </row>
    <row r="92" spans="1:16" x14ac:dyDescent="0.25">
      <c r="C92" s="73"/>
      <c r="M92" s="75"/>
      <c r="N92" s="75"/>
      <c r="O92" s="72"/>
      <c r="P92" s="72"/>
    </row>
    <row r="93" spans="1:16" x14ac:dyDescent="0.25">
      <c r="C93" s="73"/>
      <c r="M93" s="75"/>
      <c r="N93" s="75"/>
      <c r="O93" s="72"/>
      <c r="P93" s="72"/>
    </row>
    <row r="94" spans="1:16" x14ac:dyDescent="0.25">
      <c r="M94" s="75"/>
      <c r="N94" s="75"/>
      <c r="O94" s="72"/>
      <c r="P94" s="72"/>
    </row>
    <row r="95" spans="1:16" x14ac:dyDescent="0.25">
      <c r="M95" s="75"/>
      <c r="N95" s="75"/>
      <c r="O95" s="72"/>
      <c r="P95" s="72"/>
    </row>
    <row r="96" spans="1:16" x14ac:dyDescent="0.25">
      <c r="M96" s="75"/>
      <c r="N96" s="75"/>
      <c r="O96" s="72"/>
      <c r="P96" s="72"/>
    </row>
    <row r="97" spans="13:16" x14ac:dyDescent="0.25">
      <c r="M97" s="75"/>
      <c r="N97" s="75"/>
      <c r="O97" s="72"/>
      <c r="P97" s="72"/>
    </row>
    <row r="98" spans="13:16" x14ac:dyDescent="0.25">
      <c r="M98" s="75"/>
      <c r="N98" s="75"/>
      <c r="O98" s="72"/>
      <c r="P98" s="72"/>
    </row>
    <row r="99" spans="13:16" x14ac:dyDescent="0.25">
      <c r="M99" s="75"/>
      <c r="N99" s="75"/>
      <c r="O99" s="72"/>
      <c r="P99" s="72"/>
    </row>
    <row r="100" spans="13:16" x14ac:dyDescent="0.25">
      <c r="M100" s="75"/>
      <c r="N100" s="75"/>
      <c r="O100" s="72"/>
      <c r="P100" s="72"/>
    </row>
    <row r="101" spans="13:16" x14ac:dyDescent="0.25">
      <c r="M101" s="75"/>
      <c r="N101" s="75"/>
      <c r="O101" s="72"/>
      <c r="P101" s="72"/>
    </row>
    <row r="102" spans="13:16" x14ac:dyDescent="0.25">
      <c r="M102" s="75"/>
      <c r="N102" s="75"/>
      <c r="O102" s="72"/>
      <c r="P102" s="72"/>
    </row>
    <row r="103" spans="13:16" x14ac:dyDescent="0.25">
      <c r="M103" s="75"/>
      <c r="N103" s="75"/>
      <c r="O103" s="72"/>
      <c r="P103" s="72"/>
    </row>
    <row r="104" spans="13:16" x14ac:dyDescent="0.25">
      <c r="M104" s="75"/>
      <c r="N104" s="75"/>
      <c r="O104" s="72"/>
      <c r="P104" s="72"/>
    </row>
    <row r="105" spans="13:16" x14ac:dyDescent="0.25">
      <c r="M105" s="75"/>
      <c r="N105" s="75"/>
      <c r="O105" s="72"/>
      <c r="P105" s="72"/>
    </row>
    <row r="106" spans="13:16" x14ac:dyDescent="0.25">
      <c r="M106" s="75"/>
      <c r="N106" s="75"/>
      <c r="O106" s="72"/>
      <c r="P106" s="72"/>
    </row>
    <row r="107" spans="13:16" x14ac:dyDescent="0.25">
      <c r="M107" s="75"/>
      <c r="N107" s="75"/>
      <c r="O107" s="72"/>
      <c r="P107" s="72"/>
    </row>
    <row r="108" spans="13:16" x14ac:dyDescent="0.25">
      <c r="M108" s="75"/>
      <c r="N108" s="75"/>
      <c r="O108" s="72"/>
      <c r="P108" s="72"/>
    </row>
    <row r="109" spans="13:16" x14ac:dyDescent="0.25">
      <c r="M109" s="75"/>
      <c r="N109" s="75"/>
      <c r="O109" s="72"/>
      <c r="P109" s="72"/>
    </row>
    <row r="110" spans="13:16" x14ac:dyDescent="0.25">
      <c r="M110" s="75"/>
      <c r="N110" s="75"/>
      <c r="O110" s="72"/>
      <c r="P110" s="72"/>
    </row>
    <row r="111" spans="13:16" x14ac:dyDescent="0.25">
      <c r="M111" s="75"/>
      <c r="N111" s="75"/>
      <c r="O111" s="72"/>
      <c r="P111" s="72"/>
    </row>
    <row r="112" spans="13:16" x14ac:dyDescent="0.25">
      <c r="M112" s="75"/>
      <c r="N112" s="75"/>
      <c r="O112" s="72"/>
      <c r="P112" s="72"/>
    </row>
    <row r="113" spans="13:16" x14ac:dyDescent="0.25">
      <c r="M113" s="75"/>
      <c r="N113" s="75"/>
      <c r="O113" s="72"/>
      <c r="P113" s="72"/>
    </row>
    <row r="114" spans="13:16" x14ac:dyDescent="0.25">
      <c r="M114" s="75"/>
      <c r="N114" s="75"/>
      <c r="O114" s="72"/>
      <c r="P114" s="72"/>
    </row>
    <row r="115" spans="13:16" x14ac:dyDescent="0.25">
      <c r="M115" s="75"/>
      <c r="N115" s="75"/>
      <c r="O115" s="72"/>
      <c r="P115" s="72"/>
    </row>
    <row r="116" spans="13:16" x14ac:dyDescent="0.25">
      <c r="M116" s="75"/>
      <c r="N116" s="75"/>
      <c r="O116" s="72"/>
      <c r="P116" s="72"/>
    </row>
    <row r="117" spans="13:16" x14ac:dyDescent="0.25">
      <c r="M117" s="75"/>
      <c r="N117" s="75"/>
      <c r="O117" s="72"/>
      <c r="P117" s="72"/>
    </row>
    <row r="118" spans="13:16" x14ac:dyDescent="0.25">
      <c r="M118" s="75"/>
      <c r="N118" s="75"/>
      <c r="O118" s="72"/>
      <c r="P118" s="72"/>
    </row>
    <row r="119" spans="13:16" x14ac:dyDescent="0.25">
      <c r="M119" s="75"/>
      <c r="N119" s="75"/>
      <c r="O119" s="72"/>
      <c r="P119" s="72"/>
    </row>
    <row r="120" spans="13:16" x14ac:dyDescent="0.25">
      <c r="M120" s="75"/>
      <c r="N120" s="75"/>
      <c r="O120" s="72"/>
      <c r="P120" s="72"/>
    </row>
    <row r="121" spans="13:16" x14ac:dyDescent="0.25">
      <c r="M121" s="75"/>
      <c r="N121" s="75"/>
      <c r="O121" s="72"/>
      <c r="P121" s="72"/>
    </row>
    <row r="122" spans="13:16" x14ac:dyDescent="0.25">
      <c r="M122" s="75"/>
      <c r="N122" s="75"/>
      <c r="O122" s="72"/>
      <c r="P122" s="72"/>
    </row>
    <row r="123" spans="13:16" x14ac:dyDescent="0.25">
      <c r="M123" s="75"/>
      <c r="N123" s="75"/>
      <c r="O123" s="72"/>
      <c r="P123" s="72"/>
    </row>
  </sheetData>
  <mergeCells count="13">
    <mergeCell ref="B3:E3"/>
    <mergeCell ref="A4:A8"/>
    <mergeCell ref="A1:X1"/>
    <mergeCell ref="A2:X2"/>
    <mergeCell ref="I3:J3"/>
    <mergeCell ref="E4:R4"/>
    <mergeCell ref="X4:X8"/>
    <mergeCell ref="E5:H6"/>
    <mergeCell ref="I5:W5"/>
    <mergeCell ref="I6:W6"/>
    <mergeCell ref="E7:H7"/>
    <mergeCell ref="I7:O7"/>
    <mergeCell ref="Q7:W7"/>
  </mergeCells>
  <pageMargins left="0.31" right="0.7" top="0.17" bottom="0.26" header="0.3" footer="0.17"/>
  <pageSetup paperSize="9" scale="84" orientation="landscape" r:id="rId1"/>
  <rowBreaks count="1" manualBreakCount="1">
    <brk id="31" max="16383" man="1"/>
  </rowBreaks>
  <colBreaks count="1" manualBreakCount="1">
    <brk id="2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20.3</vt:lpstr>
      <vt:lpstr>20.4</vt:lpstr>
      <vt:lpstr>20.9</vt:lpstr>
      <vt:lpstr>'20.4'!Print_Area</vt:lpstr>
      <vt:lpstr>'20.9'!Print_Area</vt:lpstr>
      <vt:lpstr>'20.4'!Print_Titles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Fathmath Shifaza</cp:lastModifiedBy>
  <cp:lastPrinted>2016-02-24T09:05:01Z</cp:lastPrinted>
  <dcterms:created xsi:type="dcterms:W3CDTF">2013-02-14T16:19:10Z</dcterms:created>
  <dcterms:modified xsi:type="dcterms:W3CDTF">2016-02-24T09:05:07Z</dcterms:modified>
</cp:coreProperties>
</file>