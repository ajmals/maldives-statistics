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1 " sheetId="12" r:id="rId1"/>
    <sheet name="20.3" sheetId="2" state="hidden" r:id="rId2"/>
    <sheet name="20.4" sheetId="6" state="hidden" r:id="rId3"/>
  </sheets>
  <definedNames>
    <definedName name="_xlnm.Print_Area" localSheetId="0">'20.1 '!$A$1:$N$44</definedName>
    <definedName name="_xlnm.Print_Area" localSheetId="2">'20.4'!$A$1:$E$86</definedName>
    <definedName name="_xlnm.Print_Titles" localSheetId="2">'20.4'!$1:$3</definedName>
  </definedNames>
  <calcPr calcId="144525"/>
</workbook>
</file>

<file path=xl/calcChain.xml><?xml version="1.0" encoding="utf-8"?>
<calcChain xmlns="http://schemas.openxmlformats.org/spreadsheetml/2006/main">
  <c r="G23" i="12" l="1"/>
  <c r="AD28" i="12" s="1"/>
  <c r="AD27" i="12" s="1"/>
  <c r="K23" i="12" l="1"/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  <c r="J23" i="12"/>
  <c r="I23" i="12"/>
  <c r="H23" i="12"/>
  <c r="F23" i="12"/>
  <c r="AC28" i="12" s="1"/>
  <c r="AC27" i="12" s="1"/>
  <c r="E23" i="12"/>
  <c r="AB28" i="12" s="1"/>
  <c r="AB27" i="12" s="1"/>
  <c r="D23" i="12"/>
  <c r="AA28" i="12" s="1"/>
  <c r="AA27" i="12" s="1"/>
</calcChain>
</file>

<file path=xl/sharedStrings.xml><?xml version="1.0" encoding="utf-8"?>
<sst xmlns="http://schemas.openxmlformats.org/spreadsheetml/2006/main" count="256" uniqueCount="174">
  <si>
    <t>ދިވެހިރައްޔިތުންގެ ޑިމޮކްރެޓިކް ޕާޓީ</t>
  </si>
  <si>
    <t xml:space="preserve">ދިވެހިރައްޔިތުންގެ ޕާޓީ </t>
  </si>
  <si>
    <t xml:space="preserve">ޢަދާލަތު ޕާޓީ </t>
  </si>
  <si>
    <t xml:space="preserve">އިސްލާމިކް ޑިމޮކްރެޓިކް ޕާޓީ </t>
  </si>
  <si>
    <t xml:space="preserve">ދިވެހިރައްޔިތުންގެ ސޯޝަލް ޑިމޮކްރެޓިކް ޕާޓީ </t>
  </si>
  <si>
    <t xml:space="preserve">ޕީޕަލްސް ޕާޓީ </t>
  </si>
  <si>
    <t xml:space="preserve">މޯލްޑިވިއަން ނެޝަނަލް ކޮންގްރެސް </t>
  </si>
  <si>
    <t>ސޯޝަލް ލިބަރަލް ޕާޓީ</t>
  </si>
  <si>
    <t xml:space="preserve">ޖުމްހޫރީ ޕާޓީ </t>
  </si>
  <si>
    <t xml:space="preserve">ޕީޕަލްސް އެލަޔަންސް </t>
  </si>
  <si>
    <t>މޯލްޑިވިއަން ލޭބަރ ޕާޓީ</t>
  </si>
  <si>
    <t>ޤައުމީ އިއްތިޚާދު</t>
  </si>
  <si>
    <t>ދިވެހި ޤައުމީ ޕާޓީ</t>
  </si>
  <si>
    <t>މޯލްޑިވްސް ރިފޯމް މޫވްމަންޓް</t>
  </si>
  <si>
    <t>ޕްރޮގްރެސިވް ޕާޓީ އޮފް މޯލްޑިވްސް</t>
  </si>
  <si>
    <t xml:space="preserve">Political parties </t>
  </si>
  <si>
    <t>Eligible voters</t>
  </si>
  <si>
    <t>Number voted</t>
  </si>
  <si>
    <t>Voter turnout</t>
  </si>
  <si>
    <t>Correct votes</t>
  </si>
  <si>
    <t>Cancelled votes</t>
  </si>
  <si>
    <t>Republic</t>
  </si>
  <si>
    <t>HA</t>
  </si>
  <si>
    <t>Year of registration</t>
  </si>
  <si>
    <t>Source: Elections Commission</t>
  </si>
  <si>
    <t xml:space="preserve">މަޢުލޫމާތު ދެއްވި ފަރާތް: އިލެކްޝަންސް ކޮމިޝަން </t>
  </si>
  <si>
    <t>Maldivian Democratic Party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</si>
  <si>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</si>
  <si>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</si>
  <si>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</si>
  <si>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</si>
  <si>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</si>
  <si>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</si>
  <si>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</si>
  <si>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</si>
  <si>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 xml:space="preserve"> ސިޔާސީ ޕާޓީތައް </t>
  </si>
  <si>
    <t>ވޯޓުލީ މީހުންގެ އަދަދު</t>
  </si>
  <si>
    <t>ވޯޓުލުމުގެ ޙައްޤު ލިބިފައިވާ މީހުންގެ އަދަދު</t>
  </si>
  <si>
    <t>26th June 2005</t>
  </si>
  <si>
    <t>21st July 2005</t>
  </si>
  <si>
    <t>18th August 2005</t>
  </si>
  <si>
    <t>12th December 2005</t>
  </si>
  <si>
    <t>25th December 2006</t>
  </si>
  <si>
    <t>26th December 2007</t>
  </si>
  <si>
    <t>2nd December 2007</t>
  </si>
  <si>
    <t>3rd August 2008</t>
  </si>
  <si>
    <t>4th September 2008</t>
  </si>
  <si>
    <t>27th January 2009</t>
  </si>
  <si>
    <t>22nd March 2011</t>
  </si>
  <si>
    <t>27th October 2011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</si>
  <si>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</si>
  <si>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</si>
  <si>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</si>
  <si>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</si>
  <si>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</si>
  <si>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</si>
  <si>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</si>
  <si>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</si>
  <si>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</si>
  <si>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</si>
  <si>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</si>
  <si>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</si>
  <si>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</si>
  <si>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</si>
  <si>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</si>
  <si>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</si>
  <si>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</si>
  <si>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</si>
  <si>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</si>
  <si>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</si>
  <si>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</si>
  <si>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</si>
  <si>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</si>
  <si>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</si>
  <si>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</si>
  <si>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</si>
  <si>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</si>
  <si>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</si>
  <si>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</si>
  <si>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</si>
  <si>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</si>
  <si>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</si>
  <si>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</si>
  <si>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</si>
  <si>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</si>
  <si>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</si>
  <si>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</si>
  <si>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</si>
  <si>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</si>
  <si>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</si>
  <si>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</si>
  <si>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</si>
  <si>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</si>
  <si>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</si>
  <si>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</si>
  <si>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</si>
  <si>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</si>
  <si>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</si>
  <si>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</si>
  <si>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</si>
  <si>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</si>
  <si>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</si>
  <si>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</si>
  <si>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</si>
  <si>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</si>
  <si>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</si>
  <si>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</si>
  <si>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</si>
  <si>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</si>
  <si>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</si>
  <si>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</si>
  <si>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</si>
  <si>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</si>
  <si>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</si>
  <si>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Adhaalathu Party</t>
  </si>
  <si>
    <t>Dhivehi Qaumee Party</t>
  </si>
  <si>
    <t>Dhivehi Rayyithunge Party</t>
  </si>
  <si>
    <t>Gaumee Ihthihaadh</t>
  </si>
  <si>
    <t>Islamic Democratic Party</t>
  </si>
  <si>
    <t>Jumhooree Party</t>
  </si>
  <si>
    <t>Maldives Reform Movement</t>
  </si>
  <si>
    <t>Maldivian Labour Party</t>
  </si>
  <si>
    <t>Maldivian National Congress</t>
  </si>
  <si>
    <t>Maldivian Social Democratic Party</t>
  </si>
  <si>
    <t>Peoples Alliance</t>
  </si>
  <si>
    <t>Peoples Party</t>
  </si>
  <si>
    <t>Progressive Party Of Maldives</t>
  </si>
  <si>
    <t>Social Liberal Party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</si>
  <si>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</si>
  <si>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</si>
  <si>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</si>
  <si>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</si>
  <si>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</si>
  <si>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</si>
  <si>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</si>
  <si>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</si>
  <si>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</si>
  <si>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</si>
  <si>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Note: Due to some reasons money was not given to some of the parties. </t>
  </si>
  <si>
    <t xml:space="preserve">          Total</t>
  </si>
  <si>
    <t xml:space="preserve">      ޖުމްލަ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</si>
  <si>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</si>
  <si>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</si>
  <si>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</si>
  <si>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</si>
  <si>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</si>
  <si>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</si>
  <si>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</si>
  <si>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</si>
  <si>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</si>
  <si>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</si>
  <si>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 xml:space="preserve">ނޯޓް: އެކި ސަބަބުތަކާހުރެ ބައެއް ސިޔާސީ ޕާޓީތަކަށް ފައިސާދޫކުރެވިފައެއް ނުވެއެވެ. </t>
  </si>
  <si>
    <t>Persons registered in political parties</t>
  </si>
  <si>
    <t>Population 18+ (DNP projected)</t>
  </si>
  <si>
    <t>% share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</si>
  <si>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</si>
  <si>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</si>
  <si>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</si>
  <si>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</si>
  <si>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</si>
  <si>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</si>
  <si>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</si>
  <si>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</si>
  <si>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</si>
  <si>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</si>
  <si>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20th December 2012</t>
  </si>
  <si>
    <t>ދެވަނަ ބުރު</t>
  </si>
  <si>
    <t>Maldives Development Alliance</t>
  </si>
  <si>
    <t>މޯލްޑިވްސް ޑިވެލޮޕްމަންޓް އެލަޔަންސް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</si>
  <si>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</si>
  <si>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</si>
  <si>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</si>
  <si>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>ތާވަލު 20.1: 2014 ގެ ނިޔަލަށް ރަޖިސްޓްރީކުރެވިފައިވާ ސިޔާސީ ޕާޓީތަކުގެ ޢަދަދާއި، މެމްބަރުން އަދި ބަޖެޓުން ކުރެވުނެ ހޭދަ</t>
  </si>
  <si>
    <t>TABLE: 20.1:  POLITICAL PARTIES REGISTERED At THE END OF 2014, BY MEMBERSHIP AND BUDGET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</si>
</sst>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5" fillId="0" borderId="0"/>
    <xf numFmtId="0" fontId="1" fillId="0" borderId="0"/>
  </cellStyleXfs>
  <cellXfs count="151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5" fillId="2" borderId="0" xfId="0" applyFont="1" applyFill="1"/>
    <xf numFmtId="0" fontId="7" fillId="2" borderId="0" xfId="0" applyFont="1" applyFill="1"/>
    <xf numFmtId="0" fontId="4" fillId="2" borderId="0" xfId="0" applyFont="1" applyFill="1" applyAlignment="1"/>
    <xf numFmtId="3" fontId="5" fillId="2" borderId="0" xfId="0" applyNumberFormat="1" applyFont="1" applyFill="1"/>
    <xf numFmtId="0" fontId="5" fillId="2" borderId="1" xfId="0" applyFont="1" applyFill="1" applyBorder="1"/>
    <xf numFmtId="0" fontId="0" fillId="2" borderId="0" xfId="0" applyFill="1" applyAlignment="1">
      <alignment horizontal="center"/>
    </xf>
    <xf numFmtId="0" fontId="9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4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10" fillId="2" borderId="0" xfId="4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65" fontId="10" fillId="2" borderId="0" xfId="4" applyNumberFormat="1" applyFont="1" applyFill="1" applyBorder="1" applyAlignment="1">
      <alignment horizontal="center"/>
    </xf>
    <xf numFmtId="0" fontId="10" fillId="2" borderId="0" xfId="0" applyFont="1" applyFill="1" applyBorder="1"/>
    <xf numFmtId="165" fontId="9" fillId="2" borderId="0" xfId="4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wrapText="1"/>
    </xf>
    <xf numFmtId="0" fontId="10" fillId="2" borderId="1" xfId="0" applyFont="1" applyFill="1" applyBorder="1"/>
    <xf numFmtId="165" fontId="10" fillId="2" borderId="1" xfId="4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center"/>
    </xf>
    <xf numFmtId="165" fontId="10" fillId="2" borderId="5" xfId="4" applyNumberFormat="1" applyFont="1" applyFill="1" applyBorder="1" applyAlignment="1">
      <alignment horizontal="center"/>
    </xf>
    <xf numFmtId="0" fontId="10" fillId="2" borderId="5" xfId="0" applyFont="1" applyFill="1" applyBorder="1"/>
    <xf numFmtId="0" fontId="7" fillId="2" borderId="5" xfId="0" applyFont="1" applyFill="1" applyBorder="1"/>
    <xf numFmtId="0" fontId="9" fillId="2" borderId="0" xfId="0" applyFont="1" applyFill="1" applyBorder="1"/>
    <xf numFmtId="164" fontId="10" fillId="2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vertical="center" wrapText="1"/>
    </xf>
    <xf numFmtId="165" fontId="9" fillId="2" borderId="0" xfId="4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/>
    </xf>
    <xf numFmtId="165" fontId="9" fillId="2" borderId="0" xfId="4" applyNumberFormat="1" applyFont="1" applyFill="1" applyBorder="1" applyAlignment="1">
      <alignment vertical="center" wrapText="1"/>
    </xf>
    <xf numFmtId="164" fontId="9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2" fillId="2" borderId="0" xfId="0" applyFont="1" applyFill="1" applyAlignment="1">
      <alignment horizontal="left" vertical="center"/>
    </xf>
    <xf numFmtId="165" fontId="13" fillId="2" borderId="0" xfId="4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3" fillId="2" borderId="0" xfId="0" applyFont="1" applyFill="1"/>
    <xf numFmtId="0" fontId="0" fillId="2" borderId="0" xfId="0" applyFill="1" applyAlignment="1">
      <alignment vertical="top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4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165" fontId="10" fillId="2" borderId="0" xfId="4" applyNumberFormat="1" applyFont="1" applyFill="1" applyAlignment="1">
      <alignment horizontal="center" vertical="center"/>
    </xf>
    <xf numFmtId="2" fontId="0" fillId="2" borderId="0" xfId="0" applyNumberFormat="1" applyFill="1"/>
    <xf numFmtId="0" fontId="4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4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center"/>
    </xf>
    <xf numFmtId="10" fontId="0" fillId="2" borderId="0" xfId="1" applyNumberFormat="1" applyFont="1" applyFill="1" applyBorder="1" applyAlignment="1">
      <alignment vertical="center"/>
    </xf>
    <xf numFmtId="165" fontId="0" fillId="2" borderId="0" xfId="4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horizontal="left" vertical="top" indent="3"/>
    </xf>
    <xf numFmtId="0" fontId="2" fillId="2" borderId="7" xfId="0" applyFont="1" applyFill="1" applyBorder="1" applyAlignment="1">
      <alignment horizontal="right" vertical="center" wrapText="1"/>
    </xf>
    <xf numFmtId="165" fontId="0" fillId="2" borderId="0" xfId="4" applyNumberFormat="1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5" fillId="2" borderId="0" xfId="2" applyFont="1" applyFill="1" applyAlignment="1" applyProtection="1">
      <alignment vertical="center" wrapText="1"/>
    </xf>
    <xf numFmtId="0" fontId="0" fillId="2" borderId="0" xfId="0" applyFont="1" applyFill="1" applyAlignment="1">
      <alignment horizontal="right" vertical="center" wrapText="1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0" fontId="10" fillId="2" borderId="8" xfId="0" applyFont="1" applyFill="1" applyBorder="1"/>
    <xf numFmtId="165" fontId="10" fillId="2" borderId="8" xfId="4" applyNumberFormat="1" applyFont="1" applyFill="1" applyBorder="1" applyAlignment="1">
      <alignment horizontal="center"/>
    </xf>
    <xf numFmtId="164" fontId="10" fillId="2" borderId="8" xfId="0" applyNumberFormat="1" applyFont="1" applyFill="1" applyBorder="1" applyAlignment="1">
      <alignment horizontal="center"/>
    </xf>
    <xf numFmtId="0" fontId="7" fillId="2" borderId="8" xfId="0" applyFont="1" applyFill="1" applyBorder="1"/>
    <xf numFmtId="0" fontId="10" fillId="2" borderId="8" xfId="0" applyFont="1" applyFill="1" applyBorder="1" applyAlignment="1">
      <alignment vertical="center"/>
    </xf>
    <xf numFmtId="165" fontId="10" fillId="2" borderId="8" xfId="4" applyNumberFormat="1" applyFont="1" applyFill="1" applyBorder="1" applyAlignment="1">
      <alignment horizontal="center" vertical="center"/>
    </xf>
    <xf numFmtId="165" fontId="2" fillId="2" borderId="4" xfId="4" applyNumberFormat="1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65" fontId="9" fillId="2" borderId="0" xfId="4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1" fillId="2" borderId="0" xfId="3" applyNumberFormat="1" applyFont="1" applyFill="1" applyBorder="1" applyAlignment="1" applyProtection="1">
      <alignment horizontal="right"/>
    </xf>
    <xf numFmtId="3" fontId="10" fillId="2" borderId="0" xfId="3" applyNumberFormat="1" applyFont="1" applyFill="1" applyBorder="1"/>
    <xf numFmtId="3" fontId="9" fillId="2" borderId="0" xfId="3" applyNumberFormat="1" applyFont="1" applyFill="1" applyBorder="1" applyAlignment="1">
      <alignment vertical="center" wrapText="1"/>
    </xf>
    <xf numFmtId="3" fontId="11" fillId="2" borderId="0" xfId="3" applyNumberFormat="1" applyFont="1" applyFill="1" applyBorder="1" applyAlignment="1" applyProtection="1">
      <alignment vertical="center" wrapText="1"/>
    </xf>
    <xf numFmtId="3" fontId="7" fillId="2" borderId="0" xfId="3" applyNumberFormat="1" applyFont="1" applyFill="1" applyBorder="1" applyAlignment="1" applyProtection="1">
      <alignment horizontal="right" vertical="center"/>
    </xf>
    <xf numFmtId="3" fontId="10" fillId="2" borderId="0" xfId="3" applyNumberFormat="1" applyFont="1" applyFill="1" applyBorder="1" applyAlignment="1">
      <alignment horizontal="left" vertical="center"/>
    </xf>
    <xf numFmtId="3" fontId="11" fillId="2" borderId="0" xfId="3" applyNumberFormat="1" applyFont="1" applyFill="1" applyBorder="1" applyAlignment="1" applyProtection="1">
      <alignment horizontal="right" vertical="center"/>
    </xf>
    <xf numFmtId="3" fontId="10" fillId="2" borderId="5" xfId="3" applyNumberFormat="1" applyFont="1" applyFill="1" applyBorder="1"/>
    <xf numFmtId="3" fontId="7" fillId="2" borderId="5" xfId="3" applyNumberFormat="1" applyFont="1" applyFill="1" applyBorder="1" applyAlignment="1" applyProtection="1">
      <alignment horizontal="right" vertical="center"/>
    </xf>
    <xf numFmtId="3" fontId="11" fillId="2" borderId="0" xfId="3" applyNumberFormat="1" applyFont="1" applyFill="1" applyBorder="1" applyAlignment="1" applyProtection="1">
      <alignment horizontal="right" vertical="center" wrapText="1"/>
    </xf>
    <xf numFmtId="165" fontId="0" fillId="2" borderId="2" xfId="4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165" fontId="0" fillId="2" borderId="11" xfId="4" applyNumberFormat="1" applyFont="1" applyFill="1" applyBorder="1" applyAlignment="1">
      <alignment horizontal="center" vertical="center"/>
    </xf>
    <xf numFmtId="165" fontId="2" fillId="2" borderId="13" xfId="4" applyNumberFormat="1" applyFont="1" applyFill="1" applyBorder="1" applyAlignment="1">
      <alignment horizontal="center" vertical="center"/>
    </xf>
    <xf numFmtId="165" fontId="0" fillId="2" borderId="10" xfId="4" applyNumberFormat="1" applyFont="1" applyFill="1" applyBorder="1" applyAlignment="1">
      <alignment horizontal="right" vertical="center"/>
    </xf>
    <xf numFmtId="165" fontId="0" fillId="2" borderId="12" xfId="4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165" fontId="0" fillId="2" borderId="0" xfId="0" applyNumberFormat="1" applyFont="1" applyFill="1"/>
    <xf numFmtId="165" fontId="0" fillId="2" borderId="0" xfId="4" applyNumberFormat="1" applyFont="1" applyFill="1"/>
    <xf numFmtId="3" fontId="0" fillId="2" borderId="0" xfId="0" applyNumberFormat="1" applyFont="1" applyFill="1"/>
    <xf numFmtId="0" fontId="0" fillId="3" borderId="0" xfId="0" applyFont="1" applyFill="1"/>
    <xf numFmtId="0" fontId="4" fillId="2" borderId="15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2" applyFont="1" applyFill="1" applyBorder="1" applyAlignment="1" applyProtection="1">
      <alignment horizontal="righ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 readingOrder="2"/>
    </xf>
    <xf numFmtId="0" fontId="12" fillId="2" borderId="0" xfId="0" applyFont="1" applyFill="1" applyBorder="1" applyAlignment="1">
      <alignment horizontal="left" vertical="top" indent="3"/>
    </xf>
    <xf numFmtId="0" fontId="12" fillId="2" borderId="2" xfId="0" applyFont="1" applyFill="1" applyBorder="1" applyAlignment="1">
      <alignment horizontal="left" vertical="top"/>
    </xf>
  </cellXfs>
  <cellStyles count="12">
    <cellStyle name="Comma" xfId="4" builtinId="3"/>
    <cellStyle name="Comma 2" xfId="5"/>
    <cellStyle name="Comma 3" xfId="6"/>
    <cellStyle name="Hyperlink" xfId="2" builtinId="8"/>
    <cellStyle name="Normal" xfId="0" builtinId="0"/>
    <cellStyle name="Normal 2" xfId="8"/>
    <cellStyle name="Normal 2 2" xfId="10"/>
    <cellStyle name="Normal 2 3" xfId="11"/>
    <cellStyle name="Normal 3" xfId="7"/>
    <cellStyle name="Normal 3 2" xfId="9"/>
    <cellStyle name="Normal_II-15(Population)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38353042026217E-2"/>
          <c:y val="0.24031079590279328"/>
          <c:w val="0.88377148321850019"/>
          <c:h val="0.6190675155909659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'20.1 '!$Z$27</c:f>
              <c:strCache>
                <c:ptCount val="1"/>
                <c:pt idx="0">
                  <c:v>% share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</c:spPr>
          </c:dPt>
          <c:cat>
            <c:numRef>
              <c:f>'20.1 '!$AA$26:$AD$26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'20.1 '!$AA$27:$AD$27</c:f>
              <c:numCache>
                <c:formatCode>0.0</c:formatCode>
                <c:ptCount val="4"/>
                <c:pt idx="0">
                  <c:v>55.489914913443315</c:v>
                </c:pt>
                <c:pt idx="1">
                  <c:v>59.042267748350639</c:v>
                </c:pt>
                <c:pt idx="2">
                  <c:v>59.533782953088497</c:v>
                </c:pt>
                <c:pt idx="3">
                  <c:v>59.016505777450377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3"/>
        <c:axId val="55680000"/>
        <c:axId val="80209792"/>
      </c:barChart>
      <c:catAx>
        <c:axId val="5568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209792"/>
        <c:crosses val="autoZero"/>
        <c:auto val="1"/>
        <c:lblAlgn val="ctr"/>
        <c:lblOffset val="100"/>
        <c:noMultiLvlLbl val="0"/>
      </c:catAx>
      <c:valAx>
        <c:axId val="80209792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persons</a:t>
                </a:r>
              </a:p>
            </c:rich>
          </c:tx>
          <c:layout>
            <c:manualLayout>
              <c:xMode val="edge"/>
              <c:yMode val="edge"/>
              <c:x val="1.2318602167237494E-2"/>
              <c:y val="0.3330507525325498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568000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1483206</xdr:colOff>
      <xdr:row>27</xdr:row>
      <xdr:rowOff>14624</xdr:rowOff>
    </xdr:from>
    <xdr:to>
      <xdr:col>11</xdr:col>
      <xdr:colOff>259773</xdr:colOff>
      <xdr:row>41</xdr:row>
      <xdr:rowOff>153939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1703722</xdr:colOff>
      <xdr:row>27</xdr:row>
      <xdr:rowOff>96211</xdr:rowOff>
    </xdr:from>
    <xdr:to>
      <xdr:col>11</xdr:col>
      <xdr:colOff>173182</xdr:colOff>
      <xdr:row>29</xdr:row>
      <xdr:rowOff>136236</xdr:rowOff>
    </xdr:to>
    <xdr:sp macro="" textlink="">
      <xdr:nvSpPr>
        <xdr:cNvPr id="4" name="TextBox 3"/>
        <xdr:cNvSpPr txBox="1"/>
      </xdr:nvSpPr>
      <xdr:spPr>
        <a:xfrm>
          <a:off x="1973116" y="7466059"/>
          <a:ext cx="8398551" cy="424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 fontAlgn="base"/>
          <a:r>
            <a:rPr lang="en-US" sz="10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20.1: Percentage share of persons aged 18 years and above, who are members of a political party, 2011 - 2014</a:t>
          </a:r>
        </a:p>
      </xdr:txBody>
    </xdr:sp>
    <xdr:clientData/>
  </xdr:twoCellAnchor>
  <xdr:twoCellAnchor>
    <xdr:from>
      <xdr:col>1</xdr:col>
      <xdr:colOff>1731054</xdr:colOff>
      <xdr:row>29</xdr:row>
      <xdr:rowOff>86590</xdr:rowOff>
    </xdr:from>
    <xdr:to>
      <xdr:col>11</xdr:col>
      <xdr:colOff>105834</xdr:colOff>
      <xdr:row>29</xdr:row>
      <xdr:rowOff>86590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000448" y="7841287"/>
          <a:ext cx="8303871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D51"/>
  <sheetViews>
    <sheetView tabSelected="1" zoomScale="99" zoomScaleNormal="99" workbookViewId="0">
      <selection activeCell="G9" sqref="G9"/>
    </sheetView>
  </sheetViews>
  <sheetFormatPr defaultColWidth="9.140625" defaultRowHeight="15" x14ac:dyDescent="0.25"/>
  <cols>
    <col min="1" max="1" width="4" style="76" customWidth="1"/>
    <col min="2" max="2" width="32.85546875" style="77" customWidth="1"/>
    <col min="3" max="3" width="19.5703125" style="77" customWidth="1"/>
    <col min="4" max="6" width="10.85546875" style="77" customWidth="1"/>
    <col min="7" max="7" width="9.140625" style="77" customWidth="1"/>
    <col min="8" max="11" width="13.7109375" style="77" customWidth="1"/>
    <col min="12" max="12" width="31.28515625" style="77" customWidth="1"/>
    <col min="13" max="13" width="6" style="77" customWidth="1"/>
    <col min="14" max="14" width="3.7109375" style="77" customWidth="1"/>
    <col min="15" max="25" width="9.140625" style="77"/>
    <col min="26" max="26" width="29.28515625" style="77" customWidth="1"/>
    <col min="27" max="28" width="15.42578125" style="77" customWidth="1"/>
    <col min="29" max="29" width="12" style="77" customWidth="1"/>
    <col min="30" max="16384" width="9.140625" style="77"/>
  </cols>
  <sheetData>
    <row r="2" spans="1:13" ht="18.75" customHeight="1" x14ac:dyDescent="0.55000000000000004">
      <c r="A2" s="120" t="s">
        <v>172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x14ac:dyDescent="0.25">
      <c r="A3" s="121" t="s">
        <v>173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spans="1:13" s="78" customFormat="1" ht="15.75" customHeight="1" x14ac:dyDescent="0.25">
      <c r="A4" s="125"/>
      <c r="B4" s="122" t="s">
        <v>15</v>
      </c>
      <c r="C4" s="64" t="s">
        <v>23</v>
      </c>
      <c r="D4" s="125" t="s">
        <v>141</v>
      </c>
      <c r="E4" s="125"/>
      <c r="F4" s="125"/>
      <c r="G4" s="136"/>
      <c r="H4" s="140" t="s">
        <v>142</v>
      </c>
      <c r="I4" s="141"/>
      <c r="J4" s="141"/>
      <c r="K4" s="141"/>
      <c r="L4" s="128" t="s">
        <v>35</v>
      </c>
      <c r="M4" s="131"/>
    </row>
    <row r="5" spans="1:13" s="78" customFormat="1" ht="37.5" customHeight="1" x14ac:dyDescent="0.25">
      <c r="A5" s="126"/>
      <c r="B5" s="123"/>
      <c r="C5" s="118" t="s">
        <v>148</v>
      </c>
      <c r="D5" s="137" t="s">
        <v>149</v>
      </c>
      <c r="E5" s="137"/>
      <c r="F5" s="137"/>
      <c r="G5" s="138"/>
      <c r="H5" s="139" t="s">
        <v>150</v>
      </c>
      <c r="I5" s="137"/>
      <c r="J5" s="137"/>
      <c r="K5" s="137"/>
      <c r="L5" s="129"/>
      <c r="M5" s="132"/>
    </row>
    <row r="6" spans="1:13" s="78" customFormat="1" ht="21" customHeight="1" x14ac:dyDescent="0.25">
      <c r="A6" s="127"/>
      <c r="B6" s="124"/>
      <c r="C6" s="65"/>
      <c r="D6" s="55">
        <v>2011</v>
      </c>
      <c r="E6" s="55">
        <v>2012</v>
      </c>
      <c r="F6" s="107">
        <v>2013</v>
      </c>
      <c r="G6" s="73">
        <v>2014</v>
      </c>
      <c r="H6" s="108">
        <v>2011</v>
      </c>
      <c r="I6" s="55">
        <v>2012</v>
      </c>
      <c r="J6" s="55">
        <v>2013</v>
      </c>
      <c r="K6" s="107">
        <v>2014</v>
      </c>
      <c r="L6" s="130"/>
      <c r="M6" s="133"/>
    </row>
    <row r="7" spans="1:13" s="79" customFormat="1" ht="23.25" customHeight="1" x14ac:dyDescent="0.25">
      <c r="A7" s="76">
        <v>1</v>
      </c>
      <c r="B7" s="79" t="s">
        <v>26</v>
      </c>
      <c r="C7" s="79" t="s">
        <v>38</v>
      </c>
      <c r="D7" s="74">
        <v>47365</v>
      </c>
      <c r="E7" s="74">
        <v>46349</v>
      </c>
      <c r="F7" s="106">
        <v>42304</v>
      </c>
      <c r="G7" s="111">
        <v>46608</v>
      </c>
      <c r="H7" s="109">
        <v>3575294.74</v>
      </c>
      <c r="I7" s="70">
        <v>3753399.17</v>
      </c>
      <c r="J7" s="70">
        <v>3632254.22</v>
      </c>
      <c r="K7" s="106">
        <v>5076735.7462999998</v>
      </c>
      <c r="L7" s="80" t="s">
        <v>0</v>
      </c>
      <c r="M7" s="81">
        <v>1</v>
      </c>
    </row>
    <row r="8" spans="1:13" s="79" customFormat="1" ht="23.25" customHeight="1" x14ac:dyDescent="0.25">
      <c r="A8" s="76">
        <v>2</v>
      </c>
      <c r="B8" s="79" t="s">
        <v>116</v>
      </c>
      <c r="C8" s="79" t="s">
        <v>39</v>
      </c>
      <c r="D8" s="74">
        <v>29459</v>
      </c>
      <c r="E8" s="74">
        <v>22575</v>
      </c>
      <c r="F8" s="74">
        <v>17864</v>
      </c>
      <c r="G8" s="112">
        <v>14750</v>
      </c>
      <c r="H8" s="109">
        <v>3153514.66</v>
      </c>
      <c r="I8" s="70">
        <v>2480924.23</v>
      </c>
      <c r="J8" s="70">
        <v>1965343.24</v>
      </c>
      <c r="K8" s="74">
        <v>2140899.38</v>
      </c>
      <c r="L8" s="80" t="s">
        <v>1</v>
      </c>
      <c r="M8" s="81">
        <v>2</v>
      </c>
    </row>
    <row r="9" spans="1:13" s="79" customFormat="1" ht="23.25" customHeight="1" x14ac:dyDescent="0.25">
      <c r="A9" s="76">
        <v>3</v>
      </c>
      <c r="B9" s="79" t="s">
        <v>114</v>
      </c>
      <c r="C9" s="79" t="s">
        <v>40</v>
      </c>
      <c r="D9" s="74">
        <v>6117</v>
      </c>
      <c r="E9" s="74">
        <v>5881</v>
      </c>
      <c r="F9" s="74">
        <v>10194</v>
      </c>
      <c r="G9" s="112">
        <v>9009</v>
      </c>
      <c r="H9" s="109">
        <v>842441.62</v>
      </c>
      <c r="I9" s="70">
        <v>822144.49</v>
      </c>
      <c r="J9" s="70">
        <v>794845.56</v>
      </c>
      <c r="K9" s="74">
        <v>1219546.4778</v>
      </c>
      <c r="L9" s="80" t="s">
        <v>2</v>
      </c>
      <c r="M9" s="81">
        <v>3</v>
      </c>
    </row>
    <row r="10" spans="1:13" s="79" customFormat="1" ht="23.25" customHeight="1" x14ac:dyDescent="0.25">
      <c r="A10" s="76">
        <v>4</v>
      </c>
      <c r="B10" s="79" t="s">
        <v>118</v>
      </c>
      <c r="C10" s="79" t="s">
        <v>41</v>
      </c>
      <c r="D10" s="74">
        <v>3609</v>
      </c>
      <c r="E10" s="74">
        <v>3113</v>
      </c>
      <c r="F10" s="74">
        <v>2378</v>
      </c>
      <c r="G10" s="112">
        <v>2148</v>
      </c>
      <c r="H10" s="109">
        <v>669757.49</v>
      </c>
      <c r="I10" s="70">
        <v>463915.56</v>
      </c>
      <c r="J10" s="70">
        <v>600767.6</v>
      </c>
      <c r="K10" s="70">
        <v>0</v>
      </c>
      <c r="L10" s="80" t="s">
        <v>3</v>
      </c>
      <c r="M10" s="81">
        <v>4</v>
      </c>
    </row>
    <row r="11" spans="1:13" s="79" customFormat="1" ht="23.25" customHeight="1" x14ac:dyDescent="0.25">
      <c r="A11" s="76">
        <v>5</v>
      </c>
      <c r="B11" s="79" t="s">
        <v>123</v>
      </c>
      <c r="C11" s="79" t="s">
        <v>42</v>
      </c>
      <c r="D11" s="74">
        <v>1982</v>
      </c>
      <c r="E11" s="74">
        <v>1797</v>
      </c>
      <c r="F11" s="74">
        <v>1418</v>
      </c>
      <c r="G11" s="112">
        <v>1236</v>
      </c>
      <c r="H11" s="109">
        <v>535473.88</v>
      </c>
      <c r="I11" s="70">
        <v>0</v>
      </c>
      <c r="J11" s="70">
        <v>0</v>
      </c>
      <c r="K11" s="70">
        <v>0</v>
      </c>
      <c r="L11" s="80" t="s">
        <v>4</v>
      </c>
      <c r="M11" s="81">
        <v>5</v>
      </c>
    </row>
    <row r="12" spans="1:13" s="79" customFormat="1" ht="23.25" customHeight="1" x14ac:dyDescent="0.25">
      <c r="A12" s="76">
        <v>6</v>
      </c>
      <c r="B12" s="79" t="s">
        <v>125</v>
      </c>
      <c r="C12" s="79" t="s">
        <v>43</v>
      </c>
      <c r="D12" s="74">
        <v>1814</v>
      </c>
      <c r="E12" s="74">
        <v>1613</v>
      </c>
      <c r="F12" s="74">
        <v>1357</v>
      </c>
      <c r="G12" s="112">
        <v>1211</v>
      </c>
      <c r="H12" s="109">
        <v>574230.19999999995</v>
      </c>
      <c r="I12" s="70">
        <v>516355.39</v>
      </c>
      <c r="J12" s="70">
        <v>445595.29</v>
      </c>
      <c r="K12" s="70">
        <v>0</v>
      </c>
      <c r="L12" s="80" t="s">
        <v>5</v>
      </c>
      <c r="M12" s="81">
        <v>6</v>
      </c>
    </row>
    <row r="13" spans="1:13" s="79" customFormat="1" ht="23.25" customHeight="1" x14ac:dyDescent="0.25">
      <c r="A13" s="76">
        <v>7</v>
      </c>
      <c r="B13" s="79" t="s">
        <v>122</v>
      </c>
      <c r="C13" s="79" t="s">
        <v>43</v>
      </c>
      <c r="D13" s="74">
        <v>1542</v>
      </c>
      <c r="E13" s="74">
        <v>1373</v>
      </c>
      <c r="F13" s="74">
        <v>1146</v>
      </c>
      <c r="G13" s="112">
        <v>1045</v>
      </c>
      <c r="H13" s="109">
        <v>497259.61</v>
      </c>
      <c r="I13" s="70">
        <v>467025.93</v>
      </c>
      <c r="J13" s="70">
        <v>478767.72</v>
      </c>
      <c r="K13" s="70">
        <v>0</v>
      </c>
      <c r="L13" s="80" t="s">
        <v>6</v>
      </c>
      <c r="M13" s="81">
        <v>7</v>
      </c>
    </row>
    <row r="14" spans="1:13" s="79" customFormat="1" ht="23.25" customHeight="1" x14ac:dyDescent="0.25">
      <c r="A14" s="76">
        <v>8</v>
      </c>
      <c r="B14" s="79" t="s">
        <v>127</v>
      </c>
      <c r="C14" s="79" t="s">
        <v>44</v>
      </c>
      <c r="D14" s="74">
        <v>685</v>
      </c>
      <c r="E14" s="74">
        <v>598</v>
      </c>
      <c r="F14" s="74">
        <v>523</v>
      </c>
      <c r="G14" s="112">
        <v>462</v>
      </c>
      <c r="H14" s="109">
        <v>0</v>
      </c>
      <c r="I14" s="70">
        <v>336123.94</v>
      </c>
      <c r="J14" s="70">
        <v>0</v>
      </c>
      <c r="K14" s="70">
        <v>0</v>
      </c>
      <c r="L14" s="80" t="s">
        <v>7</v>
      </c>
      <c r="M14" s="81">
        <v>8</v>
      </c>
    </row>
    <row r="15" spans="1:13" s="79" customFormat="1" ht="23.25" customHeight="1" x14ac:dyDescent="0.25">
      <c r="A15" s="76">
        <v>9</v>
      </c>
      <c r="B15" s="79" t="s">
        <v>119</v>
      </c>
      <c r="C15" s="79" t="s">
        <v>45</v>
      </c>
      <c r="D15" s="74">
        <v>5090</v>
      </c>
      <c r="E15" s="74">
        <v>11154</v>
      </c>
      <c r="F15" s="74">
        <v>14723</v>
      </c>
      <c r="G15" s="112">
        <v>13990</v>
      </c>
      <c r="H15" s="109">
        <v>816538.47</v>
      </c>
      <c r="I15" s="70">
        <v>749161.59</v>
      </c>
      <c r="J15" s="70">
        <v>1164561.29</v>
      </c>
      <c r="K15" s="74">
        <v>1756589.15</v>
      </c>
      <c r="L15" s="80" t="s">
        <v>8</v>
      </c>
      <c r="M15" s="81">
        <v>9</v>
      </c>
    </row>
    <row r="16" spans="1:13" s="79" customFormat="1" ht="23.25" customHeight="1" x14ac:dyDescent="0.25">
      <c r="A16" s="76">
        <v>10</v>
      </c>
      <c r="B16" s="79" t="s">
        <v>124</v>
      </c>
      <c r="C16" s="79" t="s">
        <v>45</v>
      </c>
      <c r="D16" s="74">
        <v>2625</v>
      </c>
      <c r="E16" s="74">
        <v>2101</v>
      </c>
      <c r="F16" s="74">
        <v>1633</v>
      </c>
      <c r="G16" s="112">
        <v>1361</v>
      </c>
      <c r="H16" s="109">
        <v>622691.85</v>
      </c>
      <c r="I16" s="70">
        <v>573988.42000000004</v>
      </c>
      <c r="J16" s="70">
        <v>0</v>
      </c>
      <c r="K16" s="70">
        <v>0</v>
      </c>
      <c r="L16" s="80" t="s">
        <v>9</v>
      </c>
      <c r="M16" s="81">
        <v>10</v>
      </c>
    </row>
    <row r="17" spans="1:30" s="79" customFormat="1" ht="23.25" customHeight="1" x14ac:dyDescent="0.25">
      <c r="A17" s="76">
        <v>11</v>
      </c>
      <c r="B17" s="79" t="s">
        <v>121</v>
      </c>
      <c r="C17" s="79" t="s">
        <v>46</v>
      </c>
      <c r="D17" s="74">
        <v>944</v>
      </c>
      <c r="E17" s="74">
        <v>838</v>
      </c>
      <c r="F17" s="74">
        <v>720</v>
      </c>
      <c r="G17" s="112">
        <v>666</v>
      </c>
      <c r="H17" s="109">
        <v>500363.53</v>
      </c>
      <c r="I17" s="70">
        <v>0</v>
      </c>
      <c r="J17" s="70">
        <v>0</v>
      </c>
      <c r="K17" s="70">
        <v>0</v>
      </c>
      <c r="L17" s="80" t="s">
        <v>10</v>
      </c>
      <c r="M17" s="81">
        <v>11</v>
      </c>
    </row>
    <row r="18" spans="1:30" s="79" customFormat="1" ht="23.25" customHeight="1" x14ac:dyDescent="0.25">
      <c r="A18" s="76">
        <v>12</v>
      </c>
      <c r="B18" s="79" t="s">
        <v>117</v>
      </c>
      <c r="C18" s="79" t="s">
        <v>46</v>
      </c>
      <c r="D18" s="74">
        <v>2640</v>
      </c>
      <c r="E18" s="74">
        <v>3219</v>
      </c>
      <c r="F18" s="74">
        <v>5657</v>
      </c>
      <c r="G18" s="112" t="s">
        <v>164</v>
      </c>
      <c r="H18" s="109">
        <v>643471.30000000005</v>
      </c>
      <c r="I18" s="70">
        <v>575054.39</v>
      </c>
      <c r="J18" s="70">
        <v>608199.77</v>
      </c>
      <c r="K18" s="70">
        <v>0</v>
      </c>
      <c r="L18" s="80" t="s">
        <v>11</v>
      </c>
      <c r="M18" s="81">
        <v>12</v>
      </c>
    </row>
    <row r="19" spans="1:30" s="79" customFormat="1" ht="23.25" customHeight="1" x14ac:dyDescent="0.25">
      <c r="A19" s="76">
        <v>13</v>
      </c>
      <c r="B19" s="79" t="s">
        <v>115</v>
      </c>
      <c r="C19" s="79" t="s">
        <v>47</v>
      </c>
      <c r="D19" s="74">
        <v>2312</v>
      </c>
      <c r="E19" s="74">
        <v>2099</v>
      </c>
      <c r="F19" s="74">
        <v>1753</v>
      </c>
      <c r="G19" s="112">
        <v>1416</v>
      </c>
      <c r="H19" s="109">
        <v>618279.78</v>
      </c>
      <c r="I19" s="70">
        <v>551745.34</v>
      </c>
      <c r="J19" s="70">
        <v>529671.12</v>
      </c>
      <c r="K19" s="70">
        <v>0</v>
      </c>
      <c r="L19" s="80" t="s">
        <v>12</v>
      </c>
      <c r="M19" s="81">
        <v>13</v>
      </c>
    </row>
    <row r="20" spans="1:30" s="79" customFormat="1" ht="23.25" customHeight="1" x14ac:dyDescent="0.25">
      <c r="A20" s="76">
        <v>14</v>
      </c>
      <c r="B20" s="79" t="s">
        <v>120</v>
      </c>
      <c r="C20" s="79" t="s">
        <v>48</v>
      </c>
      <c r="D20" s="74">
        <v>2628</v>
      </c>
      <c r="E20" s="74">
        <v>1969</v>
      </c>
      <c r="F20" s="74">
        <v>1532</v>
      </c>
      <c r="G20" s="112" t="s">
        <v>164</v>
      </c>
      <c r="H20" s="109">
        <v>0</v>
      </c>
      <c r="I20" s="70">
        <v>574201.62</v>
      </c>
      <c r="J20" s="70">
        <v>0</v>
      </c>
      <c r="K20" s="70">
        <v>0</v>
      </c>
      <c r="L20" s="80" t="s">
        <v>13</v>
      </c>
      <c r="M20" s="81">
        <v>14</v>
      </c>
    </row>
    <row r="21" spans="1:30" s="79" customFormat="1" ht="23.25" customHeight="1" x14ac:dyDescent="0.25">
      <c r="A21" s="76">
        <v>15</v>
      </c>
      <c r="B21" s="79" t="s">
        <v>126</v>
      </c>
      <c r="C21" s="79" t="s">
        <v>49</v>
      </c>
      <c r="D21" s="74">
        <v>13859</v>
      </c>
      <c r="E21" s="74">
        <v>22803</v>
      </c>
      <c r="F21" s="74">
        <v>24970</v>
      </c>
      <c r="G21" s="112">
        <v>36232</v>
      </c>
      <c r="H21" s="109">
        <v>0</v>
      </c>
      <c r="I21" s="70">
        <v>1372323.25</v>
      </c>
      <c r="J21" s="70">
        <v>1981329.43</v>
      </c>
      <c r="K21" s="74">
        <v>2994502.2122</v>
      </c>
      <c r="L21" s="80" t="s">
        <v>14</v>
      </c>
      <c r="M21" s="81">
        <v>15</v>
      </c>
    </row>
    <row r="22" spans="1:30" s="79" customFormat="1" ht="23.25" customHeight="1" x14ac:dyDescent="0.25">
      <c r="A22" s="76">
        <v>16</v>
      </c>
      <c r="B22" s="79" t="s">
        <v>167</v>
      </c>
      <c r="C22" s="79" t="s">
        <v>165</v>
      </c>
      <c r="D22" s="74" t="s">
        <v>164</v>
      </c>
      <c r="E22" s="74">
        <v>3446</v>
      </c>
      <c r="F22" s="74">
        <v>7415</v>
      </c>
      <c r="G22" s="112">
        <v>7666</v>
      </c>
      <c r="H22" s="109">
        <v>0</v>
      </c>
      <c r="I22" s="70">
        <v>0</v>
      </c>
      <c r="J22" s="70">
        <v>624115.85</v>
      </c>
      <c r="K22" s="74">
        <v>890721.22160000005</v>
      </c>
      <c r="L22" s="80" t="s">
        <v>168</v>
      </c>
      <c r="M22" s="81">
        <v>16</v>
      </c>
    </row>
    <row r="23" spans="1:30" s="56" customFormat="1" ht="23.25" customHeight="1" x14ac:dyDescent="0.25">
      <c r="A23" s="134" t="s">
        <v>139</v>
      </c>
      <c r="B23" s="134"/>
      <c r="C23" s="134"/>
      <c r="D23" s="75">
        <f t="shared" ref="D23" si="0">SUM(D7:D21)</f>
        <v>122671</v>
      </c>
      <c r="E23" s="75">
        <f>SUM(E7:E22)</f>
        <v>130928</v>
      </c>
      <c r="F23" s="75">
        <f>SUM(F7:F22)</f>
        <v>135587</v>
      </c>
      <c r="G23" s="90">
        <f>SUM(G7:G22)</f>
        <v>137800</v>
      </c>
      <c r="H23" s="110">
        <f>SUM(H7:H21)</f>
        <v>13049317.129999999</v>
      </c>
      <c r="I23" s="91">
        <f>SUM(I7:I21)</f>
        <v>13236363.319999998</v>
      </c>
      <c r="J23" s="91">
        <f>SUM(J7:J22)</f>
        <v>12825451.089999996</v>
      </c>
      <c r="K23" s="75">
        <f>SUM(K7:K22)</f>
        <v>14078994.187899999</v>
      </c>
      <c r="L23" s="135" t="s">
        <v>140</v>
      </c>
      <c r="M23" s="135"/>
    </row>
    <row r="24" spans="1:30" ht="17.25" x14ac:dyDescent="0.25">
      <c r="A24" s="119" t="s">
        <v>138</v>
      </c>
      <c r="B24" s="119"/>
      <c r="C24" s="119"/>
      <c r="D24" s="119"/>
      <c r="M24" s="66" t="s">
        <v>151</v>
      </c>
    </row>
    <row r="25" spans="1:30" s="83" customFormat="1" ht="17.25" x14ac:dyDescent="0.25">
      <c r="A25" s="67" t="s">
        <v>24</v>
      </c>
      <c r="B25" s="82"/>
      <c r="M25" s="66" t="s">
        <v>25</v>
      </c>
    </row>
    <row r="26" spans="1:30" x14ac:dyDescent="0.25">
      <c r="Z26" s="4"/>
      <c r="AA26" s="4">
        <v>2011</v>
      </c>
      <c r="AB26" s="4">
        <v>2012</v>
      </c>
      <c r="AC26" s="4">
        <v>2013</v>
      </c>
      <c r="AD26" s="4">
        <v>2014</v>
      </c>
    </row>
    <row r="27" spans="1:30" x14ac:dyDescent="0.25">
      <c r="Z27" s="77" t="s">
        <v>154</v>
      </c>
      <c r="AA27" s="113">
        <f>AA28/AA29*100</f>
        <v>55.489914913443315</v>
      </c>
      <c r="AB27" s="113">
        <f>AB28/AB29*100</f>
        <v>59.042267748350639</v>
      </c>
      <c r="AC27" s="113">
        <f>AC28/AC29*100</f>
        <v>59.533782953088497</v>
      </c>
      <c r="AD27" s="113">
        <f>AD28/AD29*100</f>
        <v>59.016505777450377</v>
      </c>
    </row>
    <row r="28" spans="1:30" x14ac:dyDescent="0.25">
      <c r="Z28" s="77" t="s">
        <v>152</v>
      </c>
      <c r="AA28" s="114">
        <f>D23</f>
        <v>122671</v>
      </c>
      <c r="AB28" s="114">
        <f>E23</f>
        <v>130928</v>
      </c>
      <c r="AC28" s="92">
        <f>F23</f>
        <v>135587</v>
      </c>
      <c r="AD28" s="92">
        <f>G23</f>
        <v>137800</v>
      </c>
    </row>
    <row r="29" spans="1:30" x14ac:dyDescent="0.25">
      <c r="Z29" s="77" t="s">
        <v>153</v>
      </c>
      <c r="AA29" s="115">
        <v>221069</v>
      </c>
      <c r="AB29" s="115">
        <v>221753</v>
      </c>
      <c r="AC29" s="116">
        <v>227748</v>
      </c>
      <c r="AD29" s="117">
        <v>233494</v>
      </c>
    </row>
    <row r="43" spans="2:2" x14ac:dyDescent="0.25">
      <c r="B43" s="76"/>
    </row>
    <row r="44" spans="2:2" x14ac:dyDescent="0.25">
      <c r="B44" s="76"/>
    </row>
    <row r="45" spans="2:2" x14ac:dyDescent="0.25">
      <c r="B45" s="76"/>
    </row>
    <row r="46" spans="2:2" x14ac:dyDescent="0.25">
      <c r="B46" s="76"/>
    </row>
    <row r="47" spans="2:2" x14ac:dyDescent="0.25">
      <c r="B47" s="76"/>
    </row>
    <row r="48" spans="2:2" x14ac:dyDescent="0.25">
      <c r="B48" s="76"/>
    </row>
    <row r="49" spans="2:2" x14ac:dyDescent="0.25">
      <c r="B49" s="76"/>
    </row>
    <row r="50" spans="2:2" x14ac:dyDescent="0.25">
      <c r="B50" s="76"/>
    </row>
    <row r="51" spans="2:2" x14ac:dyDescent="0.25">
      <c r="B51" s="76"/>
    </row>
  </sheetData>
  <sortState ref="B59:C74">
    <sortCondition descending="1" ref="C59:C74"/>
  </sortState>
  <mergeCells count="13">
    <mergeCell ref="A24:D24"/>
    <mergeCell ref="A2:M2"/>
    <mergeCell ref="A3:M3"/>
    <mergeCell ref="B4:B6"/>
    <mergeCell ref="A4:A6"/>
    <mergeCell ref="L4:L6"/>
    <mergeCell ref="M4:M6"/>
    <mergeCell ref="A23:C23"/>
    <mergeCell ref="L23:M23"/>
    <mergeCell ref="D4:G4"/>
    <mergeCell ref="D5:G5"/>
    <mergeCell ref="H5:K5"/>
    <mergeCell ref="H4:K4"/>
  </mergeCells>
  <pageMargins left="0.22" right="0.1" top="0.2" bottom="0.16" header="0.12" footer="0.09"/>
  <pageSetup paperSize="9" scale="74" orientation="landscape" r:id="rId1"/>
  <rowBreaks count="1" manualBreakCount="1">
    <brk id="26" max="13" man="1"/>
  </rowBreaks>
  <colBreaks count="1" manualBreakCount="1">
    <brk id="14" max="1048575" man="1"/>
  </colBreaks>
  <ignoredErrors>
    <ignoredError sqref="D23:F23 H23:J2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20" t="s">
        <v>160</v>
      </c>
      <c r="B2" s="120"/>
      <c r="C2" s="120"/>
      <c r="D2" s="120"/>
      <c r="E2" s="7"/>
      <c r="F2" s="7"/>
      <c r="G2" s="7"/>
      <c r="H2" s="7"/>
      <c r="I2" s="7"/>
      <c r="J2" s="7"/>
    </row>
    <row r="3" spans="1:10" ht="14.45" x14ac:dyDescent="0.3">
      <c r="A3" s="143" t="s">
        <v>161</v>
      </c>
      <c r="B3" s="143"/>
      <c r="C3" s="143"/>
      <c r="D3" s="143"/>
    </row>
    <row r="5" spans="1:10" s="4" customFormat="1" ht="17.25" customHeight="1" x14ac:dyDescent="0.25">
      <c r="A5" s="144" t="s">
        <v>113</v>
      </c>
      <c r="B5" s="63" t="s">
        <v>147</v>
      </c>
      <c r="C5" s="63" t="s">
        <v>166</v>
      </c>
      <c r="D5" s="145" t="s">
        <v>112</v>
      </c>
    </row>
    <row r="6" spans="1:10" s="4" customFormat="1" ht="17.25" customHeight="1" x14ac:dyDescent="0.25">
      <c r="A6" s="134"/>
      <c r="B6" s="31" t="s">
        <v>136</v>
      </c>
      <c r="C6" s="31" t="s">
        <v>137</v>
      </c>
      <c r="D6" s="146"/>
    </row>
    <row r="7" spans="1:10" ht="21" x14ac:dyDescent="0.55000000000000004">
      <c r="A7" s="2" t="s">
        <v>16</v>
      </c>
      <c r="B7" s="12">
        <v>239105</v>
      </c>
      <c r="C7" s="12">
        <v>239165</v>
      </c>
      <c r="D7" s="8" t="s">
        <v>37</v>
      </c>
    </row>
    <row r="8" spans="1:10" ht="21" x14ac:dyDescent="0.55000000000000004">
      <c r="A8" s="2" t="s">
        <v>17</v>
      </c>
      <c r="B8" s="13">
        <v>208504</v>
      </c>
      <c r="C8" s="13">
        <v>218619</v>
      </c>
      <c r="D8" s="5" t="s">
        <v>36</v>
      </c>
    </row>
    <row r="9" spans="1:10" ht="21" x14ac:dyDescent="0.55000000000000004">
      <c r="A9" s="2" t="s">
        <v>18</v>
      </c>
      <c r="B9" s="14">
        <v>0.872</v>
      </c>
      <c r="C9" s="69">
        <v>0.91400000000000003</v>
      </c>
      <c r="D9" s="5" t="s">
        <v>33</v>
      </c>
    </row>
    <row r="10" spans="1:10" ht="21" x14ac:dyDescent="0.55000000000000004">
      <c r="A10" s="2" t="s">
        <v>19</v>
      </c>
      <c r="B10" s="13">
        <v>206173</v>
      </c>
      <c r="C10" s="13">
        <v>216384</v>
      </c>
      <c r="D10" s="5" t="s">
        <v>159</v>
      </c>
    </row>
    <row r="11" spans="1:10" ht="21" x14ac:dyDescent="0.55000000000000004">
      <c r="A11" s="3" t="s">
        <v>20</v>
      </c>
      <c r="B11" s="15">
        <v>2331</v>
      </c>
      <c r="C11" s="15">
        <v>2237</v>
      </c>
      <c r="D11" s="9" t="s">
        <v>34</v>
      </c>
    </row>
    <row r="12" spans="1:10" s="10" customFormat="1" ht="17.25" x14ac:dyDescent="0.25">
      <c r="A12" s="57" t="s">
        <v>146</v>
      </c>
      <c r="B12" s="58"/>
      <c r="C12" s="58"/>
      <c r="D12" s="59" t="s">
        <v>143</v>
      </c>
    </row>
    <row r="13" spans="1:10" s="54" customFormat="1" ht="17.25" x14ac:dyDescent="0.25">
      <c r="A13" s="67" t="s">
        <v>24</v>
      </c>
      <c r="D13" s="66" t="s">
        <v>25</v>
      </c>
    </row>
    <row r="14" spans="1:10" s="54" customFormat="1" ht="31.5" customHeight="1" x14ac:dyDescent="0.3">
      <c r="A14" s="67"/>
      <c r="D14" s="66"/>
    </row>
    <row r="15" spans="1:10" ht="14.45" x14ac:dyDescent="0.3">
      <c r="C15" s="62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77" customWidth="1"/>
    <col min="2" max="2" width="16" style="95" customWidth="1"/>
    <col min="3" max="3" width="15.140625" style="95" customWidth="1"/>
    <col min="4" max="4" width="16.42578125" style="95" customWidth="1"/>
    <col min="5" max="5" width="32.28515625" style="77" customWidth="1"/>
    <col min="6" max="16384" width="9.140625" style="77"/>
  </cols>
  <sheetData>
    <row r="1" spans="1:5" ht="21" x14ac:dyDescent="0.55000000000000004">
      <c r="A1" s="120" t="s">
        <v>162</v>
      </c>
      <c r="B1" s="120"/>
      <c r="C1" s="120"/>
      <c r="D1" s="120"/>
      <c r="E1" s="120"/>
    </row>
    <row r="2" spans="1:5" ht="14.45" x14ac:dyDescent="0.3">
      <c r="A2" s="142" t="s">
        <v>163</v>
      </c>
      <c r="B2" s="142"/>
      <c r="C2" s="142"/>
      <c r="D2" s="142"/>
      <c r="E2" s="142"/>
    </row>
    <row r="3" spans="1:5" ht="7.5" customHeight="1" x14ac:dyDescent="0.3"/>
    <row r="4" spans="1:5" s="4" customFormat="1" ht="19.5" customHeight="1" x14ac:dyDescent="0.25">
      <c r="A4" s="144" t="s">
        <v>27</v>
      </c>
      <c r="B4" s="17" t="s">
        <v>16</v>
      </c>
      <c r="C4" s="17" t="s">
        <v>17</v>
      </c>
      <c r="D4" s="17" t="s">
        <v>18</v>
      </c>
      <c r="E4" s="145" t="s">
        <v>28</v>
      </c>
    </row>
    <row r="5" spans="1:5" s="71" customFormat="1" ht="33" customHeight="1" x14ac:dyDescent="0.45">
      <c r="A5" s="134"/>
      <c r="B5" s="26" t="s">
        <v>30</v>
      </c>
      <c r="C5" s="25" t="s">
        <v>29</v>
      </c>
      <c r="D5" s="26" t="s">
        <v>31</v>
      </c>
      <c r="E5" s="146"/>
    </row>
    <row r="6" spans="1:5" s="11" customFormat="1" ht="18.75" x14ac:dyDescent="0.5">
      <c r="A6" s="11" t="s">
        <v>21</v>
      </c>
      <c r="B6" s="93">
        <f>SUM(B8+B29+B50+B57+B61+B73)</f>
        <v>237436</v>
      </c>
      <c r="C6" s="93">
        <f>SUM(C8+C29+C50+C57+C61+C73)</f>
        <v>216985</v>
      </c>
      <c r="D6" s="94">
        <f>C6/B6*100</f>
        <v>91.386731582405361</v>
      </c>
      <c r="E6" s="96" t="s">
        <v>32</v>
      </c>
    </row>
    <row r="7" spans="1:5" s="20" customFormat="1" ht="13.9" x14ac:dyDescent="0.3">
      <c r="A7" s="97"/>
      <c r="B7" s="18"/>
      <c r="C7" s="18"/>
      <c r="D7" s="18"/>
    </row>
    <row r="8" spans="1:5" s="48" customFormat="1" ht="16.5" customHeight="1" x14ac:dyDescent="0.25">
      <c r="A8" s="98" t="s">
        <v>108</v>
      </c>
      <c r="B8" s="46">
        <f>SUM(B9:B28)</f>
        <v>138133</v>
      </c>
      <c r="C8" s="46">
        <f>SUM(C9:C28)</f>
        <v>126345</v>
      </c>
      <c r="D8" s="47">
        <f>(C8/B8)*100</f>
        <v>91.466195623058937</v>
      </c>
      <c r="E8" s="99" t="s">
        <v>77</v>
      </c>
    </row>
    <row r="9" spans="1:5" s="20" customFormat="1" ht="13.5" customHeight="1" x14ac:dyDescent="0.2">
      <c r="A9" s="97" t="s">
        <v>22</v>
      </c>
      <c r="B9" s="18">
        <v>8852</v>
      </c>
      <c r="C9" s="18">
        <v>8209</v>
      </c>
      <c r="D9" s="19">
        <f>C9/B9*100</f>
        <v>92.736104835065518</v>
      </c>
      <c r="E9" s="100" t="s">
        <v>60</v>
      </c>
    </row>
    <row r="10" spans="1:5" s="20" customFormat="1" ht="13.5" customHeight="1" x14ac:dyDescent="0.2">
      <c r="A10" s="97" t="s">
        <v>135</v>
      </c>
      <c r="B10" s="18">
        <v>12072</v>
      </c>
      <c r="C10" s="18">
        <v>10695</v>
      </c>
      <c r="D10" s="19">
        <f t="shared" ref="D10:D69" si="0">C10/B10*100</f>
        <v>88.593439363817097</v>
      </c>
      <c r="E10" s="100" t="s">
        <v>61</v>
      </c>
    </row>
    <row r="11" spans="1:5" s="20" customFormat="1" ht="13.5" customHeight="1" x14ac:dyDescent="0.2">
      <c r="A11" s="97" t="s">
        <v>134</v>
      </c>
      <c r="B11" s="18">
        <v>8093</v>
      </c>
      <c r="C11" s="18">
        <v>7461</v>
      </c>
      <c r="D11" s="19">
        <f t="shared" si="0"/>
        <v>92.190782157419989</v>
      </c>
      <c r="E11" s="100" t="s">
        <v>62</v>
      </c>
    </row>
    <row r="12" spans="1:5" s="20" customFormat="1" ht="13.5" customHeight="1" x14ac:dyDescent="0.2">
      <c r="A12" s="97" t="s">
        <v>57</v>
      </c>
      <c r="B12" s="18">
        <v>7692</v>
      </c>
      <c r="C12" s="18">
        <v>7067</v>
      </c>
      <c r="D12" s="19">
        <f t="shared" si="0"/>
        <v>91.87467498699948</v>
      </c>
      <c r="E12" s="100" t="s">
        <v>63</v>
      </c>
    </row>
    <row r="13" spans="1:5" s="20" customFormat="1" ht="13.5" customHeight="1" x14ac:dyDescent="0.2">
      <c r="A13" s="97" t="s">
        <v>58</v>
      </c>
      <c r="B13" s="18">
        <v>10325</v>
      </c>
      <c r="C13" s="18">
        <v>9414</v>
      </c>
      <c r="D13" s="19">
        <f t="shared" si="0"/>
        <v>91.176755447941886</v>
      </c>
      <c r="E13" s="100" t="s">
        <v>64</v>
      </c>
    </row>
    <row r="14" spans="1:5" s="20" customFormat="1" ht="13.5" customHeight="1" x14ac:dyDescent="0.2">
      <c r="A14" s="97" t="s">
        <v>51</v>
      </c>
      <c r="B14" s="18">
        <v>6829</v>
      </c>
      <c r="C14" s="18">
        <v>6322</v>
      </c>
      <c r="D14" s="19">
        <f t="shared" si="0"/>
        <v>92.575779762776406</v>
      </c>
      <c r="E14" s="100" t="s">
        <v>65</v>
      </c>
    </row>
    <row r="15" spans="1:5" s="20" customFormat="1" ht="13.5" customHeight="1" x14ac:dyDescent="0.2">
      <c r="A15" s="97" t="s">
        <v>133</v>
      </c>
      <c r="B15" s="18">
        <v>6079</v>
      </c>
      <c r="C15" s="18">
        <v>5619</v>
      </c>
      <c r="D15" s="19">
        <f t="shared" si="0"/>
        <v>92.432965948346762</v>
      </c>
      <c r="E15" s="100" t="s">
        <v>66</v>
      </c>
    </row>
    <row r="16" spans="1:5" s="20" customFormat="1" ht="13.5" customHeight="1" x14ac:dyDescent="0.2">
      <c r="A16" s="97" t="s">
        <v>54</v>
      </c>
      <c r="B16" s="18">
        <v>8447</v>
      </c>
      <c r="C16" s="18">
        <v>7855</v>
      </c>
      <c r="D16" s="19">
        <f t="shared" si="0"/>
        <v>92.991594648987814</v>
      </c>
      <c r="E16" s="100" t="s">
        <v>67</v>
      </c>
    </row>
    <row r="17" spans="1:5" s="20" customFormat="1" ht="13.5" customHeight="1" x14ac:dyDescent="0.2">
      <c r="A17" s="97" t="s">
        <v>50</v>
      </c>
      <c r="B17" s="18">
        <v>4313</v>
      </c>
      <c r="C17" s="18">
        <v>3950</v>
      </c>
      <c r="D17" s="19">
        <f t="shared" si="0"/>
        <v>91.583584511940643</v>
      </c>
      <c r="E17" s="100" t="s">
        <v>68</v>
      </c>
    </row>
    <row r="18" spans="1:5" s="20" customFormat="1" ht="13.5" customHeight="1" x14ac:dyDescent="0.2">
      <c r="A18" s="97" t="s">
        <v>132</v>
      </c>
      <c r="B18" s="18">
        <v>6416</v>
      </c>
      <c r="C18" s="18">
        <v>5878</v>
      </c>
      <c r="D18" s="19">
        <f t="shared" si="0"/>
        <v>91.614713216957611</v>
      </c>
      <c r="E18" s="100" t="s">
        <v>69</v>
      </c>
    </row>
    <row r="19" spans="1:5" s="22" customFormat="1" ht="13.5" customHeight="1" x14ac:dyDescent="0.2">
      <c r="A19" s="97" t="s">
        <v>59</v>
      </c>
      <c r="B19" s="21">
        <v>1191</v>
      </c>
      <c r="C19" s="18">
        <v>1078</v>
      </c>
      <c r="D19" s="19">
        <f t="shared" si="0"/>
        <v>90.51217464315701</v>
      </c>
      <c r="E19" s="100" t="s">
        <v>70</v>
      </c>
    </row>
    <row r="20" spans="1:5" s="22" customFormat="1" ht="13.5" customHeight="1" x14ac:dyDescent="0.2">
      <c r="A20" s="97" t="s">
        <v>56</v>
      </c>
      <c r="B20" s="21">
        <v>3517</v>
      </c>
      <c r="C20" s="18">
        <v>3251</v>
      </c>
      <c r="D20" s="19">
        <f t="shared" si="0"/>
        <v>92.436735854421386</v>
      </c>
      <c r="E20" s="100" t="s">
        <v>71</v>
      </c>
    </row>
    <row r="21" spans="1:5" s="22" customFormat="1" ht="13.5" customHeight="1" x14ac:dyDescent="0.2">
      <c r="A21" s="97" t="s">
        <v>52</v>
      </c>
      <c r="B21" s="21">
        <v>2778</v>
      </c>
      <c r="C21" s="18">
        <v>2630</v>
      </c>
      <c r="D21" s="19">
        <f t="shared" si="0"/>
        <v>94.67242620590352</v>
      </c>
      <c r="E21" s="100" t="s">
        <v>72</v>
      </c>
    </row>
    <row r="22" spans="1:5" s="22" customFormat="1" ht="13.5" customHeight="1" x14ac:dyDescent="0.2">
      <c r="A22" s="97" t="s">
        <v>130</v>
      </c>
      <c r="B22" s="21">
        <v>3973</v>
      </c>
      <c r="C22" s="18">
        <v>3797</v>
      </c>
      <c r="D22" s="19">
        <f t="shared" si="0"/>
        <v>95.570098162597532</v>
      </c>
      <c r="E22" s="100" t="s">
        <v>73</v>
      </c>
    </row>
    <row r="23" spans="1:5" s="22" customFormat="1" ht="13.5" customHeight="1" x14ac:dyDescent="0.2">
      <c r="A23" s="97" t="s">
        <v>131</v>
      </c>
      <c r="B23" s="21">
        <v>6640</v>
      </c>
      <c r="C23" s="18">
        <v>6059</v>
      </c>
      <c r="D23" s="19">
        <f t="shared" si="0"/>
        <v>91.25</v>
      </c>
      <c r="E23" s="100" t="s">
        <v>74</v>
      </c>
    </row>
    <row r="24" spans="1:5" s="22" customFormat="1" ht="13.5" customHeight="1" x14ac:dyDescent="0.2">
      <c r="A24" s="97" t="s">
        <v>55</v>
      </c>
      <c r="B24" s="21">
        <v>8511</v>
      </c>
      <c r="C24" s="18">
        <v>7971</v>
      </c>
      <c r="D24" s="19">
        <f t="shared" si="0"/>
        <v>93.655269651039831</v>
      </c>
      <c r="E24" s="100" t="s">
        <v>75</v>
      </c>
    </row>
    <row r="25" spans="1:5" s="22" customFormat="1" ht="13.5" customHeight="1" x14ac:dyDescent="0.2">
      <c r="A25" s="101" t="s">
        <v>53</v>
      </c>
      <c r="B25" s="18">
        <v>5507</v>
      </c>
      <c r="C25" s="18">
        <v>5132</v>
      </c>
      <c r="D25" s="19">
        <f t="shared" si="0"/>
        <v>93.190484837479573</v>
      </c>
      <c r="E25" s="102" t="s">
        <v>76</v>
      </c>
    </row>
    <row r="26" spans="1:5" s="22" customFormat="1" ht="13.5" customHeight="1" x14ac:dyDescent="0.2">
      <c r="A26" s="97" t="s">
        <v>129</v>
      </c>
      <c r="B26" s="21">
        <v>8156</v>
      </c>
      <c r="C26" s="18">
        <v>7151</v>
      </c>
      <c r="D26" s="19">
        <f t="shared" si="0"/>
        <v>87.677783227072098</v>
      </c>
      <c r="E26" s="100" t="s">
        <v>78</v>
      </c>
    </row>
    <row r="27" spans="1:5" s="22" customFormat="1" ht="13.5" customHeight="1" x14ac:dyDescent="0.2">
      <c r="A27" s="97" t="s">
        <v>128</v>
      </c>
      <c r="B27" s="21">
        <v>4958</v>
      </c>
      <c r="C27" s="18">
        <v>4653</v>
      </c>
      <c r="D27" s="19">
        <f t="shared" si="0"/>
        <v>93.848325937878172</v>
      </c>
      <c r="E27" s="100" t="s">
        <v>79</v>
      </c>
    </row>
    <row r="28" spans="1:5" s="22" customFormat="1" ht="13.5" customHeight="1" x14ac:dyDescent="0.2">
      <c r="A28" s="103" t="s">
        <v>81</v>
      </c>
      <c r="B28" s="33">
        <v>13784</v>
      </c>
      <c r="C28" s="33">
        <v>12153</v>
      </c>
      <c r="D28" s="32">
        <f t="shared" si="0"/>
        <v>88.16744051073708</v>
      </c>
      <c r="E28" s="104" t="s">
        <v>80</v>
      </c>
    </row>
    <row r="29" spans="1:5" s="22" customFormat="1" ht="32.25" customHeight="1" x14ac:dyDescent="0.2">
      <c r="A29" s="98" t="s">
        <v>144</v>
      </c>
      <c r="B29" s="23">
        <f>SUM(B30:B49)</f>
        <v>42536</v>
      </c>
      <c r="C29" s="23">
        <f>SUM(C30:C49)</f>
        <v>40713</v>
      </c>
      <c r="D29" s="45">
        <f t="shared" si="0"/>
        <v>95.714218544291896</v>
      </c>
      <c r="E29" s="105" t="s">
        <v>98</v>
      </c>
    </row>
    <row r="30" spans="1:5" s="22" customFormat="1" ht="13.5" customHeight="1" x14ac:dyDescent="0.2">
      <c r="A30" s="97" t="s">
        <v>22</v>
      </c>
      <c r="B30" s="21">
        <v>3755</v>
      </c>
      <c r="C30" s="18">
        <v>3634</v>
      </c>
      <c r="D30" s="19">
        <f t="shared" si="0"/>
        <v>96.777629826897467</v>
      </c>
      <c r="E30" s="100" t="s">
        <v>60</v>
      </c>
    </row>
    <row r="31" spans="1:5" s="22" customFormat="1" ht="13.5" customHeight="1" x14ac:dyDescent="0.2">
      <c r="A31" s="97" t="s">
        <v>135</v>
      </c>
      <c r="B31" s="18">
        <v>2730</v>
      </c>
      <c r="C31" s="21">
        <v>2579</v>
      </c>
      <c r="D31" s="19">
        <f t="shared" si="0"/>
        <v>94.468864468864467</v>
      </c>
      <c r="E31" s="100" t="s">
        <v>61</v>
      </c>
    </row>
    <row r="32" spans="1:5" s="20" customFormat="1" ht="13.5" customHeight="1" x14ac:dyDescent="0.2">
      <c r="A32" s="97" t="s">
        <v>134</v>
      </c>
      <c r="B32" s="18">
        <v>1919</v>
      </c>
      <c r="C32" s="18">
        <v>1819</v>
      </c>
      <c r="D32" s="19">
        <f t="shared" si="0"/>
        <v>94.788952579468472</v>
      </c>
      <c r="E32" s="100" t="s">
        <v>62</v>
      </c>
    </row>
    <row r="33" spans="1:5" s="20" customFormat="1" ht="13.5" customHeight="1" x14ac:dyDescent="0.2">
      <c r="A33" s="97" t="s">
        <v>57</v>
      </c>
      <c r="B33" s="18">
        <v>2066</v>
      </c>
      <c r="C33" s="18">
        <v>1968</v>
      </c>
      <c r="D33" s="19">
        <f t="shared" si="0"/>
        <v>95.256534365924495</v>
      </c>
      <c r="E33" s="100" t="s">
        <v>63</v>
      </c>
    </row>
    <row r="34" spans="1:5" s="20" customFormat="1" ht="13.5" customHeight="1" x14ac:dyDescent="0.2">
      <c r="A34" s="97" t="s">
        <v>58</v>
      </c>
      <c r="B34" s="18">
        <v>3012</v>
      </c>
      <c r="C34" s="18">
        <v>2859</v>
      </c>
      <c r="D34" s="19">
        <f t="shared" si="0"/>
        <v>94.920318725099605</v>
      </c>
      <c r="E34" s="100" t="s">
        <v>64</v>
      </c>
    </row>
    <row r="35" spans="1:5" s="20" customFormat="1" ht="13.5" customHeight="1" x14ac:dyDescent="0.2">
      <c r="A35" s="97" t="s">
        <v>51</v>
      </c>
      <c r="B35" s="18">
        <v>2225</v>
      </c>
      <c r="C35" s="18">
        <v>2137</v>
      </c>
      <c r="D35" s="19">
        <f t="shared" si="0"/>
        <v>96.044943820224717</v>
      </c>
      <c r="E35" s="100" t="s">
        <v>65</v>
      </c>
    </row>
    <row r="36" spans="1:5" s="20" customFormat="1" ht="13.5" customHeight="1" x14ac:dyDescent="0.2">
      <c r="A36" s="97" t="s">
        <v>133</v>
      </c>
      <c r="B36" s="18">
        <v>1943</v>
      </c>
      <c r="C36" s="18">
        <v>1873</v>
      </c>
      <c r="D36" s="19">
        <f t="shared" si="0"/>
        <v>96.397323726196603</v>
      </c>
      <c r="E36" s="100" t="s">
        <v>66</v>
      </c>
    </row>
    <row r="37" spans="1:5" s="20" customFormat="1" ht="13.5" customHeight="1" x14ac:dyDescent="0.2">
      <c r="A37" s="97" t="s">
        <v>54</v>
      </c>
      <c r="B37" s="18">
        <v>931</v>
      </c>
      <c r="C37" s="18">
        <v>883</v>
      </c>
      <c r="D37" s="19">
        <f t="shared" si="0"/>
        <v>94.844253490870031</v>
      </c>
      <c r="E37" s="100" t="s">
        <v>67</v>
      </c>
    </row>
    <row r="38" spans="1:5" s="20" customFormat="1" ht="13.5" customHeight="1" x14ac:dyDescent="0.2">
      <c r="A38" s="97" t="s">
        <v>50</v>
      </c>
      <c r="B38" s="18">
        <v>745</v>
      </c>
      <c r="C38" s="18">
        <v>718</v>
      </c>
      <c r="D38" s="19">
        <f t="shared" si="0"/>
        <v>96.375838926174495</v>
      </c>
      <c r="E38" s="100" t="s">
        <v>68</v>
      </c>
    </row>
    <row r="39" spans="1:5" s="20" customFormat="1" ht="13.5" customHeight="1" x14ac:dyDescent="0.2">
      <c r="A39" s="97" t="s">
        <v>132</v>
      </c>
      <c r="B39" s="18">
        <v>911</v>
      </c>
      <c r="C39" s="18">
        <v>872</v>
      </c>
      <c r="D39" s="19">
        <f>C39/B39*100</f>
        <v>95.718990120746426</v>
      </c>
      <c r="E39" s="100" t="s">
        <v>69</v>
      </c>
    </row>
    <row r="40" spans="1:5" s="20" customFormat="1" ht="13.5" customHeight="1" x14ac:dyDescent="0.2">
      <c r="A40" s="97" t="s">
        <v>59</v>
      </c>
      <c r="B40" s="18">
        <v>450</v>
      </c>
      <c r="C40" s="18">
        <v>441</v>
      </c>
      <c r="D40" s="19">
        <f>C40/B40*100</f>
        <v>98</v>
      </c>
      <c r="E40" s="100" t="s">
        <v>70</v>
      </c>
    </row>
    <row r="41" spans="1:5" s="20" customFormat="1" ht="13.5" customHeight="1" x14ac:dyDescent="0.2">
      <c r="A41" s="97" t="s">
        <v>56</v>
      </c>
      <c r="B41" s="18">
        <v>1176</v>
      </c>
      <c r="C41" s="18">
        <v>1125</v>
      </c>
      <c r="D41" s="19">
        <f t="shared" si="0"/>
        <v>95.66326530612244</v>
      </c>
      <c r="E41" s="100" t="s">
        <v>71</v>
      </c>
    </row>
    <row r="42" spans="1:5" s="20" customFormat="1" ht="13.5" customHeight="1" x14ac:dyDescent="0.2">
      <c r="A42" s="97" t="s">
        <v>52</v>
      </c>
      <c r="B42" s="18">
        <v>641</v>
      </c>
      <c r="C42" s="18">
        <v>616</v>
      </c>
      <c r="D42" s="19">
        <f t="shared" si="0"/>
        <v>96.099843993759748</v>
      </c>
      <c r="E42" s="100" t="s">
        <v>72</v>
      </c>
    </row>
    <row r="43" spans="1:5" s="20" customFormat="1" ht="13.5" customHeight="1" x14ac:dyDescent="0.2">
      <c r="A43" s="97" t="s">
        <v>130</v>
      </c>
      <c r="B43" s="18">
        <v>1080</v>
      </c>
      <c r="C43" s="18">
        <v>1050</v>
      </c>
      <c r="D43" s="19">
        <f t="shared" si="0"/>
        <v>97.222222222222214</v>
      </c>
      <c r="E43" s="100" t="s">
        <v>73</v>
      </c>
    </row>
    <row r="44" spans="1:5" s="20" customFormat="1" ht="13.5" customHeight="1" x14ac:dyDescent="0.2">
      <c r="A44" s="97" t="s">
        <v>131</v>
      </c>
      <c r="B44" s="18">
        <v>3005</v>
      </c>
      <c r="C44" s="18">
        <v>2918</v>
      </c>
      <c r="D44" s="19">
        <f t="shared" si="0"/>
        <v>97.104825291181356</v>
      </c>
      <c r="E44" s="100" t="s">
        <v>74</v>
      </c>
    </row>
    <row r="45" spans="1:5" s="20" customFormat="1" ht="13.5" customHeight="1" x14ac:dyDescent="0.2">
      <c r="A45" s="97" t="s">
        <v>55</v>
      </c>
      <c r="B45" s="18">
        <v>1983</v>
      </c>
      <c r="C45" s="18">
        <v>1891</v>
      </c>
      <c r="D45" s="19">
        <f t="shared" si="0"/>
        <v>95.360564800806856</v>
      </c>
      <c r="E45" s="100" t="s">
        <v>75</v>
      </c>
    </row>
    <row r="46" spans="1:5" s="20" customFormat="1" ht="13.5" customHeight="1" x14ac:dyDescent="0.2">
      <c r="A46" s="101" t="s">
        <v>53</v>
      </c>
      <c r="B46" s="18">
        <v>2750</v>
      </c>
      <c r="C46" s="18">
        <v>2662</v>
      </c>
      <c r="D46" s="19">
        <f t="shared" si="0"/>
        <v>96.8</v>
      </c>
      <c r="E46" s="102" t="s">
        <v>76</v>
      </c>
    </row>
    <row r="47" spans="1:5" s="20" customFormat="1" ht="13.5" customHeight="1" x14ac:dyDescent="0.2">
      <c r="A47" s="97" t="s">
        <v>129</v>
      </c>
      <c r="B47" s="18">
        <v>3967</v>
      </c>
      <c r="C47" s="21">
        <v>3762</v>
      </c>
      <c r="D47" s="19">
        <f t="shared" si="0"/>
        <v>94.832367027980851</v>
      </c>
      <c r="E47" s="100" t="s">
        <v>78</v>
      </c>
    </row>
    <row r="48" spans="1:5" s="20" customFormat="1" ht="13.5" customHeight="1" x14ac:dyDescent="0.2">
      <c r="A48" s="97" t="s">
        <v>128</v>
      </c>
      <c r="B48" s="18">
        <v>1620</v>
      </c>
      <c r="C48" s="18">
        <v>1561</v>
      </c>
      <c r="D48" s="19">
        <f t="shared" si="0"/>
        <v>96.358024691358025</v>
      </c>
      <c r="E48" s="100" t="s">
        <v>79</v>
      </c>
    </row>
    <row r="49" spans="1:5" s="20" customFormat="1" ht="13.5" customHeight="1" x14ac:dyDescent="0.2">
      <c r="A49" s="103" t="s">
        <v>81</v>
      </c>
      <c r="B49" s="33">
        <v>5627</v>
      </c>
      <c r="C49" s="33">
        <v>5345</v>
      </c>
      <c r="D49" s="32">
        <f t="shared" si="0"/>
        <v>94.988448551626092</v>
      </c>
      <c r="E49" s="104" t="s">
        <v>80</v>
      </c>
    </row>
    <row r="50" spans="1:5" s="22" customFormat="1" ht="17.25" customHeight="1" x14ac:dyDescent="0.5">
      <c r="A50" s="41" t="s">
        <v>145</v>
      </c>
      <c r="B50" s="23">
        <f>SUM(B51:B56)</f>
        <v>43004</v>
      </c>
      <c r="C50" s="23">
        <f>SUM(C51:C56)</f>
        <v>37533</v>
      </c>
      <c r="D50" s="45">
        <f t="shared" si="0"/>
        <v>87.277927634638644</v>
      </c>
      <c r="E50" s="38" t="s">
        <v>99</v>
      </c>
    </row>
    <row r="51" spans="1:5" s="20" customFormat="1" ht="17.25" customHeight="1" x14ac:dyDescent="0.5">
      <c r="A51" s="20" t="s">
        <v>82</v>
      </c>
      <c r="B51" s="18">
        <v>9811</v>
      </c>
      <c r="C51" s="18">
        <v>8336</v>
      </c>
      <c r="D51" s="19">
        <f t="shared" si="0"/>
        <v>84.965854652940578</v>
      </c>
      <c r="E51" s="6" t="s">
        <v>88</v>
      </c>
    </row>
    <row r="52" spans="1:5" s="20" customFormat="1" ht="17.25" customHeight="1" x14ac:dyDescent="0.5">
      <c r="A52" s="20" t="s">
        <v>83</v>
      </c>
      <c r="B52" s="18">
        <v>6731</v>
      </c>
      <c r="C52" s="18">
        <v>5852</v>
      </c>
      <c r="D52" s="19">
        <f t="shared" si="0"/>
        <v>86.941019165057199</v>
      </c>
      <c r="E52" s="6" t="s">
        <v>89</v>
      </c>
    </row>
    <row r="53" spans="1:5" s="20" customFormat="1" ht="17.25" customHeight="1" x14ac:dyDescent="0.5">
      <c r="A53" s="20" t="s">
        <v>84</v>
      </c>
      <c r="B53" s="18">
        <v>6652</v>
      </c>
      <c r="C53" s="18">
        <v>5692</v>
      </c>
      <c r="D53" s="19">
        <f t="shared" si="0"/>
        <v>85.568250150330726</v>
      </c>
      <c r="E53" s="6" t="s">
        <v>90</v>
      </c>
    </row>
    <row r="54" spans="1:5" s="20" customFormat="1" ht="17.25" customHeight="1" x14ac:dyDescent="0.5">
      <c r="A54" s="20" t="s">
        <v>85</v>
      </c>
      <c r="B54" s="18">
        <v>13986</v>
      </c>
      <c r="C54" s="18">
        <v>12137</v>
      </c>
      <c r="D54" s="19">
        <f t="shared" si="0"/>
        <v>86.779636779636775</v>
      </c>
      <c r="E54" s="6" t="s">
        <v>91</v>
      </c>
    </row>
    <row r="55" spans="1:5" s="20" customFormat="1" ht="17.25" customHeight="1" x14ac:dyDescent="0.5">
      <c r="A55" s="20" t="s">
        <v>86</v>
      </c>
      <c r="B55" s="18">
        <v>2149</v>
      </c>
      <c r="C55" s="18">
        <v>2052</v>
      </c>
      <c r="D55" s="19">
        <f t="shared" si="0"/>
        <v>95.486272684969748</v>
      </c>
      <c r="E55" s="6" t="s">
        <v>92</v>
      </c>
    </row>
    <row r="56" spans="1:5" s="20" customFormat="1" ht="17.25" customHeight="1" x14ac:dyDescent="0.5">
      <c r="A56" s="34" t="s">
        <v>87</v>
      </c>
      <c r="B56" s="33">
        <v>3675</v>
      </c>
      <c r="C56" s="33">
        <v>3464</v>
      </c>
      <c r="D56" s="32">
        <f t="shared" si="0"/>
        <v>94.258503401360542</v>
      </c>
      <c r="E56" s="35" t="s">
        <v>93</v>
      </c>
    </row>
    <row r="57" spans="1:5" s="22" customFormat="1" ht="38.25" customHeight="1" x14ac:dyDescent="0.2">
      <c r="A57" s="42" t="s">
        <v>109</v>
      </c>
      <c r="B57" s="43">
        <f>SUM(B58:B60)</f>
        <v>893</v>
      </c>
      <c r="C57" s="43">
        <f>SUM(C58:C60)</f>
        <v>844</v>
      </c>
      <c r="D57" s="44">
        <f t="shared" si="0"/>
        <v>94.512877939529673</v>
      </c>
      <c r="E57" s="40" t="s">
        <v>100</v>
      </c>
    </row>
    <row r="58" spans="1:5" s="20" customFormat="1" ht="18" customHeight="1" x14ac:dyDescent="0.5">
      <c r="A58" s="20" t="s">
        <v>54</v>
      </c>
      <c r="B58" s="18">
        <v>650</v>
      </c>
      <c r="C58" s="18">
        <v>619</v>
      </c>
      <c r="D58" s="19">
        <f t="shared" si="0"/>
        <v>95.230769230769226</v>
      </c>
      <c r="E58" s="6" t="s">
        <v>67</v>
      </c>
    </row>
    <row r="59" spans="1:5" s="20" customFormat="1" ht="18" customHeight="1" x14ac:dyDescent="0.5">
      <c r="A59" s="20" t="s">
        <v>55</v>
      </c>
      <c r="B59" s="18">
        <v>141</v>
      </c>
      <c r="C59" s="18">
        <v>134</v>
      </c>
      <c r="D59" s="19">
        <f t="shared" si="0"/>
        <v>95.035460992907801</v>
      </c>
      <c r="E59" s="6" t="s">
        <v>75</v>
      </c>
    </row>
    <row r="60" spans="1:5" s="20" customFormat="1" ht="18" customHeight="1" x14ac:dyDescent="0.5">
      <c r="A60" s="84" t="s">
        <v>53</v>
      </c>
      <c r="B60" s="85">
        <v>102</v>
      </c>
      <c r="C60" s="85">
        <v>91</v>
      </c>
      <c r="D60" s="86">
        <f t="shared" si="0"/>
        <v>89.215686274509807</v>
      </c>
      <c r="E60" s="87" t="s">
        <v>76</v>
      </c>
    </row>
    <row r="61" spans="1:5" s="36" customFormat="1" ht="29.25" customHeight="1" x14ac:dyDescent="0.5">
      <c r="A61" s="39" t="s">
        <v>110</v>
      </c>
      <c r="B61" s="23">
        <f>SUM(B62:B72)</f>
        <v>6522</v>
      </c>
      <c r="C61" s="23">
        <f>SUM(C62:C72)</f>
        <v>6172</v>
      </c>
      <c r="D61" s="37">
        <f t="shared" si="0"/>
        <v>94.633547991413678</v>
      </c>
      <c r="E61" s="38" t="s">
        <v>101</v>
      </c>
    </row>
    <row r="62" spans="1:5" s="20" customFormat="1" ht="17.25" customHeight="1" x14ac:dyDescent="0.5">
      <c r="A62" s="60" t="s">
        <v>22</v>
      </c>
      <c r="B62" s="61">
        <v>173</v>
      </c>
      <c r="C62" s="18">
        <v>169</v>
      </c>
      <c r="D62" s="19">
        <f t="shared" si="0"/>
        <v>97.687861271676297</v>
      </c>
      <c r="E62" s="6" t="s">
        <v>60</v>
      </c>
    </row>
    <row r="63" spans="1:5" s="20" customFormat="1" ht="17.25" customHeight="1" x14ac:dyDescent="0.5">
      <c r="A63" s="60" t="s">
        <v>134</v>
      </c>
      <c r="B63" s="61">
        <v>103</v>
      </c>
      <c r="C63" s="18">
        <v>99</v>
      </c>
      <c r="D63" s="19">
        <f t="shared" si="0"/>
        <v>96.116504854368941</v>
      </c>
      <c r="E63" s="6" t="s">
        <v>62</v>
      </c>
    </row>
    <row r="64" spans="1:5" s="20" customFormat="1" ht="17.25" customHeight="1" x14ac:dyDescent="0.5">
      <c r="A64" s="60" t="s">
        <v>57</v>
      </c>
      <c r="B64" s="61">
        <v>418</v>
      </c>
      <c r="C64" s="18">
        <v>388</v>
      </c>
      <c r="D64" s="19">
        <f t="shared" si="0"/>
        <v>92.822966507177028</v>
      </c>
      <c r="E64" s="6" t="s">
        <v>63</v>
      </c>
    </row>
    <row r="65" spans="1:5" s="20" customFormat="1" ht="17.25" customHeight="1" x14ac:dyDescent="0.5">
      <c r="A65" s="60" t="s">
        <v>51</v>
      </c>
      <c r="B65" s="61">
        <v>502</v>
      </c>
      <c r="C65" s="18">
        <v>473</v>
      </c>
      <c r="D65" s="19">
        <f t="shared" si="0"/>
        <v>94.223107569721122</v>
      </c>
      <c r="E65" s="6" t="s">
        <v>65</v>
      </c>
    </row>
    <row r="66" spans="1:5" s="20" customFormat="1" ht="17.25" customHeight="1" x14ac:dyDescent="0.5">
      <c r="A66" s="60" t="s">
        <v>133</v>
      </c>
      <c r="B66" s="61">
        <v>346</v>
      </c>
      <c r="C66" s="18">
        <v>333</v>
      </c>
      <c r="D66" s="19">
        <f t="shared" si="0"/>
        <v>96.242774566473983</v>
      </c>
      <c r="E66" s="6" t="s">
        <v>66</v>
      </c>
    </row>
    <row r="67" spans="1:5" s="20" customFormat="1" ht="17.25" customHeight="1" x14ac:dyDescent="0.5">
      <c r="A67" s="60" t="s">
        <v>54</v>
      </c>
      <c r="B67" s="61">
        <v>3031</v>
      </c>
      <c r="C67" s="18">
        <v>2867</v>
      </c>
      <c r="D67" s="19">
        <f t="shared" si="0"/>
        <v>94.589244473771032</v>
      </c>
      <c r="E67" s="6" t="s">
        <v>67</v>
      </c>
    </row>
    <row r="68" spans="1:5" s="20" customFormat="1" ht="17.25" customHeight="1" x14ac:dyDescent="0.5">
      <c r="A68" s="60" t="s">
        <v>50</v>
      </c>
      <c r="B68" s="61">
        <v>605</v>
      </c>
      <c r="C68" s="18">
        <v>575</v>
      </c>
      <c r="D68" s="19">
        <f t="shared" si="0"/>
        <v>95.041322314049594</v>
      </c>
      <c r="E68" s="6" t="s">
        <v>68</v>
      </c>
    </row>
    <row r="69" spans="1:5" s="20" customFormat="1" ht="17.25" customHeight="1" x14ac:dyDescent="0.5">
      <c r="A69" s="60" t="s">
        <v>132</v>
      </c>
      <c r="B69" s="61">
        <v>917</v>
      </c>
      <c r="C69" s="18">
        <v>868</v>
      </c>
      <c r="D69" s="19">
        <f t="shared" si="0"/>
        <v>94.656488549618317</v>
      </c>
      <c r="E69" s="6" t="s">
        <v>69</v>
      </c>
    </row>
    <row r="70" spans="1:5" s="20" customFormat="1" ht="17.25" customHeight="1" x14ac:dyDescent="0.5">
      <c r="A70" s="60" t="s">
        <v>52</v>
      </c>
      <c r="B70" s="61" t="s">
        <v>164</v>
      </c>
      <c r="C70" s="18" t="s">
        <v>164</v>
      </c>
      <c r="D70" s="19"/>
      <c r="E70" s="6" t="s">
        <v>72</v>
      </c>
    </row>
    <row r="71" spans="1:5" s="20" customFormat="1" ht="17.25" customHeight="1" x14ac:dyDescent="0.5">
      <c r="A71" s="60" t="s">
        <v>130</v>
      </c>
      <c r="B71" s="61">
        <v>100</v>
      </c>
      <c r="C71" s="18">
        <v>93</v>
      </c>
      <c r="D71" s="19">
        <f t="shared" ref="D71:D78" si="1">C71/B71*100</f>
        <v>93</v>
      </c>
      <c r="E71" s="6" t="s">
        <v>73</v>
      </c>
    </row>
    <row r="72" spans="1:5" s="20" customFormat="1" ht="17.25" customHeight="1" x14ac:dyDescent="0.5">
      <c r="A72" s="88" t="s">
        <v>53</v>
      </c>
      <c r="B72" s="89">
        <v>327</v>
      </c>
      <c r="C72" s="85">
        <v>307</v>
      </c>
      <c r="D72" s="86">
        <f t="shared" si="1"/>
        <v>93.883792048929664</v>
      </c>
      <c r="E72" s="87" t="s">
        <v>76</v>
      </c>
    </row>
    <row r="73" spans="1:5" s="11" customFormat="1" ht="37.5" customHeight="1" x14ac:dyDescent="0.2">
      <c r="A73" s="39" t="s">
        <v>111</v>
      </c>
      <c r="B73" s="23">
        <f>SUM(B74:B78)</f>
        <v>6348</v>
      </c>
      <c r="C73" s="23">
        <f>SUM(C74:C78)</f>
        <v>5378</v>
      </c>
      <c r="D73" s="37">
        <f t="shared" si="1"/>
        <v>84.71959672337745</v>
      </c>
      <c r="E73" s="40" t="s">
        <v>94</v>
      </c>
    </row>
    <row r="74" spans="1:5" s="20" customFormat="1" ht="17.25" customHeight="1" x14ac:dyDescent="0.5">
      <c r="A74" s="20" t="s">
        <v>95</v>
      </c>
      <c r="B74" s="18">
        <v>2690</v>
      </c>
      <c r="C74" s="18">
        <v>2430</v>
      </c>
      <c r="D74" s="19">
        <f t="shared" si="1"/>
        <v>90.334572490706321</v>
      </c>
      <c r="E74" s="6" t="s">
        <v>103</v>
      </c>
    </row>
    <row r="75" spans="1:5" s="20" customFormat="1" ht="17.25" customHeight="1" x14ac:dyDescent="0.5">
      <c r="A75" s="20" t="s">
        <v>96</v>
      </c>
      <c r="B75" s="18">
        <v>1428</v>
      </c>
      <c r="C75" s="18">
        <v>1224</v>
      </c>
      <c r="D75" s="19">
        <f t="shared" si="1"/>
        <v>85.714285714285708</v>
      </c>
      <c r="E75" s="6" t="s">
        <v>104</v>
      </c>
    </row>
    <row r="76" spans="1:5" s="20" customFormat="1" ht="17.25" customHeight="1" x14ac:dyDescent="0.5">
      <c r="A76" s="20" t="s">
        <v>97</v>
      </c>
      <c r="B76" s="18">
        <v>190</v>
      </c>
      <c r="C76" s="18">
        <v>177</v>
      </c>
      <c r="D76" s="19">
        <f t="shared" si="1"/>
        <v>93.15789473684211</v>
      </c>
      <c r="E76" s="6" t="s">
        <v>105</v>
      </c>
    </row>
    <row r="77" spans="1:5" s="20" customFormat="1" ht="17.25" customHeight="1" x14ac:dyDescent="0.5">
      <c r="A77" s="20" t="s">
        <v>169</v>
      </c>
      <c r="B77" s="18">
        <v>1698</v>
      </c>
      <c r="C77" s="18">
        <v>1315</v>
      </c>
      <c r="D77" s="19">
        <f t="shared" si="1"/>
        <v>77.444051825677263</v>
      </c>
      <c r="E77" s="6" t="s">
        <v>106</v>
      </c>
    </row>
    <row r="78" spans="1:5" s="20" customFormat="1" ht="17.25" customHeight="1" x14ac:dyDescent="0.5">
      <c r="A78" s="27" t="s">
        <v>102</v>
      </c>
      <c r="B78" s="28">
        <v>342</v>
      </c>
      <c r="C78" s="28">
        <v>232</v>
      </c>
      <c r="D78" s="29">
        <f t="shared" si="1"/>
        <v>67.836257309941516</v>
      </c>
      <c r="E78" s="30" t="s">
        <v>107</v>
      </c>
    </row>
    <row r="79" spans="1:5" s="53" customFormat="1" ht="15.75" customHeight="1" x14ac:dyDescent="0.2">
      <c r="A79" s="150" t="s">
        <v>155</v>
      </c>
      <c r="B79" s="150"/>
      <c r="C79" s="150"/>
      <c r="D79" s="150"/>
      <c r="E79" s="150"/>
    </row>
    <row r="80" spans="1:5" s="53" customFormat="1" ht="12.75" customHeight="1" x14ac:dyDescent="0.2">
      <c r="A80" s="149" t="s">
        <v>156</v>
      </c>
      <c r="B80" s="149"/>
      <c r="C80" s="149"/>
      <c r="D80" s="149"/>
      <c r="E80" s="149"/>
    </row>
    <row r="81" spans="1:5" s="53" customFormat="1" ht="12.75" customHeight="1" x14ac:dyDescent="0.2">
      <c r="A81" s="72" t="s">
        <v>170</v>
      </c>
      <c r="B81" s="72"/>
      <c r="C81" s="72"/>
      <c r="D81" s="72"/>
      <c r="E81" s="72"/>
    </row>
    <row r="82" spans="1:5" s="53" customFormat="1" ht="12.75" customHeight="1" x14ac:dyDescent="0.2">
      <c r="A82" s="49" t="s">
        <v>24</v>
      </c>
      <c r="B82" s="50"/>
      <c r="C82" s="50"/>
      <c r="D82" s="68"/>
    </row>
    <row r="83" spans="1:5" s="53" customFormat="1" ht="15.75" customHeight="1" x14ac:dyDescent="0.2">
      <c r="A83" s="147" t="s">
        <v>157</v>
      </c>
      <c r="B83" s="147"/>
      <c r="C83" s="147"/>
      <c r="D83" s="147"/>
      <c r="E83" s="147"/>
    </row>
    <row r="84" spans="1:5" s="53" customFormat="1" ht="15.75" customHeight="1" x14ac:dyDescent="0.2">
      <c r="A84" s="147" t="s">
        <v>158</v>
      </c>
      <c r="B84" s="147"/>
      <c r="C84" s="147"/>
      <c r="D84" s="147"/>
      <c r="E84" s="147"/>
    </row>
    <row r="85" spans="1:5" s="53" customFormat="1" ht="15.75" customHeight="1" x14ac:dyDescent="0.2">
      <c r="A85" s="148" t="s">
        <v>171</v>
      </c>
      <c r="B85" s="148"/>
      <c r="C85" s="148"/>
      <c r="D85" s="148"/>
      <c r="E85" s="148"/>
    </row>
    <row r="86" spans="1:5" s="53" customFormat="1" ht="15.75" customHeight="1" x14ac:dyDescent="0.45">
      <c r="B86" s="50"/>
      <c r="C86" s="50"/>
      <c r="D86" s="51"/>
      <c r="E86" s="52" t="s">
        <v>25</v>
      </c>
    </row>
    <row r="87" spans="1:5" s="53" customFormat="1" ht="12" x14ac:dyDescent="0.2">
      <c r="B87" s="50"/>
      <c r="C87" s="50"/>
      <c r="D87" s="68"/>
    </row>
    <row r="88" spans="1:5" s="20" customFormat="1" ht="12.75" x14ac:dyDescent="0.2">
      <c r="B88" s="18"/>
      <c r="C88" s="18"/>
      <c r="D88" s="24"/>
    </row>
    <row r="89" spans="1:5" s="20" customFormat="1" ht="12.75" x14ac:dyDescent="0.2">
      <c r="B89" s="18"/>
      <c r="C89" s="18"/>
      <c r="D89" s="24"/>
    </row>
    <row r="90" spans="1:5" x14ac:dyDescent="0.25">
      <c r="B90" s="16"/>
      <c r="C90" s="16"/>
      <c r="D90" s="77"/>
    </row>
    <row r="91" spans="1:5" x14ac:dyDescent="0.25">
      <c r="B91" s="16"/>
      <c r="C91" s="16"/>
      <c r="D91" s="77"/>
    </row>
    <row r="92" spans="1:5" x14ac:dyDescent="0.25">
      <c r="B92" s="16"/>
      <c r="C92" s="16"/>
      <c r="D92" s="77"/>
    </row>
    <row r="93" spans="1:5" x14ac:dyDescent="0.25">
      <c r="B93" s="16"/>
      <c r="C93" s="16"/>
      <c r="D93" s="77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20.1 </vt:lpstr>
      <vt:lpstr>20.3</vt:lpstr>
      <vt:lpstr>20.4</vt:lpstr>
      <vt:lpstr>'20.1 '!Print_Area</vt:lpstr>
      <vt:lpstr>'20.4'!Print_Area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2016-02-24T08:58:06Z</cp:lastPrinted>
  <dcterms:created xsi:type="dcterms:W3CDTF">2013-02-14T16:19:10Z</dcterms:created>
  <dcterms:modified xsi:type="dcterms:W3CDTF">2016-02-24T08:58:09Z</dcterms:modified>
</cp:coreProperties>
</file>