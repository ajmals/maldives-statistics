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5" sheetId="15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'14.5'!$A$1:$Z$34</definedName>
  </definedNames>
  <calcPr calcId="145621"/>
</workbook>
</file>

<file path=xl/calcChain.xml><?xml version="1.0" encoding="utf-8"?>
<calcChain xmlns="http://schemas.openxmlformats.org/spreadsheetml/2006/main">
  <c r="W29" i="15" l="1"/>
  <c r="V29" i="15"/>
  <c r="U29" i="15"/>
  <c r="T29" i="15"/>
  <c r="W28" i="15"/>
  <c r="V28" i="15"/>
  <c r="U28" i="15"/>
  <c r="T28" i="15"/>
  <c r="R29" i="15"/>
  <c r="K29" i="15"/>
  <c r="L29" i="15"/>
  <c r="M29" i="15"/>
  <c r="O29" i="15"/>
  <c r="P29" i="15"/>
  <c r="Q29" i="15"/>
  <c r="J29" i="15"/>
  <c r="K28" i="15"/>
  <c r="L28" i="15"/>
  <c r="M28" i="15"/>
  <c r="O28" i="15"/>
  <c r="P28" i="15"/>
  <c r="Q28" i="15"/>
  <c r="R28" i="15"/>
  <c r="J28" i="15"/>
</calcChain>
</file>

<file path=xl/sharedStrings.xml><?xml version="1.0" encoding="utf-8"?>
<sst xmlns="http://schemas.openxmlformats.org/spreadsheetml/2006/main" count="105" uniqueCount="70">
  <si>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</si>
  <si>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</si>
  <si>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</si>
  <si>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</si>
  <si>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</si>
  <si>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</si>
  <si>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</si>
  <si>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</si>
  <si>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</si>
  <si>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</si>
  <si>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</si>
  <si>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</si>
  <si>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</si>
  <si>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ރާއްޖެއިން ދޫކުރެވުނު ދަރަނި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</si>
  <si>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</si>
  <si>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</si>
  <si>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</si>
  <si>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</si>
  <si>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</si>
  <si>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Loans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</si>
  <si>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</si>
  <si>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</si>
  <si>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</si>
  <si>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</si>
  <si>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</si>
  <si>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</si>
  <si>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</si>
  <si>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</si>
  <si>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</si>
  <si>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</si>
  <si>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</si>
  <si>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</si>
  <si>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</si>
  <si>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</si>
  <si>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ސެންޓްރަލް ބޭންކުން ލިބެންވާ</t>
  </si>
  <si>
    <t xml:space="preserve"> ޑިޕޮސިޓް</t>
  </si>
  <si>
    <t xml:space="preserve"> އެހެނިހެން މާލީދާއިރާގެ ކުންފުނިތަކުން</t>
  </si>
  <si>
    <t>Claims on central government</t>
  </si>
  <si>
    <t>Liabilities to central government</t>
  </si>
  <si>
    <t>Securities other than shares</t>
  </si>
  <si>
    <t>/1</t>
  </si>
  <si>
    <t>ITirOtoa IrwTinwm cscviDclOm :ctWrwf ivcaedutWmUluAwm</t>
  </si>
  <si>
    <t>Deposits</t>
  </si>
  <si>
    <t>ނޯޓް:</t>
  </si>
  <si>
    <t>NOTE:</t>
  </si>
  <si>
    <t/>
  </si>
  <si>
    <t>ލޯން</t>
  </si>
  <si>
    <t>ޓެކްނިކަލް ރިޒަރވް</t>
  </si>
  <si>
    <t>ވިޔަފާރި ބޭންކްތަކުން ލިބެންވާ</t>
  </si>
  <si>
    <t>މާލީ ދާއިރާގެ ބޭރުގައި ހުރި ފައިސާ</t>
  </si>
  <si>
    <t xml:space="preserve"> ސެކިޔުރިޓީސް ( ހިއްސާ ނުހިމަނައި)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</si>
  <si>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</si>
  <si>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މިއުލޫމާތު ދެއްވި ފަރާތް: މޯލްޑިވްސް މަނިޓަރީ އޮތޯރިޓީ</t>
  </si>
  <si>
    <t>Insurance technical reserves</t>
  </si>
  <si>
    <t>Shares and other equity</t>
  </si>
  <si>
    <t>Central bank</t>
  </si>
  <si>
    <t>Other depository corporations</t>
  </si>
  <si>
    <t>Other financial corporations</t>
  </si>
  <si>
    <t xml:space="preserve">Net claims on central government </t>
  </si>
  <si>
    <t>Claims on public nonfinancial corporations</t>
  </si>
  <si>
    <t>Claims on private sector</t>
  </si>
  <si>
    <t>Currency outside financial corporations</t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</si>
  <si>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</si>
  <si>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</si>
  <si>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</si>
  <si>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>1_/ :  2011 , 2012 and 2013 revised</t>
  </si>
  <si>
    <r>
      <t>2011</t>
    </r>
    <r>
      <rPr>
        <b/>
        <vertAlign val="superscript"/>
        <sz val="10"/>
        <rFont val="Arial"/>
        <family val="2"/>
      </rPr>
      <t>1_/</t>
    </r>
  </si>
  <si>
    <t>ތާވަލު 14.5: މާލީދާއިރާގެ ކުންފުނިތަކުގެ ސަރވޭ 2011- 2014</t>
  </si>
  <si>
    <t>Table 14.5: FINANCIAL CORPORATIONS SURVEY, 2011 - 2014</t>
  </si>
  <si>
    <t xml:space="preserve"> 2011 2012, އަދި 2013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</si>
</sst>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17" fontId="4" fillId="0" borderId="0" applyFont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1" fontId="4" fillId="0" borderId="0" applyFill="0" applyBorder="0" applyAlignment="0"/>
    <xf numFmtId="0" fontId="39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17" fontId="4" fillId="0" borderId="0" applyFont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14" fontId="42" fillId="0" borderId="0" applyFill="0" applyBorder="0" applyAlignment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171" fontId="4" fillId="0" borderId="0" applyFill="0" applyBorder="0" applyAlignment="0"/>
    <xf numFmtId="0" fontId="39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38" fontId="33" fillId="19" borderId="0" applyNumberFormat="0" applyBorder="0" applyAlignment="0" applyProtection="0"/>
    <xf numFmtId="0" fontId="45" fillId="0" borderId="21" applyNumberFormat="0" applyAlignment="0" applyProtection="0">
      <alignment horizontal="left" vertical="center"/>
    </xf>
    <xf numFmtId="0" fontId="45" fillId="0" borderId="18">
      <alignment horizontal="left" vertical="center"/>
    </xf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0" fontId="33" fillId="20" borderId="25" applyNumberFormat="0" applyBorder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171" fontId="4" fillId="0" borderId="0" applyFill="0" applyBorder="0" applyAlignment="0"/>
    <xf numFmtId="0" fontId="39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177" fontId="51" fillId="0" borderId="0" applyFont="0" applyFill="0" applyBorder="0" applyAlignment="0" applyProtection="0"/>
    <xf numFmtId="178" fontId="51" fillId="0" borderId="0" applyFont="0" applyFill="0" applyBorder="0" applyAlignment="0" applyProtection="0"/>
    <xf numFmtId="42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9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9" fillId="0" borderId="0" applyFill="0" applyBorder="0" applyAlignment="0"/>
    <xf numFmtId="0" fontId="54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2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111">
    <xf numFmtId="0" fontId="0" fillId="0" borderId="0" xfId="0"/>
    <xf numFmtId="0" fontId="25" fillId="0" borderId="0" xfId="0" applyFont="1" applyFill="1" applyBorder="1" applyAlignment="1">
      <alignment horizontal="center"/>
    </xf>
    <xf numFmtId="0" fontId="25" fillId="0" borderId="0" xfId="0" applyFont="1" applyFill="1"/>
    <xf numFmtId="0" fontId="34" fillId="0" borderId="0" xfId="0" applyFont="1" applyFill="1" applyBorder="1"/>
    <xf numFmtId="43" fontId="34" fillId="0" borderId="0" xfId="1" applyFont="1" applyFill="1" applyBorder="1"/>
    <xf numFmtId="43" fontId="16" fillId="0" borderId="0" xfId="1" applyFont="1" applyFill="1" applyBorder="1"/>
    <xf numFmtId="43" fontId="18" fillId="0" borderId="0" xfId="1" applyFont="1" applyFill="1" applyBorder="1"/>
    <xf numFmtId="43" fontId="18" fillId="0" borderId="0" xfId="1" applyFont="1" applyFill="1" applyBorder="1" applyAlignment="1">
      <alignment horizontal="left" indent="1"/>
    </xf>
    <xf numFmtId="43" fontId="18" fillId="0" borderId="0" xfId="1" applyFont="1" applyFill="1" applyBorder="1" applyAlignment="1">
      <alignment horizontal="center" vertical="center"/>
    </xf>
    <xf numFmtId="43" fontId="18" fillId="0" borderId="0" xfId="1" applyFont="1" applyFill="1"/>
    <xf numFmtId="43" fontId="16" fillId="0" borderId="0" xfId="1" applyFont="1" applyFill="1" applyBorder="1" applyAlignment="1">
      <alignment horizontal="left"/>
    </xf>
    <xf numFmtId="43" fontId="16" fillId="0" borderId="0" xfId="1" applyFont="1" applyFill="1" applyBorder="1" applyAlignment="1">
      <alignment vertical="center"/>
    </xf>
    <xf numFmtId="43" fontId="16" fillId="0" borderId="0" xfId="1" applyFont="1" applyFill="1"/>
    <xf numFmtId="43" fontId="18" fillId="0" borderId="0" xfId="1" applyFont="1" applyFill="1" applyBorder="1" applyAlignment="1">
      <alignment horizontal="left"/>
    </xf>
    <xf numFmtId="43" fontId="18" fillId="0" borderId="0" xfId="1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0" fillId="0" borderId="5" xfId="0" applyFill="1" applyBorder="1"/>
    <xf numFmtId="0" fontId="0" fillId="0" borderId="9" xfId="0" applyFill="1" applyBorder="1"/>
    <xf numFmtId="166" fontId="16" fillId="0" borderId="0" xfId="1" applyNumberFormat="1" applyFont="1" applyFill="1" applyBorder="1" applyAlignment="1">
      <alignment vertical="center"/>
    </xf>
    <xf numFmtId="166" fontId="18" fillId="0" borderId="0" xfId="1" applyNumberFormat="1" applyFont="1" applyFill="1" applyBorder="1" applyAlignment="1">
      <alignment vertical="center"/>
    </xf>
    <xf numFmtId="0" fontId="16" fillId="0" borderId="1" xfId="0" applyFont="1" applyFill="1" applyBorder="1"/>
    <xf numFmtId="0" fontId="16" fillId="0" borderId="1" xfId="0" applyFont="1" applyFill="1" applyBorder="1" applyAlignment="1">
      <alignment horizontal="left"/>
    </xf>
    <xf numFmtId="2" fontId="16" fillId="0" borderId="1" xfId="0" applyNumberFormat="1" applyFont="1" applyFill="1" applyBorder="1" applyAlignment="1">
      <alignment vertical="center"/>
    </xf>
    <xf numFmtId="43" fontId="16" fillId="0" borderId="1" xfId="1" applyFont="1" applyFill="1" applyBorder="1"/>
    <xf numFmtId="43" fontId="16" fillId="0" borderId="1" xfId="1" applyFont="1" applyFill="1" applyBorder="1" applyAlignment="1">
      <alignment horizontal="left"/>
    </xf>
    <xf numFmtId="43" fontId="16" fillId="0" borderId="1" xfId="1" applyFont="1" applyFill="1" applyBorder="1" applyAlignment="1">
      <alignment vertical="center"/>
    </xf>
    <xf numFmtId="166" fontId="16" fillId="0" borderId="1" xfId="1" applyNumberFormat="1" applyFont="1" applyFill="1" applyBorder="1" applyAlignment="1">
      <alignment vertical="center"/>
    </xf>
    <xf numFmtId="43" fontId="26" fillId="0" borderId="1" xfId="1" applyFont="1" applyFill="1" applyBorder="1" applyAlignment="1">
      <alignment vertical="center"/>
    </xf>
    <xf numFmtId="43" fontId="34" fillId="0" borderId="1" xfId="1" applyFont="1" applyFill="1" applyBorder="1"/>
    <xf numFmtId="0" fontId="57" fillId="0" borderId="0" xfId="0" applyFont="1" applyFill="1" applyBorder="1"/>
    <xf numFmtId="0" fontId="7" fillId="0" borderId="1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0" xfId="3" applyNumberFormat="1" applyFont="1" applyFill="1" applyBorder="1" applyAlignment="1">
      <alignment horizontal="right"/>
    </xf>
    <xf numFmtId="164" fontId="6" fillId="0" borderId="4" xfId="3" applyNumberFormat="1" applyFont="1" applyFill="1" applyBorder="1" applyAlignment="1">
      <alignment horizontal="right"/>
    </xf>
    <xf numFmtId="0" fontId="27" fillId="0" borderId="1" xfId="0" applyFont="1" applyFill="1" applyBorder="1" applyAlignment="1">
      <alignment horizontal="right"/>
    </xf>
    <xf numFmtId="164" fontId="11" fillId="0" borderId="0" xfId="3" applyNumberFormat="1" applyFont="1" applyFill="1" applyAlignment="1">
      <alignment horizontal="right" vertical="center"/>
    </xf>
    <xf numFmtId="0" fontId="19" fillId="0" borderId="0" xfId="0" applyFont="1" applyFill="1" applyAlignment="1">
      <alignment horizontal="right"/>
    </xf>
    <xf numFmtId="164" fontId="10" fillId="0" borderId="0" xfId="3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right"/>
    </xf>
    <xf numFmtId="166" fontId="11" fillId="0" borderId="0" xfId="1" applyNumberFormat="1" applyFont="1" applyFill="1" applyBorder="1" applyAlignment="1">
      <alignment horizontal="right" vertical="center"/>
    </xf>
    <xf numFmtId="0" fontId="28" fillId="0" borderId="0" xfId="0" applyFont="1" applyFill="1" applyAlignment="1">
      <alignment horizontal="right" vertical="center"/>
    </xf>
    <xf numFmtId="164" fontId="10" fillId="0" borderId="0" xfId="3" applyNumberFormat="1" applyFont="1" applyFill="1" applyBorder="1" applyAlignment="1">
      <alignment horizontal="right" vertical="center"/>
    </xf>
    <xf numFmtId="164" fontId="10" fillId="0" borderId="1" xfId="3" applyNumberFormat="1" applyFont="1" applyFill="1" applyBorder="1" applyAlignment="1">
      <alignment horizontal="right" vertical="center"/>
    </xf>
    <xf numFmtId="166" fontId="10" fillId="0" borderId="0" xfId="3" applyNumberFormat="1" applyFont="1" applyFill="1" applyBorder="1" applyAlignment="1">
      <alignment horizontal="right" vertical="center"/>
    </xf>
    <xf numFmtId="0" fontId="23" fillId="0" borderId="0" xfId="0" applyFont="1" applyFill="1" applyBorder="1" applyAlignment="1" applyProtection="1">
      <alignment horizontal="left"/>
    </xf>
    <xf numFmtId="164" fontId="9" fillId="0" borderId="0" xfId="3" applyNumberFormat="1" applyFont="1" applyFill="1" applyAlignment="1">
      <alignment vertical="center"/>
    </xf>
    <xf numFmtId="164" fontId="32" fillId="0" borderId="0" xfId="3" applyNumberFormat="1" applyFont="1" applyFill="1" applyAlignment="1">
      <alignment horizontal="right" vertical="center"/>
    </xf>
    <xf numFmtId="164" fontId="19" fillId="0" borderId="0" xfId="3" applyNumberFormat="1" applyFont="1" applyFill="1" applyBorder="1" applyAlignment="1">
      <alignment vertical="center"/>
    </xf>
    <xf numFmtId="164" fontId="24" fillId="0" borderId="0" xfId="3" applyNumberFormat="1" applyFont="1" applyFill="1" applyAlignment="1">
      <alignment horizontal="left" vertical="center" indent="2"/>
    </xf>
    <xf numFmtId="165" fontId="16" fillId="0" borderId="0" xfId="0" applyNumberFormat="1" applyFont="1" applyFill="1" applyAlignment="1">
      <alignment vertical="center"/>
    </xf>
    <xf numFmtId="166" fontId="6" fillId="0" borderId="0" xfId="1" applyNumberFormat="1" applyFont="1" applyFill="1" applyAlignment="1"/>
    <xf numFmtId="166" fontId="10" fillId="0" borderId="0" xfId="1" applyNumberFormat="1" applyFont="1" applyFill="1" applyAlignment="1"/>
    <xf numFmtId="164" fontId="12" fillId="0" borderId="0" xfId="3" applyNumberFormat="1" applyFont="1" applyFill="1" applyAlignment="1">
      <alignment horizontal="right" vertical="center"/>
    </xf>
    <xf numFmtId="166" fontId="19" fillId="0" borderId="0" xfId="0" applyNumberFormat="1" applyFont="1" applyFill="1" applyBorder="1" applyAlignment="1"/>
    <xf numFmtId="164" fontId="11" fillId="0" borderId="0" xfId="3" applyNumberFormat="1" applyFont="1" applyFill="1" applyAlignment="1">
      <alignment horizontal="right"/>
    </xf>
    <xf numFmtId="166" fontId="10" fillId="0" borderId="0" xfId="3" applyNumberFormat="1" applyFont="1" applyFill="1" applyBorder="1" applyAlignment="1">
      <alignment vertical="center"/>
    </xf>
    <xf numFmtId="0" fontId="11" fillId="0" borderId="0" xfId="0" applyFont="1" applyFill="1"/>
    <xf numFmtId="166" fontId="19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right"/>
    </xf>
    <xf numFmtId="166" fontId="19" fillId="0" borderId="0" xfId="0" applyNumberFormat="1" applyFont="1" applyFill="1" applyAlignment="1"/>
    <xf numFmtId="0" fontId="19" fillId="0" borderId="0" xfId="0" applyFont="1" applyFill="1"/>
    <xf numFmtId="166" fontId="11" fillId="0" borderId="0" xfId="3" applyNumberFormat="1" applyFont="1" applyFill="1" applyBorder="1" applyAlignment="1">
      <alignment vertical="center"/>
    </xf>
    <xf numFmtId="166" fontId="6" fillId="0" borderId="0" xfId="1" applyNumberFormat="1" applyFont="1" applyFill="1" applyBorder="1" applyAlignment="1"/>
    <xf numFmtId="166" fontId="19" fillId="0" borderId="0" xfId="1" applyNumberFormat="1" applyFont="1" applyFill="1" applyBorder="1" applyAlignment="1"/>
    <xf numFmtId="0" fontId="10" fillId="0" borderId="0" xfId="0" applyFont="1" applyFill="1" applyAlignment="1">
      <alignment horizontal="right"/>
    </xf>
    <xf numFmtId="0" fontId="29" fillId="0" borderId="0" xfId="0" applyFont="1" applyFill="1" applyAlignment="1">
      <alignment horizontal="right" vertical="center"/>
    </xf>
    <xf numFmtId="166" fontId="11" fillId="0" borderId="0" xfId="0" applyNumberFormat="1" applyFont="1" applyFill="1" applyAlignment="1"/>
    <xf numFmtId="167" fontId="20" fillId="0" borderId="0" xfId="1" applyNumberFormat="1" applyFont="1" applyFill="1" applyBorder="1" applyAlignment="1" applyProtection="1">
      <alignment vertical="center"/>
    </xf>
    <xf numFmtId="164" fontId="7" fillId="0" borderId="1" xfId="3" applyNumberFormat="1" applyFont="1" applyFill="1" applyBorder="1" applyAlignment="1" applyProtection="1">
      <alignment horizontal="right" vertical="center"/>
    </xf>
    <xf numFmtId="164" fontId="17" fillId="0" borderId="0" xfId="3" applyNumberFormat="1" applyFont="1" applyFill="1" applyAlignment="1">
      <alignment horizontal="right" vertical="center"/>
    </xf>
    <xf numFmtId="166" fontId="16" fillId="0" borderId="0" xfId="3" applyNumberFormat="1" applyFont="1" applyFill="1" applyAlignment="1">
      <alignment vertical="center"/>
    </xf>
    <xf numFmtId="166" fontId="16" fillId="0" borderId="1" xfId="3" applyNumberFormat="1" applyFont="1" applyFill="1" applyBorder="1" applyAlignment="1">
      <alignment vertical="center"/>
    </xf>
    <xf numFmtId="164" fontId="18" fillId="0" borderId="0" xfId="3" applyNumberFormat="1" applyFont="1" applyFill="1" applyAlignment="1">
      <alignment vertical="center"/>
    </xf>
    <xf numFmtId="9" fontId="18" fillId="0" borderId="0" xfId="2" applyFont="1" applyFill="1" applyAlignment="1">
      <alignment vertical="center"/>
    </xf>
    <xf numFmtId="164" fontId="21" fillId="0" borderId="0" xfId="3" applyNumberFormat="1" applyFont="1" applyFill="1" applyAlignment="1">
      <alignment horizontal="right" vertical="center"/>
    </xf>
    <xf numFmtId="164" fontId="22" fillId="0" borderId="0" xfId="3" applyNumberFormat="1" applyFont="1" applyFill="1" applyAlignment="1">
      <alignment vertical="center"/>
    </xf>
    <xf numFmtId="0" fontId="8" fillId="0" borderId="15" xfId="0" applyFont="1" applyFill="1" applyBorder="1"/>
    <xf numFmtId="0" fontId="7" fillId="0" borderId="15" xfId="0" applyFont="1" applyFill="1" applyBorder="1" applyAlignment="1">
      <alignment horizontal="center" vertical="center"/>
    </xf>
    <xf numFmtId="165" fontId="7" fillId="0" borderId="5" xfId="0" applyNumberFormat="1" applyFont="1" applyFill="1" applyBorder="1" applyAlignment="1">
      <alignment vertical="center"/>
    </xf>
    <xf numFmtId="164" fontId="6" fillId="0" borderId="5" xfId="3" applyNumberFormat="1" applyFont="1" applyFill="1" applyBorder="1" applyAlignment="1">
      <alignment horizontal="right"/>
    </xf>
    <xf numFmtId="164" fontId="6" fillId="0" borderId="9" xfId="3" applyNumberFormat="1" applyFont="1" applyFill="1" applyBorder="1" applyAlignment="1">
      <alignment horizontal="right"/>
    </xf>
    <xf numFmtId="0" fontId="9" fillId="0" borderId="17" xfId="0" applyFont="1" applyFill="1" applyBorder="1" applyAlignment="1">
      <alignment horizontal="right"/>
    </xf>
    <xf numFmtId="43" fontId="7" fillId="0" borderId="17" xfId="1" applyFont="1" applyFill="1" applyBorder="1" applyAlignment="1">
      <alignment horizontal="right"/>
    </xf>
    <xf numFmtId="166" fontId="6" fillId="0" borderId="0" xfId="0" applyNumberFormat="1" applyFont="1" applyFill="1" applyBorder="1" applyAlignment="1"/>
    <xf numFmtId="164" fontId="10" fillId="0" borderId="0" xfId="3" applyNumberFormat="1" applyFont="1" applyFill="1" applyAlignment="1">
      <alignment horizontal="right"/>
    </xf>
    <xf numFmtId="166" fontId="10" fillId="0" borderId="0" xfId="1" applyNumberFormat="1" applyFont="1" applyFill="1" applyBorder="1" applyAlignment="1">
      <alignment horizontal="right" vertical="center"/>
    </xf>
    <xf numFmtId="166" fontId="10" fillId="0" borderId="0" xfId="0" applyNumberFormat="1" applyFont="1" applyFill="1" applyAlignment="1">
      <alignment horizontal="right"/>
    </xf>
    <xf numFmtId="164" fontId="10" fillId="0" borderId="5" xfId="3" applyNumberFormat="1" applyFont="1" applyFill="1" applyBorder="1" applyAlignment="1">
      <alignment horizontal="right" vertical="center"/>
    </xf>
    <xf numFmtId="0" fontId="10" fillId="0" borderId="0" xfId="0" applyFont="1" applyFill="1"/>
    <xf numFmtId="0" fontId="19" fillId="0" borderId="5" xfId="0" applyFont="1" applyFill="1" applyBorder="1"/>
    <xf numFmtId="0" fontId="30" fillId="0" borderId="9" xfId="0" applyFont="1" applyFill="1" applyBorder="1"/>
    <xf numFmtId="0" fontId="19" fillId="0" borderId="9" xfId="0" applyFont="1" applyFill="1" applyBorder="1"/>
    <xf numFmtId="164" fontId="11" fillId="0" borderId="10" xfId="3" applyNumberFormat="1" applyFont="1" applyFill="1" applyBorder="1" applyAlignment="1">
      <alignment vertical="center" wrapText="1"/>
    </xf>
    <xf numFmtId="164" fontId="11" fillId="0" borderId="11" xfId="3" applyNumberFormat="1" applyFont="1" applyFill="1" applyBorder="1" applyAlignment="1">
      <alignment vertical="center" wrapText="1"/>
    </xf>
    <xf numFmtId="0" fontId="31" fillId="0" borderId="5" xfId="0" applyFont="1" applyFill="1" applyBorder="1"/>
    <xf numFmtId="164" fontId="11" fillId="0" borderId="12" xfId="3" applyNumberFormat="1" applyFont="1" applyFill="1" applyBorder="1" applyAlignment="1">
      <alignment vertical="center" wrapText="1"/>
    </xf>
    <xf numFmtId="164" fontId="11" fillId="0" borderId="13" xfId="3" applyNumberFormat="1" applyFont="1" applyFill="1" applyBorder="1" applyAlignment="1">
      <alignment vertical="center" wrapText="1"/>
    </xf>
    <xf numFmtId="0" fontId="4" fillId="0" borderId="5" xfId="0" applyFont="1" applyFill="1" applyBorder="1"/>
    <xf numFmtId="164" fontId="19" fillId="0" borderId="5" xfId="3" applyNumberFormat="1" applyFont="1" applyFill="1" applyBorder="1" applyAlignment="1">
      <alignment horizontal="right" vertical="center"/>
    </xf>
    <xf numFmtId="164" fontId="24" fillId="21" borderId="0" xfId="3" applyNumberFormat="1" applyFont="1" applyFill="1" applyAlignment="1">
      <alignment horizontal="left" vertical="center" indent="2"/>
    </xf>
    <xf numFmtId="0" fontId="5" fillId="21" borderId="3" xfId="0" applyFont="1" applyFill="1" applyBorder="1" applyAlignment="1">
      <alignment horizontal="center" vertical="center"/>
    </xf>
    <xf numFmtId="164" fontId="3" fillId="0" borderId="6" xfId="3" applyNumberFormat="1" applyFont="1" applyFill="1" applyBorder="1" applyAlignment="1">
      <alignment horizontal="center" vertical="center" readingOrder="2"/>
    </xf>
    <xf numFmtId="164" fontId="3" fillId="0" borderId="7" xfId="3" applyNumberFormat="1" applyFont="1" applyFill="1" applyBorder="1" applyAlignment="1">
      <alignment horizontal="center" vertical="center" readingOrder="2"/>
    </xf>
    <xf numFmtId="0" fontId="8" fillId="0" borderId="1" xfId="0" applyFont="1" applyFill="1" applyBorder="1" applyAlignment="1">
      <alignment horizontal="center" vertical="center"/>
    </xf>
    <xf numFmtId="164" fontId="5" fillId="0" borderId="11" xfId="3" applyNumberFormat="1" applyFont="1" applyFill="1" applyBorder="1" applyAlignment="1" applyProtection="1">
      <alignment horizontal="center" vertical="center"/>
    </xf>
    <xf numFmtId="164" fontId="6" fillId="0" borderId="0" xfId="3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164" fontId="11" fillId="0" borderId="0" xfId="3" applyNumberFormat="1" applyFont="1" applyFill="1" applyBorder="1" applyAlignment="1">
      <alignment horizontal="right" vertical="center" readingOrder="2"/>
    </xf>
    <xf numFmtId="164" fontId="11" fillId="0" borderId="14" xfId="3" applyNumberFormat="1" applyFont="1" applyFill="1" applyBorder="1" applyAlignment="1">
      <alignment horizontal="right" vertical="center" readingOrder="2"/>
    </xf>
    <xf numFmtId="164" fontId="11" fillId="0" borderId="13" xfId="3" applyNumberFormat="1" applyFont="1" applyFill="1" applyBorder="1" applyAlignment="1">
      <alignment horizontal="right" vertical="center" wrapText="1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8"/>
  <sheetViews>
    <sheetView showGridLines="0" tabSelected="1" zoomScale="112" zoomScaleNormal="112" workbookViewId="0">
      <selection sqref="A1:Z34"/>
    </sheetView>
  </sheetViews>
  <sheetFormatPr defaultColWidth="9.140625" defaultRowHeight="15" x14ac:dyDescent="0.25"/>
  <cols>
    <col min="1" max="1" width="4.28515625" style="2" customWidth="1"/>
    <col min="2" max="2" width="9.140625" style="2"/>
    <col min="3" max="3" width="37.140625" style="2" customWidth="1"/>
    <col min="4" max="4" width="1.42578125" style="2" customWidth="1"/>
    <col min="5" max="8" width="12.7109375" style="1" customWidth="1"/>
    <col min="9" max="9" width="2.85546875" style="1" customWidth="1"/>
    <col min="10" max="13" width="10" style="1" bestFit="1" customWidth="1"/>
    <col min="14" max="14" width="2" style="1" customWidth="1"/>
    <col min="15" max="15" width="10" style="1" bestFit="1" customWidth="1"/>
    <col min="16" max="18" width="10.85546875" style="1" bestFit="1" customWidth="1"/>
    <col min="19" max="19" width="2" style="1" customWidth="1"/>
    <col min="20" max="20" width="10.85546875" style="1" bestFit="1" customWidth="1"/>
    <col min="21" max="22" width="10.42578125" style="1" bestFit="1" customWidth="1"/>
    <col min="23" max="23" width="10.85546875" style="1" bestFit="1" customWidth="1"/>
    <col min="24" max="24" width="32.7109375" style="2" bestFit="1" customWidth="1"/>
    <col min="25" max="25" width="9.140625" style="2"/>
    <col min="26" max="26" width="3.85546875" style="2" customWidth="1"/>
    <col min="27" max="16384" width="9.140625" style="2"/>
  </cols>
  <sheetData>
    <row r="1" spans="1:29" ht="21.75" x14ac:dyDescent="0.25">
      <c r="A1" s="101" t="s">
        <v>67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9" x14ac:dyDescent="0.25">
      <c r="A2" s="104" t="s">
        <v>68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9" x14ac:dyDescent="0.25">
      <c r="A3" s="105" t="s">
        <v>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9" x14ac:dyDescent="0.25">
      <c r="A4" s="103" t="s">
        <v>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spans="1:29" s="16" customFormat="1" x14ac:dyDescent="0.25">
      <c r="A5" s="76"/>
      <c r="B5" s="77"/>
      <c r="C5" s="30"/>
      <c r="D5" s="100" t="s">
        <v>66</v>
      </c>
      <c r="E5" s="100"/>
      <c r="F5" s="100"/>
      <c r="G5" s="100"/>
      <c r="H5" s="30"/>
      <c r="J5" s="106" t="s">
        <v>63</v>
      </c>
      <c r="K5" s="106"/>
      <c r="L5" s="106"/>
      <c r="M5" s="106"/>
      <c r="N5" s="31"/>
      <c r="O5" s="106" t="s">
        <v>64</v>
      </c>
      <c r="P5" s="106"/>
      <c r="Q5" s="106"/>
      <c r="R5" s="106"/>
      <c r="S5" s="15"/>
      <c r="T5" s="107">
        <v>2014</v>
      </c>
      <c r="U5" s="107"/>
      <c r="V5" s="107"/>
      <c r="W5" s="107"/>
    </row>
    <row r="6" spans="1:29" s="16" customFormat="1" ht="17.25" x14ac:dyDescent="0.4">
      <c r="A6" s="78" t="s">
        <v>2</v>
      </c>
      <c r="B6" s="79"/>
      <c r="D6" s="80"/>
      <c r="E6" s="80" t="s">
        <v>3</v>
      </c>
      <c r="F6" s="80" t="s">
        <v>4</v>
      </c>
      <c r="G6" s="80" t="s">
        <v>5</v>
      </c>
      <c r="H6" s="32" t="s">
        <v>6</v>
      </c>
      <c r="I6" s="80"/>
      <c r="J6" s="33" t="s">
        <v>3</v>
      </c>
      <c r="K6" s="33" t="s">
        <v>4</v>
      </c>
      <c r="L6" s="33" t="s">
        <v>5</v>
      </c>
      <c r="M6" s="33" t="s">
        <v>62</v>
      </c>
      <c r="N6" s="32"/>
      <c r="O6" s="33" t="s">
        <v>3</v>
      </c>
      <c r="P6" s="33" t="s">
        <v>4</v>
      </c>
      <c r="Q6" s="33" t="s">
        <v>5</v>
      </c>
      <c r="R6" s="33" t="s">
        <v>6</v>
      </c>
      <c r="S6" s="80"/>
      <c r="T6" s="80" t="s">
        <v>3</v>
      </c>
      <c r="U6" s="80" t="s">
        <v>4</v>
      </c>
      <c r="V6" s="80" t="s">
        <v>5</v>
      </c>
      <c r="W6" s="80" t="s">
        <v>6</v>
      </c>
    </row>
    <row r="7" spans="1:29" s="16" customFormat="1" ht="16.5" x14ac:dyDescent="0.3">
      <c r="A7" s="81"/>
      <c r="B7" s="82"/>
      <c r="C7" s="82"/>
      <c r="D7" s="82"/>
      <c r="E7" s="82" t="s">
        <v>7</v>
      </c>
      <c r="F7" s="82" t="s">
        <v>8</v>
      </c>
      <c r="G7" s="82" t="s">
        <v>9</v>
      </c>
      <c r="H7" s="68" t="s">
        <v>51</v>
      </c>
      <c r="I7" s="82"/>
      <c r="J7" s="34" t="s">
        <v>7</v>
      </c>
      <c r="K7" s="34" t="s">
        <v>8</v>
      </c>
      <c r="L7" s="34" t="s">
        <v>9</v>
      </c>
      <c r="M7" s="34" t="s">
        <v>51</v>
      </c>
      <c r="N7" s="34"/>
      <c r="O7" s="34" t="s">
        <v>7</v>
      </c>
      <c r="P7" s="34" t="s">
        <v>8</v>
      </c>
      <c r="Q7" s="34" t="s">
        <v>9</v>
      </c>
      <c r="R7" s="34" t="s">
        <v>29</v>
      </c>
      <c r="S7" s="82"/>
      <c r="T7" s="82" t="s">
        <v>7</v>
      </c>
      <c r="U7" s="82" t="s">
        <v>8</v>
      </c>
      <c r="V7" s="82" t="s">
        <v>9</v>
      </c>
      <c r="W7" s="82" t="s">
        <v>29</v>
      </c>
    </row>
    <row r="8" spans="1:29" s="9" customFormat="1" ht="12.75" x14ac:dyDescent="0.2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9" s="12" customFormat="1" ht="17.25" x14ac:dyDescent="0.45">
      <c r="A9" s="5" t="s">
        <v>10</v>
      </c>
      <c r="B9" s="10"/>
      <c r="C9" s="10"/>
      <c r="D9" s="10"/>
      <c r="E9" s="11">
        <v>1665.4433714648014</v>
      </c>
      <c r="F9" s="11">
        <v>1857.4350479920008</v>
      </c>
      <c r="G9" s="11">
        <v>1088.8520780705251</v>
      </c>
      <c r="H9" s="11">
        <v>2627.7414953139223</v>
      </c>
      <c r="I9" s="11"/>
      <c r="J9" s="18">
        <v>3455.3860195087477</v>
      </c>
      <c r="K9" s="18">
        <v>3019.1353246461813</v>
      </c>
      <c r="L9" s="18">
        <v>3550.4501840296375</v>
      </c>
      <c r="M9" s="18">
        <v>5085.7010887060314</v>
      </c>
      <c r="N9" s="18"/>
      <c r="O9" s="18">
        <v>8067.0613012726026</v>
      </c>
      <c r="P9" s="18">
        <v>7258.987461412341</v>
      </c>
      <c r="Q9" s="18">
        <v>7540.042761149326</v>
      </c>
      <c r="R9" s="18">
        <v>8687.2989522264998</v>
      </c>
      <c r="S9" s="18"/>
      <c r="T9" s="18">
        <v>13647.496785828653</v>
      </c>
      <c r="U9" s="18">
        <v>12237.867136245208</v>
      </c>
      <c r="V9" s="18">
        <v>11262.348700590905</v>
      </c>
      <c r="W9" s="18">
        <v>12446.258888792981</v>
      </c>
      <c r="Z9" s="52" t="s">
        <v>33</v>
      </c>
      <c r="AA9" s="50"/>
      <c r="AB9" s="51"/>
    </row>
    <row r="10" spans="1:29" s="12" customFormat="1" ht="17.25" x14ac:dyDescent="0.45">
      <c r="A10" s="5" t="s">
        <v>45</v>
      </c>
      <c r="B10" s="10" t="s">
        <v>55</v>
      </c>
      <c r="C10" s="10"/>
      <c r="D10" s="10"/>
      <c r="E10" s="11">
        <v>4373.7720411748014</v>
      </c>
      <c r="F10" s="11">
        <v>4862.897420352002</v>
      </c>
      <c r="G10" s="11">
        <v>4447.753705590525</v>
      </c>
      <c r="H10" s="11">
        <v>4725.5225683139215</v>
      </c>
      <c r="I10" s="11"/>
      <c r="J10" s="18">
        <v>5016.6046196587477</v>
      </c>
      <c r="K10" s="18">
        <v>4498.1101854461813</v>
      </c>
      <c r="L10" s="18">
        <v>4656.0324053496379</v>
      </c>
      <c r="M10" s="18">
        <v>4241.0012864494929</v>
      </c>
      <c r="N10" s="18"/>
      <c r="O10" s="18">
        <v>4808.4938700886405</v>
      </c>
      <c r="P10" s="18">
        <v>4883.1212499133217</v>
      </c>
      <c r="Q10" s="18">
        <v>4941.6276943427756</v>
      </c>
      <c r="R10" s="18">
        <v>5307.9996879543987</v>
      </c>
      <c r="S10" s="18"/>
      <c r="T10" s="18">
        <v>7323.2426798471697</v>
      </c>
      <c r="U10" s="18">
        <v>6970.7981784258418</v>
      </c>
      <c r="V10" s="18">
        <v>7669.181986546082</v>
      </c>
      <c r="W10" s="18">
        <v>9109.9655014732343</v>
      </c>
      <c r="Y10" s="55" t="s">
        <v>34</v>
      </c>
      <c r="AA10" s="83"/>
      <c r="AC10" s="84"/>
    </row>
    <row r="11" spans="1:29" s="12" customFormat="1" ht="17.25" x14ac:dyDescent="0.4">
      <c r="A11" s="5" t="s">
        <v>45</v>
      </c>
      <c r="B11" s="10" t="s">
        <v>56</v>
      </c>
      <c r="C11" s="10"/>
      <c r="D11" s="10"/>
      <c r="E11" s="11">
        <v>-2564.1023280899999</v>
      </c>
      <c r="F11" s="11">
        <v>-2850.381800000001</v>
      </c>
      <c r="G11" s="11">
        <v>-3149.6469999999999</v>
      </c>
      <c r="H11" s="11">
        <v>-1852.4769999999994</v>
      </c>
      <c r="I11" s="11"/>
      <c r="J11" s="18">
        <v>-1306.0079999999998</v>
      </c>
      <c r="K11" s="18">
        <v>-1246.962</v>
      </c>
      <c r="L11" s="18">
        <v>-896.88700000000017</v>
      </c>
      <c r="M11" s="18">
        <v>1017.2629999999997</v>
      </c>
      <c r="N11" s="18"/>
      <c r="O11" s="18">
        <v>3454.7659999999996</v>
      </c>
      <c r="P11" s="18">
        <v>2555.0659999999998</v>
      </c>
      <c r="Q11" s="18">
        <v>2748.1469999999999</v>
      </c>
      <c r="R11" s="18">
        <v>3505.4120000000003</v>
      </c>
      <c r="S11" s="18"/>
      <c r="T11" s="18">
        <v>6419.8360000000011</v>
      </c>
      <c r="U11" s="18">
        <v>5305.0460000000012</v>
      </c>
      <c r="V11" s="18">
        <v>3587.4176516733992</v>
      </c>
      <c r="W11" s="18">
        <v>3442.1933296110001</v>
      </c>
      <c r="Y11" s="55" t="s">
        <v>48</v>
      </c>
      <c r="AB11" s="38"/>
    </row>
    <row r="12" spans="1:29" s="12" customFormat="1" ht="17.25" x14ac:dyDescent="0.4">
      <c r="A12" s="5" t="s">
        <v>45</v>
      </c>
      <c r="B12" s="10" t="s">
        <v>57</v>
      </c>
      <c r="C12" s="10"/>
      <c r="D12" s="10"/>
      <c r="E12" s="11">
        <v>-144.22634162000003</v>
      </c>
      <c r="F12" s="11">
        <v>-155.08057236000002</v>
      </c>
      <c r="G12" s="11">
        <v>-209.25462751999993</v>
      </c>
      <c r="H12" s="11">
        <v>-245.30407299999993</v>
      </c>
      <c r="I12" s="11"/>
      <c r="J12" s="18">
        <v>-255.21060014999998</v>
      </c>
      <c r="K12" s="18">
        <v>-232.01286080000003</v>
      </c>
      <c r="L12" s="18">
        <v>-208.69522132</v>
      </c>
      <c r="M12" s="18">
        <v>-172.56319774346105</v>
      </c>
      <c r="N12" s="18"/>
      <c r="O12" s="18">
        <v>-196.1985688160382</v>
      </c>
      <c r="P12" s="18">
        <v>-179.19978850098073</v>
      </c>
      <c r="Q12" s="18">
        <v>-149.73193319344989</v>
      </c>
      <c r="R12" s="18">
        <v>-126.11273572789753</v>
      </c>
      <c r="S12" s="18"/>
      <c r="T12" s="18">
        <v>-95.581894018518597</v>
      </c>
      <c r="U12" s="18">
        <v>-37.977042180635237</v>
      </c>
      <c r="V12" s="18">
        <v>5.7490623714236904</v>
      </c>
      <c r="W12" s="18">
        <v>-105.89994229125315</v>
      </c>
      <c r="Y12" s="85" t="s">
        <v>36</v>
      </c>
      <c r="AA12" s="38"/>
      <c r="AB12" s="38"/>
    </row>
    <row r="13" spans="1:29" s="12" customFormat="1" ht="17.25" x14ac:dyDescent="0.4">
      <c r="A13" s="5" t="s">
        <v>12</v>
      </c>
      <c r="B13" s="10"/>
      <c r="C13" s="10"/>
      <c r="D13" s="10"/>
      <c r="E13" s="11">
        <v>26751.495665609997</v>
      </c>
      <c r="F13" s="11">
        <v>27982.860056329999</v>
      </c>
      <c r="G13" s="11">
        <v>28724.079448159999</v>
      </c>
      <c r="H13" s="11">
        <v>28646.825646099998</v>
      </c>
      <c r="I13" s="11"/>
      <c r="J13" s="18">
        <v>29417.771415759998</v>
      </c>
      <c r="K13" s="18">
        <v>29418.006247680001</v>
      </c>
      <c r="L13" s="18">
        <v>28634.888815500002</v>
      </c>
      <c r="M13" s="18">
        <v>28639.807989494264</v>
      </c>
      <c r="N13" s="18"/>
      <c r="O13" s="18">
        <v>28792.54563336994</v>
      </c>
      <c r="P13" s="18">
        <v>29873.040548015673</v>
      </c>
      <c r="Q13" s="18">
        <v>30055.597668682083</v>
      </c>
      <c r="R13" s="18">
        <v>30703.86857848975</v>
      </c>
      <c r="S13" s="18"/>
      <c r="T13" s="18">
        <v>31062.490095368918</v>
      </c>
      <c r="U13" s="18">
        <v>31966.583521488501</v>
      </c>
      <c r="V13" s="18">
        <v>32771.477565045156</v>
      </c>
      <c r="W13" s="18">
        <v>33325.314131669737</v>
      </c>
      <c r="Z13" s="37" t="s">
        <v>13</v>
      </c>
      <c r="AA13" s="59"/>
      <c r="AB13" s="60"/>
    </row>
    <row r="14" spans="1:29" s="12" customFormat="1" ht="17.25" x14ac:dyDescent="0.4">
      <c r="A14" s="5" t="s">
        <v>45</v>
      </c>
      <c r="B14" s="10" t="s">
        <v>58</v>
      </c>
      <c r="C14" s="10"/>
      <c r="D14" s="10"/>
      <c r="E14" s="11">
        <v>9419.5333535299997</v>
      </c>
      <c r="F14" s="11">
        <v>9192.8408004199991</v>
      </c>
      <c r="G14" s="11">
        <v>9225.4415338899998</v>
      </c>
      <c r="H14" s="11">
        <v>9734.5197353200001</v>
      </c>
      <c r="I14" s="11"/>
      <c r="J14" s="18">
        <v>10581.65490858</v>
      </c>
      <c r="K14" s="18">
        <v>11325.137659920001</v>
      </c>
      <c r="L14" s="18">
        <v>11177.82101999</v>
      </c>
      <c r="M14" s="18">
        <v>11429.329388568296</v>
      </c>
      <c r="N14" s="18"/>
      <c r="O14" s="18">
        <v>11265.982678289942</v>
      </c>
      <c r="P14" s="18">
        <v>12552.295953775676</v>
      </c>
      <c r="Q14" s="18">
        <v>12638.724738212084</v>
      </c>
      <c r="R14" s="18">
        <v>13263.663583338748</v>
      </c>
      <c r="S14" s="18"/>
      <c r="T14" s="18">
        <v>13526.226774617917</v>
      </c>
      <c r="U14" s="18">
        <v>14618.488114407504</v>
      </c>
      <c r="V14" s="18">
        <v>14320.301888474154</v>
      </c>
      <c r="W14" s="18">
        <v>15354.500410399734</v>
      </c>
      <c r="Y14" s="37" t="s">
        <v>14</v>
      </c>
      <c r="AA14" s="62"/>
      <c r="AB14" s="62"/>
    </row>
    <row r="15" spans="1:29" s="9" customFormat="1" ht="17.25" x14ac:dyDescent="0.4">
      <c r="A15" s="6" t="s">
        <v>45</v>
      </c>
      <c r="B15" s="13" t="s">
        <v>45</v>
      </c>
      <c r="C15" s="13" t="s">
        <v>37</v>
      </c>
      <c r="D15" s="13"/>
      <c r="E15" s="14">
        <v>11930.69365868</v>
      </c>
      <c r="F15" s="14">
        <v>11845.192760189999</v>
      </c>
      <c r="G15" s="14">
        <v>11643.43848103</v>
      </c>
      <c r="H15" s="14">
        <v>12150.41549286</v>
      </c>
      <c r="I15" s="14"/>
      <c r="J15" s="19">
        <v>12775.305058919999</v>
      </c>
      <c r="K15" s="19">
        <v>13391.416294430001</v>
      </c>
      <c r="L15" s="19">
        <v>13165.3261277</v>
      </c>
      <c r="M15" s="19">
        <v>13674.77220521</v>
      </c>
      <c r="N15" s="19"/>
      <c r="O15" s="19">
        <v>13754.006294220002</v>
      </c>
      <c r="P15" s="19">
        <v>14781.744502670001</v>
      </c>
      <c r="Q15" s="19">
        <v>14735.789687840001</v>
      </c>
      <c r="R15" s="19">
        <v>15514.657261429998</v>
      </c>
      <c r="S15" s="19"/>
      <c r="T15" s="19">
        <v>16360.895073289999</v>
      </c>
      <c r="U15" s="19">
        <v>17920.384236450001</v>
      </c>
      <c r="V15" s="19">
        <v>17887.154349320001</v>
      </c>
      <c r="W15" s="19">
        <v>18601.207005249998</v>
      </c>
      <c r="X15" s="35" t="s">
        <v>15</v>
      </c>
      <c r="AA15" s="57"/>
      <c r="AB15" s="63"/>
    </row>
    <row r="16" spans="1:29" s="9" customFormat="1" ht="17.25" x14ac:dyDescent="0.4">
      <c r="A16" s="6" t="s">
        <v>45</v>
      </c>
      <c r="B16" s="13" t="s">
        <v>45</v>
      </c>
      <c r="C16" s="13" t="s">
        <v>38</v>
      </c>
      <c r="D16" s="13"/>
      <c r="E16" s="14">
        <v>-2511.1603051500001</v>
      </c>
      <c r="F16" s="14">
        <v>-2652.3519597700006</v>
      </c>
      <c r="G16" s="14">
        <v>-2417.9969471400004</v>
      </c>
      <c r="H16" s="14">
        <v>-2415.89575754</v>
      </c>
      <c r="I16" s="14"/>
      <c r="J16" s="19">
        <v>-2193.65015034</v>
      </c>
      <c r="K16" s="19">
        <v>-2066.2786345100003</v>
      </c>
      <c r="L16" s="19">
        <v>-1987.5051077099995</v>
      </c>
      <c r="M16" s="19">
        <v>-2245.4428166417038</v>
      </c>
      <c r="N16" s="19"/>
      <c r="O16" s="19">
        <v>-2488.0236159300607</v>
      </c>
      <c r="P16" s="19">
        <v>-2229.4485488943242</v>
      </c>
      <c r="Q16" s="19">
        <v>-2097.0649496279166</v>
      </c>
      <c r="R16" s="19">
        <v>-2250.9936780912503</v>
      </c>
      <c r="S16" s="19"/>
      <c r="T16" s="19">
        <v>-2834.6682986720834</v>
      </c>
      <c r="U16" s="19">
        <v>-3301.8961220424962</v>
      </c>
      <c r="V16" s="19">
        <v>-3566.852460845847</v>
      </c>
      <c r="W16" s="19">
        <v>-3246.7065948502632</v>
      </c>
      <c r="X16" s="35" t="s">
        <v>16</v>
      </c>
      <c r="AA16" s="59"/>
      <c r="AB16" s="59"/>
    </row>
    <row r="17" spans="1:29" s="12" customFormat="1" ht="17.25" x14ac:dyDescent="0.4">
      <c r="A17" s="5" t="s">
        <v>45</v>
      </c>
      <c r="B17" s="10" t="s">
        <v>31</v>
      </c>
      <c r="C17" s="10"/>
      <c r="D17" s="10"/>
      <c r="E17" s="11">
        <v>17331.962312079999</v>
      </c>
      <c r="F17" s="11">
        <v>18790.01925591</v>
      </c>
      <c r="G17" s="11">
        <v>19498.637914269999</v>
      </c>
      <c r="H17" s="11">
        <v>18912.30591078</v>
      </c>
      <c r="I17" s="11"/>
      <c r="J17" s="18">
        <v>18836.116507179999</v>
      </c>
      <c r="K17" s="18">
        <v>18092.86858776</v>
      </c>
      <c r="L17" s="18">
        <v>17457.06779551</v>
      </c>
      <c r="M17" s="18">
        <v>17210.478600925966</v>
      </c>
      <c r="N17" s="18"/>
      <c r="O17" s="18">
        <v>17526.562955079997</v>
      </c>
      <c r="P17" s="18">
        <v>17320.744594239997</v>
      </c>
      <c r="Q17" s="18">
        <v>17416.872930469999</v>
      </c>
      <c r="R17" s="18">
        <v>17440.204995151002</v>
      </c>
      <c r="S17" s="18"/>
      <c r="T17" s="18">
        <v>17536.263320751001</v>
      </c>
      <c r="U17" s="18">
        <v>17348.095407080997</v>
      </c>
      <c r="V17" s="18">
        <v>18451.175676571002</v>
      </c>
      <c r="W17" s="18">
        <v>17970.813721270002</v>
      </c>
      <c r="Z17" s="37" t="s">
        <v>32</v>
      </c>
      <c r="AA17" s="83"/>
      <c r="AB17" s="83"/>
    </row>
    <row r="18" spans="1:29" s="9" customFormat="1" ht="17.25" x14ac:dyDescent="0.4">
      <c r="A18" s="6" t="s">
        <v>45</v>
      </c>
      <c r="B18" s="13" t="s">
        <v>45</v>
      </c>
      <c r="C18" s="13" t="s">
        <v>59</v>
      </c>
      <c r="D18" s="13"/>
      <c r="E18" s="14">
        <v>1364.7629999999999</v>
      </c>
      <c r="F18" s="14">
        <v>1359.992</v>
      </c>
      <c r="G18" s="14">
        <v>1888.2900000000002</v>
      </c>
      <c r="H18" s="14">
        <v>1724.1967400000001</v>
      </c>
      <c r="I18" s="14"/>
      <c r="J18" s="19">
        <v>2067.9569999999999</v>
      </c>
      <c r="K18" s="19">
        <v>2072.3139999999999</v>
      </c>
      <c r="L18" s="19">
        <v>1511.6009999999999</v>
      </c>
      <c r="M18" s="19">
        <v>1636.9182520700001</v>
      </c>
      <c r="N18" s="19"/>
      <c r="O18" s="19">
        <v>1490.6011521300002</v>
      </c>
      <c r="P18" s="19">
        <v>1477.5095211600001</v>
      </c>
      <c r="Q18" s="19">
        <v>1471.70577297</v>
      </c>
      <c r="R18" s="19">
        <v>1634.3847341200001</v>
      </c>
      <c r="S18" s="19"/>
      <c r="T18" s="19">
        <v>1824.6070124599999</v>
      </c>
      <c r="U18" s="19">
        <v>1393.0150392099999</v>
      </c>
      <c r="V18" s="19">
        <v>1607.4921325600001</v>
      </c>
      <c r="W18" s="19">
        <v>1440.7779611100002</v>
      </c>
      <c r="Y18" s="35" t="s">
        <v>17</v>
      </c>
      <c r="AA18" s="36"/>
      <c r="AB18" s="36"/>
    </row>
    <row r="19" spans="1:29" s="9" customFormat="1" ht="17.25" x14ac:dyDescent="0.2">
      <c r="A19" s="6" t="s">
        <v>45</v>
      </c>
      <c r="B19" s="13" t="s">
        <v>45</v>
      </c>
      <c r="C19" s="13" t="s">
        <v>60</v>
      </c>
      <c r="D19" s="13"/>
      <c r="E19" s="14">
        <v>15967.19931208</v>
      </c>
      <c r="F19" s="14">
        <v>17430.027255910001</v>
      </c>
      <c r="G19" s="14">
        <v>17610.347914269998</v>
      </c>
      <c r="H19" s="14">
        <v>17188.109170780001</v>
      </c>
      <c r="I19" s="14"/>
      <c r="J19" s="19">
        <v>16768.15950718</v>
      </c>
      <c r="K19" s="19">
        <v>16020.554587760002</v>
      </c>
      <c r="L19" s="19">
        <v>15945.466795510001</v>
      </c>
      <c r="M19" s="19">
        <v>15573.560348855965</v>
      </c>
      <c r="N19" s="19"/>
      <c r="O19" s="19">
        <v>16035.961802949998</v>
      </c>
      <c r="P19" s="19">
        <v>15843.235073079997</v>
      </c>
      <c r="Q19" s="19">
        <v>15945.1671575</v>
      </c>
      <c r="R19" s="19">
        <v>15805.820261031</v>
      </c>
      <c r="S19" s="19"/>
      <c r="T19" s="19">
        <v>15711.656308291</v>
      </c>
      <c r="U19" s="19">
        <v>15955.080367870998</v>
      </c>
      <c r="V19" s="19">
        <v>16843.683544011001</v>
      </c>
      <c r="W19" s="19">
        <v>16530.035760160001</v>
      </c>
      <c r="Y19" s="35" t="s">
        <v>18</v>
      </c>
      <c r="AA19" s="40"/>
      <c r="AB19" s="40"/>
    </row>
    <row r="20" spans="1:29" s="12" customFormat="1" ht="17.25" x14ac:dyDescent="0.4">
      <c r="A20" s="5" t="s">
        <v>61</v>
      </c>
      <c r="B20" s="10"/>
      <c r="C20" s="10"/>
      <c r="D20" s="10"/>
      <c r="E20" s="11">
        <v>1696.1584936700001</v>
      </c>
      <c r="F20" s="11">
        <v>1799.5729693400003</v>
      </c>
      <c r="G20" s="11">
        <v>1813.98536509</v>
      </c>
      <c r="H20" s="11">
        <v>1857.5364880100003</v>
      </c>
      <c r="I20" s="11"/>
      <c r="J20" s="18">
        <v>1845.8914691799998</v>
      </c>
      <c r="K20" s="18">
        <v>1926.32260133</v>
      </c>
      <c r="L20" s="18">
        <v>1952.1144774200002</v>
      </c>
      <c r="M20" s="18">
        <v>2115.8184616500002</v>
      </c>
      <c r="N20" s="18"/>
      <c r="O20" s="18">
        <v>2259.1809035000001</v>
      </c>
      <c r="P20" s="18">
        <v>2206.1839904999997</v>
      </c>
      <c r="Q20" s="18">
        <v>2505.4119714100002</v>
      </c>
      <c r="R20" s="18">
        <v>2800.8812045100003</v>
      </c>
      <c r="S20" s="18"/>
      <c r="T20" s="18">
        <v>2830.8206375200002</v>
      </c>
      <c r="U20" s="18">
        <v>2657.38136579</v>
      </c>
      <c r="V20" s="18">
        <v>2635.1671289299998</v>
      </c>
      <c r="W20" s="18">
        <v>2681.54201431</v>
      </c>
      <c r="Z20" s="37" t="s">
        <v>49</v>
      </c>
      <c r="AA20" s="59"/>
      <c r="AB20" s="59"/>
    </row>
    <row r="21" spans="1:29" s="12" customFormat="1" ht="17.25" x14ac:dyDescent="0.45">
      <c r="A21" s="5" t="s">
        <v>42</v>
      </c>
      <c r="B21" s="10"/>
      <c r="C21" s="10"/>
      <c r="D21" s="10"/>
      <c r="E21" s="11">
        <v>16218.42646368</v>
      </c>
      <c r="F21" s="11">
        <v>17217.338781040002</v>
      </c>
      <c r="G21" s="11">
        <v>16923.506230980001</v>
      </c>
      <c r="H21" s="11">
        <v>17451.26739967</v>
      </c>
      <c r="I21" s="11"/>
      <c r="J21" s="18">
        <v>18160.49909356</v>
      </c>
      <c r="K21" s="18">
        <v>17775.885797130002</v>
      </c>
      <c r="L21" s="18">
        <v>17017.53992562</v>
      </c>
      <c r="M21" s="18">
        <v>18004.152512229997</v>
      </c>
      <c r="N21" s="18"/>
      <c r="O21" s="18">
        <v>20446.090905460002</v>
      </c>
      <c r="P21" s="18">
        <v>20247.863041660003</v>
      </c>
      <c r="Q21" s="18">
        <v>20130.980738510003</v>
      </c>
      <c r="R21" s="18">
        <v>21015.860197949998</v>
      </c>
      <c r="S21" s="18"/>
      <c r="T21" s="18">
        <v>25597.353154409997</v>
      </c>
      <c r="U21" s="18">
        <v>24197.890319360002</v>
      </c>
      <c r="V21" s="18">
        <v>23531.02399365</v>
      </c>
      <c r="W21" s="18">
        <v>24625.566197949996</v>
      </c>
      <c r="Z21" s="86" t="s">
        <v>35</v>
      </c>
      <c r="AA21" s="53"/>
      <c r="AB21" s="53"/>
      <c r="AC21" s="5"/>
    </row>
    <row r="22" spans="1:29" s="12" customFormat="1" ht="17.25" x14ac:dyDescent="0.45">
      <c r="A22" s="5" t="s">
        <v>39</v>
      </c>
      <c r="B22" s="10"/>
      <c r="C22" s="10"/>
      <c r="D22" s="10"/>
      <c r="E22" s="11">
        <v>0.498</v>
      </c>
      <c r="F22" s="11">
        <v>0.48</v>
      </c>
      <c r="G22" s="11">
        <v>0.38</v>
      </c>
      <c r="H22" s="11">
        <v>0.28000000000000003</v>
      </c>
      <c r="I22" s="11"/>
      <c r="J22" s="18">
        <v>0.28000000000000003</v>
      </c>
      <c r="K22" s="18">
        <v>0.28000000000000003</v>
      </c>
      <c r="L22" s="18">
        <v>20.28</v>
      </c>
      <c r="M22" s="18">
        <v>20.28</v>
      </c>
      <c r="N22" s="18"/>
      <c r="O22" s="18">
        <v>22.25</v>
      </c>
      <c r="P22" s="18">
        <v>22.25</v>
      </c>
      <c r="Q22" s="18">
        <v>2.25</v>
      </c>
      <c r="R22" s="18">
        <v>0.28000000000000003</v>
      </c>
      <c r="S22" s="18"/>
      <c r="T22" s="18">
        <v>3.786</v>
      </c>
      <c r="U22" s="18">
        <v>3.786</v>
      </c>
      <c r="V22" s="18">
        <v>3.786</v>
      </c>
      <c r="W22" s="18">
        <v>3.786</v>
      </c>
      <c r="Z22" s="64" t="s">
        <v>50</v>
      </c>
      <c r="AA22" s="53"/>
      <c r="AB22" s="53"/>
      <c r="AC22" s="5"/>
    </row>
    <row r="23" spans="1:29" s="12" customFormat="1" ht="17.25" x14ac:dyDescent="0.45">
      <c r="A23" s="5" t="s">
        <v>19</v>
      </c>
      <c r="B23" s="10"/>
      <c r="C23" s="10"/>
      <c r="D23" s="10"/>
      <c r="E23" s="11">
        <v>0</v>
      </c>
      <c r="F23" s="11">
        <v>0</v>
      </c>
      <c r="G23" s="11">
        <v>0</v>
      </c>
      <c r="H23" s="11">
        <v>0</v>
      </c>
      <c r="I23" s="11"/>
      <c r="J23" s="18">
        <v>0</v>
      </c>
      <c r="K23" s="18">
        <v>0</v>
      </c>
      <c r="L23" s="18">
        <v>0</v>
      </c>
      <c r="M23" s="18">
        <v>0</v>
      </c>
      <c r="N23" s="18"/>
      <c r="O23" s="18">
        <v>0</v>
      </c>
      <c r="P23" s="18">
        <v>0</v>
      </c>
      <c r="Q23" s="18">
        <v>0</v>
      </c>
      <c r="R23" s="18">
        <v>0</v>
      </c>
      <c r="S23" s="18"/>
      <c r="T23" s="18">
        <v>0</v>
      </c>
      <c r="U23" s="18">
        <v>0</v>
      </c>
      <c r="V23" s="18">
        <v>0</v>
      </c>
      <c r="W23" s="18">
        <v>0</v>
      </c>
      <c r="Z23" s="64" t="s">
        <v>46</v>
      </c>
      <c r="AA23" s="53"/>
      <c r="AB23" s="53"/>
      <c r="AC23" s="5"/>
    </row>
    <row r="24" spans="1:29" s="12" customFormat="1" ht="17.25" x14ac:dyDescent="0.45">
      <c r="A24" s="5" t="s">
        <v>53</v>
      </c>
      <c r="B24" s="10"/>
      <c r="C24" s="10"/>
      <c r="D24" s="10"/>
      <c r="E24" s="11">
        <v>3029.48270968</v>
      </c>
      <c r="F24" s="11">
        <v>3086.4064048799996</v>
      </c>
      <c r="G24" s="11">
        <v>3279.94393945</v>
      </c>
      <c r="H24" s="11">
        <v>3571.3645709999996</v>
      </c>
      <c r="I24" s="11"/>
      <c r="J24" s="18">
        <v>3859.18067303</v>
      </c>
      <c r="K24" s="18">
        <v>4044.3498180500001</v>
      </c>
      <c r="L24" s="18">
        <v>4227.96993251</v>
      </c>
      <c r="M24" s="18">
        <v>4380.4065802642081</v>
      </c>
      <c r="N24" s="18"/>
      <c r="O24" s="18">
        <v>4572.0906860121395</v>
      </c>
      <c r="P24" s="18">
        <v>4794.403286158632</v>
      </c>
      <c r="Q24" s="18">
        <v>5072.2180606836337</v>
      </c>
      <c r="R24" s="18">
        <v>5314.6990747585833</v>
      </c>
      <c r="S24" s="18"/>
      <c r="T24" s="18">
        <v>5539.2655920403668</v>
      </c>
      <c r="U24" s="18">
        <v>6243.8061439190933</v>
      </c>
      <c r="V24" s="18">
        <v>6516.1594430325222</v>
      </c>
      <c r="W24" s="18">
        <v>6817.7894035845029</v>
      </c>
      <c r="Z24" s="64" t="s">
        <v>47</v>
      </c>
      <c r="AA24" s="53"/>
      <c r="AB24" s="53"/>
      <c r="AC24" s="5"/>
    </row>
    <row r="25" spans="1:29" s="12" customFormat="1" ht="17.25" x14ac:dyDescent="0.2">
      <c r="A25" s="5" t="s">
        <v>54</v>
      </c>
      <c r="B25" s="10"/>
      <c r="C25" s="10"/>
      <c r="D25" s="10"/>
      <c r="E25" s="11">
        <v>5825.2651711100007</v>
      </c>
      <c r="F25" s="11">
        <v>6490.0642689200004</v>
      </c>
      <c r="G25" s="11">
        <v>6426.4240202999999</v>
      </c>
      <c r="H25" s="11">
        <v>6102.7744342699998</v>
      </c>
      <c r="I25" s="11"/>
      <c r="J25" s="18">
        <v>6229.5621167720301</v>
      </c>
      <c r="K25" s="18">
        <v>6184.6139689000001</v>
      </c>
      <c r="L25" s="18">
        <v>6578.4614458100004</v>
      </c>
      <c r="M25" s="18">
        <v>6880.4047532599998</v>
      </c>
      <c r="N25" s="18"/>
      <c r="O25" s="18">
        <v>7562.2299404799996</v>
      </c>
      <c r="P25" s="18">
        <v>7857.9697616699996</v>
      </c>
      <c r="Q25" s="18">
        <v>8178.2401628900006</v>
      </c>
      <c r="R25" s="18">
        <v>8425.3497925200008</v>
      </c>
      <c r="S25" s="18"/>
      <c r="T25" s="18">
        <v>8981.18787032</v>
      </c>
      <c r="U25" s="18">
        <v>9131.8283499599984</v>
      </c>
      <c r="V25" s="18">
        <v>9284.3514421333985</v>
      </c>
      <c r="W25" s="18">
        <v>9444.8145201710013</v>
      </c>
      <c r="Z25" s="87" t="s">
        <v>20</v>
      </c>
      <c r="AA25" s="5"/>
      <c r="AB25" s="5"/>
      <c r="AC25" s="5"/>
    </row>
    <row r="26" spans="1:29" s="12" customFormat="1" ht="18.75" x14ac:dyDescent="0.2">
      <c r="A26" s="23" t="s">
        <v>21</v>
      </c>
      <c r="B26" s="24"/>
      <c r="C26" s="24"/>
      <c r="D26" s="24"/>
      <c r="E26" s="25">
        <v>1647.1081988347999</v>
      </c>
      <c r="F26" s="25">
        <v>1246.4326801420004</v>
      </c>
      <c r="G26" s="25">
        <v>1368.6919704105255</v>
      </c>
      <c r="H26" s="25">
        <v>2291.3442484639195</v>
      </c>
      <c r="I26" s="25"/>
      <c r="J26" s="26">
        <v>2777.7440827287487</v>
      </c>
      <c r="K26" s="26">
        <v>2505.6893869161813</v>
      </c>
      <c r="L26" s="26">
        <v>2388.9676097296356</v>
      </c>
      <c r="M26" s="26">
        <v>2324.4418957103735</v>
      </c>
      <c r="N26" s="26"/>
      <c r="O26" s="26">
        <v>1997.7583776304004</v>
      </c>
      <c r="P26" s="26">
        <v>2003.3533237693814</v>
      </c>
      <c r="Q26" s="26">
        <v>1706.5343643577733</v>
      </c>
      <c r="R26" s="26">
        <v>1834.089712667668</v>
      </c>
      <c r="S26" s="26"/>
      <c r="T26" s="26">
        <v>1757.5651634371982</v>
      </c>
      <c r="U26" s="26">
        <v>1969.7467002246151</v>
      </c>
      <c r="V26" s="26">
        <v>2063.3226925501349</v>
      </c>
      <c r="W26" s="26">
        <v>2198.0603383272123</v>
      </c>
      <c r="X26" s="25"/>
      <c r="Y26" s="25"/>
      <c r="Z26" s="27" t="s">
        <v>22</v>
      </c>
    </row>
    <row r="27" spans="1:29" s="45" customFormat="1" ht="18" x14ac:dyDescent="0.25">
      <c r="A27" s="67" t="s">
        <v>23</v>
      </c>
      <c r="B27" s="72"/>
      <c r="C27" s="72"/>
      <c r="D27" s="72"/>
      <c r="E27" s="72"/>
      <c r="F27" s="72"/>
      <c r="G27" s="72"/>
      <c r="H27" s="73"/>
      <c r="I27" s="73"/>
      <c r="J27" s="73"/>
      <c r="K27" s="73"/>
      <c r="L27" s="72"/>
      <c r="M27" s="72"/>
      <c r="N27" s="72"/>
      <c r="O27" s="72"/>
      <c r="P27" s="72"/>
      <c r="Q27" s="74"/>
      <c r="R27" s="75"/>
      <c r="S27" s="72"/>
      <c r="T27" s="72"/>
      <c r="U27" s="72"/>
      <c r="V27" s="74"/>
      <c r="W27" s="75"/>
      <c r="Y27" s="47"/>
      <c r="Z27" s="43" t="s">
        <v>24</v>
      </c>
    </row>
    <row r="28" spans="1:29" s="4" customFormat="1" ht="15.75" x14ac:dyDescent="0.2">
      <c r="A28" s="49" t="s">
        <v>25</v>
      </c>
      <c r="B28" s="70"/>
      <c r="C28" s="70"/>
      <c r="D28" s="70"/>
      <c r="E28" s="70"/>
      <c r="F28" s="70"/>
      <c r="G28" s="70"/>
      <c r="H28" s="70"/>
      <c r="I28" s="70"/>
      <c r="J28" s="70">
        <f>+(J9/E9-1)*100</f>
        <v>107.4754433991739</v>
      </c>
      <c r="K28" s="70">
        <f t="shared" ref="K28:R28" si="0">+(K9/F9-1)*100</f>
        <v>62.543251669017906</v>
      </c>
      <c r="L28" s="70">
        <f t="shared" si="0"/>
        <v>226.07277476304492</v>
      </c>
      <c r="M28" s="70">
        <f t="shared" si="0"/>
        <v>93.538865895881045</v>
      </c>
      <c r="N28" s="70"/>
      <c r="O28" s="70">
        <f t="shared" si="0"/>
        <v>133.46338891593641</v>
      </c>
      <c r="P28" s="70">
        <f t="shared" si="0"/>
        <v>140.43266302622709</v>
      </c>
      <c r="Q28" s="70">
        <f t="shared" si="0"/>
        <v>112.36863975913161</v>
      </c>
      <c r="R28" s="70">
        <f t="shared" si="0"/>
        <v>70.818119285827549</v>
      </c>
      <c r="S28" s="70"/>
      <c r="T28" s="70">
        <f t="shared" ref="T28" si="1">+(T9/O9-1)*100</f>
        <v>69.175568105274237</v>
      </c>
      <c r="U28" s="70">
        <f t="shared" ref="U28" si="2">+(U9/P9-1)*100</f>
        <v>68.58917584993533</v>
      </c>
      <c r="V28" s="70">
        <f t="shared" ref="V28" si="3">+(V9/Q9-1)*100</f>
        <v>49.367172804656455</v>
      </c>
      <c r="W28" s="70">
        <f t="shared" ref="W28" si="4">+(W9/R9-1)*100</f>
        <v>43.269604939784934</v>
      </c>
      <c r="Z28" s="69" t="s">
        <v>11</v>
      </c>
    </row>
    <row r="29" spans="1:29" s="4" customFormat="1" ht="17.25" x14ac:dyDescent="0.2">
      <c r="A29" s="21" t="s">
        <v>30</v>
      </c>
      <c r="B29" s="20"/>
      <c r="C29" s="20"/>
      <c r="D29" s="22"/>
      <c r="E29" s="22"/>
      <c r="F29" s="22"/>
      <c r="G29" s="22"/>
      <c r="H29" s="22"/>
      <c r="I29" s="71"/>
      <c r="J29" s="71">
        <f>+(J14/E14-1)*100</f>
        <v>12.337358034986856</v>
      </c>
      <c r="K29" s="71">
        <f t="shared" ref="K29:Q29" si="5">+(K14/F14-1)*100</f>
        <v>23.195189667622461</v>
      </c>
      <c r="L29" s="71">
        <f t="shared" si="5"/>
        <v>21.162992350315847</v>
      </c>
      <c r="M29" s="71">
        <f t="shared" si="5"/>
        <v>17.410305791450355</v>
      </c>
      <c r="N29" s="71"/>
      <c r="O29" s="71">
        <f t="shared" si="5"/>
        <v>6.4671147908543558</v>
      </c>
      <c r="P29" s="71">
        <f t="shared" si="5"/>
        <v>10.835703112012718</v>
      </c>
      <c r="Q29" s="71">
        <f t="shared" si="5"/>
        <v>13.069664611818865</v>
      </c>
      <c r="R29" s="71">
        <f>+(R14/M14-1)*100</f>
        <v>16.049359786630756</v>
      </c>
      <c r="S29" s="71"/>
      <c r="T29" s="71">
        <f t="shared" ref="T29" si="6">+(T14/O14-1)*100</f>
        <v>20.06255611135963</v>
      </c>
      <c r="U29" s="71">
        <f t="shared" ref="U29" si="7">+(U14/P14-1)*100</f>
        <v>16.460671165184948</v>
      </c>
      <c r="V29" s="71">
        <f t="shared" ref="V29" si="8">+(V14/Q14-1)*100</f>
        <v>13.30495904525848</v>
      </c>
      <c r="W29" s="71">
        <f>+(W14/R14-1)*100</f>
        <v>15.763644892859062</v>
      </c>
      <c r="X29" s="28"/>
      <c r="Y29" s="28"/>
      <c r="Z29" s="42" t="s">
        <v>14</v>
      </c>
    </row>
    <row r="30" spans="1:29" s="3" customFormat="1" ht="18.75" x14ac:dyDescent="0.5">
      <c r="A30" s="44" t="s">
        <v>44</v>
      </c>
      <c r="B30" s="9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91"/>
      <c r="W30" s="91"/>
      <c r="X30" s="46" t="s">
        <v>43</v>
      </c>
      <c r="Y30" s="89"/>
      <c r="Z30" s="29" t="s">
        <v>52</v>
      </c>
    </row>
    <row r="31" spans="1:29" ht="17.25" x14ac:dyDescent="0.4">
      <c r="A31" s="99" t="s">
        <v>65</v>
      </c>
      <c r="B31" s="99"/>
      <c r="C31" s="92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108" t="s">
        <v>69</v>
      </c>
      <c r="Y31" s="109"/>
      <c r="Z31" s="89" t="s">
        <v>40</v>
      </c>
    </row>
    <row r="32" spans="1:29" ht="17.25" customHeight="1" x14ac:dyDescent="0.25">
      <c r="A32" s="48" t="s">
        <v>26</v>
      </c>
      <c r="B32" s="94"/>
      <c r="C32" s="95"/>
      <c r="D32" s="96"/>
      <c r="E32" s="96"/>
      <c r="G32" s="96"/>
      <c r="H32" s="96"/>
      <c r="I32" s="96"/>
      <c r="J32" s="96"/>
      <c r="K32" s="96"/>
      <c r="L32" s="96"/>
      <c r="M32" s="96"/>
      <c r="N32" s="96"/>
      <c r="P32" s="96"/>
      <c r="Q32" s="110" t="s">
        <v>27</v>
      </c>
      <c r="R32" s="110"/>
      <c r="S32" s="110"/>
      <c r="T32" s="110"/>
      <c r="U32" s="110"/>
      <c r="V32" s="110"/>
      <c r="W32" s="110"/>
      <c r="X32" s="110"/>
      <c r="Y32" s="110"/>
    </row>
    <row r="33" spans="1:25" x14ac:dyDescent="0.25">
      <c r="A33" s="48" t="s">
        <v>28</v>
      </c>
      <c r="B33" s="9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Y33" s="98" t="s">
        <v>41</v>
      </c>
    </row>
    <row r="34" spans="1:25" ht="18" x14ac:dyDescent="0.45">
      <c r="X34" s="56"/>
      <c r="Y34" s="55"/>
    </row>
    <row r="35" spans="1:25" ht="18" x14ac:dyDescent="0.45">
      <c r="X35" s="61"/>
      <c r="Y35" s="54"/>
    </row>
    <row r="36" spans="1:25" ht="18" x14ac:dyDescent="0.45">
      <c r="X36" s="54"/>
      <c r="Y36" s="54"/>
    </row>
    <row r="37" spans="1:25" ht="18" x14ac:dyDescent="0.45">
      <c r="X37" s="88"/>
      <c r="Y37" s="43"/>
    </row>
    <row r="38" spans="1:25" ht="18" x14ac:dyDescent="0.45">
      <c r="X38" s="39"/>
      <c r="Y38" s="56"/>
    </row>
    <row r="39" spans="1:25" ht="18" x14ac:dyDescent="0.45">
      <c r="X39" s="35"/>
      <c r="Y39" s="56"/>
    </row>
    <row r="40" spans="1:25" ht="18" x14ac:dyDescent="0.45">
      <c r="X40" s="37"/>
      <c r="Y40" s="88"/>
    </row>
    <row r="41" spans="1:25" ht="18" x14ac:dyDescent="0.45">
      <c r="X41" s="58"/>
      <c r="Y41" s="64"/>
    </row>
    <row r="42" spans="1:25" ht="18" x14ac:dyDescent="0.45">
      <c r="X42" s="65"/>
      <c r="Y42" s="64"/>
    </row>
    <row r="43" spans="1:25" ht="18" x14ac:dyDescent="0.45">
      <c r="X43" s="66"/>
      <c r="Y43" s="64"/>
    </row>
    <row r="44" spans="1:25" ht="18" x14ac:dyDescent="0.45">
      <c r="X44" s="66"/>
      <c r="Y44" s="64"/>
    </row>
    <row r="45" spans="1:25" ht="18" x14ac:dyDescent="0.45">
      <c r="X45" s="66"/>
      <c r="Y45" s="37"/>
    </row>
    <row r="46" spans="1:25" ht="18" x14ac:dyDescent="0.45">
      <c r="X46" s="66"/>
      <c r="Y46" s="64"/>
    </row>
    <row r="47" spans="1:25" ht="18" x14ac:dyDescent="0.45">
      <c r="X47" s="66"/>
      <c r="Y47" s="64"/>
    </row>
    <row r="48" spans="1:25" ht="18" x14ac:dyDescent="0.45">
      <c r="X48" s="66"/>
      <c r="Y48" s="41"/>
    </row>
  </sheetData>
  <mergeCells count="10">
    <mergeCell ref="X31:Y31"/>
    <mergeCell ref="Q32:Y32"/>
    <mergeCell ref="A1:Z1"/>
    <mergeCell ref="A2:Z2"/>
    <mergeCell ref="A3:Z3"/>
    <mergeCell ref="D5:G5"/>
    <mergeCell ref="O5:R5"/>
    <mergeCell ref="J5:M5"/>
    <mergeCell ref="A4:Z4"/>
    <mergeCell ref="T5:W5"/>
  </mergeCells>
  <pageMargins left="0.45" right="0.45" top="0.5" bottom="0.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2016-03-16T07:18:17Z</cp:lastPrinted>
  <dcterms:created xsi:type="dcterms:W3CDTF">2013-04-01T04:26:10Z</dcterms:created>
  <dcterms:modified xsi:type="dcterms:W3CDTF">2016-03-16T07:18:18Z</dcterms:modified>
</cp:coreProperties>
</file>