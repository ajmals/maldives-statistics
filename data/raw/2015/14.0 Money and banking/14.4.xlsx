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75" windowWidth="14520" windowHeight="11760" tabRatio="765"/>
  </bookViews>
  <sheets>
    <sheet name="14.4" sheetId="14" r:id="rId1"/>
  </sheets>
  <definedNames>
    <definedName name="AA">'[1]Monetary Aggr'!#REF!</definedName>
    <definedName name="Date_ODC">[2]Industry!$4:$4</definedName>
    <definedName name="LCFC_ODC">[2]Industry!$5:$5</definedName>
    <definedName name="_xlnm.Print_Area" localSheetId="0">'14.4'!$A$1:$Y$38</definedName>
  </definedNames>
  <calcPr calcId="145621"/>
</workbook>
</file>

<file path=xl/calcChain.xml><?xml version="1.0" encoding="utf-8"?>
<calcChain xmlns="http://schemas.openxmlformats.org/spreadsheetml/2006/main">
  <c r="V32" i="14" l="1"/>
  <c r="U32" i="14"/>
  <c r="T32" i="14"/>
  <c r="S32" i="14"/>
  <c r="V31" i="14"/>
  <c r="U31" i="14"/>
  <c r="T31" i="14"/>
  <c r="S31" i="14"/>
  <c r="N32" i="14" l="1"/>
  <c r="O32" i="14"/>
  <c r="P32" i="14"/>
  <c r="Q32" i="14"/>
  <c r="J32" i="14"/>
  <c r="K32" i="14"/>
  <c r="L32" i="14"/>
  <c r="I32" i="14"/>
  <c r="I31" i="14"/>
  <c r="J31" i="14"/>
  <c r="K31" i="14"/>
  <c r="L31" i="14"/>
  <c r="N31" i="14"/>
  <c r="O31" i="14"/>
  <c r="P31" i="14"/>
  <c r="Q31" i="14"/>
</calcChain>
</file>

<file path=xl/sharedStrings.xml><?xml version="1.0" encoding="utf-8"?>
<sst xmlns="http://schemas.openxmlformats.org/spreadsheetml/2006/main" count="92" uniqueCount="66">
  <si>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</si>
  <si>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</si>
  <si>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</si>
  <si>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</si>
  <si>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</si>
  <si>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</si>
  <si>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</si>
  <si>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Mar</t>
  </si>
  <si>
    <t>Jun</t>
  </si>
  <si>
    <t>Sep</t>
  </si>
  <si>
    <r>
      <t xml:space="preserve"> </t>
    </r>
    <r>
      <rPr>
        <b/>
        <sz val="9"/>
        <rFont val="A_Faseyha"/>
      </rPr>
      <t>IkWbufWs egukwtcTesea egurEb</t>
    </r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</si>
  <si>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</si>
  <si>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</si>
  <si>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</si>
  <si>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</si>
  <si>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</si>
  <si>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Deposits excluded from broad money</t>
  </si>
  <si>
    <t>Securities other than shares excluded from broad money</t>
  </si>
  <si>
    <t>Loans</t>
  </si>
  <si>
    <t>ރަޢުސުލްމާލުގެ ހިސާބު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</si>
  <si>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</si>
  <si>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</si>
  <si>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</si>
  <si>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</si>
  <si>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  : 1_/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</si>
  <si>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</si>
  <si>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</si>
  <si>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</si>
  <si>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</si>
  <si>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 xml:space="preserve">ބޭރުގެ ފަރާތްތަކުން ލިބެންވާ </t>
  </si>
  <si>
    <t xml:space="preserve">ބޭރުގެ ފަރާތްތަކަށް ދައްކަންޖެހޭ </t>
  </si>
  <si>
    <t xml:space="preserve">ވިޔަފާރި ބޭންކް ތަކުން ލިބެންވާ </t>
  </si>
  <si>
    <t>Net claims on central government</t>
  </si>
  <si>
    <t>Claims on other sectors</t>
  </si>
  <si>
    <t>އެހެނިހެން ފަރާތްތަކުން ލިބެންވާ</t>
  </si>
  <si>
    <t>ވިޔަފާރި ބޭންކް ތަކަށް ލިބެންވާ (އެހެނިހެން)</t>
  </si>
  <si>
    <t xml:space="preserve"> ބްރޯޑްމަނީގައި ހިމެނިފައިނުވާ ޑިޕޮސިޓް</t>
  </si>
  <si>
    <t xml:space="preserve"> ބްރޯޑްމަނީގައި ހިމެނިފައިނުވާ  ސެކިޔުރިޓީސް ( ހިއްސާ ނުހިމަނައި)</t>
  </si>
  <si>
    <t>ނޯޓް:</t>
  </si>
  <si>
    <t>NOTE:</t>
  </si>
  <si>
    <t>Claims on nonresidents</t>
  </si>
  <si>
    <t>Liabilities to nonresidents</t>
  </si>
  <si>
    <t>Claims on Central Government</t>
  </si>
  <si>
    <t>Liabilities to Central Government</t>
  </si>
  <si>
    <t>Claims on Public Non-financial Corporations</t>
  </si>
  <si>
    <t>Claims on Private Sector</t>
  </si>
  <si>
    <t>ސެންޓްރަލް ބޭންކަށް ލިބެންވާ (އެހެނިހެން)</t>
  </si>
  <si>
    <t>ލޯން</t>
  </si>
  <si>
    <t>ޓެކްނިކަލް ރިޒަރވް</t>
  </si>
  <si>
    <r>
      <t xml:space="preserve"> Dec</t>
    </r>
    <r>
      <rPr>
        <b/>
        <vertAlign val="subscript"/>
        <sz val="11"/>
        <rFont val="Arial"/>
        <family val="2"/>
      </rPr>
      <t/>
    </r>
  </si>
  <si>
    <t>މިއުލޫމާތު ދެއްވި ފަރާތް: މޯލްޑިވްސް މަނިޓަރީ އޮތޯރިޓީ</t>
  </si>
  <si>
    <t>Claims on depository corporations</t>
  </si>
  <si>
    <t>Liabilties to central bank</t>
  </si>
  <si>
    <t>Liabilities to other depository corporations</t>
  </si>
  <si>
    <t>Insurance technical reserves</t>
  </si>
  <si>
    <t>Shares and other equity</t>
  </si>
  <si>
    <t>Other items net (OIN)</t>
  </si>
  <si>
    <t>1_/ :  2012 and 2013 revised</t>
  </si>
  <si>
    <t>ޑިސެމް</t>
  </si>
  <si>
    <r>
      <t xml:space="preserve">2012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</si>
  <si>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r>
      <t xml:space="preserve">2013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</si>
  <si>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t>1_/ :  2011 , 2012 and 2013 revised</t>
  </si>
  <si>
    <r>
      <t>2011</t>
    </r>
    <r>
      <rPr>
        <b/>
        <vertAlign val="superscript"/>
        <sz val="10"/>
        <rFont val="Arial"/>
        <family val="2"/>
      </rPr>
      <t>1_/</t>
    </r>
  </si>
  <si>
    <t>2011, 2012 އަދި 2013 އިސްލާޙުކުރެވިފައި</t>
  </si>
  <si>
    <t>ތާވަލު 14.4: އެހެނިހެން މާލީދާއިރާގެ ކުންފުނިތަކުގެ ސަރވޭ 2011- 2014</t>
  </si>
  <si>
    <t>Table 14.4: OTHER FINANCIAL CORPORATIONS SURVEY, 2011 - 2014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</si>
</sst>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vertAlign val="superscript"/>
      <sz val="10"/>
      <name val="Arial"/>
      <family val="2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color theme="1"/>
      <name val="A_Randhoo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2" fillId="4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1" fillId="2" borderId="0" applyNumberFormat="0" applyBorder="0" applyAlignment="0" applyProtection="0"/>
    <xf numFmtId="0" fontId="31" fillId="6" borderId="0" applyNumberFormat="0" applyBorder="0" applyAlignment="0" applyProtection="0"/>
    <xf numFmtId="0" fontId="32" fillId="7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2" fillId="6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1" fillId="2" borderId="0" applyNumberFormat="0" applyBorder="0" applyAlignment="0" applyProtection="0"/>
    <xf numFmtId="0" fontId="31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2" fillId="4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17" fontId="4" fillId="0" borderId="0" applyFont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71" fontId="4" fillId="0" borderId="0" applyFill="0" applyBorder="0" applyAlignment="0"/>
    <xf numFmtId="0" fontId="35" fillId="0" borderId="0" applyFill="0" applyBorder="0" applyAlignment="0"/>
    <xf numFmtId="0" fontId="4" fillId="0" borderId="0" applyFill="0" applyBorder="0" applyAlignment="0"/>
    <xf numFmtId="172" fontId="2" fillId="0" borderId="0" applyFill="0" applyBorder="0" applyAlignment="0"/>
    <xf numFmtId="173" fontId="4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5" fillId="0" borderId="0" applyFill="0" applyBorder="0" applyAlignment="0"/>
    <xf numFmtId="0" fontId="36" fillId="14" borderId="16" applyNumberFormat="0" applyAlignment="0" applyProtection="0"/>
    <xf numFmtId="0" fontId="36" fillId="14" borderId="16" applyNumberFormat="0" applyAlignment="0" applyProtection="0"/>
    <xf numFmtId="0" fontId="36" fillId="14" borderId="16" applyNumberFormat="0" applyAlignment="0" applyProtection="0"/>
    <xf numFmtId="0" fontId="36" fillId="14" borderId="16" applyNumberFormat="0" applyAlignment="0" applyProtection="0"/>
    <xf numFmtId="0" fontId="36" fillId="14" borderId="16" applyNumberFormat="0" applyAlignment="0" applyProtection="0"/>
    <xf numFmtId="0" fontId="36" fillId="14" borderId="16" applyNumberFormat="0" applyAlignment="0" applyProtection="0"/>
    <xf numFmtId="0" fontId="36" fillId="14" borderId="16" applyNumberFormat="0" applyAlignment="0" applyProtection="0"/>
    <xf numFmtId="0" fontId="36" fillId="14" borderId="16" applyNumberFormat="0" applyAlignment="0" applyProtection="0"/>
    <xf numFmtId="17" fontId="4" fillId="0" borderId="0" applyFont="0"/>
    <xf numFmtId="0" fontId="37" fillId="7" borderId="17" applyNumberFormat="0" applyAlignment="0" applyProtection="0"/>
    <xf numFmtId="0" fontId="37" fillId="7" borderId="17" applyNumberFormat="0" applyAlignment="0" applyProtection="0"/>
    <xf numFmtId="0" fontId="37" fillId="7" borderId="17" applyNumberFormat="0" applyAlignment="0" applyProtection="0"/>
    <xf numFmtId="0" fontId="37" fillId="7" borderId="17" applyNumberFormat="0" applyAlignment="0" applyProtection="0"/>
    <xf numFmtId="0" fontId="37" fillId="7" borderId="17" applyNumberFormat="0" applyAlignment="0" applyProtection="0"/>
    <xf numFmtId="0" fontId="37" fillId="7" borderId="17" applyNumberFormat="0" applyAlignment="0" applyProtection="0"/>
    <xf numFmtId="0" fontId="37" fillId="7" borderId="17" applyNumberFormat="0" applyAlignment="0" applyProtection="0"/>
    <xf numFmtId="0" fontId="37" fillId="7" borderId="17" applyNumberFormat="0" applyAlignment="0" applyProtection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5" fillId="0" borderId="0" applyFont="0" applyFill="0" applyBorder="0" applyAlignment="0" applyProtection="0"/>
    <xf numFmtId="14" fontId="38" fillId="0" borderId="0" applyFill="0" applyBorder="0" applyAlignment="0"/>
    <xf numFmtId="0" fontId="39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171" fontId="4" fillId="0" borderId="0" applyFill="0" applyBorder="0" applyAlignment="0"/>
    <xf numFmtId="0" fontId="35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5" fillId="0" borderId="0" applyFill="0" applyBorder="0" applyAlignment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38" fontId="29" fillId="19" borderId="0" applyNumberFormat="0" applyBorder="0" applyAlignment="0" applyProtection="0"/>
    <xf numFmtId="0" fontId="41" fillId="0" borderId="18" applyNumberFormat="0" applyAlignment="0" applyProtection="0">
      <alignment horizontal="left" vertical="center"/>
    </xf>
    <xf numFmtId="0" fontId="41" fillId="0" borderId="15">
      <alignment horizontal="left" vertical="center"/>
    </xf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0" fontId="29" fillId="20" borderId="22" applyNumberFormat="0" applyBorder="0" applyAlignment="0" applyProtection="0"/>
    <xf numFmtId="0" fontId="45" fillId="11" borderId="16" applyNumberFormat="0" applyAlignment="0" applyProtection="0"/>
    <xf numFmtId="0" fontId="45" fillId="11" borderId="16" applyNumberFormat="0" applyAlignment="0" applyProtection="0"/>
    <xf numFmtId="0" fontId="45" fillId="11" borderId="16" applyNumberFormat="0" applyAlignment="0" applyProtection="0"/>
    <xf numFmtId="0" fontId="45" fillId="11" borderId="16" applyNumberFormat="0" applyAlignment="0" applyProtection="0"/>
    <xf numFmtId="0" fontId="45" fillId="11" borderId="16" applyNumberFormat="0" applyAlignment="0" applyProtection="0"/>
    <xf numFmtId="0" fontId="45" fillId="11" borderId="16" applyNumberFormat="0" applyAlignment="0" applyProtection="0"/>
    <xf numFmtId="0" fontId="45" fillId="11" borderId="16" applyNumberFormat="0" applyAlignment="0" applyProtection="0"/>
    <xf numFmtId="0" fontId="45" fillId="11" borderId="16" applyNumberFormat="0" applyAlignment="0" applyProtection="0"/>
    <xf numFmtId="171" fontId="4" fillId="0" borderId="0" applyFill="0" applyBorder="0" applyAlignment="0"/>
    <xf numFmtId="0" fontId="35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5" fillId="0" borderId="0" applyFill="0" applyBorder="0" applyAlignment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177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4" fontId="47" fillId="0" borderId="0" applyFont="0" applyFill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17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4" applyNumberFormat="0" applyFont="0" applyAlignment="0" applyProtection="0"/>
    <xf numFmtId="0" fontId="4" fillId="10" borderId="24" applyNumberFormat="0" applyFont="0" applyAlignment="0" applyProtection="0"/>
    <xf numFmtId="0" fontId="4" fillId="10" borderId="24" applyNumberFormat="0" applyFont="0" applyAlignment="0" applyProtection="0"/>
    <xf numFmtId="0" fontId="4" fillId="10" borderId="24" applyNumberFormat="0" applyFont="0" applyAlignment="0" applyProtection="0"/>
    <xf numFmtId="0" fontId="4" fillId="10" borderId="24" applyNumberFormat="0" applyFont="0" applyAlignment="0" applyProtection="0"/>
    <xf numFmtId="0" fontId="4" fillId="10" borderId="24" applyNumberFormat="0" applyFont="0" applyAlignment="0" applyProtection="0"/>
    <xf numFmtId="0" fontId="4" fillId="10" borderId="24" applyNumberFormat="0" applyFont="0" applyAlignment="0" applyProtection="0"/>
    <xf numFmtId="0" fontId="4" fillId="10" borderId="24" applyNumberFormat="0" applyFont="0" applyAlignment="0" applyProtection="0"/>
    <xf numFmtId="0" fontId="49" fillId="14" borderId="25" applyNumberFormat="0" applyAlignment="0" applyProtection="0"/>
    <xf numFmtId="0" fontId="49" fillId="14" borderId="25" applyNumberFormat="0" applyAlignment="0" applyProtection="0"/>
    <xf numFmtId="0" fontId="49" fillId="14" borderId="25" applyNumberFormat="0" applyAlignment="0" applyProtection="0"/>
    <xf numFmtId="0" fontId="49" fillId="14" borderId="25" applyNumberFormat="0" applyAlignment="0" applyProtection="0"/>
    <xf numFmtId="0" fontId="49" fillId="14" borderId="25" applyNumberFormat="0" applyAlignment="0" applyProtection="0"/>
    <xf numFmtId="0" fontId="49" fillId="14" borderId="25" applyNumberFormat="0" applyAlignment="0" applyProtection="0"/>
    <xf numFmtId="0" fontId="49" fillId="14" borderId="25" applyNumberFormat="0" applyAlignment="0" applyProtection="0"/>
    <xf numFmtId="0" fontId="49" fillId="14" borderId="25" applyNumberFormat="0" applyAlignment="0" applyProtection="0"/>
    <xf numFmtId="0" fontId="4" fillId="0" borderId="0"/>
    <xf numFmtId="17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1" fontId="4" fillId="0" borderId="0" applyFill="0" applyBorder="0" applyAlignment="0"/>
    <xf numFmtId="0" fontId="35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5" fillId="0" borderId="0" applyFill="0" applyBorder="0" applyAlignment="0"/>
    <xf numFmtId="0" fontId="50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9" fontId="38" fillId="0" borderId="0" applyFill="0" applyBorder="0" applyAlignment="0"/>
    <xf numFmtId="181" fontId="4" fillId="0" borderId="0" applyFill="0" applyBorder="0" applyAlignment="0"/>
    <xf numFmtId="182" fontId="4" fillId="0" borderId="0" applyFill="0" applyBorder="0" applyAlignment="0"/>
    <xf numFmtId="0" fontId="39" fillId="0" borderId="26" applyNumberFormat="0" applyFill="0" applyAlignment="0" applyProtection="0"/>
    <xf numFmtId="0" fontId="39" fillId="0" borderId="26" applyNumberFormat="0" applyFill="0" applyAlignment="0" applyProtection="0"/>
    <xf numFmtId="0" fontId="39" fillId="0" borderId="26" applyNumberFormat="0" applyFill="0" applyAlignment="0" applyProtection="0"/>
    <xf numFmtId="0" fontId="39" fillId="0" borderId="26" applyNumberFormat="0" applyFill="0" applyAlignment="0" applyProtection="0"/>
    <xf numFmtId="0" fontId="39" fillId="0" borderId="26" applyNumberFormat="0" applyFill="0" applyAlignment="0" applyProtection="0"/>
    <xf numFmtId="0" fontId="39" fillId="0" borderId="26" applyNumberFormat="0" applyFill="0" applyAlignment="0" applyProtection="0"/>
    <xf numFmtId="0" fontId="39" fillId="0" borderId="26" applyNumberFormat="0" applyFill="0" applyAlignment="0" applyProtection="0"/>
    <xf numFmtId="0" fontId="39" fillId="0" borderId="26" applyNumberFormat="0" applyFill="0" applyAlignment="0" applyProtection="0"/>
    <xf numFmtId="0" fontId="51" fillId="0" borderId="0">
      <alignment vertical="top"/>
    </xf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</cellStyleXfs>
  <cellXfs count="74">
    <xf numFmtId="0" fontId="0" fillId="0" borderId="0" xfId="0"/>
    <xf numFmtId="0" fontId="26" fillId="0" borderId="0" xfId="0" applyFont="1" applyFill="1" applyBorder="1"/>
    <xf numFmtId="0" fontId="17" fillId="0" borderId="0" xfId="0" applyFont="1" applyFill="1" applyBorder="1"/>
    <xf numFmtId="0" fontId="30" fillId="0" borderId="0" xfId="0" applyFont="1" applyFill="1" applyBorder="1"/>
    <xf numFmtId="43" fontId="30" fillId="0" borderId="0" xfId="1" applyFont="1" applyFill="1" applyBorder="1"/>
    <xf numFmtId="0" fontId="15" fillId="0" borderId="0" xfId="0" applyFont="1" applyFill="1" applyBorder="1"/>
    <xf numFmtId="0" fontId="17" fillId="0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2" fontId="15" fillId="0" borderId="0" xfId="0" applyNumberFormat="1" applyFont="1" applyFill="1" applyBorder="1" applyAlignment="1">
      <alignment vertical="center"/>
    </xf>
    <xf numFmtId="2" fontId="17" fillId="0" borderId="0" xfId="0" applyNumberFormat="1" applyFont="1" applyFill="1" applyBorder="1" applyAlignment="1">
      <alignment vertical="center"/>
    </xf>
    <xf numFmtId="0" fontId="0" fillId="0" borderId="5" xfId="0" applyFill="1" applyBorder="1"/>
    <xf numFmtId="166" fontId="15" fillId="0" borderId="0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7" fillId="0" borderId="1" xfId="0" applyFont="1" applyFill="1" applyBorder="1"/>
    <xf numFmtId="2" fontId="17" fillId="0" borderId="1" xfId="0" applyNumberFormat="1" applyFont="1" applyFill="1" applyBorder="1" applyAlignment="1">
      <alignment vertical="center"/>
    </xf>
    <xf numFmtId="0" fontId="15" fillId="0" borderId="1" xfId="0" applyFont="1" applyFill="1" applyBorder="1"/>
    <xf numFmtId="0" fontId="15" fillId="0" borderId="1" xfId="0" applyFont="1" applyFill="1" applyBorder="1" applyAlignment="1">
      <alignment horizontal="left"/>
    </xf>
    <xf numFmtId="2" fontId="15" fillId="0" borderId="1" xfId="0" applyNumberFormat="1" applyFont="1" applyFill="1" applyBorder="1" applyAlignment="1">
      <alignment vertical="center"/>
    </xf>
    <xf numFmtId="0" fontId="15" fillId="0" borderId="0" xfId="0" applyFont="1" applyFill="1" applyBorder="1" applyAlignment="1"/>
    <xf numFmtId="0" fontId="17" fillId="0" borderId="0" xfId="0" applyFont="1" applyFill="1" applyBorder="1" applyAlignment="1"/>
    <xf numFmtId="0" fontId="7" fillId="0" borderId="1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64" fontId="6" fillId="0" borderId="0" xfId="3" applyNumberFormat="1" applyFont="1" applyFill="1" applyBorder="1" applyAlignment="1">
      <alignment horizontal="right"/>
    </xf>
    <xf numFmtId="164" fontId="6" fillId="0" borderId="4" xfId="3" applyNumberFormat="1" applyFont="1" applyFill="1" applyBorder="1" applyAlignment="1">
      <alignment horizontal="right"/>
    </xf>
    <xf numFmtId="0" fontId="27" fillId="0" borderId="1" xfId="0" applyFont="1" applyFill="1" applyBorder="1" applyAlignment="1">
      <alignment horizontal="right"/>
    </xf>
    <xf numFmtId="164" fontId="11" fillId="0" borderId="0" xfId="3" applyNumberFormat="1" applyFont="1" applyFill="1" applyAlignment="1">
      <alignment horizontal="right" vertical="center"/>
    </xf>
    <xf numFmtId="164" fontId="19" fillId="0" borderId="0" xfId="3" applyNumberFormat="1" applyFont="1" applyFill="1" applyAlignment="1">
      <alignment horizontal="right" vertical="center"/>
    </xf>
    <xf numFmtId="164" fontId="10" fillId="0" borderId="0" xfId="3" applyNumberFormat="1" applyFont="1" applyFill="1" applyAlignment="1">
      <alignment horizontal="right" vertical="center"/>
    </xf>
    <xf numFmtId="164" fontId="10" fillId="0" borderId="0" xfId="3" applyNumberFormat="1" applyFont="1" applyFill="1" applyBorder="1" applyAlignment="1">
      <alignment horizontal="right" vertical="center"/>
    </xf>
    <xf numFmtId="164" fontId="11" fillId="0" borderId="1" xfId="3" applyNumberFormat="1" applyFont="1" applyFill="1" applyBorder="1" applyAlignment="1">
      <alignment horizontal="right" vertical="center"/>
    </xf>
    <xf numFmtId="164" fontId="10" fillId="0" borderId="1" xfId="3" applyNumberFormat="1" applyFont="1" applyFill="1" applyBorder="1" applyAlignment="1">
      <alignment horizontal="right" vertical="center"/>
    </xf>
    <xf numFmtId="166" fontId="10" fillId="0" borderId="0" xfId="3" applyNumberFormat="1" applyFont="1" applyFill="1" applyBorder="1" applyAlignment="1">
      <alignment horizontal="right" vertical="center"/>
    </xf>
    <xf numFmtId="0" fontId="23" fillId="0" borderId="0" xfId="0" applyFont="1" applyFill="1" applyBorder="1" applyAlignment="1" applyProtection="1">
      <alignment horizontal="left"/>
    </xf>
    <xf numFmtId="164" fontId="9" fillId="0" borderId="0" xfId="3" applyNumberFormat="1" applyFont="1" applyFill="1" applyAlignment="1">
      <alignment vertical="center"/>
    </xf>
    <xf numFmtId="164" fontId="28" fillId="0" borderId="0" xfId="3" applyNumberFormat="1" applyFont="1" applyFill="1" applyAlignment="1">
      <alignment horizontal="right" vertical="center"/>
    </xf>
    <xf numFmtId="164" fontId="18" fillId="0" borderId="0" xfId="3" applyNumberFormat="1" applyFont="1" applyFill="1" applyBorder="1" applyAlignment="1">
      <alignment vertical="center"/>
    </xf>
    <xf numFmtId="164" fontId="25" fillId="0" borderId="0" xfId="3" applyNumberFormat="1" applyFont="1" applyFill="1" applyAlignment="1">
      <alignment horizontal="left" vertical="center" indent="2"/>
    </xf>
    <xf numFmtId="164" fontId="11" fillId="0" borderId="0" xfId="3" applyNumberFormat="1" applyFont="1" applyFill="1" applyBorder="1" applyAlignment="1">
      <alignment vertical="center" readingOrder="2"/>
    </xf>
    <xf numFmtId="165" fontId="15" fillId="0" borderId="0" xfId="0" applyNumberFormat="1" applyFont="1" applyFill="1" applyAlignment="1">
      <alignment vertical="center"/>
    </xf>
    <xf numFmtId="0" fontId="10" fillId="0" borderId="0" xfId="0" applyFont="1" applyFill="1" applyAlignment="1">
      <alignment horizontal="right"/>
    </xf>
    <xf numFmtId="167" fontId="20" fillId="0" borderId="0" xfId="1" applyNumberFormat="1" applyFont="1" applyFill="1" applyBorder="1" applyAlignment="1" applyProtection="1">
      <alignment vertical="center"/>
    </xf>
    <xf numFmtId="164" fontId="7" fillId="0" borderId="1" xfId="3" applyNumberFormat="1" applyFont="1" applyFill="1" applyBorder="1" applyAlignment="1" applyProtection="1">
      <alignment horizontal="right" vertical="center"/>
    </xf>
    <xf numFmtId="166" fontId="11" fillId="0" borderId="0" xfId="3" applyNumberFormat="1" applyFont="1" applyFill="1" applyBorder="1" applyAlignment="1">
      <alignment horizontal="right" vertical="center"/>
    </xf>
    <xf numFmtId="164" fontId="16" fillId="0" borderId="0" xfId="3" applyNumberFormat="1" applyFont="1" applyFill="1" applyAlignment="1">
      <alignment horizontal="right" vertical="center"/>
    </xf>
    <xf numFmtId="166" fontId="15" fillId="0" borderId="0" xfId="3" applyNumberFormat="1" applyFont="1" applyFill="1" applyAlignment="1">
      <alignment vertical="center"/>
    </xf>
    <xf numFmtId="166" fontId="15" fillId="0" borderId="1" xfId="3" applyNumberFormat="1" applyFont="1" applyFill="1" applyBorder="1" applyAlignment="1">
      <alignment vertical="center"/>
    </xf>
    <xf numFmtId="164" fontId="17" fillId="0" borderId="0" xfId="3" applyNumberFormat="1" applyFont="1" applyFill="1" applyAlignment="1">
      <alignment vertical="center"/>
    </xf>
    <xf numFmtId="9" fontId="17" fillId="0" borderId="0" xfId="2" applyFont="1" applyFill="1" applyAlignment="1">
      <alignment vertical="center"/>
    </xf>
    <xf numFmtId="164" fontId="21" fillId="0" borderId="0" xfId="3" applyNumberFormat="1" applyFont="1" applyFill="1" applyAlignment="1">
      <alignment horizontal="right" vertical="center"/>
    </xf>
    <xf numFmtId="164" fontId="22" fillId="0" borderId="0" xfId="3" applyNumberFormat="1" applyFont="1" applyFill="1" applyAlignment="1">
      <alignment vertical="center"/>
    </xf>
    <xf numFmtId="164" fontId="24" fillId="0" borderId="0" xfId="3" applyNumberFormat="1" applyFont="1" applyFill="1" applyAlignment="1">
      <alignment vertical="center"/>
    </xf>
    <xf numFmtId="164" fontId="24" fillId="0" borderId="0" xfId="3" applyNumberFormat="1" applyFont="1" applyFill="1" applyBorder="1" applyAlignment="1">
      <alignment vertical="center"/>
    </xf>
    <xf numFmtId="164" fontId="24" fillId="0" borderId="0" xfId="3" applyNumberFormat="1" applyFont="1" applyFill="1" applyAlignment="1">
      <alignment vertical="center" wrapText="1"/>
    </xf>
    <xf numFmtId="164" fontId="17" fillId="0" borderId="0" xfId="3" applyNumberFormat="1" applyFont="1" applyFill="1" applyBorder="1" applyAlignment="1">
      <alignment vertical="center"/>
    </xf>
    <xf numFmtId="0" fontId="8" fillId="0" borderId="12" xfId="0" applyFont="1" applyFill="1" applyBorder="1"/>
    <xf numFmtId="0" fontId="7" fillId="0" borderId="12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165" fontId="7" fillId="0" borderId="5" xfId="0" applyNumberFormat="1" applyFont="1" applyFill="1" applyBorder="1" applyAlignment="1">
      <alignment vertical="center"/>
    </xf>
    <xf numFmtId="164" fontId="6" fillId="0" borderId="5" xfId="3" applyNumberFormat="1" applyFont="1" applyFill="1" applyBorder="1" applyAlignment="1">
      <alignment horizontal="right"/>
    </xf>
    <xf numFmtId="164" fontId="6" fillId="0" borderId="10" xfId="3" applyNumberFormat="1" applyFont="1" applyFill="1" applyBorder="1" applyAlignment="1">
      <alignment horizontal="right"/>
    </xf>
    <xf numFmtId="0" fontId="53" fillId="0" borderId="5" xfId="0" applyFont="1" applyFill="1" applyBorder="1"/>
    <xf numFmtId="0" fontId="9" fillId="0" borderId="14" xfId="0" applyFont="1" applyFill="1" applyBorder="1" applyAlignment="1">
      <alignment horizontal="right"/>
    </xf>
    <xf numFmtId="43" fontId="7" fillId="0" borderId="14" xfId="1" applyFont="1" applyFill="1" applyBorder="1" applyAlignment="1">
      <alignment horizontal="right"/>
    </xf>
    <xf numFmtId="164" fontId="10" fillId="0" borderId="8" xfId="3" applyNumberFormat="1" applyFont="1" applyFill="1" applyBorder="1" applyAlignment="1">
      <alignment horizontal="right" vertical="center"/>
    </xf>
    <xf numFmtId="164" fontId="25" fillId="21" borderId="0" xfId="3" applyNumberFormat="1" applyFont="1" applyFill="1" applyAlignment="1">
      <alignment horizontal="left" vertical="center" indent="2"/>
    </xf>
    <xf numFmtId="0" fontId="5" fillId="21" borderId="3" xfId="0" applyFont="1" applyFill="1" applyBorder="1" applyAlignment="1">
      <alignment horizontal="center" vertical="center"/>
    </xf>
    <xf numFmtId="164" fontId="11" fillId="0" borderId="0" xfId="3" applyNumberFormat="1" applyFont="1" applyFill="1" applyAlignment="1">
      <alignment horizontal="right" vertical="center"/>
    </xf>
    <xf numFmtId="164" fontId="3" fillId="0" borderId="6" xfId="3" applyNumberFormat="1" applyFont="1" applyFill="1" applyBorder="1" applyAlignment="1">
      <alignment horizontal="center" vertical="center" readingOrder="2"/>
    </xf>
    <xf numFmtId="164" fontId="3" fillId="0" borderId="7" xfId="3" applyNumberFormat="1" applyFont="1" applyFill="1" applyBorder="1" applyAlignment="1">
      <alignment horizontal="center" vertical="center" readingOrder="2"/>
    </xf>
    <xf numFmtId="0" fontId="8" fillId="0" borderId="1" xfId="0" applyFont="1" applyFill="1" applyBorder="1" applyAlignment="1">
      <alignment horizontal="center" vertical="center"/>
    </xf>
    <xf numFmtId="164" fontId="5" fillId="0" borderId="11" xfId="3" applyNumberFormat="1" applyFont="1" applyFill="1" applyBorder="1" applyAlignment="1" applyProtection="1">
      <alignment horizontal="center" vertical="center"/>
    </xf>
    <xf numFmtId="164" fontId="6" fillId="0" borderId="0" xfId="3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</cellXfs>
  <cellStyles count="300">
    <cellStyle name="1" xfId="5"/>
    <cellStyle name="1_1" xfId="6"/>
    <cellStyle name="1_16" xfId="7"/>
    <cellStyle name="1_92-2000" xfId="8"/>
    <cellStyle name="1_Book2" xfId="9"/>
    <cellStyle name="1_Book3" xfId="10"/>
    <cellStyle name="1_Book4" xfId="11"/>
    <cellStyle name="1_monthly series 89-99" xfId="12"/>
    <cellStyle name="1_tab-2000" xfId="13"/>
    <cellStyle name="Accent1 - 20%" xfId="14"/>
    <cellStyle name="Accent1 - 40%" xfId="15"/>
    <cellStyle name="Accent1 - 60%" xfId="16"/>
    <cellStyle name="Accent1 2" xfId="17"/>
    <cellStyle name="Accent1 3" xfId="18"/>
    <cellStyle name="Accent1 4" xfId="19"/>
    <cellStyle name="Accent1 5" xfId="20"/>
    <cellStyle name="Accent1 6" xfId="21"/>
    <cellStyle name="Accent1 7" xfId="22"/>
    <cellStyle name="Accent1 8" xfId="23"/>
    <cellStyle name="Accent1 9" xfId="24"/>
    <cellStyle name="Accent2 - 20%" xfId="25"/>
    <cellStyle name="Accent2 - 40%" xfId="26"/>
    <cellStyle name="Accent2 - 60%" xfId="27"/>
    <cellStyle name="Accent2 2" xfId="28"/>
    <cellStyle name="Accent2 3" xfId="29"/>
    <cellStyle name="Accent2 4" xfId="30"/>
    <cellStyle name="Accent2 5" xfId="31"/>
    <cellStyle name="Accent2 6" xfId="32"/>
    <cellStyle name="Accent2 7" xfId="33"/>
    <cellStyle name="Accent2 8" xfId="34"/>
    <cellStyle name="Accent2 9" xfId="35"/>
    <cellStyle name="Accent3 - 20%" xfId="36"/>
    <cellStyle name="Accent3 - 40%" xfId="37"/>
    <cellStyle name="Accent3 - 60%" xfId="38"/>
    <cellStyle name="Accent3 2" xfId="39"/>
    <cellStyle name="Accent3 3" xfId="40"/>
    <cellStyle name="Accent3 4" xfId="41"/>
    <cellStyle name="Accent3 5" xfId="42"/>
    <cellStyle name="Accent3 6" xfId="43"/>
    <cellStyle name="Accent3 7" xfId="44"/>
    <cellStyle name="Accent3 8" xfId="45"/>
    <cellStyle name="Accent3 9" xfId="46"/>
    <cellStyle name="Accent4 - 20%" xfId="47"/>
    <cellStyle name="Accent4 - 40%" xfId="48"/>
    <cellStyle name="Accent4 - 60%" xfId="49"/>
    <cellStyle name="Accent4 2" xfId="50"/>
    <cellStyle name="Accent4 3" xfId="51"/>
    <cellStyle name="Accent4 4" xfId="52"/>
    <cellStyle name="Accent4 5" xfId="53"/>
    <cellStyle name="Accent4 6" xfId="54"/>
    <cellStyle name="Accent4 7" xfId="55"/>
    <cellStyle name="Accent4 8" xfId="56"/>
    <cellStyle name="Accent4 9" xfId="57"/>
    <cellStyle name="Accent5 - 20%" xfId="58"/>
    <cellStyle name="Accent5 - 40%" xfId="59"/>
    <cellStyle name="Accent5 - 60%" xfId="60"/>
    <cellStyle name="Accent5 2" xfId="61"/>
    <cellStyle name="Accent5 3" xfId="62"/>
    <cellStyle name="Accent5 4" xfId="63"/>
    <cellStyle name="Accent5 5" xfId="64"/>
    <cellStyle name="Accent5 6" xfId="65"/>
    <cellStyle name="Accent5 7" xfId="66"/>
    <cellStyle name="Accent5 8" xfId="67"/>
    <cellStyle name="Accent5 9" xfId="68"/>
    <cellStyle name="Accent6 - 20%" xfId="69"/>
    <cellStyle name="Accent6 - 40%" xfId="70"/>
    <cellStyle name="Accent6 - 60%" xfId="71"/>
    <cellStyle name="Accent6 2" xfId="72"/>
    <cellStyle name="Accent6 3" xfId="73"/>
    <cellStyle name="Accent6 4" xfId="74"/>
    <cellStyle name="Accent6 5" xfId="75"/>
    <cellStyle name="Accent6 6" xfId="76"/>
    <cellStyle name="Accent6 7" xfId="77"/>
    <cellStyle name="Accent6 8" xfId="78"/>
    <cellStyle name="Accent6 9" xfId="79"/>
    <cellStyle name="AutoFormat Options" xfId="80"/>
    <cellStyle name="Bad 2" xfId="81"/>
    <cellStyle name="Bad 3" xfId="82"/>
    <cellStyle name="Bad 4" xfId="83"/>
    <cellStyle name="Bad 5" xfId="84"/>
    <cellStyle name="Bad 6" xfId="85"/>
    <cellStyle name="Bad 7" xfId="86"/>
    <cellStyle name="Bad 8" xfId="87"/>
    <cellStyle name="Bad 9" xfId="88"/>
    <cellStyle name="Calc C - Style1" xfId="89"/>
    <cellStyle name="Calc C - Style2" xfId="90"/>
    <cellStyle name="Calc C - Style3" xfId="91"/>
    <cellStyle name="Calc C - Style4" xfId="92"/>
    <cellStyle name="Calc C - Style5" xfId="93"/>
    <cellStyle name="Calc C - Style6" xfId="94"/>
    <cellStyle name="Calc C - Style7" xfId="95"/>
    <cellStyle name="Calc C - Style8" xfId="96"/>
    <cellStyle name="Calc Currency (0)" xfId="97"/>
    <cellStyle name="Calc Currency (2)" xfId="98"/>
    <cellStyle name="Calc Percent (0)" xfId="99"/>
    <cellStyle name="Calc Percent (1)" xfId="100"/>
    <cellStyle name="Calc Percent (2)" xfId="101"/>
    <cellStyle name="Calc Units (0)" xfId="102"/>
    <cellStyle name="Calc Units (1)" xfId="103"/>
    <cellStyle name="Calc Units (2)" xfId="104"/>
    <cellStyle name="Calculation 2" xfId="105"/>
    <cellStyle name="Calculation 3" xfId="106"/>
    <cellStyle name="Calculation 4" xfId="107"/>
    <cellStyle name="Calculation 5" xfId="108"/>
    <cellStyle name="Calculation 6" xfId="109"/>
    <cellStyle name="Calculation 7" xfId="110"/>
    <cellStyle name="Calculation 8" xfId="111"/>
    <cellStyle name="Calculation 9" xfId="112"/>
    <cellStyle name="Change A&amp;ll" xfId="113"/>
    <cellStyle name="Check Cell 2" xfId="114"/>
    <cellStyle name="Check Cell 3" xfId="115"/>
    <cellStyle name="Check Cell 4" xfId="116"/>
    <cellStyle name="Check Cell 5" xfId="117"/>
    <cellStyle name="Check Cell 6" xfId="118"/>
    <cellStyle name="Check Cell 7" xfId="119"/>
    <cellStyle name="Check Cell 8" xfId="120"/>
    <cellStyle name="Check Cell 9" xfId="121"/>
    <cellStyle name="Comma" xfId="1" builtinId="3"/>
    <cellStyle name="Comma  - Style1" xfId="122"/>
    <cellStyle name="Comma  - Style2" xfId="123"/>
    <cellStyle name="Comma  - Style3" xfId="124"/>
    <cellStyle name="Comma  - Style4" xfId="125"/>
    <cellStyle name="Comma  - Style5" xfId="126"/>
    <cellStyle name="Comma  - Style6" xfId="127"/>
    <cellStyle name="Comma  - Style7" xfId="128"/>
    <cellStyle name="Comma  - Style8" xfId="129"/>
    <cellStyle name="Comma [00]" xfId="130"/>
    <cellStyle name="Comma 10" xfId="131"/>
    <cellStyle name="Comma 2" xfId="132"/>
    <cellStyle name="Comma 2 2" xfId="133"/>
    <cellStyle name="Comma 2 3" xfId="134"/>
    <cellStyle name="Comma 3" xfId="135"/>
    <cellStyle name="Comma 3 2" xfId="136"/>
    <cellStyle name="Comma 3 3" xfId="137"/>
    <cellStyle name="Comma 3 4" xfId="138"/>
    <cellStyle name="Comma 3 5" xfId="139"/>
    <cellStyle name="Comma 3 6" xfId="140"/>
    <cellStyle name="Comma 3 7" xfId="141"/>
    <cellStyle name="Comma 3 8" xfId="142"/>
    <cellStyle name="Currency [00]" xfId="143"/>
    <cellStyle name="Date Short" xfId="144"/>
    <cellStyle name="Emphasis 1" xfId="145"/>
    <cellStyle name="Emphasis 2" xfId="146"/>
    <cellStyle name="Emphasis 3" xfId="147"/>
    <cellStyle name="Enter Currency (0)" xfId="148"/>
    <cellStyle name="Enter Currency (2)" xfId="149"/>
    <cellStyle name="Enter Units (0)" xfId="150"/>
    <cellStyle name="Enter Units (1)" xfId="151"/>
    <cellStyle name="Enter Units (2)" xfId="152"/>
    <cellStyle name="Good 2" xfId="153"/>
    <cellStyle name="Good 3" xfId="154"/>
    <cellStyle name="Good 4" xfId="155"/>
    <cellStyle name="Good 5" xfId="156"/>
    <cellStyle name="Good 6" xfId="157"/>
    <cellStyle name="Good 7" xfId="158"/>
    <cellStyle name="Good 8" xfId="159"/>
    <cellStyle name="Good 9" xfId="160"/>
    <cellStyle name="Grey" xfId="161"/>
    <cellStyle name="Header1" xfId="162"/>
    <cellStyle name="Header2" xfId="163"/>
    <cellStyle name="Heading 1 2" xfId="164"/>
    <cellStyle name="Heading 1 3" xfId="165"/>
    <cellStyle name="Heading 1 4" xfId="166"/>
    <cellStyle name="Heading 1 5" xfId="167"/>
    <cellStyle name="Heading 1 6" xfId="168"/>
    <cellStyle name="Heading 1 7" xfId="169"/>
    <cellStyle name="Heading 1 8" xfId="170"/>
    <cellStyle name="Heading 1 9" xfId="171"/>
    <cellStyle name="Heading 2 2" xfId="172"/>
    <cellStyle name="Heading 2 3" xfId="173"/>
    <cellStyle name="Heading 2 4" xfId="174"/>
    <cellStyle name="Heading 2 5" xfId="175"/>
    <cellStyle name="Heading 2 6" xfId="176"/>
    <cellStyle name="Heading 2 7" xfId="177"/>
    <cellStyle name="Heading 2 8" xfId="178"/>
    <cellStyle name="Heading 2 9" xfId="179"/>
    <cellStyle name="Heading 3 2" xfId="180"/>
    <cellStyle name="Heading 3 3" xfId="181"/>
    <cellStyle name="Heading 3 4" xfId="182"/>
    <cellStyle name="Heading 3 5" xfId="183"/>
    <cellStyle name="Heading 3 6" xfId="184"/>
    <cellStyle name="Heading 3 7" xfId="185"/>
    <cellStyle name="Heading 3 8" xfId="186"/>
    <cellStyle name="Heading 3 9" xfId="187"/>
    <cellStyle name="Heading 4 2" xfId="188"/>
    <cellStyle name="Heading 4 3" xfId="189"/>
    <cellStyle name="Heading 4 4" xfId="190"/>
    <cellStyle name="Heading 4 5" xfId="191"/>
    <cellStyle name="Heading 4 6" xfId="192"/>
    <cellStyle name="Heading 4 7" xfId="193"/>
    <cellStyle name="Heading 4 8" xfId="194"/>
    <cellStyle name="Heading 4 9" xfId="195"/>
    <cellStyle name="Input [yellow]" xfId="196"/>
    <cellStyle name="Input 2" xfId="197"/>
    <cellStyle name="Input 3" xfId="198"/>
    <cellStyle name="Input 4" xfId="199"/>
    <cellStyle name="Input 5" xfId="200"/>
    <cellStyle name="Input 6" xfId="201"/>
    <cellStyle name="Input 7" xfId="202"/>
    <cellStyle name="Input 8" xfId="203"/>
    <cellStyle name="Input 9" xfId="204"/>
    <cellStyle name="Link Currency (0)" xfId="205"/>
    <cellStyle name="Link Currency (2)" xfId="206"/>
    <cellStyle name="Link Units (0)" xfId="207"/>
    <cellStyle name="Link Units (1)" xfId="208"/>
    <cellStyle name="Link Units (2)" xfId="209"/>
    <cellStyle name="Linked Cell 2" xfId="210"/>
    <cellStyle name="Linked Cell 3" xfId="211"/>
    <cellStyle name="Linked Cell 4" xfId="212"/>
    <cellStyle name="Linked Cell 5" xfId="213"/>
    <cellStyle name="Linked Cell 6" xfId="214"/>
    <cellStyle name="Linked Cell 7" xfId="215"/>
    <cellStyle name="Linked Cell 8" xfId="216"/>
    <cellStyle name="Linked Cell 9" xfId="217"/>
    <cellStyle name="Milliers [0]_VERA" xfId="218"/>
    <cellStyle name="Milliers_VERA" xfId="219"/>
    <cellStyle name="Monétaire [0]_VERA" xfId="220"/>
    <cellStyle name="Monétaire_VERA" xfId="221"/>
    <cellStyle name="Neutral 2" xfId="222"/>
    <cellStyle name="Neutral 3" xfId="223"/>
    <cellStyle name="Neutral 4" xfId="224"/>
    <cellStyle name="Neutral 5" xfId="225"/>
    <cellStyle name="Neutral 6" xfId="226"/>
    <cellStyle name="Neutral 7" xfId="227"/>
    <cellStyle name="Neutral 8" xfId="228"/>
    <cellStyle name="Neutral 9" xfId="229"/>
    <cellStyle name="Normal" xfId="0" builtinId="0"/>
    <cellStyle name="Normal - Style1" xfId="230"/>
    <cellStyle name="Normal 14" xfId="4"/>
    <cellStyle name="Normal 2" xfId="231"/>
    <cellStyle name="Normal 2 2" xfId="232"/>
    <cellStyle name="Normal 3" xfId="233"/>
    <cellStyle name="Normal 5" xfId="234"/>
    <cellStyle name="Normal 6" xfId="235"/>
    <cellStyle name="Normal 7" xfId="236"/>
    <cellStyle name="Normal 8" xfId="237"/>
    <cellStyle name="Normal 9" xfId="238"/>
    <cellStyle name="Normal_Finance - XI" xfId="3"/>
    <cellStyle name="Note 2" xfId="239"/>
    <cellStyle name="Note 3" xfId="240"/>
    <cellStyle name="Note 4" xfId="241"/>
    <cellStyle name="Note 5" xfId="242"/>
    <cellStyle name="Note 6" xfId="243"/>
    <cellStyle name="Note 7" xfId="244"/>
    <cellStyle name="Note 8" xfId="245"/>
    <cellStyle name="Note 9" xfId="246"/>
    <cellStyle name="Output 2" xfId="247"/>
    <cellStyle name="Output 3" xfId="248"/>
    <cellStyle name="Output 4" xfId="249"/>
    <cellStyle name="Output 5" xfId="250"/>
    <cellStyle name="Output 6" xfId="251"/>
    <cellStyle name="Output 7" xfId="252"/>
    <cellStyle name="Output 8" xfId="253"/>
    <cellStyle name="Output 9" xfId="254"/>
    <cellStyle name="Pattern" xfId="255"/>
    <cellStyle name="Percent" xfId="2" builtinId="5"/>
    <cellStyle name="Percent [0]" xfId="256"/>
    <cellStyle name="Percent [00]" xfId="257"/>
    <cellStyle name="Percent [2]" xfId="258"/>
    <cellStyle name="Percent 2" xfId="259"/>
    <cellStyle name="Percent 2 2" xfId="260"/>
    <cellStyle name="Percent 2 3" xfId="261"/>
    <cellStyle name="Percent 3 2" xfId="262"/>
    <cellStyle name="Percent 3 3" xfId="263"/>
    <cellStyle name="Percent 3 4" xfId="264"/>
    <cellStyle name="Percent 3 5" xfId="265"/>
    <cellStyle name="Percent 3 6" xfId="266"/>
    <cellStyle name="Percent 3 7" xfId="267"/>
    <cellStyle name="Percent 3 8" xfId="268"/>
    <cellStyle name="PrePop Currency (0)" xfId="269"/>
    <cellStyle name="PrePop Currency (2)" xfId="270"/>
    <cellStyle name="PrePop Units (0)" xfId="271"/>
    <cellStyle name="PrePop Units (1)" xfId="272"/>
    <cellStyle name="PrePop Units (2)" xfId="273"/>
    <cellStyle name="Sheet Title" xfId="274"/>
    <cellStyle name="STYL1 - Style1" xfId="275"/>
    <cellStyle name="STYL2 - Style2" xfId="276"/>
    <cellStyle name="STYL3 - Style3" xfId="277"/>
    <cellStyle name="STYL4 - Style4" xfId="278"/>
    <cellStyle name="STYL5 - Style5" xfId="279"/>
    <cellStyle name="Text Indent A" xfId="280"/>
    <cellStyle name="Text Indent B" xfId="281"/>
    <cellStyle name="Text Indent C" xfId="282"/>
    <cellStyle name="Total 2" xfId="283"/>
    <cellStyle name="Total 3" xfId="284"/>
    <cellStyle name="Total 4" xfId="285"/>
    <cellStyle name="Total 5" xfId="286"/>
    <cellStyle name="Total 6" xfId="287"/>
    <cellStyle name="Total 7" xfId="288"/>
    <cellStyle name="Total 8" xfId="289"/>
    <cellStyle name="Total 9" xfId="290"/>
    <cellStyle name="Update" xfId="291"/>
    <cellStyle name="Warning Text 2" xfId="292"/>
    <cellStyle name="Warning Text 3" xfId="293"/>
    <cellStyle name="Warning Text 4" xfId="294"/>
    <cellStyle name="Warning Text 5" xfId="295"/>
    <cellStyle name="Warning Text 6" xfId="296"/>
    <cellStyle name="Warning Text 7" xfId="297"/>
    <cellStyle name="Warning Text 8" xfId="298"/>
    <cellStyle name="Warning Text 9" xfId="29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6"/>
  <sheetViews>
    <sheetView showGridLines="0" tabSelected="1" zoomScaleNormal="100" workbookViewId="0">
      <selection sqref="A1:X38"/>
    </sheetView>
  </sheetViews>
  <sheetFormatPr defaultColWidth="9.140625" defaultRowHeight="12.75" x14ac:dyDescent="0.2"/>
  <cols>
    <col min="1" max="1" width="1.85546875" style="3" customWidth="1"/>
    <col min="2" max="2" width="43" style="3" customWidth="1"/>
    <col min="3" max="3" width="0.42578125" style="3" customWidth="1"/>
    <col min="4" max="7" width="7.42578125" style="3" customWidth="1"/>
    <col min="8" max="8" width="2.28515625" style="3" customWidth="1"/>
    <col min="9" max="12" width="9.5703125" style="3" bestFit="1" customWidth="1"/>
    <col min="13" max="13" width="2.42578125" style="3" customWidth="1"/>
    <col min="14" max="17" width="9.5703125" style="3" bestFit="1" customWidth="1"/>
    <col min="18" max="18" width="2.42578125" style="3" customWidth="1"/>
    <col min="19" max="22" width="9.5703125" style="3" bestFit="1" customWidth="1"/>
    <col min="23" max="23" width="41" style="3" bestFit="1" customWidth="1"/>
    <col min="24" max="24" width="9.140625" style="3"/>
    <col min="25" max="25" width="3" style="3" customWidth="1"/>
    <col min="26" max="16384" width="9.140625" style="3"/>
  </cols>
  <sheetData>
    <row r="1" spans="1:24" ht="21.75" x14ac:dyDescent="0.2">
      <c r="A1" s="67" t="s">
        <v>64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</row>
    <row r="2" spans="1:24" s="1" customFormat="1" ht="22.5" customHeight="1" x14ac:dyDescent="0.2">
      <c r="A2" s="70" t="s">
        <v>65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</row>
    <row r="3" spans="1:24" s="1" customFormat="1" ht="15" customHeight="1" x14ac:dyDescent="0.2">
      <c r="A3" s="71" t="s">
        <v>0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</row>
    <row r="4" spans="1:24" s="2" customFormat="1" ht="15" customHeight="1" x14ac:dyDescent="0.2">
      <c r="A4" s="69" t="s">
        <v>1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</row>
    <row r="5" spans="1:24" s="10" customFormat="1" ht="15" x14ac:dyDescent="0.25">
      <c r="A5" s="54"/>
      <c r="B5" s="55"/>
      <c r="C5" s="20"/>
      <c r="D5" s="65" t="s">
        <v>62</v>
      </c>
      <c r="E5" s="65"/>
      <c r="F5" s="65"/>
      <c r="G5" s="65"/>
      <c r="H5" s="20"/>
      <c r="I5" s="72" t="s">
        <v>59</v>
      </c>
      <c r="J5" s="72"/>
      <c r="K5" s="72"/>
      <c r="L5" s="72"/>
      <c r="M5" s="21"/>
      <c r="N5" s="72" t="s">
        <v>60</v>
      </c>
      <c r="O5" s="72"/>
      <c r="P5" s="72"/>
      <c r="Q5" s="72"/>
      <c r="R5" s="56"/>
      <c r="S5" s="73">
        <v>2014</v>
      </c>
      <c r="T5" s="73"/>
      <c r="U5" s="73"/>
      <c r="V5" s="73"/>
    </row>
    <row r="6" spans="1:24" s="10" customFormat="1" ht="18" x14ac:dyDescent="0.45">
      <c r="A6" s="57" t="s">
        <v>2</v>
      </c>
      <c r="B6" s="58"/>
      <c r="C6" s="59"/>
      <c r="D6" s="59" t="s">
        <v>3</v>
      </c>
      <c r="E6" s="59" t="s">
        <v>4</v>
      </c>
      <c r="F6" s="59" t="s">
        <v>5</v>
      </c>
      <c r="G6" s="22" t="s">
        <v>6</v>
      </c>
      <c r="H6" s="59"/>
      <c r="I6" s="23" t="s">
        <v>3</v>
      </c>
      <c r="J6" s="23" t="s">
        <v>4</v>
      </c>
      <c r="K6" s="23" t="s">
        <v>5</v>
      </c>
      <c r="L6" s="23" t="s">
        <v>58</v>
      </c>
      <c r="M6" s="22"/>
      <c r="N6" s="23" t="s">
        <v>3</v>
      </c>
      <c r="O6" s="23" t="s">
        <v>4</v>
      </c>
      <c r="P6" s="23" t="s">
        <v>5</v>
      </c>
      <c r="Q6" s="23" t="s">
        <v>6</v>
      </c>
      <c r="R6" s="59"/>
      <c r="S6" s="59" t="s">
        <v>3</v>
      </c>
      <c r="T6" s="59" t="s">
        <v>4</v>
      </c>
      <c r="U6" s="59" t="s">
        <v>5</v>
      </c>
      <c r="V6" s="59" t="s">
        <v>6</v>
      </c>
      <c r="W6" s="60"/>
      <c r="X6" s="60"/>
    </row>
    <row r="7" spans="1:24" s="10" customFormat="1" ht="16.5" x14ac:dyDescent="0.3">
      <c r="A7" s="61"/>
      <c r="B7" s="62"/>
      <c r="C7" s="62"/>
      <c r="D7" s="62" t="s">
        <v>7</v>
      </c>
      <c r="E7" s="62" t="s">
        <v>8</v>
      </c>
      <c r="F7" s="62" t="s">
        <v>9</v>
      </c>
      <c r="G7" s="41" t="s">
        <v>49</v>
      </c>
      <c r="H7" s="62"/>
      <c r="I7" s="24" t="s">
        <v>7</v>
      </c>
      <c r="J7" s="24" t="s">
        <v>8</v>
      </c>
      <c r="K7" s="24" t="s">
        <v>9</v>
      </c>
      <c r="L7" s="24" t="s">
        <v>49</v>
      </c>
      <c r="M7" s="24"/>
      <c r="N7" s="24" t="s">
        <v>7</v>
      </c>
      <c r="O7" s="24" t="s">
        <v>8</v>
      </c>
      <c r="P7" s="24" t="s">
        <v>9</v>
      </c>
      <c r="Q7" s="24" t="s">
        <v>28</v>
      </c>
      <c r="R7" s="62"/>
      <c r="S7" s="62" t="s">
        <v>7</v>
      </c>
      <c r="T7" s="62" t="s">
        <v>8</v>
      </c>
      <c r="U7" s="62" t="s">
        <v>9</v>
      </c>
      <c r="V7" s="62" t="s">
        <v>28</v>
      </c>
    </row>
    <row r="8" spans="1:24" s="5" customFormat="1" ht="15" customHeight="1" x14ac:dyDescent="0.2">
      <c r="A8" s="7" t="s">
        <v>23</v>
      </c>
      <c r="D8" s="8">
        <v>-144.22634162000003</v>
      </c>
      <c r="E8" s="8">
        <v>-155.08057236000002</v>
      </c>
      <c r="F8" s="8">
        <v>-209.25462751999993</v>
      </c>
      <c r="G8" s="8">
        <v>-245.30407299999993</v>
      </c>
      <c r="H8" s="8"/>
      <c r="I8" s="11">
        <v>-255.21060014999998</v>
      </c>
      <c r="J8" s="11">
        <v>-232.01286080000003</v>
      </c>
      <c r="K8" s="11">
        <v>-208.69522132</v>
      </c>
      <c r="L8" s="11">
        <v>-172.56319774346105</v>
      </c>
      <c r="M8" s="11"/>
      <c r="N8" s="11">
        <v>-196.1985688160382</v>
      </c>
      <c r="O8" s="11">
        <v>-179.19978850098073</v>
      </c>
      <c r="P8" s="11">
        <v>-149.73193319344989</v>
      </c>
      <c r="Q8" s="11">
        <v>-126.11273572789753</v>
      </c>
      <c r="R8" s="11"/>
      <c r="S8" s="11">
        <v>-95.581894018518597</v>
      </c>
      <c r="T8" s="11">
        <v>-37.977042180635237</v>
      </c>
      <c r="U8" s="11">
        <v>5.7490623714236904</v>
      </c>
      <c r="V8" s="11">
        <v>-105.89994229125315</v>
      </c>
      <c r="W8" s="25"/>
      <c r="X8" s="26" t="s">
        <v>10</v>
      </c>
    </row>
    <row r="9" spans="1:24" s="2" customFormat="1" ht="15" customHeight="1" x14ac:dyDescent="0.2">
      <c r="A9" s="19"/>
      <c r="B9" s="6" t="s">
        <v>40</v>
      </c>
      <c r="C9" s="6"/>
      <c r="D9" s="9">
        <v>115.19887035999999</v>
      </c>
      <c r="E9" s="9">
        <v>103.13083414</v>
      </c>
      <c r="F9" s="9">
        <v>85.207177330000022</v>
      </c>
      <c r="G9" s="9">
        <v>83.976500000000016</v>
      </c>
      <c r="H9" s="9"/>
      <c r="I9" s="12">
        <v>114.37017741999998</v>
      </c>
      <c r="J9" s="12">
        <v>125.54548413000001</v>
      </c>
      <c r="K9" s="12">
        <v>120.15191214000001</v>
      </c>
      <c r="L9" s="12">
        <v>116.42459598999999</v>
      </c>
      <c r="M9" s="12"/>
      <c r="N9" s="12">
        <v>141.93986165999999</v>
      </c>
      <c r="O9" s="12">
        <v>141.90952433000001</v>
      </c>
      <c r="P9" s="12">
        <v>189.78039481999997</v>
      </c>
      <c r="Q9" s="12">
        <v>186.30273677518574</v>
      </c>
      <c r="R9" s="12"/>
      <c r="S9" s="12">
        <v>261.28974280528138</v>
      </c>
      <c r="T9" s="12">
        <v>277.69221177528135</v>
      </c>
      <c r="U9" s="12">
        <v>258.02357142518571</v>
      </c>
      <c r="V9" s="12">
        <v>237.33972596999999</v>
      </c>
      <c r="W9" s="25" t="s">
        <v>29</v>
      </c>
      <c r="X9" s="25"/>
    </row>
    <row r="10" spans="1:24" s="2" customFormat="1" ht="15" customHeight="1" x14ac:dyDescent="0.2">
      <c r="A10" s="19"/>
      <c r="B10" s="6" t="s">
        <v>41</v>
      </c>
      <c r="C10" s="6"/>
      <c r="D10" s="9">
        <v>-259.42521198000003</v>
      </c>
      <c r="E10" s="9">
        <v>-258.21140650000001</v>
      </c>
      <c r="F10" s="9">
        <v>-294.46180484999996</v>
      </c>
      <c r="G10" s="9">
        <v>-329.28057299999995</v>
      </c>
      <c r="H10" s="9"/>
      <c r="I10" s="12">
        <v>-369.58077756999995</v>
      </c>
      <c r="J10" s="12">
        <v>-357.55834493000003</v>
      </c>
      <c r="K10" s="12">
        <v>-328.84713346000001</v>
      </c>
      <c r="L10" s="12">
        <v>-288.98779373346105</v>
      </c>
      <c r="M10" s="12"/>
      <c r="N10" s="12">
        <v>-338.1384304760382</v>
      </c>
      <c r="O10" s="12">
        <v>-321.10931283098074</v>
      </c>
      <c r="P10" s="12">
        <v>-339.51232801344986</v>
      </c>
      <c r="Q10" s="12">
        <v>-312.41547250308327</v>
      </c>
      <c r="R10" s="12"/>
      <c r="S10" s="12">
        <v>-356.87163682379997</v>
      </c>
      <c r="T10" s="12">
        <v>-315.66925395591659</v>
      </c>
      <c r="U10" s="12">
        <v>-252.27450905376202</v>
      </c>
      <c r="V10" s="12">
        <v>-343.23966826125314</v>
      </c>
      <c r="W10" s="25" t="s">
        <v>30</v>
      </c>
      <c r="X10" s="25"/>
    </row>
    <row r="11" spans="1:24" s="2" customFormat="1" ht="12.6" customHeight="1" x14ac:dyDescent="0.2">
      <c r="A11" s="19"/>
      <c r="B11" s="6"/>
      <c r="C11" s="6"/>
      <c r="D11" s="9"/>
      <c r="E11" s="9"/>
      <c r="F11" s="9"/>
      <c r="G11" s="9"/>
      <c r="H11" s="9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4" s="5" customFormat="1" ht="12.75" customHeight="1" x14ac:dyDescent="0.2">
      <c r="A12" s="7" t="s">
        <v>51</v>
      </c>
      <c r="D12" s="8">
        <v>425.81366618999999</v>
      </c>
      <c r="E12" s="8">
        <v>477.96708130000002</v>
      </c>
      <c r="F12" s="8">
        <v>501.50905241999999</v>
      </c>
      <c r="G12" s="8">
        <v>410.09009200000003</v>
      </c>
      <c r="H12" s="8"/>
      <c r="I12" s="11">
        <v>342.62385051000001</v>
      </c>
      <c r="J12" s="11">
        <v>371.66267991000001</v>
      </c>
      <c r="K12" s="11">
        <v>373.00885725000006</v>
      </c>
      <c r="L12" s="11">
        <v>412.57923419671238</v>
      </c>
      <c r="M12" s="11"/>
      <c r="N12" s="11">
        <v>397.95761827000001</v>
      </c>
      <c r="O12" s="11">
        <v>395.96290270999998</v>
      </c>
      <c r="P12" s="11">
        <v>512.75548346999994</v>
      </c>
      <c r="Q12" s="11">
        <v>509.98666222272169</v>
      </c>
      <c r="R12" s="11"/>
      <c r="S12" s="11">
        <v>550.13788241272175</v>
      </c>
      <c r="T12" s="11">
        <v>524.0255407927217</v>
      </c>
      <c r="U12" s="11">
        <v>440.14436456272171</v>
      </c>
      <c r="V12" s="11">
        <v>466.03587812999996</v>
      </c>
      <c r="W12" s="25"/>
      <c r="X12" s="27" t="s">
        <v>31</v>
      </c>
    </row>
    <row r="13" spans="1:24" s="2" customFormat="1" ht="12.75" customHeight="1" x14ac:dyDescent="0.2">
      <c r="A13" s="6"/>
      <c r="D13" s="9"/>
      <c r="E13" s="9"/>
      <c r="F13" s="9"/>
      <c r="G13" s="9"/>
      <c r="H13" s="9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4" s="5" customFormat="1" ht="15" customHeight="1" x14ac:dyDescent="0.2">
      <c r="A14" s="7" t="s">
        <v>32</v>
      </c>
      <c r="D14" s="8">
        <v>2816.8450509899999</v>
      </c>
      <c r="E14" s="8">
        <v>2764.9289269599999</v>
      </c>
      <c r="F14" s="8">
        <v>2809.9985919699998</v>
      </c>
      <c r="G14" s="8">
        <v>2903.637373</v>
      </c>
      <c r="H14" s="8"/>
      <c r="I14" s="11">
        <v>3285.1984310099997</v>
      </c>
      <c r="J14" s="11">
        <v>3444.50347943</v>
      </c>
      <c r="K14" s="11">
        <v>3649.8381892800003</v>
      </c>
      <c r="L14" s="11">
        <v>3779.7759776482962</v>
      </c>
      <c r="M14" s="11"/>
      <c r="N14" s="11">
        <v>4007.9424372599392</v>
      </c>
      <c r="O14" s="11">
        <v>4287.7592250256757</v>
      </c>
      <c r="P14" s="11">
        <v>4445.0173690520842</v>
      </c>
      <c r="Q14" s="11">
        <v>4625.9657627487504</v>
      </c>
      <c r="R14" s="11"/>
      <c r="S14" s="11">
        <v>4803.767775567916</v>
      </c>
      <c r="T14" s="11">
        <v>5379.9596890775028</v>
      </c>
      <c r="U14" s="11">
        <v>5620.1559764441536</v>
      </c>
      <c r="V14" s="11">
        <v>6081.8591406797359</v>
      </c>
      <c r="W14" s="25"/>
      <c r="X14" s="27" t="s">
        <v>11</v>
      </c>
    </row>
    <row r="15" spans="1:24" s="2" customFormat="1" ht="15" customHeight="1" x14ac:dyDescent="0.2">
      <c r="A15" s="19"/>
      <c r="B15" s="6" t="s">
        <v>42</v>
      </c>
      <c r="C15" s="6"/>
      <c r="D15" s="9">
        <v>2902.8459818900001</v>
      </c>
      <c r="E15" s="9">
        <v>2856.7727432199999</v>
      </c>
      <c r="F15" s="9">
        <v>2984.4780000199999</v>
      </c>
      <c r="G15" s="9">
        <v>3037.942626</v>
      </c>
      <c r="H15" s="9"/>
      <c r="I15" s="12">
        <v>3435.9458245799997</v>
      </c>
      <c r="J15" s="12">
        <v>3585.16326544</v>
      </c>
      <c r="K15" s="12">
        <v>3790.1841311600001</v>
      </c>
      <c r="L15" s="12">
        <v>3933.3995791799998</v>
      </c>
      <c r="M15" s="12"/>
      <c r="N15" s="12">
        <v>4159.6157416800006</v>
      </c>
      <c r="O15" s="12">
        <v>4439.8660905100005</v>
      </c>
      <c r="P15" s="12">
        <v>4589.8198372000006</v>
      </c>
      <c r="Q15" s="12">
        <v>4779.5460733800001</v>
      </c>
      <c r="R15" s="12"/>
      <c r="S15" s="12">
        <v>4953.8716217599995</v>
      </c>
      <c r="T15" s="12">
        <v>5532.7762143599994</v>
      </c>
      <c r="U15" s="12">
        <v>5789.8635654899999</v>
      </c>
      <c r="V15" s="12">
        <v>6195.5800857799995</v>
      </c>
      <c r="W15" s="25" t="s">
        <v>12</v>
      </c>
      <c r="X15" s="25"/>
    </row>
    <row r="16" spans="1:24" s="2" customFormat="1" ht="15" customHeight="1" x14ac:dyDescent="0.2">
      <c r="A16" s="19"/>
      <c r="B16" s="6" t="s">
        <v>43</v>
      </c>
      <c r="C16" s="6"/>
      <c r="D16" s="9">
        <v>-86.000930899999986</v>
      </c>
      <c r="E16" s="9">
        <v>-91.843816259999997</v>
      </c>
      <c r="F16" s="9">
        <v>-174.47940805000002</v>
      </c>
      <c r="G16" s="9">
        <v>-134.30525299999999</v>
      </c>
      <c r="H16" s="9"/>
      <c r="I16" s="12">
        <v>-150.74739357000001</v>
      </c>
      <c r="J16" s="12">
        <v>-140.65978601</v>
      </c>
      <c r="K16" s="12">
        <v>-140.34594188000003</v>
      </c>
      <c r="L16" s="12">
        <v>-153.62360153170368</v>
      </c>
      <c r="M16" s="12"/>
      <c r="N16" s="12">
        <v>-151.67330442006136</v>
      </c>
      <c r="O16" s="12">
        <v>-152.10686548432435</v>
      </c>
      <c r="P16" s="12">
        <v>-144.80246814791667</v>
      </c>
      <c r="Q16" s="12">
        <v>-153.58031063124997</v>
      </c>
      <c r="R16" s="12"/>
      <c r="S16" s="12">
        <v>-150.10384619208332</v>
      </c>
      <c r="T16" s="12">
        <v>-152.81652528249666</v>
      </c>
      <c r="U16" s="12">
        <v>-169.70758904584667</v>
      </c>
      <c r="V16" s="12">
        <v>-113.72094510026334</v>
      </c>
      <c r="W16" s="25" t="s">
        <v>13</v>
      </c>
      <c r="X16" s="25"/>
    </row>
    <row r="17" spans="1:25" s="2" customFormat="1" ht="15" customHeight="1" x14ac:dyDescent="0.2">
      <c r="A17" s="7" t="s">
        <v>33</v>
      </c>
      <c r="B17" s="7"/>
      <c r="C17" s="7"/>
      <c r="D17" s="9">
        <v>680.50532540999995</v>
      </c>
      <c r="E17" s="9">
        <v>802.91266739000002</v>
      </c>
      <c r="F17" s="9">
        <v>882.40521917000001</v>
      </c>
      <c r="G17" s="9">
        <v>1153.6228940000001</v>
      </c>
      <c r="H17" s="9"/>
      <c r="I17" s="12">
        <v>1177.0539279499999</v>
      </c>
      <c r="J17" s="12">
        <v>1171.3906264800003</v>
      </c>
      <c r="K17" s="12">
        <v>1189.5937634100001</v>
      </c>
      <c r="L17" s="12">
        <v>1127.4791747359657</v>
      </c>
      <c r="M17" s="12"/>
      <c r="N17" s="12">
        <v>1153.4785627800002</v>
      </c>
      <c r="O17" s="12">
        <v>1172.4326228299999</v>
      </c>
      <c r="P17" s="12">
        <v>1150.4539301999998</v>
      </c>
      <c r="Q17" s="12">
        <v>1227.8860989109983</v>
      </c>
      <c r="R17" s="12"/>
      <c r="S17" s="12">
        <v>1285.180496050998</v>
      </c>
      <c r="T17" s="12">
        <v>1400.3446568709981</v>
      </c>
      <c r="U17" s="12">
        <v>1451.5239474109976</v>
      </c>
      <c r="V17" s="12">
        <v>1523.4952088700004</v>
      </c>
      <c r="W17" s="25"/>
      <c r="X17" s="27" t="s">
        <v>34</v>
      </c>
    </row>
    <row r="18" spans="1:25" s="5" customFormat="1" ht="15" customHeight="1" x14ac:dyDescent="0.2">
      <c r="A18" s="19"/>
      <c r="B18" s="6" t="s">
        <v>44</v>
      </c>
      <c r="C18" s="6"/>
      <c r="D18" s="8">
        <v>40.805</v>
      </c>
      <c r="E18" s="8">
        <v>49.124000000000002</v>
      </c>
      <c r="F18" s="8">
        <v>47.393999999999998</v>
      </c>
      <c r="G18" s="8">
        <v>56.050739999999998</v>
      </c>
      <c r="H18" s="8"/>
      <c r="I18" s="11">
        <v>53.779000000000003</v>
      </c>
      <c r="J18" s="11">
        <v>41.864999999999995</v>
      </c>
      <c r="K18" s="11">
        <v>43.867999999999995</v>
      </c>
      <c r="L18" s="11">
        <v>59.365252070000004</v>
      </c>
      <c r="M18" s="11"/>
      <c r="N18" s="11">
        <v>69.401152130000014</v>
      </c>
      <c r="O18" s="11">
        <v>69.170521159999993</v>
      </c>
      <c r="P18" s="11">
        <v>66.783772970000001</v>
      </c>
      <c r="Q18" s="11">
        <v>59.951734119999998</v>
      </c>
      <c r="R18" s="11"/>
      <c r="S18" s="11">
        <v>83.427012460000014</v>
      </c>
      <c r="T18" s="11">
        <v>60.140039209999998</v>
      </c>
      <c r="U18" s="11">
        <v>95.412132560000003</v>
      </c>
      <c r="V18" s="11">
        <v>107.87896110999999</v>
      </c>
      <c r="W18" s="25" t="s">
        <v>14</v>
      </c>
      <c r="X18" s="25"/>
    </row>
    <row r="19" spans="1:25" s="2" customFormat="1" ht="15" customHeight="1" x14ac:dyDescent="0.2">
      <c r="A19" s="19"/>
      <c r="B19" s="6" t="s">
        <v>45</v>
      </c>
      <c r="C19" s="6"/>
      <c r="D19" s="9">
        <v>639.70032541</v>
      </c>
      <c r="E19" s="9">
        <v>753.78866739</v>
      </c>
      <c r="F19" s="9">
        <v>835.01121917</v>
      </c>
      <c r="G19" s="9">
        <v>1097.5721540000002</v>
      </c>
      <c r="H19" s="9"/>
      <c r="I19" s="12">
        <v>1123.2749279499999</v>
      </c>
      <c r="J19" s="12">
        <v>1129.5256264800003</v>
      </c>
      <c r="K19" s="12">
        <v>1145.7257634100001</v>
      </c>
      <c r="L19" s="12">
        <v>1068.1139226659657</v>
      </c>
      <c r="M19" s="12"/>
      <c r="N19" s="12">
        <v>1084.07741065</v>
      </c>
      <c r="O19" s="12">
        <v>1103.26210167</v>
      </c>
      <c r="P19" s="12">
        <v>1083.6701572299999</v>
      </c>
      <c r="Q19" s="12">
        <v>1167.9343647909982</v>
      </c>
      <c r="R19" s="12"/>
      <c r="S19" s="12">
        <v>1201.753483590998</v>
      </c>
      <c r="T19" s="12">
        <v>1340.2046176609981</v>
      </c>
      <c r="U19" s="12">
        <v>1356.1118148509977</v>
      </c>
      <c r="V19" s="12">
        <v>1415.6162477600003</v>
      </c>
      <c r="W19" s="25" t="s">
        <v>15</v>
      </c>
      <c r="X19" s="25"/>
    </row>
    <row r="20" spans="1:25" s="2" customFormat="1" ht="15" customHeight="1" x14ac:dyDescent="0.2">
      <c r="A20" s="19"/>
      <c r="B20" s="6"/>
      <c r="C20" s="6"/>
      <c r="D20" s="9"/>
      <c r="E20" s="9"/>
      <c r="F20" s="9"/>
      <c r="G20" s="9"/>
      <c r="H20" s="9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X20" s="25"/>
    </row>
    <row r="21" spans="1:25" s="5" customFormat="1" ht="15" customHeight="1" x14ac:dyDescent="0.2">
      <c r="A21" s="7" t="s">
        <v>52</v>
      </c>
      <c r="D21" s="8">
        <v>0</v>
      </c>
      <c r="E21" s="8">
        <v>0</v>
      </c>
      <c r="F21" s="8">
        <v>0</v>
      </c>
      <c r="G21" s="8">
        <v>0</v>
      </c>
      <c r="H21" s="8"/>
      <c r="I21" s="11">
        <v>0</v>
      </c>
      <c r="J21" s="11">
        <v>0</v>
      </c>
      <c r="K21" s="11">
        <v>0</v>
      </c>
      <c r="L21" s="11">
        <v>0</v>
      </c>
      <c r="M21" s="11"/>
      <c r="N21" s="11">
        <v>0</v>
      </c>
      <c r="O21" s="11">
        <v>0</v>
      </c>
      <c r="P21" s="11">
        <v>0</v>
      </c>
      <c r="Q21" s="11">
        <v>0</v>
      </c>
      <c r="R21" s="11"/>
      <c r="S21" s="11">
        <v>0</v>
      </c>
      <c r="T21" s="11">
        <v>0</v>
      </c>
      <c r="U21" s="11">
        <v>0</v>
      </c>
      <c r="V21" s="11">
        <v>0</v>
      </c>
      <c r="X21" s="27" t="s">
        <v>46</v>
      </c>
    </row>
    <row r="22" spans="1:25" s="5" customFormat="1" ht="15" customHeight="1" x14ac:dyDescent="0.2">
      <c r="A22" s="7" t="s">
        <v>53</v>
      </c>
      <c r="D22" s="8">
        <v>0</v>
      </c>
      <c r="E22" s="8">
        <v>0</v>
      </c>
      <c r="F22" s="8">
        <v>0</v>
      </c>
      <c r="G22" s="8">
        <v>0</v>
      </c>
      <c r="H22" s="8"/>
      <c r="I22" s="11">
        <v>0</v>
      </c>
      <c r="J22" s="11">
        <v>0</v>
      </c>
      <c r="K22" s="11">
        <v>0</v>
      </c>
      <c r="L22" s="11">
        <v>0</v>
      </c>
      <c r="M22" s="11"/>
      <c r="N22" s="11">
        <v>0</v>
      </c>
      <c r="O22" s="11">
        <v>0</v>
      </c>
      <c r="P22" s="11">
        <v>0</v>
      </c>
      <c r="Q22" s="11">
        <v>0</v>
      </c>
      <c r="R22" s="11"/>
      <c r="S22" s="11">
        <v>0</v>
      </c>
      <c r="T22" s="11">
        <v>0</v>
      </c>
      <c r="U22" s="11">
        <v>0</v>
      </c>
      <c r="V22" s="11">
        <v>0</v>
      </c>
      <c r="X22" s="27" t="s">
        <v>35</v>
      </c>
    </row>
    <row r="23" spans="1:25" s="5" customFormat="1" ht="15" customHeight="1" x14ac:dyDescent="0.2">
      <c r="A23" s="7" t="s">
        <v>16</v>
      </c>
      <c r="D23" s="8">
        <v>136.38800000000001</v>
      </c>
      <c r="E23" s="8">
        <v>137.76000000000002</v>
      </c>
      <c r="F23" s="8">
        <v>62.695</v>
      </c>
      <c r="G23" s="8">
        <v>63.826999999999998</v>
      </c>
      <c r="H23" s="8"/>
      <c r="I23" s="11">
        <v>64.585999999999999</v>
      </c>
      <c r="J23" s="11">
        <v>63.642999999999994</v>
      </c>
      <c r="K23" s="11">
        <v>60.792000000000009</v>
      </c>
      <c r="L23" s="11">
        <v>59.789000000000001</v>
      </c>
      <c r="M23" s="11"/>
      <c r="N23" s="11">
        <v>59.722999999999999</v>
      </c>
      <c r="O23" s="11">
        <v>59.753</v>
      </c>
      <c r="P23" s="11">
        <v>65.31</v>
      </c>
      <c r="Q23" s="11">
        <v>58.238000000000007</v>
      </c>
      <c r="R23" s="11"/>
      <c r="S23" s="11">
        <v>62.853000000000002</v>
      </c>
      <c r="T23" s="11">
        <v>57.596000000000004</v>
      </c>
      <c r="U23" s="11">
        <v>56.684999999999995</v>
      </c>
      <c r="V23" s="11">
        <v>56.155000000000001</v>
      </c>
      <c r="X23" s="27" t="s">
        <v>36</v>
      </c>
    </row>
    <row r="24" spans="1:25" s="5" customFormat="1" ht="15" customHeight="1" x14ac:dyDescent="0.45">
      <c r="A24" s="7" t="s">
        <v>17</v>
      </c>
      <c r="D24" s="8">
        <v>0.498</v>
      </c>
      <c r="E24" s="8">
        <v>0.48</v>
      </c>
      <c r="F24" s="8">
        <v>0.38</v>
      </c>
      <c r="G24" s="8">
        <v>0.28000000000000003</v>
      </c>
      <c r="H24" s="8"/>
      <c r="I24" s="11">
        <v>0.28000000000000003</v>
      </c>
      <c r="J24" s="11">
        <v>0.28000000000000003</v>
      </c>
      <c r="K24" s="11">
        <v>20.28</v>
      </c>
      <c r="L24" s="11">
        <v>20.28</v>
      </c>
      <c r="M24" s="11"/>
      <c r="N24" s="11">
        <v>22.25</v>
      </c>
      <c r="O24" s="11">
        <v>22.25</v>
      </c>
      <c r="P24" s="11">
        <v>2.25</v>
      </c>
      <c r="Q24" s="11">
        <v>0.28000000000000003</v>
      </c>
      <c r="R24" s="11"/>
      <c r="S24" s="11">
        <v>3.786</v>
      </c>
      <c r="T24" s="11">
        <v>3.786</v>
      </c>
      <c r="U24" s="11">
        <v>3.786</v>
      </c>
      <c r="V24" s="11">
        <v>3.786</v>
      </c>
      <c r="X24" s="39" t="s">
        <v>37</v>
      </c>
    </row>
    <row r="25" spans="1:25" s="5" customFormat="1" ht="15" customHeight="1" x14ac:dyDescent="0.45">
      <c r="A25" s="7" t="s">
        <v>18</v>
      </c>
      <c r="D25" s="8">
        <v>12.899999999999999</v>
      </c>
      <c r="E25" s="8">
        <v>179.44499999999999</v>
      </c>
      <c r="F25" s="8">
        <v>185.40600000000001</v>
      </c>
      <c r="G25" s="8">
        <v>78.182999999999993</v>
      </c>
      <c r="H25" s="8"/>
      <c r="I25" s="11">
        <v>64.986000000000004</v>
      </c>
      <c r="J25" s="11">
        <v>57.769999999999996</v>
      </c>
      <c r="K25" s="11">
        <v>84.991</v>
      </c>
      <c r="L25" s="11">
        <v>85.105000000000004</v>
      </c>
      <c r="M25" s="11"/>
      <c r="N25" s="11">
        <v>106.50865055</v>
      </c>
      <c r="O25" s="11">
        <v>175.91399999999999</v>
      </c>
      <c r="P25" s="11">
        <v>172.851</v>
      </c>
      <c r="Q25" s="11">
        <v>167.959</v>
      </c>
      <c r="R25" s="11"/>
      <c r="S25" s="11">
        <v>236.024</v>
      </c>
      <c r="T25" s="11">
        <v>265.15499999999997</v>
      </c>
      <c r="U25" s="11">
        <v>247.59800000000001</v>
      </c>
      <c r="V25" s="11">
        <v>248.321</v>
      </c>
      <c r="X25" s="39" t="s">
        <v>47</v>
      </c>
    </row>
    <row r="26" spans="1:25" s="5" customFormat="1" ht="15" customHeight="1" x14ac:dyDescent="0.45">
      <c r="A26" s="7" t="s">
        <v>54</v>
      </c>
      <c r="D26" s="8">
        <v>3029.48270968</v>
      </c>
      <c r="E26" s="8">
        <v>3086.4064048799996</v>
      </c>
      <c r="F26" s="8">
        <v>3279.94393945</v>
      </c>
      <c r="G26" s="8">
        <v>3571.3645709999996</v>
      </c>
      <c r="H26" s="8"/>
      <c r="I26" s="11">
        <v>3859.18067303</v>
      </c>
      <c r="J26" s="11">
        <v>4044.3498180500001</v>
      </c>
      <c r="K26" s="11">
        <v>4227.96993251</v>
      </c>
      <c r="L26" s="11">
        <v>4384.2213931838232</v>
      </c>
      <c r="M26" s="11"/>
      <c r="N26" s="11">
        <v>4574.8261678898089</v>
      </c>
      <c r="O26" s="11">
        <v>4801.570564772127</v>
      </c>
      <c r="P26" s="11">
        <v>5076.0294473415497</v>
      </c>
      <c r="Q26" s="11">
        <v>5320.7224162127495</v>
      </c>
      <c r="R26" s="11"/>
      <c r="S26" s="11">
        <v>5544.0094013349508</v>
      </c>
      <c r="T26" s="11">
        <v>6248.1722801597953</v>
      </c>
      <c r="U26" s="11">
        <v>6520.8696603644748</v>
      </c>
      <c r="V26" s="11">
        <v>6823.2078595646508</v>
      </c>
      <c r="X26" s="39" t="s">
        <v>48</v>
      </c>
    </row>
    <row r="27" spans="1:25" s="5" customFormat="1" ht="15" customHeight="1" x14ac:dyDescent="0.2">
      <c r="A27" s="7" t="s">
        <v>55</v>
      </c>
      <c r="D27" s="8">
        <v>417.91662434</v>
      </c>
      <c r="E27" s="8">
        <v>397.33618024999998</v>
      </c>
      <c r="F27" s="8">
        <v>416.05774624999998</v>
      </c>
      <c r="G27" s="8">
        <v>441.87009899999998</v>
      </c>
      <c r="H27" s="8"/>
      <c r="I27" s="11">
        <v>471.86465188</v>
      </c>
      <c r="J27" s="11">
        <v>490.64211691000003</v>
      </c>
      <c r="K27" s="11">
        <v>514.73158914999999</v>
      </c>
      <c r="L27" s="11">
        <v>518.14570201000004</v>
      </c>
      <c r="M27" s="11"/>
      <c r="N27" s="11">
        <v>572.63291537999999</v>
      </c>
      <c r="O27" s="11">
        <v>583.09696394999992</v>
      </c>
      <c r="P27" s="11">
        <v>620.45544313999994</v>
      </c>
      <c r="Q27" s="11">
        <v>622.04539433000002</v>
      </c>
      <c r="R27" s="11"/>
      <c r="S27" s="11">
        <v>659.07663222999997</v>
      </c>
      <c r="T27" s="11">
        <v>628.24563534000004</v>
      </c>
      <c r="U27" s="11">
        <v>664.65137991000006</v>
      </c>
      <c r="V27" s="11">
        <v>772.27721501000008</v>
      </c>
      <c r="X27" s="63" t="s">
        <v>19</v>
      </c>
    </row>
    <row r="28" spans="1:25" s="5" customFormat="1" ht="15" customHeight="1" x14ac:dyDescent="0.2">
      <c r="A28" s="18" t="s">
        <v>56</v>
      </c>
      <c r="D28" s="8">
        <v>181.75236695000001</v>
      </c>
      <c r="E28" s="8">
        <v>89.30051816000001</v>
      </c>
      <c r="F28" s="8">
        <v>40.175550340000015</v>
      </c>
      <c r="G28" s="8">
        <v>66.521615999999995</v>
      </c>
      <c r="H28" s="8"/>
      <c r="I28" s="11">
        <v>88.768284410000007</v>
      </c>
      <c r="J28" s="11">
        <v>98.858990059999982</v>
      </c>
      <c r="K28" s="11">
        <v>94.981067080000003</v>
      </c>
      <c r="L28" s="11">
        <v>79.730091117977608</v>
      </c>
      <c r="M28" s="11"/>
      <c r="N28" s="11">
        <v>27.239314664091168</v>
      </c>
      <c r="O28" s="11">
        <v>34.370433702568164</v>
      </c>
      <c r="P28" s="11">
        <v>21.598959047083312</v>
      </c>
      <c r="Q28" s="11">
        <v>68.48097761182207</v>
      </c>
      <c r="R28" s="11"/>
      <c r="S28" s="11">
        <v>37.75522644816769</v>
      </c>
      <c r="T28" s="11">
        <v>63.397929060792706</v>
      </c>
      <c r="U28" s="11">
        <v>23.983310514822051</v>
      </c>
      <c r="V28" s="11">
        <v>61.743210813833286</v>
      </c>
      <c r="X28" s="28" t="s">
        <v>20</v>
      </c>
    </row>
    <row r="29" spans="1:25" s="5" customFormat="1" ht="15" customHeight="1" x14ac:dyDescent="0.2">
      <c r="A29" s="13"/>
      <c r="B29" s="13"/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5"/>
      <c r="X29" s="15"/>
    </row>
    <row r="30" spans="1:25" s="33" customFormat="1" ht="18" x14ac:dyDescent="0.25">
      <c r="A30" s="40" t="s">
        <v>21</v>
      </c>
      <c r="B30" s="46"/>
      <c r="C30" s="46"/>
      <c r="D30" s="46"/>
      <c r="E30" s="46"/>
      <c r="F30" s="46"/>
      <c r="G30" s="46"/>
      <c r="H30" s="47"/>
      <c r="I30" s="47"/>
      <c r="J30" s="47"/>
      <c r="K30" s="47"/>
      <c r="L30" s="46"/>
      <c r="M30" s="46"/>
      <c r="N30" s="46"/>
      <c r="O30" s="46"/>
      <c r="P30" s="46"/>
      <c r="Q30" s="48"/>
      <c r="R30" s="46"/>
      <c r="S30" s="46"/>
      <c r="T30" s="46"/>
      <c r="U30" s="46"/>
      <c r="V30" s="48"/>
      <c r="W30" s="49"/>
      <c r="X30" s="31" t="s">
        <v>22</v>
      </c>
      <c r="Y30" s="35"/>
    </row>
    <row r="31" spans="1:25" s="4" customFormat="1" ht="17.25" x14ac:dyDescent="0.2">
      <c r="A31" s="38" t="s">
        <v>23</v>
      </c>
      <c r="B31" s="44"/>
      <c r="C31" s="44"/>
      <c r="D31" s="44"/>
      <c r="E31" s="44"/>
      <c r="F31" s="44"/>
      <c r="G31" s="44"/>
      <c r="H31" s="44"/>
      <c r="I31" s="44">
        <f>+(I8/D8-1)*100</f>
        <v>76.95144817748718</v>
      </c>
      <c r="J31" s="44">
        <f>+(J8/E8-1)*100</f>
        <v>49.607947191097153</v>
      </c>
      <c r="K31" s="44">
        <f>+(K8/F8-1)*100</f>
        <v>-0.26733277377412046</v>
      </c>
      <c r="L31" s="44">
        <f>+(L8/G8-1)*100</f>
        <v>-29.653349969667609</v>
      </c>
      <c r="M31" s="44"/>
      <c r="N31" s="44">
        <f>+(N8/I8-1)*100</f>
        <v>-23.122876283068749</v>
      </c>
      <c r="O31" s="44">
        <f>+(O8/J8-1)*100</f>
        <v>-22.762993446533674</v>
      </c>
      <c r="P31" s="44">
        <f>+(P8/K8-1)*100</f>
        <v>-28.253300556479701</v>
      </c>
      <c r="Q31" s="44">
        <f>+(Q8/L8-1)*100</f>
        <v>-26.917942309239386</v>
      </c>
      <c r="R31" s="44"/>
      <c r="S31" s="44">
        <f>+(S8/N8-1)*100</f>
        <v>-51.283082952486204</v>
      </c>
      <c r="T31" s="44">
        <f>+(T8/O8-1)*100</f>
        <v>-78.807429127949334</v>
      </c>
      <c r="U31" s="44">
        <f>+(U8/P8-1)*100</f>
        <v>-103.83956998938632</v>
      </c>
      <c r="V31" s="44">
        <f>+(V8/Q8-1)*100</f>
        <v>-16.027559246875555</v>
      </c>
      <c r="W31" s="42"/>
      <c r="X31" s="43" t="s">
        <v>10</v>
      </c>
    </row>
    <row r="32" spans="1:25" s="4" customFormat="1" ht="17.25" x14ac:dyDescent="0.2">
      <c r="A32" s="16" t="s">
        <v>32</v>
      </c>
      <c r="B32" s="15"/>
      <c r="C32" s="15"/>
      <c r="D32" s="17"/>
      <c r="E32" s="17"/>
      <c r="F32" s="17"/>
      <c r="G32" s="17"/>
      <c r="H32" s="17"/>
      <c r="I32" s="45">
        <f>+(I14/D14-1)*100</f>
        <v>16.6268776429642</v>
      </c>
      <c r="J32" s="45">
        <f t="shared" ref="J32:L32" si="0">+(J14/E14-1)*100</f>
        <v>24.578373275481713</v>
      </c>
      <c r="K32" s="45">
        <f t="shared" si="0"/>
        <v>29.887545129380854</v>
      </c>
      <c r="L32" s="45">
        <f t="shared" si="0"/>
        <v>30.173829996652834</v>
      </c>
      <c r="M32" s="45"/>
      <c r="N32" s="45">
        <f>+(N14/I14-1)*100</f>
        <v>22.000010697306326</v>
      </c>
      <c r="O32" s="45">
        <f>+(O14/J14-1)*100</f>
        <v>24.481198832617189</v>
      </c>
      <c r="P32" s="45">
        <f>+(P14/K14-1)*100</f>
        <v>21.786696794055626</v>
      </c>
      <c r="Q32" s="45">
        <f>+(Q14/L14-1)*100</f>
        <v>22.387299937996239</v>
      </c>
      <c r="R32" s="45"/>
      <c r="S32" s="45">
        <f>+(S14/N14-1)*100</f>
        <v>19.856206788539833</v>
      </c>
      <c r="T32" s="45">
        <f>+(T14/O14-1)*100</f>
        <v>25.472523216256082</v>
      </c>
      <c r="U32" s="45">
        <f>+(U14/P14-1)*100</f>
        <v>26.437210697394242</v>
      </c>
      <c r="V32" s="45">
        <f>+(V14/Q14-1)*100</f>
        <v>31.472203915877948</v>
      </c>
      <c r="W32" s="29"/>
      <c r="X32" s="30" t="s">
        <v>11</v>
      </c>
    </row>
    <row r="33" spans="1:25" s="50" customFormat="1" ht="14.25" customHeight="1" x14ac:dyDescent="0.2">
      <c r="A33" s="32" t="s">
        <v>39</v>
      </c>
      <c r="X33" s="34" t="s">
        <v>38</v>
      </c>
      <c r="Y33" s="51"/>
    </row>
    <row r="34" spans="1:25" s="50" customFormat="1" ht="14.25" customHeight="1" x14ac:dyDescent="0.25">
      <c r="A34" s="36" t="s">
        <v>57</v>
      </c>
      <c r="B34" s="64" t="s">
        <v>61</v>
      </c>
      <c r="C34" s="52"/>
      <c r="D34" s="52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37" t="s">
        <v>63</v>
      </c>
      <c r="X34" s="53" t="s">
        <v>24</v>
      </c>
    </row>
    <row r="35" spans="1:25" s="50" customFormat="1" ht="20.25" customHeight="1" x14ac:dyDescent="0.25">
      <c r="A35" s="36" t="s">
        <v>25</v>
      </c>
      <c r="C35" s="52"/>
      <c r="D35" s="52"/>
      <c r="F35" s="66" t="s">
        <v>26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51"/>
    </row>
    <row r="36" spans="1:25" s="50" customFormat="1" ht="15.75" customHeight="1" x14ac:dyDescent="0.25">
      <c r="A36" s="36" t="s">
        <v>27</v>
      </c>
      <c r="C36" s="52"/>
      <c r="D36" s="52"/>
      <c r="E36" s="52"/>
      <c r="F36" s="66" t="s">
        <v>50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</row>
  </sheetData>
  <mergeCells count="10">
    <mergeCell ref="F35:X35"/>
    <mergeCell ref="F36:X36"/>
    <mergeCell ref="A1:X1"/>
    <mergeCell ref="A4:X4"/>
    <mergeCell ref="A2:X2"/>
    <mergeCell ref="A3:X3"/>
    <mergeCell ref="D5:G5"/>
    <mergeCell ref="I5:L5"/>
    <mergeCell ref="N5:Q5"/>
    <mergeCell ref="S5:V5"/>
  </mergeCells>
  <printOptions horizontalCentered="1"/>
  <pageMargins left="0.17" right="0.16" top="0.5" bottom="0.5" header="0.3" footer="0.3"/>
  <pageSetup paperSize="9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14.4</vt:lpstr>
      <vt:lpstr>'14.4'!Print_Area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2016-03-16T07:17:49Z</cp:lastPrinted>
  <dcterms:created xsi:type="dcterms:W3CDTF">2013-04-01T04:26:10Z</dcterms:created>
  <dcterms:modified xsi:type="dcterms:W3CDTF">2016-03-16T07:17:52Z</dcterms:modified>
</cp:coreProperties>
</file>