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2" sheetId="3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'14.2'!$A$1:$Y$44</definedName>
  </definedNames>
  <calcPr calcId="145621"/>
</workbook>
</file>

<file path=xl/calcChain.xml><?xml version="1.0" encoding="utf-8"?>
<calcChain xmlns="http://schemas.openxmlformats.org/spreadsheetml/2006/main">
  <c r="U40" i="3" l="1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S35" i="3"/>
  <c r="R35" i="3"/>
  <c r="U34" i="3"/>
  <c r="T34" i="3"/>
  <c r="S34" i="3"/>
  <c r="R34" i="3"/>
  <c r="U33" i="3"/>
  <c r="T33" i="3"/>
  <c r="S33" i="3"/>
  <c r="R33" i="3"/>
  <c r="P40" i="3" l="1"/>
  <c r="O40" i="3"/>
  <c r="N40" i="3"/>
  <c r="M40" i="3"/>
  <c r="P39" i="3"/>
  <c r="O39" i="3"/>
  <c r="N39" i="3"/>
  <c r="M39" i="3"/>
  <c r="P38" i="3"/>
  <c r="O38" i="3"/>
  <c r="N38" i="3"/>
  <c r="M38" i="3"/>
  <c r="P37" i="3"/>
  <c r="O37" i="3"/>
  <c r="N37" i="3"/>
  <c r="M37" i="3"/>
  <c r="P36" i="3"/>
  <c r="O36" i="3"/>
  <c r="N36" i="3"/>
  <c r="M36" i="3"/>
  <c r="P35" i="3"/>
  <c r="O35" i="3"/>
  <c r="N35" i="3"/>
  <c r="M35" i="3"/>
  <c r="P34" i="3"/>
  <c r="O34" i="3"/>
  <c r="N34" i="3"/>
  <c r="M34" i="3"/>
  <c r="P33" i="3"/>
  <c r="O33" i="3"/>
  <c r="N33" i="3"/>
  <c r="M33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H40" i="3"/>
  <c r="H39" i="3"/>
  <c r="H38" i="3"/>
  <c r="H37" i="3"/>
  <c r="H35" i="3"/>
  <c r="H36" i="3"/>
  <c r="H34" i="3"/>
  <c r="H33" i="3"/>
</calcChain>
</file>

<file path=xl/sharedStrings.xml><?xml version="1.0" encoding="utf-8"?>
<sst xmlns="http://schemas.openxmlformats.org/spreadsheetml/2006/main" count="116" uniqueCount="85">
  <si>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</si>
  <si>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</si>
  <si>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</si>
  <si>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</si>
  <si>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</si>
  <si>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</si>
  <si>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</si>
  <si>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</si>
  <si>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</si>
  <si>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</si>
  <si>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</si>
  <si>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</si>
  <si>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</si>
  <si>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</si>
  <si>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</si>
  <si>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</si>
  <si>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</si>
  <si>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</si>
  <si>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</si>
  <si>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</si>
  <si>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</si>
  <si>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</si>
  <si>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</si>
  <si>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</si>
  <si>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</si>
  <si>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</si>
  <si>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</si>
  <si>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</si>
  <si>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</si>
  <si>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</si>
  <si>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</si>
  <si>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</si>
  <si>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</si>
  <si>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</si>
  <si>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</si>
  <si>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</si>
  <si>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</si>
  <si>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</si>
  <si>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</si>
  <si>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</si>
  <si>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</si>
  <si>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</si>
  <si>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</si>
  <si>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</si>
  <si>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</si>
  <si>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</si>
  <si>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</si>
  <si>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</si>
  <si>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</si>
  <si>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</si>
  <si>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</si>
  <si>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</si>
  <si>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</si>
  <si>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</si>
  <si>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</si>
  <si>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</si>
  <si>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</si>
  <si>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</si>
  <si>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</si>
  <si>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</si>
  <si>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</si>
  <si>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</si>
  <si>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</si>
  <si>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</si>
  <si>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</si>
  <si>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</si>
  <si>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</si>
  <si>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</si>
  <si>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</si>
  <si>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</si>
  <si>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</si>
  <si>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</si>
  <si>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</si>
  <si>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</si>
  <si>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t>ނޯޓް:</t>
  </si>
  <si>
    <t>NOTE:</t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</si>
  <si>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</si>
  <si>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</si>
  <si>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</si>
  <si>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Dec</t>
    </r>
    <r>
      <rPr>
        <b/>
        <vertAlign val="subscript"/>
        <sz val="11"/>
        <rFont val="Arial"/>
        <family val="2"/>
      </rPr>
      <t/>
    </r>
  </si>
  <si>
    <t>1_/ :  2011 , 2012 and 2013 revised</t>
  </si>
  <si>
    <r>
      <t>2011</t>
    </r>
    <r>
      <rPr>
        <b/>
        <vertAlign val="superscript"/>
        <sz val="10"/>
        <rFont val="Arial"/>
        <family val="2"/>
      </rPr>
      <t>1_/</t>
    </r>
  </si>
  <si>
    <t xml:space="preserve">            ތާވަލު 14.2 :   ވިޔަފާރި ބޭންކުތަކުގެ ސާރވޭ 2011 - 2014            </t>
  </si>
  <si>
    <t>Table  14.2 :OTHER DEPOSITORY CORPORATIONS SURVEY, 2011 - 2014</t>
  </si>
  <si>
    <t>2011, 2012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</si>
</sst>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sz val="8"/>
      <name val="Calibri"/>
      <family val="2"/>
      <scheme val="minor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8" fillId="2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8" fillId="2" borderId="0" applyNumberFormat="0" applyBorder="0" applyAlignment="0" applyProtection="0"/>
    <xf numFmtId="0" fontId="38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17" fontId="4" fillId="0" borderId="0" applyFont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71" fontId="4" fillId="0" borderId="0" applyFill="0" applyBorder="0" applyAlignment="0"/>
    <xf numFmtId="0" fontId="42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0" fontId="43" fillId="14" borderId="6" applyNumberFormat="0" applyAlignment="0" applyProtection="0"/>
    <xf numFmtId="17" fontId="4" fillId="0" borderId="0" applyFont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0" fontId="44" fillId="7" borderId="7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2" fillId="0" borderId="0" applyFont="0" applyFill="0" applyBorder="0" applyAlignment="0" applyProtection="0"/>
    <xf numFmtId="14" fontId="45" fillId="0" borderId="0" applyFill="0" applyBorder="0" applyAlignment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38" fontId="37" fillId="19" borderId="0" applyNumberFormat="0" applyBorder="0" applyAlignment="0" applyProtection="0"/>
    <xf numFmtId="0" fontId="48" fillId="0" borderId="8" applyNumberFormat="0" applyAlignment="0" applyProtection="0">
      <alignment horizontal="left" vertical="center"/>
    </xf>
    <xf numFmtId="0" fontId="48" fillId="0" borderId="5">
      <alignment horizontal="left" vertical="center"/>
    </xf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11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0" fontId="37" fillId="20" borderId="12" applyNumberFormat="0" applyBorder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0" fontId="52" fillId="11" borderId="6" applyNumberFormat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0" fontId="53" fillId="0" borderId="13" applyNumberFormat="0" applyFill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42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56" fillId="14" borderId="15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42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42" fillId="0" borderId="0" applyFill="0" applyBorder="0" applyAlignment="0"/>
    <xf numFmtId="0" fontId="57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49" fontId="45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58" fillId="0" borderId="0">
      <alignment vertical="top"/>
    </xf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</cellStyleXfs>
  <cellXfs count="143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/>
    </xf>
    <xf numFmtId="166" fontId="26" fillId="21" borderId="0" xfId="0" applyNumberFormat="1" applyFont="1" applyFill="1" applyBorder="1" applyAlignment="1">
      <alignment vertical="center"/>
    </xf>
    <xf numFmtId="164" fontId="18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right" vertical="center"/>
    </xf>
    <xf numFmtId="166" fontId="23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/>
    <xf numFmtId="0" fontId="18" fillId="21" borderId="0" xfId="0" applyFont="1" applyFill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7" fillId="21" borderId="0" xfId="0" applyFont="1" applyFill="1" applyAlignment="1">
      <alignment horizontal="right"/>
    </xf>
    <xf numFmtId="166" fontId="12" fillId="21" borderId="0" xfId="1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0" fontId="27" fillId="21" borderId="0" xfId="0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6" fontId="26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6" fillId="21" borderId="0" xfId="2" applyNumberFormat="1" applyFont="1" applyFill="1" applyAlignment="1">
      <alignment horizontal="right" vertical="center"/>
    </xf>
    <xf numFmtId="164" fontId="24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8" fillId="21" borderId="0" xfId="0" applyFont="1" applyFill="1" applyAlignment="1">
      <alignment horizontal="left" indent="4"/>
    </xf>
    <xf numFmtId="0" fontId="0" fillId="21" borderId="0" xfId="0" applyFill="1" applyBorder="1"/>
    <xf numFmtId="0" fontId="0" fillId="21" borderId="0" xfId="0" applyFill="1"/>
    <xf numFmtId="0" fontId="25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29" fillId="21" borderId="0" xfId="2" applyNumberFormat="1" applyFont="1" applyFill="1" applyBorder="1" applyAlignment="1">
      <alignment horizontal="left" vertical="center"/>
    </xf>
    <xf numFmtId="0" fontId="0" fillId="21" borderId="0" xfId="0" applyFill="1" applyBorder="1" applyAlignment="1">
      <alignment horizontal="left"/>
    </xf>
    <xf numFmtId="0" fontId="0" fillId="21" borderId="0" xfId="0" applyFill="1" applyAlignment="1">
      <alignment horizontal="left"/>
    </xf>
    <xf numFmtId="164" fontId="5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 applyProtection="1">
      <alignment horizontal="left" vertical="center"/>
    </xf>
    <xf numFmtId="0" fontId="6" fillId="21" borderId="0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6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1" fillId="21" borderId="2" xfId="0" applyFont="1" applyFill="1" applyBorder="1" applyAlignment="1">
      <alignment horizontal="centerContinuous"/>
    </xf>
    <xf numFmtId="0" fontId="25" fillId="21" borderId="2" xfId="0" applyFont="1" applyFill="1" applyBorder="1"/>
    <xf numFmtId="0" fontId="4" fillId="21" borderId="0" xfId="0" applyFont="1" applyFill="1" applyBorder="1"/>
    <xf numFmtId="165" fontId="16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1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7" fillId="21" borderId="1" xfId="0" applyFont="1" applyFill="1" applyBorder="1" applyAlignment="1">
      <alignment horizontal="right"/>
    </xf>
    <xf numFmtId="43" fontId="26" fillId="21" borderId="1" xfId="1" applyFont="1" applyFill="1" applyBorder="1" applyAlignment="1">
      <alignment horizontal="right"/>
    </xf>
    <xf numFmtId="0" fontId="26" fillId="21" borderId="1" xfId="0" applyFont="1" applyFill="1" applyBorder="1" applyAlignment="1">
      <alignment horizontal="right" vertical="center"/>
    </xf>
    <xf numFmtId="43" fontId="7" fillId="21" borderId="1" xfId="1" applyFont="1" applyFill="1" applyBorder="1" applyAlignment="1">
      <alignment horizontal="right"/>
    </xf>
    <xf numFmtId="43" fontId="11" fillId="21" borderId="1" xfId="1" applyFont="1" applyFill="1" applyBorder="1" applyAlignment="1">
      <alignment horizontal="right"/>
    </xf>
    <xf numFmtId="0" fontId="12" fillId="21" borderId="1" xfId="0" applyFont="1" applyFill="1" applyBorder="1"/>
    <xf numFmtId="0" fontId="9" fillId="21" borderId="0" xfId="0" applyFont="1" applyFill="1" applyBorder="1"/>
    <xf numFmtId="166" fontId="26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1" fillId="21" borderId="0" xfId="1" applyNumberFormat="1" applyFont="1" applyFill="1" applyAlignment="1"/>
    <xf numFmtId="164" fontId="1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horizontal="right" vertical="center"/>
    </xf>
    <xf numFmtId="165" fontId="17" fillId="21" borderId="0" xfId="0" applyNumberFormat="1" applyFont="1" applyFill="1" applyAlignment="1">
      <alignment vertical="center"/>
    </xf>
    <xf numFmtId="166" fontId="18" fillId="21" borderId="0" xfId="0" applyNumberFormat="1" applyFont="1" applyFill="1" applyBorder="1" applyAlignment="1"/>
    <xf numFmtId="166" fontId="12" fillId="21" borderId="0" xfId="0" applyNumberFormat="1" applyFont="1" applyFill="1" applyBorder="1" applyAlignment="1"/>
    <xf numFmtId="164" fontId="12" fillId="21" borderId="0" xfId="2" applyNumberFormat="1" applyFont="1" applyFill="1" applyAlignment="1">
      <alignment horizontal="right"/>
    </xf>
    <xf numFmtId="164" fontId="18" fillId="21" borderId="0" xfId="2" applyNumberFormat="1" applyFont="1" applyFill="1" applyAlignment="1">
      <alignment horizontal="right"/>
    </xf>
    <xf numFmtId="164" fontId="18" fillId="21" borderId="0" xfId="2" applyNumberFormat="1" applyFont="1" applyFill="1" applyBorder="1" applyAlignment="1">
      <alignment horizontal="right"/>
    </xf>
    <xf numFmtId="164" fontId="7" fillId="21" borderId="0" xfId="2" applyNumberFormat="1" applyFont="1" applyFill="1" applyBorder="1" applyAlignment="1" applyProtection="1">
      <alignment horizontal="right" vertical="center"/>
    </xf>
    <xf numFmtId="164" fontId="20" fillId="21" borderId="0" xfId="2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right" indent="1"/>
    </xf>
    <xf numFmtId="0" fontId="18" fillId="21" borderId="0" xfId="0" applyFont="1" applyFill="1" applyAlignment="1">
      <alignment horizontal="right" indent="1"/>
    </xf>
    <xf numFmtId="0" fontId="18" fillId="21" borderId="0" xfId="0" applyFont="1" applyFill="1" applyBorder="1" applyAlignment="1">
      <alignment horizontal="right" indent="1"/>
    </xf>
    <xf numFmtId="0" fontId="27" fillId="21" borderId="0" xfId="3" applyFont="1" applyFill="1" applyBorder="1" applyAlignment="1">
      <alignment horizontal="right"/>
    </xf>
    <xf numFmtId="166" fontId="9" fillId="21" borderId="0" xfId="2" applyNumberFormat="1" applyFont="1" applyFill="1" applyBorder="1" applyAlignment="1">
      <alignment horizontal="right"/>
    </xf>
    <xf numFmtId="0" fontId="31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166" fontId="9" fillId="21" borderId="0" xfId="2" applyNumberFormat="1" applyFont="1" applyFill="1" applyBorder="1" applyAlignment="1">
      <alignment vertical="center"/>
    </xf>
    <xf numFmtId="0" fontId="18" fillId="21" borderId="0" xfId="3" applyFont="1" applyFill="1" applyAlignment="1">
      <alignment horizontal="right"/>
    </xf>
    <xf numFmtId="0" fontId="12" fillId="21" borderId="0" xfId="0" applyFont="1" applyFill="1"/>
    <xf numFmtId="166" fontId="18" fillId="21" borderId="0" xfId="0" applyNumberFormat="1" applyFont="1" applyFill="1" applyAlignment="1">
      <alignment horizontal="right"/>
    </xf>
    <xf numFmtId="166" fontId="12" fillId="21" borderId="0" xfId="0" applyNumberFormat="1" applyFont="1" applyFill="1" applyAlignment="1">
      <alignment horizontal="right"/>
    </xf>
    <xf numFmtId="166" fontId="18" fillId="21" borderId="0" xfId="0" applyNumberFormat="1" applyFont="1" applyFill="1" applyBorder="1" applyAlignment="1">
      <alignment horizontal="right"/>
    </xf>
    <xf numFmtId="0" fontId="12" fillId="21" borderId="0" xfId="3" applyFont="1" applyFill="1" applyAlignment="1">
      <alignment horizontal="right"/>
    </xf>
    <xf numFmtId="166" fontId="23" fillId="21" borderId="0" xfId="1" applyNumberFormat="1" applyFont="1" applyFill="1" applyBorder="1" applyAlignment="1">
      <alignment vertical="center"/>
    </xf>
    <xf numFmtId="0" fontId="12" fillId="21" borderId="0" xfId="0" applyFont="1" applyFill="1" applyAlignment="1">
      <alignment horizontal="right"/>
    </xf>
    <xf numFmtId="166" fontId="18" fillId="21" borderId="0" xfId="0" applyNumberFormat="1" applyFont="1" applyFill="1" applyAlignment="1"/>
    <xf numFmtId="0" fontId="18" fillId="21" borderId="0" xfId="0" applyFont="1" applyFill="1"/>
    <xf numFmtId="166" fontId="12" fillId="21" borderId="0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0" fontId="16" fillId="21" borderId="0" xfId="0" applyFont="1" applyFill="1"/>
    <xf numFmtId="166" fontId="6" fillId="21" borderId="0" xfId="1" applyNumberFormat="1" applyFont="1" applyFill="1" applyBorder="1" applyAlignment="1"/>
    <xf numFmtId="166" fontId="18" fillId="21" borderId="0" xfId="1" applyNumberFormat="1" applyFont="1" applyFill="1" applyBorder="1" applyAlignment="1"/>
    <xf numFmtId="164" fontId="27" fillId="21" borderId="0" xfId="2" applyNumberFormat="1" applyFont="1" applyFill="1" applyBorder="1" applyAlignment="1">
      <alignment horizontal="right" vertical="center"/>
    </xf>
    <xf numFmtId="166" fontId="18" fillId="21" borderId="0" xfId="1" applyNumberFormat="1" applyFont="1" applyFill="1" applyBorder="1" applyAlignment="1">
      <alignment horizontal="right" vertical="center"/>
    </xf>
    <xf numFmtId="0" fontId="11" fillId="21" borderId="0" xfId="0" applyFont="1" applyFill="1" applyAlignment="1">
      <alignment horizontal="right"/>
    </xf>
    <xf numFmtId="0" fontId="18" fillId="21" borderId="0" xfId="0" applyFont="1" applyFill="1" applyBorder="1" applyAlignment="1">
      <alignment horizontal="right"/>
    </xf>
    <xf numFmtId="37" fontId="9" fillId="21" borderId="0" xfId="2" applyNumberFormat="1" applyFont="1" applyFill="1" applyBorder="1" applyAlignment="1" applyProtection="1">
      <alignment vertical="center"/>
    </xf>
    <xf numFmtId="0" fontId="31" fillId="21" borderId="0" xfId="0" applyFont="1" applyFill="1" applyAlignment="1">
      <alignment horizontal="right" vertical="center"/>
    </xf>
    <xf numFmtId="164" fontId="32" fillId="21" borderId="0" xfId="2" applyNumberFormat="1" applyFont="1" applyFill="1" applyBorder="1" applyAlignment="1">
      <alignment horizontal="right" vertical="center"/>
    </xf>
    <xf numFmtId="166" fontId="12" fillId="21" borderId="0" xfId="0" applyNumberFormat="1" applyFont="1" applyFill="1" applyAlignment="1"/>
    <xf numFmtId="164" fontId="9" fillId="21" borderId="0" xfId="2" applyNumberFormat="1" applyFont="1" applyFill="1" applyBorder="1" applyAlignment="1" applyProtection="1">
      <alignment horizontal="left" vertical="center"/>
    </xf>
    <xf numFmtId="166" fontId="26" fillId="21" borderId="0" xfId="0" applyNumberFormat="1" applyFont="1" applyFill="1" applyAlignment="1">
      <alignment vertical="center"/>
    </xf>
    <xf numFmtId="165" fontId="16" fillId="21" borderId="1" xfId="0" applyNumberFormat="1" applyFont="1" applyFill="1" applyBorder="1" applyAlignment="1">
      <alignment vertical="center"/>
    </xf>
    <xf numFmtId="166" fontId="18" fillId="21" borderId="1" xfId="0" applyNumberFormat="1" applyFont="1" applyFill="1" applyBorder="1" applyAlignment="1"/>
    <xf numFmtId="166" fontId="12" fillId="21" borderId="1" xfId="0" applyNumberFormat="1" applyFont="1" applyFill="1" applyBorder="1" applyAlignment="1"/>
    <xf numFmtId="167" fontId="21" fillId="21" borderId="0" xfId="1" applyNumberFormat="1" applyFont="1" applyFill="1" applyBorder="1" applyAlignment="1" applyProtection="1">
      <alignment vertical="center"/>
    </xf>
    <xf numFmtId="0" fontId="23" fillId="21" borderId="0" xfId="0" applyFont="1" applyFill="1" applyAlignment="1">
      <alignment vertical="center"/>
    </xf>
    <xf numFmtId="164" fontId="33" fillId="21" borderId="0" xfId="2" applyNumberFormat="1" applyFont="1" applyFill="1" applyBorder="1" applyAlignment="1">
      <alignment horizontal="right" vertical="center"/>
    </xf>
    <xf numFmtId="164" fontId="34" fillId="21" borderId="0" xfId="2" applyNumberFormat="1" applyFont="1" applyFill="1" applyBorder="1" applyAlignment="1">
      <alignment vertical="center"/>
    </xf>
    <xf numFmtId="164" fontId="35" fillId="21" borderId="0" xfId="2" applyNumberFormat="1" applyFont="1" applyFill="1" applyBorder="1" applyAlignment="1">
      <alignment horizontal="right" vertical="center"/>
    </xf>
    <xf numFmtId="166" fontId="26" fillId="21" borderId="0" xfId="0" applyNumberFormat="1" applyFont="1" applyFill="1"/>
    <xf numFmtId="166" fontId="23" fillId="21" borderId="0" xfId="0" applyNumberFormat="1" applyFont="1" applyFill="1"/>
    <xf numFmtId="166" fontId="18" fillId="21" borderId="0" xfId="0" applyNumberFormat="1" applyFont="1" applyFill="1" applyBorder="1" applyAlignment="1">
      <alignment vertical="center"/>
    </xf>
    <xf numFmtId="165" fontId="17" fillId="21" borderId="1" xfId="0" applyNumberFormat="1" applyFont="1" applyFill="1" applyBorder="1" applyAlignment="1">
      <alignment vertical="center"/>
    </xf>
    <xf numFmtId="166" fontId="23" fillId="21" borderId="1" xfId="0" applyNumberFormat="1" applyFont="1" applyFill="1" applyBorder="1" applyAlignment="1">
      <alignment vertical="center"/>
    </xf>
    <xf numFmtId="166" fontId="18" fillId="21" borderId="1" xfId="0" applyNumberFormat="1" applyFont="1" applyFill="1" applyBorder="1" applyAlignment="1">
      <alignment vertical="center"/>
    </xf>
    <xf numFmtId="0" fontId="12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6" fontId="16" fillId="21" borderId="0" xfId="0" applyNumberFormat="1" applyFont="1" applyFill="1" applyBorder="1" applyAlignment="1">
      <alignment vertical="center"/>
    </xf>
    <xf numFmtId="166" fontId="17" fillId="21" borderId="0" xfId="0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7" fillId="21" borderId="0" xfId="1" applyNumberFormat="1" applyFont="1" applyFill="1" applyBorder="1" applyAlignment="1">
      <alignment vertical="center"/>
    </xf>
    <xf numFmtId="166" fontId="16" fillId="21" borderId="0" xfId="0" applyNumberFormat="1" applyFont="1" applyFill="1" applyAlignment="1">
      <alignment vertical="center"/>
    </xf>
    <xf numFmtId="0" fontId="17" fillId="21" borderId="0" xfId="0" applyFont="1" applyFill="1" applyAlignment="1">
      <alignment vertical="center"/>
    </xf>
    <xf numFmtId="166" fontId="16" fillId="21" borderId="0" xfId="0" applyNumberFormat="1" applyFont="1" applyFill="1"/>
    <xf numFmtId="166" fontId="17" fillId="21" borderId="0" xfId="0" applyNumberFormat="1" applyFont="1" applyFill="1"/>
    <xf numFmtId="166" fontId="17" fillId="21" borderId="1" xfId="0" applyNumberFormat="1" applyFont="1" applyFill="1" applyBorder="1" applyAlignment="1">
      <alignment vertical="center"/>
    </xf>
    <xf numFmtId="0" fontId="5" fillId="21" borderId="3" xfId="0" applyFont="1" applyFill="1" applyBorder="1" applyAlignment="1">
      <alignment horizontal="center" vertical="center"/>
    </xf>
    <xf numFmtId="164" fontId="12" fillId="21" borderId="0" xfId="2" applyNumberFormat="1" applyFont="1" applyFill="1" applyBorder="1" applyAlignment="1">
      <alignment horizontal="right" vertical="center" readingOrder="2"/>
    </xf>
    <xf numFmtId="164" fontId="3" fillId="21" borderId="0" xfId="2" applyNumberFormat="1" applyFont="1" applyFill="1" applyAlignment="1">
      <alignment horizontal="center" vertical="center" readingOrder="2"/>
    </xf>
    <xf numFmtId="164" fontId="16" fillId="21" borderId="0" xfId="2" applyNumberFormat="1" applyFont="1" applyFill="1" applyBorder="1" applyAlignment="1" applyProtection="1">
      <alignment horizontal="center" vertical="center"/>
    </xf>
    <xf numFmtId="0" fontId="6" fillId="21" borderId="0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16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3"/>
  <sheetViews>
    <sheetView tabSelected="1" workbookViewId="0">
      <selection activeCell="AB11" sqref="AB11"/>
    </sheetView>
  </sheetViews>
  <sheetFormatPr defaultColWidth="8.85546875" defaultRowHeight="18.75"/>
  <cols>
    <col min="1" max="1" width="56.5703125" style="35" customWidth="1"/>
    <col min="2" max="2" width="1.28515625" style="35" customWidth="1"/>
    <col min="3" max="3" width="9.28515625" style="35" customWidth="1"/>
    <col min="4" max="4" width="8.85546875" style="35" customWidth="1"/>
    <col min="5" max="5" width="9.28515625" style="35" customWidth="1"/>
    <col min="6" max="6" width="8.28515625" style="35" customWidth="1"/>
    <col min="7" max="7" width="2.5703125" style="35" customWidth="1"/>
    <col min="8" max="11" width="8.28515625" style="35" bestFit="1" customWidth="1"/>
    <col min="12" max="12" width="1.28515625" style="35" customWidth="1"/>
    <col min="13" max="16" width="8.28515625" style="35" bestFit="1" customWidth="1"/>
    <col min="17" max="17" width="1.28515625" style="35" customWidth="1"/>
    <col min="18" max="21" width="8.28515625" style="35" bestFit="1" customWidth="1"/>
    <col min="22" max="22" width="28.85546875" style="35" customWidth="1"/>
    <col min="23" max="23" width="5.5703125" style="35" customWidth="1"/>
    <col min="24" max="24" width="5.85546875" style="36" customWidth="1"/>
    <col min="25" max="25" width="5.42578125" style="36" customWidth="1"/>
    <col min="26" max="26" width="2.5703125" style="35" customWidth="1"/>
    <col min="27" max="28" width="4" style="35" customWidth="1"/>
    <col min="29" max="16384" width="8.85546875" style="35"/>
  </cols>
  <sheetData>
    <row r="1" spans="1:33" s="40" customFormat="1" ht="17.45" customHeight="1">
      <c r="A1" s="138" t="s">
        <v>82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37"/>
      <c r="AA1" s="38"/>
      <c r="AB1" s="38"/>
      <c r="AC1" s="39"/>
      <c r="AD1" s="39"/>
      <c r="AE1" s="39"/>
      <c r="AF1" s="39"/>
      <c r="AG1" s="39"/>
    </row>
    <row r="2" spans="1:33" s="40" customFormat="1" ht="17.25" customHeight="1">
      <c r="A2" s="139" t="s">
        <v>83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41"/>
      <c r="AA2" s="42"/>
      <c r="AB2" s="42"/>
      <c r="AC2" s="39"/>
      <c r="AD2" s="39"/>
      <c r="AE2" s="39"/>
      <c r="AF2" s="39"/>
      <c r="AG2" s="39"/>
    </row>
    <row r="3" spans="1:33" s="40" customFormat="1" ht="17.25">
      <c r="A3" s="140" t="s">
        <v>0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43"/>
      <c r="AA3" s="43"/>
      <c r="AB3" s="43"/>
      <c r="AC3" s="44"/>
      <c r="AD3" s="39"/>
      <c r="AE3" s="39"/>
      <c r="AF3" s="39"/>
      <c r="AG3" s="39"/>
    </row>
    <row r="4" spans="1:33" s="40" customFormat="1" ht="15">
      <c r="A4" s="141" t="s">
        <v>1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45"/>
      <c r="AA4" s="45"/>
      <c r="AB4" s="45"/>
      <c r="AC4" s="44"/>
      <c r="AD4" s="39"/>
      <c r="AE4" s="39"/>
      <c r="AF4" s="39"/>
      <c r="AG4" s="39"/>
    </row>
    <row r="5" spans="1:33" ht="24.75" customHeight="1">
      <c r="A5" s="46"/>
      <c r="B5" s="47"/>
      <c r="C5" s="136" t="s">
        <v>81</v>
      </c>
      <c r="D5" s="136"/>
      <c r="E5" s="136"/>
      <c r="F5" s="136"/>
      <c r="G5" s="47"/>
      <c r="H5" s="136" t="s">
        <v>77</v>
      </c>
      <c r="I5" s="136"/>
      <c r="J5" s="136"/>
      <c r="K5" s="136"/>
      <c r="L5" s="1"/>
      <c r="M5" s="136" t="s">
        <v>78</v>
      </c>
      <c r="N5" s="136"/>
      <c r="O5" s="136"/>
      <c r="P5" s="136"/>
      <c r="Q5" s="47"/>
      <c r="R5" s="142">
        <v>2014</v>
      </c>
      <c r="S5" s="142"/>
      <c r="T5" s="142"/>
      <c r="U5" s="142"/>
      <c r="V5" s="48"/>
      <c r="W5" s="48"/>
      <c r="X5" s="49"/>
      <c r="Y5" s="50"/>
      <c r="Z5" s="51"/>
      <c r="AA5" s="51"/>
      <c r="AB5" s="51"/>
      <c r="AC5" s="51"/>
      <c r="AD5" s="34"/>
      <c r="AE5" s="34"/>
      <c r="AF5" s="34"/>
      <c r="AG5" s="34"/>
    </row>
    <row r="6" spans="1:33" ht="18">
      <c r="A6" s="52" t="s">
        <v>2</v>
      </c>
      <c r="B6" s="2"/>
      <c r="C6" s="3" t="s">
        <v>3</v>
      </c>
      <c r="D6" s="3" t="s">
        <v>4</v>
      </c>
      <c r="E6" s="3" t="s">
        <v>5</v>
      </c>
      <c r="F6" s="3" t="s">
        <v>76</v>
      </c>
      <c r="G6" s="2"/>
      <c r="H6" s="3" t="s">
        <v>3</v>
      </c>
      <c r="I6" s="3" t="s">
        <v>4</v>
      </c>
      <c r="J6" s="3" t="s">
        <v>5</v>
      </c>
      <c r="K6" s="3" t="s">
        <v>76</v>
      </c>
      <c r="L6" s="2"/>
      <c r="M6" s="3" t="s">
        <v>3</v>
      </c>
      <c r="N6" s="3" t="s">
        <v>4</v>
      </c>
      <c r="O6" s="3" t="s">
        <v>5</v>
      </c>
      <c r="P6" s="3" t="s">
        <v>6</v>
      </c>
      <c r="Q6" s="2"/>
      <c r="R6" s="3" t="s">
        <v>3</v>
      </c>
      <c r="S6" s="3" t="s">
        <v>4</v>
      </c>
      <c r="T6" s="3" t="s">
        <v>5</v>
      </c>
      <c r="U6" s="2" t="s">
        <v>6</v>
      </c>
      <c r="V6" s="53"/>
      <c r="W6" s="53"/>
      <c r="X6" s="54"/>
      <c r="Y6" s="55" t="s">
        <v>7</v>
      </c>
      <c r="Z6" s="55"/>
      <c r="AA6" s="55"/>
      <c r="AB6" s="55"/>
      <c r="AC6" s="51"/>
      <c r="AD6" s="34"/>
      <c r="AE6" s="34"/>
      <c r="AF6" s="34"/>
      <c r="AG6" s="34"/>
    </row>
    <row r="7" spans="1:33" ht="17.25" customHeight="1">
      <c r="A7" s="56"/>
      <c r="B7" s="57"/>
      <c r="C7" s="57" t="s">
        <v>8</v>
      </c>
      <c r="D7" s="57" t="s">
        <v>9</v>
      </c>
      <c r="E7" s="57" t="s">
        <v>10</v>
      </c>
      <c r="F7" s="57" t="s">
        <v>25</v>
      </c>
      <c r="G7" s="57"/>
      <c r="H7" s="4" t="s">
        <v>8</v>
      </c>
      <c r="I7" s="4" t="s">
        <v>9</v>
      </c>
      <c r="J7" s="4" t="s">
        <v>10</v>
      </c>
      <c r="K7" s="58" t="s">
        <v>79</v>
      </c>
      <c r="L7" s="4"/>
      <c r="M7" s="4" t="s">
        <v>8</v>
      </c>
      <c r="N7" s="4" t="s">
        <v>9</v>
      </c>
      <c r="O7" s="4" t="s">
        <v>10</v>
      </c>
      <c r="P7" s="4" t="s">
        <v>25</v>
      </c>
      <c r="Q7" s="57"/>
      <c r="R7" s="57" t="s">
        <v>8</v>
      </c>
      <c r="S7" s="57" t="s">
        <v>9</v>
      </c>
      <c r="T7" s="57" t="s">
        <v>10</v>
      </c>
      <c r="U7" s="57" t="s">
        <v>25</v>
      </c>
      <c r="V7" s="59"/>
      <c r="W7" s="59"/>
      <c r="X7" s="60"/>
      <c r="Y7" s="61"/>
      <c r="Z7" s="62"/>
      <c r="AA7" s="62"/>
      <c r="AB7" s="62"/>
      <c r="AC7" s="62"/>
      <c r="AD7" s="34"/>
      <c r="AE7" s="34"/>
      <c r="AF7" s="34"/>
      <c r="AG7" s="34"/>
    </row>
    <row r="8" spans="1:33" s="17" customFormat="1" ht="16.5" customHeight="1">
      <c r="A8" s="52" t="s">
        <v>19</v>
      </c>
      <c r="B8" s="63"/>
      <c r="C8" s="129">
        <v>-2564.1023280899999</v>
      </c>
      <c r="D8" s="129">
        <v>-2850.381800000001</v>
      </c>
      <c r="E8" s="129">
        <v>-3149.6469999999999</v>
      </c>
      <c r="F8" s="129">
        <v>-1852.4769999999994</v>
      </c>
      <c r="G8" s="129"/>
      <c r="H8" s="129">
        <v>-1306.0079999999998</v>
      </c>
      <c r="I8" s="129">
        <v>-1246.962</v>
      </c>
      <c r="J8" s="129">
        <v>-896.88700000000017</v>
      </c>
      <c r="K8" s="129">
        <v>1017.2629999999997</v>
      </c>
      <c r="L8" s="129"/>
      <c r="M8" s="129">
        <v>3454.7659999999996</v>
      </c>
      <c r="N8" s="129">
        <v>2555.0659999999998</v>
      </c>
      <c r="O8" s="129">
        <v>2748.1469999999999</v>
      </c>
      <c r="P8" s="129">
        <v>3505.4120000000003</v>
      </c>
      <c r="Q8" s="129"/>
      <c r="R8" s="129">
        <v>6419.8360000000011</v>
      </c>
      <c r="S8" s="129">
        <v>5305.0460000000012</v>
      </c>
      <c r="T8" s="129">
        <v>3587.4176516733992</v>
      </c>
      <c r="U8" s="129">
        <v>3442.1933296110001</v>
      </c>
      <c r="V8" s="64"/>
      <c r="W8" s="64"/>
      <c r="X8" s="65"/>
      <c r="Y8" s="66" t="s">
        <v>29</v>
      </c>
      <c r="Z8" s="66"/>
      <c r="AA8" s="67"/>
      <c r="AB8" s="67"/>
      <c r="AC8" s="62"/>
      <c r="AD8" s="62"/>
      <c r="AE8" s="55"/>
      <c r="AF8" s="55"/>
      <c r="AG8" s="55"/>
    </row>
    <row r="9" spans="1:33" s="17" customFormat="1" ht="16.5" customHeight="1">
      <c r="A9" s="68" t="s">
        <v>30</v>
      </c>
      <c r="B9" s="9"/>
      <c r="C9" s="127">
        <v>1583.7269219100001</v>
      </c>
      <c r="D9" s="127">
        <v>2035.6802</v>
      </c>
      <c r="E9" s="127">
        <v>1720.5939999999998</v>
      </c>
      <c r="F9" s="127">
        <v>1755.6210000000001</v>
      </c>
      <c r="G9" s="127"/>
      <c r="H9" s="127">
        <v>2091.3760000000002</v>
      </c>
      <c r="I9" s="127">
        <v>1579.2429999999999</v>
      </c>
      <c r="J9" s="127">
        <v>2081.6079999999997</v>
      </c>
      <c r="K9" s="127">
        <v>2684.8289999999997</v>
      </c>
      <c r="L9" s="127"/>
      <c r="M9" s="127">
        <v>4400.8339999999998</v>
      </c>
      <c r="N9" s="127">
        <v>3514.067</v>
      </c>
      <c r="O9" s="127">
        <v>3617.0369999999998</v>
      </c>
      <c r="P9" s="127">
        <v>4727.7890000000007</v>
      </c>
      <c r="Q9" s="127"/>
      <c r="R9" s="127">
        <v>7340.5570000000007</v>
      </c>
      <c r="S9" s="127">
        <v>5903.7850000000008</v>
      </c>
      <c r="T9" s="127">
        <v>4556.3306516733992</v>
      </c>
      <c r="U9" s="127">
        <v>4620.563329611</v>
      </c>
      <c r="V9" s="69"/>
      <c r="W9" s="69"/>
      <c r="X9" s="70" t="s">
        <v>31</v>
      </c>
      <c r="Y9" s="71"/>
      <c r="Z9" s="72"/>
      <c r="AA9" s="73"/>
      <c r="AB9" s="73"/>
      <c r="AC9" s="62"/>
      <c r="AD9" s="62"/>
      <c r="AE9" s="74"/>
      <c r="AF9" s="74"/>
      <c r="AG9" s="75"/>
    </row>
    <row r="10" spans="1:33" s="17" customFormat="1" ht="16.5" customHeight="1">
      <c r="A10" s="68" t="s">
        <v>32</v>
      </c>
      <c r="B10" s="9"/>
      <c r="C10" s="127">
        <v>-4147.8292499999998</v>
      </c>
      <c r="D10" s="127">
        <v>-4886.0620000000008</v>
      </c>
      <c r="E10" s="127">
        <v>-4870.241</v>
      </c>
      <c r="F10" s="127">
        <v>-3608.0979999999995</v>
      </c>
      <c r="G10" s="127"/>
      <c r="H10" s="127">
        <v>-3397.384</v>
      </c>
      <c r="I10" s="127">
        <v>-2826.2049999999999</v>
      </c>
      <c r="J10" s="127">
        <v>-2978.4949999999999</v>
      </c>
      <c r="K10" s="127">
        <v>-1667.566</v>
      </c>
      <c r="L10" s="127"/>
      <c r="M10" s="127">
        <v>-946.06799999999998</v>
      </c>
      <c r="N10" s="127">
        <v>-959.00100000000009</v>
      </c>
      <c r="O10" s="127">
        <v>-868.89</v>
      </c>
      <c r="P10" s="127">
        <v>-1222.3770000000002</v>
      </c>
      <c r="Q10" s="127"/>
      <c r="R10" s="127">
        <v>-920.721</v>
      </c>
      <c r="S10" s="127">
        <v>-598.73899999999992</v>
      </c>
      <c r="T10" s="127">
        <v>-968.91300000000001</v>
      </c>
      <c r="U10" s="127">
        <v>-1178.3699999999999</v>
      </c>
      <c r="V10" s="11"/>
      <c r="W10" s="11"/>
      <c r="X10" s="70" t="s">
        <v>33</v>
      </c>
      <c r="Y10" s="76"/>
      <c r="Z10" s="77"/>
      <c r="AA10" s="78"/>
      <c r="AB10" s="78"/>
      <c r="AC10" s="79"/>
      <c r="AD10" s="62"/>
      <c r="AE10" s="80"/>
      <c r="AF10" s="80"/>
      <c r="AG10" s="67"/>
    </row>
    <row r="11" spans="1:33" s="17" customFormat="1" ht="16.5" customHeight="1">
      <c r="A11" s="52" t="s">
        <v>34</v>
      </c>
      <c r="B11" s="5"/>
      <c r="C11" s="126">
        <v>5646.0515072400003</v>
      </c>
      <c r="D11" s="126">
        <v>5894.2094299999999</v>
      </c>
      <c r="E11" s="126">
        <v>5859.1379999999999</v>
      </c>
      <c r="F11" s="126">
        <v>5696.4340000000002</v>
      </c>
      <c r="G11" s="126"/>
      <c r="H11" s="126">
        <v>6108.9689999999991</v>
      </c>
      <c r="I11" s="126">
        <v>5930.6419999999998</v>
      </c>
      <c r="J11" s="126">
        <v>5893.0140000000001</v>
      </c>
      <c r="K11" s="126">
        <v>6251.3869999999997</v>
      </c>
      <c r="L11" s="126"/>
      <c r="M11" s="126">
        <v>7055.701</v>
      </c>
      <c r="N11" s="126">
        <v>7663.8980000000001</v>
      </c>
      <c r="O11" s="126">
        <v>7431.1360000000004</v>
      </c>
      <c r="P11" s="126">
        <v>7810.5360000000001</v>
      </c>
      <c r="Q11" s="126"/>
      <c r="R11" s="126">
        <v>9417.69</v>
      </c>
      <c r="S11" s="126">
        <v>9515.8360000000011</v>
      </c>
      <c r="T11" s="126">
        <v>10433.374</v>
      </c>
      <c r="U11" s="126">
        <v>12033.867</v>
      </c>
      <c r="V11" s="13"/>
      <c r="W11" s="13"/>
      <c r="X11" s="81"/>
      <c r="Y11" s="82" t="s">
        <v>35</v>
      </c>
      <c r="Z11" s="83"/>
      <c r="AA11" s="83"/>
      <c r="AB11" s="83"/>
      <c r="AC11" s="62"/>
      <c r="AD11" s="62"/>
      <c r="AE11" s="84"/>
      <c r="AF11" s="84"/>
      <c r="AG11" s="19"/>
    </row>
    <row r="12" spans="1:33" s="17" customFormat="1" ht="16.5" customHeight="1">
      <c r="A12" s="68" t="s">
        <v>36</v>
      </c>
      <c r="B12" s="9"/>
      <c r="C12" s="127">
        <v>277.64218844999999</v>
      </c>
      <c r="D12" s="127">
        <v>307.56317999999999</v>
      </c>
      <c r="E12" s="127">
        <v>302.858</v>
      </c>
      <c r="F12" s="127">
        <v>339.12200000000001</v>
      </c>
      <c r="G12" s="127"/>
      <c r="H12" s="127">
        <v>358.096</v>
      </c>
      <c r="I12" s="127">
        <v>369.12700000000001</v>
      </c>
      <c r="J12" s="127">
        <v>385.60199999999998</v>
      </c>
      <c r="K12" s="127">
        <v>358.745</v>
      </c>
      <c r="L12" s="127"/>
      <c r="M12" s="127">
        <v>369.072</v>
      </c>
      <c r="N12" s="127">
        <v>408.654</v>
      </c>
      <c r="O12" s="127">
        <v>402.33</v>
      </c>
      <c r="P12" s="127">
        <v>450.54199999999997</v>
      </c>
      <c r="Q12" s="127"/>
      <c r="R12" s="127">
        <v>406.68799999999999</v>
      </c>
      <c r="S12" s="127">
        <v>490.03899999999999</v>
      </c>
      <c r="T12" s="127">
        <v>411.94799999999998</v>
      </c>
      <c r="U12" s="127">
        <v>416.71899999999999</v>
      </c>
      <c r="V12" s="11"/>
      <c r="W12" s="11"/>
      <c r="X12" s="85" t="s">
        <v>37</v>
      </c>
      <c r="Y12" s="86"/>
      <c r="AA12" s="62"/>
      <c r="AB12" s="62"/>
      <c r="AC12" s="62"/>
      <c r="AD12" s="62"/>
      <c r="AE12" s="84"/>
      <c r="AF12" s="84"/>
      <c r="AG12" s="19"/>
    </row>
    <row r="13" spans="1:33" s="17" customFormat="1" ht="16.5" customHeight="1">
      <c r="A13" s="68" t="s">
        <v>38</v>
      </c>
      <c r="B13" s="9"/>
      <c r="C13" s="127">
        <v>5192.3313187900003</v>
      </c>
      <c r="D13" s="127">
        <v>5201.5392499999998</v>
      </c>
      <c r="E13" s="127">
        <v>5556.28</v>
      </c>
      <c r="F13" s="127">
        <v>5357.3119999999999</v>
      </c>
      <c r="G13" s="127"/>
      <c r="H13" s="127">
        <v>5750.8729999999996</v>
      </c>
      <c r="I13" s="127">
        <v>5451.4169999999995</v>
      </c>
      <c r="J13" s="127">
        <v>5344.2240000000002</v>
      </c>
      <c r="K13" s="127">
        <v>5892.6379999999999</v>
      </c>
      <c r="L13" s="127"/>
      <c r="M13" s="127">
        <v>6271.2470000000003</v>
      </c>
      <c r="N13" s="127">
        <v>6819.81</v>
      </c>
      <c r="O13" s="127">
        <v>6197.8610000000008</v>
      </c>
      <c r="P13" s="127">
        <v>6457.799</v>
      </c>
      <c r="Q13" s="127"/>
      <c r="R13" s="127">
        <v>8029.8739999999998</v>
      </c>
      <c r="S13" s="127">
        <v>9025.7970000000005</v>
      </c>
      <c r="T13" s="127">
        <v>10021.425999999999</v>
      </c>
      <c r="U13" s="127">
        <v>11617.148000000001</v>
      </c>
      <c r="V13" s="87"/>
      <c r="W13" s="87"/>
      <c r="X13" s="88" t="s">
        <v>39</v>
      </c>
      <c r="Y13" s="71"/>
      <c r="Z13" s="72"/>
      <c r="AA13" s="73"/>
      <c r="AB13" s="73"/>
      <c r="AC13" s="62"/>
      <c r="AD13" s="62"/>
      <c r="AE13" s="84"/>
      <c r="AF13" s="84"/>
      <c r="AG13" s="55"/>
    </row>
    <row r="14" spans="1:33" s="17" customFormat="1" ht="16.5" customHeight="1">
      <c r="A14" s="68" t="s">
        <v>40</v>
      </c>
      <c r="B14" s="9"/>
      <c r="C14" s="127">
        <v>0</v>
      </c>
      <c r="D14" s="127">
        <v>0</v>
      </c>
      <c r="E14" s="127">
        <v>0</v>
      </c>
      <c r="F14" s="127">
        <v>0</v>
      </c>
      <c r="G14" s="127"/>
      <c r="H14" s="127">
        <v>0</v>
      </c>
      <c r="I14" s="127">
        <v>0</v>
      </c>
      <c r="J14" s="127">
        <v>0</v>
      </c>
      <c r="K14" s="127">
        <v>0</v>
      </c>
      <c r="L14" s="127"/>
      <c r="M14" s="127">
        <v>0</v>
      </c>
      <c r="N14" s="127">
        <v>0</v>
      </c>
      <c r="O14" s="127">
        <v>0</v>
      </c>
      <c r="P14" s="127">
        <v>0</v>
      </c>
      <c r="Q14" s="127"/>
      <c r="R14" s="127">
        <v>0</v>
      </c>
      <c r="S14" s="127">
        <v>0</v>
      </c>
      <c r="T14" s="127">
        <v>0</v>
      </c>
      <c r="U14" s="127">
        <v>0</v>
      </c>
      <c r="V14" s="89"/>
      <c r="W14" s="89"/>
      <c r="X14" s="90" t="s">
        <v>41</v>
      </c>
      <c r="Y14" s="71"/>
      <c r="Z14" s="72"/>
      <c r="AA14" s="73"/>
      <c r="AB14" s="73"/>
      <c r="AC14" s="62"/>
      <c r="AD14" s="62"/>
      <c r="AE14" s="32"/>
      <c r="AF14" s="19"/>
      <c r="AG14" s="19"/>
    </row>
    <row r="15" spans="1:33" s="17" customFormat="1" ht="16.5" customHeight="1">
      <c r="A15" s="68" t="s">
        <v>42</v>
      </c>
      <c r="B15" s="91"/>
      <c r="C15" s="130">
        <v>176.078</v>
      </c>
      <c r="D15" s="130">
        <v>385.10700000000003</v>
      </c>
      <c r="E15" s="130">
        <v>0</v>
      </c>
      <c r="F15" s="130">
        <v>0</v>
      </c>
      <c r="G15" s="130"/>
      <c r="H15" s="130">
        <v>0</v>
      </c>
      <c r="I15" s="130">
        <v>110.098</v>
      </c>
      <c r="J15" s="130">
        <v>163.18799999999999</v>
      </c>
      <c r="K15" s="130">
        <v>4.0000000000000001E-3</v>
      </c>
      <c r="L15" s="130"/>
      <c r="M15" s="130">
        <v>415.38200000000001</v>
      </c>
      <c r="N15" s="130">
        <v>435.43400000000003</v>
      </c>
      <c r="O15" s="130">
        <v>830.94500000000005</v>
      </c>
      <c r="P15" s="130">
        <v>902.19500000000005</v>
      </c>
      <c r="Q15" s="130"/>
      <c r="R15" s="130">
        <v>981.12800000000004</v>
      </c>
      <c r="S15" s="130">
        <v>0</v>
      </c>
      <c r="T15" s="130">
        <v>0</v>
      </c>
      <c r="U15" s="130">
        <v>0</v>
      </c>
      <c r="V15" s="11"/>
      <c r="W15" s="11"/>
      <c r="X15" s="92" t="s">
        <v>43</v>
      </c>
      <c r="Y15" s="76"/>
      <c r="Z15" s="77"/>
      <c r="AA15" s="78"/>
      <c r="AB15" s="78"/>
      <c r="AC15" s="62"/>
      <c r="AD15" s="62"/>
      <c r="AE15" s="84"/>
      <c r="AF15" s="84"/>
      <c r="AG15" s="19"/>
    </row>
    <row r="16" spans="1:33" s="17" customFormat="1" ht="16.5" customHeight="1">
      <c r="A16" s="52" t="s">
        <v>26</v>
      </c>
      <c r="B16" s="5"/>
      <c r="C16" s="126">
        <v>3313.2822500000002</v>
      </c>
      <c r="D16" s="126">
        <v>3013.0819999999999</v>
      </c>
      <c r="E16" s="126">
        <v>2802.3719999999998</v>
      </c>
      <c r="F16" s="126">
        <v>3303.5040000000008</v>
      </c>
      <c r="G16" s="126"/>
      <c r="H16" s="126">
        <v>3772.4919999999993</v>
      </c>
      <c r="I16" s="126">
        <v>4222.0130000000008</v>
      </c>
      <c r="J16" s="126">
        <v>3911.33</v>
      </c>
      <c r="K16" s="126">
        <v>2964.0050000000001</v>
      </c>
      <c r="L16" s="126"/>
      <c r="M16" s="126">
        <v>2385.7199999999993</v>
      </c>
      <c r="N16" s="126">
        <v>2798.0260000000003</v>
      </c>
      <c r="O16" s="126">
        <v>2747.4829999999997</v>
      </c>
      <c r="P16" s="126">
        <v>2676.1389999999997</v>
      </c>
      <c r="Q16" s="126"/>
      <c r="R16" s="126">
        <v>3158.5669999999991</v>
      </c>
      <c r="S16" s="126">
        <v>3473.24</v>
      </c>
      <c r="T16" s="126">
        <v>3524.8010000000008</v>
      </c>
      <c r="U16" s="126">
        <v>3947.5299999999993</v>
      </c>
      <c r="V16" s="15"/>
      <c r="W16" s="15"/>
      <c r="X16" s="86"/>
      <c r="Y16" s="82" t="s">
        <v>44</v>
      </c>
      <c r="Z16" s="77"/>
      <c r="AA16" s="78"/>
      <c r="AB16" s="78"/>
      <c r="AC16" s="62"/>
      <c r="AD16" s="62"/>
      <c r="AE16" s="84"/>
      <c r="AF16" s="84"/>
      <c r="AG16" s="19"/>
    </row>
    <row r="17" spans="1:33" s="17" customFormat="1" ht="16.5" customHeight="1">
      <c r="A17" s="68" t="s">
        <v>45</v>
      </c>
      <c r="B17" s="9"/>
      <c r="C17" s="127">
        <v>5194.4790000000003</v>
      </c>
      <c r="D17" s="127">
        <v>5146.2</v>
      </c>
      <c r="E17" s="127">
        <v>4724.8609999999999</v>
      </c>
      <c r="F17" s="127">
        <v>5192.3150000000005</v>
      </c>
      <c r="G17" s="127"/>
      <c r="H17" s="127">
        <v>5445.11</v>
      </c>
      <c r="I17" s="127">
        <v>5904.7040000000006</v>
      </c>
      <c r="J17" s="127">
        <v>5487.4110000000001</v>
      </c>
      <c r="K17" s="127">
        <v>4735.46</v>
      </c>
      <c r="L17" s="127"/>
      <c r="M17" s="127">
        <v>4368.7879999999996</v>
      </c>
      <c r="N17" s="127">
        <v>4563.6400000000003</v>
      </c>
      <c r="O17" s="127">
        <v>4398.2669999999998</v>
      </c>
      <c r="P17" s="127">
        <v>4475.0169999999998</v>
      </c>
      <c r="Q17" s="127"/>
      <c r="R17" s="127">
        <v>5540.8269999999993</v>
      </c>
      <c r="S17" s="127">
        <v>5958.6279999999997</v>
      </c>
      <c r="T17" s="127">
        <v>5685.7540000000008</v>
      </c>
      <c r="U17" s="127">
        <v>5965.1579999999994</v>
      </c>
      <c r="V17" s="93"/>
      <c r="W17" s="94"/>
      <c r="X17" s="95" t="s">
        <v>46</v>
      </c>
      <c r="Y17" s="71"/>
      <c r="Z17" s="72"/>
      <c r="AA17" s="73"/>
      <c r="AB17" s="73"/>
      <c r="AC17" s="62"/>
      <c r="AD17" s="62"/>
      <c r="AE17" s="32"/>
      <c r="AF17" s="84"/>
      <c r="AG17" s="32"/>
    </row>
    <row r="18" spans="1:33" s="17" customFormat="1" ht="16.5" customHeight="1">
      <c r="A18" s="68" t="s">
        <v>47</v>
      </c>
      <c r="B18" s="9"/>
      <c r="C18" s="127">
        <v>-1881.1967500000001</v>
      </c>
      <c r="D18" s="127">
        <v>-2133.1179999999999</v>
      </c>
      <c r="E18" s="127">
        <v>-1922.489</v>
      </c>
      <c r="F18" s="127">
        <v>-1888.8109999999999</v>
      </c>
      <c r="G18" s="127"/>
      <c r="H18" s="127">
        <v>-1672.6180000000002</v>
      </c>
      <c r="I18" s="127">
        <v>-1682.691</v>
      </c>
      <c r="J18" s="127">
        <v>-1576.0809999999999</v>
      </c>
      <c r="K18" s="127">
        <v>-1771.4550000000002</v>
      </c>
      <c r="L18" s="127"/>
      <c r="M18" s="127">
        <v>-1983.068</v>
      </c>
      <c r="N18" s="127">
        <v>-1765.614</v>
      </c>
      <c r="O18" s="127">
        <v>-1650.7840000000001</v>
      </c>
      <c r="P18" s="127">
        <v>-1798.8780000000002</v>
      </c>
      <c r="Q18" s="127"/>
      <c r="R18" s="127">
        <v>-2382.2600000000002</v>
      </c>
      <c r="S18" s="127">
        <v>-2485.3879999999999</v>
      </c>
      <c r="T18" s="127">
        <v>-2160.953</v>
      </c>
      <c r="U18" s="127">
        <v>-2017.6280000000002</v>
      </c>
      <c r="V18" s="93"/>
      <c r="W18" s="94"/>
      <c r="X18" s="71" t="s">
        <v>48</v>
      </c>
      <c r="Y18" s="71"/>
      <c r="Z18" s="72"/>
      <c r="AA18" s="73"/>
      <c r="AB18" s="73"/>
      <c r="AC18" s="62"/>
      <c r="AD18" s="62"/>
      <c r="AE18" s="84"/>
      <c r="AF18" s="96"/>
      <c r="AG18" s="19"/>
    </row>
    <row r="19" spans="1:33" s="17" customFormat="1" ht="16.5" customHeight="1">
      <c r="A19" s="97" t="s">
        <v>27</v>
      </c>
      <c r="B19" s="63"/>
      <c r="C19" s="129">
        <v>16796.887999999999</v>
      </c>
      <c r="D19" s="129">
        <v>18167.315999999999</v>
      </c>
      <c r="E19" s="129">
        <v>18789.838</v>
      </c>
      <c r="F19" s="129">
        <v>17852.817999999999</v>
      </c>
      <c r="G19" s="129"/>
      <c r="H19" s="129">
        <v>17705.947</v>
      </c>
      <c r="I19" s="129">
        <v>16965.232</v>
      </c>
      <c r="J19" s="129">
        <v>16359.608000000002</v>
      </c>
      <c r="K19" s="129">
        <v>16237.16</v>
      </c>
      <c r="L19" s="129"/>
      <c r="M19" s="129">
        <v>16487.942999999999</v>
      </c>
      <c r="N19" s="129">
        <v>16210.236999999999</v>
      </c>
      <c r="O19" s="129">
        <v>16344.25</v>
      </c>
      <c r="P19" s="129">
        <v>16314.043000000001</v>
      </c>
      <c r="Q19" s="129"/>
      <c r="R19" s="129">
        <v>16524.533000000003</v>
      </c>
      <c r="S19" s="129">
        <v>16246.105</v>
      </c>
      <c r="T19" s="129">
        <v>17260.942000000003</v>
      </c>
      <c r="U19" s="129">
        <v>16722.827000000001</v>
      </c>
      <c r="V19" s="98"/>
      <c r="W19" s="98"/>
      <c r="X19" s="86"/>
      <c r="Y19" s="25" t="s">
        <v>49</v>
      </c>
      <c r="AA19" s="2"/>
      <c r="AB19" s="2"/>
      <c r="AC19" s="62"/>
      <c r="AD19" s="62"/>
      <c r="AE19" s="19"/>
      <c r="AF19" s="96"/>
      <c r="AG19" s="19"/>
    </row>
    <row r="20" spans="1:33" s="17" customFormat="1" ht="16.5" customHeight="1">
      <c r="A20" s="68" t="s">
        <v>50</v>
      </c>
      <c r="B20" s="9"/>
      <c r="C20" s="127">
        <v>150.13499999999999</v>
      </c>
      <c r="D20" s="127">
        <v>184.53400000000002</v>
      </c>
      <c r="E20" s="127">
        <v>178.411</v>
      </c>
      <c r="F20" s="127">
        <v>98.792999999999992</v>
      </c>
      <c r="G20" s="127"/>
      <c r="H20" s="127">
        <v>52.281999999999989</v>
      </c>
      <c r="I20" s="127">
        <v>48.873999999999995</v>
      </c>
      <c r="J20" s="127">
        <v>97.029000000000011</v>
      </c>
      <c r="K20" s="127">
        <v>161.03000000000003</v>
      </c>
      <c r="L20" s="127"/>
      <c r="M20" s="127">
        <v>120.855</v>
      </c>
      <c r="N20" s="127">
        <v>67.334000000000003</v>
      </c>
      <c r="O20" s="127">
        <v>84.122</v>
      </c>
      <c r="P20" s="127">
        <v>109.22699999999999</v>
      </c>
      <c r="Q20" s="127"/>
      <c r="R20" s="127">
        <v>279.93099999999998</v>
      </c>
      <c r="S20" s="127">
        <v>304.803</v>
      </c>
      <c r="T20" s="127">
        <v>268.23400000000004</v>
      </c>
      <c r="U20" s="127">
        <v>281.92</v>
      </c>
      <c r="V20" s="87"/>
      <c r="W20" s="99"/>
      <c r="X20" s="14" t="s">
        <v>51</v>
      </c>
      <c r="Y20" s="86"/>
      <c r="AA20" s="100"/>
      <c r="AB20" s="100"/>
      <c r="AC20" s="62"/>
      <c r="AD20" s="101"/>
      <c r="AE20" s="19"/>
      <c r="AF20" s="96"/>
      <c r="AG20" s="19"/>
    </row>
    <row r="21" spans="1:33" s="17" customFormat="1" ht="16.5" customHeight="1">
      <c r="A21" s="68" t="s">
        <v>52</v>
      </c>
      <c r="B21" s="9"/>
      <c r="C21" s="127">
        <v>1323.9579999999999</v>
      </c>
      <c r="D21" s="127">
        <v>1310.8679999999999</v>
      </c>
      <c r="E21" s="127">
        <v>1840.8960000000002</v>
      </c>
      <c r="F21" s="127">
        <v>1668.1460000000002</v>
      </c>
      <c r="G21" s="127"/>
      <c r="H21" s="127">
        <v>2014.1779999999999</v>
      </c>
      <c r="I21" s="127">
        <v>2030.4489999999998</v>
      </c>
      <c r="J21" s="127">
        <v>1467.7329999999999</v>
      </c>
      <c r="K21" s="127">
        <v>1577.5530000000001</v>
      </c>
      <c r="L21" s="127"/>
      <c r="M21" s="127">
        <v>1421.2000000000003</v>
      </c>
      <c r="N21" s="127">
        <v>1408.3390000000002</v>
      </c>
      <c r="O21" s="127">
        <v>1404.922</v>
      </c>
      <c r="P21" s="127">
        <v>1574.433</v>
      </c>
      <c r="Q21" s="127"/>
      <c r="R21" s="127">
        <v>1741.1799999999998</v>
      </c>
      <c r="S21" s="127">
        <v>1332.875</v>
      </c>
      <c r="T21" s="127">
        <v>1512.0800000000002</v>
      </c>
      <c r="U21" s="127">
        <v>1332.8990000000001</v>
      </c>
      <c r="V21" s="93"/>
      <c r="W21" s="93"/>
      <c r="X21" s="7" t="s">
        <v>53</v>
      </c>
      <c r="Y21" s="86"/>
      <c r="Z21" s="6"/>
      <c r="AA21" s="100"/>
      <c r="AB21" s="100"/>
      <c r="AC21" s="62"/>
      <c r="AD21" s="6"/>
      <c r="AE21" s="96"/>
      <c r="AF21" s="96"/>
      <c r="AG21" s="55"/>
    </row>
    <row r="22" spans="1:33" s="17" customFormat="1" ht="16.5" customHeight="1">
      <c r="A22" s="68" t="s">
        <v>54</v>
      </c>
      <c r="B22" s="9"/>
      <c r="C22" s="127">
        <v>15322.795</v>
      </c>
      <c r="D22" s="127">
        <v>16671.914000000001</v>
      </c>
      <c r="E22" s="127">
        <v>16770.530999999999</v>
      </c>
      <c r="F22" s="127">
        <v>16085.878999999999</v>
      </c>
      <c r="G22" s="127"/>
      <c r="H22" s="127">
        <v>15639.487000000001</v>
      </c>
      <c r="I22" s="127">
        <v>14885.909000000001</v>
      </c>
      <c r="J22" s="127">
        <v>14794.846000000001</v>
      </c>
      <c r="K22" s="127">
        <v>14498.576999999999</v>
      </c>
      <c r="L22" s="127"/>
      <c r="M22" s="127">
        <v>14945.887999999999</v>
      </c>
      <c r="N22" s="127">
        <v>14734.563999999998</v>
      </c>
      <c r="O22" s="127">
        <v>14855.206</v>
      </c>
      <c r="P22" s="127">
        <v>14630.383000000002</v>
      </c>
      <c r="Q22" s="127"/>
      <c r="R22" s="127">
        <v>14503.422000000002</v>
      </c>
      <c r="S22" s="127">
        <v>14608.427</v>
      </c>
      <c r="T22" s="127">
        <v>15480.628000000001</v>
      </c>
      <c r="U22" s="127">
        <v>15108.008000000002</v>
      </c>
      <c r="V22" s="69"/>
      <c r="W22" s="69"/>
      <c r="X22" s="7" t="s">
        <v>55</v>
      </c>
      <c r="Y22" s="86"/>
      <c r="Z22" s="6"/>
      <c r="AA22" s="19"/>
      <c r="AB22" s="19"/>
      <c r="AC22" s="62"/>
      <c r="AD22" s="6"/>
      <c r="AE22" s="32"/>
      <c r="AF22" s="19"/>
      <c r="AG22" s="32"/>
    </row>
    <row r="23" spans="1:33" s="17" customFormat="1" ht="16.5" customHeight="1">
      <c r="A23" s="52" t="s">
        <v>56</v>
      </c>
      <c r="B23" s="5"/>
      <c r="C23" s="126">
        <v>0</v>
      </c>
      <c r="D23" s="126">
        <v>0</v>
      </c>
      <c r="E23" s="126">
        <v>0</v>
      </c>
      <c r="F23" s="126">
        <v>0</v>
      </c>
      <c r="G23" s="126"/>
      <c r="H23" s="126">
        <v>0</v>
      </c>
      <c r="I23" s="126">
        <v>0</v>
      </c>
      <c r="J23" s="126">
        <v>0</v>
      </c>
      <c r="K23" s="126">
        <v>0</v>
      </c>
      <c r="L23" s="126"/>
      <c r="M23" s="126">
        <v>0</v>
      </c>
      <c r="N23" s="126">
        <v>0</v>
      </c>
      <c r="O23" s="126">
        <v>0</v>
      </c>
      <c r="P23" s="126">
        <v>0</v>
      </c>
      <c r="Q23" s="126"/>
      <c r="R23" s="126">
        <v>0</v>
      </c>
      <c r="S23" s="126">
        <v>0</v>
      </c>
      <c r="T23" s="126">
        <v>0</v>
      </c>
      <c r="U23" s="126">
        <v>0</v>
      </c>
      <c r="V23" s="11"/>
      <c r="W23" s="11"/>
      <c r="X23" s="92"/>
      <c r="Y23" s="102" t="s">
        <v>57</v>
      </c>
      <c r="Z23" s="11"/>
      <c r="AA23" s="103"/>
      <c r="AB23" s="103"/>
      <c r="AC23" s="62"/>
      <c r="AD23" s="62"/>
      <c r="AE23" s="19"/>
      <c r="AF23" s="104"/>
      <c r="AG23" s="32"/>
    </row>
    <row r="24" spans="1:33" s="17" customFormat="1" ht="16.5" customHeight="1">
      <c r="A24" s="52" t="s">
        <v>58</v>
      </c>
      <c r="B24" s="5"/>
      <c r="C24" s="126">
        <v>12275.294102869999</v>
      </c>
      <c r="D24" s="126">
        <v>12558.586880000001</v>
      </c>
      <c r="E24" s="126">
        <v>12352.102999999999</v>
      </c>
      <c r="F24" s="126">
        <v>13111.123000000001</v>
      </c>
      <c r="G24" s="126"/>
      <c r="H24" s="126">
        <v>14014.318161260002</v>
      </c>
      <c r="I24" s="126">
        <v>13524.444</v>
      </c>
      <c r="J24" s="126">
        <v>12969.168999999998</v>
      </c>
      <c r="K24" s="126">
        <v>13677.823</v>
      </c>
      <c r="L24" s="126"/>
      <c r="M24" s="126">
        <v>16311.911999999998</v>
      </c>
      <c r="N24" s="126">
        <v>16190.973</v>
      </c>
      <c r="O24" s="126">
        <v>15810.918000000001</v>
      </c>
      <c r="P24" s="126">
        <v>16684.201000000001</v>
      </c>
      <c r="Q24" s="126"/>
      <c r="R24" s="126">
        <v>20635.573</v>
      </c>
      <c r="S24" s="126">
        <v>19540.894</v>
      </c>
      <c r="T24" s="126">
        <v>18630.580999999998</v>
      </c>
      <c r="U24" s="126">
        <v>19415.473999999998</v>
      </c>
      <c r="V24" s="20"/>
      <c r="W24" s="20"/>
      <c r="X24" s="105"/>
      <c r="Y24" s="102" t="s">
        <v>59</v>
      </c>
      <c r="Z24" s="11"/>
      <c r="AA24" s="103"/>
      <c r="AB24" s="103"/>
      <c r="AC24" s="62"/>
      <c r="AD24" s="62"/>
      <c r="AE24" s="32"/>
      <c r="AF24" s="32"/>
      <c r="AG24" s="106"/>
    </row>
    <row r="25" spans="1:33" s="17" customFormat="1" ht="16.5" customHeight="1">
      <c r="A25" s="52" t="s">
        <v>60</v>
      </c>
      <c r="B25" s="5"/>
      <c r="C25" s="126">
        <v>3807.9539728200002</v>
      </c>
      <c r="D25" s="126">
        <v>4459.1779400000005</v>
      </c>
      <c r="E25" s="126">
        <v>4437.4260000000004</v>
      </c>
      <c r="F25" s="126">
        <v>4033.1189999999997</v>
      </c>
      <c r="G25" s="126"/>
      <c r="H25" s="126">
        <v>3945.3440000000001</v>
      </c>
      <c r="I25" s="126">
        <v>4257.3819999999996</v>
      </c>
      <c r="J25" s="126">
        <v>3978.1089999999999</v>
      </c>
      <c r="K25" s="126">
        <v>4206.3490000000002</v>
      </c>
      <c r="L25" s="126"/>
      <c r="M25" s="126">
        <v>4098.8530000000001</v>
      </c>
      <c r="N25" s="126">
        <v>4094.8889999999997</v>
      </c>
      <c r="O25" s="126">
        <v>4350.3969999999999</v>
      </c>
      <c r="P25" s="126">
        <v>4189.0829999999996</v>
      </c>
      <c r="Q25" s="126"/>
      <c r="R25" s="126">
        <v>5009.5069999999996</v>
      </c>
      <c r="S25" s="126">
        <v>4656.8639999999996</v>
      </c>
      <c r="T25" s="126">
        <v>4761.1020000000008</v>
      </c>
      <c r="U25" s="126">
        <v>5064.9650000000001</v>
      </c>
      <c r="V25" s="93"/>
      <c r="W25" s="93"/>
      <c r="X25" s="107"/>
      <c r="Y25" s="102" t="s">
        <v>61</v>
      </c>
      <c r="Z25" s="6"/>
      <c r="AA25" s="19"/>
      <c r="AB25" s="19"/>
      <c r="AC25" s="62"/>
      <c r="AD25" s="62"/>
      <c r="AE25" s="19"/>
      <c r="AF25" s="32"/>
      <c r="AG25" s="32"/>
    </row>
    <row r="26" spans="1:33" s="17" customFormat="1" ht="16.5" customHeight="1">
      <c r="A26" s="52" t="s">
        <v>62</v>
      </c>
      <c r="B26" s="5"/>
      <c r="C26" s="126">
        <v>0</v>
      </c>
      <c r="D26" s="126">
        <v>0</v>
      </c>
      <c r="E26" s="126">
        <v>0</v>
      </c>
      <c r="F26" s="126">
        <v>0</v>
      </c>
      <c r="G26" s="126"/>
      <c r="H26" s="126">
        <v>0</v>
      </c>
      <c r="I26" s="126">
        <v>0</v>
      </c>
      <c r="J26" s="126">
        <v>0</v>
      </c>
      <c r="K26" s="126">
        <v>0</v>
      </c>
      <c r="L26" s="126"/>
      <c r="M26" s="126">
        <v>0</v>
      </c>
      <c r="N26" s="126">
        <v>0</v>
      </c>
      <c r="O26" s="126">
        <v>0</v>
      </c>
      <c r="P26" s="126">
        <v>0</v>
      </c>
      <c r="Q26" s="126"/>
      <c r="R26" s="126">
        <v>0</v>
      </c>
      <c r="S26" s="126">
        <v>0</v>
      </c>
      <c r="T26" s="126">
        <v>0</v>
      </c>
      <c r="U26" s="126">
        <v>0</v>
      </c>
      <c r="V26" s="93"/>
      <c r="W26" s="93"/>
      <c r="X26" s="107"/>
      <c r="Y26" s="102" t="s">
        <v>63</v>
      </c>
      <c r="Z26" s="11"/>
      <c r="AA26" s="103"/>
      <c r="AB26" s="103"/>
      <c r="AC26" s="62"/>
      <c r="AD26" s="62"/>
      <c r="AE26" s="32"/>
      <c r="AF26" s="32"/>
      <c r="AG26" s="106"/>
    </row>
    <row r="27" spans="1:33" s="17" customFormat="1" ht="16.5" customHeight="1">
      <c r="A27" s="52" t="s">
        <v>14</v>
      </c>
      <c r="B27" s="5"/>
      <c r="C27" s="126">
        <v>275.524</v>
      </c>
      <c r="D27" s="126">
        <v>326.21299999999997</v>
      </c>
      <c r="E27" s="126">
        <v>394.99899999999997</v>
      </c>
      <c r="F27" s="126">
        <v>326.79899999999998</v>
      </c>
      <c r="G27" s="126"/>
      <c r="H27" s="126">
        <v>293.53700000000003</v>
      </c>
      <c r="I27" s="126">
        <v>289.94800000000004</v>
      </c>
      <c r="J27" s="126">
        <v>265.24399999999997</v>
      </c>
      <c r="K27" s="126">
        <v>275.43399999999997</v>
      </c>
      <c r="L27" s="126"/>
      <c r="M27" s="126">
        <v>263.49099999999999</v>
      </c>
      <c r="N27" s="126">
        <v>281.64400000000001</v>
      </c>
      <c r="O27" s="126">
        <v>287.06</v>
      </c>
      <c r="P27" s="126">
        <v>370.32600000000002</v>
      </c>
      <c r="Q27" s="126"/>
      <c r="R27" s="126">
        <v>331.553</v>
      </c>
      <c r="S27" s="126">
        <v>392.85599999999999</v>
      </c>
      <c r="T27" s="126">
        <v>343.59000000000003</v>
      </c>
      <c r="U27" s="126">
        <v>375.99200000000002</v>
      </c>
      <c r="V27" s="93"/>
      <c r="W27" s="93"/>
      <c r="X27" s="107"/>
      <c r="Y27" s="12" t="s">
        <v>64</v>
      </c>
      <c r="Z27" s="6"/>
      <c r="AA27" s="19"/>
      <c r="AB27" s="19"/>
      <c r="AC27" s="62"/>
      <c r="AD27" s="62"/>
      <c r="AE27" s="19"/>
      <c r="AF27" s="32"/>
      <c r="AG27" s="108"/>
    </row>
    <row r="28" spans="1:33" s="17" customFormat="1" ht="16.5" customHeight="1">
      <c r="A28" s="52" t="s">
        <v>15</v>
      </c>
      <c r="B28" s="109"/>
      <c r="C28" s="131">
        <v>0</v>
      </c>
      <c r="D28" s="131">
        <v>0</v>
      </c>
      <c r="E28" s="131">
        <v>0</v>
      </c>
      <c r="F28" s="131">
        <v>0</v>
      </c>
      <c r="G28" s="131"/>
      <c r="H28" s="131">
        <v>0</v>
      </c>
      <c r="I28" s="131">
        <v>0</v>
      </c>
      <c r="J28" s="131">
        <v>0</v>
      </c>
      <c r="K28" s="131">
        <v>0</v>
      </c>
      <c r="L28" s="131"/>
      <c r="M28" s="131">
        <v>0</v>
      </c>
      <c r="N28" s="131">
        <v>0</v>
      </c>
      <c r="O28" s="131">
        <v>0</v>
      </c>
      <c r="P28" s="131">
        <v>0</v>
      </c>
      <c r="Q28" s="131"/>
      <c r="R28" s="131">
        <v>0</v>
      </c>
      <c r="S28" s="131">
        <v>0</v>
      </c>
      <c r="T28" s="131">
        <v>0</v>
      </c>
      <c r="U28" s="131">
        <v>0</v>
      </c>
      <c r="V28" s="93"/>
      <c r="W28" s="93"/>
      <c r="X28" s="107"/>
      <c r="Y28" s="102" t="s">
        <v>65</v>
      </c>
      <c r="Z28" s="18"/>
      <c r="AA28" s="55"/>
      <c r="AB28" s="55"/>
      <c r="AC28" s="62"/>
      <c r="AD28" s="62"/>
      <c r="AE28" s="32"/>
      <c r="AF28" s="32"/>
      <c r="AG28" s="108"/>
    </row>
    <row r="29" spans="1:33" s="17" customFormat="1" ht="16.5" customHeight="1">
      <c r="A29" s="52" t="s">
        <v>16</v>
      </c>
      <c r="B29" s="109"/>
      <c r="C29" s="131">
        <v>0</v>
      </c>
      <c r="D29" s="131">
        <v>0</v>
      </c>
      <c r="E29" s="131">
        <v>0</v>
      </c>
      <c r="F29" s="131">
        <v>0</v>
      </c>
      <c r="G29" s="131"/>
      <c r="H29" s="131">
        <v>0</v>
      </c>
      <c r="I29" s="131">
        <v>0</v>
      </c>
      <c r="J29" s="131">
        <v>0</v>
      </c>
      <c r="K29" s="131">
        <v>0</v>
      </c>
      <c r="L29" s="131"/>
      <c r="M29" s="131">
        <v>0</v>
      </c>
      <c r="N29" s="131">
        <v>0</v>
      </c>
      <c r="O29" s="131">
        <v>0</v>
      </c>
      <c r="P29" s="131">
        <v>0</v>
      </c>
      <c r="Q29" s="131"/>
      <c r="R29" s="131">
        <v>0</v>
      </c>
      <c r="S29" s="131">
        <v>0</v>
      </c>
      <c r="T29" s="131">
        <v>0</v>
      </c>
      <c r="U29" s="131">
        <v>0</v>
      </c>
      <c r="V29" s="93"/>
      <c r="W29" s="93"/>
      <c r="X29" s="107"/>
      <c r="Y29" s="102" t="s">
        <v>66</v>
      </c>
      <c r="Z29" s="18"/>
      <c r="AA29" s="55"/>
      <c r="AB29" s="55"/>
      <c r="AC29" s="62"/>
      <c r="AD29" s="62"/>
      <c r="AE29" s="32"/>
      <c r="AF29" s="32"/>
      <c r="AG29" s="108"/>
    </row>
    <row r="30" spans="1:33" s="17" customFormat="1" ht="16.5" customHeight="1">
      <c r="A30" s="52" t="s">
        <v>67</v>
      </c>
      <c r="B30" s="109"/>
      <c r="C30" s="131">
        <v>5019.3302523700013</v>
      </c>
      <c r="D30" s="131">
        <v>5412.7637100000002</v>
      </c>
      <c r="E30" s="131">
        <v>5419.3670000000002</v>
      </c>
      <c r="F30" s="131">
        <v>4908.777</v>
      </c>
      <c r="G30" s="131"/>
      <c r="H30" s="131">
        <v>5021.7928387420307</v>
      </c>
      <c r="I30" s="131">
        <v>5231.5789999999997</v>
      </c>
      <c r="J30" s="131">
        <v>5464.3770000000004</v>
      </c>
      <c r="K30" s="131">
        <v>5733.6379999999999</v>
      </c>
      <c r="L30" s="131"/>
      <c r="M30" s="131">
        <v>6305.0860000000002</v>
      </c>
      <c r="N30" s="131">
        <v>6557.96</v>
      </c>
      <c r="O30" s="131">
        <v>6974.3550000000005</v>
      </c>
      <c r="P30" s="131">
        <v>7194.7210000000005</v>
      </c>
      <c r="Q30" s="131"/>
      <c r="R30" s="131">
        <v>7555.1559999999999</v>
      </c>
      <c r="S30" s="131">
        <v>7802.6839999999993</v>
      </c>
      <c r="T30" s="131">
        <v>8331.0006516733993</v>
      </c>
      <c r="U30" s="131">
        <v>8493.2743296110002</v>
      </c>
      <c r="V30" s="93"/>
      <c r="W30" s="93"/>
      <c r="X30" s="107"/>
      <c r="Y30" s="21" t="s">
        <v>68</v>
      </c>
      <c r="Z30" s="18"/>
      <c r="AA30" s="55"/>
      <c r="AB30" s="55"/>
      <c r="AC30" s="62"/>
      <c r="AD30" s="62"/>
      <c r="AE30" s="32"/>
      <c r="AF30" s="32"/>
      <c r="AG30" s="55"/>
    </row>
    <row r="31" spans="1:33" s="17" customFormat="1" ht="16.5" customHeight="1">
      <c r="A31" s="110" t="s">
        <v>17</v>
      </c>
      <c r="B31" s="22"/>
      <c r="C31" s="128">
        <v>1814.0171009899998</v>
      </c>
      <c r="D31" s="128">
        <v>1467.4841000000001</v>
      </c>
      <c r="E31" s="128">
        <v>1697.806</v>
      </c>
      <c r="F31" s="128">
        <v>2620.4609999999998</v>
      </c>
      <c r="G31" s="128"/>
      <c r="H31" s="128">
        <v>3006.4079999999999</v>
      </c>
      <c r="I31" s="128">
        <v>2567.5719999999997</v>
      </c>
      <c r="J31" s="128">
        <v>2590.1659999999997</v>
      </c>
      <c r="K31" s="128">
        <v>2576.5709999999999</v>
      </c>
      <c r="L31" s="128"/>
      <c r="M31" s="128">
        <v>2404.7879999999996</v>
      </c>
      <c r="N31" s="128">
        <v>2101.7610000000004</v>
      </c>
      <c r="O31" s="128">
        <v>1848.2860000000001</v>
      </c>
      <c r="P31" s="128">
        <v>1867.7990000000004</v>
      </c>
      <c r="Q31" s="128"/>
      <c r="R31" s="128">
        <v>1988.837</v>
      </c>
      <c r="S31" s="128">
        <v>2146.9290000000005</v>
      </c>
      <c r="T31" s="128">
        <v>2740.2610000000004</v>
      </c>
      <c r="U31" s="128">
        <v>2796.7119999999995</v>
      </c>
      <c r="V31" s="111"/>
      <c r="W31" s="111"/>
      <c r="X31" s="112"/>
      <c r="Y31" s="24" t="s">
        <v>69</v>
      </c>
      <c r="Z31" s="18"/>
      <c r="AA31" s="55"/>
      <c r="AB31" s="55"/>
      <c r="AC31" s="62"/>
      <c r="AD31" s="62"/>
      <c r="AE31" s="32"/>
      <c r="AF31" s="32"/>
      <c r="AG31" s="55"/>
    </row>
    <row r="32" spans="1:33" s="17" customFormat="1" ht="16.5" customHeight="1">
      <c r="A32" s="113" t="s">
        <v>18</v>
      </c>
      <c r="B32" s="114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93"/>
      <c r="W32" s="93"/>
      <c r="X32" s="107"/>
      <c r="Y32" s="25" t="s">
        <v>70</v>
      </c>
      <c r="Z32" s="18"/>
      <c r="AA32" s="55"/>
      <c r="AB32" s="55"/>
      <c r="AC32" s="62"/>
      <c r="AD32" s="62"/>
      <c r="AE32" s="32"/>
      <c r="AF32" s="32"/>
      <c r="AG32" s="55"/>
    </row>
    <row r="33" spans="1:33" s="17" customFormat="1" ht="16.5" customHeight="1">
      <c r="A33" s="52" t="s">
        <v>19</v>
      </c>
      <c r="B33" s="109"/>
      <c r="C33" s="131">
        <v>-36.6</v>
      </c>
      <c r="D33" s="131">
        <v>-36.5</v>
      </c>
      <c r="E33" s="131">
        <v>-30.6</v>
      </c>
      <c r="F33" s="131">
        <v>-45.2</v>
      </c>
      <c r="G33" s="131"/>
      <c r="H33" s="131">
        <f>+(H8/C8-1)*100</f>
        <v>-49.065683311755912</v>
      </c>
      <c r="I33" s="131">
        <f>+(I8/D8-1)*100</f>
        <v>-56.252807957165608</v>
      </c>
      <c r="J33" s="131">
        <f>+(J8/E8-1)*100</f>
        <v>-71.524205728451463</v>
      </c>
      <c r="K33" s="131">
        <f>+(K8/F8-1)*100</f>
        <v>-154.91366424522411</v>
      </c>
      <c r="L33" s="131"/>
      <c r="M33" s="131">
        <f>+(M8/H8-1)*100</f>
        <v>-364.52870120244285</v>
      </c>
      <c r="N33" s="131">
        <f>+(N8/I8-1)*100</f>
        <v>-304.90327692423665</v>
      </c>
      <c r="O33" s="131">
        <f>+(O8/J8-1)*100</f>
        <v>-406.40950309236274</v>
      </c>
      <c r="P33" s="131">
        <f>+(P8/K8-1)*100</f>
        <v>244.59249967805783</v>
      </c>
      <c r="Q33" s="131"/>
      <c r="R33" s="131">
        <f>+(R8/M8-1)*100</f>
        <v>85.825494403962594</v>
      </c>
      <c r="S33" s="131">
        <f>+(S8/N8-1)*100</f>
        <v>107.62853092640276</v>
      </c>
      <c r="T33" s="131">
        <f>+(T8/O8-1)*100</f>
        <v>30.539510865808815</v>
      </c>
      <c r="U33" s="131">
        <f>+(U8/P8-1)*100</f>
        <v>-1.8034590624154911</v>
      </c>
      <c r="V33" s="93"/>
      <c r="W33" s="93"/>
      <c r="X33" s="107"/>
      <c r="Y33" s="66" t="s">
        <v>71</v>
      </c>
      <c r="Z33" s="18"/>
      <c r="AA33" s="55"/>
      <c r="AB33" s="55"/>
      <c r="AC33" s="62"/>
      <c r="AD33" s="62"/>
      <c r="AE33" s="32"/>
      <c r="AF33" s="32"/>
      <c r="AG33" s="32"/>
    </row>
    <row r="34" spans="1:33" s="17" customFormat="1" ht="16.5" customHeight="1">
      <c r="A34" s="52" t="s">
        <v>34</v>
      </c>
      <c r="B34" s="109"/>
      <c r="C34" s="131">
        <v>11.7</v>
      </c>
      <c r="D34" s="131">
        <v>18.2</v>
      </c>
      <c r="E34" s="131">
        <v>32.299999999999997</v>
      </c>
      <c r="F34" s="131">
        <v>14.4</v>
      </c>
      <c r="G34" s="131"/>
      <c r="H34" s="131">
        <f>+(H11/C11-1)*100</f>
        <v>8.198959789268546</v>
      </c>
      <c r="I34" s="131">
        <f>+(I11/D11-1)*100</f>
        <v>0.61810782994182745</v>
      </c>
      <c r="J34" s="131">
        <f>+(J11/E11-1)*100</f>
        <v>0.5781737859732905</v>
      </c>
      <c r="K34" s="131">
        <f>+(K11/F11-1)*100</f>
        <v>9.7421123460747374</v>
      </c>
      <c r="L34" s="131"/>
      <c r="M34" s="131">
        <f>+(M11/H11-1)*100</f>
        <v>15.497410446836458</v>
      </c>
      <c r="N34" s="131">
        <f>+(N11/I11-1)*100</f>
        <v>29.225436301837139</v>
      </c>
      <c r="O34" s="131">
        <f>+(O11/J11-1)*100</f>
        <v>26.100769487396434</v>
      </c>
      <c r="P34" s="131">
        <f>+(P11/K11-1)*100</f>
        <v>24.940849126761798</v>
      </c>
      <c r="Q34" s="131"/>
      <c r="R34" s="131">
        <f>+(R11/M11-1)*100</f>
        <v>33.476319362172525</v>
      </c>
      <c r="S34" s="131">
        <f>+(S11/N11-1)*100</f>
        <v>24.164439558042151</v>
      </c>
      <c r="T34" s="131">
        <f>+(T11/O11-1)*100</f>
        <v>40.400794710256946</v>
      </c>
      <c r="U34" s="131">
        <f>+(U11/P11-1)*100</f>
        <v>54.072230126075851</v>
      </c>
      <c r="V34" s="93"/>
      <c r="W34" s="93"/>
      <c r="X34" s="107"/>
      <c r="Y34" s="82" t="s">
        <v>35</v>
      </c>
      <c r="Z34" s="18"/>
      <c r="AA34" s="55"/>
      <c r="AB34" s="55"/>
      <c r="AC34" s="62"/>
      <c r="AD34" s="62"/>
      <c r="AE34" s="115"/>
      <c r="AF34" s="116"/>
      <c r="AG34" s="117"/>
    </row>
    <row r="35" spans="1:33" s="17" customFormat="1" ht="16.5" customHeight="1">
      <c r="A35" s="52" t="s">
        <v>72</v>
      </c>
      <c r="B35" s="109"/>
      <c r="C35" s="131">
        <v>51.9</v>
      </c>
      <c r="D35" s="131">
        <v>25.9</v>
      </c>
      <c r="E35" s="131">
        <v>4.5</v>
      </c>
      <c r="F35" s="131">
        <v>11.3</v>
      </c>
      <c r="G35" s="131"/>
      <c r="H35" s="131">
        <f t="shared" ref="H35:K40" si="0">+(H17/C17-1)*100</f>
        <v>4.8249497206553249</v>
      </c>
      <c r="I35" s="131">
        <f t="shared" si="0"/>
        <v>14.739108468384465</v>
      </c>
      <c r="J35" s="131">
        <f t="shared" si="0"/>
        <v>16.139099118471421</v>
      </c>
      <c r="K35" s="131">
        <f t="shared" si="0"/>
        <v>-8.7986765055664051</v>
      </c>
      <c r="L35" s="131"/>
      <c r="M35" s="131">
        <f t="shared" ref="M35:P40" si="1">+(M17/H17-1)*100</f>
        <v>-19.766763205885653</v>
      </c>
      <c r="N35" s="131">
        <f t="shared" si="1"/>
        <v>-22.711790464009717</v>
      </c>
      <c r="O35" s="131">
        <f t="shared" si="1"/>
        <v>-19.848048560605356</v>
      </c>
      <c r="P35" s="131">
        <f t="shared" si="1"/>
        <v>-5.4998458439095677</v>
      </c>
      <c r="Q35" s="131"/>
      <c r="R35" s="131">
        <f t="shared" ref="R35:U40" si="2">+(R17/M17-1)*100</f>
        <v>26.82755491912172</v>
      </c>
      <c r="S35" s="131">
        <f t="shared" si="2"/>
        <v>30.567441778930849</v>
      </c>
      <c r="T35" s="131">
        <f t="shared" si="2"/>
        <v>29.272597593552206</v>
      </c>
      <c r="U35" s="131">
        <f t="shared" si="2"/>
        <v>33.299113724037241</v>
      </c>
      <c r="V35" s="93"/>
      <c r="W35" s="93"/>
      <c r="X35" s="107"/>
      <c r="Y35" s="82" t="s">
        <v>46</v>
      </c>
      <c r="Z35" s="18"/>
      <c r="AA35" s="55"/>
      <c r="AB35" s="55"/>
      <c r="AC35" s="62"/>
      <c r="AD35" s="62"/>
      <c r="AE35" s="32"/>
      <c r="AF35" s="32"/>
      <c r="AG35" s="67"/>
    </row>
    <row r="36" spans="1:33" s="17" customFormat="1" ht="16.5" customHeight="1">
      <c r="A36" s="52" t="s">
        <v>73</v>
      </c>
      <c r="B36" s="109"/>
      <c r="C36" s="131">
        <v>-28.5</v>
      </c>
      <c r="D36" s="131">
        <v>-9.8000000000000007</v>
      </c>
      <c r="E36" s="131">
        <v>0</v>
      </c>
      <c r="F36" s="131">
        <v>-6</v>
      </c>
      <c r="G36" s="131"/>
      <c r="H36" s="131">
        <f t="shared" si="0"/>
        <v>-11.087556365382834</v>
      </c>
      <c r="I36" s="131">
        <f t="shared" si="0"/>
        <v>-21.115897010854535</v>
      </c>
      <c r="J36" s="131">
        <f t="shared" si="0"/>
        <v>-18.018724684510556</v>
      </c>
      <c r="K36" s="131">
        <f t="shared" si="0"/>
        <v>-6.2132209098739732</v>
      </c>
      <c r="L36" s="131"/>
      <c r="M36" s="131">
        <f t="shared" si="1"/>
        <v>18.56072336899399</v>
      </c>
      <c r="N36" s="131">
        <f t="shared" si="1"/>
        <v>4.9279992583308507</v>
      </c>
      <c r="O36" s="131">
        <f t="shared" si="1"/>
        <v>4.7397944648783996</v>
      </c>
      <c r="P36" s="131">
        <f t="shared" si="1"/>
        <v>1.5480494847455839</v>
      </c>
      <c r="Q36" s="131"/>
      <c r="R36" s="131">
        <f t="shared" si="2"/>
        <v>20.130020755717926</v>
      </c>
      <c r="S36" s="131">
        <f t="shared" si="2"/>
        <v>40.766215039074226</v>
      </c>
      <c r="T36" s="131">
        <f t="shared" si="2"/>
        <v>30.904648942563039</v>
      </c>
      <c r="U36" s="131">
        <f t="shared" si="2"/>
        <v>12.160357734098692</v>
      </c>
      <c r="V36" s="93"/>
      <c r="W36" s="93"/>
      <c r="X36" s="107"/>
      <c r="Y36" s="25" t="s">
        <v>48</v>
      </c>
      <c r="Z36" s="18"/>
      <c r="AA36" s="55"/>
      <c r="AB36" s="55"/>
      <c r="AC36" s="62"/>
      <c r="AD36" s="62"/>
      <c r="AE36" s="32"/>
      <c r="AF36" s="84"/>
      <c r="AG36" s="32"/>
    </row>
    <row r="37" spans="1:33" s="17" customFormat="1" ht="16.5" customHeight="1">
      <c r="A37" s="52" t="s">
        <v>27</v>
      </c>
      <c r="B37" s="118"/>
      <c r="C37" s="133">
        <v>2</v>
      </c>
      <c r="D37" s="133">
        <v>9.6</v>
      </c>
      <c r="E37" s="133">
        <v>12</v>
      </c>
      <c r="F37" s="133">
        <v>6.3</v>
      </c>
      <c r="G37" s="133"/>
      <c r="H37" s="133">
        <f t="shared" si="0"/>
        <v>5.4120679973576058</v>
      </c>
      <c r="I37" s="133">
        <f t="shared" si="0"/>
        <v>-6.6167396438747472</v>
      </c>
      <c r="J37" s="133">
        <f t="shared" si="0"/>
        <v>-12.933746421869085</v>
      </c>
      <c r="K37" s="133">
        <f t="shared" si="0"/>
        <v>-9.0498766077153689</v>
      </c>
      <c r="L37" s="133"/>
      <c r="M37" s="133">
        <f t="shared" si="1"/>
        <v>-6.879067242209647</v>
      </c>
      <c r="N37" s="133">
        <f t="shared" si="1"/>
        <v>-4.4502486025537413</v>
      </c>
      <c r="O37" s="133">
        <f t="shared" si="1"/>
        <v>-9.3877555012333858E-2</v>
      </c>
      <c r="P37" s="133">
        <f t="shared" si="1"/>
        <v>0.47350029192299026</v>
      </c>
      <c r="Q37" s="133"/>
      <c r="R37" s="133">
        <f t="shared" si="2"/>
        <v>0.22191973856291458</v>
      </c>
      <c r="S37" s="133">
        <f t="shared" si="2"/>
        <v>0.22126758541531899</v>
      </c>
      <c r="T37" s="133">
        <f t="shared" si="2"/>
        <v>5.6086513605702493</v>
      </c>
      <c r="U37" s="133">
        <f t="shared" si="2"/>
        <v>2.5057185395428894</v>
      </c>
      <c r="V37" s="94"/>
      <c r="W37" s="94"/>
      <c r="X37" s="86"/>
      <c r="Y37" s="82" t="s">
        <v>28</v>
      </c>
      <c r="AA37" s="62"/>
      <c r="AB37" s="62"/>
      <c r="AC37" s="62"/>
      <c r="AD37" s="62"/>
      <c r="AE37" s="32"/>
      <c r="AF37" s="84"/>
      <c r="AG37" s="32"/>
    </row>
    <row r="38" spans="1:33" s="17" customFormat="1" ht="16.5" customHeight="1">
      <c r="A38" s="68" t="s">
        <v>50</v>
      </c>
      <c r="B38" s="119"/>
      <c r="C38" s="134">
        <v>18.5</v>
      </c>
      <c r="D38" s="134">
        <v>40.200000000000003</v>
      </c>
      <c r="E38" s="134">
        <v>37.6</v>
      </c>
      <c r="F38" s="134">
        <v>-31.6</v>
      </c>
      <c r="G38" s="134"/>
      <c r="H38" s="134">
        <f t="shared" si="0"/>
        <v>-65.176674326439539</v>
      </c>
      <c r="I38" s="134">
        <f t="shared" si="0"/>
        <v>-73.51490782186481</v>
      </c>
      <c r="J38" s="134">
        <f t="shared" si="0"/>
        <v>-45.614900426543201</v>
      </c>
      <c r="K38" s="134">
        <f t="shared" si="0"/>
        <v>62.99737835676622</v>
      </c>
      <c r="L38" s="134"/>
      <c r="M38" s="134">
        <f t="shared" si="1"/>
        <v>131.15986381546233</v>
      </c>
      <c r="N38" s="134">
        <f t="shared" si="1"/>
        <v>37.770593771739591</v>
      </c>
      <c r="O38" s="134">
        <f t="shared" si="1"/>
        <v>-13.302208618042034</v>
      </c>
      <c r="P38" s="134">
        <f t="shared" si="1"/>
        <v>-32.169782028193531</v>
      </c>
      <c r="Q38" s="134"/>
      <c r="R38" s="134">
        <f t="shared" si="2"/>
        <v>131.6255016341897</v>
      </c>
      <c r="S38" s="134">
        <f t="shared" si="2"/>
        <v>352.67324085900134</v>
      </c>
      <c r="T38" s="134">
        <f t="shared" si="2"/>
        <v>218.8630798126531</v>
      </c>
      <c r="U38" s="134">
        <f t="shared" si="2"/>
        <v>158.10468107702312</v>
      </c>
      <c r="V38" s="94"/>
      <c r="W38" s="94"/>
      <c r="X38" s="14" t="s">
        <v>11</v>
      </c>
      <c r="Y38" s="86"/>
      <c r="AA38" s="62"/>
      <c r="AB38" s="62"/>
      <c r="AC38" s="62"/>
      <c r="AD38" s="62"/>
      <c r="AE38" s="32"/>
      <c r="AF38" s="32"/>
      <c r="AG38" s="55"/>
    </row>
    <row r="39" spans="1:33" s="17" customFormat="1" ht="16.5" customHeight="1">
      <c r="A39" s="68" t="s">
        <v>52</v>
      </c>
      <c r="B39" s="9"/>
      <c r="C39" s="127">
        <v>9.9</v>
      </c>
      <c r="D39" s="127">
        <v>2.2999999999999998</v>
      </c>
      <c r="E39" s="127">
        <v>16.899999999999999</v>
      </c>
      <c r="F39" s="127">
        <v>13.9</v>
      </c>
      <c r="G39" s="127"/>
      <c r="H39" s="127">
        <f t="shared" si="0"/>
        <v>52.133073707776248</v>
      </c>
      <c r="I39" s="127">
        <f t="shared" si="0"/>
        <v>54.893475163021741</v>
      </c>
      <c r="J39" s="127">
        <f t="shared" si="0"/>
        <v>-20.270726863440423</v>
      </c>
      <c r="K39" s="127">
        <f t="shared" si="0"/>
        <v>-5.4307596577278012</v>
      </c>
      <c r="L39" s="127"/>
      <c r="M39" s="127">
        <f t="shared" si="1"/>
        <v>-29.440198433306275</v>
      </c>
      <c r="N39" s="127">
        <f t="shared" si="1"/>
        <v>-30.639035996471698</v>
      </c>
      <c r="O39" s="127">
        <f t="shared" si="1"/>
        <v>-4.2794568221876776</v>
      </c>
      <c r="P39" s="127">
        <f t="shared" si="1"/>
        <v>-0.19777465479765555</v>
      </c>
      <c r="Q39" s="127"/>
      <c r="R39" s="127">
        <f t="shared" si="2"/>
        <v>22.514776245426372</v>
      </c>
      <c r="S39" s="127">
        <f t="shared" si="2"/>
        <v>-5.3583689722431993</v>
      </c>
      <c r="T39" s="127">
        <f t="shared" si="2"/>
        <v>7.6273273534046782</v>
      </c>
      <c r="U39" s="127">
        <f t="shared" si="2"/>
        <v>-15.341014828830435</v>
      </c>
      <c r="V39" s="120"/>
      <c r="W39" s="120"/>
      <c r="X39" s="7" t="s">
        <v>12</v>
      </c>
      <c r="Y39" s="107"/>
      <c r="Z39" s="16"/>
      <c r="AA39" s="10"/>
      <c r="AB39" s="10"/>
      <c r="AC39" s="103"/>
      <c r="AD39" s="62"/>
      <c r="AE39" s="32"/>
      <c r="AF39" s="19"/>
      <c r="AG39" s="32"/>
    </row>
    <row r="40" spans="1:33" s="17" customFormat="1" ht="16.5" customHeight="1">
      <c r="A40" s="121" t="s">
        <v>54</v>
      </c>
      <c r="B40" s="122"/>
      <c r="C40" s="135">
        <v>1.2</v>
      </c>
      <c r="D40" s="135">
        <v>9.9</v>
      </c>
      <c r="E40" s="135">
        <v>11.2</v>
      </c>
      <c r="F40" s="135">
        <v>5.9</v>
      </c>
      <c r="G40" s="135"/>
      <c r="H40" s="135">
        <f t="shared" si="0"/>
        <v>2.0668030865126141</v>
      </c>
      <c r="I40" s="135">
        <f t="shared" si="0"/>
        <v>-10.712657226998646</v>
      </c>
      <c r="J40" s="135">
        <f t="shared" si="0"/>
        <v>-11.780694362033007</v>
      </c>
      <c r="K40" s="135">
        <f t="shared" si="0"/>
        <v>-9.8676733798631737</v>
      </c>
      <c r="L40" s="135"/>
      <c r="M40" s="135">
        <f t="shared" si="1"/>
        <v>-4.4349216825334654</v>
      </c>
      <c r="N40" s="135">
        <f t="shared" si="1"/>
        <v>-1.0166997527662147</v>
      </c>
      <c r="O40" s="135">
        <f t="shared" si="1"/>
        <v>0.4079799140862983</v>
      </c>
      <c r="P40" s="135">
        <f t="shared" si="1"/>
        <v>0.90909611336342788</v>
      </c>
      <c r="Q40" s="135"/>
      <c r="R40" s="135">
        <f t="shared" si="2"/>
        <v>-2.9604530690983122</v>
      </c>
      <c r="S40" s="135">
        <f t="shared" si="2"/>
        <v>-0.85606197780945248</v>
      </c>
      <c r="T40" s="135">
        <f t="shared" si="2"/>
        <v>4.210120007760243</v>
      </c>
      <c r="U40" s="135">
        <f t="shared" si="2"/>
        <v>3.2646103659760728</v>
      </c>
      <c r="V40" s="123"/>
      <c r="W40" s="123"/>
      <c r="X40" s="23" t="s">
        <v>13</v>
      </c>
      <c r="Y40" s="124"/>
      <c r="Z40" s="11"/>
      <c r="AA40" s="103"/>
      <c r="AB40" s="103"/>
      <c r="AC40" s="62"/>
      <c r="AD40" s="62"/>
      <c r="AE40" s="84"/>
      <c r="AF40" s="32"/>
      <c r="AG40" s="32"/>
    </row>
    <row r="41" spans="1:33" s="27" customFormat="1" ht="12.75" customHeight="1">
      <c r="A41" s="26" t="s">
        <v>75</v>
      </c>
      <c r="V41" s="28"/>
      <c r="W41" s="28"/>
      <c r="Y41" s="29" t="s">
        <v>74</v>
      </c>
    </row>
    <row r="42" spans="1:33" s="27" customFormat="1" ht="13.9" customHeight="1">
      <c r="A42" s="30" t="s">
        <v>80</v>
      </c>
      <c r="C42" s="31"/>
      <c r="D42" s="31"/>
      <c r="V42" s="137" t="s">
        <v>84</v>
      </c>
      <c r="W42" s="137"/>
      <c r="X42" s="137"/>
      <c r="Y42" s="32" t="s">
        <v>20</v>
      </c>
    </row>
    <row r="43" spans="1:33" s="27" customFormat="1" ht="15.6" customHeight="1">
      <c r="A43" s="30" t="s">
        <v>21</v>
      </c>
      <c r="C43" s="31"/>
      <c r="D43" s="31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 t="s">
        <v>22</v>
      </c>
    </row>
    <row r="44" spans="1:33" s="27" customFormat="1" ht="16.5" customHeight="1">
      <c r="A44" s="30" t="s">
        <v>23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X44" s="8" t="s">
        <v>24</v>
      </c>
    </row>
    <row r="45" spans="1:33" s="27" customFormat="1" ht="12.75" customHeight="1">
      <c r="V45" s="28"/>
      <c r="W45" s="28"/>
    </row>
    <row r="46" spans="1:33" s="27" customFormat="1" ht="17.25">
      <c r="A46" s="33"/>
      <c r="V46" s="28"/>
      <c r="W46" s="28"/>
      <c r="X46" s="28"/>
      <c r="Y46" s="32"/>
    </row>
    <row r="47" spans="1:33" ht="18">
      <c r="A47" s="17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7"/>
      <c r="W47" s="17"/>
      <c r="X47" s="86"/>
      <c r="Y47" s="86"/>
      <c r="Z47" s="17"/>
      <c r="AA47" s="17"/>
      <c r="AB47" s="17"/>
      <c r="AC47" s="17"/>
    </row>
    <row r="48" spans="1:33" ht="18">
      <c r="A48" s="17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7"/>
      <c r="W48" s="17"/>
      <c r="X48" s="86"/>
      <c r="Y48" s="86"/>
      <c r="Z48" s="17"/>
      <c r="AA48" s="17"/>
      <c r="AB48" s="17"/>
      <c r="AC48" s="17"/>
    </row>
    <row r="49" spans="1:29" ht="18">
      <c r="A49" s="17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7"/>
      <c r="W49" s="17"/>
      <c r="X49" s="86"/>
      <c r="Y49" s="86"/>
      <c r="Z49" s="17"/>
      <c r="AA49" s="17"/>
      <c r="AB49" s="17"/>
      <c r="AC49" s="17"/>
    </row>
    <row r="50" spans="1:29" ht="18">
      <c r="A50" s="17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7"/>
      <c r="W50" s="17"/>
      <c r="X50" s="86"/>
      <c r="Y50" s="86"/>
      <c r="Z50" s="17"/>
      <c r="AA50" s="17"/>
      <c r="AB50" s="17"/>
      <c r="AC50" s="17"/>
    </row>
    <row r="51" spans="1:29" ht="18">
      <c r="A51" s="17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7"/>
      <c r="W51" s="17"/>
      <c r="X51" s="86"/>
      <c r="Y51" s="86"/>
      <c r="Z51" s="17"/>
      <c r="AA51" s="17"/>
      <c r="AB51" s="17"/>
      <c r="AC51" s="17"/>
    </row>
    <row r="52" spans="1:29" ht="18">
      <c r="A52" s="17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7"/>
      <c r="W52" s="17"/>
      <c r="X52" s="86"/>
      <c r="Y52" s="86"/>
      <c r="Z52" s="17"/>
      <c r="AA52" s="17"/>
      <c r="AB52" s="17"/>
      <c r="AC52" s="17"/>
    </row>
    <row r="53" spans="1:29" ht="18">
      <c r="A53" s="17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7"/>
      <c r="W53" s="17"/>
      <c r="X53" s="86"/>
      <c r="Y53" s="86"/>
      <c r="Z53" s="17"/>
      <c r="AA53" s="17"/>
      <c r="AB53" s="17"/>
      <c r="AC53" s="17"/>
    </row>
    <row r="54" spans="1:29" ht="18">
      <c r="A54" s="17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7"/>
      <c r="W54" s="17"/>
      <c r="X54" s="86"/>
      <c r="Y54" s="86"/>
      <c r="Z54" s="17"/>
      <c r="AA54" s="17"/>
      <c r="AB54" s="17"/>
      <c r="AC54" s="17"/>
    </row>
    <row r="55" spans="1:29" ht="15">
      <c r="A55" s="17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41"/>
      <c r="W55" s="41"/>
      <c r="X55" s="41"/>
      <c r="Y55" s="41"/>
      <c r="Z55" s="41"/>
      <c r="AA55" s="17"/>
      <c r="AB55" s="17"/>
      <c r="AC55" s="17"/>
    </row>
    <row r="56" spans="1:29" ht="18">
      <c r="A56" s="17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7"/>
      <c r="W56" s="17"/>
      <c r="X56" s="86"/>
      <c r="Y56" s="86"/>
      <c r="Z56" s="17"/>
      <c r="AA56" s="17"/>
      <c r="AB56" s="17"/>
      <c r="AC56" s="17"/>
    </row>
    <row r="57" spans="1:29" ht="18">
      <c r="A57" s="17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7"/>
      <c r="W57" s="17"/>
      <c r="X57" s="86"/>
      <c r="Y57" s="86"/>
      <c r="Z57" s="17"/>
      <c r="AA57" s="17"/>
      <c r="AB57" s="17"/>
      <c r="AC57" s="17"/>
    </row>
    <row r="58" spans="1:29" ht="18">
      <c r="A58" s="17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7"/>
      <c r="W58" s="17"/>
      <c r="X58" s="86"/>
      <c r="Y58" s="86"/>
      <c r="Z58" s="17"/>
      <c r="AA58" s="17"/>
      <c r="AB58" s="17"/>
      <c r="AC58" s="17"/>
    </row>
    <row r="59" spans="1:29" ht="18">
      <c r="A59" s="17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7"/>
      <c r="W59" s="17"/>
      <c r="X59" s="86"/>
      <c r="Y59" s="86"/>
      <c r="Z59" s="17"/>
      <c r="AA59" s="17"/>
      <c r="AB59" s="17"/>
      <c r="AC59" s="17"/>
    </row>
    <row r="60" spans="1:29" ht="18">
      <c r="A60" s="17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7"/>
      <c r="W60" s="17"/>
      <c r="X60" s="86"/>
      <c r="Y60" s="86"/>
      <c r="Z60" s="17"/>
      <c r="AA60" s="17"/>
      <c r="AB60" s="17"/>
      <c r="AC60" s="17"/>
    </row>
    <row r="61" spans="1:29" ht="18">
      <c r="A61" s="17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7"/>
      <c r="W61" s="17"/>
      <c r="X61" s="86"/>
      <c r="Y61" s="86"/>
      <c r="Z61" s="17"/>
      <c r="AA61" s="17"/>
      <c r="AB61" s="17"/>
      <c r="AC61" s="17"/>
    </row>
    <row r="62" spans="1:29" ht="18">
      <c r="A62" s="17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7"/>
      <c r="W62" s="17"/>
      <c r="X62" s="86"/>
      <c r="Y62" s="86"/>
      <c r="Z62" s="17"/>
      <c r="AA62" s="17"/>
      <c r="AB62" s="17"/>
      <c r="AC62" s="17"/>
    </row>
    <row r="63" spans="1:29" ht="18">
      <c r="A63" s="17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7"/>
      <c r="W63" s="17"/>
      <c r="X63" s="86"/>
      <c r="Y63" s="86"/>
      <c r="Z63" s="17"/>
      <c r="AA63" s="17"/>
      <c r="AB63" s="17"/>
      <c r="AC63" s="17"/>
    </row>
    <row r="64" spans="1:29" ht="18">
      <c r="A64" s="17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7"/>
      <c r="W64" s="17"/>
      <c r="X64" s="86"/>
      <c r="Y64" s="86"/>
      <c r="Z64" s="17"/>
      <c r="AA64" s="17"/>
      <c r="AB64" s="17"/>
      <c r="AC64" s="17"/>
    </row>
    <row r="65" spans="1:29" ht="18">
      <c r="A65" s="17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7"/>
      <c r="W65" s="17"/>
      <c r="X65" s="86"/>
      <c r="Y65" s="86"/>
      <c r="Z65" s="17"/>
      <c r="AA65" s="17"/>
      <c r="AB65" s="17"/>
      <c r="AC65" s="17"/>
    </row>
    <row r="66" spans="1:29" ht="18">
      <c r="A66" s="17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7"/>
      <c r="W66" s="17"/>
      <c r="X66" s="86"/>
      <c r="Y66" s="86"/>
      <c r="Z66" s="17"/>
      <c r="AA66" s="17"/>
      <c r="AB66" s="17"/>
      <c r="AC66" s="17"/>
    </row>
    <row r="67" spans="1:29" ht="18">
      <c r="A67" s="17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7"/>
      <c r="W67" s="17"/>
      <c r="X67" s="86"/>
      <c r="Y67" s="86"/>
      <c r="Z67" s="17"/>
      <c r="AA67" s="17"/>
      <c r="AB67" s="17"/>
      <c r="AC67" s="17"/>
    </row>
    <row r="68" spans="1:29" ht="18">
      <c r="A68" s="17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7"/>
      <c r="W68" s="17"/>
      <c r="X68" s="86"/>
      <c r="Y68" s="86"/>
      <c r="Z68" s="17"/>
      <c r="AA68" s="17"/>
      <c r="AB68" s="17"/>
      <c r="AC68" s="17"/>
    </row>
    <row r="69" spans="1:29" ht="18">
      <c r="A69" s="17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7"/>
      <c r="W69" s="17"/>
      <c r="X69" s="86"/>
      <c r="Y69" s="86"/>
      <c r="Z69" s="17"/>
      <c r="AA69" s="17"/>
      <c r="AB69" s="17"/>
      <c r="AC69" s="17"/>
    </row>
    <row r="70" spans="1:29" ht="18">
      <c r="A70" s="17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7"/>
      <c r="W70" s="17"/>
      <c r="X70" s="86"/>
      <c r="Y70" s="86"/>
      <c r="Z70" s="17"/>
      <c r="AA70" s="17"/>
      <c r="AB70" s="17"/>
      <c r="AC70" s="17"/>
    </row>
    <row r="71" spans="1:29" ht="18">
      <c r="A71" s="17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7"/>
      <c r="W71" s="17"/>
      <c r="X71" s="86"/>
      <c r="Y71" s="86"/>
      <c r="Z71" s="17"/>
      <c r="AA71" s="17"/>
      <c r="AB71" s="17"/>
      <c r="AC71" s="17"/>
    </row>
    <row r="72" spans="1:29" ht="18">
      <c r="A72" s="17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7"/>
      <c r="W72" s="17"/>
      <c r="X72" s="86"/>
      <c r="Y72" s="86"/>
      <c r="Z72" s="17"/>
      <c r="AA72" s="17"/>
      <c r="AB72" s="17"/>
      <c r="AC72" s="17"/>
    </row>
    <row r="73" spans="1:29" ht="18">
      <c r="A73" s="17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7"/>
      <c r="W73" s="17"/>
      <c r="X73" s="86"/>
      <c r="Y73" s="86"/>
      <c r="Z73" s="17"/>
      <c r="AA73" s="17"/>
      <c r="AB73" s="17"/>
      <c r="AC73" s="17"/>
    </row>
    <row r="74" spans="1:29" ht="18">
      <c r="A74" s="17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7"/>
      <c r="W74" s="17"/>
      <c r="X74" s="86"/>
      <c r="Y74" s="86"/>
      <c r="Z74" s="17"/>
      <c r="AA74" s="17"/>
      <c r="AB74" s="17"/>
      <c r="AC74" s="17"/>
    </row>
    <row r="75" spans="1:29" ht="18">
      <c r="A75" s="17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7"/>
      <c r="W75" s="17"/>
      <c r="X75" s="86"/>
      <c r="Y75" s="86"/>
      <c r="Z75" s="17"/>
      <c r="AA75" s="17"/>
      <c r="AB75" s="17"/>
      <c r="AC75" s="17"/>
    </row>
    <row r="76" spans="1:29" ht="18">
      <c r="A76" s="17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7"/>
      <c r="W76" s="17"/>
      <c r="X76" s="86"/>
      <c r="Y76" s="86"/>
      <c r="Z76" s="17"/>
      <c r="AA76" s="17"/>
      <c r="AB76" s="17"/>
      <c r="AC76" s="17"/>
    </row>
    <row r="77" spans="1:29" ht="18">
      <c r="A77" s="17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7"/>
      <c r="W77" s="17"/>
      <c r="X77" s="86"/>
      <c r="Y77" s="86"/>
      <c r="Z77" s="17"/>
      <c r="AA77" s="17"/>
      <c r="AB77" s="17"/>
      <c r="AC77" s="17"/>
    </row>
    <row r="78" spans="1:29" ht="1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86"/>
      <c r="Y78" s="86"/>
      <c r="Z78" s="17"/>
      <c r="AA78" s="17"/>
      <c r="AB78" s="17"/>
      <c r="AC78" s="17"/>
    </row>
    <row r="79" spans="1:29" ht="18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86"/>
      <c r="Y79" s="86"/>
      <c r="Z79" s="17"/>
      <c r="AA79" s="17"/>
      <c r="AB79" s="17"/>
      <c r="AC79" s="17"/>
    </row>
    <row r="80" spans="1:29" ht="18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86"/>
      <c r="Y80" s="86"/>
      <c r="Z80" s="17"/>
      <c r="AA80" s="17"/>
      <c r="AB80" s="17"/>
      <c r="AC80" s="17"/>
    </row>
    <row r="81" spans="1:29" ht="18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86"/>
      <c r="Y81" s="86"/>
      <c r="Z81" s="17"/>
      <c r="AA81" s="17"/>
      <c r="AB81" s="17"/>
      <c r="AC81" s="17"/>
    </row>
    <row r="82" spans="1:29" ht="18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86"/>
      <c r="Y82" s="86"/>
      <c r="Z82" s="17"/>
      <c r="AA82" s="17"/>
      <c r="AB82" s="17"/>
      <c r="AC82" s="17"/>
    </row>
    <row r="83" spans="1:29" ht="18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86"/>
      <c r="Y83" s="86"/>
      <c r="Z83" s="17"/>
      <c r="AA83" s="17"/>
      <c r="AB83" s="17"/>
      <c r="AC83" s="17"/>
    </row>
  </sheetData>
  <mergeCells count="9">
    <mergeCell ref="V42:X42"/>
    <mergeCell ref="A1:Y1"/>
    <mergeCell ref="A2:Y2"/>
    <mergeCell ref="A3:Y3"/>
    <mergeCell ref="A4:Y4"/>
    <mergeCell ref="C5:F5"/>
    <mergeCell ref="H5:K5"/>
    <mergeCell ref="M5:P5"/>
    <mergeCell ref="R5:U5"/>
  </mergeCells>
  <printOptions horizontalCentered="1"/>
  <pageMargins left="0.24" right="0.17" top="0.24" bottom="0.19" header="0.17" footer="0.16"/>
  <pageSetup paperSize="9" scale="58" fitToHeight="0" orientation="landscape" r:id="rId1"/>
  <colBreaks count="1" manualBreakCount="1">
    <brk id="25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2016-03-16T07:16:38Z</cp:lastPrinted>
  <dcterms:created xsi:type="dcterms:W3CDTF">2013-04-01T04:26:10Z</dcterms:created>
  <dcterms:modified xsi:type="dcterms:W3CDTF">2016-03-16T07:16:41Z</dcterms:modified>
</cp:coreProperties>
</file>