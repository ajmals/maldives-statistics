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75" windowWidth="14520" windowHeight="11760" tabRatio="765"/>
  </bookViews>
  <sheets>
    <sheet name="14.8" sheetId="13" r:id="rId1"/>
  </sheets>
  <definedNames>
    <definedName name="AA">'[1]Monetary Aggr'!#REF!</definedName>
    <definedName name="Date_ODC">[2]Industry!$4:$4</definedName>
    <definedName name="LCFC_ODC">[2]Industry!$5:$5</definedName>
    <definedName name="_xlnm.Print_Area" localSheetId="0">'14.8'!$A$1:$Y$47</definedName>
  </definedNames>
  <calcPr calcId="145621"/>
</workbook>
</file>

<file path=xl/calcChain.xml><?xml version="1.0" encoding="utf-8"?>
<calcChain xmlns="http://schemas.openxmlformats.org/spreadsheetml/2006/main">
  <c r="V42" i="13" l="1"/>
  <c r="U42" i="13"/>
  <c r="T42" i="13"/>
  <c r="S42" i="13"/>
  <c r="V41" i="13"/>
  <c r="U41" i="13"/>
  <c r="T41" i="13"/>
  <c r="S41" i="13"/>
  <c r="J41" i="13"/>
  <c r="K41" i="13"/>
  <c r="L41" i="13"/>
  <c r="N41" i="13"/>
  <c r="O41" i="13"/>
  <c r="P41" i="13"/>
  <c r="Q41" i="13"/>
  <c r="J42" i="13"/>
  <c r="K42" i="13"/>
  <c r="L42" i="13"/>
  <c r="N42" i="13"/>
  <c r="O42" i="13"/>
  <c r="P42" i="13"/>
  <c r="Q42" i="13"/>
  <c r="I42" i="13"/>
  <c r="I41" i="13"/>
</calcChain>
</file>

<file path=xl/sharedStrings.xml><?xml version="1.0" encoding="utf-8"?>
<sst xmlns="http://schemas.openxmlformats.org/spreadsheetml/2006/main" count="129" uniqueCount="84">
  <si>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</si>
  <si>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</si>
  <si>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</si>
  <si>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</si>
  <si>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</si>
  <si>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</si>
  <si>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</si>
  <si>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Mar</t>
  </si>
  <si>
    <t>Jun</t>
  </si>
  <si>
    <t>Sep</t>
  </si>
  <si>
    <t>ސަރުކާރަށް ލިބެންވާ ( ޑިޕޮސިޓް އަދި އެހެނިހެން ފައިސާ)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</si>
  <si>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</si>
  <si>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</si>
  <si>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</si>
  <si>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</si>
  <si>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</si>
  <si>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</si>
  <si>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</si>
  <si>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</si>
  <si>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</si>
  <si>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Total Assets</t>
  </si>
  <si>
    <t>cTesea wlcmuj</t>
  </si>
  <si>
    <t>Foreign assets</t>
  </si>
  <si>
    <t>Other assets</t>
  </si>
  <si>
    <t>Non-financial assets</t>
  </si>
  <si>
    <t>ITilibiawl wlcmuj</t>
  </si>
  <si>
    <t>ސަރުކާރު ހިއްސާވާ ކުންފުނިތަކަށް (މާލީދާއިރާގެ ކުންފުނިތައް ނުހިމަނައި)</t>
  </si>
  <si>
    <t>Securities other than shares</t>
  </si>
  <si>
    <t>Foreign liabilities</t>
  </si>
  <si>
    <t>ITilibiawl egurEb</t>
  </si>
  <si>
    <t>ITilibiawl  cnehinehea</t>
  </si>
  <si>
    <t>/1</t>
  </si>
  <si>
    <t>ITirOtoa IrwTinwm cscviDclOm :ctWrwf ivcaedutWmUluAwm</t>
  </si>
  <si>
    <t>ބޭރުގެ އެސެޓް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</si>
  <si>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</si>
  <si>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</si>
  <si>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</si>
  <si>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</si>
  <si>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>ސެންޓްރަލް ބޭންކް ބިލްސް</t>
  </si>
  <si>
    <t>ޓްރެޜަރީ ބިލްސް</t>
  </si>
  <si>
    <t>ސަރުކާރުގެ ބޮންޑް</t>
  </si>
  <si>
    <t>Loans and advances</t>
  </si>
  <si>
    <t>ދަރނީގެ ގޮތުގައި ދޫކުރެވިފައިވާ</t>
  </si>
  <si>
    <t>ސަރުކާރަށް</t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</si>
  <si>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</si>
  <si>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</si>
  <si>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</si>
  <si>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</si>
  <si>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</si>
  <si>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>Central government liabilities</t>
  </si>
  <si>
    <t>Credit from central bank</t>
  </si>
  <si>
    <t>ސެންޓްރަލް ބޭންކުން ނަގާފައިވާ ދަރަނި</t>
  </si>
  <si>
    <t>Private sector</t>
  </si>
  <si>
    <t>ނޯޓް:</t>
  </si>
  <si>
    <t>NOTE:</t>
  </si>
  <si>
    <t xml:space="preserve">Cash </t>
  </si>
  <si>
    <t/>
  </si>
  <si>
    <t>Liabilities</t>
  </si>
  <si>
    <t>ފިކްސްޑް އެސެޓްސް</t>
  </si>
  <si>
    <t>މާލީ އެސެޓްސްގެ ގޮތުގައި ނުހިމެނޭ އެހެނިހެން އެސެޓްސް</t>
  </si>
  <si>
    <t>ވިޔަފާރި ބޭންކްތަކުގައި ހުރި ޑިޕޮސިޓް</t>
  </si>
  <si>
    <t>ވިޔަފާރި ބޭންކުތަކުން ނަގާފައިވާ ދަރަނި</t>
  </si>
  <si>
    <t>ވިޔަފާރި ބޭންކްތަކަށް</t>
  </si>
  <si>
    <r>
      <t xml:space="preserve"> Dec</t>
    </r>
    <r>
      <rPr>
        <b/>
        <vertAlign val="subscript"/>
        <sz val="11"/>
        <rFont val="Arial"/>
        <family val="2"/>
      </rPr>
      <t/>
    </r>
  </si>
  <si>
    <t>Shares and other equity</t>
  </si>
  <si>
    <t>Other depository corporations</t>
  </si>
  <si>
    <t>Deposits with other depository corporations</t>
  </si>
  <si>
    <t>Central bank bills</t>
  </si>
  <si>
    <t>Treasury bills</t>
  </si>
  <si>
    <t>Central government bonds</t>
  </si>
  <si>
    <t>Central government</t>
  </si>
  <si>
    <t>Public nonfinancial corporations</t>
  </si>
  <si>
    <t>Fixed assets</t>
  </si>
  <si>
    <t>Other nonfinancial assets</t>
  </si>
  <si>
    <t>Credit from other depository corporations</t>
  </si>
  <si>
    <t xml:space="preserve">Other liabilities </t>
  </si>
  <si>
    <t>ޑިސެމް</t>
  </si>
  <si>
    <r>
      <t xml:space="preserve">2012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</si>
  <si>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</si>
  <si>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>2011</t>
    </r>
    <r>
      <rPr>
        <b/>
        <vertAlign val="superscript"/>
        <sz val="10"/>
        <rFont val="Arial"/>
        <family val="2"/>
      </rPr>
      <t>1_/</t>
    </r>
  </si>
  <si>
    <t>ތާވަލު 14.8:އެހެނިހެން މާލީދާއިރާގެ ކުންފުނިތަކުގެ އެސެޓްތަކާއި އަދި ލައިބިލިޓީތައް 2011- 2014</t>
  </si>
  <si>
    <t>Table 14.8: ASSETS AND LIABILITIES OF OTHER FINANCIAL CORPORATIONS, 2011 - 2014</t>
  </si>
  <si>
    <t>1_/ :  2011, 2012 and 2013 revised</t>
  </si>
  <si>
    <t xml:space="preserve"> 2011، 2012 އަދި 2013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</si>
</sst>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Faruma"/>
    </font>
    <font>
      <b/>
      <i/>
      <sz val="9"/>
      <name val="Arial"/>
      <family val="2"/>
    </font>
    <font>
      <i/>
      <sz val="10"/>
      <name val="Arial"/>
      <family val="2"/>
    </font>
    <font>
      <vertAlign val="superscript"/>
      <sz val="9"/>
      <name val="A_Faseyha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color theme="1"/>
      <name val="A_Randhoo"/>
    </font>
    <font>
      <sz val="9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4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17" fontId="4" fillId="0" borderId="0" applyFont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71" fontId="4" fillId="0" borderId="0" applyFill="0" applyBorder="0" applyAlignment="0"/>
    <xf numFmtId="0" fontId="39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9" fillId="0" borderId="0" applyFill="0" applyBorder="0" applyAlignment="0"/>
    <xf numFmtId="0" fontId="40" fillId="14" borderId="21" applyNumberFormat="0" applyAlignment="0" applyProtection="0"/>
    <xf numFmtId="0" fontId="40" fillId="14" borderId="21" applyNumberFormat="0" applyAlignment="0" applyProtection="0"/>
    <xf numFmtId="0" fontId="40" fillId="14" borderId="21" applyNumberFormat="0" applyAlignment="0" applyProtection="0"/>
    <xf numFmtId="0" fontId="40" fillId="14" borderId="21" applyNumberFormat="0" applyAlignment="0" applyProtection="0"/>
    <xf numFmtId="0" fontId="40" fillId="14" borderId="21" applyNumberFormat="0" applyAlignment="0" applyProtection="0"/>
    <xf numFmtId="0" fontId="40" fillId="14" borderId="21" applyNumberFormat="0" applyAlignment="0" applyProtection="0"/>
    <xf numFmtId="0" fontId="40" fillId="14" borderId="21" applyNumberFormat="0" applyAlignment="0" applyProtection="0"/>
    <xf numFmtId="0" fontId="40" fillId="14" borderId="21" applyNumberFormat="0" applyAlignment="0" applyProtection="0"/>
    <xf numFmtId="17" fontId="4" fillId="0" borderId="0" applyFont="0"/>
    <xf numFmtId="0" fontId="41" fillId="7" borderId="22" applyNumberFormat="0" applyAlignment="0" applyProtection="0"/>
    <xf numFmtId="0" fontId="41" fillId="7" borderId="22" applyNumberFormat="0" applyAlignment="0" applyProtection="0"/>
    <xf numFmtId="0" fontId="41" fillId="7" borderId="22" applyNumberFormat="0" applyAlignment="0" applyProtection="0"/>
    <xf numFmtId="0" fontId="41" fillId="7" borderId="22" applyNumberFormat="0" applyAlignment="0" applyProtection="0"/>
    <xf numFmtId="0" fontId="41" fillId="7" borderId="22" applyNumberFormat="0" applyAlignment="0" applyProtection="0"/>
    <xf numFmtId="0" fontId="41" fillId="7" borderId="22" applyNumberFormat="0" applyAlignment="0" applyProtection="0"/>
    <xf numFmtId="0" fontId="41" fillId="7" borderId="22" applyNumberFormat="0" applyAlignment="0" applyProtection="0"/>
    <xf numFmtId="0" fontId="41" fillId="7" borderId="22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14" fontId="42" fillId="0" borderId="0" applyFill="0" applyBorder="0" applyAlignment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171" fontId="4" fillId="0" borderId="0" applyFill="0" applyBorder="0" applyAlignment="0"/>
    <xf numFmtId="0" fontId="39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9" fillId="0" borderId="0" applyFill="0" applyBorder="0" applyAlignment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38" fontId="33" fillId="19" borderId="0" applyNumberFormat="0" applyBorder="0" applyAlignment="0" applyProtection="0"/>
    <xf numFmtId="0" fontId="45" fillId="0" borderId="23" applyNumberFormat="0" applyAlignment="0" applyProtection="0">
      <alignment horizontal="left" vertical="center"/>
    </xf>
    <xf numFmtId="0" fontId="45" fillId="0" borderId="19">
      <alignment horizontal="left" vertical="center"/>
    </xf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0" fontId="33" fillId="20" borderId="27" applyNumberFormat="0" applyBorder="0" applyAlignment="0" applyProtection="0"/>
    <xf numFmtId="0" fontId="49" fillId="11" borderId="21" applyNumberFormat="0" applyAlignment="0" applyProtection="0"/>
    <xf numFmtId="0" fontId="49" fillId="11" borderId="21" applyNumberFormat="0" applyAlignment="0" applyProtection="0"/>
    <xf numFmtId="0" fontId="49" fillId="11" borderId="21" applyNumberFormat="0" applyAlignment="0" applyProtection="0"/>
    <xf numFmtId="0" fontId="49" fillId="11" borderId="21" applyNumberFormat="0" applyAlignment="0" applyProtection="0"/>
    <xf numFmtId="0" fontId="49" fillId="11" borderId="21" applyNumberFormat="0" applyAlignment="0" applyProtection="0"/>
    <xf numFmtId="0" fontId="49" fillId="11" borderId="21" applyNumberFormat="0" applyAlignment="0" applyProtection="0"/>
    <xf numFmtId="0" fontId="49" fillId="11" borderId="21" applyNumberFormat="0" applyAlignment="0" applyProtection="0"/>
    <xf numFmtId="0" fontId="49" fillId="11" borderId="21" applyNumberFormat="0" applyAlignment="0" applyProtection="0"/>
    <xf numFmtId="171" fontId="4" fillId="0" borderId="0" applyFill="0" applyBorder="0" applyAlignment="0"/>
    <xf numFmtId="0" fontId="39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9" fillId="0" borderId="0" applyFill="0" applyBorder="0" applyAlignment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177" fontId="51" fillId="0" borderId="0" applyFont="0" applyFill="0" applyBorder="0" applyAlignment="0" applyProtection="0"/>
    <xf numFmtId="178" fontId="51" fillId="0" borderId="0" applyFont="0" applyFill="0" applyBorder="0" applyAlignment="0" applyProtection="0"/>
    <xf numFmtId="42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53" fillId="14" borderId="30" applyNumberFormat="0" applyAlignment="0" applyProtection="0"/>
    <xf numFmtId="0" fontId="53" fillId="14" borderId="30" applyNumberFormat="0" applyAlignment="0" applyProtection="0"/>
    <xf numFmtId="0" fontId="53" fillId="14" borderId="30" applyNumberFormat="0" applyAlignment="0" applyProtection="0"/>
    <xf numFmtId="0" fontId="53" fillId="14" borderId="30" applyNumberFormat="0" applyAlignment="0" applyProtection="0"/>
    <xf numFmtId="0" fontId="53" fillId="14" borderId="30" applyNumberFormat="0" applyAlignment="0" applyProtection="0"/>
    <xf numFmtId="0" fontId="53" fillId="14" borderId="30" applyNumberFormat="0" applyAlignment="0" applyProtection="0"/>
    <xf numFmtId="0" fontId="53" fillId="14" borderId="30" applyNumberFormat="0" applyAlignment="0" applyProtection="0"/>
    <xf numFmtId="0" fontId="53" fillId="14" borderId="30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39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9" fillId="0" borderId="0" applyFill="0" applyBorder="0" applyAlignment="0"/>
    <xf numFmtId="0" fontId="54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2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55" fillId="0" borderId="0">
      <alignment vertical="top"/>
    </xf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</cellStyleXfs>
  <cellXfs count="106">
    <xf numFmtId="0" fontId="0" fillId="0" borderId="0" xfId="0"/>
    <xf numFmtId="0" fontId="26" fillId="0" borderId="0" xfId="0" applyFont="1" applyFill="1" applyBorder="1"/>
    <xf numFmtId="0" fontId="17" fillId="0" borderId="0" xfId="0" applyFont="1" applyFill="1" applyBorder="1"/>
    <xf numFmtId="43" fontId="34" fillId="0" borderId="0" xfId="1" applyFont="1" applyFill="1" applyBorder="1"/>
    <xf numFmtId="0" fontId="15" fillId="0" borderId="0" xfId="0" applyFont="1" applyFill="1" applyBorder="1"/>
    <xf numFmtId="0" fontId="0" fillId="0" borderId="5" xfId="0" applyFill="1" applyBorder="1"/>
    <xf numFmtId="0" fontId="9" fillId="0" borderId="5" xfId="0" applyFont="1" applyFill="1" applyBorder="1"/>
    <xf numFmtId="0" fontId="0" fillId="0" borderId="11" xfId="0" applyFill="1" applyBorder="1"/>
    <xf numFmtId="164" fontId="11" fillId="0" borderId="8" xfId="3" applyNumberFormat="1" applyFont="1" applyFill="1" applyBorder="1" applyAlignment="1">
      <alignment vertical="center" wrapText="1"/>
    </xf>
    <xf numFmtId="164" fontId="11" fillId="0" borderId="9" xfId="3" applyNumberFormat="1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 applyAlignment="1"/>
    <xf numFmtId="0" fontId="17" fillId="0" borderId="0" xfId="0" applyFont="1" applyFill="1" applyBorder="1" applyAlignment="1"/>
    <xf numFmtId="0" fontId="26" fillId="0" borderId="0" xfId="0" applyFont="1" applyFill="1" applyBorder="1" applyAlignment="1"/>
    <xf numFmtId="0" fontId="15" fillId="0" borderId="20" xfId="0" applyFont="1" applyFill="1" applyBorder="1" applyAlignment="1"/>
    <xf numFmtId="43" fontId="34" fillId="0" borderId="0" xfId="1" applyFont="1" applyFill="1" applyBorder="1" applyAlignment="1"/>
    <xf numFmtId="0" fontId="15" fillId="0" borderId="1" xfId="0" applyFont="1" applyFill="1" applyBorder="1" applyAlignment="1"/>
    <xf numFmtId="2" fontId="15" fillId="0" borderId="1" xfId="0" applyNumberFormat="1" applyFont="1" applyFill="1" applyBorder="1" applyAlignment="1"/>
    <xf numFmtId="43" fontId="34" fillId="0" borderId="1" xfId="1" applyFont="1" applyFill="1" applyBorder="1" applyAlignment="1"/>
    <xf numFmtId="39" fontId="15" fillId="0" borderId="0" xfId="1" applyNumberFormat="1" applyFont="1" applyFill="1" applyBorder="1" applyAlignment="1">
      <alignment vertical="center"/>
    </xf>
    <xf numFmtId="39" fontId="17" fillId="0" borderId="0" xfId="1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15" fillId="0" borderId="20" xfId="0" applyFont="1" applyFill="1" applyBorder="1" applyAlignment="1">
      <alignment vertical="center"/>
    </xf>
    <xf numFmtId="172" fontId="15" fillId="0" borderId="0" xfId="1" applyNumberFormat="1" applyFont="1" applyFill="1" applyBorder="1" applyAlignment="1">
      <alignment vertical="center"/>
    </xf>
    <xf numFmtId="172" fontId="17" fillId="0" borderId="0" xfId="1" applyNumberFormat="1" applyFont="1" applyFill="1" applyBorder="1" applyAlignment="1">
      <alignment vertical="center"/>
    </xf>
    <xf numFmtId="0" fontId="58" fillId="0" borderId="5" xfId="0" applyFont="1" applyFill="1" applyBorder="1"/>
    <xf numFmtId="0" fontId="7" fillId="0" borderId="1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64" fontId="6" fillId="0" borderId="0" xfId="3" applyNumberFormat="1" applyFont="1" applyFill="1" applyBorder="1" applyAlignment="1">
      <alignment horizontal="right"/>
    </xf>
    <xf numFmtId="164" fontId="6" fillId="0" borderId="4" xfId="3" applyNumberFormat="1" applyFont="1" applyFill="1" applyBorder="1" applyAlignment="1">
      <alignment horizontal="right"/>
    </xf>
    <xf numFmtId="164" fontId="10" fillId="0" borderId="0" xfId="3" applyNumberFormat="1" applyFont="1" applyFill="1" applyBorder="1" applyAlignment="1">
      <alignment horizontal="right"/>
    </xf>
    <xf numFmtId="0" fontId="27" fillId="0" borderId="1" xfId="0" applyFont="1" applyFill="1" applyBorder="1" applyAlignment="1">
      <alignment horizontal="right"/>
    </xf>
    <xf numFmtId="0" fontId="23" fillId="0" borderId="0" xfId="0" applyFont="1" applyFill="1" applyBorder="1" applyAlignment="1" applyProtection="1">
      <alignment horizontal="left"/>
    </xf>
    <xf numFmtId="164" fontId="9" fillId="0" borderId="0" xfId="3" applyNumberFormat="1" applyFont="1" applyFill="1" applyAlignment="1">
      <alignment vertical="center"/>
    </xf>
    <xf numFmtId="164" fontId="32" fillId="0" borderId="0" xfId="3" applyNumberFormat="1" applyFont="1" applyFill="1" applyAlignment="1">
      <alignment horizontal="right" vertical="center"/>
    </xf>
    <xf numFmtId="164" fontId="24" fillId="0" borderId="0" xfId="3" applyNumberFormat="1" applyFont="1" applyFill="1" applyAlignment="1">
      <alignment horizontal="left" vertical="center" indent="2"/>
    </xf>
    <xf numFmtId="164" fontId="11" fillId="0" borderId="0" xfId="3" applyNumberFormat="1" applyFont="1" applyFill="1" applyAlignment="1">
      <alignment vertical="center" wrapText="1"/>
    </xf>
    <xf numFmtId="164" fontId="11" fillId="0" borderId="0" xfId="3" applyNumberFormat="1" applyFont="1" applyFill="1" applyBorder="1" applyAlignment="1">
      <alignment vertical="center" readingOrder="2"/>
    </xf>
    <xf numFmtId="167" fontId="20" fillId="0" borderId="0" xfId="1" applyNumberFormat="1" applyFont="1" applyFill="1" applyBorder="1" applyAlignment="1" applyProtection="1">
      <alignment vertical="center"/>
    </xf>
    <xf numFmtId="164" fontId="7" fillId="0" borderId="1" xfId="3" applyNumberFormat="1" applyFont="1" applyFill="1" applyBorder="1" applyAlignment="1" applyProtection="1">
      <alignment horizontal="right" vertical="center"/>
    </xf>
    <xf numFmtId="166" fontId="15" fillId="0" borderId="0" xfId="3" applyNumberFormat="1" applyFont="1" applyFill="1" applyBorder="1" applyAlignment="1">
      <alignment vertical="center"/>
    </xf>
    <xf numFmtId="166" fontId="15" fillId="0" borderId="1" xfId="3" applyNumberFormat="1" applyFont="1" applyFill="1" applyBorder="1" applyAlignment="1">
      <alignment vertical="center"/>
    </xf>
    <xf numFmtId="0" fontId="8" fillId="0" borderId="16" xfId="0" applyFont="1" applyFill="1" applyBorder="1"/>
    <xf numFmtId="0" fontId="7" fillId="0" borderId="16" xfId="0" applyFont="1" applyFill="1" applyBorder="1" applyAlignment="1">
      <alignment horizontal="center" vertical="center"/>
    </xf>
    <xf numFmtId="165" fontId="7" fillId="0" borderId="5" xfId="0" applyNumberFormat="1" applyFont="1" applyFill="1" applyBorder="1" applyAlignment="1">
      <alignment vertical="center"/>
    </xf>
    <xf numFmtId="164" fontId="6" fillId="0" borderId="5" xfId="3" applyNumberFormat="1" applyFont="1" applyFill="1" applyBorder="1" applyAlignment="1">
      <alignment horizontal="right"/>
    </xf>
    <xf numFmtId="164" fontId="6" fillId="0" borderId="11" xfId="3" applyNumberFormat="1" applyFont="1" applyFill="1" applyBorder="1" applyAlignment="1">
      <alignment horizontal="right"/>
    </xf>
    <xf numFmtId="0" fontId="57" fillId="0" borderId="5" xfId="0" applyFont="1" applyFill="1" applyBorder="1"/>
    <xf numFmtId="0" fontId="9" fillId="0" borderId="18" xfId="0" applyFont="1" applyFill="1" applyBorder="1" applyAlignment="1">
      <alignment horizontal="right"/>
    </xf>
    <xf numFmtId="43" fontId="7" fillId="0" borderId="18" xfId="1" applyFont="1" applyFill="1" applyBorder="1" applyAlignment="1">
      <alignment horizontal="right"/>
    </xf>
    <xf numFmtId="0" fontId="18" fillId="0" borderId="5" xfId="0" applyFont="1" applyFill="1" applyBorder="1"/>
    <xf numFmtId="0" fontId="29" fillId="0" borderId="11" xfId="0" applyFont="1" applyFill="1" applyBorder="1"/>
    <xf numFmtId="0" fontId="18" fillId="0" borderId="11" xfId="0" applyFont="1" applyFill="1" applyBorder="1"/>
    <xf numFmtId="164" fontId="11" fillId="0" borderId="12" xfId="3" applyNumberFormat="1" applyFont="1" applyFill="1" applyBorder="1" applyAlignment="1">
      <alignment vertical="center" wrapText="1"/>
    </xf>
    <xf numFmtId="164" fontId="11" fillId="0" borderId="13" xfId="3" applyNumberFormat="1" applyFont="1" applyFill="1" applyBorder="1" applyAlignment="1">
      <alignment vertical="center" wrapText="1"/>
    </xf>
    <xf numFmtId="0" fontId="30" fillId="0" borderId="5" xfId="0" applyFont="1" applyFill="1" applyBorder="1"/>
    <xf numFmtId="164" fontId="11" fillId="0" borderId="14" xfId="3" applyNumberFormat="1" applyFont="1" applyFill="1" applyBorder="1" applyAlignment="1">
      <alignment vertical="center" wrapText="1"/>
    </xf>
    <xf numFmtId="164" fontId="11" fillId="0" borderId="15" xfId="3" applyNumberFormat="1" applyFont="1" applyFill="1" applyBorder="1" applyAlignment="1">
      <alignment vertical="center" wrapText="1"/>
    </xf>
    <xf numFmtId="0" fontId="4" fillId="0" borderId="5" xfId="0" applyFont="1" applyFill="1" applyBorder="1"/>
    <xf numFmtId="164" fontId="18" fillId="0" borderId="5" xfId="3" applyNumberFormat="1" applyFont="1" applyFill="1" applyBorder="1" applyAlignment="1">
      <alignment horizontal="right" vertical="center"/>
    </xf>
    <xf numFmtId="166" fontId="10" fillId="0" borderId="11" xfId="1" applyNumberFormat="1" applyFont="1" applyFill="1" applyBorder="1" applyAlignment="1"/>
    <xf numFmtId="164" fontId="12" fillId="0" borderId="11" xfId="3" applyNumberFormat="1" applyFont="1" applyFill="1" applyBorder="1" applyAlignment="1">
      <alignment horizontal="right"/>
    </xf>
    <xf numFmtId="166" fontId="11" fillId="0" borderId="5" xfId="0" applyNumberFormat="1" applyFont="1" applyFill="1" applyBorder="1" applyAlignment="1"/>
    <xf numFmtId="0" fontId="12" fillId="0" borderId="5" xfId="4" applyFont="1" applyFill="1" applyBorder="1" applyAlignment="1">
      <alignment horizontal="right"/>
    </xf>
    <xf numFmtId="0" fontId="28" fillId="0" borderId="5" xfId="0" applyFont="1" applyFill="1" applyBorder="1" applyAlignment="1">
      <alignment horizontal="right"/>
    </xf>
    <xf numFmtId="0" fontId="11" fillId="0" borderId="5" xfId="0" applyFont="1" applyFill="1" applyBorder="1" applyAlignment="1">
      <alignment horizontal="right"/>
    </xf>
    <xf numFmtId="0" fontId="10" fillId="0" borderId="5" xfId="4" applyFont="1" applyFill="1" applyBorder="1" applyAlignment="1">
      <alignment horizontal="right"/>
    </xf>
    <xf numFmtId="164" fontId="11" fillId="0" borderId="5" xfId="3" applyNumberFormat="1" applyFont="1" applyFill="1" applyBorder="1" applyAlignment="1">
      <alignment horizontal="right"/>
    </xf>
    <xf numFmtId="166" fontId="11" fillId="0" borderId="5" xfId="0" applyNumberFormat="1" applyFont="1" applyFill="1" applyBorder="1" applyAlignment="1">
      <alignment horizontal="right"/>
    </xf>
    <xf numFmtId="0" fontId="10" fillId="0" borderId="5" xfId="0" applyFont="1" applyFill="1" applyBorder="1" applyAlignment="1">
      <alignment horizontal="right"/>
    </xf>
    <xf numFmtId="164" fontId="10" fillId="0" borderId="5" xfId="3" applyNumberFormat="1" applyFont="1" applyFill="1" applyBorder="1" applyAlignment="1">
      <alignment horizontal="right"/>
    </xf>
    <xf numFmtId="164" fontId="12" fillId="0" borderId="5" xfId="3" applyNumberFormat="1" applyFont="1" applyFill="1" applyBorder="1" applyAlignment="1">
      <alignment horizontal="right"/>
    </xf>
    <xf numFmtId="166" fontId="10" fillId="0" borderId="5" xfId="3" applyNumberFormat="1" applyFont="1" applyFill="1" applyBorder="1" applyAlignment="1">
      <alignment horizontal="right"/>
    </xf>
    <xf numFmtId="0" fontId="11" fillId="0" borderId="5" xfId="0" applyFont="1" applyFill="1" applyBorder="1" applyAlignment="1"/>
    <xf numFmtId="39" fontId="15" fillId="0" borderId="5" xfId="1" applyNumberFormat="1" applyFont="1" applyFill="1" applyBorder="1" applyAlignment="1">
      <alignment vertical="center"/>
    </xf>
    <xf numFmtId="172" fontId="15" fillId="0" borderId="5" xfId="1" applyNumberFormat="1" applyFont="1" applyFill="1" applyBorder="1" applyAlignment="1">
      <alignment vertical="center"/>
    </xf>
    <xf numFmtId="39" fontId="17" fillId="0" borderId="5" xfId="1" applyNumberFormat="1" applyFont="1" applyFill="1" applyBorder="1" applyAlignment="1">
      <alignment vertical="center"/>
    </xf>
    <xf numFmtId="172" fontId="17" fillId="0" borderId="5" xfId="1" applyNumberFormat="1" applyFont="1" applyFill="1" applyBorder="1" applyAlignment="1">
      <alignment vertical="center"/>
    </xf>
    <xf numFmtId="164" fontId="19" fillId="0" borderId="5" xfId="3" applyNumberFormat="1" applyFont="1" applyFill="1" applyBorder="1" applyAlignment="1">
      <alignment horizontal="right"/>
    </xf>
    <xf numFmtId="39" fontId="15" fillId="0" borderId="10" xfId="1" applyNumberFormat="1" applyFont="1" applyFill="1" applyBorder="1" applyAlignment="1">
      <alignment vertical="center"/>
    </xf>
    <xf numFmtId="172" fontId="15" fillId="0" borderId="10" xfId="1" applyNumberFormat="1" applyFont="1" applyFill="1" applyBorder="1" applyAlignment="1">
      <alignment vertical="center"/>
    </xf>
    <xf numFmtId="39" fontId="15" fillId="0" borderId="20" xfId="1" applyNumberFormat="1" applyFont="1" applyFill="1" applyBorder="1" applyAlignment="1">
      <alignment vertical="center"/>
    </xf>
    <xf numFmtId="172" fontId="15" fillId="0" borderId="20" xfId="1" applyNumberFormat="1" applyFont="1" applyFill="1" applyBorder="1" applyAlignment="1">
      <alignment vertical="center"/>
    </xf>
    <xf numFmtId="166" fontId="11" fillId="0" borderId="32" xfId="0" applyNumberFormat="1" applyFont="1" applyFill="1" applyBorder="1" applyAlignment="1">
      <alignment horizontal="right"/>
    </xf>
    <xf numFmtId="164" fontId="10" fillId="0" borderId="32" xfId="3" applyNumberFormat="1" applyFont="1" applyFill="1" applyBorder="1" applyAlignment="1">
      <alignment horizontal="right"/>
    </xf>
    <xf numFmtId="164" fontId="17" fillId="0" borderId="0" xfId="3" applyNumberFormat="1" applyFont="1" applyFill="1" applyAlignment="1"/>
    <xf numFmtId="9" fontId="17" fillId="0" borderId="0" xfId="2" applyFont="1" applyFill="1" applyAlignment="1"/>
    <xf numFmtId="164" fontId="21" fillId="0" borderId="0" xfId="3" applyNumberFormat="1" applyFont="1" applyFill="1" applyAlignment="1">
      <alignment horizontal="right"/>
    </xf>
    <xf numFmtId="164" fontId="22" fillId="0" borderId="0" xfId="3" applyNumberFormat="1" applyFont="1" applyFill="1" applyAlignment="1"/>
    <xf numFmtId="164" fontId="18" fillId="0" borderId="0" xfId="3" applyNumberFormat="1" applyFont="1" applyFill="1" applyBorder="1" applyAlignment="1"/>
    <xf numFmtId="166" fontId="10" fillId="0" borderId="0" xfId="3" applyNumberFormat="1" applyFont="1" applyFill="1" applyBorder="1" applyAlignment="1">
      <alignment horizontal="right"/>
    </xf>
    <xf numFmtId="166" fontId="15" fillId="0" borderId="0" xfId="3" applyNumberFormat="1" applyFont="1" applyFill="1" applyAlignment="1"/>
    <xf numFmtId="164" fontId="16" fillId="0" borderId="0" xfId="3" applyNumberFormat="1" applyFont="1" applyFill="1" applyAlignment="1">
      <alignment horizontal="right"/>
    </xf>
    <xf numFmtId="166" fontId="15" fillId="0" borderId="1" xfId="3" applyNumberFormat="1" applyFont="1" applyFill="1" applyBorder="1" applyAlignment="1"/>
    <xf numFmtId="164" fontId="12" fillId="0" borderId="6" xfId="3" applyNumberFormat="1" applyFont="1" applyFill="1" applyBorder="1" applyAlignment="1">
      <alignment horizontal="right"/>
    </xf>
    <xf numFmtId="164" fontId="25" fillId="0" borderId="11" xfId="3" applyNumberFormat="1" applyFont="1" applyFill="1" applyBorder="1" applyAlignment="1">
      <alignment horizontal="right" vertical="center"/>
    </xf>
    <xf numFmtId="0" fontId="5" fillId="21" borderId="3" xfId="0" applyFont="1" applyFill="1" applyBorder="1" applyAlignment="1">
      <alignment horizontal="center" vertical="center"/>
    </xf>
    <xf numFmtId="164" fontId="3" fillId="0" borderId="7" xfId="3" applyNumberFormat="1" applyFont="1" applyFill="1" applyBorder="1" applyAlignment="1">
      <alignment horizontal="center" vertical="center" readingOrder="2"/>
    </xf>
    <xf numFmtId="164" fontId="3" fillId="0" borderId="8" xfId="3" applyNumberFormat="1" applyFont="1" applyFill="1" applyBorder="1" applyAlignment="1">
      <alignment horizontal="center" vertical="center" readingOrder="2"/>
    </xf>
    <xf numFmtId="0" fontId="8" fillId="0" borderId="1" xfId="0" applyFont="1" applyFill="1" applyBorder="1" applyAlignment="1">
      <alignment horizontal="center" vertical="center"/>
    </xf>
    <xf numFmtId="164" fontId="6" fillId="0" borderId="0" xfId="3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164" fontId="11" fillId="0" borderId="15" xfId="3" applyNumberFormat="1" applyFont="1" applyFill="1" applyBorder="1" applyAlignment="1">
      <alignment horizontal="right" vertical="center" wrapText="1"/>
    </xf>
    <xf numFmtId="164" fontId="15" fillId="0" borderId="13" xfId="3" applyNumberFormat="1" applyFont="1" applyFill="1" applyBorder="1" applyAlignment="1" applyProtection="1">
      <alignment horizontal="center" vertical="center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6"/>
  <sheetViews>
    <sheetView showGridLines="0" tabSelected="1" zoomScaleNormal="100" workbookViewId="0">
      <selection sqref="A1:Y47"/>
    </sheetView>
  </sheetViews>
  <sheetFormatPr defaultColWidth="9.140625" defaultRowHeight="15" customHeight="1" x14ac:dyDescent="0.2"/>
  <cols>
    <col min="1" max="1" width="1.5703125" style="1" customWidth="1"/>
    <col min="2" max="2" width="37" style="1" customWidth="1"/>
    <col min="3" max="3" width="2.42578125" style="1" customWidth="1"/>
    <col min="4" max="6" width="9.140625" style="1" customWidth="1"/>
    <col min="7" max="7" width="0.28515625" style="1" customWidth="1"/>
    <col min="8" max="8" width="1.5703125" style="1" customWidth="1"/>
    <col min="9" max="9" width="9.85546875" style="1" bestFit="1" customWidth="1"/>
    <col min="10" max="12" width="10.28515625" style="1" bestFit="1" customWidth="1"/>
    <col min="13" max="13" width="3.140625" style="1" customWidth="1"/>
    <col min="14" max="17" width="10.28515625" style="1" bestFit="1" customWidth="1"/>
    <col min="18" max="18" width="3.140625" style="1" customWidth="1"/>
    <col min="19" max="22" width="10.28515625" style="1" bestFit="1" customWidth="1"/>
    <col min="23" max="23" width="40.85546875" style="1" customWidth="1"/>
    <col min="24" max="24" width="9.140625" style="1" customWidth="1"/>
    <col min="25" max="25" width="2.28515625" style="1" customWidth="1"/>
    <col min="26" max="16384" width="9.140625" style="1"/>
  </cols>
  <sheetData>
    <row r="1" spans="1:26" ht="20.25" customHeight="1" x14ac:dyDescent="0.2">
      <c r="A1" s="98" t="s">
        <v>80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6" ht="20.25" customHeight="1" x14ac:dyDescent="0.2">
      <c r="A2" s="105" t="s">
        <v>81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</row>
    <row r="3" spans="1:26" ht="15" customHeight="1" x14ac:dyDescent="0.2">
      <c r="A3" s="101" t="s">
        <v>0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</row>
    <row r="4" spans="1:26" s="2" customFormat="1" ht="15" customHeight="1" x14ac:dyDescent="0.2">
      <c r="A4" s="100" t="s">
        <v>1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</row>
    <row r="5" spans="1:26" s="5" customFormat="1" x14ac:dyDescent="0.25">
      <c r="A5" s="43"/>
      <c r="B5" s="44"/>
      <c r="C5" s="27"/>
      <c r="D5" s="97" t="s">
        <v>79</v>
      </c>
      <c r="E5" s="97"/>
      <c r="F5" s="97"/>
      <c r="G5" s="97"/>
      <c r="H5" s="27"/>
      <c r="I5" s="102" t="s">
        <v>77</v>
      </c>
      <c r="J5" s="102"/>
      <c r="K5" s="102"/>
      <c r="L5" s="102"/>
      <c r="M5" s="28"/>
      <c r="N5" s="102" t="s">
        <v>78</v>
      </c>
      <c r="O5" s="102"/>
      <c r="P5" s="102"/>
      <c r="Q5" s="102"/>
      <c r="R5" s="27"/>
      <c r="S5" s="103">
        <v>2014</v>
      </c>
      <c r="T5" s="103"/>
      <c r="U5" s="103"/>
      <c r="V5" s="103"/>
    </row>
    <row r="6" spans="1:26" s="5" customFormat="1" ht="18" x14ac:dyDescent="0.45">
      <c r="A6" s="45" t="s">
        <v>2</v>
      </c>
      <c r="B6" s="46"/>
      <c r="C6" s="47"/>
      <c r="D6" s="47" t="s">
        <v>3</v>
      </c>
      <c r="E6" s="47" t="s">
        <v>4</v>
      </c>
      <c r="F6" s="47" t="s">
        <v>5</v>
      </c>
      <c r="G6" s="29" t="s">
        <v>6</v>
      </c>
      <c r="H6" s="47"/>
      <c r="I6" s="30" t="s">
        <v>3</v>
      </c>
      <c r="J6" s="30" t="s">
        <v>4</v>
      </c>
      <c r="K6" s="30" t="s">
        <v>5</v>
      </c>
      <c r="L6" s="30" t="s">
        <v>76</v>
      </c>
      <c r="M6" s="29"/>
      <c r="N6" s="30" t="s">
        <v>3</v>
      </c>
      <c r="O6" s="30" t="s">
        <v>4</v>
      </c>
      <c r="P6" s="30" t="s">
        <v>5</v>
      </c>
      <c r="Q6" s="30" t="s">
        <v>6</v>
      </c>
      <c r="R6" s="47"/>
      <c r="S6" s="47" t="s">
        <v>3</v>
      </c>
      <c r="T6" s="47" t="s">
        <v>4</v>
      </c>
      <c r="U6" s="47" t="s">
        <v>5</v>
      </c>
      <c r="V6" s="47" t="s">
        <v>6</v>
      </c>
      <c r="W6" s="48"/>
      <c r="X6" s="48"/>
    </row>
    <row r="7" spans="1:26" s="5" customFormat="1" ht="16.5" x14ac:dyDescent="0.3">
      <c r="A7" s="49"/>
      <c r="B7" s="50"/>
      <c r="C7" s="50"/>
      <c r="D7" s="50" t="s">
        <v>7</v>
      </c>
      <c r="E7" s="50" t="s">
        <v>8</v>
      </c>
      <c r="F7" s="50" t="s">
        <v>9</v>
      </c>
      <c r="G7" s="40" t="s">
        <v>63</v>
      </c>
      <c r="H7" s="50"/>
      <c r="I7" s="32" t="s">
        <v>7</v>
      </c>
      <c r="J7" s="32" t="s">
        <v>8</v>
      </c>
      <c r="K7" s="32" t="s">
        <v>9</v>
      </c>
      <c r="L7" s="32" t="s">
        <v>63</v>
      </c>
      <c r="M7" s="32"/>
      <c r="N7" s="32" t="s">
        <v>7</v>
      </c>
      <c r="O7" s="32" t="s">
        <v>8</v>
      </c>
      <c r="P7" s="32" t="s">
        <v>9</v>
      </c>
      <c r="Q7" s="32" t="s">
        <v>19</v>
      </c>
      <c r="R7" s="50"/>
      <c r="S7" s="50" t="s">
        <v>7</v>
      </c>
      <c r="T7" s="50" t="s">
        <v>8</v>
      </c>
      <c r="U7" s="50" t="s">
        <v>9</v>
      </c>
      <c r="V7" s="50" t="s">
        <v>19</v>
      </c>
    </row>
    <row r="8" spans="1:26" s="4" customFormat="1" ht="15" customHeight="1" x14ac:dyDescent="0.45">
      <c r="A8" s="10" t="s">
        <v>20</v>
      </c>
      <c r="B8" s="10"/>
      <c r="C8" s="11"/>
      <c r="D8" s="19">
        <v>4150.0263660200008</v>
      </c>
      <c r="E8" s="19">
        <v>4270.7154590399996</v>
      </c>
      <c r="F8" s="19">
        <v>4529.9892810300007</v>
      </c>
      <c r="G8" s="19">
        <v>4755.3096770000002</v>
      </c>
      <c r="H8" s="19"/>
      <c r="I8" s="24">
        <v>5138.17452495</v>
      </c>
      <c r="J8" s="24">
        <v>5354.2212415499998</v>
      </c>
      <c r="K8" s="24">
        <v>5568.1583293600006</v>
      </c>
      <c r="L8" s="24">
        <v>5744.3310841140774</v>
      </c>
      <c r="M8" s="24"/>
      <c r="N8" s="24">
        <v>6090.6216563199996</v>
      </c>
      <c r="O8" s="24">
        <v>6362.5908798999999</v>
      </c>
      <c r="P8" s="24">
        <v>6651.4105184999999</v>
      </c>
      <c r="Q8" s="24">
        <v>6883.3762336900008</v>
      </c>
      <c r="R8" s="24"/>
      <c r="S8" s="24">
        <v>7230.2394454900004</v>
      </c>
      <c r="T8" s="24">
        <v>7907.9853899199989</v>
      </c>
      <c r="U8" s="24">
        <v>8149.3038606099999</v>
      </c>
      <c r="V8" s="24">
        <v>8624.0466765300007</v>
      </c>
      <c r="W8" s="61"/>
      <c r="X8" s="62" t="s">
        <v>21</v>
      </c>
      <c r="Y8" s="11"/>
      <c r="Z8" s="11"/>
    </row>
    <row r="9" spans="1:26" s="4" customFormat="1" ht="15" customHeight="1" x14ac:dyDescent="0.45">
      <c r="A9" s="10" t="s">
        <v>22</v>
      </c>
      <c r="B9" s="10"/>
      <c r="C9" s="11"/>
      <c r="D9" s="19">
        <v>115.19887035999999</v>
      </c>
      <c r="E9" s="19">
        <v>103.13083414</v>
      </c>
      <c r="F9" s="19">
        <v>85.207177330000022</v>
      </c>
      <c r="G9" s="19">
        <v>83.976500000000016</v>
      </c>
      <c r="H9" s="19"/>
      <c r="I9" s="24">
        <v>114.37017741999998</v>
      </c>
      <c r="J9" s="24">
        <v>125.54548413000001</v>
      </c>
      <c r="K9" s="24">
        <v>120.15191214000001</v>
      </c>
      <c r="L9" s="24">
        <v>116.42459598999999</v>
      </c>
      <c r="M9" s="24"/>
      <c r="N9" s="24">
        <v>141.93986165999999</v>
      </c>
      <c r="O9" s="24">
        <v>141.90952433000001</v>
      </c>
      <c r="P9" s="24">
        <v>189.78039481999997</v>
      </c>
      <c r="Q9" s="24">
        <v>186.30273677518574</v>
      </c>
      <c r="R9" s="24"/>
      <c r="S9" s="24">
        <v>261.28974280528138</v>
      </c>
      <c r="T9" s="24">
        <v>277.69221177528135</v>
      </c>
      <c r="U9" s="24">
        <v>258.02357142518571</v>
      </c>
      <c r="V9" s="24">
        <v>237.33972596999999</v>
      </c>
      <c r="W9" s="63"/>
      <c r="X9" s="73" t="s">
        <v>33</v>
      </c>
      <c r="Y9" s="11"/>
      <c r="Z9" s="11"/>
    </row>
    <row r="10" spans="1:26" s="4" customFormat="1" ht="15" customHeight="1" x14ac:dyDescent="0.45">
      <c r="A10" s="10" t="s">
        <v>55</v>
      </c>
      <c r="B10" s="10"/>
      <c r="C10" s="11"/>
      <c r="D10" s="19">
        <v>3.9716351800000003</v>
      </c>
      <c r="E10" s="19">
        <v>0.86365196</v>
      </c>
      <c r="F10" s="19">
        <v>0.44369190999999997</v>
      </c>
      <c r="G10" s="19">
        <v>1.5538999999999999E-2</v>
      </c>
      <c r="H10" s="19"/>
      <c r="I10" s="24">
        <v>3.0313550000000002E-2</v>
      </c>
      <c r="J10" s="24">
        <v>0.56487672</v>
      </c>
      <c r="K10" s="24">
        <v>0.79599103999999998</v>
      </c>
      <c r="L10" s="24">
        <v>0.97654166999999992</v>
      </c>
      <c r="M10" s="24"/>
      <c r="N10" s="24">
        <v>0.57417034</v>
      </c>
      <c r="O10" s="24">
        <v>0.86812303999999996</v>
      </c>
      <c r="P10" s="24">
        <v>0.32532629000000002</v>
      </c>
      <c r="Q10" s="24">
        <v>1.00904839</v>
      </c>
      <c r="R10" s="24"/>
      <c r="S10" s="24">
        <v>2.6959759700000001</v>
      </c>
      <c r="T10" s="24">
        <v>1.746</v>
      </c>
      <c r="U10" s="24">
        <v>0.23949999999999999</v>
      </c>
      <c r="V10" s="24">
        <v>1.1715420299999999</v>
      </c>
      <c r="W10" s="74"/>
      <c r="X10" s="64" t="s">
        <v>34</v>
      </c>
      <c r="Y10" s="11"/>
      <c r="Z10" s="11"/>
    </row>
    <row r="11" spans="1:26" s="4" customFormat="1" ht="15" customHeight="1" x14ac:dyDescent="0.45">
      <c r="A11" s="10" t="s">
        <v>35</v>
      </c>
      <c r="B11" s="10"/>
      <c r="C11" s="11"/>
      <c r="D11" s="19">
        <v>9.9999997</v>
      </c>
      <c r="E11" s="19">
        <v>10</v>
      </c>
      <c r="F11" s="19">
        <v>10</v>
      </c>
      <c r="G11" s="19">
        <v>10</v>
      </c>
      <c r="H11" s="19"/>
      <c r="I11" s="24">
        <v>8</v>
      </c>
      <c r="J11" s="24">
        <v>8</v>
      </c>
      <c r="K11" s="24">
        <v>8</v>
      </c>
      <c r="L11" s="24">
        <v>8</v>
      </c>
      <c r="M11" s="24"/>
      <c r="N11" s="24">
        <v>8.3587260000000008</v>
      </c>
      <c r="O11" s="24">
        <v>8</v>
      </c>
      <c r="P11" s="24">
        <v>8</v>
      </c>
      <c r="Q11" s="24">
        <v>8</v>
      </c>
      <c r="R11" s="24"/>
      <c r="S11" s="24">
        <v>8</v>
      </c>
      <c r="T11" s="24">
        <v>8</v>
      </c>
      <c r="U11" s="24">
        <v>8</v>
      </c>
      <c r="V11" s="24">
        <v>8</v>
      </c>
      <c r="W11" s="65"/>
      <c r="X11" s="73" t="s">
        <v>36</v>
      </c>
      <c r="Y11" s="11"/>
      <c r="Z11" s="11"/>
    </row>
    <row r="12" spans="1:26" s="4" customFormat="1" ht="15" customHeight="1" x14ac:dyDescent="0.45">
      <c r="A12" s="10" t="s">
        <v>66</v>
      </c>
      <c r="B12" s="10"/>
      <c r="C12" s="11"/>
      <c r="D12" s="19">
        <v>408.67203130999997</v>
      </c>
      <c r="E12" s="19">
        <v>463.71442933999998</v>
      </c>
      <c r="F12" s="19">
        <v>491.06536051</v>
      </c>
      <c r="G12" s="19">
        <v>400.07455300000004</v>
      </c>
      <c r="H12" s="19"/>
      <c r="I12" s="24">
        <v>334.59353695999999</v>
      </c>
      <c r="J12" s="24">
        <v>363.09780319000004</v>
      </c>
      <c r="K12" s="24">
        <v>363.57586621000007</v>
      </c>
      <c r="L12" s="24">
        <v>403.41776748000001</v>
      </c>
      <c r="M12" s="24"/>
      <c r="N12" s="24">
        <v>386.85595876000002</v>
      </c>
      <c r="O12" s="24">
        <v>387.09409335999999</v>
      </c>
      <c r="P12" s="24">
        <v>504.37015718000004</v>
      </c>
      <c r="Q12" s="24">
        <v>499.35443606000001</v>
      </c>
      <c r="R12" s="24"/>
      <c r="S12" s="24">
        <v>536.5705821900001</v>
      </c>
      <c r="T12" s="24">
        <v>505.84197619999998</v>
      </c>
      <c r="U12" s="24">
        <v>429.72165911999997</v>
      </c>
      <c r="V12" s="24">
        <v>456.78126192999997</v>
      </c>
      <c r="W12" s="66"/>
      <c r="X12" s="73" t="s">
        <v>60</v>
      </c>
      <c r="Y12" s="11"/>
      <c r="Z12" s="11"/>
    </row>
    <row r="13" spans="1:26" s="4" customFormat="1" ht="15" customHeight="1" x14ac:dyDescent="0.45">
      <c r="A13" s="10" t="s">
        <v>27</v>
      </c>
      <c r="B13" s="10"/>
      <c r="C13" s="11"/>
      <c r="D13" s="19">
        <v>365.35705278</v>
      </c>
      <c r="E13" s="19">
        <v>420.76439822999998</v>
      </c>
      <c r="F13" s="19">
        <v>516.21742792999999</v>
      </c>
      <c r="G13" s="19">
        <v>595.14436599999988</v>
      </c>
      <c r="H13" s="19"/>
      <c r="I13" s="24">
        <v>861.26494114000002</v>
      </c>
      <c r="J13" s="24">
        <v>1044.74081301</v>
      </c>
      <c r="K13" s="24">
        <v>1220.85485737</v>
      </c>
      <c r="L13" s="24">
        <v>1392.46481655</v>
      </c>
      <c r="M13" s="24"/>
      <c r="N13" s="24">
        <v>1692.3080158900002</v>
      </c>
      <c r="O13" s="24">
        <v>1971.9188812900002</v>
      </c>
      <c r="P13" s="24">
        <v>2136.0723166100001</v>
      </c>
      <c r="Q13" s="24">
        <v>2283.3919342700001</v>
      </c>
      <c r="R13" s="24"/>
      <c r="S13" s="24">
        <v>2546.1072851999998</v>
      </c>
      <c r="T13" s="24">
        <v>2718.8569784499996</v>
      </c>
      <c r="U13" s="24">
        <v>2965.5288114599998</v>
      </c>
      <c r="V13" s="24">
        <v>3309.14041632</v>
      </c>
      <c r="W13" s="66"/>
      <c r="X13" s="67" t="s">
        <v>37</v>
      </c>
      <c r="Y13" s="11"/>
      <c r="Z13" s="11"/>
    </row>
    <row r="14" spans="1:26" s="2" customFormat="1" ht="15" customHeight="1" x14ac:dyDescent="0.45">
      <c r="A14" s="21" t="s">
        <v>56</v>
      </c>
      <c r="B14" s="21" t="s">
        <v>67</v>
      </c>
      <c r="C14" s="12"/>
      <c r="D14" s="20">
        <v>0</v>
      </c>
      <c r="E14" s="20">
        <v>0</v>
      </c>
      <c r="F14" s="20">
        <v>0</v>
      </c>
      <c r="G14" s="20">
        <v>0</v>
      </c>
      <c r="H14" s="20"/>
      <c r="I14" s="25">
        <v>0</v>
      </c>
      <c r="J14" s="25">
        <v>0</v>
      </c>
      <c r="K14" s="25">
        <v>0</v>
      </c>
      <c r="L14" s="25">
        <v>0</v>
      </c>
      <c r="M14" s="25"/>
      <c r="N14" s="25">
        <v>0</v>
      </c>
      <c r="O14" s="25">
        <v>0</v>
      </c>
      <c r="P14" s="25">
        <v>0</v>
      </c>
      <c r="Q14" s="25">
        <v>0</v>
      </c>
      <c r="R14" s="25"/>
      <c r="S14" s="25">
        <v>0</v>
      </c>
      <c r="T14" s="25">
        <v>0</v>
      </c>
      <c r="U14" s="25">
        <v>0</v>
      </c>
      <c r="V14" s="25">
        <v>0</v>
      </c>
      <c r="W14" s="66" t="s">
        <v>38</v>
      </c>
      <c r="X14" s="68"/>
      <c r="Y14" s="12"/>
      <c r="Z14" s="12"/>
    </row>
    <row r="15" spans="1:26" s="2" customFormat="1" ht="15" customHeight="1" x14ac:dyDescent="0.45">
      <c r="A15" s="21" t="s">
        <v>56</v>
      </c>
      <c r="B15" s="21" t="s">
        <v>68</v>
      </c>
      <c r="C15" s="12"/>
      <c r="D15" s="20">
        <v>365.35705278</v>
      </c>
      <c r="E15" s="20">
        <v>410.76439822999998</v>
      </c>
      <c r="F15" s="20">
        <v>506.21742792999999</v>
      </c>
      <c r="G15" s="20">
        <v>584.70662599999991</v>
      </c>
      <c r="H15" s="20"/>
      <c r="I15" s="25">
        <v>851.26494114000002</v>
      </c>
      <c r="J15" s="25">
        <v>1024.74081301</v>
      </c>
      <c r="K15" s="25">
        <v>1200.85485737</v>
      </c>
      <c r="L15" s="25">
        <v>1371.63056998</v>
      </c>
      <c r="M15" s="25"/>
      <c r="N15" s="25">
        <v>1621.5869063100001</v>
      </c>
      <c r="O15" s="25">
        <v>1904.4086299200001</v>
      </c>
      <c r="P15" s="25">
        <v>2070.2797428399999</v>
      </c>
      <c r="Q15" s="25">
        <v>2240.34893427</v>
      </c>
      <c r="R15" s="25"/>
      <c r="S15" s="25">
        <v>2498.7502851999998</v>
      </c>
      <c r="T15" s="25">
        <v>2671.3089784499998</v>
      </c>
      <c r="U15" s="25">
        <v>2913.1158114599998</v>
      </c>
      <c r="V15" s="25">
        <v>3264.19641632</v>
      </c>
      <c r="W15" s="69" t="s">
        <v>39</v>
      </c>
      <c r="X15" s="68"/>
      <c r="Y15" s="12"/>
      <c r="Z15" s="12"/>
    </row>
    <row r="16" spans="1:26" s="2" customFormat="1" ht="15" customHeight="1" x14ac:dyDescent="0.45">
      <c r="A16" s="21" t="s">
        <v>56</v>
      </c>
      <c r="B16" s="21" t="s">
        <v>69</v>
      </c>
      <c r="C16" s="12"/>
      <c r="D16" s="20">
        <v>0</v>
      </c>
      <c r="E16" s="20">
        <v>10</v>
      </c>
      <c r="F16" s="20">
        <v>10</v>
      </c>
      <c r="G16" s="20">
        <v>10.43774</v>
      </c>
      <c r="H16" s="20"/>
      <c r="I16" s="25">
        <v>10</v>
      </c>
      <c r="J16" s="25">
        <v>20</v>
      </c>
      <c r="K16" s="25">
        <v>20</v>
      </c>
      <c r="L16" s="25">
        <v>20.834246570000001</v>
      </c>
      <c r="M16" s="25"/>
      <c r="N16" s="25">
        <v>70.721109580000004</v>
      </c>
      <c r="O16" s="25">
        <v>67.510251369999992</v>
      </c>
      <c r="P16" s="25">
        <v>65.792573770000004</v>
      </c>
      <c r="Q16" s="25">
        <v>43.042999999999999</v>
      </c>
      <c r="R16" s="25"/>
      <c r="S16" s="25">
        <v>47.356999999999999</v>
      </c>
      <c r="T16" s="25">
        <v>47.548000000000002</v>
      </c>
      <c r="U16" s="25">
        <v>52.412999999999997</v>
      </c>
      <c r="V16" s="25">
        <v>44.944000000000003</v>
      </c>
      <c r="W16" s="66" t="s">
        <v>40</v>
      </c>
      <c r="X16" s="66"/>
      <c r="Y16" s="12"/>
      <c r="Z16" s="12"/>
    </row>
    <row r="17" spans="1:26" s="4" customFormat="1" ht="15" customHeight="1" x14ac:dyDescent="0.45">
      <c r="A17" s="10" t="s">
        <v>41</v>
      </c>
      <c r="B17" s="10"/>
      <c r="C17" s="11"/>
      <c r="D17" s="75">
        <v>3221.1642545199998</v>
      </c>
      <c r="E17" s="75">
        <v>3242.3100123799995</v>
      </c>
      <c r="F17" s="75">
        <v>3350.6657912599999</v>
      </c>
      <c r="G17" s="75">
        <v>3586.4211539999997</v>
      </c>
      <c r="H17" s="75"/>
      <c r="I17" s="76">
        <v>3641.7348113899998</v>
      </c>
      <c r="J17" s="76">
        <v>3621.8130789100001</v>
      </c>
      <c r="K17" s="76">
        <v>3663.5600372000004</v>
      </c>
      <c r="L17" s="76">
        <v>3573.2531089826775</v>
      </c>
      <c r="M17" s="76"/>
      <c r="N17" s="76">
        <v>3577.5361613200002</v>
      </c>
      <c r="O17" s="76">
        <v>3591.7229697299999</v>
      </c>
      <c r="P17" s="76">
        <v>3553.8980245600001</v>
      </c>
      <c r="Q17" s="76">
        <v>3652.5864157937194</v>
      </c>
      <c r="R17" s="76"/>
      <c r="S17" s="76">
        <v>3623.3265568637189</v>
      </c>
      <c r="T17" s="76">
        <v>4024.0184573737197</v>
      </c>
      <c r="U17" s="76">
        <v>4084.2319068837196</v>
      </c>
      <c r="V17" s="76">
        <v>4208.7509525000005</v>
      </c>
      <c r="W17" s="66"/>
      <c r="X17" s="70" t="s">
        <v>42</v>
      </c>
      <c r="Y17" s="11"/>
      <c r="Z17" s="11"/>
    </row>
    <row r="18" spans="1:26" s="2" customFormat="1" ht="15" customHeight="1" x14ac:dyDescent="0.45">
      <c r="A18" s="21" t="s">
        <v>56</v>
      </c>
      <c r="B18" s="21" t="s">
        <v>70</v>
      </c>
      <c r="C18" s="12"/>
      <c r="D18" s="77">
        <v>2537.4889291099998</v>
      </c>
      <c r="E18" s="77">
        <v>2446.0083449899998</v>
      </c>
      <c r="F18" s="77">
        <v>2478.2605720900001</v>
      </c>
      <c r="G18" s="77">
        <v>2453.2359999999999</v>
      </c>
      <c r="H18" s="77"/>
      <c r="I18" s="78">
        <v>2584.6808834399999</v>
      </c>
      <c r="J18" s="78">
        <v>2560.4224524300002</v>
      </c>
      <c r="K18" s="78">
        <v>2589.3292737900001</v>
      </c>
      <c r="L18" s="78">
        <v>2561.7690091999998</v>
      </c>
      <c r="M18" s="78"/>
      <c r="N18" s="78">
        <v>2538.0288353700003</v>
      </c>
      <c r="O18" s="78">
        <v>2535.4574605899998</v>
      </c>
      <c r="P18" s="78">
        <v>2519.5400943600002</v>
      </c>
      <c r="Q18" s="78">
        <v>2539.1971391100001</v>
      </c>
      <c r="R18" s="78"/>
      <c r="S18" s="78">
        <v>2455.1213365599997</v>
      </c>
      <c r="T18" s="78">
        <v>2861.46723591</v>
      </c>
      <c r="U18" s="78">
        <v>2876.7477540300001</v>
      </c>
      <c r="V18" s="78">
        <v>2931.38366946</v>
      </c>
      <c r="W18" s="69" t="s">
        <v>43</v>
      </c>
      <c r="X18" s="68"/>
      <c r="Y18" s="12"/>
      <c r="Z18" s="12"/>
    </row>
    <row r="19" spans="1:26" s="2" customFormat="1" ht="15" customHeight="1" x14ac:dyDescent="0.45">
      <c r="A19" s="21" t="s">
        <v>56</v>
      </c>
      <c r="B19" s="21" t="s">
        <v>65</v>
      </c>
      <c r="C19" s="12"/>
      <c r="D19" s="77">
        <v>3.17</v>
      </c>
      <c r="E19" s="77">
        <v>3.3889999999999998</v>
      </c>
      <c r="F19" s="77">
        <v>0</v>
      </c>
      <c r="G19" s="77">
        <v>0</v>
      </c>
      <c r="H19" s="77"/>
      <c r="I19" s="78">
        <v>0</v>
      </c>
      <c r="J19" s="78">
        <v>0</v>
      </c>
      <c r="K19" s="78">
        <v>0.63700000000000001</v>
      </c>
      <c r="L19" s="78">
        <v>0.18492504671232879</v>
      </c>
      <c r="M19" s="78"/>
      <c r="N19" s="78">
        <v>2.1687631700000001</v>
      </c>
      <c r="O19" s="78">
        <v>6.8630999999999998E-4</v>
      </c>
      <c r="P19" s="78">
        <v>0.06</v>
      </c>
      <c r="Q19" s="78">
        <v>1.6231777727216867</v>
      </c>
      <c r="R19" s="78"/>
      <c r="S19" s="78">
        <v>2.8713242527216867</v>
      </c>
      <c r="T19" s="78">
        <v>8.4375645927216869</v>
      </c>
      <c r="U19" s="78">
        <v>2.1832054427216869</v>
      </c>
      <c r="V19" s="78">
        <v>8.3074169999999975E-2</v>
      </c>
      <c r="W19" s="66" t="s">
        <v>62</v>
      </c>
      <c r="X19" s="68"/>
      <c r="Y19" s="12"/>
      <c r="Z19" s="12"/>
    </row>
    <row r="20" spans="1:26" s="2" customFormat="1" ht="15" customHeight="1" x14ac:dyDescent="0.45">
      <c r="A20" s="21" t="s">
        <v>56</v>
      </c>
      <c r="B20" s="21" t="s">
        <v>71</v>
      </c>
      <c r="C20" s="12"/>
      <c r="D20" s="77">
        <v>40.805</v>
      </c>
      <c r="E20" s="77">
        <v>39.124000000000002</v>
      </c>
      <c r="F20" s="77">
        <v>37.393999999999998</v>
      </c>
      <c r="G20" s="77">
        <v>35.613</v>
      </c>
      <c r="H20" s="77"/>
      <c r="I20" s="78">
        <v>33.779000000000003</v>
      </c>
      <c r="J20" s="78">
        <v>31.864999999999998</v>
      </c>
      <c r="K20" s="78">
        <v>27.867999999999999</v>
      </c>
      <c r="L20" s="78">
        <v>43.185252070000004</v>
      </c>
      <c r="M20" s="78"/>
      <c r="N20" s="78">
        <v>53.261152129999999</v>
      </c>
      <c r="O20" s="78">
        <v>53.00272116</v>
      </c>
      <c r="P20" s="78">
        <v>50.627772970000002</v>
      </c>
      <c r="Q20" s="78">
        <v>43.831734120000007</v>
      </c>
      <c r="R20" s="78"/>
      <c r="S20" s="78">
        <v>63.580412460000005</v>
      </c>
      <c r="T20" s="78">
        <v>38.980039210000001</v>
      </c>
      <c r="U20" s="78">
        <v>74.260132560000017</v>
      </c>
      <c r="V20" s="78">
        <v>86.738961109999991</v>
      </c>
      <c r="W20" s="68" t="s">
        <v>26</v>
      </c>
      <c r="X20" s="68"/>
      <c r="Y20" s="12"/>
      <c r="Z20" s="12"/>
    </row>
    <row r="21" spans="1:26" s="2" customFormat="1" ht="15" customHeight="1" x14ac:dyDescent="0.45">
      <c r="A21" s="21" t="s">
        <v>56</v>
      </c>
      <c r="B21" s="21" t="s">
        <v>52</v>
      </c>
      <c r="C21" s="12"/>
      <c r="D21" s="77">
        <v>639.70032541000012</v>
      </c>
      <c r="E21" s="77">
        <v>753.78866739</v>
      </c>
      <c r="F21" s="77">
        <v>835.01121917</v>
      </c>
      <c r="G21" s="77">
        <v>1097.5721540000002</v>
      </c>
      <c r="H21" s="77"/>
      <c r="I21" s="78">
        <v>1023.27492795</v>
      </c>
      <c r="J21" s="78">
        <v>1029.52562648</v>
      </c>
      <c r="K21" s="78">
        <v>1045.7257634100001</v>
      </c>
      <c r="L21" s="78">
        <v>968.11392266596556</v>
      </c>
      <c r="M21" s="78"/>
      <c r="N21" s="78">
        <v>984.07741064999993</v>
      </c>
      <c r="O21" s="78">
        <v>1003.2621016700001</v>
      </c>
      <c r="P21" s="78">
        <v>983.67015722999997</v>
      </c>
      <c r="Q21" s="78">
        <v>1067.934364790998</v>
      </c>
      <c r="R21" s="78"/>
      <c r="S21" s="78">
        <v>1101.753483590998</v>
      </c>
      <c r="T21" s="78">
        <v>1115.1336176609982</v>
      </c>
      <c r="U21" s="78">
        <v>1131.0408148509978</v>
      </c>
      <c r="V21" s="78">
        <v>1190.5452477600004</v>
      </c>
      <c r="W21" s="79" t="s">
        <v>44</v>
      </c>
      <c r="X21" s="71"/>
      <c r="Y21" s="12"/>
      <c r="Z21" s="12"/>
    </row>
    <row r="22" spans="1:26" s="4" customFormat="1" ht="15" customHeight="1" x14ac:dyDescent="0.45">
      <c r="A22" s="10" t="s">
        <v>64</v>
      </c>
      <c r="B22" s="10"/>
      <c r="C22" s="11"/>
      <c r="D22" s="75">
        <v>0</v>
      </c>
      <c r="E22" s="75">
        <v>0</v>
      </c>
      <c r="F22" s="75">
        <v>0</v>
      </c>
      <c r="G22" s="75">
        <v>10</v>
      </c>
      <c r="H22" s="75"/>
      <c r="I22" s="76">
        <v>110</v>
      </c>
      <c r="J22" s="76">
        <v>110</v>
      </c>
      <c r="K22" s="76">
        <v>116</v>
      </c>
      <c r="L22" s="76">
        <v>116.18</v>
      </c>
      <c r="M22" s="76"/>
      <c r="N22" s="76">
        <v>116.14</v>
      </c>
      <c r="O22" s="76">
        <v>116.1678</v>
      </c>
      <c r="P22" s="76">
        <v>116.15600000000001</v>
      </c>
      <c r="Q22" s="76">
        <v>116.12</v>
      </c>
      <c r="R22" s="76"/>
      <c r="S22" s="76">
        <v>119.8466</v>
      </c>
      <c r="T22" s="76">
        <v>246.23099999999999</v>
      </c>
      <c r="U22" s="76">
        <v>246.22300000000001</v>
      </c>
      <c r="V22" s="76">
        <v>246.21100000000001</v>
      </c>
      <c r="W22" s="69"/>
      <c r="X22" s="71" t="s">
        <v>13</v>
      </c>
      <c r="Y22" s="11"/>
      <c r="Z22" s="11"/>
    </row>
    <row r="23" spans="1:26" s="4" customFormat="1" ht="15" customHeight="1" x14ac:dyDescent="0.45">
      <c r="A23" s="10" t="s">
        <v>23</v>
      </c>
      <c r="B23" s="10"/>
      <c r="C23" s="11"/>
      <c r="D23" s="75">
        <v>5.0397080000002461</v>
      </c>
      <c r="E23" s="75">
        <v>4.7385270000004311</v>
      </c>
      <c r="F23" s="75">
        <v>49.693277000000307</v>
      </c>
      <c r="G23" s="75">
        <v>43.527652000000671</v>
      </c>
      <c r="H23" s="75"/>
      <c r="I23" s="76">
        <v>40.769736000000194</v>
      </c>
      <c r="J23" s="76">
        <v>52.221164999999928</v>
      </c>
      <c r="K23" s="76">
        <v>45.777578000000176</v>
      </c>
      <c r="L23" s="76">
        <v>77.46213358139903</v>
      </c>
      <c r="M23" s="76"/>
      <c r="N23" s="76">
        <v>107.20915193999917</v>
      </c>
      <c r="O23" s="76">
        <v>85.008375589999559</v>
      </c>
      <c r="P23" s="76">
        <v>82.630449909999697</v>
      </c>
      <c r="Q23" s="76">
        <v>75.266236531095274</v>
      </c>
      <c r="R23" s="76"/>
      <c r="S23" s="76">
        <v>69.758826061000036</v>
      </c>
      <c r="T23" s="76">
        <v>63.323481250998157</v>
      </c>
      <c r="U23" s="76">
        <v>89.521351041094931</v>
      </c>
      <c r="V23" s="76">
        <v>85.287446320000527</v>
      </c>
      <c r="W23" s="66"/>
      <c r="X23" s="72" t="s">
        <v>45</v>
      </c>
      <c r="Y23" s="11"/>
      <c r="Z23" s="11"/>
    </row>
    <row r="24" spans="1:26" s="4" customFormat="1" ht="15" customHeight="1" x14ac:dyDescent="0.45">
      <c r="A24" s="10" t="s">
        <v>24</v>
      </c>
      <c r="B24" s="10"/>
      <c r="C24" s="11"/>
      <c r="D24" s="75">
        <v>20.622814170000002</v>
      </c>
      <c r="E24" s="75">
        <v>25.193605989999995</v>
      </c>
      <c r="F24" s="75">
        <v>26.69655509</v>
      </c>
      <c r="G24" s="75">
        <v>26.149912999999998</v>
      </c>
      <c r="H24" s="75"/>
      <c r="I24" s="76">
        <v>27.41100849</v>
      </c>
      <c r="J24" s="76">
        <v>28.238020590000001</v>
      </c>
      <c r="K24" s="76">
        <v>29.442087400000002</v>
      </c>
      <c r="L24" s="76">
        <v>56.152119859999999</v>
      </c>
      <c r="M24" s="76"/>
      <c r="N24" s="76">
        <v>59.699610410000005</v>
      </c>
      <c r="O24" s="76">
        <v>59.901112560000001</v>
      </c>
      <c r="P24" s="76">
        <v>60.177849129999998</v>
      </c>
      <c r="Q24" s="76">
        <v>61.34542587</v>
      </c>
      <c r="R24" s="76"/>
      <c r="S24" s="76">
        <v>62.643876399999996</v>
      </c>
      <c r="T24" s="76">
        <v>62.275284870000007</v>
      </c>
      <c r="U24" s="76">
        <v>67.814060680000011</v>
      </c>
      <c r="V24" s="76">
        <v>71.364331460000002</v>
      </c>
      <c r="W24" s="65"/>
      <c r="X24" s="70" t="s">
        <v>46</v>
      </c>
      <c r="Y24" s="11"/>
      <c r="Z24" s="11"/>
    </row>
    <row r="25" spans="1:26" s="2" customFormat="1" ht="15" customHeight="1" x14ac:dyDescent="0.45">
      <c r="A25" s="21" t="s">
        <v>56</v>
      </c>
      <c r="B25" s="21" t="s">
        <v>72</v>
      </c>
      <c r="C25" s="12"/>
      <c r="D25" s="77">
        <v>19.90709906</v>
      </c>
      <c r="E25" s="77">
        <v>24.413189849999995</v>
      </c>
      <c r="F25" s="77">
        <v>25.59004264</v>
      </c>
      <c r="G25" s="77">
        <v>23.783912999999998</v>
      </c>
      <c r="H25" s="77"/>
      <c r="I25" s="78">
        <v>23.24134239</v>
      </c>
      <c r="J25" s="78">
        <v>23.615627160000003</v>
      </c>
      <c r="K25" s="78">
        <v>23.827094670000001</v>
      </c>
      <c r="L25" s="78">
        <v>38.362715370000004</v>
      </c>
      <c r="M25" s="78"/>
      <c r="N25" s="78">
        <v>40.181726040000008</v>
      </c>
      <c r="O25" s="78">
        <v>40.92292157</v>
      </c>
      <c r="P25" s="78">
        <v>41.263411290000001</v>
      </c>
      <c r="Q25" s="78">
        <v>41.984595900000002</v>
      </c>
      <c r="R25" s="78"/>
      <c r="S25" s="78">
        <v>42.53944963</v>
      </c>
      <c r="T25" s="78">
        <v>43.543858100000008</v>
      </c>
      <c r="U25" s="78">
        <v>48.31863391000001</v>
      </c>
      <c r="V25" s="78">
        <v>48.420594030000004</v>
      </c>
      <c r="W25" s="69" t="s">
        <v>58</v>
      </c>
      <c r="X25" s="68"/>
      <c r="Y25" s="12"/>
      <c r="Z25" s="12"/>
    </row>
    <row r="26" spans="1:26" s="2" customFormat="1" ht="15" customHeight="1" x14ac:dyDescent="0.45">
      <c r="A26" s="21" t="s">
        <v>56</v>
      </c>
      <c r="B26" s="21" t="s">
        <v>73</v>
      </c>
      <c r="C26" s="12"/>
      <c r="D26" s="77">
        <v>0.71571510999999999</v>
      </c>
      <c r="E26" s="77">
        <v>0.78041614000000004</v>
      </c>
      <c r="F26" s="77">
        <v>1.1065124499999999</v>
      </c>
      <c r="G26" s="77">
        <v>2.3660000000000001</v>
      </c>
      <c r="H26" s="77"/>
      <c r="I26" s="78">
        <v>4.1696661000000006</v>
      </c>
      <c r="J26" s="78">
        <v>4.6223934299999998</v>
      </c>
      <c r="K26" s="78">
        <v>5.61499273</v>
      </c>
      <c r="L26" s="78">
        <v>17.789404489999999</v>
      </c>
      <c r="M26" s="78"/>
      <c r="N26" s="78">
        <v>19.517884370000001</v>
      </c>
      <c r="O26" s="78">
        <v>18.978190989999998</v>
      </c>
      <c r="P26" s="78">
        <v>18.914437839999998</v>
      </c>
      <c r="Q26" s="78">
        <v>19.360829970000001</v>
      </c>
      <c r="R26" s="78"/>
      <c r="S26" s="78">
        <v>20.10442677</v>
      </c>
      <c r="T26" s="78">
        <v>18.731426769999999</v>
      </c>
      <c r="U26" s="78">
        <v>19.495426770000002</v>
      </c>
      <c r="V26" s="78">
        <v>22.943737430000002</v>
      </c>
      <c r="W26" s="69" t="s">
        <v>59</v>
      </c>
      <c r="X26" s="68"/>
      <c r="Y26" s="12"/>
      <c r="Z26" s="12"/>
    </row>
    <row r="27" spans="1:26" s="2" customFormat="1" ht="15" customHeight="1" x14ac:dyDescent="0.45">
      <c r="A27" s="21" t="s">
        <v>56</v>
      </c>
      <c r="B27" s="21"/>
      <c r="C27" s="12"/>
      <c r="D27" s="77"/>
      <c r="E27" s="77"/>
      <c r="F27" s="77"/>
      <c r="G27" s="77"/>
      <c r="H27" s="77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69"/>
      <c r="X27" s="68"/>
      <c r="Y27" s="12"/>
      <c r="Z27" s="12"/>
    </row>
    <row r="28" spans="1:26" s="4" customFormat="1" ht="15" customHeight="1" x14ac:dyDescent="0.45">
      <c r="A28" s="10" t="s">
        <v>57</v>
      </c>
      <c r="B28" s="10"/>
      <c r="C28" s="11"/>
      <c r="D28" s="75">
        <v>4150.0263660200008</v>
      </c>
      <c r="E28" s="75">
        <v>4270.7154590399996</v>
      </c>
      <c r="F28" s="75">
        <v>4529.9892810300007</v>
      </c>
      <c r="G28" s="75">
        <v>4755.3096770000002</v>
      </c>
      <c r="H28" s="75"/>
      <c r="I28" s="76">
        <v>5138.17452495</v>
      </c>
      <c r="J28" s="76">
        <v>5354.2212415499998</v>
      </c>
      <c r="K28" s="76">
        <v>5568.1583293600006</v>
      </c>
      <c r="L28" s="76">
        <v>5744.3310841140774</v>
      </c>
      <c r="M28" s="76"/>
      <c r="N28" s="76">
        <v>6090.6216563199996</v>
      </c>
      <c r="O28" s="76">
        <v>6362.5908798999999</v>
      </c>
      <c r="P28" s="76">
        <v>6651.4105184999999</v>
      </c>
      <c r="Q28" s="76">
        <v>6883.3762336900008</v>
      </c>
      <c r="R28" s="76"/>
      <c r="S28" s="76">
        <v>7230.2394454900004</v>
      </c>
      <c r="T28" s="76">
        <v>7907.9853899199989</v>
      </c>
      <c r="U28" s="76">
        <v>8149.3038606099999</v>
      </c>
      <c r="V28" s="76">
        <v>8624.0466765300007</v>
      </c>
      <c r="W28" s="69"/>
      <c r="X28" s="72" t="s">
        <v>25</v>
      </c>
      <c r="Y28" s="11"/>
      <c r="Z28" s="11"/>
    </row>
    <row r="29" spans="1:26" s="4" customFormat="1" ht="15" customHeight="1" x14ac:dyDescent="0.45">
      <c r="A29" s="10" t="s">
        <v>28</v>
      </c>
      <c r="B29" s="10"/>
      <c r="C29" s="11"/>
      <c r="D29" s="75">
        <v>259.42521198000003</v>
      </c>
      <c r="E29" s="75">
        <v>258.21140650000001</v>
      </c>
      <c r="F29" s="75">
        <v>294.46180484999996</v>
      </c>
      <c r="G29" s="75">
        <v>329.28057299999995</v>
      </c>
      <c r="H29" s="75"/>
      <c r="I29" s="76">
        <v>369.58077756999995</v>
      </c>
      <c r="J29" s="76">
        <v>357.55834493000003</v>
      </c>
      <c r="K29" s="76">
        <v>328.84713346000001</v>
      </c>
      <c r="L29" s="76">
        <v>288.98779373346105</v>
      </c>
      <c r="M29" s="76"/>
      <c r="N29" s="76">
        <v>338.1384304760382</v>
      </c>
      <c r="O29" s="76">
        <v>321.10931283098074</v>
      </c>
      <c r="P29" s="76">
        <v>339.51232801344986</v>
      </c>
      <c r="Q29" s="76">
        <v>312.41547250308327</v>
      </c>
      <c r="R29" s="76"/>
      <c r="S29" s="76">
        <v>356.87163682379997</v>
      </c>
      <c r="T29" s="76">
        <v>315.66925395591659</v>
      </c>
      <c r="U29" s="76">
        <v>252.27450905376202</v>
      </c>
      <c r="V29" s="76">
        <v>343.23966826125314</v>
      </c>
      <c r="W29" s="69"/>
      <c r="X29" s="72" t="s">
        <v>29</v>
      </c>
      <c r="Y29" s="11"/>
      <c r="Z29" s="11"/>
    </row>
    <row r="30" spans="1:26" s="4" customFormat="1" ht="15" customHeight="1" x14ac:dyDescent="0.45">
      <c r="A30" s="10" t="s">
        <v>47</v>
      </c>
      <c r="B30" s="10"/>
      <c r="C30" s="11"/>
      <c r="D30" s="75">
        <v>136.38800000000001</v>
      </c>
      <c r="E30" s="75">
        <v>137.76000000000002</v>
      </c>
      <c r="F30" s="75">
        <v>62.695</v>
      </c>
      <c r="G30" s="75">
        <v>63.826999999999998</v>
      </c>
      <c r="H30" s="75"/>
      <c r="I30" s="76">
        <v>64.585999999999999</v>
      </c>
      <c r="J30" s="76">
        <v>63.642999999999994</v>
      </c>
      <c r="K30" s="76">
        <v>60.792000000000009</v>
      </c>
      <c r="L30" s="76">
        <v>59.789000000000001</v>
      </c>
      <c r="M30" s="76"/>
      <c r="N30" s="76">
        <v>59.722999999999999</v>
      </c>
      <c r="O30" s="76">
        <v>59.753</v>
      </c>
      <c r="P30" s="76">
        <v>65.31</v>
      </c>
      <c r="Q30" s="76">
        <v>58.238000000000007</v>
      </c>
      <c r="R30" s="76"/>
      <c r="S30" s="76">
        <v>62.853000000000002</v>
      </c>
      <c r="T30" s="76">
        <v>57.595999999999997</v>
      </c>
      <c r="U30" s="76">
        <v>56.684999999999995</v>
      </c>
      <c r="V30" s="76">
        <v>56.154999999999994</v>
      </c>
      <c r="W30" s="11"/>
      <c r="X30" s="71" t="s">
        <v>48</v>
      </c>
      <c r="Y30" s="11"/>
      <c r="Z30" s="11"/>
    </row>
    <row r="31" spans="1:26" ht="15" customHeight="1" x14ac:dyDescent="0.45">
      <c r="A31" s="22" t="s">
        <v>56</v>
      </c>
      <c r="B31" s="22" t="s">
        <v>71</v>
      </c>
      <c r="C31" s="13"/>
      <c r="D31" s="77">
        <v>0</v>
      </c>
      <c r="E31" s="77">
        <v>0</v>
      </c>
      <c r="F31" s="77">
        <v>0</v>
      </c>
      <c r="G31" s="77">
        <v>0</v>
      </c>
      <c r="H31" s="77"/>
      <c r="I31" s="78">
        <v>0</v>
      </c>
      <c r="J31" s="78">
        <v>0</v>
      </c>
      <c r="K31" s="78">
        <v>0</v>
      </c>
      <c r="L31" s="78">
        <v>0</v>
      </c>
      <c r="M31" s="78"/>
      <c r="N31" s="78">
        <v>0</v>
      </c>
      <c r="O31" s="78">
        <v>0</v>
      </c>
      <c r="P31" s="78">
        <v>0</v>
      </c>
      <c r="Q31" s="78">
        <v>0</v>
      </c>
      <c r="R31" s="78"/>
      <c r="S31" s="78">
        <v>0</v>
      </c>
      <c r="T31" s="78">
        <v>0</v>
      </c>
      <c r="U31" s="78">
        <v>0</v>
      </c>
      <c r="V31" s="78">
        <v>0</v>
      </c>
      <c r="W31" s="68" t="s">
        <v>26</v>
      </c>
      <c r="X31" s="71"/>
      <c r="Y31" s="13"/>
      <c r="Z31" s="13"/>
    </row>
    <row r="32" spans="1:26" ht="15" customHeight="1" x14ac:dyDescent="0.45">
      <c r="A32" s="22" t="s">
        <v>56</v>
      </c>
      <c r="B32" s="22" t="s">
        <v>52</v>
      </c>
      <c r="C32" s="13"/>
      <c r="D32" s="77">
        <v>136.38800000000001</v>
      </c>
      <c r="E32" s="77">
        <v>137.76000000000002</v>
      </c>
      <c r="F32" s="77">
        <v>62.695</v>
      </c>
      <c r="G32" s="77">
        <v>63.826999999999998</v>
      </c>
      <c r="H32" s="77"/>
      <c r="I32" s="78">
        <v>64.585999999999999</v>
      </c>
      <c r="J32" s="78">
        <v>63.642999999999994</v>
      </c>
      <c r="K32" s="78">
        <v>60.792000000000009</v>
      </c>
      <c r="L32" s="78">
        <v>59.789000000000001</v>
      </c>
      <c r="M32" s="78"/>
      <c r="N32" s="78">
        <v>59.722999999999999</v>
      </c>
      <c r="O32" s="78">
        <v>59.753</v>
      </c>
      <c r="P32" s="78">
        <v>65.31</v>
      </c>
      <c r="Q32" s="78">
        <v>58.238000000000007</v>
      </c>
      <c r="R32" s="78"/>
      <c r="S32" s="78">
        <v>62.853000000000002</v>
      </c>
      <c r="T32" s="78">
        <v>57.595999999999997</v>
      </c>
      <c r="U32" s="78">
        <v>56.684999999999995</v>
      </c>
      <c r="V32" s="78">
        <v>56.154999999999994</v>
      </c>
      <c r="W32" s="79" t="s">
        <v>44</v>
      </c>
      <c r="X32" s="71"/>
      <c r="Y32" s="13"/>
      <c r="Z32" s="13"/>
    </row>
    <row r="33" spans="1:33" s="4" customFormat="1" ht="15" customHeight="1" x14ac:dyDescent="0.45">
      <c r="A33" s="10" t="s">
        <v>49</v>
      </c>
      <c r="B33" s="10"/>
      <c r="C33" s="11"/>
      <c r="D33" s="75">
        <v>86.000930899999986</v>
      </c>
      <c r="E33" s="75">
        <v>91.843816259999997</v>
      </c>
      <c r="F33" s="75">
        <v>174.47940805000002</v>
      </c>
      <c r="G33" s="75">
        <v>134.30525299999999</v>
      </c>
      <c r="H33" s="75"/>
      <c r="I33" s="76">
        <v>150.74739357000001</v>
      </c>
      <c r="J33" s="76">
        <v>140.65978601</v>
      </c>
      <c r="K33" s="76">
        <v>140.34594188000003</v>
      </c>
      <c r="L33" s="76">
        <v>153.62360153170368</v>
      </c>
      <c r="M33" s="76"/>
      <c r="N33" s="76">
        <v>151.67330442006136</v>
      </c>
      <c r="O33" s="76">
        <v>152.10686548432435</v>
      </c>
      <c r="P33" s="76">
        <v>144.80246814791667</v>
      </c>
      <c r="Q33" s="76">
        <v>153.58031063124997</v>
      </c>
      <c r="R33" s="76"/>
      <c r="S33" s="76">
        <v>150.10384619208332</v>
      </c>
      <c r="T33" s="76">
        <v>152.81652528249666</v>
      </c>
      <c r="U33" s="76">
        <v>169.70758904584667</v>
      </c>
      <c r="V33" s="76">
        <v>113.72094510026334</v>
      </c>
      <c r="W33" s="11"/>
      <c r="X33" s="73" t="s">
        <v>10</v>
      </c>
      <c r="Y33" s="11"/>
      <c r="Z33" s="11"/>
    </row>
    <row r="34" spans="1:33" s="4" customFormat="1" ht="15" customHeight="1" x14ac:dyDescent="0.45">
      <c r="A34" s="10" t="s">
        <v>50</v>
      </c>
      <c r="B34" s="10"/>
      <c r="C34" s="11"/>
      <c r="D34" s="75">
        <v>0</v>
      </c>
      <c r="E34" s="75">
        <v>0</v>
      </c>
      <c r="F34" s="75">
        <v>0</v>
      </c>
      <c r="G34" s="75">
        <v>0</v>
      </c>
      <c r="H34" s="75"/>
      <c r="I34" s="76">
        <v>0</v>
      </c>
      <c r="J34" s="76">
        <v>0</v>
      </c>
      <c r="K34" s="76">
        <v>0</v>
      </c>
      <c r="L34" s="76">
        <v>0</v>
      </c>
      <c r="M34" s="76"/>
      <c r="N34" s="76">
        <v>0</v>
      </c>
      <c r="O34" s="76">
        <v>0</v>
      </c>
      <c r="P34" s="76">
        <v>0</v>
      </c>
      <c r="Q34" s="76">
        <v>0</v>
      </c>
      <c r="R34" s="76"/>
      <c r="S34" s="76">
        <v>0</v>
      </c>
      <c r="T34" s="76">
        <v>0</v>
      </c>
      <c r="U34" s="76">
        <v>0</v>
      </c>
      <c r="V34" s="76">
        <v>0</v>
      </c>
      <c r="W34" s="11"/>
      <c r="X34" s="70" t="s">
        <v>51</v>
      </c>
      <c r="Y34" s="11"/>
      <c r="Z34" s="11"/>
    </row>
    <row r="35" spans="1:33" s="4" customFormat="1" ht="15" customHeight="1" x14ac:dyDescent="0.45">
      <c r="A35" s="10" t="s">
        <v>74</v>
      </c>
      <c r="B35" s="10"/>
      <c r="C35" s="11"/>
      <c r="D35" s="75">
        <v>12.899999999999999</v>
      </c>
      <c r="E35" s="75">
        <v>179.44499999999999</v>
      </c>
      <c r="F35" s="75">
        <v>185.40600000000001</v>
      </c>
      <c r="G35" s="75">
        <v>78.182999999999993</v>
      </c>
      <c r="H35" s="75"/>
      <c r="I35" s="76">
        <v>64.986000000000004</v>
      </c>
      <c r="J35" s="76">
        <v>57.769999999999996</v>
      </c>
      <c r="K35" s="76">
        <v>84.991</v>
      </c>
      <c r="L35" s="76">
        <v>85.105000000000004</v>
      </c>
      <c r="M35" s="76"/>
      <c r="N35" s="76">
        <v>106.50865055</v>
      </c>
      <c r="O35" s="76">
        <v>175.91399999999999</v>
      </c>
      <c r="P35" s="76">
        <v>172.851</v>
      </c>
      <c r="Q35" s="76">
        <v>167.959</v>
      </c>
      <c r="R35" s="76"/>
      <c r="S35" s="76">
        <v>236.024</v>
      </c>
      <c r="T35" s="76">
        <v>265.15499999999997</v>
      </c>
      <c r="U35" s="76">
        <v>247.59800000000001</v>
      </c>
      <c r="V35" s="76">
        <v>248.321</v>
      </c>
      <c r="W35" s="69"/>
      <c r="X35" s="70" t="s">
        <v>61</v>
      </c>
      <c r="Y35" s="11"/>
      <c r="Z35" s="11"/>
    </row>
    <row r="36" spans="1:33" s="4" customFormat="1" ht="15" customHeight="1" x14ac:dyDescent="0.45">
      <c r="A36" s="10" t="s">
        <v>27</v>
      </c>
      <c r="B36" s="10"/>
      <c r="C36" s="11"/>
      <c r="D36" s="75">
        <v>0.498</v>
      </c>
      <c r="E36" s="75">
        <v>0.48</v>
      </c>
      <c r="F36" s="75">
        <v>0.38</v>
      </c>
      <c r="G36" s="75">
        <v>0.28000000000000003</v>
      </c>
      <c r="H36" s="75"/>
      <c r="I36" s="76">
        <v>0.28000000000000003</v>
      </c>
      <c r="J36" s="76">
        <v>20.28</v>
      </c>
      <c r="K36" s="76">
        <v>40.28</v>
      </c>
      <c r="L36" s="76">
        <v>40.28</v>
      </c>
      <c r="M36" s="76"/>
      <c r="N36" s="76">
        <v>92.25</v>
      </c>
      <c r="O36" s="76">
        <v>92.25</v>
      </c>
      <c r="P36" s="76">
        <v>67.870999999999995</v>
      </c>
      <c r="Q36" s="76">
        <v>47.875999999999998</v>
      </c>
      <c r="R36" s="76"/>
      <c r="S36" s="76">
        <v>64.093999999999994</v>
      </c>
      <c r="T36" s="76">
        <v>65.873999999999995</v>
      </c>
      <c r="U36" s="76">
        <v>61.335999999999999</v>
      </c>
      <c r="V36" s="76">
        <v>61.335999999999999</v>
      </c>
      <c r="W36" s="69"/>
      <c r="X36" s="67" t="s">
        <v>37</v>
      </c>
      <c r="Y36" s="11"/>
      <c r="Z36" s="11"/>
    </row>
    <row r="37" spans="1:33" s="4" customFormat="1" ht="15" customHeight="1" x14ac:dyDescent="0.45">
      <c r="A37" s="10" t="s">
        <v>11</v>
      </c>
      <c r="B37" s="10"/>
      <c r="C37" s="11"/>
      <c r="D37" s="75">
        <v>0</v>
      </c>
      <c r="E37" s="75">
        <v>0</v>
      </c>
      <c r="F37" s="75">
        <v>0</v>
      </c>
      <c r="G37" s="75">
        <v>0</v>
      </c>
      <c r="H37" s="75"/>
      <c r="I37" s="76">
        <v>0</v>
      </c>
      <c r="J37" s="76">
        <v>0</v>
      </c>
      <c r="K37" s="76">
        <v>0</v>
      </c>
      <c r="L37" s="76">
        <v>0</v>
      </c>
      <c r="M37" s="76"/>
      <c r="N37" s="76">
        <v>5</v>
      </c>
      <c r="O37" s="76">
        <v>10</v>
      </c>
      <c r="P37" s="76">
        <v>10</v>
      </c>
      <c r="Q37" s="76">
        <v>10</v>
      </c>
      <c r="R37" s="76"/>
      <c r="S37" s="76">
        <v>10</v>
      </c>
      <c r="T37" s="76">
        <v>10</v>
      </c>
      <c r="U37" s="76">
        <v>10</v>
      </c>
      <c r="V37" s="76">
        <v>10</v>
      </c>
      <c r="W37" s="66"/>
      <c r="X37" s="67" t="s">
        <v>12</v>
      </c>
      <c r="Y37" s="11"/>
      <c r="Z37" s="11"/>
    </row>
    <row r="38" spans="1:33" s="4" customFormat="1" ht="15" customHeight="1" x14ac:dyDescent="0.45">
      <c r="A38" s="10" t="s">
        <v>75</v>
      </c>
      <c r="B38" s="10"/>
      <c r="C38" s="11"/>
      <c r="D38" s="80">
        <v>207.41488912000068</v>
      </c>
      <c r="E38" s="80">
        <v>119.23265114999958</v>
      </c>
      <c r="F38" s="80">
        <v>116.56538243000068</v>
      </c>
      <c r="G38" s="80">
        <v>136.19918100000086</v>
      </c>
      <c r="H38" s="80"/>
      <c r="I38" s="81">
        <v>156.94902890000049</v>
      </c>
      <c r="J38" s="81">
        <v>179.31817564999892</v>
      </c>
      <c r="K38" s="81">
        <v>170.20073236000007</v>
      </c>
      <c r="L38" s="81">
        <v>214.17859365508957</v>
      </c>
      <c r="M38" s="81"/>
      <c r="N38" s="81">
        <v>189.86918760409117</v>
      </c>
      <c r="O38" s="81">
        <v>166.7901728625684</v>
      </c>
      <c r="P38" s="81">
        <v>154.57883185708306</v>
      </c>
      <c r="Q38" s="81">
        <v>190.53964001291843</v>
      </c>
      <c r="R38" s="81"/>
      <c r="S38" s="81">
        <v>147.20692890916689</v>
      </c>
      <c r="T38" s="81">
        <v>164.45669518178966</v>
      </c>
      <c r="U38" s="81">
        <v>166.18172223591591</v>
      </c>
      <c r="V38" s="81">
        <v>195.78898859383298</v>
      </c>
      <c r="W38" s="66"/>
      <c r="X38" s="72" t="s">
        <v>30</v>
      </c>
      <c r="Y38" s="11"/>
      <c r="Z38" s="11"/>
    </row>
    <row r="39" spans="1:33" s="4" customFormat="1" ht="15" customHeight="1" thickBot="1" x14ac:dyDescent="0.5">
      <c r="A39" s="23" t="s">
        <v>64</v>
      </c>
      <c r="B39" s="23"/>
      <c r="C39" s="14"/>
      <c r="D39" s="82">
        <v>417.91662434</v>
      </c>
      <c r="E39" s="82">
        <v>397.33618024999998</v>
      </c>
      <c r="F39" s="82">
        <v>416.05774624999998</v>
      </c>
      <c r="G39" s="82">
        <v>441.87009899999998</v>
      </c>
      <c r="H39" s="82"/>
      <c r="I39" s="83">
        <v>471.86465188</v>
      </c>
      <c r="J39" s="83">
        <v>490.64211691000003</v>
      </c>
      <c r="K39" s="83">
        <v>514.73158914999999</v>
      </c>
      <c r="L39" s="83">
        <v>518.14570201000004</v>
      </c>
      <c r="M39" s="83"/>
      <c r="N39" s="83">
        <v>572.63291537999999</v>
      </c>
      <c r="O39" s="83">
        <v>583.09696394999992</v>
      </c>
      <c r="P39" s="83">
        <v>620.45544313999994</v>
      </c>
      <c r="Q39" s="83">
        <v>622.04539433000002</v>
      </c>
      <c r="R39" s="83"/>
      <c r="S39" s="83">
        <v>659.07663222999997</v>
      </c>
      <c r="T39" s="83">
        <v>628.24563534000004</v>
      </c>
      <c r="U39" s="83">
        <v>664.65137991000006</v>
      </c>
      <c r="V39" s="83">
        <v>772.27721501000008</v>
      </c>
      <c r="W39" s="84"/>
      <c r="X39" s="85" t="s">
        <v>13</v>
      </c>
      <c r="Y39" s="11"/>
      <c r="Z39" s="11"/>
    </row>
    <row r="40" spans="1:33" s="34" customFormat="1" ht="18.75" x14ac:dyDescent="0.45">
      <c r="A40" s="39" t="s">
        <v>14</v>
      </c>
      <c r="B40" s="86"/>
      <c r="C40" s="86"/>
      <c r="D40" s="86"/>
      <c r="E40" s="86"/>
      <c r="F40" s="86"/>
      <c r="G40" s="86"/>
      <c r="H40" s="87"/>
      <c r="I40" s="87"/>
      <c r="J40" s="87"/>
      <c r="K40" s="87"/>
      <c r="L40" s="86"/>
      <c r="M40" s="86"/>
      <c r="N40" s="86"/>
      <c r="O40" s="86"/>
      <c r="P40" s="86"/>
      <c r="Q40" s="88"/>
      <c r="R40" s="86"/>
      <c r="S40" s="86"/>
      <c r="T40" s="86"/>
      <c r="U40" s="86"/>
      <c r="V40" s="88"/>
      <c r="W40" s="89"/>
      <c r="X40" s="96" t="s">
        <v>15</v>
      </c>
      <c r="Y40" s="90"/>
      <c r="Z40" s="91"/>
    </row>
    <row r="41" spans="1:33" s="3" customFormat="1" ht="17.25" x14ac:dyDescent="0.45">
      <c r="A41" s="10" t="s">
        <v>22</v>
      </c>
      <c r="B41" s="92"/>
      <c r="C41" s="92"/>
      <c r="D41" s="92"/>
      <c r="E41" s="92"/>
      <c r="F41" s="92"/>
      <c r="G41" s="92"/>
      <c r="H41" s="92"/>
      <c r="I41" s="41">
        <f>+(I9/D9-1)*100</f>
        <v>-0.71935856437681522</v>
      </c>
      <c r="J41" s="41">
        <f t="shared" ref="J41:Q41" si="0">+(J9/E9-1)*100</f>
        <v>21.734188593463855</v>
      </c>
      <c r="K41" s="41">
        <f t="shared" si="0"/>
        <v>41.011492112527151</v>
      </c>
      <c r="L41" s="41">
        <f t="shared" si="0"/>
        <v>38.639495561258165</v>
      </c>
      <c r="M41" s="41"/>
      <c r="N41" s="41">
        <f t="shared" si="0"/>
        <v>24.105658364729354</v>
      </c>
      <c r="O41" s="41">
        <f t="shared" si="0"/>
        <v>13.034351903136043</v>
      </c>
      <c r="P41" s="41">
        <f t="shared" si="0"/>
        <v>57.950374188693267</v>
      </c>
      <c r="Q41" s="41">
        <f t="shared" si="0"/>
        <v>60.020084408270357</v>
      </c>
      <c r="R41" s="41"/>
      <c r="S41" s="41">
        <f t="shared" ref="S41" si="1">+(S9/N9-1)*100</f>
        <v>84.084822790069921</v>
      </c>
      <c r="T41" s="41">
        <f t="shared" ref="T41" si="2">+(T9/O9-1)*100</f>
        <v>95.682575279111532</v>
      </c>
      <c r="U41" s="41">
        <f t="shared" ref="U41" si="3">+(U9/P9-1)*100</f>
        <v>35.959023412250765</v>
      </c>
      <c r="V41" s="41">
        <f t="shared" ref="V41" si="4">+(V9/Q9-1)*100</f>
        <v>27.394653496905597</v>
      </c>
      <c r="W41" s="92"/>
      <c r="X41" s="73" t="s">
        <v>33</v>
      </c>
      <c r="Y41" s="15"/>
      <c r="Z41" s="93"/>
    </row>
    <row r="42" spans="1:33" s="3" customFormat="1" ht="17.25" x14ac:dyDescent="0.45">
      <c r="A42" s="10" t="s">
        <v>28</v>
      </c>
      <c r="B42" s="16"/>
      <c r="C42" s="16"/>
      <c r="D42" s="17"/>
      <c r="E42" s="17"/>
      <c r="F42" s="17"/>
      <c r="G42" s="17"/>
      <c r="H42" s="17"/>
      <c r="I42" s="42">
        <f>+(I29/D29-1)*100</f>
        <v>42.461395617358953</v>
      </c>
      <c r="J42" s="42">
        <f t="shared" ref="J42:Q42" si="5">+(J29/E29-1)*100</f>
        <v>38.475038642415683</v>
      </c>
      <c r="K42" s="42">
        <f t="shared" si="5"/>
        <v>11.677347636823754</v>
      </c>
      <c r="L42" s="42">
        <f t="shared" si="5"/>
        <v>-12.236609921879271</v>
      </c>
      <c r="M42" s="42"/>
      <c r="N42" s="42">
        <f t="shared" si="5"/>
        <v>-8.5075710107803015</v>
      </c>
      <c r="O42" s="42">
        <f t="shared" si="5"/>
        <v>-10.193869788203379</v>
      </c>
      <c r="P42" s="42">
        <f t="shared" si="5"/>
        <v>3.243207395860459</v>
      </c>
      <c r="Q42" s="42">
        <f t="shared" si="5"/>
        <v>8.1068056428812429</v>
      </c>
      <c r="R42" s="42"/>
      <c r="S42" s="42">
        <f t="shared" ref="S42" si="6">+(S29/N29-1)*100</f>
        <v>5.54009975186458</v>
      </c>
      <c r="T42" s="42">
        <f t="shared" ref="T42" si="7">+(T29/O29-1)*100</f>
        <v>-1.694145469374031</v>
      </c>
      <c r="U42" s="42">
        <f t="shared" ref="U42" si="8">+(U29/P29-1)*100</f>
        <v>-25.695037193533633</v>
      </c>
      <c r="V42" s="42">
        <f t="shared" ref="V42" si="9">+(V29/Q29-1)*100</f>
        <v>9.8664113884006319</v>
      </c>
      <c r="W42" s="94"/>
      <c r="X42" s="95" t="s">
        <v>29</v>
      </c>
      <c r="Y42" s="18"/>
      <c r="Z42" s="31"/>
    </row>
    <row r="43" spans="1:33" s="26" customFormat="1" ht="16.5" customHeight="1" x14ac:dyDescent="0.4">
      <c r="A43" s="33" t="s">
        <v>54</v>
      </c>
      <c r="B43" s="52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53"/>
      <c r="W43" s="53"/>
      <c r="X43" s="35" t="s">
        <v>53</v>
      </c>
      <c r="Y43" s="51"/>
      <c r="Z43" s="8"/>
      <c r="AA43" s="8"/>
      <c r="AB43" s="8"/>
      <c r="AC43" s="8"/>
      <c r="AD43" s="8"/>
      <c r="AE43" s="8"/>
      <c r="AF43" s="8"/>
      <c r="AG43" s="9"/>
    </row>
    <row r="44" spans="1:33" s="5" customFormat="1" ht="17.25" x14ac:dyDescent="0.4">
      <c r="A44" s="36" t="s">
        <v>82</v>
      </c>
      <c r="B44" s="6"/>
      <c r="C44" s="54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38" t="s">
        <v>83</v>
      </c>
      <c r="Y44" s="51" t="s">
        <v>31</v>
      </c>
      <c r="Z44" s="6"/>
    </row>
    <row r="45" spans="1:33" ht="15" customHeight="1" x14ac:dyDescent="0.2">
      <c r="A45" s="36" t="s">
        <v>16</v>
      </c>
      <c r="B45" s="56"/>
      <c r="C45" s="57"/>
      <c r="D45" s="58"/>
      <c r="E45" s="58"/>
      <c r="G45" s="58"/>
      <c r="H45" s="58"/>
      <c r="I45" s="58"/>
      <c r="J45" s="58"/>
      <c r="K45" s="58"/>
      <c r="L45" s="58"/>
      <c r="M45" s="58"/>
      <c r="N45" s="58"/>
      <c r="O45" s="104" t="s">
        <v>17</v>
      </c>
      <c r="P45" s="104"/>
      <c r="Q45" s="104"/>
      <c r="R45" s="104"/>
      <c r="S45" s="104"/>
      <c r="T45" s="104"/>
      <c r="U45" s="104"/>
      <c r="V45" s="104"/>
      <c r="W45" s="104"/>
      <c r="X45" s="104"/>
      <c r="Y45" s="37"/>
    </row>
    <row r="46" spans="1:33" ht="15" customHeight="1" x14ac:dyDescent="0.25">
      <c r="A46" s="36" t="s">
        <v>18</v>
      </c>
      <c r="B46" s="5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60" t="s">
        <v>32</v>
      </c>
      <c r="Y46" s="5"/>
    </row>
  </sheetData>
  <mergeCells count="9">
    <mergeCell ref="O45:X45"/>
    <mergeCell ref="D5:G5"/>
    <mergeCell ref="I5:L5"/>
    <mergeCell ref="N5:Q5"/>
    <mergeCell ref="A1:X1"/>
    <mergeCell ref="A2:X2"/>
    <mergeCell ref="A3:X3"/>
    <mergeCell ref="A4:X4"/>
    <mergeCell ref="S5:V5"/>
  </mergeCells>
  <printOptions horizontalCentered="1"/>
  <pageMargins left="0.45" right="0.45" top="0.22" bottom="0.17" header="0.17" footer="0.17"/>
  <pageSetup paperSize="9" scale="5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14.8</vt:lpstr>
      <vt:lpstr>'14.8'!Print_Area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2016-03-16T07:19:52Z</cp:lastPrinted>
  <dcterms:created xsi:type="dcterms:W3CDTF">2013-04-01T04:26:10Z</dcterms:created>
  <dcterms:modified xsi:type="dcterms:W3CDTF">2016-03-16T07:19:53Z</dcterms:modified>
</cp:coreProperties>
</file>