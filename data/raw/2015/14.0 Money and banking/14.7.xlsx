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75" windowWidth="14520" windowHeight="11760" tabRatio="765"/>
  </bookViews>
  <sheets>
    <sheet name="14.7" sheetId="5" r:id="rId1"/>
  </sheets>
  <definedNames>
    <definedName name="AA">'[1]Monetary Aggr'!#REF!</definedName>
    <definedName name="Date_ODC">[2]Industry!$4:$4</definedName>
    <definedName name="LCFC_ODC">[2]Industry!$5:$5</definedName>
    <definedName name="_xlnm.Print_Area" localSheetId="0">'14.7'!$A$1:$Z$54</definedName>
    <definedName name="_xlnm.Print_Titles" localSheetId="0">'14.7'!$1:$7</definedName>
  </definedNames>
  <calcPr calcId="145621"/>
</workbook>
</file>

<file path=xl/calcChain.xml><?xml version="1.0" encoding="utf-8"?>
<calcChain xmlns="http://schemas.openxmlformats.org/spreadsheetml/2006/main">
  <c r="U45" i="5" l="1"/>
  <c r="T45" i="5"/>
  <c r="S45" i="5"/>
  <c r="R45" i="5"/>
  <c r="P45" i="5"/>
  <c r="O45" i="5"/>
  <c r="N45" i="5"/>
  <c r="M45" i="5"/>
  <c r="K45" i="5"/>
  <c r="J45" i="5"/>
  <c r="I45" i="5"/>
  <c r="H45" i="5"/>
  <c r="U44" i="5"/>
  <c r="T44" i="5"/>
  <c r="S44" i="5"/>
  <c r="R44" i="5"/>
  <c r="P44" i="5"/>
  <c r="O44" i="5"/>
  <c r="N44" i="5"/>
  <c r="M44" i="5"/>
  <c r="K44" i="5"/>
  <c r="J44" i="5"/>
  <c r="I44" i="5"/>
  <c r="H44" i="5"/>
  <c r="U43" i="5"/>
  <c r="T43" i="5"/>
  <c r="S43" i="5"/>
  <c r="R43" i="5"/>
  <c r="P43" i="5"/>
  <c r="O43" i="5"/>
  <c r="N43" i="5"/>
  <c r="M43" i="5"/>
  <c r="K43" i="5"/>
  <c r="J43" i="5"/>
  <c r="I43" i="5"/>
  <c r="H43" i="5"/>
  <c r="U42" i="5"/>
  <c r="T42" i="5"/>
  <c r="S42" i="5"/>
  <c r="R42" i="5"/>
  <c r="P42" i="5"/>
  <c r="O42" i="5"/>
  <c r="N42" i="5"/>
  <c r="M42" i="5"/>
  <c r="K42" i="5"/>
  <c r="J42" i="5"/>
  <c r="I42" i="5"/>
  <c r="H42" i="5"/>
</calcChain>
</file>

<file path=xl/sharedStrings.xml><?xml version="1.0" encoding="utf-8"?>
<sst xmlns="http://schemas.openxmlformats.org/spreadsheetml/2006/main" count="135" uniqueCount="98">
  <si>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</si>
  <si>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</si>
  <si>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</si>
  <si>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</si>
  <si>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</si>
  <si>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</si>
  <si>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</si>
  <si>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</si>
  <si>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clIBcfwt</t>
  </si>
  <si>
    <t>Mar</t>
  </si>
  <si>
    <t>Jun</t>
  </si>
  <si>
    <t>Sep</t>
  </si>
  <si>
    <r>
      <t xml:space="preserve"> Dec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  <r>
      <rPr>
        <b/>
        <vertAlign val="subscript"/>
        <sz val="11"/>
        <rFont val="Arial"/>
        <family val="2"/>
      </rPr>
      <t/>
    </r>
  </si>
  <si>
    <t>ސަރުކާރަށް ލިބެންވާ ( ޑިޕޮސިޓް އަދި އެހެނިހެން ފައިސާ)</t>
  </si>
  <si>
    <t>ޓްރާންސްފަރަބަލް ޑިޕޮސިޓް</t>
  </si>
  <si>
    <t>Wsiawf ihevid</t>
  </si>
  <si>
    <t>Wsiawf urEb</t>
  </si>
  <si>
    <t>Loans</t>
  </si>
  <si>
    <t>ލޯނު</t>
  </si>
  <si>
    <t>ރަޢުސުލްމާލުގެ ހިސާބު</t>
  </si>
  <si>
    <t>Annual percentage change</t>
  </si>
  <si>
    <t>އަހަރުން އަހަރަށް އިތުރުވި މިންވަރު އިންސައްތަ</t>
  </si>
  <si>
    <t>މީގެތެރެއިން އަމިއްލަ ފަރާތްތަކަށް ދޫކުރެވުނު ދަރަނި</t>
  </si>
  <si>
    <t>Memorandum items:</t>
  </si>
  <si>
    <t>:utWmUluAwm urutia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</si>
  <si>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</si>
  <si>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</si>
  <si>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</si>
  <si>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Shares and other equity (Capital Accounts)</t>
  </si>
  <si>
    <t>Shares and other equity (Capital accounts)</t>
  </si>
  <si>
    <t>Total Assets</t>
  </si>
  <si>
    <t>cTesea wlcmuj</t>
  </si>
  <si>
    <t>Foreign assets</t>
  </si>
  <si>
    <t>Other assets</t>
  </si>
  <si>
    <t>Non-financial assets</t>
  </si>
  <si>
    <t>Total Liabilities</t>
  </si>
  <si>
    <t>ITilibiawl wlcmuj</t>
  </si>
  <si>
    <t>ސަރުކާރު ހިއްސާވާ ކުންފުނިތަކަށް (މާލީދާއިރާގެ ކުންފުނިތައް ނުހިމަނައި)</t>
  </si>
  <si>
    <t>އެހެނިހެން މާލީދާއިރާގެ ކުންފުނިތަކަށް</t>
  </si>
  <si>
    <t>Securities other than shares</t>
  </si>
  <si>
    <t>Foreign liabilities</t>
  </si>
  <si>
    <t>ITilibiawl egurEb</t>
  </si>
  <si>
    <t>Other liabilities</t>
  </si>
  <si>
    <t>ITilibiawl  cnehinehea</t>
  </si>
  <si>
    <t>/1</t>
  </si>
  <si>
    <t>ITirOtoa IrwTinwm cscviDclOm :ctWrwf ivcaedutWmUluAwm</t>
  </si>
  <si>
    <t>ބޭރުގެ އެސެޓް</t>
  </si>
  <si>
    <t>Cash</t>
  </si>
  <si>
    <t>Wsiawf udugwn</t>
  </si>
  <si>
    <t>Deposits with central bank</t>
  </si>
  <si>
    <t>ސެންޓްރަލް ބޭންކްގައި ހުރި ޑިޕޮސިޓް</t>
  </si>
  <si>
    <t>ސެކިޔުރިޓީސް (ހިއްސާ ނުހިމަނައި)</t>
  </si>
  <si>
    <t xml:space="preserve">   Central bank bills</t>
  </si>
  <si>
    <t>ސެންޓްރަލް ބޭންކް ބިލްސް</t>
  </si>
  <si>
    <t xml:space="preserve">   Treasury bills</t>
  </si>
  <si>
    <t>ޓްރެޜަރީ ބިލްސް</t>
  </si>
  <si>
    <t xml:space="preserve">   Central government bonds</t>
  </si>
  <si>
    <t>ސަރުކާރުގެ ބޮންޑް</t>
  </si>
  <si>
    <t>Loans and advances</t>
  </si>
  <si>
    <t>ދަރނީގެ ގޮތުގައި ދޫކުރެވިފައިވާ</t>
  </si>
  <si>
    <t xml:space="preserve">   Central bank</t>
  </si>
  <si>
    <t>ސެންޓްރަލް ބޭންކަށް</t>
  </si>
  <si>
    <t xml:space="preserve">   Central government</t>
  </si>
  <si>
    <t>ސަރުކާރަށް</t>
  </si>
  <si>
    <t xml:space="preserve">   Other financial corporations</t>
  </si>
  <si>
    <t xml:space="preserve">   Public non-financial corporations</t>
  </si>
  <si>
    <r>
      <t xml:space="preserve">   Private sector</t>
    </r>
    <r>
      <rPr>
        <vertAlign val="superscript"/>
        <sz val="10"/>
        <rFont val="Calibri"/>
        <family val="2"/>
        <scheme val="minor"/>
      </rPr>
      <t>2/</t>
    </r>
  </si>
  <si>
    <r>
      <t xml:space="preserve"> </t>
    </r>
    <r>
      <rPr>
        <vertAlign val="superscript"/>
        <sz val="9"/>
        <rFont val="A_Faseyha"/>
      </rPr>
      <t>2/</t>
    </r>
    <r>
      <rPr>
        <sz val="9"/>
        <rFont val="A_Faseyha"/>
      </rPr>
      <t xml:space="preserve"> cSwkwtctWrwf wlcaimwa</t>
    </r>
  </si>
  <si>
    <t>cTesea cnehinehea</t>
  </si>
  <si>
    <t>މާލީ އެސެޓްސްގޮތުގައި ނުހިމެނޭ އެސެޓް</t>
  </si>
  <si>
    <t>Deposits</t>
  </si>
  <si>
    <t>ޑިޕޮސިޓް</t>
  </si>
  <si>
    <t xml:space="preserve">  Transferable deposits</t>
  </si>
  <si>
    <t xml:space="preserve">      Local currency</t>
  </si>
  <si>
    <t xml:space="preserve">      Foreign currency</t>
  </si>
  <si>
    <t xml:space="preserve">  Other depostis</t>
  </si>
  <si>
    <t>އެހެނިހެން ޑިޕޮސިޓް</t>
  </si>
  <si>
    <t>Central government liabilities</t>
  </si>
  <si>
    <t>Credit from central bank</t>
  </si>
  <si>
    <t>ސެންޓްރަލް ބޭންކުން ނަގާފައިވާ ދަރަނި</t>
  </si>
  <si>
    <t xml:space="preserve">       Local currency</t>
  </si>
  <si>
    <t>2_/ Data includes accrued interest receivables and accounts receivables  from private sector.</t>
  </si>
  <si>
    <t>އަމިއްލަ ފަރާތްތަކުން އިންޓަރެސްޓްގެ ގޮތުގައާއި އެހެނިހެން ގޮތްގޮތުން ލިބެންވާ ފައިސާ މިޖުމްލައިގައި ހިމެނިފައިވާނެއެވެ.</t>
  </si>
  <si>
    <t>/2</t>
  </si>
  <si>
    <t xml:space="preserve">New format based on IMF Monetary and Financial Statistics Manual 2000 (MFSM 2000). </t>
  </si>
  <si>
    <t>ނޯޓް:</t>
  </si>
  <si>
    <t>NOTE:</t>
  </si>
  <si>
    <r>
      <t xml:space="preserve"> Dec</t>
    </r>
    <r>
      <rPr>
        <b/>
        <vertAlign val="subscript"/>
        <sz val="11"/>
        <rFont val="Arial"/>
        <family val="2"/>
      </rPr>
      <t/>
    </r>
  </si>
  <si>
    <t>of which: Private sector</t>
  </si>
  <si>
    <t xml:space="preserve">       Foreign Currency</t>
  </si>
  <si>
    <t>ޑިސެމް</t>
  </si>
  <si>
    <r>
      <t xml:space="preserve">2012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</si>
  <si>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r>
      <t xml:space="preserve">2013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</si>
  <si>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r>
      <t>2011</t>
    </r>
    <r>
      <rPr>
        <b/>
        <vertAlign val="superscript"/>
        <sz val="10"/>
        <rFont val="Arial"/>
        <family val="2"/>
      </rPr>
      <t>1_/</t>
    </r>
  </si>
  <si>
    <t xml:space="preserve">ތާވަލު 14.7 : ވިޔަފާރި ބޭންކުތަކުގެ އެސެޓްތަކާއި ލައިބިލިޓީތައް 2011 - 2014            </t>
  </si>
  <si>
    <t>Table  14.7 :ASSETS AND LIABILITIES OF OTHER DEPOSITORY CORPORATIONS  , 2011 - 2014</t>
  </si>
  <si>
    <t>1_/ : 2011,  2012 and 2013 revised</t>
  </si>
  <si>
    <t xml:space="preserve"> 2011، 2012 އަދި 2013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</si>
</sst>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vertAlign val="superscript"/>
      <sz val="10"/>
      <name val="Arial"/>
      <family val="2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vertAlign val="superscript"/>
      <sz val="9"/>
      <name val="Faruma"/>
    </font>
    <font>
      <vertAlign val="superscript"/>
      <sz val="10"/>
      <name val="Calibri"/>
      <family val="2"/>
      <scheme val="minor"/>
    </font>
    <font>
      <vertAlign val="superscript"/>
      <sz val="9"/>
      <name val="A_Faseyha"/>
    </font>
    <font>
      <b/>
      <i/>
      <sz val="9"/>
      <name val="A_Faseyha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3" fillId="2" borderId="0" applyNumberFormat="0" applyBorder="0" applyAlignment="0" applyProtection="0"/>
    <xf numFmtId="0" fontId="33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3" fillId="2" borderId="0" applyNumberFormat="0" applyBorder="0" applyAlignment="0" applyProtection="0"/>
    <xf numFmtId="0" fontId="3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4" fillId="4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17" fontId="4" fillId="0" borderId="0" applyFont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1" fontId="4" fillId="0" borderId="0" applyFill="0" applyBorder="0" applyAlignment="0"/>
    <xf numFmtId="0" fontId="37" fillId="0" borderId="0" applyFill="0" applyBorder="0" applyAlignment="0"/>
    <xf numFmtId="0" fontId="4" fillId="0" borderId="0" applyFill="0" applyBorder="0" applyAlignment="0"/>
    <xf numFmtId="172" fontId="2" fillId="0" borderId="0" applyFill="0" applyBorder="0" applyAlignment="0"/>
    <xf numFmtId="173" fontId="4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7" fillId="0" borderId="0" applyFill="0" applyBorder="0" applyAlignment="0"/>
    <xf numFmtId="0" fontId="38" fillId="14" borderId="24" applyNumberFormat="0" applyAlignment="0" applyProtection="0"/>
    <xf numFmtId="0" fontId="38" fillId="14" borderId="24" applyNumberFormat="0" applyAlignment="0" applyProtection="0"/>
    <xf numFmtId="0" fontId="38" fillId="14" borderId="24" applyNumberFormat="0" applyAlignment="0" applyProtection="0"/>
    <xf numFmtId="0" fontId="38" fillId="14" borderId="24" applyNumberFormat="0" applyAlignment="0" applyProtection="0"/>
    <xf numFmtId="0" fontId="38" fillId="14" borderId="24" applyNumberFormat="0" applyAlignment="0" applyProtection="0"/>
    <xf numFmtId="0" fontId="38" fillId="14" borderId="24" applyNumberFormat="0" applyAlignment="0" applyProtection="0"/>
    <xf numFmtId="0" fontId="38" fillId="14" borderId="24" applyNumberFormat="0" applyAlignment="0" applyProtection="0"/>
    <xf numFmtId="0" fontId="38" fillId="14" borderId="24" applyNumberFormat="0" applyAlignment="0" applyProtection="0"/>
    <xf numFmtId="17" fontId="4" fillId="0" borderId="0" applyFont="0"/>
    <xf numFmtId="0" fontId="39" fillId="7" borderId="25" applyNumberFormat="0" applyAlignment="0" applyProtection="0"/>
    <xf numFmtId="0" fontId="39" fillId="7" borderId="25" applyNumberFormat="0" applyAlignment="0" applyProtection="0"/>
    <xf numFmtId="0" fontId="39" fillId="7" borderId="25" applyNumberFormat="0" applyAlignment="0" applyProtection="0"/>
    <xf numFmtId="0" fontId="39" fillId="7" borderId="25" applyNumberFormat="0" applyAlignment="0" applyProtection="0"/>
    <xf numFmtId="0" fontId="39" fillId="7" borderId="25" applyNumberFormat="0" applyAlignment="0" applyProtection="0"/>
    <xf numFmtId="0" fontId="39" fillId="7" borderId="25" applyNumberFormat="0" applyAlignment="0" applyProtection="0"/>
    <xf numFmtId="0" fontId="39" fillId="7" borderId="25" applyNumberFormat="0" applyAlignment="0" applyProtection="0"/>
    <xf numFmtId="0" fontId="39" fillId="7" borderId="25" applyNumberFormat="0" applyAlignment="0" applyProtection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7" fillId="0" borderId="0" applyFont="0" applyFill="0" applyBorder="0" applyAlignment="0" applyProtection="0"/>
    <xf numFmtId="14" fontId="40" fillId="0" borderId="0" applyFill="0" applyBorder="0" applyAlignment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171" fontId="4" fillId="0" borderId="0" applyFill="0" applyBorder="0" applyAlignment="0"/>
    <xf numFmtId="0" fontId="37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7" fillId="0" borderId="0" applyFill="0" applyBorder="0" applyAlignment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38" fontId="32" fillId="19" borderId="0" applyNumberFormat="0" applyBorder="0" applyAlignment="0" applyProtection="0"/>
    <xf numFmtId="0" fontId="43" fillId="0" borderId="26" applyNumberFormat="0" applyAlignment="0" applyProtection="0">
      <alignment horizontal="left" vertical="center"/>
    </xf>
    <xf numFmtId="0" fontId="43" fillId="0" borderId="23">
      <alignment horizontal="left" vertical="center"/>
    </xf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5" fillId="0" borderId="28" applyNumberFormat="0" applyFill="0" applyAlignment="0" applyProtection="0"/>
    <xf numFmtId="0" fontId="45" fillId="0" borderId="28" applyNumberFormat="0" applyFill="0" applyAlignment="0" applyProtection="0"/>
    <xf numFmtId="0" fontId="45" fillId="0" borderId="28" applyNumberFormat="0" applyFill="0" applyAlignment="0" applyProtection="0"/>
    <xf numFmtId="0" fontId="45" fillId="0" borderId="28" applyNumberFormat="0" applyFill="0" applyAlignment="0" applyProtection="0"/>
    <xf numFmtId="0" fontId="45" fillId="0" borderId="28" applyNumberFormat="0" applyFill="0" applyAlignment="0" applyProtection="0"/>
    <xf numFmtId="0" fontId="45" fillId="0" borderId="28" applyNumberFormat="0" applyFill="0" applyAlignment="0" applyProtection="0"/>
    <xf numFmtId="0" fontId="45" fillId="0" borderId="28" applyNumberFormat="0" applyFill="0" applyAlignment="0" applyProtection="0"/>
    <xf numFmtId="0" fontId="45" fillId="0" borderId="28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0" fontId="32" fillId="20" borderId="30" applyNumberFormat="0" applyBorder="0" applyAlignment="0" applyProtection="0"/>
    <xf numFmtId="0" fontId="47" fillId="11" borderId="24" applyNumberFormat="0" applyAlignment="0" applyProtection="0"/>
    <xf numFmtId="0" fontId="47" fillId="11" borderId="24" applyNumberFormat="0" applyAlignment="0" applyProtection="0"/>
    <xf numFmtId="0" fontId="47" fillId="11" borderId="24" applyNumberFormat="0" applyAlignment="0" applyProtection="0"/>
    <xf numFmtId="0" fontId="47" fillId="11" borderId="24" applyNumberFormat="0" applyAlignment="0" applyProtection="0"/>
    <xf numFmtId="0" fontId="47" fillId="11" borderId="24" applyNumberFormat="0" applyAlignment="0" applyProtection="0"/>
    <xf numFmtId="0" fontId="47" fillId="11" borderId="24" applyNumberFormat="0" applyAlignment="0" applyProtection="0"/>
    <xf numFmtId="0" fontId="47" fillId="11" borderId="24" applyNumberFormat="0" applyAlignment="0" applyProtection="0"/>
    <xf numFmtId="0" fontId="47" fillId="11" borderId="24" applyNumberFormat="0" applyAlignment="0" applyProtection="0"/>
    <xf numFmtId="171" fontId="4" fillId="0" borderId="0" applyFill="0" applyBorder="0" applyAlignment="0"/>
    <xf numFmtId="0" fontId="37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7" fillId="0" borderId="0" applyFill="0" applyBorder="0" applyAlignment="0"/>
    <xf numFmtId="0" fontId="48" fillId="0" borderId="31" applyNumberFormat="0" applyFill="0" applyAlignment="0" applyProtection="0"/>
    <xf numFmtId="0" fontId="48" fillId="0" borderId="31" applyNumberFormat="0" applyFill="0" applyAlignment="0" applyProtection="0"/>
    <xf numFmtId="0" fontId="48" fillId="0" borderId="31" applyNumberFormat="0" applyFill="0" applyAlignment="0" applyProtection="0"/>
    <xf numFmtId="0" fontId="48" fillId="0" borderId="31" applyNumberFormat="0" applyFill="0" applyAlignment="0" applyProtection="0"/>
    <xf numFmtId="0" fontId="48" fillId="0" borderId="31" applyNumberFormat="0" applyFill="0" applyAlignment="0" applyProtection="0"/>
    <xf numFmtId="0" fontId="48" fillId="0" borderId="31" applyNumberFormat="0" applyFill="0" applyAlignment="0" applyProtection="0"/>
    <xf numFmtId="0" fontId="48" fillId="0" borderId="31" applyNumberFormat="0" applyFill="0" applyAlignment="0" applyProtection="0"/>
    <xf numFmtId="0" fontId="48" fillId="0" borderId="31" applyNumberFormat="0" applyFill="0" applyAlignment="0" applyProtection="0"/>
    <xf numFmtId="177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17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32" applyNumberFormat="0" applyFont="0" applyAlignment="0" applyProtection="0"/>
    <xf numFmtId="0" fontId="4" fillId="10" borderId="32" applyNumberFormat="0" applyFont="0" applyAlignment="0" applyProtection="0"/>
    <xf numFmtId="0" fontId="4" fillId="10" borderId="32" applyNumberFormat="0" applyFont="0" applyAlignment="0" applyProtection="0"/>
    <xf numFmtId="0" fontId="4" fillId="10" borderId="32" applyNumberFormat="0" applyFont="0" applyAlignment="0" applyProtection="0"/>
    <xf numFmtId="0" fontId="4" fillId="10" borderId="32" applyNumberFormat="0" applyFont="0" applyAlignment="0" applyProtection="0"/>
    <xf numFmtId="0" fontId="4" fillId="10" borderId="32" applyNumberFormat="0" applyFont="0" applyAlignment="0" applyProtection="0"/>
    <xf numFmtId="0" fontId="4" fillId="10" borderId="32" applyNumberFormat="0" applyFont="0" applyAlignment="0" applyProtection="0"/>
    <xf numFmtId="0" fontId="4" fillId="10" borderId="32" applyNumberFormat="0" applyFont="0" applyAlignment="0" applyProtection="0"/>
    <xf numFmtId="0" fontId="51" fillId="14" borderId="33" applyNumberFormat="0" applyAlignment="0" applyProtection="0"/>
    <xf numFmtId="0" fontId="51" fillId="14" borderId="33" applyNumberFormat="0" applyAlignment="0" applyProtection="0"/>
    <xf numFmtId="0" fontId="51" fillId="14" borderId="33" applyNumberFormat="0" applyAlignment="0" applyProtection="0"/>
    <xf numFmtId="0" fontId="51" fillId="14" borderId="33" applyNumberFormat="0" applyAlignment="0" applyProtection="0"/>
    <xf numFmtId="0" fontId="51" fillId="14" borderId="33" applyNumberFormat="0" applyAlignment="0" applyProtection="0"/>
    <xf numFmtId="0" fontId="51" fillId="14" borderId="33" applyNumberFormat="0" applyAlignment="0" applyProtection="0"/>
    <xf numFmtId="0" fontId="51" fillId="14" borderId="33" applyNumberFormat="0" applyAlignment="0" applyProtection="0"/>
    <xf numFmtId="0" fontId="51" fillId="14" borderId="33" applyNumberFormat="0" applyAlignment="0" applyProtection="0"/>
    <xf numFmtId="0" fontId="4" fillId="0" borderId="0"/>
    <xf numFmtId="17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1" fontId="4" fillId="0" borderId="0" applyFill="0" applyBorder="0" applyAlignment="0"/>
    <xf numFmtId="0" fontId="37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7" fillId="0" borderId="0" applyFill="0" applyBorder="0" applyAlignment="0"/>
    <xf numFmtId="0" fontId="52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9" fontId="40" fillId="0" borderId="0" applyFill="0" applyBorder="0" applyAlignment="0"/>
    <xf numFmtId="181" fontId="4" fillId="0" borderId="0" applyFill="0" applyBorder="0" applyAlignment="0"/>
    <xf numFmtId="182" fontId="4" fillId="0" borderId="0" applyFill="0" applyBorder="0" applyAlignment="0"/>
    <xf numFmtId="0" fontId="41" fillId="0" borderId="34" applyNumberFormat="0" applyFill="0" applyAlignment="0" applyProtection="0"/>
    <xf numFmtId="0" fontId="41" fillId="0" borderId="34" applyNumberFormat="0" applyFill="0" applyAlignment="0" applyProtection="0"/>
    <xf numFmtId="0" fontId="41" fillId="0" borderId="34" applyNumberFormat="0" applyFill="0" applyAlignment="0" applyProtection="0"/>
    <xf numFmtId="0" fontId="41" fillId="0" borderId="34" applyNumberFormat="0" applyFill="0" applyAlignment="0" applyProtection="0"/>
    <xf numFmtId="0" fontId="41" fillId="0" borderId="34" applyNumberFormat="0" applyFill="0" applyAlignment="0" applyProtection="0"/>
    <xf numFmtId="0" fontId="41" fillId="0" borderId="34" applyNumberFormat="0" applyFill="0" applyAlignment="0" applyProtection="0"/>
    <xf numFmtId="0" fontId="41" fillId="0" borderId="34" applyNumberFormat="0" applyFill="0" applyAlignment="0" applyProtection="0"/>
    <xf numFmtId="0" fontId="41" fillId="0" borderId="34" applyNumberFormat="0" applyFill="0" applyAlignment="0" applyProtection="0"/>
    <xf numFmtId="0" fontId="53" fillId="0" borderId="0">
      <alignment vertical="top"/>
    </xf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</cellStyleXfs>
  <cellXfs count="136">
    <xf numFmtId="0" fontId="0" fillId="0" borderId="0" xfId="0"/>
    <xf numFmtId="0" fontId="5" fillId="21" borderId="2" xfId="0" applyFont="1" applyFill="1" applyBorder="1" applyAlignment="1">
      <alignment horizontal="center" vertical="center"/>
    </xf>
    <xf numFmtId="164" fontId="6" fillId="21" borderId="0" xfId="3" applyNumberFormat="1" applyFont="1" applyFill="1" applyBorder="1" applyAlignment="1">
      <alignment horizontal="right"/>
    </xf>
    <xf numFmtId="164" fontId="6" fillId="21" borderId="4" xfId="3" applyNumberFormat="1" applyFont="1" applyFill="1" applyBorder="1" applyAlignment="1">
      <alignment horizontal="right"/>
    </xf>
    <xf numFmtId="0" fontId="25" fillId="21" borderId="1" xfId="0" applyFont="1" applyFill="1" applyBorder="1" applyAlignment="1">
      <alignment horizontal="right"/>
    </xf>
    <xf numFmtId="0" fontId="9" fillId="21" borderId="0" xfId="0" applyFont="1" applyFill="1" applyBorder="1" applyAlignment="1"/>
    <xf numFmtId="0" fontId="21" fillId="21" borderId="0" xfId="0" applyFont="1" applyFill="1" applyBorder="1" applyAlignment="1" applyProtection="1">
      <alignment horizontal="left"/>
    </xf>
    <xf numFmtId="164" fontId="31" fillId="21" borderId="0" xfId="3" applyNumberFormat="1" applyFont="1" applyFill="1" applyAlignment="1">
      <alignment horizontal="right" vertical="center"/>
    </xf>
    <xf numFmtId="164" fontId="23" fillId="21" borderId="0" xfId="3" applyNumberFormat="1" applyFont="1" applyFill="1" applyAlignment="1">
      <alignment horizontal="left" vertical="center" indent="2"/>
    </xf>
    <xf numFmtId="166" fontId="9" fillId="21" borderId="0" xfId="0" applyNumberFormat="1" applyFont="1" applyFill="1" applyBorder="1" applyAlignment="1">
      <alignment vertical="center"/>
    </xf>
    <xf numFmtId="0" fontId="9" fillId="21" borderId="0" xfId="0" applyFont="1" applyFill="1" applyBorder="1"/>
    <xf numFmtId="0" fontId="18" fillId="21" borderId="0" xfId="0" applyFont="1" applyFill="1" applyBorder="1" applyAlignment="1">
      <alignment horizontal="right"/>
    </xf>
    <xf numFmtId="164" fontId="7" fillId="21" borderId="1" xfId="3" applyNumberFormat="1" applyFont="1" applyFill="1" applyBorder="1" applyAlignment="1" applyProtection="1">
      <alignment horizontal="right" vertical="center"/>
    </xf>
    <xf numFmtId="0" fontId="18" fillId="21" borderId="5" xfId="0" applyFont="1" applyFill="1" applyBorder="1" applyAlignment="1"/>
    <xf numFmtId="164" fontId="6" fillId="21" borderId="11" xfId="3" applyNumberFormat="1" applyFont="1" applyFill="1" applyBorder="1" applyAlignment="1">
      <alignment horizontal="right"/>
    </xf>
    <xf numFmtId="164" fontId="6" fillId="21" borderId="5" xfId="3" applyNumberFormat="1" applyFont="1" applyFill="1" applyBorder="1" applyAlignment="1">
      <alignment horizontal="right"/>
    </xf>
    <xf numFmtId="0" fontId="9" fillId="21" borderId="5" xfId="0" applyFont="1" applyFill="1" applyBorder="1" applyAlignment="1"/>
    <xf numFmtId="166" fontId="16" fillId="21" borderId="5" xfId="0" applyNumberFormat="1" applyFont="1" applyFill="1" applyBorder="1" applyAlignment="1">
      <alignment vertical="center"/>
    </xf>
    <xf numFmtId="166" fontId="17" fillId="21" borderId="5" xfId="0" applyNumberFormat="1" applyFont="1" applyFill="1" applyBorder="1" applyAlignment="1">
      <alignment vertical="center"/>
    </xf>
    <xf numFmtId="166" fontId="16" fillId="21" borderId="5" xfId="0" applyNumberFormat="1" applyFont="1" applyFill="1" applyBorder="1" applyAlignment="1"/>
    <xf numFmtId="166" fontId="16" fillId="21" borderId="5" xfId="0" applyNumberFormat="1" applyFont="1" applyFill="1" applyBorder="1"/>
    <xf numFmtId="0" fontId="18" fillId="21" borderId="5" xfId="0" applyFont="1" applyFill="1" applyBorder="1"/>
    <xf numFmtId="0" fontId="9" fillId="21" borderId="5" xfId="0" applyFont="1" applyFill="1" applyBorder="1"/>
    <xf numFmtId="165" fontId="16" fillId="21" borderId="5" xfId="0" applyNumberFormat="1" applyFont="1" applyFill="1" applyBorder="1" applyAlignment="1">
      <alignment vertical="center"/>
    </xf>
    <xf numFmtId="0" fontId="0" fillId="21" borderId="5" xfId="0" applyFill="1" applyBorder="1"/>
    <xf numFmtId="165" fontId="17" fillId="21" borderId="5" xfId="0" applyNumberFormat="1" applyFont="1" applyFill="1" applyBorder="1" applyAlignment="1">
      <alignment vertical="center"/>
    </xf>
    <xf numFmtId="0" fontId="0" fillId="21" borderId="11" xfId="0" applyFill="1" applyBorder="1"/>
    <xf numFmtId="0" fontId="18" fillId="21" borderId="11" xfId="0" applyFont="1" applyFill="1" applyBorder="1"/>
    <xf numFmtId="0" fontId="4" fillId="21" borderId="5" xfId="0" applyFont="1" applyFill="1" applyBorder="1"/>
    <xf numFmtId="0" fontId="1" fillId="21" borderId="5" xfId="0" applyFont="1" applyFill="1" applyBorder="1"/>
    <xf numFmtId="0" fontId="8" fillId="21" borderId="19" xfId="0" applyFont="1" applyFill="1" applyBorder="1"/>
    <xf numFmtId="0" fontId="7" fillId="21" borderId="19" xfId="0" applyFont="1" applyFill="1" applyBorder="1" applyAlignment="1">
      <alignment horizontal="center" vertical="center"/>
    </xf>
    <xf numFmtId="0" fontId="7" fillId="21" borderId="20" xfId="0" applyFont="1" applyFill="1" applyBorder="1" applyAlignment="1">
      <alignment horizontal="center" vertical="center"/>
    </xf>
    <xf numFmtId="0" fontId="6" fillId="21" borderId="19" xfId="0" applyFont="1" applyFill="1" applyBorder="1" applyAlignment="1">
      <alignment horizontal="centerContinuous"/>
    </xf>
    <xf numFmtId="0" fontId="10" fillId="21" borderId="19" xfId="0" applyFont="1" applyFill="1" applyBorder="1" applyAlignment="1">
      <alignment horizontal="centerContinuous"/>
    </xf>
    <xf numFmtId="0" fontId="11" fillId="21" borderId="19" xfId="0" applyFont="1" applyFill="1" applyBorder="1"/>
    <xf numFmtId="0" fontId="4" fillId="21" borderId="19" xfId="0" applyFont="1" applyFill="1" applyBorder="1"/>
    <xf numFmtId="165" fontId="7" fillId="21" borderId="5" xfId="0" applyNumberFormat="1" applyFont="1" applyFill="1" applyBorder="1" applyAlignment="1">
      <alignment vertical="center"/>
    </xf>
    <xf numFmtId="0" fontId="6" fillId="21" borderId="5" xfId="0" applyFont="1" applyFill="1" applyBorder="1" applyAlignment="1">
      <alignment horizontal="centerContinuous"/>
    </xf>
    <xf numFmtId="0" fontId="10" fillId="21" borderId="5" xfId="0" applyFont="1" applyFill="1" applyBorder="1" applyAlignment="1">
      <alignment horizontal="centerContinuous"/>
    </xf>
    <xf numFmtId="164" fontId="13" fillId="21" borderId="5" xfId="3" applyNumberFormat="1" applyFont="1" applyFill="1" applyBorder="1" applyAlignment="1">
      <alignment horizontal="right" vertical="center"/>
    </xf>
    <xf numFmtId="0" fontId="22" fillId="21" borderId="6" xfId="0" applyFont="1" applyFill="1" applyBorder="1" applyAlignment="1">
      <alignment horizontal="right"/>
    </xf>
    <xf numFmtId="43" fontId="7" fillId="21" borderId="21" xfId="1" applyFont="1" applyFill="1" applyBorder="1" applyAlignment="1">
      <alignment horizontal="right"/>
    </xf>
    <xf numFmtId="43" fontId="6" fillId="21" borderId="21" xfId="1" applyFont="1" applyFill="1" applyBorder="1" applyAlignment="1">
      <alignment horizontal="right"/>
    </xf>
    <xf numFmtId="43" fontId="10" fillId="21" borderId="21" xfId="1" applyFont="1" applyFill="1" applyBorder="1" applyAlignment="1">
      <alignment horizontal="right"/>
    </xf>
    <xf numFmtId="0" fontId="11" fillId="21" borderId="21" xfId="0" applyFont="1" applyFill="1" applyBorder="1"/>
    <xf numFmtId="0" fontId="9" fillId="21" borderId="21" xfId="0" applyFont="1" applyFill="1" applyBorder="1"/>
    <xf numFmtId="165" fontId="16" fillId="21" borderId="11" xfId="0" applyNumberFormat="1" applyFont="1" applyFill="1" applyBorder="1" applyAlignment="1">
      <alignment vertical="center"/>
    </xf>
    <xf numFmtId="166" fontId="16" fillId="21" borderId="11" xfId="1" applyNumberFormat="1" applyFont="1" applyFill="1" applyBorder="1" applyAlignment="1">
      <alignment vertical="center"/>
    </xf>
    <xf numFmtId="166" fontId="6" fillId="21" borderId="11" xfId="1" applyNumberFormat="1" applyFont="1" applyFill="1" applyBorder="1" applyAlignment="1"/>
    <xf numFmtId="166" fontId="10" fillId="21" borderId="11" xfId="1" applyNumberFormat="1" applyFont="1" applyFill="1" applyBorder="1" applyAlignment="1"/>
    <xf numFmtId="164" fontId="13" fillId="21" borderId="11" xfId="3" applyNumberFormat="1" applyFont="1" applyFill="1" applyBorder="1" applyAlignment="1">
      <alignment horizontal="right"/>
    </xf>
    <xf numFmtId="0" fontId="9" fillId="21" borderId="11" xfId="0" applyFont="1" applyFill="1" applyBorder="1"/>
    <xf numFmtId="166" fontId="18" fillId="21" borderId="5" xfId="0" applyNumberFormat="1" applyFont="1" applyFill="1" applyBorder="1" applyAlignment="1"/>
    <xf numFmtId="166" fontId="11" fillId="21" borderId="5" xfId="0" applyNumberFormat="1" applyFont="1" applyFill="1" applyBorder="1" applyAlignment="1"/>
    <xf numFmtId="166" fontId="10" fillId="21" borderId="5" xfId="3" applyNumberFormat="1" applyFont="1" applyFill="1" applyBorder="1" applyAlignment="1">
      <alignment horizontal="right" vertical="center"/>
    </xf>
    <xf numFmtId="0" fontId="18" fillId="21" borderId="5" xfId="0" applyFont="1" applyFill="1" applyBorder="1" applyAlignment="1">
      <alignment horizontal="right"/>
    </xf>
    <xf numFmtId="0" fontId="11" fillId="21" borderId="5" xfId="0" applyFont="1" applyFill="1" applyBorder="1"/>
    <xf numFmtId="0" fontId="13" fillId="21" borderId="5" xfId="4" applyFont="1" applyFill="1" applyBorder="1" applyAlignment="1">
      <alignment horizontal="right"/>
    </xf>
    <xf numFmtId="0" fontId="26" fillId="21" borderId="5" xfId="0" applyFont="1" applyFill="1" applyBorder="1" applyAlignment="1">
      <alignment horizontal="right"/>
    </xf>
    <xf numFmtId="0" fontId="27" fillId="21" borderId="5" xfId="0" applyFont="1" applyFill="1" applyBorder="1" applyAlignment="1">
      <alignment horizontal="right"/>
    </xf>
    <xf numFmtId="0" fontId="11" fillId="21" borderId="5" xfId="0" applyFont="1" applyFill="1" applyBorder="1" applyAlignment="1">
      <alignment horizontal="right"/>
    </xf>
    <xf numFmtId="0" fontId="10" fillId="21" borderId="5" xfId="4" applyFont="1" applyFill="1" applyBorder="1" applyAlignment="1">
      <alignment horizontal="right"/>
    </xf>
    <xf numFmtId="166" fontId="18" fillId="21" borderId="5" xfId="0" applyNumberFormat="1" applyFont="1" applyFill="1" applyBorder="1" applyAlignment="1">
      <alignment horizontal="right"/>
    </xf>
    <xf numFmtId="164" fontId="11" fillId="21" borderId="5" xfId="3" applyNumberFormat="1" applyFont="1" applyFill="1" applyBorder="1" applyAlignment="1">
      <alignment horizontal="right"/>
    </xf>
    <xf numFmtId="166" fontId="11" fillId="21" borderId="5" xfId="0" applyNumberFormat="1" applyFont="1" applyFill="1" applyBorder="1" applyAlignment="1">
      <alignment horizontal="right"/>
    </xf>
    <xf numFmtId="166" fontId="17" fillId="21" borderId="5" xfId="1" applyNumberFormat="1" applyFont="1" applyFill="1" applyBorder="1" applyAlignment="1">
      <alignment vertical="center"/>
    </xf>
    <xf numFmtId="0" fontId="11" fillId="21" borderId="5" xfId="0" applyFont="1" applyFill="1" applyBorder="1" applyAlignment="1">
      <alignment horizontal="right" indent="1"/>
    </xf>
    <xf numFmtId="0" fontId="18" fillId="21" borderId="5" xfId="0" applyFont="1" applyFill="1" applyBorder="1" applyAlignment="1">
      <alignment horizontal="right" vertical="center"/>
    </xf>
    <xf numFmtId="0" fontId="11" fillId="21" borderId="5" xfId="0" applyFont="1" applyFill="1" applyBorder="1" applyAlignment="1">
      <alignment horizontal="right" vertical="center"/>
    </xf>
    <xf numFmtId="0" fontId="10" fillId="21" borderId="5" xfId="0" applyFont="1" applyFill="1" applyBorder="1" applyAlignment="1">
      <alignment horizontal="right"/>
    </xf>
    <xf numFmtId="166" fontId="6" fillId="21" borderId="5" xfId="1" applyNumberFormat="1" applyFont="1" applyFill="1" applyBorder="1" applyAlignment="1"/>
    <xf numFmtId="166" fontId="11" fillId="21" borderId="5" xfId="1" applyNumberFormat="1" applyFont="1" applyFill="1" applyBorder="1" applyAlignment="1">
      <alignment horizontal="right" vertical="center"/>
    </xf>
    <xf numFmtId="164" fontId="10" fillId="21" borderId="5" xfId="3" applyNumberFormat="1" applyFont="1" applyFill="1" applyBorder="1" applyAlignment="1">
      <alignment horizontal="right"/>
    </xf>
    <xf numFmtId="164" fontId="11" fillId="21" borderId="5" xfId="3" applyNumberFormat="1" applyFont="1" applyFill="1" applyBorder="1" applyAlignment="1">
      <alignment horizontal="right" vertical="center"/>
    </xf>
    <xf numFmtId="164" fontId="27" fillId="21" borderId="5" xfId="3" applyNumberFormat="1" applyFont="1" applyFill="1" applyBorder="1" applyAlignment="1">
      <alignment horizontal="right" vertical="center"/>
    </xf>
    <xf numFmtId="164" fontId="19" fillId="21" borderId="5" xfId="3" applyNumberFormat="1" applyFont="1" applyFill="1" applyBorder="1" applyAlignment="1">
      <alignment horizontal="right" vertical="center"/>
    </xf>
    <xf numFmtId="164" fontId="10" fillId="21" borderId="5" xfId="3" applyNumberFormat="1" applyFont="1" applyFill="1" applyBorder="1" applyAlignment="1">
      <alignment horizontal="right" vertical="center"/>
    </xf>
    <xf numFmtId="164" fontId="13" fillId="21" borderId="5" xfId="3" applyNumberFormat="1" applyFont="1" applyFill="1" applyBorder="1" applyAlignment="1">
      <alignment horizontal="right"/>
    </xf>
    <xf numFmtId="0" fontId="26" fillId="21" borderId="5" xfId="0" applyFont="1" applyFill="1" applyBorder="1" applyAlignment="1">
      <alignment horizontal="right" vertical="center"/>
    </xf>
    <xf numFmtId="0" fontId="27" fillId="21" borderId="5" xfId="0" applyFont="1" applyFill="1" applyBorder="1" applyAlignment="1">
      <alignment horizontal="right" vertical="center"/>
    </xf>
    <xf numFmtId="0" fontId="17" fillId="21" borderId="5" xfId="0" applyFont="1" applyFill="1" applyBorder="1"/>
    <xf numFmtId="166" fontId="16" fillId="21" borderId="5" xfId="1" applyNumberFormat="1" applyFont="1" applyFill="1" applyBorder="1" applyAlignment="1">
      <alignment vertical="center"/>
    </xf>
    <xf numFmtId="0" fontId="18" fillId="21" borderId="5" xfId="4" applyFont="1" applyFill="1" applyBorder="1" applyAlignment="1">
      <alignment horizontal="right"/>
    </xf>
    <xf numFmtId="166" fontId="18" fillId="21" borderId="5" xfId="0" applyNumberFormat="1" applyFont="1" applyFill="1" applyBorder="1" applyAlignment="1">
      <alignment vertical="center"/>
    </xf>
    <xf numFmtId="166" fontId="11" fillId="21" borderId="5" xfId="0" applyNumberFormat="1" applyFont="1" applyFill="1" applyBorder="1" applyAlignment="1">
      <alignment horizontal="right" vertical="center"/>
    </xf>
    <xf numFmtId="167" fontId="20" fillId="21" borderId="5" xfId="1" applyNumberFormat="1" applyFont="1" applyFill="1" applyBorder="1" applyAlignment="1" applyProtection="1">
      <alignment vertical="center"/>
    </xf>
    <xf numFmtId="165" fontId="17" fillId="21" borderId="5" xfId="0" applyNumberFormat="1" applyFont="1" applyFill="1" applyBorder="1"/>
    <xf numFmtId="165" fontId="17" fillId="21" borderId="5" xfId="2" applyNumberFormat="1" applyFont="1" applyFill="1" applyBorder="1"/>
    <xf numFmtId="0" fontId="17" fillId="21" borderId="6" xfId="0" applyFont="1" applyFill="1" applyBorder="1"/>
    <xf numFmtId="165" fontId="17" fillId="21" borderId="6" xfId="0" applyNumberFormat="1" applyFont="1" applyFill="1" applyBorder="1"/>
    <xf numFmtId="165" fontId="17" fillId="21" borderId="6" xfId="2" applyNumberFormat="1" applyFont="1" applyFill="1" applyBorder="1"/>
    <xf numFmtId="0" fontId="18" fillId="21" borderId="6" xfId="0" applyFont="1" applyFill="1" applyBorder="1"/>
    <xf numFmtId="0" fontId="24" fillId="21" borderId="6" xfId="0" applyFont="1" applyFill="1" applyBorder="1" applyAlignment="1">
      <alignment horizontal="right"/>
    </xf>
    <xf numFmtId="166" fontId="11" fillId="21" borderId="6" xfId="3" applyNumberFormat="1" applyFont="1" applyFill="1" applyBorder="1" applyAlignment="1">
      <alignment horizontal="right" vertical="center"/>
    </xf>
    <xf numFmtId="0" fontId="20" fillId="21" borderId="11" xfId="0" applyFont="1" applyFill="1" applyBorder="1"/>
    <xf numFmtId="165" fontId="17" fillId="21" borderId="11" xfId="0" applyNumberFormat="1" applyFont="1" applyFill="1" applyBorder="1"/>
    <xf numFmtId="0" fontId="24" fillId="21" borderId="11" xfId="0" applyFont="1" applyFill="1" applyBorder="1" applyAlignment="1">
      <alignment horizontal="right"/>
    </xf>
    <xf numFmtId="164" fontId="30" fillId="21" borderId="11" xfId="3" applyNumberFormat="1" applyFont="1" applyFill="1" applyBorder="1" applyAlignment="1">
      <alignment horizontal="right" vertical="center"/>
    </xf>
    <xf numFmtId="166" fontId="17" fillId="21" borderId="5" xfId="0" applyNumberFormat="1" applyFont="1" applyFill="1" applyBorder="1"/>
    <xf numFmtId="0" fontId="19" fillId="21" borderId="5" xfId="4" applyFont="1" applyFill="1" applyBorder="1" applyAlignment="1">
      <alignment horizontal="right"/>
    </xf>
    <xf numFmtId="166" fontId="17" fillId="21" borderId="6" xfId="0" applyNumberFormat="1" applyFont="1" applyFill="1" applyBorder="1" applyAlignment="1">
      <alignment vertical="center"/>
    </xf>
    <xf numFmtId="0" fontId="18" fillId="21" borderId="6" xfId="0" applyFont="1" applyFill="1" applyBorder="1" applyAlignment="1">
      <alignment horizontal="right"/>
    </xf>
    <xf numFmtId="0" fontId="19" fillId="21" borderId="6" xfId="4" applyFont="1" applyFill="1" applyBorder="1" applyAlignment="1">
      <alignment horizontal="right"/>
    </xf>
    <xf numFmtId="0" fontId="11" fillId="21" borderId="6" xfId="0" applyFont="1" applyFill="1" applyBorder="1" applyAlignment="1">
      <alignment horizontal="right"/>
    </xf>
    <xf numFmtId="0" fontId="9" fillId="21" borderId="10" xfId="0" applyFont="1" applyFill="1" applyBorder="1"/>
    <xf numFmtId="0" fontId="19" fillId="21" borderId="0" xfId="4" applyFont="1" applyFill="1" applyBorder="1" applyAlignment="1">
      <alignment horizontal="right"/>
    </xf>
    <xf numFmtId="0" fontId="9" fillId="21" borderId="15" xfId="0" applyFont="1" applyFill="1" applyBorder="1"/>
    <xf numFmtId="0" fontId="0" fillId="21" borderId="10" xfId="0" applyFill="1" applyBorder="1"/>
    <xf numFmtId="0" fontId="11" fillId="21" borderId="0" xfId="0" applyFont="1" applyFill="1" applyBorder="1" applyAlignment="1">
      <alignment vertical="top" wrapText="1"/>
    </xf>
    <xf numFmtId="0" fontId="18" fillId="21" borderId="22" xfId="0" applyFont="1" applyFill="1" applyBorder="1"/>
    <xf numFmtId="164" fontId="11" fillId="21" borderId="11" xfId="3" applyNumberFormat="1" applyFont="1" applyFill="1" applyBorder="1" applyAlignment="1">
      <alignment vertical="center"/>
    </xf>
    <xf numFmtId="164" fontId="11" fillId="21" borderId="8" xfId="3" applyNumberFormat="1" applyFont="1" applyFill="1" applyBorder="1" applyAlignment="1">
      <alignment vertical="center" wrapText="1"/>
    </xf>
    <xf numFmtId="164" fontId="11" fillId="21" borderId="9" xfId="3" applyNumberFormat="1" applyFont="1" applyFill="1" applyBorder="1" applyAlignment="1">
      <alignment vertical="center" wrapText="1"/>
    </xf>
    <xf numFmtId="166" fontId="9" fillId="21" borderId="12" xfId="0" applyNumberFormat="1" applyFont="1" applyFill="1" applyBorder="1" applyAlignment="1"/>
    <xf numFmtId="0" fontId="24" fillId="21" borderId="5" xfId="0" applyFont="1" applyFill="1" applyBorder="1"/>
    <xf numFmtId="0" fontId="9" fillId="21" borderId="15" xfId="0" applyFont="1" applyFill="1" applyBorder="1" applyAlignment="1"/>
    <xf numFmtId="0" fontId="9" fillId="21" borderId="14" xfId="0" applyFont="1" applyFill="1" applyBorder="1" applyAlignment="1"/>
    <xf numFmtId="0" fontId="9" fillId="21" borderId="22" xfId="0" applyFont="1" applyFill="1" applyBorder="1" applyAlignment="1"/>
    <xf numFmtId="0" fontId="5" fillId="21" borderId="3" xfId="0" applyFont="1" applyFill="1" applyBorder="1" applyAlignment="1">
      <alignment horizontal="center" vertical="center"/>
    </xf>
    <xf numFmtId="164" fontId="11" fillId="21" borderId="0" xfId="3" applyNumberFormat="1" applyFont="1" applyFill="1" applyBorder="1" applyAlignment="1">
      <alignment horizontal="right" vertical="center" readingOrder="2"/>
    </xf>
    <xf numFmtId="164" fontId="11" fillId="21" borderId="14" xfId="3" applyNumberFormat="1" applyFont="1" applyFill="1" applyBorder="1" applyAlignment="1">
      <alignment horizontal="right" vertical="center" wrapText="1"/>
    </xf>
    <xf numFmtId="164" fontId="3" fillId="21" borderId="7" xfId="3" applyNumberFormat="1" applyFont="1" applyFill="1" applyBorder="1" applyAlignment="1">
      <alignment horizontal="center" vertical="center" readingOrder="2"/>
    </xf>
    <xf numFmtId="164" fontId="3" fillId="21" borderId="8" xfId="3" applyNumberFormat="1" applyFont="1" applyFill="1" applyBorder="1" applyAlignment="1">
      <alignment horizontal="center" vertical="center" readingOrder="2"/>
    </xf>
    <xf numFmtId="164" fontId="3" fillId="21" borderId="9" xfId="3" applyNumberFormat="1" applyFont="1" applyFill="1" applyBorder="1" applyAlignment="1">
      <alignment horizontal="center" vertical="center" readingOrder="2"/>
    </xf>
    <xf numFmtId="164" fontId="16" fillId="21" borderId="7" xfId="3" applyNumberFormat="1" applyFont="1" applyFill="1" applyBorder="1" applyAlignment="1" applyProtection="1">
      <alignment horizontal="center" vertical="center"/>
    </xf>
    <xf numFmtId="164" fontId="16" fillId="21" borderId="8" xfId="3" applyNumberFormat="1" applyFont="1" applyFill="1" applyBorder="1" applyAlignment="1" applyProtection="1">
      <alignment horizontal="center" vertical="center"/>
    </xf>
    <xf numFmtId="164" fontId="16" fillId="21" borderId="9" xfId="3" applyNumberFormat="1" applyFont="1" applyFill="1" applyBorder="1" applyAlignment="1" applyProtection="1">
      <alignment horizontal="center" vertical="center"/>
    </xf>
    <xf numFmtId="0" fontId="6" fillId="21" borderId="7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1" borderId="9" xfId="0" applyFont="1" applyFill="1" applyBorder="1" applyAlignment="1">
      <alignment horizontal="center"/>
    </xf>
    <xf numFmtId="164" fontId="11" fillId="21" borderId="13" xfId="3" applyNumberFormat="1" applyFont="1" applyFill="1" applyBorder="1" applyAlignment="1">
      <alignment horizontal="right" vertical="center" wrapText="1"/>
    </xf>
    <xf numFmtId="0" fontId="8" fillId="21" borderId="16" xfId="0" applyFont="1" applyFill="1" applyBorder="1" applyAlignment="1">
      <alignment horizontal="center"/>
    </xf>
    <xf numFmtId="0" fontId="8" fillId="21" borderId="17" xfId="0" applyFont="1" applyFill="1" applyBorder="1" applyAlignment="1">
      <alignment horizontal="center"/>
    </xf>
    <xf numFmtId="0" fontId="8" fillId="21" borderId="18" xfId="0" applyFont="1" applyFill="1" applyBorder="1" applyAlignment="1">
      <alignment horizontal="center"/>
    </xf>
    <xf numFmtId="0" fontId="7" fillId="21" borderId="20" xfId="0" applyFont="1" applyFill="1" applyBorder="1" applyAlignment="1">
      <alignment horizontal="center" vertical="center"/>
    </xf>
  </cellXfs>
  <cellStyles count="300">
    <cellStyle name="1" xfId="5"/>
    <cellStyle name="1_1" xfId="6"/>
    <cellStyle name="1_16" xfId="7"/>
    <cellStyle name="1_92-2000" xfId="8"/>
    <cellStyle name="1_Book2" xfId="9"/>
    <cellStyle name="1_Book3" xfId="10"/>
    <cellStyle name="1_Book4" xfId="11"/>
    <cellStyle name="1_monthly series 89-99" xfId="12"/>
    <cellStyle name="1_tab-2000" xfId="13"/>
    <cellStyle name="Accent1 - 20%" xfId="14"/>
    <cellStyle name="Accent1 - 40%" xfId="15"/>
    <cellStyle name="Accent1 - 60%" xfId="16"/>
    <cellStyle name="Accent1 2" xfId="17"/>
    <cellStyle name="Accent1 3" xfId="18"/>
    <cellStyle name="Accent1 4" xfId="19"/>
    <cellStyle name="Accent1 5" xfId="20"/>
    <cellStyle name="Accent1 6" xfId="21"/>
    <cellStyle name="Accent1 7" xfId="22"/>
    <cellStyle name="Accent1 8" xfId="23"/>
    <cellStyle name="Accent1 9" xfId="24"/>
    <cellStyle name="Accent2 - 20%" xfId="25"/>
    <cellStyle name="Accent2 - 40%" xfId="26"/>
    <cellStyle name="Accent2 - 60%" xfId="27"/>
    <cellStyle name="Accent2 2" xfId="28"/>
    <cellStyle name="Accent2 3" xfId="29"/>
    <cellStyle name="Accent2 4" xfId="30"/>
    <cellStyle name="Accent2 5" xfId="31"/>
    <cellStyle name="Accent2 6" xfId="32"/>
    <cellStyle name="Accent2 7" xfId="33"/>
    <cellStyle name="Accent2 8" xfId="34"/>
    <cellStyle name="Accent2 9" xfId="35"/>
    <cellStyle name="Accent3 - 20%" xfId="36"/>
    <cellStyle name="Accent3 - 40%" xfId="37"/>
    <cellStyle name="Accent3 - 60%" xfId="38"/>
    <cellStyle name="Accent3 2" xfId="39"/>
    <cellStyle name="Accent3 3" xfId="40"/>
    <cellStyle name="Accent3 4" xfId="41"/>
    <cellStyle name="Accent3 5" xfId="42"/>
    <cellStyle name="Accent3 6" xfId="43"/>
    <cellStyle name="Accent3 7" xfId="44"/>
    <cellStyle name="Accent3 8" xfId="45"/>
    <cellStyle name="Accent3 9" xfId="46"/>
    <cellStyle name="Accent4 - 20%" xfId="47"/>
    <cellStyle name="Accent4 - 40%" xfId="48"/>
    <cellStyle name="Accent4 - 60%" xfId="49"/>
    <cellStyle name="Accent4 2" xfId="50"/>
    <cellStyle name="Accent4 3" xfId="51"/>
    <cellStyle name="Accent4 4" xfId="52"/>
    <cellStyle name="Accent4 5" xfId="53"/>
    <cellStyle name="Accent4 6" xfId="54"/>
    <cellStyle name="Accent4 7" xfId="55"/>
    <cellStyle name="Accent4 8" xfId="56"/>
    <cellStyle name="Accent4 9" xfId="57"/>
    <cellStyle name="Accent5 - 20%" xfId="58"/>
    <cellStyle name="Accent5 - 40%" xfId="59"/>
    <cellStyle name="Accent5 - 60%" xfId="60"/>
    <cellStyle name="Accent5 2" xfId="61"/>
    <cellStyle name="Accent5 3" xfId="62"/>
    <cellStyle name="Accent5 4" xfId="63"/>
    <cellStyle name="Accent5 5" xfId="64"/>
    <cellStyle name="Accent5 6" xfId="65"/>
    <cellStyle name="Accent5 7" xfId="66"/>
    <cellStyle name="Accent5 8" xfId="67"/>
    <cellStyle name="Accent5 9" xfId="68"/>
    <cellStyle name="Accent6 - 20%" xfId="69"/>
    <cellStyle name="Accent6 - 40%" xfId="70"/>
    <cellStyle name="Accent6 - 60%" xfId="71"/>
    <cellStyle name="Accent6 2" xfId="72"/>
    <cellStyle name="Accent6 3" xfId="73"/>
    <cellStyle name="Accent6 4" xfId="74"/>
    <cellStyle name="Accent6 5" xfId="75"/>
    <cellStyle name="Accent6 6" xfId="76"/>
    <cellStyle name="Accent6 7" xfId="77"/>
    <cellStyle name="Accent6 8" xfId="78"/>
    <cellStyle name="Accent6 9" xfId="79"/>
    <cellStyle name="AutoFormat Options" xfId="80"/>
    <cellStyle name="Bad 2" xfId="81"/>
    <cellStyle name="Bad 3" xfId="82"/>
    <cellStyle name="Bad 4" xfId="83"/>
    <cellStyle name="Bad 5" xfId="84"/>
    <cellStyle name="Bad 6" xfId="85"/>
    <cellStyle name="Bad 7" xfId="86"/>
    <cellStyle name="Bad 8" xfId="87"/>
    <cellStyle name="Bad 9" xfId="88"/>
    <cellStyle name="Calc C - Style1" xfId="89"/>
    <cellStyle name="Calc C - Style2" xfId="90"/>
    <cellStyle name="Calc C - Style3" xfId="91"/>
    <cellStyle name="Calc C - Style4" xfId="92"/>
    <cellStyle name="Calc C - Style5" xfId="93"/>
    <cellStyle name="Calc C - Style6" xfId="94"/>
    <cellStyle name="Calc C - Style7" xfId="95"/>
    <cellStyle name="Calc C - Style8" xfId="96"/>
    <cellStyle name="Calc Currency (0)" xfId="97"/>
    <cellStyle name="Calc Currency (2)" xfId="98"/>
    <cellStyle name="Calc Percent (0)" xfId="99"/>
    <cellStyle name="Calc Percent (1)" xfId="100"/>
    <cellStyle name="Calc Percent (2)" xfId="101"/>
    <cellStyle name="Calc Units (0)" xfId="102"/>
    <cellStyle name="Calc Units (1)" xfId="103"/>
    <cellStyle name="Calc Units (2)" xfId="104"/>
    <cellStyle name="Calculation 2" xfId="105"/>
    <cellStyle name="Calculation 3" xfId="106"/>
    <cellStyle name="Calculation 4" xfId="107"/>
    <cellStyle name="Calculation 5" xfId="108"/>
    <cellStyle name="Calculation 6" xfId="109"/>
    <cellStyle name="Calculation 7" xfId="110"/>
    <cellStyle name="Calculation 8" xfId="111"/>
    <cellStyle name="Calculation 9" xfId="112"/>
    <cellStyle name="Change A&amp;ll" xfId="113"/>
    <cellStyle name="Check Cell 2" xfId="114"/>
    <cellStyle name="Check Cell 3" xfId="115"/>
    <cellStyle name="Check Cell 4" xfId="116"/>
    <cellStyle name="Check Cell 5" xfId="117"/>
    <cellStyle name="Check Cell 6" xfId="118"/>
    <cellStyle name="Check Cell 7" xfId="119"/>
    <cellStyle name="Check Cell 8" xfId="120"/>
    <cellStyle name="Check Cell 9" xfId="121"/>
    <cellStyle name="Comma" xfId="1" builtinId="3"/>
    <cellStyle name="Comma  - Style1" xfId="122"/>
    <cellStyle name="Comma  - Style2" xfId="123"/>
    <cellStyle name="Comma  - Style3" xfId="124"/>
    <cellStyle name="Comma  - Style4" xfId="125"/>
    <cellStyle name="Comma  - Style5" xfId="126"/>
    <cellStyle name="Comma  - Style6" xfId="127"/>
    <cellStyle name="Comma  - Style7" xfId="128"/>
    <cellStyle name="Comma  - Style8" xfId="129"/>
    <cellStyle name="Comma [00]" xfId="130"/>
    <cellStyle name="Comma 10" xfId="131"/>
    <cellStyle name="Comma 2" xfId="132"/>
    <cellStyle name="Comma 2 2" xfId="133"/>
    <cellStyle name="Comma 2 3" xfId="134"/>
    <cellStyle name="Comma 3" xfId="135"/>
    <cellStyle name="Comma 3 2" xfId="136"/>
    <cellStyle name="Comma 3 3" xfId="137"/>
    <cellStyle name="Comma 3 4" xfId="138"/>
    <cellStyle name="Comma 3 5" xfId="139"/>
    <cellStyle name="Comma 3 6" xfId="140"/>
    <cellStyle name="Comma 3 7" xfId="141"/>
    <cellStyle name="Comma 3 8" xfId="142"/>
    <cellStyle name="Currency [00]" xfId="143"/>
    <cellStyle name="Date Short" xfId="144"/>
    <cellStyle name="Emphasis 1" xfId="145"/>
    <cellStyle name="Emphasis 2" xfId="146"/>
    <cellStyle name="Emphasis 3" xfId="147"/>
    <cellStyle name="Enter Currency (0)" xfId="148"/>
    <cellStyle name="Enter Currency (2)" xfId="149"/>
    <cellStyle name="Enter Units (0)" xfId="150"/>
    <cellStyle name="Enter Units (1)" xfId="151"/>
    <cellStyle name="Enter Units (2)" xfId="152"/>
    <cellStyle name="Good 2" xfId="153"/>
    <cellStyle name="Good 3" xfId="154"/>
    <cellStyle name="Good 4" xfId="155"/>
    <cellStyle name="Good 5" xfId="156"/>
    <cellStyle name="Good 6" xfId="157"/>
    <cellStyle name="Good 7" xfId="158"/>
    <cellStyle name="Good 8" xfId="159"/>
    <cellStyle name="Good 9" xfId="160"/>
    <cellStyle name="Grey" xfId="161"/>
    <cellStyle name="Header1" xfId="162"/>
    <cellStyle name="Header2" xfId="163"/>
    <cellStyle name="Heading 1 2" xfId="164"/>
    <cellStyle name="Heading 1 3" xfId="165"/>
    <cellStyle name="Heading 1 4" xfId="166"/>
    <cellStyle name="Heading 1 5" xfId="167"/>
    <cellStyle name="Heading 1 6" xfId="168"/>
    <cellStyle name="Heading 1 7" xfId="169"/>
    <cellStyle name="Heading 1 8" xfId="170"/>
    <cellStyle name="Heading 1 9" xfId="171"/>
    <cellStyle name="Heading 2 2" xfId="172"/>
    <cellStyle name="Heading 2 3" xfId="173"/>
    <cellStyle name="Heading 2 4" xfId="174"/>
    <cellStyle name="Heading 2 5" xfId="175"/>
    <cellStyle name="Heading 2 6" xfId="176"/>
    <cellStyle name="Heading 2 7" xfId="177"/>
    <cellStyle name="Heading 2 8" xfId="178"/>
    <cellStyle name="Heading 2 9" xfId="179"/>
    <cellStyle name="Heading 3 2" xfId="180"/>
    <cellStyle name="Heading 3 3" xfId="181"/>
    <cellStyle name="Heading 3 4" xfId="182"/>
    <cellStyle name="Heading 3 5" xfId="183"/>
    <cellStyle name="Heading 3 6" xfId="184"/>
    <cellStyle name="Heading 3 7" xfId="185"/>
    <cellStyle name="Heading 3 8" xfId="186"/>
    <cellStyle name="Heading 3 9" xfId="187"/>
    <cellStyle name="Heading 4 2" xfId="188"/>
    <cellStyle name="Heading 4 3" xfId="189"/>
    <cellStyle name="Heading 4 4" xfId="190"/>
    <cellStyle name="Heading 4 5" xfId="191"/>
    <cellStyle name="Heading 4 6" xfId="192"/>
    <cellStyle name="Heading 4 7" xfId="193"/>
    <cellStyle name="Heading 4 8" xfId="194"/>
    <cellStyle name="Heading 4 9" xfId="195"/>
    <cellStyle name="Input [yellow]" xfId="196"/>
    <cellStyle name="Input 2" xfId="197"/>
    <cellStyle name="Input 3" xfId="198"/>
    <cellStyle name="Input 4" xfId="199"/>
    <cellStyle name="Input 5" xfId="200"/>
    <cellStyle name="Input 6" xfId="201"/>
    <cellStyle name="Input 7" xfId="202"/>
    <cellStyle name="Input 8" xfId="203"/>
    <cellStyle name="Input 9" xfId="204"/>
    <cellStyle name="Link Currency (0)" xfId="205"/>
    <cellStyle name="Link Currency (2)" xfId="206"/>
    <cellStyle name="Link Units (0)" xfId="207"/>
    <cellStyle name="Link Units (1)" xfId="208"/>
    <cellStyle name="Link Units (2)" xfId="209"/>
    <cellStyle name="Linked Cell 2" xfId="210"/>
    <cellStyle name="Linked Cell 3" xfId="211"/>
    <cellStyle name="Linked Cell 4" xfId="212"/>
    <cellStyle name="Linked Cell 5" xfId="213"/>
    <cellStyle name="Linked Cell 6" xfId="214"/>
    <cellStyle name="Linked Cell 7" xfId="215"/>
    <cellStyle name="Linked Cell 8" xfId="216"/>
    <cellStyle name="Linked Cell 9" xfId="217"/>
    <cellStyle name="Milliers [0]_VERA" xfId="218"/>
    <cellStyle name="Milliers_VERA" xfId="219"/>
    <cellStyle name="Monétaire [0]_VERA" xfId="220"/>
    <cellStyle name="Monétaire_VERA" xfId="221"/>
    <cellStyle name="Neutral 2" xfId="222"/>
    <cellStyle name="Neutral 3" xfId="223"/>
    <cellStyle name="Neutral 4" xfId="224"/>
    <cellStyle name="Neutral 5" xfId="225"/>
    <cellStyle name="Neutral 6" xfId="226"/>
    <cellStyle name="Neutral 7" xfId="227"/>
    <cellStyle name="Neutral 8" xfId="228"/>
    <cellStyle name="Neutral 9" xfId="229"/>
    <cellStyle name="Normal" xfId="0" builtinId="0"/>
    <cellStyle name="Normal - Style1" xfId="230"/>
    <cellStyle name="Normal 14" xfId="4"/>
    <cellStyle name="Normal 2" xfId="231"/>
    <cellStyle name="Normal 2 2" xfId="232"/>
    <cellStyle name="Normal 3" xfId="233"/>
    <cellStyle name="Normal 5" xfId="234"/>
    <cellStyle name="Normal 6" xfId="235"/>
    <cellStyle name="Normal 7" xfId="236"/>
    <cellStyle name="Normal 8" xfId="237"/>
    <cellStyle name="Normal 9" xfId="238"/>
    <cellStyle name="Normal_Finance - XI" xfId="3"/>
    <cellStyle name="Note 2" xfId="239"/>
    <cellStyle name="Note 3" xfId="240"/>
    <cellStyle name="Note 4" xfId="241"/>
    <cellStyle name="Note 5" xfId="242"/>
    <cellStyle name="Note 6" xfId="243"/>
    <cellStyle name="Note 7" xfId="244"/>
    <cellStyle name="Note 8" xfId="245"/>
    <cellStyle name="Note 9" xfId="246"/>
    <cellStyle name="Output 2" xfId="247"/>
    <cellStyle name="Output 3" xfId="248"/>
    <cellStyle name="Output 4" xfId="249"/>
    <cellStyle name="Output 5" xfId="250"/>
    <cellStyle name="Output 6" xfId="251"/>
    <cellStyle name="Output 7" xfId="252"/>
    <cellStyle name="Output 8" xfId="253"/>
    <cellStyle name="Output 9" xfId="254"/>
    <cellStyle name="Pattern" xfId="255"/>
    <cellStyle name="Percent" xfId="2" builtinId="5"/>
    <cellStyle name="Percent [0]" xfId="256"/>
    <cellStyle name="Percent [00]" xfId="257"/>
    <cellStyle name="Percent [2]" xfId="258"/>
    <cellStyle name="Percent 2" xfId="259"/>
    <cellStyle name="Percent 2 2" xfId="260"/>
    <cellStyle name="Percent 2 3" xfId="261"/>
    <cellStyle name="Percent 3 2" xfId="262"/>
    <cellStyle name="Percent 3 3" xfId="263"/>
    <cellStyle name="Percent 3 4" xfId="264"/>
    <cellStyle name="Percent 3 5" xfId="265"/>
    <cellStyle name="Percent 3 6" xfId="266"/>
    <cellStyle name="Percent 3 7" xfId="267"/>
    <cellStyle name="Percent 3 8" xfId="268"/>
    <cellStyle name="PrePop Currency (0)" xfId="269"/>
    <cellStyle name="PrePop Currency (2)" xfId="270"/>
    <cellStyle name="PrePop Units (0)" xfId="271"/>
    <cellStyle name="PrePop Units (1)" xfId="272"/>
    <cellStyle name="PrePop Units (2)" xfId="273"/>
    <cellStyle name="Sheet Title" xfId="274"/>
    <cellStyle name="STYL1 - Style1" xfId="275"/>
    <cellStyle name="STYL2 - Style2" xfId="276"/>
    <cellStyle name="STYL3 - Style3" xfId="277"/>
    <cellStyle name="STYL4 - Style4" xfId="278"/>
    <cellStyle name="STYL5 - Style5" xfId="279"/>
    <cellStyle name="Text Indent A" xfId="280"/>
    <cellStyle name="Text Indent B" xfId="281"/>
    <cellStyle name="Text Indent C" xfId="282"/>
    <cellStyle name="Total 2" xfId="283"/>
    <cellStyle name="Total 3" xfId="284"/>
    <cellStyle name="Total 4" xfId="285"/>
    <cellStyle name="Total 5" xfId="286"/>
    <cellStyle name="Total 6" xfId="287"/>
    <cellStyle name="Total 7" xfId="288"/>
    <cellStyle name="Total 8" xfId="289"/>
    <cellStyle name="Total 9" xfId="290"/>
    <cellStyle name="Update" xfId="291"/>
    <cellStyle name="Warning Text 2" xfId="292"/>
    <cellStyle name="Warning Text 3" xfId="293"/>
    <cellStyle name="Warning Text 4" xfId="294"/>
    <cellStyle name="Warning Text 5" xfId="295"/>
    <cellStyle name="Warning Text 6" xfId="296"/>
    <cellStyle name="Warning Text 7" xfId="297"/>
    <cellStyle name="Warning Text 8" xfId="298"/>
    <cellStyle name="Warning Text 9" xfId="29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29"/>
  <sheetViews>
    <sheetView tabSelected="1" workbookViewId="0">
      <selection sqref="A1:Z55"/>
    </sheetView>
  </sheetViews>
  <sheetFormatPr defaultColWidth="9.140625" defaultRowHeight="18.75" x14ac:dyDescent="0.5"/>
  <cols>
    <col min="1" max="1" width="35" style="24" customWidth="1"/>
    <col min="2" max="2" width="2.7109375" style="24" customWidth="1"/>
    <col min="3" max="6" width="10.7109375" style="24" customWidth="1"/>
    <col min="7" max="7" width="1.85546875" style="24" customWidth="1"/>
    <col min="8" max="11" width="10.7109375" style="24" customWidth="1"/>
    <col min="12" max="12" width="1.85546875" style="24" customWidth="1"/>
    <col min="13" max="16" width="10.7109375" style="24" customWidth="1"/>
    <col min="17" max="17" width="1.85546875" style="24" customWidth="1"/>
    <col min="18" max="21" width="10.7109375" style="24" customWidth="1"/>
    <col min="22" max="22" width="35.42578125" style="24" customWidth="1"/>
    <col min="23" max="23" width="4.28515625" style="24" customWidth="1"/>
    <col min="24" max="24" width="3.7109375" style="115" customWidth="1"/>
    <col min="25" max="25" width="3.5703125" style="115" customWidth="1"/>
    <col min="26" max="26" width="2.7109375" style="24" customWidth="1"/>
    <col min="27" max="16384" width="9.140625" style="24"/>
  </cols>
  <sheetData>
    <row r="1" spans="1:26" ht="21.75" x14ac:dyDescent="0.25">
      <c r="A1" s="122" t="s">
        <v>94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4"/>
    </row>
    <row r="2" spans="1:26" s="29" customFormat="1" ht="15" x14ac:dyDescent="0.25">
      <c r="A2" s="125" t="s">
        <v>95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7"/>
    </row>
    <row r="3" spans="1:26" ht="17.25" x14ac:dyDescent="0.4">
      <c r="A3" s="128" t="s">
        <v>0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30"/>
    </row>
    <row r="4" spans="1:26" ht="15" x14ac:dyDescent="0.25">
      <c r="A4" s="132" t="s">
        <v>1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4"/>
    </row>
    <row r="5" spans="1:26" ht="18" x14ac:dyDescent="0.45">
      <c r="A5" s="30"/>
      <c r="B5" s="31"/>
      <c r="C5" s="119" t="s">
        <v>93</v>
      </c>
      <c r="D5" s="119"/>
      <c r="E5" s="119"/>
      <c r="F5" s="119"/>
      <c r="G5" s="32"/>
      <c r="H5" s="119" t="s">
        <v>91</v>
      </c>
      <c r="I5" s="119"/>
      <c r="J5" s="119"/>
      <c r="K5" s="119"/>
      <c r="L5" s="1"/>
      <c r="M5" s="119" t="s">
        <v>92</v>
      </c>
      <c r="N5" s="119"/>
      <c r="O5" s="119"/>
      <c r="P5" s="119"/>
      <c r="Q5" s="32"/>
      <c r="R5" s="135">
        <v>2014</v>
      </c>
      <c r="S5" s="135"/>
      <c r="T5" s="135"/>
      <c r="U5" s="135"/>
      <c r="V5" s="33"/>
      <c r="W5" s="33"/>
      <c r="X5" s="34"/>
      <c r="Y5" s="35"/>
      <c r="Z5" s="36"/>
    </row>
    <row r="6" spans="1:26" ht="18" x14ac:dyDescent="0.45">
      <c r="A6" s="37" t="s">
        <v>2</v>
      </c>
      <c r="B6" s="15"/>
      <c r="C6" s="14" t="s">
        <v>3</v>
      </c>
      <c r="D6" s="14" t="s">
        <v>4</v>
      </c>
      <c r="E6" s="14" t="s">
        <v>5</v>
      </c>
      <c r="F6" s="2" t="s">
        <v>6</v>
      </c>
      <c r="G6" s="14"/>
      <c r="H6" s="3" t="s">
        <v>3</v>
      </c>
      <c r="I6" s="3" t="s">
        <v>4</v>
      </c>
      <c r="J6" s="3" t="s">
        <v>5</v>
      </c>
      <c r="K6" s="3" t="s">
        <v>90</v>
      </c>
      <c r="L6" s="2"/>
      <c r="M6" s="3" t="s">
        <v>3</v>
      </c>
      <c r="N6" s="3" t="s">
        <v>4</v>
      </c>
      <c r="O6" s="3" t="s">
        <v>5</v>
      </c>
      <c r="P6" s="3" t="s">
        <v>7</v>
      </c>
      <c r="Q6" s="14"/>
      <c r="R6" s="14" t="s">
        <v>3</v>
      </c>
      <c r="S6" s="14" t="s">
        <v>4</v>
      </c>
      <c r="T6" s="14" t="s">
        <v>5</v>
      </c>
      <c r="U6" s="14" t="s">
        <v>7</v>
      </c>
      <c r="V6" s="38"/>
      <c r="W6" s="38"/>
      <c r="X6" s="39"/>
      <c r="Y6" s="40" t="s">
        <v>8</v>
      </c>
      <c r="Z6" s="28"/>
    </row>
    <row r="7" spans="1:26" x14ac:dyDescent="0.45">
      <c r="A7" s="41"/>
      <c r="B7" s="42"/>
      <c r="C7" s="42" t="s">
        <v>9</v>
      </c>
      <c r="D7" s="42" t="s">
        <v>10</v>
      </c>
      <c r="E7" s="42" t="s">
        <v>11</v>
      </c>
      <c r="F7" s="12" t="s">
        <v>12</v>
      </c>
      <c r="G7" s="42"/>
      <c r="H7" s="4" t="s">
        <v>9</v>
      </c>
      <c r="I7" s="4" t="s">
        <v>10</v>
      </c>
      <c r="J7" s="4" t="s">
        <v>11</v>
      </c>
      <c r="K7" s="4" t="s">
        <v>87</v>
      </c>
      <c r="L7" s="4"/>
      <c r="M7" s="4" t="s">
        <v>9</v>
      </c>
      <c r="N7" s="4" t="s">
        <v>10</v>
      </c>
      <c r="O7" s="4" t="s">
        <v>11</v>
      </c>
      <c r="P7" s="4" t="s">
        <v>27</v>
      </c>
      <c r="Q7" s="42"/>
      <c r="R7" s="42" t="s">
        <v>9</v>
      </c>
      <c r="S7" s="42" t="s">
        <v>10</v>
      </c>
      <c r="T7" s="42" t="s">
        <v>11</v>
      </c>
      <c r="U7" s="42" t="s">
        <v>27</v>
      </c>
      <c r="V7" s="43"/>
      <c r="W7" s="43"/>
      <c r="X7" s="44"/>
      <c r="Y7" s="45"/>
      <c r="Z7" s="46"/>
    </row>
    <row r="8" spans="1:26" s="22" customFormat="1" ht="17.25" x14ac:dyDescent="0.45">
      <c r="A8" s="47" t="s">
        <v>30</v>
      </c>
      <c r="B8" s="48"/>
      <c r="C8" s="48">
        <v>29762.503641060004</v>
      </c>
      <c r="D8" s="48">
        <v>31915.636529999996</v>
      </c>
      <c r="E8" s="48">
        <v>31797.847999999998</v>
      </c>
      <c r="F8" s="48">
        <v>31318.014000000003</v>
      </c>
      <c r="G8" s="48"/>
      <c r="H8" s="48">
        <v>32275.331000002028</v>
      </c>
      <c r="I8" s="48">
        <v>31250.755000000005</v>
      </c>
      <c r="J8" s="48">
        <v>30785.646999999997</v>
      </c>
      <c r="K8" s="48">
        <v>30947.404000000002</v>
      </c>
      <c r="L8" s="48"/>
      <c r="M8" s="48">
        <v>33570.961000000003</v>
      </c>
      <c r="N8" s="48">
        <v>33805.148999999998</v>
      </c>
      <c r="O8" s="48">
        <v>33532.502000000008</v>
      </c>
      <c r="P8" s="48">
        <v>34984.548000000003</v>
      </c>
      <c r="Q8" s="48"/>
      <c r="R8" s="48">
        <v>41178.503999999994</v>
      </c>
      <c r="S8" s="48">
        <v>39459.148000000001</v>
      </c>
      <c r="T8" s="48">
        <v>39845.623651673399</v>
      </c>
      <c r="U8" s="48">
        <v>41210.607329611004</v>
      </c>
      <c r="V8" s="49"/>
      <c r="W8" s="49"/>
      <c r="X8" s="50"/>
      <c r="Y8" s="51" t="s">
        <v>31</v>
      </c>
      <c r="Z8" s="52"/>
    </row>
    <row r="9" spans="1:26" s="22" customFormat="1" ht="17.25" x14ac:dyDescent="0.45">
      <c r="A9" s="23" t="s">
        <v>32</v>
      </c>
      <c r="B9" s="17"/>
      <c r="C9" s="17">
        <v>1583.7269219100001</v>
      </c>
      <c r="D9" s="17">
        <v>2035.6802</v>
      </c>
      <c r="E9" s="17">
        <v>1720.5939999999998</v>
      </c>
      <c r="F9" s="17">
        <v>1755.6210000000001</v>
      </c>
      <c r="G9" s="17"/>
      <c r="H9" s="17">
        <v>2091.3760000000002</v>
      </c>
      <c r="I9" s="17">
        <v>1579.2429999999999</v>
      </c>
      <c r="J9" s="17">
        <v>2081.6079999999997</v>
      </c>
      <c r="K9" s="17">
        <v>2684.8289999999997</v>
      </c>
      <c r="L9" s="17"/>
      <c r="M9" s="17">
        <v>4400.8339999999998</v>
      </c>
      <c r="N9" s="17">
        <v>3514.067</v>
      </c>
      <c r="O9" s="17">
        <v>3617.0369999999998</v>
      </c>
      <c r="P9" s="17">
        <v>4727.7890000000007</v>
      </c>
      <c r="Q9" s="17"/>
      <c r="R9" s="17">
        <v>7340.5570000000007</v>
      </c>
      <c r="S9" s="17">
        <v>5903.7850000000008</v>
      </c>
      <c r="T9" s="17">
        <v>4556.3306516733992</v>
      </c>
      <c r="U9" s="17">
        <v>4620.563329611</v>
      </c>
      <c r="V9" s="53"/>
      <c r="W9" s="53"/>
      <c r="X9" s="54"/>
      <c r="Y9" s="55" t="s">
        <v>46</v>
      </c>
    </row>
    <row r="10" spans="1:26" s="22" customFormat="1" ht="17.25" x14ac:dyDescent="0.45">
      <c r="A10" s="23" t="s">
        <v>47</v>
      </c>
      <c r="B10" s="17"/>
      <c r="C10" s="17">
        <v>277.64218844999999</v>
      </c>
      <c r="D10" s="17">
        <v>307.56317999999999</v>
      </c>
      <c r="E10" s="17">
        <v>302.858</v>
      </c>
      <c r="F10" s="17">
        <v>339.12200000000001</v>
      </c>
      <c r="G10" s="17"/>
      <c r="H10" s="17">
        <v>358.096</v>
      </c>
      <c r="I10" s="17">
        <v>369.12700000000001</v>
      </c>
      <c r="J10" s="17">
        <v>385.60199999999998</v>
      </c>
      <c r="K10" s="17">
        <v>358.745</v>
      </c>
      <c r="L10" s="17"/>
      <c r="M10" s="17">
        <v>369.072</v>
      </c>
      <c r="N10" s="17">
        <v>408.654</v>
      </c>
      <c r="O10" s="17">
        <v>402.33</v>
      </c>
      <c r="P10" s="17">
        <v>450.54199999999997</v>
      </c>
      <c r="Q10" s="17"/>
      <c r="R10" s="17">
        <v>406.68799999999999</v>
      </c>
      <c r="S10" s="17">
        <v>490.03899999999999</v>
      </c>
      <c r="T10" s="17">
        <v>411.94799999999998</v>
      </c>
      <c r="U10" s="17">
        <v>416.71899999999999</v>
      </c>
      <c r="V10" s="56"/>
      <c r="W10" s="56"/>
      <c r="X10" s="57"/>
      <c r="Y10" s="58" t="s">
        <v>48</v>
      </c>
    </row>
    <row r="11" spans="1:26" s="22" customFormat="1" ht="18" x14ac:dyDescent="0.45">
      <c r="A11" s="23" t="s">
        <v>49</v>
      </c>
      <c r="B11" s="17"/>
      <c r="C11" s="17">
        <v>5192.3313187900003</v>
      </c>
      <c r="D11" s="17">
        <v>5201.5392499999998</v>
      </c>
      <c r="E11" s="17">
        <v>5556.28</v>
      </c>
      <c r="F11" s="17">
        <v>5357.3119999999999</v>
      </c>
      <c r="G11" s="17"/>
      <c r="H11" s="17">
        <v>5750.8729999999996</v>
      </c>
      <c r="I11" s="17">
        <v>5451.4169999999995</v>
      </c>
      <c r="J11" s="17">
        <v>5344.2240000000002</v>
      </c>
      <c r="K11" s="17">
        <v>5892.6379999999999</v>
      </c>
      <c r="L11" s="17"/>
      <c r="M11" s="17">
        <v>6271.2470000000003</v>
      </c>
      <c r="N11" s="17">
        <v>6819.81</v>
      </c>
      <c r="O11" s="17">
        <v>6197.8610000000008</v>
      </c>
      <c r="P11" s="17">
        <v>6457.799</v>
      </c>
      <c r="Q11" s="17"/>
      <c r="R11" s="17">
        <v>8029.8739999999998</v>
      </c>
      <c r="S11" s="17">
        <v>9025.7970000000005</v>
      </c>
      <c r="T11" s="17">
        <v>10021.425999999999</v>
      </c>
      <c r="U11" s="17">
        <v>11617.148000000001</v>
      </c>
      <c r="V11" s="59"/>
      <c r="W11" s="59"/>
      <c r="X11" s="60"/>
      <c r="Y11" s="55" t="s">
        <v>50</v>
      </c>
    </row>
    <row r="12" spans="1:26" s="22" customFormat="1" ht="17.25" x14ac:dyDescent="0.45">
      <c r="A12" s="23" t="s">
        <v>39</v>
      </c>
      <c r="B12" s="17"/>
      <c r="C12" s="17">
        <v>5023.1400000000003</v>
      </c>
      <c r="D12" s="17">
        <v>4956.4949999999999</v>
      </c>
      <c r="E12" s="17">
        <v>4537.99</v>
      </c>
      <c r="F12" s="17">
        <v>5011.7510000000002</v>
      </c>
      <c r="G12" s="17"/>
      <c r="H12" s="17">
        <v>5273.1409999999996</v>
      </c>
      <c r="I12" s="17">
        <v>5447.2340000000004</v>
      </c>
      <c r="J12" s="17">
        <v>5037.6620000000003</v>
      </c>
      <c r="K12" s="17">
        <v>4294.5889999999999</v>
      </c>
      <c r="L12" s="17"/>
      <c r="M12" s="17">
        <v>3786.13</v>
      </c>
      <c r="N12" s="17">
        <v>3970.0610000000001</v>
      </c>
      <c r="O12" s="17">
        <v>3825.38</v>
      </c>
      <c r="P12" s="17">
        <v>3937.22</v>
      </c>
      <c r="Q12" s="17"/>
      <c r="R12" s="17">
        <v>5036.8469999999998</v>
      </c>
      <c r="S12" s="17">
        <v>5788.2250000000004</v>
      </c>
      <c r="T12" s="17">
        <v>5550.8680000000004</v>
      </c>
      <c r="U12" s="17">
        <v>5839.0839999999998</v>
      </c>
      <c r="V12" s="56"/>
      <c r="W12" s="56"/>
      <c r="X12" s="61"/>
      <c r="Y12" s="62" t="s">
        <v>51</v>
      </c>
    </row>
    <row r="13" spans="1:26" s="22" customFormat="1" ht="17.25" x14ac:dyDescent="0.45">
      <c r="A13" s="25" t="s">
        <v>52</v>
      </c>
      <c r="B13" s="18"/>
      <c r="C13" s="18">
        <v>0</v>
      </c>
      <c r="D13" s="18">
        <v>0</v>
      </c>
      <c r="E13" s="18">
        <v>0</v>
      </c>
      <c r="F13" s="18">
        <v>0</v>
      </c>
      <c r="G13" s="18"/>
      <c r="H13" s="18">
        <v>0</v>
      </c>
      <c r="I13" s="18">
        <v>0</v>
      </c>
      <c r="J13" s="18">
        <v>0</v>
      </c>
      <c r="K13" s="18">
        <v>0</v>
      </c>
      <c r="L13" s="18"/>
      <c r="M13" s="18">
        <v>0</v>
      </c>
      <c r="N13" s="18">
        <v>0</v>
      </c>
      <c r="O13" s="18">
        <v>0</v>
      </c>
      <c r="P13" s="18">
        <v>0</v>
      </c>
      <c r="Q13" s="18"/>
      <c r="R13" s="18">
        <v>0</v>
      </c>
      <c r="S13" s="18">
        <v>0</v>
      </c>
      <c r="T13" s="18">
        <v>0</v>
      </c>
      <c r="U13" s="18">
        <v>0</v>
      </c>
      <c r="V13" s="63"/>
      <c r="W13" s="63"/>
      <c r="X13" s="61" t="s">
        <v>53</v>
      </c>
      <c r="Y13" s="64"/>
    </row>
    <row r="14" spans="1:26" s="22" customFormat="1" ht="17.25" x14ac:dyDescent="0.45">
      <c r="A14" s="25" t="s">
        <v>54</v>
      </c>
      <c r="B14" s="18"/>
      <c r="C14" s="18">
        <v>3738.3020000000001</v>
      </c>
      <c r="D14" s="18">
        <v>3412.6680000000001</v>
      </c>
      <c r="E14" s="18">
        <v>2993.1680000000001</v>
      </c>
      <c r="F14" s="18">
        <v>3467.3310000000001</v>
      </c>
      <c r="G14" s="18"/>
      <c r="H14" s="18">
        <v>3725.8820000000001</v>
      </c>
      <c r="I14" s="18">
        <v>3898.7330000000002</v>
      </c>
      <c r="J14" s="18">
        <v>3489.0990000000002</v>
      </c>
      <c r="K14" s="18">
        <v>3521.913</v>
      </c>
      <c r="L14" s="18"/>
      <c r="M14" s="18">
        <v>3786.13</v>
      </c>
      <c r="N14" s="18">
        <v>3970.0610000000001</v>
      </c>
      <c r="O14" s="18">
        <v>3825.38</v>
      </c>
      <c r="P14" s="18">
        <v>3937.22</v>
      </c>
      <c r="Q14" s="18"/>
      <c r="R14" s="18">
        <v>5036.8469999999998</v>
      </c>
      <c r="S14" s="18">
        <v>5788.2250000000004</v>
      </c>
      <c r="T14" s="18">
        <v>5550.8680000000004</v>
      </c>
      <c r="U14" s="18">
        <v>5839.0839999999998</v>
      </c>
      <c r="V14" s="63"/>
      <c r="W14" s="63"/>
      <c r="X14" s="65" t="s">
        <v>55</v>
      </c>
      <c r="Y14" s="64"/>
    </row>
    <row r="15" spans="1:26" s="22" customFormat="1" ht="17.25" x14ac:dyDescent="0.45">
      <c r="A15" s="25" t="s">
        <v>56</v>
      </c>
      <c r="B15" s="66"/>
      <c r="C15" s="66">
        <v>1284.838</v>
      </c>
      <c r="D15" s="66">
        <v>1543.827</v>
      </c>
      <c r="E15" s="66">
        <v>1544.8219999999999</v>
      </c>
      <c r="F15" s="66">
        <v>1544.42</v>
      </c>
      <c r="G15" s="66"/>
      <c r="H15" s="66">
        <v>1547.259</v>
      </c>
      <c r="I15" s="66">
        <v>1548.501</v>
      </c>
      <c r="J15" s="66">
        <v>1548.5630000000001</v>
      </c>
      <c r="K15" s="66">
        <v>772.67600000000004</v>
      </c>
      <c r="L15" s="66"/>
      <c r="M15" s="66">
        <v>0</v>
      </c>
      <c r="N15" s="66">
        <v>0</v>
      </c>
      <c r="O15" s="66">
        <v>0</v>
      </c>
      <c r="P15" s="66">
        <v>0</v>
      </c>
      <c r="Q15" s="66"/>
      <c r="R15" s="66">
        <v>0</v>
      </c>
      <c r="S15" s="66">
        <v>0</v>
      </c>
      <c r="T15" s="66">
        <v>0</v>
      </c>
      <c r="U15" s="66">
        <v>0</v>
      </c>
      <c r="V15" s="56"/>
      <c r="W15" s="56"/>
      <c r="X15" s="61" t="s">
        <v>57</v>
      </c>
      <c r="Y15" s="67"/>
    </row>
    <row r="16" spans="1:26" s="22" customFormat="1" ht="17.25" x14ac:dyDescent="0.45">
      <c r="A16" s="23" t="s">
        <v>58</v>
      </c>
      <c r="B16" s="17"/>
      <c r="C16" s="17">
        <v>17137.88</v>
      </c>
      <c r="D16" s="17">
        <v>18735.703000000005</v>
      </c>
      <c r="E16" s="17">
        <v>18970.283999999996</v>
      </c>
      <c r="F16" s="17">
        <v>18026.956999999999</v>
      </c>
      <c r="G16" s="17"/>
      <c r="H16" s="17">
        <v>17863.491000000002</v>
      </c>
      <c r="I16" s="17">
        <v>17518.375</v>
      </c>
      <c r="J16" s="17">
        <v>16958.12</v>
      </c>
      <c r="K16" s="17">
        <v>16663.71</v>
      </c>
      <c r="L16" s="17"/>
      <c r="M16" s="17">
        <v>17471.637999999999</v>
      </c>
      <c r="N16" s="17">
        <v>17224.924999999999</v>
      </c>
      <c r="O16" s="17">
        <v>17733.737000000001</v>
      </c>
      <c r="P16" s="17">
        <v>17741.61</v>
      </c>
      <c r="Q16" s="17"/>
      <c r="R16" s="17">
        <v>18003.641000000003</v>
      </c>
      <c r="S16" s="17">
        <v>16404.082999999999</v>
      </c>
      <c r="T16" s="17">
        <v>17383.326000000001</v>
      </c>
      <c r="U16" s="17">
        <v>16842.900999999998</v>
      </c>
      <c r="V16" s="68"/>
      <c r="W16" s="68"/>
      <c r="X16" s="69"/>
      <c r="Y16" s="70" t="s">
        <v>59</v>
      </c>
    </row>
    <row r="17" spans="1:25" s="22" customFormat="1" ht="17.25" x14ac:dyDescent="0.45">
      <c r="A17" s="25" t="s">
        <v>60</v>
      </c>
      <c r="B17" s="18"/>
      <c r="C17" s="18">
        <v>176.078</v>
      </c>
      <c r="D17" s="18">
        <v>385.10700000000003</v>
      </c>
      <c r="E17" s="18">
        <v>0</v>
      </c>
      <c r="F17" s="18">
        <v>0</v>
      </c>
      <c r="G17" s="18"/>
      <c r="H17" s="18">
        <v>0</v>
      </c>
      <c r="I17" s="18">
        <v>110.098</v>
      </c>
      <c r="J17" s="18">
        <v>163.18799999999999</v>
      </c>
      <c r="K17" s="18">
        <v>4.0000000000000001E-3</v>
      </c>
      <c r="L17" s="18"/>
      <c r="M17" s="18">
        <v>415.38200000000001</v>
      </c>
      <c r="N17" s="18">
        <v>435.43400000000003</v>
      </c>
      <c r="O17" s="18">
        <v>830.94500000000005</v>
      </c>
      <c r="P17" s="18">
        <v>902.19500000000005</v>
      </c>
      <c r="Q17" s="18"/>
      <c r="R17" s="18">
        <v>981.12800000000004</v>
      </c>
      <c r="S17" s="18">
        <v>0</v>
      </c>
      <c r="T17" s="18">
        <v>0</v>
      </c>
      <c r="U17" s="18">
        <v>0</v>
      </c>
      <c r="V17" s="53"/>
      <c r="W17" s="53"/>
      <c r="X17" s="61" t="s">
        <v>61</v>
      </c>
      <c r="Y17" s="64"/>
    </row>
    <row r="18" spans="1:25" s="22" customFormat="1" ht="17.25" x14ac:dyDescent="0.45">
      <c r="A18" s="25" t="s">
        <v>62</v>
      </c>
      <c r="B18" s="18"/>
      <c r="C18" s="18">
        <v>171.339</v>
      </c>
      <c r="D18" s="18">
        <v>189.70499999999998</v>
      </c>
      <c r="E18" s="18">
        <v>186.87100000000001</v>
      </c>
      <c r="F18" s="18">
        <v>180.56399999999999</v>
      </c>
      <c r="G18" s="18"/>
      <c r="H18" s="18">
        <v>171.96899999999999</v>
      </c>
      <c r="I18" s="18">
        <v>457.47</v>
      </c>
      <c r="J18" s="18">
        <v>449.74900000000002</v>
      </c>
      <c r="K18" s="18">
        <v>440.87099999999998</v>
      </c>
      <c r="L18" s="18"/>
      <c r="M18" s="18">
        <v>582.65800000000002</v>
      </c>
      <c r="N18" s="18">
        <v>593.57899999999995</v>
      </c>
      <c r="O18" s="18">
        <v>572.88700000000006</v>
      </c>
      <c r="P18" s="18">
        <v>537.79700000000003</v>
      </c>
      <c r="Q18" s="18"/>
      <c r="R18" s="18">
        <v>503.98</v>
      </c>
      <c r="S18" s="18">
        <v>170.40300000000002</v>
      </c>
      <c r="T18" s="18">
        <v>134.886</v>
      </c>
      <c r="U18" s="18">
        <v>126.074</v>
      </c>
      <c r="V18" s="53"/>
      <c r="W18" s="53"/>
      <c r="X18" s="65" t="s">
        <v>63</v>
      </c>
      <c r="Y18" s="64"/>
    </row>
    <row r="19" spans="1:25" s="22" customFormat="1" ht="17.25" x14ac:dyDescent="0.45">
      <c r="A19" s="25" t="s">
        <v>64</v>
      </c>
      <c r="B19" s="66"/>
      <c r="C19" s="66">
        <v>143.70999999999998</v>
      </c>
      <c r="D19" s="66">
        <v>178.10900000000001</v>
      </c>
      <c r="E19" s="66">
        <v>171.98599999999999</v>
      </c>
      <c r="F19" s="66">
        <v>92.367999999999995</v>
      </c>
      <c r="G19" s="66"/>
      <c r="H19" s="66">
        <v>45.856999999999992</v>
      </c>
      <c r="I19" s="66">
        <v>42.448999999999998</v>
      </c>
      <c r="J19" s="66">
        <v>90.604000000000013</v>
      </c>
      <c r="K19" s="66">
        <v>154.60500000000002</v>
      </c>
      <c r="L19" s="66"/>
      <c r="M19" s="66">
        <v>114.43</v>
      </c>
      <c r="N19" s="66">
        <v>60.908999999999999</v>
      </c>
      <c r="O19" s="66">
        <v>77.697000000000003</v>
      </c>
      <c r="P19" s="66">
        <v>102.80199999999999</v>
      </c>
      <c r="Q19" s="66"/>
      <c r="R19" s="66">
        <v>279.93099999999998</v>
      </c>
      <c r="S19" s="66">
        <v>298.37799999999999</v>
      </c>
      <c r="T19" s="66">
        <v>261.73200000000003</v>
      </c>
      <c r="U19" s="66">
        <v>281.92</v>
      </c>
      <c r="V19" s="71"/>
      <c r="W19" s="71"/>
      <c r="X19" s="72" t="s">
        <v>38</v>
      </c>
      <c r="Y19" s="73"/>
    </row>
    <row r="20" spans="1:25" s="22" customFormat="1" ht="18" x14ac:dyDescent="0.4">
      <c r="A20" s="25" t="s">
        <v>65</v>
      </c>
      <c r="B20" s="18"/>
      <c r="C20" s="18">
        <v>1323.9579999999999</v>
      </c>
      <c r="D20" s="18">
        <v>1310.8679999999999</v>
      </c>
      <c r="E20" s="18">
        <v>1840.8960000000002</v>
      </c>
      <c r="F20" s="18">
        <v>1668.1460000000002</v>
      </c>
      <c r="G20" s="18"/>
      <c r="H20" s="18">
        <v>2006.1779999999999</v>
      </c>
      <c r="I20" s="18">
        <v>2022.4489999999998</v>
      </c>
      <c r="J20" s="18">
        <v>1459.7329999999999</v>
      </c>
      <c r="K20" s="18">
        <v>1569.653</v>
      </c>
      <c r="L20" s="18"/>
      <c r="M20" s="18">
        <v>1413.3000000000002</v>
      </c>
      <c r="N20" s="18">
        <v>1400.4390000000001</v>
      </c>
      <c r="O20" s="18">
        <v>1397.0219999999999</v>
      </c>
      <c r="P20" s="18">
        <v>1568.433</v>
      </c>
      <c r="Q20" s="18"/>
      <c r="R20" s="18">
        <v>1735.1799999999998</v>
      </c>
      <c r="S20" s="18">
        <v>1326.875</v>
      </c>
      <c r="T20" s="18">
        <v>1506.0800000000002</v>
      </c>
      <c r="U20" s="18">
        <v>1326.8990000000001</v>
      </c>
      <c r="V20" s="63"/>
      <c r="W20" s="63"/>
      <c r="X20" s="74" t="s">
        <v>37</v>
      </c>
      <c r="Y20" s="75"/>
    </row>
    <row r="21" spans="1:25" s="22" customFormat="1" ht="18" x14ac:dyDescent="0.4">
      <c r="A21" s="25" t="s">
        <v>66</v>
      </c>
      <c r="B21" s="18"/>
      <c r="C21" s="18">
        <v>15322.795</v>
      </c>
      <c r="D21" s="18">
        <v>16671.914000000004</v>
      </c>
      <c r="E21" s="18">
        <v>16770.530999999995</v>
      </c>
      <c r="F21" s="18">
        <v>16085.878999999999</v>
      </c>
      <c r="G21" s="18"/>
      <c r="H21" s="18">
        <v>15639.487000000001</v>
      </c>
      <c r="I21" s="18">
        <v>14885.909000000001</v>
      </c>
      <c r="J21" s="18">
        <v>14794.846</v>
      </c>
      <c r="K21" s="18">
        <v>14498.576999999999</v>
      </c>
      <c r="L21" s="18"/>
      <c r="M21" s="18">
        <v>14945.867999999999</v>
      </c>
      <c r="N21" s="18">
        <v>14734.564</v>
      </c>
      <c r="O21" s="18">
        <v>14855.186</v>
      </c>
      <c r="P21" s="18">
        <v>14630.383</v>
      </c>
      <c r="Q21" s="18"/>
      <c r="R21" s="18">
        <v>14503.422000000002</v>
      </c>
      <c r="S21" s="18">
        <v>14608.427</v>
      </c>
      <c r="T21" s="18">
        <v>15480.628000000001</v>
      </c>
      <c r="U21" s="18">
        <v>15108.008</v>
      </c>
      <c r="V21" s="53"/>
      <c r="W21" s="53"/>
      <c r="X21" s="76" t="s">
        <v>67</v>
      </c>
      <c r="Y21" s="75"/>
    </row>
    <row r="22" spans="1:25" s="22" customFormat="1" ht="17.25" x14ac:dyDescent="0.45">
      <c r="A22" s="23" t="s">
        <v>28</v>
      </c>
      <c r="B22" s="17"/>
      <c r="C22" s="17">
        <v>6.4249999999999998</v>
      </c>
      <c r="D22" s="17">
        <v>6.4249999999999998</v>
      </c>
      <c r="E22" s="17">
        <v>6.4249999999999998</v>
      </c>
      <c r="F22" s="17">
        <v>6.4249999999999998</v>
      </c>
      <c r="G22" s="17"/>
      <c r="H22" s="17">
        <v>14.425000000000001</v>
      </c>
      <c r="I22" s="17">
        <v>14.425000000000001</v>
      </c>
      <c r="J22" s="17">
        <v>14.425000000000001</v>
      </c>
      <c r="K22" s="17">
        <v>14.324999999999999</v>
      </c>
      <c r="L22" s="17"/>
      <c r="M22" s="17">
        <v>14.344999999999999</v>
      </c>
      <c r="N22" s="17">
        <v>14.324999999999999</v>
      </c>
      <c r="O22" s="17">
        <v>14.344999999999999</v>
      </c>
      <c r="P22" s="17">
        <v>12.425000000000001</v>
      </c>
      <c r="Q22" s="17"/>
      <c r="R22" s="17">
        <v>6</v>
      </c>
      <c r="S22" s="17">
        <v>12.425000000000001</v>
      </c>
      <c r="T22" s="17">
        <v>12.425000000000001</v>
      </c>
      <c r="U22" s="17">
        <v>6</v>
      </c>
      <c r="V22" s="53"/>
      <c r="W22" s="53"/>
      <c r="X22" s="65"/>
      <c r="Y22" s="77" t="s">
        <v>19</v>
      </c>
    </row>
    <row r="23" spans="1:25" s="22" customFormat="1" ht="17.25" x14ac:dyDescent="0.45">
      <c r="A23" s="23" t="s">
        <v>33</v>
      </c>
      <c r="B23" s="17"/>
      <c r="C23" s="17">
        <v>177.67501521000304</v>
      </c>
      <c r="D23" s="17">
        <v>299.3460299999897</v>
      </c>
      <c r="E23" s="17">
        <v>318.96400000000358</v>
      </c>
      <c r="F23" s="17">
        <v>420.74300000000585</v>
      </c>
      <c r="G23" s="17"/>
      <c r="H23" s="17">
        <v>529.32600000203092</v>
      </c>
      <c r="I23" s="17">
        <v>466.63900000000649</v>
      </c>
      <c r="J23" s="17">
        <v>550.69899999999689</v>
      </c>
      <c r="K23" s="17">
        <v>534.30800000000454</v>
      </c>
      <c r="L23" s="17"/>
      <c r="M23" s="17">
        <v>753.33000000000175</v>
      </c>
      <c r="N23" s="17">
        <v>775.71399999999994</v>
      </c>
      <c r="O23" s="17">
        <v>652.65600000000268</v>
      </c>
      <c r="P23" s="17">
        <v>566.04099999999744</v>
      </c>
      <c r="Q23" s="17"/>
      <c r="R23" s="17">
        <v>1249.6869999999908</v>
      </c>
      <c r="S23" s="17">
        <v>705.72699999999168</v>
      </c>
      <c r="T23" s="17">
        <v>772.13499999999476</v>
      </c>
      <c r="U23" s="17">
        <v>655.52400000000489</v>
      </c>
      <c r="V23" s="56"/>
      <c r="W23" s="56"/>
      <c r="X23" s="61"/>
      <c r="Y23" s="78" t="s">
        <v>68</v>
      </c>
    </row>
    <row r="24" spans="1:25" s="22" customFormat="1" ht="18" x14ac:dyDescent="0.45">
      <c r="A24" s="23" t="s">
        <v>34</v>
      </c>
      <c r="B24" s="17"/>
      <c r="C24" s="17">
        <v>363.6831967</v>
      </c>
      <c r="D24" s="17">
        <v>372.88486999999998</v>
      </c>
      <c r="E24" s="17">
        <v>384.45300000000003</v>
      </c>
      <c r="F24" s="17">
        <v>400.08300000000003</v>
      </c>
      <c r="G24" s="17"/>
      <c r="H24" s="17">
        <v>394.60300000000001</v>
      </c>
      <c r="I24" s="17">
        <v>404.29500000000002</v>
      </c>
      <c r="J24" s="17">
        <v>413.30700000000002</v>
      </c>
      <c r="K24" s="17">
        <v>504.26000000000005</v>
      </c>
      <c r="L24" s="17"/>
      <c r="M24" s="17">
        <v>504.36500000000001</v>
      </c>
      <c r="N24" s="17">
        <v>1077.5930000000001</v>
      </c>
      <c r="O24" s="17">
        <v>1089.1559999999999</v>
      </c>
      <c r="P24" s="17">
        <v>1091.1219999999998</v>
      </c>
      <c r="Q24" s="17"/>
      <c r="R24" s="17">
        <v>1105.21</v>
      </c>
      <c r="S24" s="17">
        <v>1129.067</v>
      </c>
      <c r="T24" s="17">
        <v>1137.165</v>
      </c>
      <c r="U24" s="17">
        <v>1212.6680000000001</v>
      </c>
      <c r="V24" s="79"/>
      <c r="W24" s="79"/>
      <c r="X24" s="80"/>
      <c r="Y24" s="70" t="s">
        <v>69</v>
      </c>
    </row>
    <row r="25" spans="1:25" s="22" customFormat="1" ht="17.25" x14ac:dyDescent="0.45">
      <c r="A25" s="81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53"/>
      <c r="W25" s="53"/>
      <c r="X25" s="65"/>
      <c r="Y25" s="74"/>
    </row>
    <row r="26" spans="1:25" s="22" customFormat="1" ht="17.25" x14ac:dyDescent="0.45">
      <c r="A26" s="23" t="s">
        <v>35</v>
      </c>
      <c r="B26" s="82"/>
      <c r="C26" s="82">
        <v>29762.503641060004</v>
      </c>
      <c r="D26" s="82">
        <v>31915.636529999996</v>
      </c>
      <c r="E26" s="82">
        <v>31797.847999999998</v>
      </c>
      <c r="F26" s="82">
        <v>31318.014000000003</v>
      </c>
      <c r="G26" s="82"/>
      <c r="H26" s="82">
        <v>32275.331000002028</v>
      </c>
      <c r="I26" s="82">
        <v>31250.755000000005</v>
      </c>
      <c r="J26" s="82">
        <v>30785.646999999997</v>
      </c>
      <c r="K26" s="82">
        <v>30947.404000000002</v>
      </c>
      <c r="L26" s="82"/>
      <c r="M26" s="82">
        <v>33570.961000000003</v>
      </c>
      <c r="N26" s="82">
        <v>33805.148999999998</v>
      </c>
      <c r="O26" s="82">
        <v>33532.502000000008</v>
      </c>
      <c r="P26" s="82">
        <v>34984.548000000003</v>
      </c>
      <c r="Q26" s="82"/>
      <c r="R26" s="82">
        <v>41178.503999999994</v>
      </c>
      <c r="S26" s="82">
        <v>39459.148000000001</v>
      </c>
      <c r="T26" s="82">
        <v>39845.623651673399</v>
      </c>
      <c r="U26" s="82">
        <v>41210.607329611004</v>
      </c>
      <c r="V26" s="53"/>
      <c r="W26" s="53"/>
      <c r="X26" s="65"/>
      <c r="Y26" s="78" t="s">
        <v>36</v>
      </c>
    </row>
    <row r="27" spans="1:25" s="22" customFormat="1" ht="17.25" x14ac:dyDescent="0.45">
      <c r="A27" s="23" t="s">
        <v>40</v>
      </c>
      <c r="B27" s="82"/>
      <c r="C27" s="82">
        <v>4147.8292499999998</v>
      </c>
      <c r="D27" s="82">
        <v>4886.0620000000008</v>
      </c>
      <c r="E27" s="82">
        <v>4870.241</v>
      </c>
      <c r="F27" s="82">
        <v>3608.0979999999995</v>
      </c>
      <c r="G27" s="82"/>
      <c r="H27" s="82">
        <v>3397.384</v>
      </c>
      <c r="I27" s="82">
        <v>2826.2049999999999</v>
      </c>
      <c r="J27" s="82">
        <v>2978.4949999999999</v>
      </c>
      <c r="K27" s="82">
        <v>1667.566</v>
      </c>
      <c r="L27" s="82"/>
      <c r="M27" s="82">
        <v>946.06799999999998</v>
      </c>
      <c r="N27" s="82">
        <v>959.00100000000009</v>
      </c>
      <c r="O27" s="82">
        <v>868.89</v>
      </c>
      <c r="P27" s="82">
        <v>1222.3770000000002</v>
      </c>
      <c r="Q27" s="82"/>
      <c r="R27" s="82">
        <v>920.721</v>
      </c>
      <c r="S27" s="82">
        <v>598.73899999999992</v>
      </c>
      <c r="T27" s="82">
        <v>968.91300000000001</v>
      </c>
      <c r="U27" s="82">
        <v>1178.3699999999999</v>
      </c>
      <c r="V27" s="53"/>
      <c r="W27" s="53"/>
      <c r="X27" s="65"/>
      <c r="Y27" s="40" t="s">
        <v>41</v>
      </c>
    </row>
    <row r="28" spans="1:25" s="22" customFormat="1" ht="17.25" x14ac:dyDescent="0.45">
      <c r="A28" s="23" t="s">
        <v>70</v>
      </c>
      <c r="B28" s="82"/>
      <c r="C28" s="82">
        <v>16083.24807569</v>
      </c>
      <c r="D28" s="82">
        <v>17017.764819999997</v>
      </c>
      <c r="E28" s="82">
        <v>16789.528999999999</v>
      </c>
      <c r="F28" s="82">
        <v>17144.242000000002</v>
      </c>
      <c r="G28" s="82"/>
      <c r="H28" s="82">
        <v>17959.662161259999</v>
      </c>
      <c r="I28" s="82">
        <v>17781.826000000001</v>
      </c>
      <c r="J28" s="82">
        <v>16947.277999999998</v>
      </c>
      <c r="K28" s="82">
        <v>17884.171999999999</v>
      </c>
      <c r="L28" s="82"/>
      <c r="M28" s="82">
        <v>20410.764999999999</v>
      </c>
      <c r="N28" s="82">
        <v>20285.861999999997</v>
      </c>
      <c r="O28" s="82">
        <v>20161.315000000002</v>
      </c>
      <c r="P28" s="82">
        <v>20873.284</v>
      </c>
      <c r="Q28" s="82"/>
      <c r="R28" s="82">
        <v>25645.079999999994</v>
      </c>
      <c r="S28" s="82">
        <v>24197.758000000002</v>
      </c>
      <c r="T28" s="82">
        <v>23391.682999999997</v>
      </c>
      <c r="U28" s="82">
        <v>24480.439000000002</v>
      </c>
      <c r="V28" s="53"/>
      <c r="W28" s="53"/>
      <c r="X28" s="65"/>
      <c r="Y28" s="77" t="s">
        <v>71</v>
      </c>
    </row>
    <row r="29" spans="1:25" s="22" customFormat="1" ht="17.25" x14ac:dyDescent="0.4">
      <c r="A29" s="25" t="s">
        <v>72</v>
      </c>
      <c r="B29" s="66"/>
      <c r="C29" s="66">
        <v>12275.294102870001</v>
      </c>
      <c r="D29" s="66">
        <v>12558.586879999999</v>
      </c>
      <c r="E29" s="66">
        <v>12352.102999999999</v>
      </c>
      <c r="F29" s="66">
        <v>13111.123000000001</v>
      </c>
      <c r="G29" s="66"/>
      <c r="H29" s="66">
        <v>14014.31816126</v>
      </c>
      <c r="I29" s="66">
        <v>13524.444</v>
      </c>
      <c r="J29" s="66">
        <v>12969.169</v>
      </c>
      <c r="K29" s="66">
        <v>13677.823</v>
      </c>
      <c r="L29" s="66"/>
      <c r="M29" s="66">
        <v>16311.912</v>
      </c>
      <c r="N29" s="66">
        <v>16190.972999999998</v>
      </c>
      <c r="O29" s="66">
        <v>15810.918000000001</v>
      </c>
      <c r="P29" s="66">
        <v>16684.201000000001</v>
      </c>
      <c r="Q29" s="66"/>
      <c r="R29" s="66">
        <v>20635.572999999997</v>
      </c>
      <c r="S29" s="66">
        <v>19540.894</v>
      </c>
      <c r="T29" s="66">
        <v>18630.580999999998</v>
      </c>
      <c r="U29" s="66">
        <v>19415.474000000002</v>
      </c>
      <c r="V29" s="53"/>
      <c r="W29" s="53"/>
      <c r="X29" s="74" t="s">
        <v>14</v>
      </c>
      <c r="Y29" s="77"/>
    </row>
    <row r="30" spans="1:25" s="22" customFormat="1" ht="17.25" x14ac:dyDescent="0.45">
      <c r="A30" s="25" t="s">
        <v>73</v>
      </c>
      <c r="B30" s="66"/>
      <c r="C30" s="66">
        <v>6689.5396832699998</v>
      </c>
      <c r="D30" s="66">
        <v>6604.68019</v>
      </c>
      <c r="E30" s="66">
        <v>6390.5069999999996</v>
      </c>
      <c r="F30" s="66">
        <v>6275.1360000000004</v>
      </c>
      <c r="G30" s="66"/>
      <c r="H30" s="66">
        <v>6857.0371612599993</v>
      </c>
      <c r="I30" s="66">
        <v>6636.2189999999991</v>
      </c>
      <c r="J30" s="66">
        <v>6403.8339999999998</v>
      </c>
      <c r="K30" s="66">
        <v>6310.8499999999995</v>
      </c>
      <c r="L30" s="66"/>
      <c r="M30" s="66">
        <v>7082.4269999999997</v>
      </c>
      <c r="N30" s="66">
        <v>7738.4879999999994</v>
      </c>
      <c r="O30" s="66">
        <v>7629.8229999999994</v>
      </c>
      <c r="P30" s="66">
        <v>7612.3960000000006</v>
      </c>
      <c r="Q30" s="66"/>
      <c r="R30" s="66">
        <v>8116.3639999999996</v>
      </c>
      <c r="S30" s="66">
        <v>9105.3629999999994</v>
      </c>
      <c r="T30" s="66">
        <v>8471.15</v>
      </c>
      <c r="U30" s="66">
        <v>8517.8029999999999</v>
      </c>
      <c r="V30" s="53"/>
      <c r="W30" s="83" t="s">
        <v>15</v>
      </c>
      <c r="X30" s="65"/>
      <c r="Y30" s="77"/>
    </row>
    <row r="31" spans="1:25" s="22" customFormat="1" ht="17.25" x14ac:dyDescent="0.45">
      <c r="A31" s="25" t="s">
        <v>74</v>
      </c>
      <c r="B31" s="66"/>
      <c r="C31" s="66">
        <v>5585.7544195999999</v>
      </c>
      <c r="D31" s="66">
        <v>5953.9066899999998</v>
      </c>
      <c r="E31" s="66">
        <v>5961.5959999999995</v>
      </c>
      <c r="F31" s="66">
        <v>6835.987000000001</v>
      </c>
      <c r="G31" s="66"/>
      <c r="H31" s="66">
        <v>7157.2810000000009</v>
      </c>
      <c r="I31" s="66">
        <v>6888.2249999999995</v>
      </c>
      <c r="J31" s="66">
        <v>6565.335</v>
      </c>
      <c r="K31" s="66">
        <v>7366.973</v>
      </c>
      <c r="L31" s="66"/>
      <c r="M31" s="66">
        <v>9229.4850000000006</v>
      </c>
      <c r="N31" s="66">
        <v>8452.4849999999988</v>
      </c>
      <c r="O31" s="66">
        <v>8181.0950000000012</v>
      </c>
      <c r="P31" s="66">
        <v>9071.8050000000003</v>
      </c>
      <c r="Q31" s="66"/>
      <c r="R31" s="66">
        <v>12519.208999999999</v>
      </c>
      <c r="S31" s="66">
        <v>10435.530999999999</v>
      </c>
      <c r="T31" s="66">
        <v>10159.430999999999</v>
      </c>
      <c r="U31" s="66">
        <v>10897.671000000002</v>
      </c>
      <c r="V31" s="53"/>
      <c r="W31" s="83" t="s">
        <v>16</v>
      </c>
      <c r="X31" s="65"/>
      <c r="Y31" s="77"/>
    </row>
    <row r="32" spans="1:25" s="22" customFormat="1" ht="17.25" x14ac:dyDescent="0.45">
      <c r="A32" s="25" t="s">
        <v>75</v>
      </c>
      <c r="B32" s="66"/>
      <c r="C32" s="66">
        <v>3807.9539728199998</v>
      </c>
      <c r="D32" s="66">
        <v>4459.1779399999996</v>
      </c>
      <c r="E32" s="66">
        <v>4437.4260000000004</v>
      </c>
      <c r="F32" s="66">
        <v>4033.1190000000006</v>
      </c>
      <c r="G32" s="66"/>
      <c r="H32" s="66">
        <v>3945.3440000000001</v>
      </c>
      <c r="I32" s="66">
        <v>4257.3819999999996</v>
      </c>
      <c r="J32" s="66">
        <v>3978.1089999999995</v>
      </c>
      <c r="K32" s="66">
        <v>4206.3490000000002</v>
      </c>
      <c r="L32" s="66"/>
      <c r="M32" s="66">
        <v>4098.8530000000001</v>
      </c>
      <c r="N32" s="66">
        <v>4094.8890000000001</v>
      </c>
      <c r="O32" s="66">
        <v>4350.3969999999999</v>
      </c>
      <c r="P32" s="66">
        <v>4189.0830000000005</v>
      </c>
      <c r="Q32" s="66"/>
      <c r="R32" s="66">
        <v>5009.5069999999996</v>
      </c>
      <c r="S32" s="66">
        <v>4656.8639999999996</v>
      </c>
      <c r="T32" s="66">
        <v>4761.1020000000008</v>
      </c>
      <c r="U32" s="66">
        <v>5064.9650000000001</v>
      </c>
      <c r="V32" s="53"/>
      <c r="W32" s="53"/>
      <c r="X32" s="65" t="s">
        <v>76</v>
      </c>
      <c r="Y32" s="77"/>
    </row>
    <row r="33" spans="1:26" s="22" customFormat="1" ht="17.25" x14ac:dyDescent="0.45">
      <c r="A33" s="25" t="s">
        <v>73</v>
      </c>
      <c r="B33" s="66"/>
      <c r="C33" s="66">
        <v>1264.2579682500002</v>
      </c>
      <c r="D33" s="66">
        <v>1532.5648200000001</v>
      </c>
      <c r="E33" s="66">
        <v>1599.4189999999999</v>
      </c>
      <c r="F33" s="66">
        <v>1442.5500000000002</v>
      </c>
      <c r="G33" s="66"/>
      <c r="H33" s="66">
        <v>1548.2459999999999</v>
      </c>
      <c r="I33" s="66">
        <v>1872.058</v>
      </c>
      <c r="J33" s="66">
        <v>1491.8340000000001</v>
      </c>
      <c r="K33" s="66">
        <v>1740.9990000000003</v>
      </c>
      <c r="L33" s="66"/>
      <c r="M33" s="66">
        <v>1646.1219999999998</v>
      </c>
      <c r="N33" s="66">
        <v>1459.2279999999998</v>
      </c>
      <c r="O33" s="66">
        <v>1473.806</v>
      </c>
      <c r="P33" s="66">
        <v>1384.1349999999998</v>
      </c>
      <c r="Q33" s="66"/>
      <c r="R33" s="66">
        <v>1724.1279999999999</v>
      </c>
      <c r="S33" s="66">
        <v>1280.5999999999999</v>
      </c>
      <c r="T33" s="66">
        <v>1430.684</v>
      </c>
      <c r="U33" s="66">
        <v>1359.3519999999999</v>
      </c>
      <c r="V33" s="53"/>
      <c r="W33" s="83" t="s">
        <v>15</v>
      </c>
      <c r="X33" s="65"/>
      <c r="Y33" s="77"/>
    </row>
    <row r="34" spans="1:26" s="22" customFormat="1" ht="17.25" x14ac:dyDescent="0.45">
      <c r="A34" s="25" t="s">
        <v>74</v>
      </c>
      <c r="B34" s="66"/>
      <c r="C34" s="66">
        <v>2543.6960045699998</v>
      </c>
      <c r="D34" s="66">
        <v>2926.61312</v>
      </c>
      <c r="E34" s="66">
        <v>2838.0070000000005</v>
      </c>
      <c r="F34" s="66">
        <v>2590.5690000000004</v>
      </c>
      <c r="G34" s="66"/>
      <c r="H34" s="66">
        <v>2397.098</v>
      </c>
      <c r="I34" s="66">
        <v>2385.3239999999996</v>
      </c>
      <c r="J34" s="66">
        <v>2486.2749999999996</v>
      </c>
      <c r="K34" s="66">
        <v>2465.3500000000004</v>
      </c>
      <c r="L34" s="66"/>
      <c r="M34" s="66">
        <v>2452.7310000000002</v>
      </c>
      <c r="N34" s="66">
        <v>2635.6610000000001</v>
      </c>
      <c r="O34" s="66">
        <v>2876.5909999999999</v>
      </c>
      <c r="P34" s="66">
        <v>2804.9480000000003</v>
      </c>
      <c r="Q34" s="66"/>
      <c r="R34" s="66">
        <v>3285.3789999999999</v>
      </c>
      <c r="S34" s="66">
        <v>3376.2640000000001</v>
      </c>
      <c r="T34" s="66">
        <v>3330.4180000000006</v>
      </c>
      <c r="U34" s="66">
        <v>3705.6130000000003</v>
      </c>
      <c r="V34" s="53"/>
      <c r="W34" s="83" t="s">
        <v>16</v>
      </c>
      <c r="X34" s="65"/>
      <c r="Y34" s="77"/>
    </row>
    <row r="35" spans="1:26" s="22" customFormat="1" ht="17.25" x14ac:dyDescent="0.45">
      <c r="A35" s="23" t="s">
        <v>77</v>
      </c>
      <c r="B35" s="20"/>
      <c r="C35" s="20">
        <v>1881.1967500000001</v>
      </c>
      <c r="D35" s="20">
        <v>2133.1179999999999</v>
      </c>
      <c r="E35" s="20">
        <v>1922.489</v>
      </c>
      <c r="F35" s="20">
        <v>1888.8109999999999</v>
      </c>
      <c r="G35" s="20"/>
      <c r="H35" s="20">
        <v>1672.6180000000002</v>
      </c>
      <c r="I35" s="20">
        <v>1682.691</v>
      </c>
      <c r="J35" s="20">
        <v>1576.0809999999999</v>
      </c>
      <c r="K35" s="20">
        <v>1771.4550000000002</v>
      </c>
      <c r="L35" s="20"/>
      <c r="M35" s="20">
        <v>1983.068</v>
      </c>
      <c r="N35" s="20">
        <v>1765.614</v>
      </c>
      <c r="O35" s="20">
        <v>1650.7840000000001</v>
      </c>
      <c r="P35" s="20">
        <v>1798.8780000000002</v>
      </c>
      <c r="Q35" s="20"/>
      <c r="R35" s="20">
        <v>2382.2600000000002</v>
      </c>
      <c r="S35" s="20">
        <v>2485.3879999999999</v>
      </c>
      <c r="T35" s="20">
        <v>2160.953</v>
      </c>
      <c r="U35" s="20">
        <v>2017.6280000000002</v>
      </c>
      <c r="V35" s="21"/>
      <c r="W35" s="21"/>
      <c r="X35" s="61"/>
      <c r="Y35" s="55" t="s">
        <v>13</v>
      </c>
    </row>
    <row r="36" spans="1:26" s="22" customFormat="1" ht="17.25" x14ac:dyDescent="0.45">
      <c r="A36" s="23" t="s">
        <v>78</v>
      </c>
      <c r="B36" s="20"/>
      <c r="C36" s="20">
        <v>0</v>
      </c>
      <c r="D36" s="20">
        <v>0</v>
      </c>
      <c r="E36" s="20">
        <v>0</v>
      </c>
      <c r="F36" s="20">
        <v>0</v>
      </c>
      <c r="G36" s="20"/>
      <c r="H36" s="20">
        <v>0</v>
      </c>
      <c r="I36" s="20">
        <v>0</v>
      </c>
      <c r="J36" s="20">
        <v>0</v>
      </c>
      <c r="K36" s="20">
        <v>0</v>
      </c>
      <c r="L36" s="20"/>
      <c r="M36" s="20">
        <v>0</v>
      </c>
      <c r="N36" s="20">
        <v>0</v>
      </c>
      <c r="O36" s="20">
        <v>0</v>
      </c>
      <c r="P36" s="20">
        <v>0</v>
      </c>
      <c r="Q36" s="20"/>
      <c r="R36" s="20">
        <v>0</v>
      </c>
      <c r="S36" s="20">
        <v>0</v>
      </c>
      <c r="T36" s="20">
        <v>0</v>
      </c>
      <c r="U36" s="20">
        <v>0</v>
      </c>
      <c r="V36" s="21"/>
      <c r="W36" s="21"/>
      <c r="X36" s="61"/>
      <c r="Y36" s="70" t="s">
        <v>79</v>
      </c>
    </row>
    <row r="37" spans="1:26" s="22" customFormat="1" ht="17.25" x14ac:dyDescent="0.45">
      <c r="A37" s="23" t="s">
        <v>39</v>
      </c>
      <c r="B37" s="17"/>
      <c r="C37" s="17">
        <v>0</v>
      </c>
      <c r="D37" s="17">
        <v>0</v>
      </c>
      <c r="E37" s="17">
        <v>0</v>
      </c>
      <c r="F37" s="17">
        <v>0</v>
      </c>
      <c r="G37" s="17"/>
      <c r="H37" s="17">
        <v>0</v>
      </c>
      <c r="I37" s="17">
        <v>0</v>
      </c>
      <c r="J37" s="17">
        <v>0</v>
      </c>
      <c r="K37" s="17">
        <v>0</v>
      </c>
      <c r="L37" s="17"/>
      <c r="M37" s="17">
        <v>0</v>
      </c>
      <c r="N37" s="17">
        <v>0</v>
      </c>
      <c r="O37" s="17">
        <v>0</v>
      </c>
      <c r="P37" s="17">
        <v>0</v>
      </c>
      <c r="Q37" s="17"/>
      <c r="R37" s="17">
        <v>0</v>
      </c>
      <c r="S37" s="17">
        <v>0</v>
      </c>
      <c r="T37" s="17">
        <v>0</v>
      </c>
      <c r="U37" s="17">
        <v>0</v>
      </c>
      <c r="V37" s="84"/>
      <c r="W37" s="84"/>
      <c r="X37" s="85"/>
      <c r="Y37" s="62" t="s">
        <v>51</v>
      </c>
    </row>
    <row r="38" spans="1:26" s="22" customFormat="1" ht="17.25" x14ac:dyDescent="0.45">
      <c r="A38" s="23" t="s">
        <v>17</v>
      </c>
      <c r="B38" s="17"/>
      <c r="C38" s="17">
        <v>0</v>
      </c>
      <c r="D38" s="17">
        <v>0</v>
      </c>
      <c r="E38" s="17">
        <v>0</v>
      </c>
      <c r="F38" s="17">
        <v>0</v>
      </c>
      <c r="G38" s="17"/>
      <c r="H38" s="17">
        <v>0</v>
      </c>
      <c r="I38" s="17">
        <v>0</v>
      </c>
      <c r="J38" s="17">
        <v>0</v>
      </c>
      <c r="K38" s="17">
        <v>0</v>
      </c>
      <c r="L38" s="17"/>
      <c r="M38" s="17">
        <v>0</v>
      </c>
      <c r="N38" s="17">
        <v>0</v>
      </c>
      <c r="O38" s="17">
        <v>0</v>
      </c>
      <c r="P38" s="17">
        <v>0</v>
      </c>
      <c r="Q38" s="17"/>
      <c r="R38" s="17">
        <v>0</v>
      </c>
      <c r="S38" s="17">
        <v>0</v>
      </c>
      <c r="T38" s="17">
        <v>0</v>
      </c>
      <c r="U38" s="17">
        <v>0</v>
      </c>
      <c r="V38" s="84"/>
      <c r="W38" s="84"/>
      <c r="X38" s="85"/>
      <c r="Y38" s="62" t="s">
        <v>18</v>
      </c>
    </row>
    <row r="39" spans="1:26" s="16" customFormat="1" ht="17.25" x14ac:dyDescent="0.45">
      <c r="A39" s="23" t="s">
        <v>42</v>
      </c>
      <c r="B39" s="19"/>
      <c r="C39" s="19">
        <v>2630.8993130000053</v>
      </c>
      <c r="D39" s="19">
        <v>2465.9279999999999</v>
      </c>
      <c r="E39" s="19">
        <v>2796.2220000000016</v>
      </c>
      <c r="F39" s="19">
        <v>3768.086000000003</v>
      </c>
      <c r="G39" s="19"/>
      <c r="H39" s="19">
        <v>4223.8740000000034</v>
      </c>
      <c r="I39" s="19">
        <v>3728.4540000000052</v>
      </c>
      <c r="J39" s="19">
        <v>3819.4160000000011</v>
      </c>
      <c r="K39" s="19">
        <v>3890.573000000004</v>
      </c>
      <c r="L39" s="19"/>
      <c r="M39" s="19">
        <v>3925.9740000000056</v>
      </c>
      <c r="N39" s="19">
        <v>4236.7119999999995</v>
      </c>
      <c r="O39" s="19">
        <v>3877.1580000000067</v>
      </c>
      <c r="P39" s="19">
        <v>3895.2880000000005</v>
      </c>
      <c r="Q39" s="19"/>
      <c r="R39" s="19">
        <v>4675.2869999999966</v>
      </c>
      <c r="S39" s="19">
        <v>4374.5789999999979</v>
      </c>
      <c r="T39" s="19">
        <v>4993.0740000000005</v>
      </c>
      <c r="U39" s="19">
        <v>5040.8960000000006</v>
      </c>
      <c r="V39" s="13"/>
      <c r="W39" s="13"/>
      <c r="X39" s="61"/>
      <c r="Y39" s="40" t="s">
        <v>43</v>
      </c>
    </row>
    <row r="40" spans="1:26" s="16" customFormat="1" ht="17.25" x14ac:dyDescent="0.45">
      <c r="A40" s="23" t="s">
        <v>29</v>
      </c>
      <c r="B40" s="19"/>
      <c r="C40" s="19">
        <v>5019.3302523700013</v>
      </c>
      <c r="D40" s="19">
        <v>5412.7637100000002</v>
      </c>
      <c r="E40" s="19">
        <v>5419.3670000000002</v>
      </c>
      <c r="F40" s="19">
        <v>4908.777</v>
      </c>
      <c r="G40" s="19"/>
      <c r="H40" s="19">
        <v>5021.7928387420307</v>
      </c>
      <c r="I40" s="19">
        <v>5231.5789999999997</v>
      </c>
      <c r="J40" s="19">
        <v>5464.3770000000004</v>
      </c>
      <c r="K40" s="19">
        <v>5733.6379999999999</v>
      </c>
      <c r="L40" s="19"/>
      <c r="M40" s="19">
        <v>6305.0860000000002</v>
      </c>
      <c r="N40" s="19">
        <v>6557.96</v>
      </c>
      <c r="O40" s="19">
        <v>6974.3550000000005</v>
      </c>
      <c r="P40" s="19">
        <v>7194.7210000000005</v>
      </c>
      <c r="Q40" s="19"/>
      <c r="R40" s="19">
        <v>7555.1559999999999</v>
      </c>
      <c r="S40" s="19">
        <v>7802.6839999999993</v>
      </c>
      <c r="T40" s="19">
        <v>8331.0006516733993</v>
      </c>
      <c r="U40" s="19">
        <v>8493.2743296110002</v>
      </c>
      <c r="V40" s="13"/>
      <c r="W40" s="13"/>
      <c r="X40" s="61"/>
      <c r="Y40" s="77" t="s">
        <v>19</v>
      </c>
    </row>
    <row r="41" spans="1:26" ht="18" x14ac:dyDescent="0.45">
      <c r="A41" s="86" t="s">
        <v>20</v>
      </c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21"/>
      <c r="W41" s="21"/>
      <c r="X41" s="61"/>
      <c r="Y41" s="55" t="s">
        <v>21</v>
      </c>
      <c r="Z41" s="22"/>
    </row>
    <row r="42" spans="1:26" ht="18" x14ac:dyDescent="0.45">
      <c r="A42" s="23" t="s">
        <v>32</v>
      </c>
      <c r="B42" s="87"/>
      <c r="C42" s="88">
        <v>29.6</v>
      </c>
      <c r="D42" s="88">
        <v>204.9</v>
      </c>
      <c r="E42" s="88">
        <v>121.2</v>
      </c>
      <c r="F42" s="88">
        <v>69.8</v>
      </c>
      <c r="G42" s="87"/>
      <c r="H42" s="88">
        <f>+(H9/C9-1)*100</f>
        <v>32.054078961906328</v>
      </c>
      <c r="I42" s="88">
        <f t="shared" ref="I42:K42" si="0">+(I9/D9-1)*100</f>
        <v>-22.42185191956969</v>
      </c>
      <c r="J42" s="88">
        <f t="shared" si="0"/>
        <v>20.98193995794475</v>
      </c>
      <c r="K42" s="88">
        <f t="shared" si="0"/>
        <v>52.927596559849732</v>
      </c>
      <c r="L42" s="87"/>
      <c r="M42" s="88">
        <f t="shared" ref="M42:P42" si="1">+(M9/H9-1)*100</f>
        <v>110.42768014933704</v>
      </c>
      <c r="N42" s="88">
        <f t="shared" si="1"/>
        <v>122.51591427031813</v>
      </c>
      <c r="O42" s="88">
        <f t="shared" si="1"/>
        <v>73.761678471643094</v>
      </c>
      <c r="P42" s="88">
        <f t="shared" si="1"/>
        <v>76.092741846873707</v>
      </c>
      <c r="Q42" s="87"/>
      <c r="R42" s="88">
        <f t="shared" ref="R42:U42" si="2">+(R9/M9-1)*100</f>
        <v>66.799224874194323</v>
      </c>
      <c r="S42" s="88">
        <f t="shared" si="2"/>
        <v>68.004337993555623</v>
      </c>
      <c r="T42" s="88">
        <f t="shared" si="2"/>
        <v>25.96859395337674</v>
      </c>
      <c r="U42" s="88">
        <f t="shared" si="2"/>
        <v>-2.2679876447320391</v>
      </c>
      <c r="V42" s="21"/>
      <c r="W42" s="21"/>
      <c r="X42" s="61"/>
      <c r="Y42" s="55" t="s">
        <v>46</v>
      </c>
      <c r="Z42" s="22"/>
    </row>
    <row r="43" spans="1:26" ht="18" x14ac:dyDescent="0.45">
      <c r="A43" s="23" t="s">
        <v>40</v>
      </c>
      <c r="B43" s="87"/>
      <c r="C43" s="88">
        <v>-21.2</v>
      </c>
      <c r="D43" s="88">
        <v>-5.2</v>
      </c>
      <c r="E43" s="88">
        <v>-8.4</v>
      </c>
      <c r="F43" s="88">
        <v>-18.3</v>
      </c>
      <c r="G43" s="87"/>
      <c r="H43" s="88">
        <f>+(H27/C27-1)*100</f>
        <v>-18.092481748133672</v>
      </c>
      <c r="I43" s="88">
        <f t="shared" ref="I43:K43" si="3">+(I27/D27-1)*100</f>
        <v>-42.157815435006775</v>
      </c>
      <c r="J43" s="88">
        <f t="shared" si="3"/>
        <v>-38.842964855332617</v>
      </c>
      <c r="K43" s="88">
        <f t="shared" si="3"/>
        <v>-53.782685503553381</v>
      </c>
      <c r="L43" s="87"/>
      <c r="M43" s="88">
        <f t="shared" ref="M43:P43" si="4">+(M27/H27-1)*100</f>
        <v>-72.15304481330341</v>
      </c>
      <c r="N43" s="88">
        <f t="shared" si="4"/>
        <v>-66.067535794466423</v>
      </c>
      <c r="O43" s="88">
        <f t="shared" si="4"/>
        <v>-70.82788455243336</v>
      </c>
      <c r="P43" s="88">
        <f t="shared" si="4"/>
        <v>-26.696934334233234</v>
      </c>
      <c r="Q43" s="87"/>
      <c r="R43" s="88">
        <f t="shared" ref="R43:U43" si="5">+(R27/M27-1)*100</f>
        <v>-2.6791943073859348</v>
      </c>
      <c r="S43" s="88">
        <f t="shared" si="5"/>
        <v>-37.566384185209415</v>
      </c>
      <c r="T43" s="88">
        <f t="shared" si="5"/>
        <v>11.51158374477783</v>
      </c>
      <c r="U43" s="88">
        <f t="shared" si="5"/>
        <v>-3.6001168215697987</v>
      </c>
      <c r="V43" s="21"/>
      <c r="W43" s="21"/>
      <c r="X43" s="61"/>
      <c r="Y43" s="40" t="s">
        <v>41</v>
      </c>
      <c r="Z43" s="22"/>
    </row>
    <row r="44" spans="1:26" ht="18" x14ac:dyDescent="0.45">
      <c r="A44" s="23" t="s">
        <v>58</v>
      </c>
      <c r="B44" s="87"/>
      <c r="C44" s="88">
        <v>-2.4</v>
      </c>
      <c r="D44" s="88">
        <v>10</v>
      </c>
      <c r="E44" s="88">
        <v>11</v>
      </c>
      <c r="F44" s="88">
        <v>5.8</v>
      </c>
      <c r="G44" s="87"/>
      <c r="H44" s="88">
        <f>+(H16/C16-1)*100</f>
        <v>4.2339600930803689</v>
      </c>
      <c r="I44" s="88">
        <f t="shared" ref="I44:K44" si="6">+(I16/D16-1)*100</f>
        <v>-6.4973702881605533</v>
      </c>
      <c r="J44" s="88">
        <f t="shared" si="6"/>
        <v>-10.606926074485745</v>
      </c>
      <c r="K44" s="88">
        <f t="shared" si="6"/>
        <v>-7.5622691062057772</v>
      </c>
      <c r="L44" s="87"/>
      <c r="M44" s="88">
        <f t="shared" ref="M44" si="7">+(M16/H16-1)*100</f>
        <v>-2.19359698504622</v>
      </c>
      <c r="N44" s="88">
        <f t="shared" ref="N44" si="8">+(N16/I16-1)*100</f>
        <v>-1.6750982896530098</v>
      </c>
      <c r="O44" s="88">
        <f t="shared" ref="O44" si="9">+(O16/J16-1)*100</f>
        <v>4.5737204359917349</v>
      </c>
      <c r="P44" s="88">
        <f t="shared" ref="P44" si="10">+(P16/K16-1)*100</f>
        <v>6.4685475203301257</v>
      </c>
      <c r="Q44" s="87"/>
      <c r="R44" s="88">
        <f t="shared" ref="R44" si="11">+(R16/M16-1)*100</f>
        <v>3.0449520531503849</v>
      </c>
      <c r="S44" s="88">
        <f t="shared" ref="S44" si="12">+(S16/N16-1)*100</f>
        <v>-4.7654314895420491</v>
      </c>
      <c r="T44" s="88">
        <f t="shared" ref="T44" si="13">+(T16/O16-1)*100</f>
        <v>-1.9759569006803201</v>
      </c>
      <c r="U44" s="88">
        <f t="shared" ref="U44" si="14">+(U16/P16-1)*100</f>
        <v>-5.0655436569736478</v>
      </c>
      <c r="V44" s="21"/>
      <c r="W44" s="21"/>
      <c r="X44" s="61"/>
      <c r="Y44" s="70" t="s">
        <v>59</v>
      </c>
      <c r="Z44" s="22"/>
    </row>
    <row r="45" spans="1:26" x14ac:dyDescent="0.5">
      <c r="A45" s="89" t="s">
        <v>88</v>
      </c>
      <c r="B45" s="90"/>
      <c r="C45" s="91">
        <v>1.2</v>
      </c>
      <c r="D45" s="91">
        <v>9.9</v>
      </c>
      <c r="E45" s="91">
        <v>11.2</v>
      </c>
      <c r="F45" s="91">
        <v>5.9</v>
      </c>
      <c r="G45" s="90"/>
      <c r="H45" s="91">
        <f>+(H21/C21-1)*100</f>
        <v>2.0668030865126141</v>
      </c>
      <c r="I45" s="91">
        <f t="shared" ref="I45:K45" si="15">+(I21/D21-1)*100</f>
        <v>-10.712657226998667</v>
      </c>
      <c r="J45" s="91">
        <f t="shared" si="15"/>
        <v>-11.780694362032996</v>
      </c>
      <c r="K45" s="91">
        <f t="shared" si="15"/>
        <v>-9.8676733798631737</v>
      </c>
      <c r="L45" s="90"/>
      <c r="M45" s="91">
        <f t="shared" ref="M45:P45" si="16">+(M21/H21-1)*100</f>
        <v>-4.4350495639658867</v>
      </c>
      <c r="N45" s="91">
        <f t="shared" si="16"/>
        <v>-1.0166997527661925</v>
      </c>
      <c r="O45" s="91">
        <f t="shared" si="16"/>
        <v>0.40784473187487347</v>
      </c>
      <c r="P45" s="91">
        <f t="shared" si="16"/>
        <v>0.90909611336340568</v>
      </c>
      <c r="Q45" s="90"/>
      <c r="R45" s="91">
        <f t="shared" ref="R45:U45" si="17">+(R21/M21-1)*100</f>
        <v>-2.9603232144161606</v>
      </c>
      <c r="S45" s="91">
        <f t="shared" si="17"/>
        <v>-0.85606197780946358</v>
      </c>
      <c r="T45" s="91">
        <f t="shared" si="17"/>
        <v>4.2102603090934165</v>
      </c>
      <c r="U45" s="91">
        <f t="shared" si="17"/>
        <v>3.2646103659760728</v>
      </c>
      <c r="V45" s="92"/>
      <c r="W45" s="92"/>
      <c r="X45" s="93"/>
      <c r="Y45" s="94" t="s">
        <v>22</v>
      </c>
      <c r="Z45" s="22"/>
    </row>
    <row r="46" spans="1:26" x14ac:dyDescent="0.5">
      <c r="A46" s="95" t="s">
        <v>23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27"/>
      <c r="W46" s="27"/>
      <c r="X46" s="97"/>
      <c r="Y46" s="98" t="s">
        <v>24</v>
      </c>
      <c r="Z46" s="22"/>
    </row>
    <row r="47" spans="1:26" ht="18" x14ac:dyDescent="0.45">
      <c r="A47" s="23" t="s">
        <v>70</v>
      </c>
      <c r="B47" s="20"/>
      <c r="C47" s="20">
        <v>16083.24807569</v>
      </c>
      <c r="D47" s="20">
        <v>17017.764819999997</v>
      </c>
      <c r="E47" s="20">
        <v>16789.528999999999</v>
      </c>
      <c r="F47" s="20">
        <v>17144.242000000002</v>
      </c>
      <c r="G47" s="20"/>
      <c r="H47" s="20">
        <v>17959.662161259999</v>
      </c>
      <c r="I47" s="20">
        <v>17781.826000000001</v>
      </c>
      <c r="J47" s="20">
        <v>16947.277999999998</v>
      </c>
      <c r="K47" s="20">
        <v>17884.171999999999</v>
      </c>
      <c r="L47" s="20"/>
      <c r="M47" s="20">
        <v>20410.764999999999</v>
      </c>
      <c r="N47" s="20">
        <v>20285.861999999997</v>
      </c>
      <c r="O47" s="20">
        <v>20161.315000000002</v>
      </c>
      <c r="P47" s="20">
        <v>20873.284</v>
      </c>
      <c r="Q47" s="20"/>
      <c r="R47" s="20">
        <v>25645.079999999994</v>
      </c>
      <c r="S47" s="20">
        <v>24197.758000000002</v>
      </c>
      <c r="T47" s="20">
        <v>23391.682999999997</v>
      </c>
      <c r="U47" s="20">
        <v>24480.439000000002</v>
      </c>
      <c r="V47" s="21"/>
      <c r="W47" s="21"/>
      <c r="X47" s="61"/>
      <c r="Y47" s="70" t="s">
        <v>71</v>
      </c>
      <c r="Z47" s="22"/>
    </row>
    <row r="48" spans="1:26" ht="18" x14ac:dyDescent="0.45">
      <c r="A48" s="81" t="s">
        <v>80</v>
      </c>
      <c r="B48" s="99"/>
      <c r="C48" s="99">
        <v>7953.7976515199998</v>
      </c>
      <c r="D48" s="99">
        <v>8137.2450100000005</v>
      </c>
      <c r="E48" s="99">
        <v>7989.9259999999995</v>
      </c>
      <c r="F48" s="99">
        <v>7717.6860000000006</v>
      </c>
      <c r="G48" s="99"/>
      <c r="H48" s="99">
        <v>8405.2831612599985</v>
      </c>
      <c r="I48" s="99">
        <v>8508.2769999999982</v>
      </c>
      <c r="J48" s="99">
        <v>7895.6679999999997</v>
      </c>
      <c r="K48" s="99">
        <v>8051.8490000000002</v>
      </c>
      <c r="L48" s="99"/>
      <c r="M48" s="99">
        <v>8728.5489999999991</v>
      </c>
      <c r="N48" s="99">
        <v>9197.7159999999985</v>
      </c>
      <c r="O48" s="99">
        <v>9103.628999999999</v>
      </c>
      <c r="P48" s="99">
        <v>8996.5310000000009</v>
      </c>
      <c r="Q48" s="99"/>
      <c r="R48" s="99">
        <v>9840.4920000000002</v>
      </c>
      <c r="S48" s="99">
        <v>10385.963</v>
      </c>
      <c r="T48" s="99">
        <v>9901.8339999999989</v>
      </c>
      <c r="U48" s="99">
        <v>9877.1549999999988</v>
      </c>
      <c r="V48" s="21"/>
      <c r="W48" s="21"/>
      <c r="X48" s="100" t="s">
        <v>15</v>
      </c>
      <c r="Y48" s="61"/>
      <c r="Z48" s="22"/>
    </row>
    <row r="49" spans="1:33" ht="18" x14ac:dyDescent="0.45">
      <c r="A49" s="89" t="s">
        <v>89</v>
      </c>
      <c r="B49" s="101"/>
      <c r="C49" s="101">
        <v>8129.4504241699997</v>
      </c>
      <c r="D49" s="101">
        <v>8880.5198099999998</v>
      </c>
      <c r="E49" s="101">
        <v>8799.6029999999992</v>
      </c>
      <c r="F49" s="101">
        <v>9426.5560000000005</v>
      </c>
      <c r="G49" s="101"/>
      <c r="H49" s="101">
        <v>9554.3790000000008</v>
      </c>
      <c r="I49" s="101">
        <v>9273.5489999999991</v>
      </c>
      <c r="J49" s="101">
        <v>9051.61</v>
      </c>
      <c r="K49" s="101">
        <v>9832.3230000000003</v>
      </c>
      <c r="L49" s="101"/>
      <c r="M49" s="101">
        <v>11682.216</v>
      </c>
      <c r="N49" s="101">
        <v>11088.145999999999</v>
      </c>
      <c r="O49" s="101">
        <v>11057.686000000002</v>
      </c>
      <c r="P49" s="101">
        <v>11876.753000000001</v>
      </c>
      <c r="Q49" s="101"/>
      <c r="R49" s="101">
        <v>15804.588</v>
      </c>
      <c r="S49" s="101">
        <v>13811.794999999998</v>
      </c>
      <c r="T49" s="101">
        <v>13489.848999999998</v>
      </c>
      <c r="U49" s="101">
        <v>14603.284000000003</v>
      </c>
      <c r="V49" s="102"/>
      <c r="W49" s="102"/>
      <c r="X49" s="103" t="s">
        <v>16</v>
      </c>
      <c r="Y49" s="104"/>
      <c r="Z49" s="105"/>
    </row>
    <row r="50" spans="1:33" s="108" customFormat="1" ht="17.25" x14ac:dyDescent="0.4">
      <c r="A50" s="6" t="s">
        <v>86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11"/>
      <c r="W50" s="11"/>
      <c r="X50" s="106"/>
      <c r="Y50" s="7" t="s">
        <v>85</v>
      </c>
      <c r="Z50" s="107"/>
    </row>
    <row r="51" spans="1:33" s="26" customFormat="1" ht="15" customHeight="1" x14ac:dyDescent="0.4">
      <c r="A51" s="8" t="s">
        <v>96</v>
      </c>
      <c r="B51" s="10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20" t="s">
        <v>97</v>
      </c>
      <c r="W51" s="120"/>
      <c r="X51" s="120"/>
      <c r="Y51" s="120"/>
      <c r="Z51" s="110" t="s">
        <v>44</v>
      </c>
    </row>
    <row r="52" spans="1:33" ht="13.5" customHeight="1" x14ac:dyDescent="0.4">
      <c r="A52" s="8" t="s">
        <v>81</v>
      </c>
      <c r="B52" s="10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11" t="s">
        <v>82</v>
      </c>
      <c r="Z52" s="21" t="s">
        <v>83</v>
      </c>
    </row>
    <row r="53" spans="1:33" ht="16.5" customHeight="1" x14ac:dyDescent="0.25">
      <c r="A53" s="8" t="s">
        <v>84</v>
      </c>
      <c r="B53" s="52"/>
      <c r="C53" s="52"/>
      <c r="D53" s="52"/>
      <c r="E53" s="52"/>
      <c r="F53" s="131" t="s">
        <v>25</v>
      </c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12"/>
      <c r="AA53" s="112"/>
      <c r="AB53" s="112"/>
      <c r="AC53" s="112"/>
      <c r="AD53" s="112"/>
      <c r="AE53" s="112"/>
      <c r="AF53" s="112"/>
      <c r="AG53" s="113"/>
    </row>
    <row r="54" spans="1:33" ht="18" x14ac:dyDescent="0.45">
      <c r="A54" s="8" t="s">
        <v>26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57"/>
      <c r="Y54" s="76" t="s">
        <v>45</v>
      </c>
      <c r="Z54" s="22"/>
    </row>
    <row r="55" spans="1:33" ht="18" x14ac:dyDescent="0.45"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57"/>
      <c r="Y55" s="57"/>
      <c r="Z55" s="22"/>
    </row>
    <row r="56" spans="1:33" ht="18" x14ac:dyDescent="0.45">
      <c r="B56" s="22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22"/>
      <c r="W56" s="22"/>
      <c r="X56" s="57"/>
      <c r="Y56" s="57"/>
      <c r="Z56" s="22"/>
    </row>
    <row r="57" spans="1:33" ht="18" x14ac:dyDescent="0.45">
      <c r="B57" s="22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22"/>
      <c r="W57" s="22"/>
      <c r="X57" s="57"/>
      <c r="Y57" s="57"/>
      <c r="Z57" s="22"/>
    </row>
    <row r="58" spans="1:33" ht="18" x14ac:dyDescent="0.45">
      <c r="B58" s="22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22"/>
      <c r="W58" s="22"/>
      <c r="X58" s="57"/>
      <c r="Y58" s="57"/>
      <c r="Z58" s="22"/>
    </row>
    <row r="59" spans="1:33" ht="18" x14ac:dyDescent="0.45">
      <c r="A59" s="22"/>
      <c r="B59" s="22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22"/>
      <c r="W59" s="22"/>
      <c r="X59" s="57"/>
      <c r="Y59" s="57"/>
      <c r="Z59" s="22"/>
    </row>
    <row r="60" spans="1:33" x14ac:dyDescent="0.5"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</row>
    <row r="61" spans="1:33" x14ac:dyDescent="0.5"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</row>
    <row r="62" spans="1:33" x14ac:dyDescent="0.5"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</row>
    <row r="63" spans="1:33" x14ac:dyDescent="0.5"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</row>
    <row r="64" spans="1:33" x14ac:dyDescent="0.5"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</row>
    <row r="65" spans="3:21" x14ac:dyDescent="0.5"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</row>
    <row r="66" spans="3:21" x14ac:dyDescent="0.5"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</row>
    <row r="67" spans="3:21" x14ac:dyDescent="0.5"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</row>
    <row r="68" spans="3:21" x14ac:dyDescent="0.5"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</row>
    <row r="69" spans="3:21" x14ac:dyDescent="0.5"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</row>
    <row r="70" spans="3:21" x14ac:dyDescent="0.5"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</row>
    <row r="71" spans="3:21" x14ac:dyDescent="0.5"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</row>
    <row r="72" spans="3:21" x14ac:dyDescent="0.5"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</row>
    <row r="73" spans="3:21" x14ac:dyDescent="0.5"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</row>
    <row r="74" spans="3:21" x14ac:dyDescent="0.5"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</row>
    <row r="75" spans="3:21" x14ac:dyDescent="0.5"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</row>
    <row r="76" spans="3:21" x14ac:dyDescent="0.5"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</row>
    <row r="77" spans="3:21" x14ac:dyDescent="0.5"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</row>
    <row r="78" spans="3:21" x14ac:dyDescent="0.5"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</row>
    <row r="79" spans="3:21" x14ac:dyDescent="0.5"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</row>
    <row r="80" spans="3:21" x14ac:dyDescent="0.5"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</row>
    <row r="81" spans="3:21" x14ac:dyDescent="0.5"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</row>
    <row r="82" spans="3:21" x14ac:dyDescent="0.5"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</row>
    <row r="83" spans="3:21" x14ac:dyDescent="0.5"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</row>
    <row r="84" spans="3:21" x14ac:dyDescent="0.5"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</row>
    <row r="85" spans="3:21" x14ac:dyDescent="0.5"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</row>
    <row r="86" spans="3:21" x14ac:dyDescent="0.5"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</row>
    <row r="87" spans="3:21" x14ac:dyDescent="0.5"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</row>
    <row r="88" spans="3:21" x14ac:dyDescent="0.5"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</row>
    <row r="89" spans="3:21" x14ac:dyDescent="0.5"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</row>
    <row r="90" spans="3:21" x14ac:dyDescent="0.5"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</row>
    <row r="91" spans="3:21" x14ac:dyDescent="0.5"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</row>
    <row r="92" spans="3:21" x14ac:dyDescent="0.5"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</row>
    <row r="93" spans="3:21" x14ac:dyDescent="0.5"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</row>
    <row r="94" spans="3:21" x14ac:dyDescent="0.5"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</row>
    <row r="95" spans="3:21" x14ac:dyDescent="0.5"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</row>
    <row r="96" spans="3:21" x14ac:dyDescent="0.5"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</row>
    <row r="97" spans="3:21" x14ac:dyDescent="0.5"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</row>
    <row r="98" spans="3:21" x14ac:dyDescent="0.5"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</row>
    <row r="99" spans="3:21" x14ac:dyDescent="0.5"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</row>
    <row r="100" spans="3:21" x14ac:dyDescent="0.5"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</row>
    <row r="101" spans="3:21" x14ac:dyDescent="0.5"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</row>
    <row r="102" spans="3:21" x14ac:dyDescent="0.5"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</row>
    <row r="103" spans="3:21" x14ac:dyDescent="0.5"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</row>
    <row r="104" spans="3:21" x14ac:dyDescent="0.5"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</row>
    <row r="105" spans="3:21" x14ac:dyDescent="0.5"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</row>
    <row r="106" spans="3:21" x14ac:dyDescent="0.5"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</row>
    <row r="107" spans="3:21" x14ac:dyDescent="0.5"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</row>
    <row r="108" spans="3:21" x14ac:dyDescent="0.5"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</row>
    <row r="109" spans="3:21" x14ac:dyDescent="0.5"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</row>
    <row r="110" spans="3:21" x14ac:dyDescent="0.5"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</row>
    <row r="111" spans="3:21" x14ac:dyDescent="0.5"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</row>
    <row r="112" spans="3:21" x14ac:dyDescent="0.5"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</row>
    <row r="113" spans="3:21" x14ac:dyDescent="0.5"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</row>
    <row r="114" spans="3:21" x14ac:dyDescent="0.5"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</row>
    <row r="115" spans="3:21" x14ac:dyDescent="0.5"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</row>
    <row r="116" spans="3:21" x14ac:dyDescent="0.5"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</row>
    <row r="117" spans="3:21" x14ac:dyDescent="0.5"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</row>
    <row r="118" spans="3:21" x14ac:dyDescent="0.5"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</row>
    <row r="119" spans="3:21" x14ac:dyDescent="0.5"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</row>
    <row r="120" spans="3:21" x14ac:dyDescent="0.5"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</row>
    <row r="121" spans="3:21" x14ac:dyDescent="0.5"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</row>
    <row r="122" spans="3:21" x14ac:dyDescent="0.5"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</row>
    <row r="123" spans="3:21" x14ac:dyDescent="0.5">
      <c r="C123" s="5"/>
      <c r="D123" s="5"/>
      <c r="E123" s="5"/>
      <c r="F123" s="5"/>
      <c r="G123" s="5"/>
      <c r="H123" s="5"/>
      <c r="I123" s="5"/>
      <c r="J123" s="5"/>
      <c r="K123" s="116"/>
      <c r="L123" s="5"/>
      <c r="M123" s="5"/>
      <c r="N123" s="5"/>
      <c r="O123" s="5"/>
      <c r="P123" s="116"/>
      <c r="Q123" s="5"/>
      <c r="R123" s="5"/>
      <c r="S123" s="5"/>
      <c r="T123" s="5"/>
      <c r="U123" s="116"/>
    </row>
    <row r="124" spans="3:21" x14ac:dyDescent="0.5">
      <c r="C124" s="5"/>
      <c r="D124" s="5"/>
      <c r="E124" s="5"/>
      <c r="F124" s="5"/>
      <c r="G124" s="5"/>
      <c r="H124" s="5"/>
      <c r="I124" s="5"/>
      <c r="J124" s="5"/>
      <c r="K124" s="116"/>
      <c r="L124" s="5"/>
      <c r="M124" s="5"/>
      <c r="N124" s="5"/>
      <c r="O124" s="5"/>
      <c r="P124" s="116"/>
      <c r="Q124" s="5"/>
      <c r="R124" s="5"/>
      <c r="S124" s="5"/>
      <c r="T124" s="5"/>
      <c r="U124" s="116"/>
    </row>
    <row r="125" spans="3:21" x14ac:dyDescent="0.5">
      <c r="C125" s="5"/>
      <c r="D125" s="5"/>
      <c r="E125" s="5"/>
      <c r="F125" s="5"/>
      <c r="G125" s="5"/>
      <c r="H125" s="5"/>
      <c r="I125" s="5"/>
      <c r="J125" s="5"/>
      <c r="K125" s="116"/>
      <c r="L125" s="5"/>
      <c r="M125" s="5"/>
      <c r="N125" s="5"/>
      <c r="O125" s="5"/>
      <c r="P125" s="116"/>
      <c r="Q125" s="5"/>
      <c r="R125" s="5"/>
      <c r="S125" s="5"/>
      <c r="T125" s="5"/>
      <c r="U125" s="116"/>
    </row>
    <row r="126" spans="3:21" x14ac:dyDescent="0.5">
      <c r="C126" s="5"/>
      <c r="D126" s="5"/>
      <c r="E126" s="5"/>
      <c r="F126" s="5"/>
      <c r="G126" s="5"/>
      <c r="H126" s="5"/>
      <c r="I126" s="5"/>
      <c r="J126" s="5"/>
      <c r="K126" s="116"/>
      <c r="L126" s="5"/>
      <c r="M126" s="5"/>
      <c r="N126" s="5"/>
      <c r="O126" s="5"/>
      <c r="P126" s="116"/>
      <c r="Q126" s="5"/>
      <c r="R126" s="5"/>
      <c r="S126" s="5"/>
      <c r="T126" s="5"/>
      <c r="U126" s="116"/>
    </row>
    <row r="127" spans="3:21" x14ac:dyDescent="0.5">
      <c r="C127" s="5"/>
      <c r="D127" s="5"/>
      <c r="E127" s="5"/>
      <c r="F127" s="5"/>
      <c r="G127" s="5"/>
      <c r="H127" s="5"/>
      <c r="I127" s="5"/>
      <c r="J127" s="5"/>
      <c r="K127" s="116"/>
      <c r="L127" s="5"/>
      <c r="M127" s="5"/>
      <c r="N127" s="5"/>
      <c r="O127" s="5"/>
      <c r="P127" s="116"/>
      <c r="Q127" s="5"/>
      <c r="R127" s="5"/>
      <c r="S127" s="5"/>
      <c r="T127" s="5"/>
      <c r="U127" s="116"/>
    </row>
    <row r="128" spans="3:21" x14ac:dyDescent="0.5">
      <c r="C128" s="5"/>
      <c r="D128" s="5"/>
      <c r="E128" s="5"/>
      <c r="F128" s="5"/>
      <c r="G128" s="5"/>
      <c r="H128" s="5"/>
      <c r="I128" s="5"/>
      <c r="J128" s="5"/>
      <c r="K128" s="116"/>
      <c r="L128" s="5"/>
      <c r="M128" s="5"/>
      <c r="N128" s="5"/>
      <c r="O128" s="5"/>
      <c r="P128" s="116"/>
      <c r="Q128" s="5"/>
      <c r="R128" s="5"/>
      <c r="S128" s="5"/>
      <c r="T128" s="5"/>
      <c r="U128" s="116"/>
    </row>
    <row r="129" spans="3:21" x14ac:dyDescent="0.5">
      <c r="C129" s="117"/>
      <c r="D129" s="117"/>
      <c r="E129" s="117"/>
      <c r="F129" s="117"/>
      <c r="G129" s="117"/>
      <c r="H129" s="117"/>
      <c r="I129" s="117"/>
      <c r="J129" s="117"/>
      <c r="K129" s="118"/>
      <c r="L129" s="117"/>
      <c r="M129" s="117"/>
      <c r="N129" s="117"/>
      <c r="O129" s="117"/>
      <c r="P129" s="118"/>
      <c r="Q129" s="117"/>
      <c r="R129" s="117"/>
      <c r="S129" s="117"/>
      <c r="T129" s="117"/>
      <c r="U129" s="118"/>
    </row>
  </sheetData>
  <mergeCells count="10">
    <mergeCell ref="A1:Z1"/>
    <mergeCell ref="A2:Z2"/>
    <mergeCell ref="A3:Z3"/>
    <mergeCell ref="F53:Y53"/>
    <mergeCell ref="A4:Z4"/>
    <mergeCell ref="C5:F5"/>
    <mergeCell ref="H5:K5"/>
    <mergeCell ref="M5:P5"/>
    <mergeCell ref="R5:U5"/>
    <mergeCell ref="V51:Y51"/>
  </mergeCells>
  <pageMargins left="0.52" right="0.3" top="0.42" bottom="0.56999999999999995" header="0.3" footer="0.3"/>
  <pageSetup paperSize="9" scale="52" fitToHeight="0" orientation="landscape" r:id="rId1"/>
  <rowBreaks count="1" manualBreakCount="1">
    <brk id="55" max="16383" man="1"/>
  </rowBreaks>
  <colBreaks count="1" manualBreakCount="1"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14.7</vt:lpstr>
      <vt:lpstr>'14.7'!Print_Area</vt:lpstr>
      <vt:lpstr>'14.7'!Print_Titles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2016-03-16T07:18:53Z</cp:lastPrinted>
  <dcterms:created xsi:type="dcterms:W3CDTF">2013-04-01T04:26:10Z</dcterms:created>
  <dcterms:modified xsi:type="dcterms:W3CDTF">2016-03-16T07:18:55Z</dcterms:modified>
</cp:coreProperties>
</file>