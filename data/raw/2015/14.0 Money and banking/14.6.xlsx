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-75" windowWidth="14520" windowHeight="11760" tabRatio="765"/>
  </bookViews>
  <sheets>
    <sheet name="14.6" sheetId="4" r:id="rId1"/>
  </sheets>
  <definedNames>
    <definedName name="AA">'[1]Monetary Aggr'!#REF!</definedName>
    <definedName name="Date_ODC">[2]Industry!$4:$4</definedName>
    <definedName name="LCFC_ODC">[2]Industry!$5:$5</definedName>
    <definedName name="_xlnm.Print_Area" localSheetId="0">'14.6'!$A$1:$Y$45</definedName>
  </definedNames>
  <calcPr calcId="145621"/>
</workbook>
</file>

<file path=xl/calcChain.xml><?xml version="1.0" encoding="utf-8"?>
<calcChain xmlns="http://schemas.openxmlformats.org/spreadsheetml/2006/main">
  <c r="U37" i="4" l="1"/>
  <c r="T37" i="4"/>
  <c r="S37" i="4"/>
  <c r="R37" i="4"/>
  <c r="P37" i="4"/>
  <c r="O37" i="4"/>
  <c r="N37" i="4"/>
  <c r="M37" i="4"/>
  <c r="K37" i="4"/>
  <c r="J37" i="4"/>
  <c r="I37" i="4"/>
  <c r="U38" i="4"/>
  <c r="T38" i="4"/>
  <c r="S38" i="4"/>
  <c r="R38" i="4"/>
  <c r="P38" i="4"/>
  <c r="O38" i="4"/>
  <c r="N38" i="4"/>
  <c r="M38" i="4"/>
  <c r="K38" i="4"/>
  <c r="J38" i="4"/>
  <c r="I38" i="4"/>
  <c r="H38" i="4"/>
  <c r="H37" i="4"/>
  <c r="U36" i="4"/>
  <c r="T36" i="4"/>
  <c r="S36" i="4"/>
  <c r="R36" i="4"/>
  <c r="P36" i="4"/>
  <c r="O36" i="4"/>
  <c r="N36" i="4"/>
  <c r="M36" i="4"/>
  <c r="K36" i="4"/>
  <c r="J36" i="4"/>
  <c r="I36" i="4"/>
  <c r="H36" i="4"/>
</calcChain>
</file>

<file path=xl/sharedStrings.xml><?xml version="1.0" encoding="utf-8"?>
<sst xmlns="http://schemas.openxmlformats.org/spreadsheetml/2006/main" count="114" uniqueCount="85">
  <si>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</si>
  <si>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</si>
  <si>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</si>
  <si>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</si>
  <si>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</si>
  <si>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</si>
  <si>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r>
      <rPr>
        <b/>
        <vertAlign val="superscript"/>
        <sz val="9"/>
        <rFont val="A_Randhoo"/>
      </rPr>
      <t xml:space="preserve"> 1_/</t>
    </r>
    <r>
      <rPr>
        <b/>
        <sz val="9"/>
        <rFont val="A_Randhoo"/>
      </rPr>
      <t>cmesiD</t>
    </r>
  </si>
  <si>
    <t>cmesiD</t>
  </si>
  <si>
    <t>clIBcfwt</t>
  </si>
  <si>
    <t>Mar</t>
  </si>
  <si>
    <t>Jun</t>
  </si>
  <si>
    <t>Sep</t>
  </si>
  <si>
    <t>ސަރުކާރަށް ދޫކުރެވުނު ދަރަނި</t>
  </si>
  <si>
    <t>ސަރުކާރަށް ލިބެންވާ ( ޑިޕޮސިޓް އަދި އެހެނިހެން ފައިސާ)</t>
  </si>
  <si>
    <t>އެހެނިހެން މާލީދާއިރާގެ ކުންފުނިތަކުން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</si>
  <si>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</si>
  <si>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</si>
  <si>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ސެކިޔުރިޓީސް ( ހިއްސާ ނުހިމަނައި)</t>
  </si>
  <si>
    <t>ރަޢުސުލްމާލުގެ ހިސާބު</t>
  </si>
  <si>
    <t>Annual percentage change</t>
  </si>
  <si>
    <t>އަހަރުން އަހަރަށް އިތުރުވި މިންވަރު އިންސައްތަ</t>
  </si>
  <si>
    <t>Memorandum items:</t>
  </si>
  <si>
    <t>:utWmUluAwm urutia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</si>
  <si>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</si>
  <si>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</si>
  <si>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</si>
  <si>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Dec</t>
  </si>
  <si>
    <t>Claims on other depository corporations</t>
  </si>
  <si>
    <t xml:space="preserve">ވިޔަފާރި ބޭންކް ތަކުން ލިބެންވާ </t>
  </si>
  <si>
    <t>Claims on other sectors</t>
  </si>
  <si>
    <t>އެހެނިހެން ފަރާތްތަކުން ލިބެންވާ</t>
  </si>
  <si>
    <t>Wsiawf Wvuruawd</t>
  </si>
  <si>
    <t xml:space="preserve">ވިޔަފާރި ބޭންކް ތަކަށް ލިބެންވާ </t>
  </si>
  <si>
    <t>އެހެނިހެން ފަރާތްތަކަށް ލިބެންވާ</t>
  </si>
  <si>
    <t>Other liabilities to other depository corporations</t>
  </si>
  <si>
    <t>ވިޔަފާރި ބޭންކް ތަކަށް ލިބެންވާ (އެހެނިހެން)</t>
  </si>
  <si>
    <t>Shares and other equity (Capital Accounts)</t>
  </si>
  <si>
    <t>Claims on central government</t>
  </si>
  <si>
    <r>
      <t xml:space="preserve"> Dec</t>
    </r>
    <r>
      <rPr>
        <b/>
        <vertAlign val="superscript"/>
        <sz val="10"/>
        <rFont val="Calibri"/>
        <family val="2"/>
        <scheme val="minor"/>
      </rPr>
      <t>1_/</t>
    </r>
    <r>
      <rPr>
        <b/>
        <sz val="10"/>
        <rFont val="Calibri"/>
        <family val="2"/>
        <scheme val="minor"/>
      </rPr>
      <t xml:space="preserve"> </t>
    </r>
    <r>
      <rPr>
        <b/>
        <vertAlign val="subscript"/>
        <sz val="11"/>
        <rFont val="Arial"/>
        <family val="2"/>
      </rPr>
      <t/>
    </r>
  </si>
  <si>
    <t>Total Assets</t>
  </si>
  <si>
    <t>cTesea wlcmuj</t>
  </si>
  <si>
    <t>Foreign assets</t>
  </si>
  <si>
    <t>cTesea egurEb</t>
  </si>
  <si>
    <t xml:space="preserve">  Securities other than shares</t>
  </si>
  <si>
    <t xml:space="preserve">  Advances and other claims</t>
  </si>
  <si>
    <t>ލޯނާއި އެހެނިހެން ދަރަނި</t>
  </si>
  <si>
    <t xml:space="preserve">  Other financial corporations</t>
  </si>
  <si>
    <t xml:space="preserve">  Public non-financial corporations</t>
  </si>
  <si>
    <t xml:space="preserve">  Private sector</t>
  </si>
  <si>
    <t>Other assets</t>
  </si>
  <si>
    <t>cawtcTesea cnehinehea</t>
  </si>
  <si>
    <t>Non-financial assets</t>
  </si>
  <si>
    <t>މާލީ އެސެޓްގެ ގޮތުގައި ނުހިމެނޭ އެސެޓް</t>
  </si>
  <si>
    <t>Total Liabilities</t>
  </si>
  <si>
    <t>ITilibiawl wlcmuj</t>
  </si>
  <si>
    <t>Currency in circulation</t>
  </si>
  <si>
    <t>Claims to central government</t>
  </si>
  <si>
    <t>Claims to other depository corporations</t>
  </si>
  <si>
    <t>Claims to other sectors</t>
  </si>
  <si>
    <t>ސަރުކާރު ހިއްސާވާ ކުންފުނިތަކަށް (މާލީދާއިރާގެ ކުންފުނިތައް ނުހިމަނައި)</t>
  </si>
  <si>
    <t>އެހެނިހެން މާލީދާއިރާގެ ކުންފުނިތަކަށް</t>
  </si>
  <si>
    <t xml:space="preserve"> cSwkwtctWrwf wlcaimwa</t>
  </si>
  <si>
    <t>Securities other than shares</t>
  </si>
  <si>
    <t>Foreign liabilities</t>
  </si>
  <si>
    <t>ITilibiawl egurEb</t>
  </si>
  <si>
    <t>Other liabilities</t>
  </si>
  <si>
    <t>ITilibiawl  cnehinehea</t>
  </si>
  <si>
    <t>Foregin assets</t>
  </si>
  <si>
    <t xml:space="preserve">  Foreign assets of MMA, gross (U.S. dollar millions)</t>
  </si>
  <si>
    <t>އެމްއެމްއޭގެ ބޭރުގެ އެސެޓް ( މިލިޔަން ޔޫއެސް ޑޮލަރުން)</t>
  </si>
  <si>
    <t xml:space="preserve">  Exchange rate (Rufiyaa per U.S. dollar)</t>
  </si>
  <si>
    <t>އެކްސްޗޭންޖް ރޭޓް (ޔޫއެސް ޑޮލަރަކަށް ޖެހޭ ރުފިޔާގެ އަދަދު)</t>
  </si>
  <si>
    <t>/1</t>
  </si>
  <si>
    <t>ITirOtoa IrwTinwm cscviDclOm :ctWrwf ivcaedutWmUluAwm</t>
  </si>
  <si>
    <t>ނޯޓް:</t>
  </si>
  <si>
    <t>NOTE:</t>
  </si>
  <si>
    <r>
      <t xml:space="preserve"> Dec</t>
    </r>
    <r>
      <rPr>
        <b/>
        <vertAlign val="subscript"/>
        <sz val="11"/>
        <rFont val="Arial"/>
        <family val="2"/>
      </rPr>
      <t/>
    </r>
  </si>
  <si>
    <t>ޑިސެމް</t>
  </si>
  <si>
    <r>
      <t xml:space="preserve">2012 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</si>
  <si>
    <r>
      <t xml:space="preserve">2013 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</si>
  <si>
    <r>
      <t>2011</t>
    </r>
    <r>
      <rPr>
        <b/>
        <vertAlign val="superscript"/>
        <sz val="10"/>
        <rFont val="Arial"/>
        <family val="2"/>
      </rPr>
      <t>1_/</t>
    </r>
  </si>
  <si>
    <t>2014 - 2011 ,cawtITilibiawl iaWkwtcTesea egITirOtoa IrwTinwm cscviDclOm : 14.6 ulwvWt</t>
  </si>
  <si>
    <t xml:space="preserve"> Table 14.6: ASSETS AND LIABILITIES OF MALDIVES MONETARY AUTHORITY 2011 - 2014</t>
  </si>
  <si>
    <t>1_/ : 2011,  2012 and 2013 revised</t>
  </si>
  <si>
    <t xml:space="preserve"> 2011، 2012 އަދި 2013 އިސްލާޙުކުރެވިފައި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</si>
</sst>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1" formatCode="_ * #,##0.00_ ;_ * \-#,##0.00_ ;_ * &quot;-&quot;??_ ;_ @_ "/>
    <numFmt numFmtId="172" formatCode="#,##0.0_);\(#,##0.0\)"/>
    <numFmt numFmtId="173" formatCode="mmmm\-yy"/>
    <numFmt numFmtId="174" formatCode="_-&quot;$&quot;* #,##0_-;\-&quot;$&quot;* #,##0_-;_-&quot;$&quot;* &quot;-&quot;_-;_-@_-"/>
    <numFmt numFmtId="175" formatCode="0.0000%"/>
    <numFmt numFmtId="176" formatCode="##,##0.0000"/>
    <numFmt numFmtId="177" formatCode="_-* #,##0\ _F_-;\-* #,##0\ _F_-;_-* &quot;-&quot;\ _F_-;_-@_-"/>
    <numFmt numFmtId="178" formatCode="_-* #,##0.00\ _F_-;\-* #,##0.00\ _F_-;_-* &quot;-&quot;??\ _F_-;_-@_-"/>
    <numFmt numFmtId="179" formatCode="#,##0\ &quot;F&quot;;[Red]\-#,##0\ &quot;F&quot;"/>
    <numFmt numFmtId="180" formatCode="#,##0.00\ &quot;F&quot;;\-#,##0.00\ &quot;F&quot;"/>
    <numFmt numFmtId="181" formatCode="_-&quot;$&quot;* #,##0.00_-;\-&quot;$&quot;* #,##0.00_-;_-&quot;$&quot;* &quot;-&quot;??_-;_-@_-"/>
    <numFmt numFmtId="182" formatCode="#,##0&quot;£&quot;_);\(#,##0&quot;£&quot;\)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rial"/>
      <family val="2"/>
    </font>
    <font>
      <sz val="9"/>
      <name val="Faruma"/>
    </font>
    <font>
      <b/>
      <vertAlign val="superscript"/>
      <sz val="9"/>
      <name val="A_Randhoo"/>
    </font>
    <font>
      <b/>
      <vertAlign val="superscript"/>
      <sz val="10"/>
      <name val="Arial"/>
      <family val="2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A_Randhoo"/>
    </font>
    <font>
      <b/>
      <sz val="10"/>
      <name val="Faruma"/>
    </font>
    <font>
      <b/>
      <sz val="9"/>
      <name val="Calibri"/>
      <family val="2"/>
      <scheme val="minor"/>
    </font>
    <font>
      <b/>
      <sz val="12"/>
      <name val="A_Randhoo"/>
    </font>
    <font>
      <b/>
      <vertAlign val="superscript"/>
      <sz val="10"/>
      <name val="Calibri"/>
      <family val="2"/>
      <scheme val="minor"/>
    </font>
    <font>
      <b/>
      <i/>
      <sz val="9"/>
      <name val="Arial"/>
      <family val="2"/>
    </font>
    <font>
      <i/>
      <sz val="10"/>
      <name val="Arial"/>
      <family val="2"/>
    </font>
    <font>
      <b/>
      <i/>
      <sz val="9"/>
      <name val="A_Reethi"/>
      <charset val="1"/>
    </font>
    <font>
      <sz val="10"/>
      <name val="A_Randhoo"/>
    </font>
    <font>
      <b/>
      <i/>
      <sz val="10"/>
      <name val="A_Randhoo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 tint="4.9989318521683403E-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3" fillId="0" borderId="0"/>
    <xf numFmtId="0" fontId="3" fillId="0" borderId="0"/>
    <xf numFmtId="17" fontId="3" fillId="0" borderId="0" applyFont="0"/>
    <xf numFmtId="17" fontId="3" fillId="0" borderId="0" applyFont="0"/>
    <xf numFmtId="0" fontId="3" fillId="0" borderId="0"/>
    <xf numFmtId="0" fontId="3" fillId="0" borderId="0"/>
    <xf numFmtId="0" fontId="3" fillId="0" borderId="0"/>
    <xf numFmtId="0" fontId="3" fillId="0" borderId="0"/>
    <xf numFmtId="17" fontId="3" fillId="0" borderId="0" applyFont="0"/>
    <xf numFmtId="0" fontId="3" fillId="0" borderId="0"/>
    <xf numFmtId="0" fontId="31" fillId="2" borderId="0" applyNumberFormat="0" applyBorder="0" applyAlignment="0" applyProtection="0"/>
    <xf numFmtId="0" fontId="31" fillId="3" borderId="0" applyNumberFormat="0" applyBorder="0" applyAlignment="0" applyProtection="0"/>
    <xf numFmtId="0" fontId="32" fillId="4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1" fillId="2" borderId="0" applyNumberFormat="0" applyBorder="0" applyAlignment="0" applyProtection="0"/>
    <xf numFmtId="0" fontId="31" fillId="6" borderId="0" applyNumberFormat="0" applyBorder="0" applyAlignment="0" applyProtection="0"/>
    <xf numFmtId="0" fontId="32" fillId="7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2" fillId="6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1" fillId="2" borderId="0" applyNumberFormat="0" applyBorder="0" applyAlignment="0" applyProtection="0"/>
    <xf numFmtId="0" fontId="31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2" fillId="4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2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17" fontId="3" fillId="0" borderId="0" applyFont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71" fontId="3" fillId="0" borderId="0" applyFill="0" applyBorder="0" applyAlignment="0"/>
    <xf numFmtId="0" fontId="35" fillId="0" borderId="0" applyFill="0" applyBorder="0" applyAlignment="0"/>
    <xf numFmtId="0" fontId="3" fillId="0" borderId="0" applyFill="0" applyBorder="0" applyAlignment="0"/>
    <xf numFmtId="172" fontId="2" fillId="0" borderId="0" applyFill="0" applyBorder="0" applyAlignment="0"/>
    <xf numFmtId="173" fontId="3" fillId="0" borderId="0" applyFill="0" applyBorder="0" applyAlignment="0"/>
    <xf numFmtId="171" fontId="3" fillId="0" borderId="0" applyFill="0" applyBorder="0" applyAlignment="0"/>
    <xf numFmtId="174" fontId="3" fillId="0" borderId="0" applyFill="0" applyBorder="0" applyAlignment="0"/>
    <xf numFmtId="0" fontId="35" fillId="0" borderId="0" applyFill="0" applyBorder="0" applyAlignment="0"/>
    <xf numFmtId="0" fontId="36" fillId="14" borderId="22" applyNumberFormat="0" applyAlignment="0" applyProtection="0"/>
    <xf numFmtId="0" fontId="36" fillId="14" borderId="22" applyNumberFormat="0" applyAlignment="0" applyProtection="0"/>
    <xf numFmtId="0" fontId="36" fillId="14" borderId="22" applyNumberFormat="0" applyAlignment="0" applyProtection="0"/>
    <xf numFmtId="0" fontId="36" fillId="14" borderId="22" applyNumberFormat="0" applyAlignment="0" applyProtection="0"/>
    <xf numFmtId="0" fontId="36" fillId="14" borderId="22" applyNumberFormat="0" applyAlignment="0" applyProtection="0"/>
    <xf numFmtId="0" fontId="36" fillId="14" borderId="22" applyNumberFormat="0" applyAlignment="0" applyProtection="0"/>
    <xf numFmtId="0" fontId="36" fillId="14" borderId="22" applyNumberFormat="0" applyAlignment="0" applyProtection="0"/>
    <xf numFmtId="0" fontId="36" fillId="14" borderId="22" applyNumberFormat="0" applyAlignment="0" applyProtection="0"/>
    <xf numFmtId="17" fontId="3" fillId="0" borderId="0" applyFont="0"/>
    <xf numFmtId="0" fontId="37" fillId="7" borderId="23" applyNumberFormat="0" applyAlignment="0" applyProtection="0"/>
    <xf numFmtId="0" fontId="37" fillId="7" borderId="23" applyNumberFormat="0" applyAlignment="0" applyProtection="0"/>
    <xf numFmtId="0" fontId="37" fillId="7" borderId="23" applyNumberFormat="0" applyAlignment="0" applyProtection="0"/>
    <xf numFmtId="0" fontId="37" fillId="7" borderId="23" applyNumberFormat="0" applyAlignment="0" applyProtection="0"/>
    <xf numFmtId="0" fontId="37" fillId="7" borderId="23" applyNumberFormat="0" applyAlignment="0" applyProtection="0"/>
    <xf numFmtId="0" fontId="37" fillId="7" borderId="23" applyNumberFormat="0" applyAlignment="0" applyProtection="0"/>
    <xf numFmtId="0" fontId="37" fillId="7" borderId="23" applyNumberFormat="0" applyAlignment="0" applyProtection="0"/>
    <xf numFmtId="0" fontId="37" fillId="7" borderId="23" applyNumberFormat="0" applyAlignment="0" applyProtection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1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0" fontId="35" fillId="0" borderId="0" applyFont="0" applyFill="0" applyBorder="0" applyAlignment="0" applyProtection="0"/>
    <xf numFmtId="14" fontId="38" fillId="0" borderId="0" applyFill="0" applyBorder="0" applyAlignment="0"/>
    <xf numFmtId="0" fontId="39" fillId="15" borderId="0" applyNumberFormat="0" applyBorder="0" applyAlignment="0" applyProtection="0"/>
    <xf numFmtId="0" fontId="39" fillId="16" borderId="0" applyNumberFormat="0" applyBorder="0" applyAlignment="0" applyProtection="0"/>
    <xf numFmtId="0" fontId="39" fillId="17" borderId="0" applyNumberFormat="0" applyBorder="0" applyAlignment="0" applyProtection="0"/>
    <xf numFmtId="171" fontId="3" fillId="0" borderId="0" applyFill="0" applyBorder="0" applyAlignment="0"/>
    <xf numFmtId="0" fontId="35" fillId="0" borderId="0" applyFill="0" applyBorder="0" applyAlignment="0"/>
    <xf numFmtId="171" fontId="3" fillId="0" borderId="0" applyFill="0" applyBorder="0" applyAlignment="0"/>
    <xf numFmtId="174" fontId="3" fillId="0" borderId="0" applyFill="0" applyBorder="0" applyAlignment="0"/>
    <xf numFmtId="0" fontId="35" fillId="0" borderId="0" applyFill="0" applyBorder="0" applyAlignment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38" fontId="30" fillId="19" borderId="0" applyNumberFormat="0" applyBorder="0" applyAlignment="0" applyProtection="0"/>
    <xf numFmtId="0" fontId="41" fillId="0" borderId="24" applyNumberFormat="0" applyAlignment="0" applyProtection="0">
      <alignment horizontal="left" vertical="center"/>
    </xf>
    <xf numFmtId="0" fontId="41" fillId="0" borderId="21">
      <alignment horizontal="left" vertical="center"/>
    </xf>
    <xf numFmtId="0" fontId="42" fillId="0" borderId="25" applyNumberFormat="0" applyFill="0" applyAlignment="0" applyProtection="0"/>
    <xf numFmtId="0" fontId="42" fillId="0" borderId="25" applyNumberFormat="0" applyFill="0" applyAlignment="0" applyProtection="0"/>
    <xf numFmtId="0" fontId="42" fillId="0" borderId="25" applyNumberFormat="0" applyFill="0" applyAlignment="0" applyProtection="0"/>
    <xf numFmtId="0" fontId="42" fillId="0" borderId="25" applyNumberFormat="0" applyFill="0" applyAlignment="0" applyProtection="0"/>
    <xf numFmtId="0" fontId="42" fillId="0" borderId="25" applyNumberFormat="0" applyFill="0" applyAlignment="0" applyProtection="0"/>
    <xf numFmtId="0" fontId="42" fillId="0" borderId="25" applyNumberFormat="0" applyFill="0" applyAlignment="0" applyProtection="0"/>
    <xf numFmtId="0" fontId="42" fillId="0" borderId="25" applyNumberFormat="0" applyFill="0" applyAlignment="0" applyProtection="0"/>
    <xf numFmtId="0" fontId="42" fillId="0" borderId="25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0" fontId="30" fillId="20" borderId="28" applyNumberFormat="0" applyBorder="0" applyAlignment="0" applyProtection="0"/>
    <xf numFmtId="0" fontId="45" fillId="11" borderId="22" applyNumberFormat="0" applyAlignment="0" applyProtection="0"/>
    <xf numFmtId="0" fontId="45" fillId="11" borderId="22" applyNumberFormat="0" applyAlignment="0" applyProtection="0"/>
    <xf numFmtId="0" fontId="45" fillId="11" borderId="22" applyNumberFormat="0" applyAlignment="0" applyProtection="0"/>
    <xf numFmtId="0" fontId="45" fillId="11" borderId="22" applyNumberFormat="0" applyAlignment="0" applyProtection="0"/>
    <xf numFmtId="0" fontId="45" fillId="11" borderId="22" applyNumberFormat="0" applyAlignment="0" applyProtection="0"/>
    <xf numFmtId="0" fontId="45" fillId="11" borderId="22" applyNumberFormat="0" applyAlignment="0" applyProtection="0"/>
    <xf numFmtId="0" fontId="45" fillId="11" borderId="22" applyNumberFormat="0" applyAlignment="0" applyProtection="0"/>
    <xf numFmtId="0" fontId="45" fillId="11" borderId="22" applyNumberFormat="0" applyAlignment="0" applyProtection="0"/>
    <xf numFmtId="171" fontId="3" fillId="0" borderId="0" applyFill="0" applyBorder="0" applyAlignment="0"/>
    <xf numFmtId="0" fontId="35" fillId="0" borderId="0" applyFill="0" applyBorder="0" applyAlignment="0"/>
    <xf numFmtId="171" fontId="3" fillId="0" borderId="0" applyFill="0" applyBorder="0" applyAlignment="0"/>
    <xf numFmtId="174" fontId="3" fillId="0" borderId="0" applyFill="0" applyBorder="0" applyAlignment="0"/>
    <xf numFmtId="0" fontId="35" fillId="0" borderId="0" applyFill="0" applyBorder="0" applyAlignment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177" fontId="47" fillId="0" borderId="0" applyFont="0" applyFill="0" applyBorder="0" applyAlignment="0" applyProtection="0"/>
    <xf numFmtId="178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4" fontId="47" fillId="0" borderId="0" applyFont="0" applyFill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179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30" applyNumberFormat="0" applyFont="0" applyAlignment="0" applyProtection="0"/>
    <xf numFmtId="0" fontId="3" fillId="10" borderId="30" applyNumberFormat="0" applyFont="0" applyAlignment="0" applyProtection="0"/>
    <xf numFmtId="0" fontId="3" fillId="10" borderId="30" applyNumberFormat="0" applyFont="0" applyAlignment="0" applyProtection="0"/>
    <xf numFmtId="0" fontId="3" fillId="10" borderId="30" applyNumberFormat="0" applyFont="0" applyAlignment="0" applyProtection="0"/>
    <xf numFmtId="0" fontId="3" fillId="10" borderId="30" applyNumberFormat="0" applyFont="0" applyAlignment="0" applyProtection="0"/>
    <xf numFmtId="0" fontId="3" fillId="10" borderId="30" applyNumberFormat="0" applyFont="0" applyAlignment="0" applyProtection="0"/>
    <xf numFmtId="0" fontId="3" fillId="10" borderId="30" applyNumberFormat="0" applyFont="0" applyAlignment="0" applyProtection="0"/>
    <xf numFmtId="0" fontId="3" fillId="10" borderId="30" applyNumberFormat="0" applyFont="0" applyAlignment="0" applyProtection="0"/>
    <xf numFmtId="0" fontId="49" fillId="14" borderId="31" applyNumberFormat="0" applyAlignment="0" applyProtection="0"/>
    <xf numFmtId="0" fontId="49" fillId="14" borderId="31" applyNumberFormat="0" applyAlignment="0" applyProtection="0"/>
    <xf numFmtId="0" fontId="49" fillId="14" borderId="31" applyNumberFormat="0" applyAlignment="0" applyProtection="0"/>
    <xf numFmtId="0" fontId="49" fillId="14" borderId="31" applyNumberFormat="0" applyAlignment="0" applyProtection="0"/>
    <xf numFmtId="0" fontId="49" fillId="14" borderId="31" applyNumberFormat="0" applyAlignment="0" applyProtection="0"/>
    <xf numFmtId="0" fontId="49" fillId="14" borderId="31" applyNumberFormat="0" applyAlignment="0" applyProtection="0"/>
    <xf numFmtId="0" fontId="49" fillId="14" borderId="31" applyNumberFormat="0" applyAlignment="0" applyProtection="0"/>
    <xf numFmtId="0" fontId="49" fillId="14" borderId="31" applyNumberFormat="0" applyAlignment="0" applyProtection="0"/>
    <xf numFmtId="0" fontId="3" fillId="0" borderId="0"/>
    <xf numFmtId="17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1" fontId="3" fillId="0" borderId="0" applyFill="0" applyBorder="0" applyAlignment="0"/>
    <xf numFmtId="0" fontId="35" fillId="0" borderId="0" applyFill="0" applyBorder="0" applyAlignment="0"/>
    <xf numFmtId="171" fontId="3" fillId="0" borderId="0" applyFill="0" applyBorder="0" applyAlignment="0"/>
    <xf numFmtId="174" fontId="3" fillId="0" borderId="0" applyFill="0" applyBorder="0" applyAlignment="0"/>
    <xf numFmtId="0" fontId="35" fillId="0" borderId="0" applyFill="0" applyBorder="0" applyAlignment="0"/>
    <xf numFmtId="0" fontId="50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49" fontId="38" fillId="0" borderId="0" applyFill="0" applyBorder="0" applyAlignment="0"/>
    <xf numFmtId="181" fontId="3" fillId="0" borderId="0" applyFill="0" applyBorder="0" applyAlignment="0"/>
    <xf numFmtId="182" fontId="3" fillId="0" borderId="0" applyFill="0" applyBorder="0" applyAlignment="0"/>
    <xf numFmtId="0" fontId="39" fillId="0" borderId="32" applyNumberFormat="0" applyFill="0" applyAlignment="0" applyProtection="0"/>
    <xf numFmtId="0" fontId="39" fillId="0" borderId="32" applyNumberFormat="0" applyFill="0" applyAlignment="0" applyProtection="0"/>
    <xf numFmtId="0" fontId="39" fillId="0" borderId="32" applyNumberFormat="0" applyFill="0" applyAlignment="0" applyProtection="0"/>
    <xf numFmtId="0" fontId="39" fillId="0" borderId="32" applyNumberFormat="0" applyFill="0" applyAlignment="0" applyProtection="0"/>
    <xf numFmtId="0" fontId="39" fillId="0" borderId="32" applyNumberFormat="0" applyFill="0" applyAlignment="0" applyProtection="0"/>
    <xf numFmtId="0" fontId="39" fillId="0" borderId="32" applyNumberFormat="0" applyFill="0" applyAlignment="0" applyProtection="0"/>
    <xf numFmtId="0" fontId="39" fillId="0" borderId="32" applyNumberFormat="0" applyFill="0" applyAlignment="0" applyProtection="0"/>
    <xf numFmtId="0" fontId="39" fillId="0" borderId="32" applyNumberFormat="0" applyFill="0" applyAlignment="0" applyProtection="0"/>
    <xf numFmtId="0" fontId="51" fillId="0" borderId="0">
      <alignment vertical="top"/>
    </xf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</cellStyleXfs>
  <cellXfs count="126">
    <xf numFmtId="0" fontId="0" fillId="0" borderId="0" xfId="0"/>
    <xf numFmtId="0" fontId="4" fillId="21" borderId="2" xfId="0" applyFont="1" applyFill="1" applyBorder="1" applyAlignment="1">
      <alignment horizontal="center" vertical="center"/>
    </xf>
    <xf numFmtId="164" fontId="5" fillId="21" borderId="0" xfId="2" applyNumberFormat="1" applyFont="1" applyFill="1" applyBorder="1" applyAlignment="1">
      <alignment horizontal="right"/>
    </xf>
    <xf numFmtId="164" fontId="5" fillId="21" borderId="4" xfId="2" applyNumberFormat="1" applyFont="1" applyFill="1" applyBorder="1" applyAlignment="1">
      <alignment horizontal="right"/>
    </xf>
    <xf numFmtId="0" fontId="22" fillId="21" borderId="1" xfId="0" applyFont="1" applyFill="1" applyBorder="1" applyAlignment="1">
      <alignment horizontal="right"/>
    </xf>
    <xf numFmtId="0" fontId="16" fillId="21" borderId="0" xfId="0" applyFont="1" applyFill="1" applyBorder="1" applyAlignment="1" applyProtection="1">
      <alignment horizontal="left"/>
    </xf>
    <xf numFmtId="164" fontId="27" fillId="21" borderId="0" xfId="2" applyNumberFormat="1" applyFont="1" applyFill="1" applyAlignment="1">
      <alignment horizontal="right" vertical="center"/>
    </xf>
    <xf numFmtId="164" fontId="18" fillId="21" borderId="0" xfId="2" applyNumberFormat="1" applyFont="1" applyFill="1" applyAlignment="1">
      <alignment horizontal="left" vertical="center" indent="2"/>
    </xf>
    <xf numFmtId="164" fontId="8" fillId="21" borderId="0" xfId="2" applyNumberFormat="1" applyFont="1" applyFill="1" applyAlignment="1">
      <alignment vertical="center" wrapText="1"/>
    </xf>
    <xf numFmtId="165" fontId="6" fillId="21" borderId="0" xfId="0" applyNumberFormat="1" applyFont="1" applyFill="1" applyBorder="1" applyAlignment="1">
      <alignment vertical="center"/>
    </xf>
    <xf numFmtId="0" fontId="0" fillId="21" borderId="5" xfId="0" applyFill="1" applyBorder="1" applyAlignment="1"/>
    <xf numFmtId="0" fontId="0" fillId="21" borderId="10" xfId="0" applyFill="1" applyBorder="1" applyAlignment="1"/>
    <xf numFmtId="0" fontId="13" fillId="21" borderId="10" xfId="0" applyFont="1" applyFill="1" applyBorder="1" applyAlignment="1"/>
    <xf numFmtId="0" fontId="13" fillId="21" borderId="5" xfId="0" applyFont="1" applyFill="1" applyBorder="1" applyAlignment="1"/>
    <xf numFmtId="0" fontId="3" fillId="21" borderId="5" xfId="0" applyFont="1" applyFill="1" applyBorder="1" applyAlignment="1"/>
    <xf numFmtId="0" fontId="3" fillId="21" borderId="10" xfId="0" applyFont="1" applyFill="1" applyBorder="1" applyAlignment="1"/>
    <xf numFmtId="0" fontId="4" fillId="21" borderId="11" xfId="0" applyFont="1" applyFill="1" applyBorder="1" applyAlignment="1">
      <alignment horizontal="center"/>
    </xf>
    <xf numFmtId="0" fontId="3" fillId="21" borderId="2" xfId="0" applyFont="1" applyFill="1" applyBorder="1" applyAlignment="1"/>
    <xf numFmtId="0" fontId="6" fillId="21" borderId="33" xfId="0" applyFont="1" applyFill="1" applyBorder="1" applyAlignment="1"/>
    <xf numFmtId="0" fontId="4" fillId="21" borderId="13" xfId="0" applyFont="1" applyFill="1" applyBorder="1" applyAlignment="1">
      <alignment horizontal="center" vertical="center"/>
    </xf>
    <xf numFmtId="0" fontId="4" fillId="21" borderId="12" xfId="0" applyFont="1" applyFill="1" applyBorder="1" applyAlignment="1">
      <alignment horizontal="center" vertical="center"/>
    </xf>
    <xf numFmtId="0" fontId="5" fillId="21" borderId="12" xfId="0" applyFont="1" applyFill="1" applyBorder="1" applyAlignment="1">
      <alignment horizontal="center" vertical="center"/>
    </xf>
    <xf numFmtId="0" fontId="14" fillId="21" borderId="12" xfId="0" applyFont="1" applyFill="1" applyBorder="1" applyAlignment="1"/>
    <xf numFmtId="0" fontId="14" fillId="21" borderId="5" xfId="0" applyFont="1" applyFill="1" applyBorder="1" applyAlignment="1"/>
    <xf numFmtId="0" fontId="14" fillId="21" borderId="10" xfId="0" applyFont="1" applyFill="1" applyBorder="1" applyAlignment="1"/>
    <xf numFmtId="165" fontId="6" fillId="21" borderId="9" xfId="0" applyNumberFormat="1" applyFont="1" applyFill="1" applyBorder="1" applyAlignment="1">
      <alignment vertical="center"/>
    </xf>
    <xf numFmtId="164" fontId="5" fillId="21" borderId="14" xfId="2" applyNumberFormat="1" applyFont="1" applyFill="1" applyBorder="1" applyAlignment="1">
      <alignment horizontal="right"/>
    </xf>
    <xf numFmtId="164" fontId="5" fillId="21" borderId="5" xfId="2" applyNumberFormat="1" applyFont="1" applyFill="1" applyBorder="1" applyAlignment="1">
      <alignment horizontal="right"/>
    </xf>
    <xf numFmtId="164" fontId="5" fillId="21" borderId="5" xfId="2" applyNumberFormat="1" applyFont="1" applyFill="1" applyBorder="1" applyAlignment="1">
      <alignment horizontal="right" vertical="center"/>
    </xf>
    <xf numFmtId="0" fontId="6" fillId="21" borderId="1" xfId="0" applyFont="1" applyFill="1" applyBorder="1" applyAlignment="1"/>
    <xf numFmtId="0" fontId="17" fillId="21" borderId="15" xfId="0" applyFont="1" applyFill="1" applyBorder="1" applyAlignment="1">
      <alignment horizontal="right"/>
    </xf>
    <xf numFmtId="0" fontId="22" fillId="21" borderId="6" xfId="0" applyFont="1" applyFill="1" applyBorder="1" applyAlignment="1">
      <alignment horizontal="right"/>
    </xf>
    <xf numFmtId="164" fontId="22" fillId="21" borderId="1" xfId="2" applyNumberFormat="1" applyFont="1" applyFill="1" applyBorder="1" applyAlignment="1" applyProtection="1">
      <alignment horizontal="right" vertical="center"/>
    </xf>
    <xf numFmtId="0" fontId="5" fillId="21" borderId="6" xfId="0" applyFont="1" applyFill="1" applyBorder="1" applyAlignment="1">
      <alignment horizontal="right"/>
    </xf>
    <xf numFmtId="0" fontId="14" fillId="21" borderId="6" xfId="0" applyFont="1" applyFill="1" applyBorder="1" applyAlignment="1"/>
    <xf numFmtId="2" fontId="12" fillId="21" borderId="14" xfId="0" applyNumberFormat="1" applyFont="1" applyFill="1" applyBorder="1" applyAlignment="1">
      <alignment horizontal="left" vertical="center"/>
    </xf>
    <xf numFmtId="166" fontId="12" fillId="21" borderId="14" xfId="1" applyNumberFormat="1" applyFont="1" applyFill="1" applyBorder="1" applyAlignment="1" applyProtection="1">
      <alignment vertical="center"/>
    </xf>
    <xf numFmtId="166" fontId="20" fillId="21" borderId="14" xfId="1" applyNumberFormat="1" applyFont="1" applyFill="1" applyBorder="1" applyAlignment="1" applyProtection="1">
      <alignment horizontal="right" vertical="center"/>
    </xf>
    <xf numFmtId="164" fontId="20" fillId="21" borderId="14" xfId="2" applyNumberFormat="1" applyFont="1" applyFill="1" applyBorder="1" applyAlignment="1">
      <alignment horizontal="right" vertical="center"/>
    </xf>
    <xf numFmtId="0" fontId="7" fillId="21" borderId="10" xfId="0" applyFont="1" applyFill="1" applyBorder="1" applyAlignment="1"/>
    <xf numFmtId="166" fontId="7" fillId="21" borderId="10" xfId="0" applyNumberFormat="1" applyFont="1" applyFill="1" applyBorder="1" applyAlignment="1"/>
    <xf numFmtId="0" fontId="7" fillId="21" borderId="5" xfId="0" applyFont="1" applyFill="1" applyBorder="1" applyAlignment="1"/>
    <xf numFmtId="2" fontId="12" fillId="21" borderId="5" xfId="0" applyNumberFormat="1" applyFont="1" applyFill="1" applyBorder="1" applyAlignment="1">
      <alignment vertical="center"/>
    </xf>
    <xf numFmtId="166" fontId="12" fillId="21" borderId="5" xfId="0" applyNumberFormat="1" applyFont="1" applyFill="1" applyBorder="1" applyAlignment="1">
      <alignment vertical="center"/>
    </xf>
    <xf numFmtId="166" fontId="28" fillId="21" borderId="5" xfId="0" applyNumberFormat="1" applyFont="1" applyFill="1" applyBorder="1" applyAlignment="1">
      <alignment horizontal="right" vertical="center"/>
    </xf>
    <xf numFmtId="164" fontId="20" fillId="21" borderId="5" xfId="2" applyNumberFormat="1" applyFont="1" applyFill="1" applyBorder="1" applyAlignment="1">
      <alignment horizontal="right" vertical="center"/>
    </xf>
    <xf numFmtId="166" fontId="21" fillId="21" borderId="5" xfId="2" applyNumberFormat="1" applyFont="1" applyFill="1" applyBorder="1" applyAlignment="1">
      <alignment horizontal="right" vertical="center"/>
    </xf>
    <xf numFmtId="2" fontId="13" fillId="21" borderId="5" xfId="0" applyNumberFormat="1" applyFont="1" applyFill="1" applyBorder="1" applyAlignment="1">
      <alignment vertical="center"/>
    </xf>
    <xf numFmtId="166" fontId="13" fillId="21" borderId="5" xfId="0" applyNumberFormat="1" applyFont="1" applyFill="1" applyBorder="1" applyAlignment="1">
      <alignment vertical="center"/>
    </xf>
    <xf numFmtId="166" fontId="19" fillId="21" borderId="5" xfId="0" applyNumberFormat="1" applyFont="1" applyFill="1" applyBorder="1" applyAlignment="1">
      <alignment horizontal="right" vertical="center"/>
    </xf>
    <xf numFmtId="164" fontId="28" fillId="21" borderId="5" xfId="2" applyNumberFormat="1" applyFont="1" applyFill="1" applyBorder="1" applyAlignment="1">
      <alignment horizontal="right" vertical="center"/>
    </xf>
    <xf numFmtId="166" fontId="12" fillId="21" borderId="5" xfId="1" applyNumberFormat="1" applyFont="1" applyFill="1" applyBorder="1" applyAlignment="1" applyProtection="1">
      <alignment vertical="center"/>
    </xf>
    <xf numFmtId="166" fontId="20" fillId="21" borderId="5" xfId="1" applyNumberFormat="1" applyFont="1" applyFill="1" applyBorder="1" applyAlignment="1" applyProtection="1">
      <alignment horizontal="right" vertical="center"/>
    </xf>
    <xf numFmtId="166" fontId="21" fillId="21" borderId="5" xfId="1" applyNumberFormat="1" applyFont="1" applyFill="1" applyBorder="1" applyAlignment="1" applyProtection="1">
      <alignment horizontal="right" vertical="center"/>
    </xf>
    <xf numFmtId="166" fontId="19" fillId="21" borderId="5" xfId="1" applyNumberFormat="1" applyFont="1" applyFill="1" applyBorder="1" applyAlignment="1">
      <alignment horizontal="right" vertical="center"/>
    </xf>
    <xf numFmtId="0" fontId="19" fillId="21" borderId="5" xfId="0" applyFont="1" applyFill="1" applyBorder="1" applyAlignment="1">
      <alignment horizontal="right" vertical="center"/>
    </xf>
    <xf numFmtId="164" fontId="14" fillId="21" borderId="10" xfId="2" applyNumberFormat="1" applyFont="1" applyFill="1" applyBorder="1" applyAlignment="1">
      <alignment horizontal="right" vertical="center"/>
    </xf>
    <xf numFmtId="164" fontId="19" fillId="21" borderId="5" xfId="2" applyNumberFormat="1" applyFont="1" applyFill="1" applyBorder="1" applyAlignment="1">
      <alignment horizontal="right" vertical="center"/>
    </xf>
    <xf numFmtId="164" fontId="19" fillId="21" borderId="5" xfId="2" applyNumberFormat="1" applyFont="1" applyFill="1" applyBorder="1" applyAlignment="1">
      <alignment horizontal="right" vertical="center" indent="1"/>
    </xf>
    <xf numFmtId="0" fontId="21" fillId="21" borderId="5" xfId="0" applyFont="1" applyFill="1" applyBorder="1" applyAlignment="1">
      <alignment horizontal="right" vertical="center"/>
    </xf>
    <xf numFmtId="2" fontId="13" fillId="21" borderId="5" xfId="0" applyNumberFormat="1" applyFont="1" applyFill="1" applyBorder="1" applyAlignment="1">
      <alignment horizontal="left"/>
    </xf>
    <xf numFmtId="0" fontId="28" fillId="21" borderId="5" xfId="0" applyFont="1" applyFill="1" applyBorder="1" applyAlignment="1">
      <alignment horizontal="right" vertical="center"/>
    </xf>
    <xf numFmtId="166" fontId="12" fillId="21" borderId="5" xfId="0" applyNumberFormat="1" applyFont="1" applyFill="1" applyBorder="1" applyAlignment="1"/>
    <xf numFmtId="166" fontId="13" fillId="21" borderId="5" xfId="0" applyNumberFormat="1" applyFont="1" applyFill="1" applyBorder="1" applyAlignment="1"/>
    <xf numFmtId="166" fontId="12" fillId="21" borderId="5" xfId="0" applyNumberFormat="1" applyFont="1" applyFill="1" applyBorder="1"/>
    <xf numFmtId="166" fontId="21" fillId="21" borderId="5" xfId="0" applyNumberFormat="1" applyFont="1" applyFill="1" applyBorder="1" applyAlignment="1">
      <alignment horizontal="right" vertical="center"/>
    </xf>
    <xf numFmtId="0" fontId="14" fillId="21" borderId="5" xfId="0" applyFont="1" applyFill="1" applyBorder="1"/>
    <xf numFmtId="0" fontId="14" fillId="21" borderId="10" xfId="0" applyFont="1" applyFill="1" applyBorder="1"/>
    <xf numFmtId="0" fontId="7" fillId="21" borderId="10" xfId="0" applyFont="1" applyFill="1" applyBorder="1"/>
    <xf numFmtId="0" fontId="7" fillId="21" borderId="5" xfId="0" applyFont="1" applyFill="1" applyBorder="1"/>
    <xf numFmtId="2" fontId="12" fillId="21" borderId="15" xfId="0" applyNumberFormat="1" applyFont="1" applyFill="1" applyBorder="1" applyAlignment="1" applyProtection="1">
      <alignment vertical="center"/>
      <protection locked="0"/>
    </xf>
    <xf numFmtId="2" fontId="12" fillId="21" borderId="6" xfId="0" applyNumberFormat="1" applyFont="1" applyFill="1" applyBorder="1" applyAlignment="1" applyProtection="1">
      <alignment vertical="center"/>
      <protection locked="0"/>
    </xf>
    <xf numFmtId="166" fontId="12" fillId="21" borderId="6" xfId="0" applyNumberFormat="1" applyFont="1" applyFill="1" applyBorder="1" applyProtection="1">
      <protection locked="0"/>
    </xf>
    <xf numFmtId="0" fontId="28" fillId="21" borderId="6" xfId="0" applyFont="1" applyFill="1" applyBorder="1" applyAlignment="1" applyProtection="1">
      <alignment horizontal="right" vertical="center"/>
      <protection locked="0"/>
    </xf>
    <xf numFmtId="164" fontId="20" fillId="21" borderId="6" xfId="2" applyNumberFormat="1" applyFont="1" applyFill="1" applyBorder="1" applyAlignment="1" applyProtection="1">
      <alignment horizontal="right" vertical="center"/>
      <protection locked="0"/>
    </xf>
    <xf numFmtId="167" fontId="15" fillId="21" borderId="14" xfId="1" applyNumberFormat="1" applyFont="1" applyFill="1" applyBorder="1" applyAlignment="1" applyProtection="1">
      <alignment vertical="center"/>
    </xf>
    <xf numFmtId="0" fontId="13" fillId="21" borderId="14" xfId="0" applyFont="1" applyFill="1" applyBorder="1"/>
    <xf numFmtId="0" fontId="28" fillId="21" borderId="14" xfId="0" applyFont="1" applyFill="1" applyBorder="1" applyAlignment="1">
      <alignment horizontal="right" vertical="center"/>
    </xf>
    <xf numFmtId="164" fontId="29" fillId="21" borderId="14" xfId="2" applyNumberFormat="1" applyFont="1" applyFill="1" applyBorder="1" applyAlignment="1">
      <alignment horizontal="right" vertical="center"/>
    </xf>
    <xf numFmtId="165" fontId="12" fillId="21" borderId="5" xfId="0" applyNumberFormat="1" applyFont="1" applyFill="1" applyBorder="1" applyAlignment="1">
      <alignment vertical="center"/>
    </xf>
    <xf numFmtId="165" fontId="12" fillId="21" borderId="5" xfId="0" applyNumberFormat="1" applyFont="1" applyFill="1" applyBorder="1"/>
    <xf numFmtId="0" fontId="20" fillId="21" borderId="5" xfId="0" applyFont="1" applyFill="1" applyBorder="1" applyAlignment="1">
      <alignment horizontal="right" vertical="center"/>
    </xf>
    <xf numFmtId="165" fontId="12" fillId="21" borderId="6" xfId="0" applyNumberFormat="1" applyFont="1" applyFill="1" applyBorder="1" applyAlignment="1">
      <alignment vertical="center"/>
    </xf>
    <xf numFmtId="165" fontId="12" fillId="21" borderId="6" xfId="0" applyNumberFormat="1" applyFont="1" applyFill="1" applyBorder="1"/>
    <xf numFmtId="0" fontId="20" fillId="21" borderId="6" xfId="0" applyFont="1" applyFill="1" applyBorder="1" applyAlignment="1">
      <alignment horizontal="right" vertical="center"/>
    </xf>
    <xf numFmtId="166" fontId="21" fillId="21" borderId="6" xfId="2" applyNumberFormat="1" applyFont="1" applyFill="1" applyBorder="1" applyAlignment="1">
      <alignment horizontal="right" vertical="center"/>
    </xf>
    <xf numFmtId="0" fontId="0" fillId="21" borderId="10" xfId="0" applyFill="1" applyBorder="1"/>
    <xf numFmtId="0" fontId="0" fillId="21" borderId="5" xfId="0" applyFill="1" applyBorder="1"/>
    <xf numFmtId="165" fontId="15" fillId="21" borderId="14" xfId="0" applyNumberFormat="1" applyFont="1" applyFill="1" applyBorder="1" applyAlignment="1">
      <alignment horizontal="left" vertical="center"/>
    </xf>
    <xf numFmtId="165" fontId="13" fillId="21" borderId="5" xfId="0" applyNumberFormat="1" applyFont="1" applyFill="1" applyBorder="1" applyAlignment="1">
      <alignment vertical="center"/>
    </xf>
    <xf numFmtId="166" fontId="13" fillId="21" borderId="5" xfId="0" applyNumberFormat="1" applyFont="1" applyFill="1" applyBorder="1" applyAlignment="1">
      <alignment horizontal="right" vertical="center"/>
    </xf>
    <xf numFmtId="165" fontId="13" fillId="21" borderId="6" xfId="0" applyNumberFormat="1" applyFont="1" applyFill="1" applyBorder="1" applyAlignment="1">
      <alignment vertical="center"/>
    </xf>
    <xf numFmtId="166" fontId="13" fillId="21" borderId="6" xfId="0" applyNumberFormat="1" applyFont="1" applyFill="1" applyBorder="1" applyAlignment="1">
      <alignment horizontal="right" vertical="center"/>
    </xf>
    <xf numFmtId="4" fontId="13" fillId="21" borderId="6" xfId="0" applyNumberFormat="1" applyFont="1" applyFill="1" applyBorder="1" applyAlignment="1">
      <alignment horizontal="right" vertical="center"/>
    </xf>
    <xf numFmtId="0" fontId="19" fillId="21" borderId="6" xfId="0" applyFont="1" applyFill="1" applyBorder="1" applyAlignment="1">
      <alignment horizontal="right" vertical="center"/>
    </xf>
    <xf numFmtId="0" fontId="28" fillId="21" borderId="6" xfId="0" applyFont="1" applyFill="1" applyBorder="1" applyAlignment="1">
      <alignment horizontal="right" vertical="center"/>
    </xf>
    <xf numFmtId="0" fontId="25" fillId="21" borderId="14" xfId="0" applyFont="1" applyFill="1" applyBorder="1"/>
    <xf numFmtId="0" fontId="0" fillId="21" borderId="14" xfId="0" applyFill="1" applyBorder="1"/>
    <xf numFmtId="0" fontId="14" fillId="21" borderId="14" xfId="0" applyFont="1" applyFill="1" applyBorder="1"/>
    <xf numFmtId="164" fontId="8" fillId="21" borderId="16" xfId="2" applyNumberFormat="1" applyFont="1" applyFill="1" applyBorder="1" applyAlignment="1">
      <alignment vertical="center" wrapText="1"/>
    </xf>
    <xf numFmtId="164" fontId="8" fillId="21" borderId="17" xfId="2" applyNumberFormat="1" applyFont="1" applyFill="1" applyBorder="1" applyAlignment="1">
      <alignment vertical="center" wrapText="1"/>
    </xf>
    <xf numFmtId="0" fontId="26" fillId="21" borderId="5" xfId="0" applyFont="1" applyFill="1" applyBorder="1"/>
    <xf numFmtId="164" fontId="8" fillId="21" borderId="18" xfId="2" applyNumberFormat="1" applyFont="1" applyFill="1" applyBorder="1" applyAlignment="1">
      <alignment vertical="center" wrapText="1"/>
    </xf>
    <xf numFmtId="164" fontId="8" fillId="21" borderId="19" xfId="2" applyNumberFormat="1" applyFont="1" applyFill="1" applyBorder="1" applyAlignment="1">
      <alignment vertical="center" wrapText="1"/>
    </xf>
    <xf numFmtId="164" fontId="8" fillId="21" borderId="20" xfId="2" applyNumberFormat="1" applyFont="1" applyFill="1" applyBorder="1" applyAlignment="1">
      <alignment vertical="center" wrapText="1"/>
    </xf>
    <xf numFmtId="0" fontId="3" fillId="21" borderId="5" xfId="0" applyFont="1" applyFill="1" applyBorder="1"/>
    <xf numFmtId="164" fontId="14" fillId="21" borderId="5" xfId="2" applyNumberFormat="1" applyFont="1" applyFill="1" applyBorder="1" applyAlignment="1">
      <alignment horizontal="right" vertical="center"/>
    </xf>
    <xf numFmtId="166" fontId="0" fillId="21" borderId="5" xfId="0" applyNumberFormat="1" applyFill="1" applyBorder="1"/>
    <xf numFmtId="43" fontId="0" fillId="21" borderId="5" xfId="1" applyFont="1" applyFill="1" applyBorder="1"/>
    <xf numFmtId="0" fontId="4" fillId="21" borderId="3" xfId="0" applyFont="1" applyFill="1" applyBorder="1" applyAlignment="1">
      <alignment horizontal="center" vertical="center"/>
    </xf>
    <xf numFmtId="164" fontId="8" fillId="21" borderId="0" xfId="2" applyNumberFormat="1" applyFont="1" applyFill="1" applyBorder="1" applyAlignment="1">
      <alignment horizontal="right" vertical="center" readingOrder="2"/>
    </xf>
    <xf numFmtId="164" fontId="8" fillId="21" borderId="19" xfId="2" applyNumberFormat="1" applyFont="1" applyFill="1" applyBorder="1" applyAlignment="1">
      <alignment horizontal="right" vertical="center" wrapText="1"/>
    </xf>
    <xf numFmtId="164" fontId="23" fillId="21" borderId="7" xfId="2" applyNumberFormat="1" applyFont="1" applyFill="1" applyBorder="1" applyAlignment="1">
      <alignment horizontal="center" vertical="center"/>
    </xf>
    <xf numFmtId="164" fontId="23" fillId="21" borderId="8" xfId="2" applyNumberFormat="1" applyFont="1" applyFill="1" applyBorder="1" applyAlignment="1">
      <alignment horizontal="center" vertical="center"/>
    </xf>
    <xf numFmtId="164" fontId="23" fillId="21" borderId="9" xfId="2" applyNumberFormat="1" applyFont="1" applyFill="1" applyBorder="1" applyAlignment="1">
      <alignment horizontal="center" vertical="center"/>
    </xf>
    <xf numFmtId="0" fontId="12" fillId="21" borderId="7" xfId="0" applyFont="1" applyFill="1" applyBorder="1" applyAlignment="1">
      <alignment horizontal="center"/>
    </xf>
    <xf numFmtId="0" fontId="12" fillId="21" borderId="8" xfId="0" applyFont="1" applyFill="1" applyBorder="1" applyAlignment="1">
      <alignment horizontal="center"/>
    </xf>
    <xf numFmtId="0" fontId="12" fillId="21" borderId="9" xfId="0" applyFont="1" applyFill="1" applyBorder="1" applyAlignment="1">
      <alignment horizontal="center"/>
    </xf>
    <xf numFmtId="164" fontId="20" fillId="21" borderId="7" xfId="2" applyNumberFormat="1" applyFont="1" applyFill="1" applyBorder="1" applyAlignment="1">
      <alignment horizontal="center" vertical="center" wrapText="1"/>
    </xf>
    <xf numFmtId="164" fontId="20" fillId="21" borderId="8" xfId="2" applyNumberFormat="1" applyFont="1" applyFill="1" applyBorder="1" applyAlignment="1">
      <alignment horizontal="center" vertical="center" wrapText="1"/>
    </xf>
    <xf numFmtId="164" fontId="20" fillId="21" borderId="9" xfId="2" applyNumberFormat="1" applyFont="1" applyFill="1" applyBorder="1" applyAlignment="1">
      <alignment horizontal="center" vertical="center" wrapText="1"/>
    </xf>
    <xf numFmtId="0" fontId="4" fillId="21" borderId="7" xfId="0" applyFont="1" applyFill="1" applyBorder="1" applyAlignment="1">
      <alignment horizontal="center"/>
    </xf>
    <xf numFmtId="0" fontId="4" fillId="21" borderId="8" xfId="0" applyFont="1" applyFill="1" applyBorder="1" applyAlignment="1">
      <alignment horizontal="center"/>
    </xf>
    <xf numFmtId="0" fontId="4" fillId="21" borderId="9" xfId="0" applyFont="1" applyFill="1" applyBorder="1" applyAlignment="1">
      <alignment horizontal="center"/>
    </xf>
    <xf numFmtId="0" fontId="4" fillId="21" borderId="13" xfId="0" applyFont="1" applyFill="1" applyBorder="1" applyAlignment="1">
      <alignment horizontal="center" vertical="center"/>
    </xf>
    <xf numFmtId="164" fontId="8" fillId="21" borderId="20" xfId="2" applyNumberFormat="1" applyFont="1" applyFill="1" applyBorder="1" applyAlignment="1">
      <alignment horizontal="right" vertical="center" readingOrder="2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88"/>
  <sheetViews>
    <sheetView tabSelected="1" zoomScaleNormal="100" zoomScaleSheetLayoutView="90" workbookViewId="0">
      <selection sqref="A1:Y45"/>
    </sheetView>
  </sheetViews>
  <sheetFormatPr defaultColWidth="9.140625" defaultRowHeight="15" x14ac:dyDescent="0.25"/>
  <cols>
    <col min="1" max="1" width="40.28515625" style="105" customWidth="1"/>
    <col min="2" max="2" width="1.7109375" style="105" customWidth="1"/>
    <col min="3" max="6" width="10.7109375" style="87" customWidth="1"/>
    <col min="7" max="7" width="1.85546875" style="87" customWidth="1"/>
    <col min="8" max="10" width="9.5703125" style="87" bestFit="1" customWidth="1"/>
    <col min="11" max="11" width="10.140625" style="87" bestFit="1" customWidth="1"/>
    <col min="12" max="12" width="1.85546875" style="87" customWidth="1"/>
    <col min="13" max="13" width="9.7109375" style="87" bestFit="1" customWidth="1"/>
    <col min="14" max="15" width="10.140625" style="87" bestFit="1" customWidth="1"/>
    <col min="16" max="16" width="10.42578125" style="87" bestFit="1" customWidth="1"/>
    <col min="17" max="17" width="1.85546875" style="87" customWidth="1"/>
    <col min="18" max="18" width="9.7109375" style="87" bestFit="1" customWidth="1"/>
    <col min="19" max="20" width="10.140625" style="87" bestFit="1" customWidth="1"/>
    <col min="21" max="21" width="10.42578125" style="87" bestFit="1" customWidth="1"/>
    <col min="22" max="22" width="39.85546875" style="87" customWidth="1"/>
    <col min="23" max="23" width="5.5703125" style="87" customWidth="1"/>
    <col min="24" max="24" width="3.85546875" style="87" customWidth="1"/>
    <col min="25" max="25" width="2.5703125" style="87" customWidth="1"/>
    <col min="26" max="63" width="9.140625" style="86"/>
    <col min="64" max="16384" width="9.140625" style="87"/>
  </cols>
  <sheetData>
    <row r="1" spans="1:63" s="10" customFormat="1" ht="19.5" x14ac:dyDescent="0.25">
      <c r="A1" s="112" t="s">
        <v>81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4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</row>
    <row r="2" spans="1:63" s="13" customFormat="1" ht="12.75" x14ac:dyDescent="0.2">
      <c r="A2" s="115" t="s">
        <v>82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7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</row>
    <row r="3" spans="1:63" s="14" customFormat="1" ht="15" customHeight="1" x14ac:dyDescent="0.2">
      <c r="A3" s="118" t="s">
        <v>0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20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</row>
    <row r="4" spans="1:63" s="14" customFormat="1" ht="15.75" customHeight="1" x14ac:dyDescent="0.2">
      <c r="A4" s="121" t="s">
        <v>1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3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</row>
    <row r="5" spans="1:63" s="14" customFormat="1" ht="4.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</row>
    <row r="6" spans="1:63" s="14" customFormat="1" ht="21.75" customHeight="1" x14ac:dyDescent="0.4">
      <c r="A6" s="17"/>
      <c r="B6" s="18"/>
      <c r="C6" s="109" t="s">
        <v>80</v>
      </c>
      <c r="D6" s="109"/>
      <c r="E6" s="109"/>
      <c r="F6" s="109"/>
      <c r="G6" s="19"/>
      <c r="H6" s="109" t="s">
        <v>78</v>
      </c>
      <c r="I6" s="109"/>
      <c r="J6" s="109"/>
      <c r="K6" s="109"/>
      <c r="L6" s="1"/>
      <c r="M6" s="109" t="s">
        <v>79</v>
      </c>
      <c r="N6" s="109"/>
      <c r="O6" s="109"/>
      <c r="P6" s="109"/>
      <c r="Q6" s="20"/>
      <c r="R6" s="124">
        <v>2014</v>
      </c>
      <c r="S6" s="124"/>
      <c r="T6" s="124"/>
      <c r="U6" s="124"/>
      <c r="V6" s="21"/>
      <c r="W6" s="21"/>
      <c r="X6" s="22"/>
      <c r="Y6" s="23"/>
      <c r="Z6" s="24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</row>
    <row r="7" spans="1:63" s="14" customFormat="1" ht="16.5" x14ac:dyDescent="0.4">
      <c r="A7" s="9" t="s">
        <v>2</v>
      </c>
      <c r="B7" s="25"/>
      <c r="C7" s="26" t="s">
        <v>3</v>
      </c>
      <c r="D7" s="26" t="s">
        <v>4</v>
      </c>
      <c r="E7" s="26" t="s">
        <v>5</v>
      </c>
      <c r="F7" s="2" t="s">
        <v>6</v>
      </c>
      <c r="G7" s="26"/>
      <c r="H7" s="3" t="s">
        <v>3</v>
      </c>
      <c r="I7" s="3" t="s">
        <v>4</v>
      </c>
      <c r="J7" s="3" t="s">
        <v>5</v>
      </c>
      <c r="K7" s="3" t="s">
        <v>77</v>
      </c>
      <c r="L7" s="2"/>
      <c r="M7" s="3" t="s">
        <v>3</v>
      </c>
      <c r="N7" s="3" t="s">
        <v>4</v>
      </c>
      <c r="O7" s="3" t="s">
        <v>5</v>
      </c>
      <c r="P7" s="3" t="s">
        <v>7</v>
      </c>
      <c r="Q7" s="26"/>
      <c r="R7" s="26" t="s">
        <v>3</v>
      </c>
      <c r="S7" s="26" t="s">
        <v>4</v>
      </c>
      <c r="T7" s="26" t="s">
        <v>5</v>
      </c>
      <c r="U7" s="26" t="s">
        <v>7</v>
      </c>
      <c r="V7" s="27"/>
      <c r="W7" s="27"/>
      <c r="X7" s="28" t="s">
        <v>8</v>
      </c>
      <c r="Y7" s="23"/>
      <c r="Z7" s="24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</row>
    <row r="8" spans="1:63" s="14" customFormat="1" ht="18" x14ac:dyDescent="0.4">
      <c r="A8" s="29"/>
      <c r="B8" s="30"/>
      <c r="C8" s="31" t="s">
        <v>9</v>
      </c>
      <c r="D8" s="31" t="s">
        <v>10</v>
      </c>
      <c r="E8" s="31" t="s">
        <v>11</v>
      </c>
      <c r="F8" s="32" t="s">
        <v>38</v>
      </c>
      <c r="G8" s="31"/>
      <c r="H8" s="4" t="s">
        <v>9</v>
      </c>
      <c r="I8" s="4" t="s">
        <v>10</v>
      </c>
      <c r="J8" s="4" t="s">
        <v>11</v>
      </c>
      <c r="K8" s="4" t="s">
        <v>76</v>
      </c>
      <c r="L8" s="4"/>
      <c r="M8" s="4" t="s">
        <v>9</v>
      </c>
      <c r="N8" s="4" t="s">
        <v>10</v>
      </c>
      <c r="O8" s="4" t="s">
        <v>11</v>
      </c>
      <c r="P8" s="4" t="s">
        <v>26</v>
      </c>
      <c r="Q8" s="31"/>
      <c r="R8" s="31" t="s">
        <v>9</v>
      </c>
      <c r="S8" s="31" t="s">
        <v>10</v>
      </c>
      <c r="T8" s="31" t="s">
        <v>11</v>
      </c>
      <c r="U8" s="31" t="s">
        <v>26</v>
      </c>
      <c r="V8" s="33"/>
      <c r="W8" s="33"/>
      <c r="X8" s="34"/>
      <c r="Y8" s="23"/>
      <c r="Z8" s="24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</row>
    <row r="9" spans="1:63" s="41" customFormat="1" ht="16.5" customHeight="1" x14ac:dyDescent="0.4">
      <c r="A9" s="35" t="s">
        <v>39</v>
      </c>
      <c r="B9" s="35"/>
      <c r="C9" s="36">
        <v>9193.2007319200002</v>
      </c>
      <c r="D9" s="36">
        <v>9855.6156639300007</v>
      </c>
      <c r="E9" s="36">
        <v>9609.6134114400011</v>
      </c>
      <c r="F9" s="36">
        <v>9551.2225184700001</v>
      </c>
      <c r="G9" s="36"/>
      <c r="H9" s="36">
        <v>9896.1506616099978</v>
      </c>
      <c r="I9" s="36">
        <v>9499.2149569700014</v>
      </c>
      <c r="J9" s="36">
        <v>9593.9988631900014</v>
      </c>
      <c r="K9" s="36">
        <v>10199.881733310001</v>
      </c>
      <c r="L9" s="36"/>
      <c r="M9" s="36">
        <v>11195.174863550001</v>
      </c>
      <c r="N9" s="36">
        <v>11783.197599319999</v>
      </c>
      <c r="O9" s="36">
        <v>11736.181136600002</v>
      </c>
      <c r="P9" s="36">
        <v>12450.561524259996</v>
      </c>
      <c r="Q9" s="36"/>
      <c r="R9" s="36">
        <v>14196.809745960001</v>
      </c>
      <c r="S9" s="36">
        <v>14484.47686334</v>
      </c>
      <c r="T9" s="36">
        <v>14980.311895420002</v>
      </c>
      <c r="U9" s="36">
        <v>16406.07521567</v>
      </c>
      <c r="V9" s="37"/>
      <c r="W9" s="37"/>
      <c r="X9" s="38" t="s">
        <v>40</v>
      </c>
      <c r="Y9" s="23"/>
      <c r="Z9" s="24"/>
      <c r="AA9" s="39"/>
      <c r="AB9" s="39"/>
      <c r="AC9" s="39"/>
      <c r="AD9" s="40"/>
      <c r="AE9" s="40"/>
      <c r="AF9" s="40"/>
      <c r="AG9" s="40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</row>
    <row r="10" spans="1:63" s="41" customFormat="1" ht="16.5" customHeight="1" x14ac:dyDescent="0.4">
      <c r="A10" s="42" t="s">
        <v>41</v>
      </c>
      <c r="B10" s="42"/>
      <c r="C10" s="43">
        <v>4765.3226299300013</v>
      </c>
      <c r="D10" s="43">
        <v>5333.18849883447</v>
      </c>
      <c r="E10" s="43">
        <v>4893.7846847490737</v>
      </c>
      <c r="F10" s="43">
        <v>5169.6406294320332</v>
      </c>
      <c r="G10" s="43"/>
      <c r="H10" s="43">
        <v>5460.224923521153</v>
      </c>
      <c r="I10" s="43">
        <v>4941.4784447797956</v>
      </c>
      <c r="J10" s="43">
        <v>5103.6170713295114</v>
      </c>
      <c r="K10" s="43">
        <v>4689.6061231016165</v>
      </c>
      <c r="L10" s="43"/>
      <c r="M10" s="43">
        <v>5222.9564434792164</v>
      </c>
      <c r="N10" s="43">
        <v>5310.6282257617167</v>
      </c>
      <c r="O10" s="43">
        <v>5346.7960389362061</v>
      </c>
      <c r="P10" s="43">
        <v>5685.0856440655989</v>
      </c>
      <c r="Q10" s="43"/>
      <c r="R10" s="43">
        <v>7707.4085094509855</v>
      </c>
      <c r="S10" s="43">
        <v>7368.7856866915508</v>
      </c>
      <c r="T10" s="43">
        <v>8039.946839073652</v>
      </c>
      <c r="U10" s="43">
        <v>9475.7062510530268</v>
      </c>
      <c r="V10" s="44"/>
      <c r="W10" s="44"/>
      <c r="X10" s="45" t="s">
        <v>42</v>
      </c>
      <c r="Y10" s="23"/>
      <c r="Z10" s="24"/>
      <c r="AA10" s="39"/>
      <c r="AB10" s="39"/>
      <c r="AC10" s="39"/>
      <c r="AD10" s="40"/>
      <c r="AE10" s="40"/>
      <c r="AF10" s="40"/>
      <c r="AG10" s="40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</row>
    <row r="11" spans="1:63" s="41" customFormat="1" ht="16.5" customHeight="1" x14ac:dyDescent="0.4">
      <c r="A11" s="42" t="s">
        <v>37</v>
      </c>
      <c r="B11" s="42"/>
      <c r="C11" s="43">
        <v>3833.3686767899999</v>
      </c>
      <c r="D11" s="43">
        <v>3842.22001697</v>
      </c>
      <c r="E11" s="43">
        <v>3934.0994810100001</v>
      </c>
      <c r="F11" s="43">
        <v>3920.15786686</v>
      </c>
      <c r="G11" s="43"/>
      <c r="H11" s="43">
        <v>3894.2492343399999</v>
      </c>
      <c r="I11" s="43">
        <v>3901.5490289899999</v>
      </c>
      <c r="J11" s="43">
        <v>3887.7309965400004</v>
      </c>
      <c r="K11" s="43">
        <v>5005.91262603</v>
      </c>
      <c r="L11" s="43"/>
      <c r="M11" s="43">
        <v>5225.60255254</v>
      </c>
      <c r="N11" s="43">
        <v>5778.2384121600007</v>
      </c>
      <c r="O11" s="43">
        <v>5747.7028506400002</v>
      </c>
      <c r="P11" s="43">
        <v>6260.0941880499995</v>
      </c>
      <c r="Q11" s="43"/>
      <c r="R11" s="43">
        <v>5866.1964515300006</v>
      </c>
      <c r="S11" s="43">
        <v>6428.9800220899997</v>
      </c>
      <c r="T11" s="43">
        <v>6411.5367838299999</v>
      </c>
      <c r="U11" s="43">
        <v>6440.4689194700004</v>
      </c>
      <c r="V11" s="44"/>
      <c r="W11" s="44"/>
      <c r="X11" s="46" t="s">
        <v>12</v>
      </c>
      <c r="Y11" s="23"/>
      <c r="Z11" s="24"/>
      <c r="AA11" s="39"/>
      <c r="AB11" s="39"/>
      <c r="AC11" s="39"/>
      <c r="AD11" s="40"/>
      <c r="AE11" s="40"/>
      <c r="AF11" s="40"/>
      <c r="AG11" s="40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</row>
    <row r="12" spans="1:63" s="41" customFormat="1" ht="16.5" customHeight="1" x14ac:dyDescent="0.4">
      <c r="A12" s="47" t="s">
        <v>43</v>
      </c>
      <c r="B12" s="47"/>
      <c r="C12" s="48">
        <v>3806</v>
      </c>
      <c r="D12" s="48">
        <v>3806</v>
      </c>
      <c r="E12" s="48">
        <v>3806</v>
      </c>
      <c r="F12" s="48">
        <v>3894.24119999</v>
      </c>
      <c r="G12" s="48"/>
      <c r="H12" s="48">
        <v>3894.24119999</v>
      </c>
      <c r="I12" s="48">
        <v>3806</v>
      </c>
      <c r="J12" s="48">
        <v>3820.2921041200002</v>
      </c>
      <c r="K12" s="48">
        <v>4671.6728013100001</v>
      </c>
      <c r="L12" s="48"/>
      <c r="M12" s="48">
        <v>4818.3868122399999</v>
      </c>
      <c r="N12" s="48">
        <v>4655.0359892100005</v>
      </c>
      <c r="O12" s="48">
        <v>4586.5401910500004</v>
      </c>
      <c r="P12" s="48">
        <v>3760.3471094299998</v>
      </c>
      <c r="Q12" s="48"/>
      <c r="R12" s="48">
        <v>3118.4952821300003</v>
      </c>
      <c r="S12" s="48">
        <v>3100.7314077399997</v>
      </c>
      <c r="T12" s="48">
        <v>3083.2881694799999</v>
      </c>
      <c r="U12" s="48">
        <v>6440.4689194700004</v>
      </c>
      <c r="V12" s="44"/>
      <c r="W12" s="49" t="s">
        <v>17</v>
      </c>
      <c r="X12" s="50"/>
      <c r="Y12" s="23"/>
      <c r="Z12" s="24"/>
      <c r="AA12" s="39"/>
      <c r="AB12" s="39"/>
      <c r="AC12" s="39"/>
      <c r="AD12" s="40"/>
      <c r="AE12" s="40"/>
      <c r="AF12" s="40"/>
      <c r="AG12" s="40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</row>
    <row r="13" spans="1:63" s="41" customFormat="1" ht="16.5" customHeight="1" x14ac:dyDescent="0.4">
      <c r="A13" s="47" t="s">
        <v>44</v>
      </c>
      <c r="B13" s="47"/>
      <c r="C13" s="48">
        <v>27.368676789999881</v>
      </c>
      <c r="D13" s="48">
        <v>36.220016969999961</v>
      </c>
      <c r="E13" s="48">
        <v>128.09948101000009</v>
      </c>
      <c r="F13" s="48">
        <v>25.916666869999972</v>
      </c>
      <c r="G13" s="48"/>
      <c r="H13" s="48">
        <v>8.0343499998889456E-3</v>
      </c>
      <c r="I13" s="48">
        <v>95.549028989999897</v>
      </c>
      <c r="J13" s="48">
        <v>67.438892420000229</v>
      </c>
      <c r="K13" s="48">
        <v>334.23982471999989</v>
      </c>
      <c r="L13" s="48"/>
      <c r="M13" s="48">
        <v>407.21574030000011</v>
      </c>
      <c r="N13" s="48">
        <v>1123.2024229500003</v>
      </c>
      <c r="O13" s="48">
        <v>1161.1626595899997</v>
      </c>
      <c r="P13" s="48">
        <v>2499.7470786199997</v>
      </c>
      <c r="Q13" s="48"/>
      <c r="R13" s="48">
        <v>2747.7011694000003</v>
      </c>
      <c r="S13" s="48">
        <v>3328.24861435</v>
      </c>
      <c r="T13" s="48">
        <v>3328.24861435</v>
      </c>
      <c r="U13" s="48">
        <v>0</v>
      </c>
      <c r="V13" s="44"/>
      <c r="W13" s="49" t="s">
        <v>45</v>
      </c>
      <c r="X13" s="50"/>
      <c r="Y13" s="23"/>
      <c r="Z13" s="24"/>
      <c r="AA13" s="39"/>
      <c r="AB13" s="39"/>
      <c r="AC13" s="39"/>
      <c r="AD13" s="40"/>
      <c r="AE13" s="40"/>
      <c r="AF13" s="40"/>
      <c r="AG13" s="40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</row>
    <row r="14" spans="1:63" s="41" customFormat="1" ht="16.5" customHeight="1" x14ac:dyDescent="0.4">
      <c r="A14" s="42" t="s">
        <v>27</v>
      </c>
      <c r="B14" s="42"/>
      <c r="C14" s="51">
        <v>0</v>
      </c>
      <c r="D14" s="51">
        <v>0</v>
      </c>
      <c r="E14" s="51">
        <v>0</v>
      </c>
      <c r="F14" s="51">
        <v>0</v>
      </c>
      <c r="G14" s="51"/>
      <c r="H14" s="51">
        <v>0</v>
      </c>
      <c r="I14" s="51">
        <v>0</v>
      </c>
      <c r="J14" s="51">
        <v>0</v>
      </c>
      <c r="K14" s="51">
        <v>0</v>
      </c>
      <c r="L14" s="51"/>
      <c r="M14" s="51">
        <v>0</v>
      </c>
      <c r="N14" s="51">
        <v>0</v>
      </c>
      <c r="O14" s="51">
        <v>0</v>
      </c>
      <c r="P14" s="51">
        <v>0</v>
      </c>
      <c r="Q14" s="51"/>
      <c r="R14" s="51">
        <v>0</v>
      </c>
      <c r="S14" s="51">
        <v>0</v>
      </c>
      <c r="T14" s="51">
        <v>0</v>
      </c>
      <c r="U14" s="51">
        <v>0</v>
      </c>
      <c r="V14" s="52"/>
      <c r="W14" s="53"/>
      <c r="X14" s="46" t="s">
        <v>28</v>
      </c>
      <c r="Y14" s="23"/>
      <c r="Z14" s="24"/>
      <c r="AA14" s="39"/>
      <c r="AB14" s="39"/>
      <c r="AC14" s="39"/>
      <c r="AD14" s="40"/>
      <c r="AE14" s="40"/>
      <c r="AF14" s="40"/>
      <c r="AG14" s="40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</row>
    <row r="15" spans="1:63" s="41" customFormat="1" ht="16.5" customHeight="1" x14ac:dyDescent="0.4">
      <c r="A15" s="42" t="s">
        <v>29</v>
      </c>
      <c r="B15" s="42"/>
      <c r="C15" s="43">
        <v>4.7039866699999999</v>
      </c>
      <c r="D15" s="43">
        <v>4.3245885199999998</v>
      </c>
      <c r="E15" s="43">
        <v>4.8056951000000003</v>
      </c>
      <c r="F15" s="43">
        <v>4.6580167800000005</v>
      </c>
      <c r="G15" s="43"/>
      <c r="H15" s="43">
        <v>5.3975792299999998</v>
      </c>
      <c r="I15" s="43">
        <v>5.1199612800000001</v>
      </c>
      <c r="J15" s="43">
        <v>4.8950320999999999</v>
      </c>
      <c r="K15" s="43">
        <v>6.8694261900000004</v>
      </c>
      <c r="L15" s="43"/>
      <c r="M15" s="43">
        <v>5.9963923000000001</v>
      </c>
      <c r="N15" s="43">
        <v>5.4089714100000004</v>
      </c>
      <c r="O15" s="43">
        <v>6.2910002699999996</v>
      </c>
      <c r="P15" s="43">
        <v>7.5028962400000001</v>
      </c>
      <c r="Q15" s="43"/>
      <c r="R15" s="43">
        <v>6.4808246999999994</v>
      </c>
      <c r="S15" s="43">
        <v>6.4487502099999983</v>
      </c>
      <c r="T15" s="43">
        <v>6.9437291600000002</v>
      </c>
      <c r="U15" s="43">
        <v>6.4115124000000012</v>
      </c>
      <c r="V15" s="44"/>
      <c r="W15" s="49"/>
      <c r="X15" s="46" t="s">
        <v>30</v>
      </c>
      <c r="Y15" s="23"/>
      <c r="Z15" s="24"/>
      <c r="AA15" s="39"/>
      <c r="AB15" s="39"/>
      <c r="AC15" s="39"/>
      <c r="AD15" s="40"/>
      <c r="AE15" s="40"/>
      <c r="AF15" s="40"/>
      <c r="AG15" s="40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</row>
    <row r="16" spans="1:63" s="41" customFormat="1" ht="16.5" customHeight="1" x14ac:dyDescent="0.4">
      <c r="A16" s="47" t="s">
        <v>46</v>
      </c>
      <c r="B16" s="47"/>
      <c r="C16" s="48">
        <v>0</v>
      </c>
      <c r="D16" s="48">
        <v>0</v>
      </c>
      <c r="E16" s="48">
        <v>0</v>
      </c>
      <c r="F16" s="48">
        <v>0</v>
      </c>
      <c r="G16" s="48"/>
      <c r="H16" s="48">
        <v>0</v>
      </c>
      <c r="I16" s="48">
        <v>0</v>
      </c>
      <c r="J16" s="48">
        <v>0</v>
      </c>
      <c r="K16" s="48">
        <v>0</v>
      </c>
      <c r="L16" s="48"/>
      <c r="M16" s="48">
        <v>0</v>
      </c>
      <c r="N16" s="48">
        <v>0</v>
      </c>
      <c r="O16" s="48">
        <v>0</v>
      </c>
      <c r="P16" s="48">
        <v>0</v>
      </c>
      <c r="Q16" s="48"/>
      <c r="R16" s="48">
        <v>0</v>
      </c>
      <c r="S16" s="48">
        <v>0</v>
      </c>
      <c r="T16" s="48">
        <v>0</v>
      </c>
      <c r="U16" s="48">
        <v>0</v>
      </c>
      <c r="V16" s="44"/>
      <c r="W16" s="54" t="s">
        <v>14</v>
      </c>
      <c r="X16" s="55"/>
      <c r="Y16" s="23"/>
      <c r="Z16" s="56"/>
      <c r="AA16" s="39"/>
      <c r="AB16" s="39"/>
      <c r="AC16" s="39"/>
      <c r="AD16" s="40"/>
      <c r="AE16" s="40"/>
      <c r="AF16" s="40"/>
      <c r="AG16" s="40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</row>
    <row r="17" spans="1:63" s="41" customFormat="1" ht="16.5" customHeight="1" x14ac:dyDescent="0.4">
      <c r="A17" s="47" t="s">
        <v>47</v>
      </c>
      <c r="B17" s="47"/>
      <c r="C17" s="48">
        <v>0</v>
      </c>
      <c r="D17" s="48">
        <v>0</v>
      </c>
      <c r="E17" s="48">
        <v>0</v>
      </c>
      <c r="F17" s="48">
        <v>0</v>
      </c>
      <c r="G17" s="48"/>
      <c r="H17" s="48">
        <v>0</v>
      </c>
      <c r="I17" s="48">
        <v>0</v>
      </c>
      <c r="J17" s="48">
        <v>0</v>
      </c>
      <c r="K17" s="48">
        <v>0</v>
      </c>
      <c r="L17" s="48"/>
      <c r="M17" s="48">
        <v>0</v>
      </c>
      <c r="N17" s="48">
        <v>0</v>
      </c>
      <c r="O17" s="48">
        <v>0</v>
      </c>
      <c r="P17" s="48">
        <v>0</v>
      </c>
      <c r="Q17" s="48"/>
      <c r="R17" s="48">
        <v>0</v>
      </c>
      <c r="S17" s="48">
        <v>0</v>
      </c>
      <c r="T17" s="48">
        <v>0</v>
      </c>
      <c r="U17" s="48">
        <v>0</v>
      </c>
      <c r="V17" s="44"/>
      <c r="W17" s="57" t="s">
        <v>15</v>
      </c>
      <c r="X17" s="55"/>
      <c r="Y17" s="23"/>
      <c r="Z17" s="24"/>
      <c r="AA17" s="39"/>
      <c r="AB17" s="39"/>
      <c r="AC17" s="39"/>
      <c r="AD17" s="40"/>
      <c r="AE17" s="40"/>
      <c r="AF17" s="40"/>
      <c r="AG17" s="40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</row>
    <row r="18" spans="1:63" s="41" customFormat="1" ht="16.5" customHeight="1" x14ac:dyDescent="0.4">
      <c r="A18" s="47" t="s">
        <v>48</v>
      </c>
      <c r="B18" s="47"/>
      <c r="C18" s="48">
        <v>4.7039866699999999</v>
      </c>
      <c r="D18" s="48">
        <v>4.3245885199999998</v>
      </c>
      <c r="E18" s="48">
        <v>4.8056951000000003</v>
      </c>
      <c r="F18" s="48">
        <v>4.6580167800000005</v>
      </c>
      <c r="G18" s="48"/>
      <c r="H18" s="48">
        <v>5.3975792299999998</v>
      </c>
      <c r="I18" s="48">
        <v>5.1199612800000001</v>
      </c>
      <c r="J18" s="48">
        <v>4.8950320999999999</v>
      </c>
      <c r="K18" s="48">
        <v>6.8694261900000004</v>
      </c>
      <c r="L18" s="48"/>
      <c r="M18" s="48">
        <v>5.9963923000000001</v>
      </c>
      <c r="N18" s="48">
        <v>5.4089714100000004</v>
      </c>
      <c r="O18" s="48">
        <v>6.2910002699999996</v>
      </c>
      <c r="P18" s="48">
        <v>7.5028962400000001</v>
      </c>
      <c r="Q18" s="48"/>
      <c r="R18" s="48">
        <v>6.4808246999999994</v>
      </c>
      <c r="S18" s="48">
        <v>6.4487502099999983</v>
      </c>
      <c r="T18" s="48">
        <v>6.9437291600000002</v>
      </c>
      <c r="U18" s="48">
        <v>6.4115124000000012</v>
      </c>
      <c r="V18" s="44"/>
      <c r="W18" s="57" t="s">
        <v>16</v>
      </c>
      <c r="X18" s="58"/>
      <c r="Y18" s="23"/>
      <c r="Z18" s="24"/>
      <c r="AA18" s="39"/>
      <c r="AB18" s="39"/>
      <c r="AC18" s="39"/>
      <c r="AD18" s="40"/>
      <c r="AE18" s="40"/>
      <c r="AF18" s="40"/>
      <c r="AG18" s="40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</row>
    <row r="19" spans="1:63" s="41" customFormat="1" ht="16.5" customHeight="1" x14ac:dyDescent="0.4">
      <c r="A19" s="42" t="s">
        <v>49</v>
      </c>
      <c r="B19" s="42"/>
      <c r="C19" s="43">
        <v>321.79962886000067</v>
      </c>
      <c r="D19" s="43">
        <v>388.03880926553211</v>
      </c>
      <c r="E19" s="43">
        <v>486.83559950092604</v>
      </c>
      <c r="F19" s="43">
        <v>158.32874459796767</v>
      </c>
      <c r="G19" s="43"/>
      <c r="H19" s="43">
        <v>285.37314088884341</v>
      </c>
      <c r="I19" s="43">
        <v>363.93561840020811</v>
      </c>
      <c r="J19" s="43">
        <v>305.48058987048898</v>
      </c>
      <c r="K19" s="43">
        <v>189.41928663838371</v>
      </c>
      <c r="L19" s="43"/>
      <c r="M19" s="43">
        <v>433.83365445078562</v>
      </c>
      <c r="N19" s="43">
        <v>378.98632470828306</v>
      </c>
      <c r="O19" s="43">
        <v>322.91029645379604</v>
      </c>
      <c r="P19" s="43">
        <v>191.13145548439934</v>
      </c>
      <c r="Q19" s="43"/>
      <c r="R19" s="43">
        <v>311.64413859901651</v>
      </c>
      <c r="S19" s="43">
        <v>375.45030811845027</v>
      </c>
      <c r="T19" s="43">
        <v>217.50043345634913</v>
      </c>
      <c r="U19" s="43">
        <v>178.15780095697301</v>
      </c>
      <c r="V19" s="44"/>
      <c r="W19" s="49"/>
      <c r="X19" s="45" t="s">
        <v>50</v>
      </c>
      <c r="Y19" s="23"/>
      <c r="Z19" s="24"/>
      <c r="AA19" s="39"/>
      <c r="AB19" s="39"/>
      <c r="AC19" s="39"/>
      <c r="AD19" s="40"/>
      <c r="AE19" s="40"/>
      <c r="AF19" s="40"/>
      <c r="AG19" s="40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</row>
    <row r="20" spans="1:63" s="41" customFormat="1" ht="16.5" customHeight="1" x14ac:dyDescent="0.4">
      <c r="A20" s="42" t="s">
        <v>51</v>
      </c>
      <c r="B20" s="42"/>
      <c r="C20" s="43">
        <v>268.00580966999996</v>
      </c>
      <c r="D20" s="43">
        <v>287.84375033999999</v>
      </c>
      <c r="E20" s="43">
        <v>290.08795107999998</v>
      </c>
      <c r="F20" s="43">
        <v>298.43726079999999</v>
      </c>
      <c r="G20" s="43"/>
      <c r="H20" s="43">
        <v>250.90578362999997</v>
      </c>
      <c r="I20" s="43">
        <v>287.13190351999998</v>
      </c>
      <c r="J20" s="43">
        <v>292.27517334999999</v>
      </c>
      <c r="K20" s="43">
        <v>308.07427135</v>
      </c>
      <c r="L20" s="43"/>
      <c r="M20" s="43">
        <v>306.78582077999999</v>
      </c>
      <c r="N20" s="43">
        <v>309.93566528000008</v>
      </c>
      <c r="O20" s="43">
        <v>312.48095030000002</v>
      </c>
      <c r="P20" s="43">
        <v>306.74734042</v>
      </c>
      <c r="Q20" s="43"/>
      <c r="R20" s="43">
        <v>305.07982168000001</v>
      </c>
      <c r="S20" s="43">
        <v>304.81209623000001</v>
      </c>
      <c r="T20" s="43">
        <v>304.3841099</v>
      </c>
      <c r="U20" s="43">
        <v>305.33073178999996</v>
      </c>
      <c r="V20" s="44"/>
      <c r="W20" s="49"/>
      <c r="X20" s="59" t="s">
        <v>52</v>
      </c>
      <c r="Y20" s="23"/>
      <c r="Z20" s="24"/>
      <c r="AA20" s="39"/>
      <c r="AB20" s="39"/>
      <c r="AC20" s="39"/>
      <c r="AD20" s="40"/>
      <c r="AE20" s="40"/>
      <c r="AF20" s="40"/>
      <c r="AG20" s="40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</row>
    <row r="21" spans="1:63" s="41" customFormat="1" ht="16.5" customHeight="1" x14ac:dyDescent="0.4">
      <c r="A21" s="60"/>
      <c r="B21" s="60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4"/>
      <c r="W21" s="49"/>
      <c r="X21" s="55"/>
      <c r="Y21" s="23"/>
      <c r="Z21" s="24"/>
      <c r="AA21" s="39"/>
      <c r="AB21" s="39"/>
      <c r="AC21" s="39"/>
      <c r="AD21" s="40"/>
      <c r="AE21" s="40"/>
      <c r="AF21" s="40"/>
      <c r="AG21" s="40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</row>
    <row r="22" spans="1:63" s="41" customFormat="1" ht="16.5" customHeight="1" x14ac:dyDescent="0.4">
      <c r="A22" s="42" t="s">
        <v>53</v>
      </c>
      <c r="B22" s="42"/>
      <c r="C22" s="43">
        <v>9193.2007319200002</v>
      </c>
      <c r="D22" s="43">
        <v>9855.6156639300007</v>
      </c>
      <c r="E22" s="43">
        <v>9609.6134114400011</v>
      </c>
      <c r="F22" s="43">
        <v>9551.2225184700001</v>
      </c>
      <c r="G22" s="43"/>
      <c r="H22" s="43">
        <v>9896.1506616099978</v>
      </c>
      <c r="I22" s="43">
        <v>9499.2149569700014</v>
      </c>
      <c r="J22" s="43">
        <v>9593.9988631900014</v>
      </c>
      <c r="K22" s="43">
        <v>10199.881733310001</v>
      </c>
      <c r="L22" s="43"/>
      <c r="M22" s="43">
        <v>11195.174863550001</v>
      </c>
      <c r="N22" s="43">
        <v>11783.197599319999</v>
      </c>
      <c r="O22" s="43">
        <v>11736.181136600002</v>
      </c>
      <c r="P22" s="43">
        <v>12450.561524259996</v>
      </c>
      <c r="Q22" s="43"/>
      <c r="R22" s="43">
        <v>14196.809745960001</v>
      </c>
      <c r="S22" s="43">
        <v>14484.47686334</v>
      </c>
      <c r="T22" s="43">
        <v>14980.311895420002</v>
      </c>
      <c r="U22" s="43">
        <v>16406.07521567</v>
      </c>
      <c r="V22" s="44"/>
      <c r="W22" s="49"/>
      <c r="X22" s="45" t="s">
        <v>54</v>
      </c>
      <c r="Y22" s="23"/>
      <c r="Z22" s="24"/>
      <c r="AA22" s="39"/>
      <c r="AB22" s="39"/>
      <c r="AC22" s="39"/>
      <c r="AD22" s="40"/>
      <c r="AE22" s="40"/>
      <c r="AF22" s="40"/>
      <c r="AG22" s="40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</row>
    <row r="23" spans="1:63" s="41" customFormat="1" ht="16.5" customHeight="1" x14ac:dyDescent="0.4">
      <c r="A23" s="42" t="s">
        <v>55</v>
      </c>
      <c r="B23" s="42"/>
      <c r="C23" s="43">
        <v>1977.7723173000002</v>
      </c>
      <c r="D23" s="43">
        <v>2107.9998013000004</v>
      </c>
      <c r="E23" s="43">
        <v>2117.287057</v>
      </c>
      <c r="F23" s="43">
        <v>2196.6740270100004</v>
      </c>
      <c r="G23" s="43"/>
      <c r="H23" s="43">
        <v>2204.0177827299999</v>
      </c>
      <c r="I23" s="43">
        <v>2296.01447805</v>
      </c>
      <c r="J23" s="43">
        <v>2338.51246846</v>
      </c>
      <c r="K23" s="43">
        <v>2475.5400033200003</v>
      </c>
      <c r="L23" s="43"/>
      <c r="M23" s="43">
        <v>2628.8270738400001</v>
      </c>
      <c r="N23" s="43">
        <v>2615.7061135399999</v>
      </c>
      <c r="O23" s="43">
        <v>2908.0672977000004</v>
      </c>
      <c r="P23" s="43">
        <v>3252.4322529000001</v>
      </c>
      <c r="Q23" s="43"/>
      <c r="R23" s="43">
        <v>3240.2046134900002</v>
      </c>
      <c r="S23" s="43">
        <v>3149.1663657899999</v>
      </c>
      <c r="T23" s="43">
        <v>3047.3546289299998</v>
      </c>
      <c r="U23" s="43">
        <v>3099.4325563400002</v>
      </c>
      <c r="V23" s="61"/>
      <c r="W23" s="55"/>
      <c r="X23" s="45" t="s">
        <v>31</v>
      </c>
      <c r="Y23" s="23"/>
      <c r="Z23" s="24"/>
      <c r="AA23" s="39"/>
      <c r="AB23" s="39"/>
      <c r="AC23" s="39"/>
      <c r="AD23" s="40"/>
      <c r="AE23" s="40"/>
      <c r="AF23" s="40"/>
      <c r="AG23" s="40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</row>
    <row r="24" spans="1:63" s="41" customFormat="1" ht="16.5" customHeight="1" x14ac:dyDescent="0.4">
      <c r="A24" s="42" t="s">
        <v>56</v>
      </c>
      <c r="B24" s="42"/>
      <c r="C24" s="43">
        <v>543.96262424999975</v>
      </c>
      <c r="D24" s="43">
        <v>427.3901435100006</v>
      </c>
      <c r="E24" s="43">
        <v>321.02853909000021</v>
      </c>
      <c r="F24" s="43">
        <v>392.77950454</v>
      </c>
      <c r="G24" s="43"/>
      <c r="H24" s="43">
        <v>370.28475676999972</v>
      </c>
      <c r="I24" s="43">
        <v>242.92784850000044</v>
      </c>
      <c r="J24" s="43">
        <v>271.07816582999959</v>
      </c>
      <c r="K24" s="43">
        <v>320.3642151100002</v>
      </c>
      <c r="L24" s="43"/>
      <c r="M24" s="43">
        <v>353.28231150999954</v>
      </c>
      <c r="N24" s="43">
        <v>311.72768341</v>
      </c>
      <c r="O24" s="43">
        <v>301.47848147999997</v>
      </c>
      <c r="P24" s="43">
        <v>298.53536745999997</v>
      </c>
      <c r="Q24" s="43"/>
      <c r="R24" s="43">
        <v>302.30445247999995</v>
      </c>
      <c r="S24" s="43">
        <v>663.69159675999992</v>
      </c>
      <c r="T24" s="43">
        <v>1236.1918718000002</v>
      </c>
      <c r="U24" s="43">
        <v>1115.3576497499998</v>
      </c>
      <c r="V24" s="61"/>
      <c r="W24" s="55"/>
      <c r="X24" s="46" t="s">
        <v>13</v>
      </c>
      <c r="Y24" s="23"/>
      <c r="Z24" s="24"/>
      <c r="AA24" s="39"/>
      <c r="AB24" s="39"/>
      <c r="AC24" s="39"/>
      <c r="AD24" s="40"/>
      <c r="AE24" s="40"/>
      <c r="AF24" s="40"/>
      <c r="AG24" s="40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</row>
    <row r="25" spans="1:63" s="41" customFormat="1" ht="16.5" customHeight="1" x14ac:dyDescent="0.4">
      <c r="A25" s="42" t="s">
        <v>57</v>
      </c>
      <c r="B25" s="42"/>
      <c r="C25" s="43">
        <v>4732.5331191700006</v>
      </c>
      <c r="D25" s="43">
        <v>5209.2872885199995</v>
      </c>
      <c r="E25" s="43">
        <v>4976.0368693300006</v>
      </c>
      <c r="F25" s="43">
        <v>5294.1931465599991</v>
      </c>
      <c r="G25" s="43"/>
      <c r="H25" s="43">
        <v>5235.0727270900006</v>
      </c>
      <c r="I25" s="43">
        <v>5279.5173130399999</v>
      </c>
      <c r="J25" s="43">
        <v>5229.6559944399996</v>
      </c>
      <c r="K25" s="43">
        <v>5705.6728615700013</v>
      </c>
      <c r="L25" s="43"/>
      <c r="M25" s="43">
        <v>5994.33987652</v>
      </c>
      <c r="N25" s="43">
        <v>6686.3690536799986</v>
      </c>
      <c r="O25" s="43">
        <v>5974.4793009899995</v>
      </c>
      <c r="P25" s="43">
        <v>6375.0866621700006</v>
      </c>
      <c r="Q25" s="43"/>
      <c r="R25" s="43">
        <v>7684.2479202100003</v>
      </c>
      <c r="S25" s="43">
        <v>7369.5370667400002</v>
      </c>
      <c r="T25" s="43">
        <v>7686.2006778699988</v>
      </c>
      <c r="U25" s="43">
        <v>9401.82208249</v>
      </c>
      <c r="V25" s="44"/>
      <c r="W25" s="49"/>
      <c r="X25" s="46" t="s">
        <v>32</v>
      </c>
      <c r="Y25" s="23"/>
      <c r="Z25" s="24"/>
      <c r="AA25" s="39"/>
      <c r="AB25" s="39"/>
      <c r="AC25" s="39"/>
      <c r="AD25" s="40"/>
      <c r="AE25" s="40"/>
      <c r="AF25" s="40"/>
      <c r="AG25" s="40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</row>
    <row r="26" spans="1:63" s="41" customFormat="1" ht="16.5" customHeight="1" x14ac:dyDescent="0.4">
      <c r="A26" s="42" t="s">
        <v>58</v>
      </c>
      <c r="B26" s="42"/>
      <c r="C26" s="62">
        <v>22.165158470000002</v>
      </c>
      <c r="D26" s="62">
        <v>27.254247760000002</v>
      </c>
      <c r="E26" s="62">
        <v>15.596557669999999</v>
      </c>
      <c r="F26" s="62">
        <v>70.515399669999994</v>
      </c>
      <c r="G26" s="62"/>
      <c r="H26" s="62">
        <v>89.650394230000003</v>
      </c>
      <c r="I26" s="62">
        <v>17.844512229999999</v>
      </c>
      <c r="J26" s="62">
        <v>10.64451223</v>
      </c>
      <c r="K26" s="62">
        <v>10.64451223</v>
      </c>
      <c r="L26" s="62"/>
      <c r="M26" s="62">
        <v>10.64451223</v>
      </c>
      <c r="N26" s="62">
        <v>11.864512230000001</v>
      </c>
      <c r="O26" s="62">
        <v>11.3499926</v>
      </c>
      <c r="P26" s="62">
        <v>11.554197950000001</v>
      </c>
      <c r="Q26" s="62"/>
      <c r="R26" s="62">
        <v>15.894197949999999</v>
      </c>
      <c r="S26" s="62">
        <v>15.894197949999999</v>
      </c>
      <c r="T26" s="62">
        <v>10.894197950000001</v>
      </c>
      <c r="U26" s="62">
        <v>11.054197950000001</v>
      </c>
      <c r="V26" s="61"/>
      <c r="W26" s="55"/>
      <c r="X26" s="46" t="s">
        <v>33</v>
      </c>
      <c r="Y26" s="23"/>
      <c r="Z26" s="24"/>
      <c r="AA26" s="39"/>
      <c r="AB26" s="39"/>
      <c r="AC26" s="39"/>
      <c r="AD26" s="40"/>
      <c r="AE26" s="40"/>
      <c r="AF26" s="40"/>
      <c r="AG26" s="40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</row>
    <row r="27" spans="1:63" s="41" customFormat="1" ht="16.5" customHeight="1" x14ac:dyDescent="0.4">
      <c r="A27" s="47" t="s">
        <v>47</v>
      </c>
      <c r="B27" s="47"/>
      <c r="C27" s="63">
        <v>11.315255650000001</v>
      </c>
      <c r="D27" s="63">
        <v>16.373177940000001</v>
      </c>
      <c r="E27" s="63">
        <v>4.7219141499999999</v>
      </c>
      <c r="F27" s="63">
        <v>59.695050359999996</v>
      </c>
      <c r="G27" s="63"/>
      <c r="H27" s="63">
        <v>79.650394230000003</v>
      </c>
      <c r="I27" s="63">
        <v>7.8445122300000003</v>
      </c>
      <c r="J27" s="63">
        <v>0.64451223000000002</v>
      </c>
      <c r="K27" s="63">
        <v>0.64451223000000002</v>
      </c>
      <c r="L27" s="63"/>
      <c r="M27" s="63">
        <v>0.64451223000000002</v>
      </c>
      <c r="N27" s="63">
        <v>1.8645122300000001</v>
      </c>
      <c r="O27" s="63">
        <v>1.3499926</v>
      </c>
      <c r="P27" s="63">
        <v>1.5541979500000003</v>
      </c>
      <c r="Q27" s="63"/>
      <c r="R27" s="63">
        <v>5.8941979499999997</v>
      </c>
      <c r="S27" s="63">
        <v>5.8941979499999997</v>
      </c>
      <c r="T27" s="63">
        <v>0.89419795000000002</v>
      </c>
      <c r="U27" s="63">
        <v>1.0541979500000003</v>
      </c>
      <c r="V27" s="61"/>
      <c r="W27" s="57" t="s">
        <v>59</v>
      </c>
      <c r="X27" s="55"/>
      <c r="Y27" s="23"/>
      <c r="Z27" s="24"/>
      <c r="AA27" s="39"/>
      <c r="AB27" s="39"/>
      <c r="AC27" s="39"/>
      <c r="AD27" s="40"/>
      <c r="AE27" s="40"/>
      <c r="AF27" s="40"/>
      <c r="AG27" s="40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</row>
    <row r="28" spans="1:63" s="41" customFormat="1" ht="16.5" customHeight="1" x14ac:dyDescent="0.4">
      <c r="A28" s="47" t="s">
        <v>46</v>
      </c>
      <c r="B28" s="47"/>
      <c r="C28" s="63">
        <v>10</v>
      </c>
      <c r="D28" s="63">
        <v>10</v>
      </c>
      <c r="E28" s="63">
        <v>10</v>
      </c>
      <c r="F28" s="63">
        <v>10</v>
      </c>
      <c r="G28" s="63"/>
      <c r="H28" s="63">
        <v>10</v>
      </c>
      <c r="I28" s="63">
        <v>10</v>
      </c>
      <c r="J28" s="63">
        <v>10</v>
      </c>
      <c r="K28" s="63">
        <v>10</v>
      </c>
      <c r="L28" s="63"/>
      <c r="M28" s="63">
        <v>10</v>
      </c>
      <c r="N28" s="63">
        <v>10</v>
      </c>
      <c r="O28" s="63">
        <v>10</v>
      </c>
      <c r="P28" s="63">
        <v>10</v>
      </c>
      <c r="Q28" s="63"/>
      <c r="R28" s="63">
        <v>10</v>
      </c>
      <c r="S28" s="63">
        <v>10</v>
      </c>
      <c r="T28" s="63">
        <v>10</v>
      </c>
      <c r="U28" s="63">
        <v>10</v>
      </c>
      <c r="V28" s="61"/>
      <c r="W28" s="57" t="s">
        <v>60</v>
      </c>
      <c r="X28" s="55"/>
      <c r="Y28" s="23"/>
      <c r="Z28" s="24"/>
      <c r="AA28" s="39"/>
      <c r="AB28" s="39"/>
      <c r="AC28" s="39"/>
      <c r="AD28" s="40"/>
      <c r="AE28" s="40"/>
      <c r="AF28" s="40"/>
      <c r="AG28" s="40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</row>
    <row r="29" spans="1:63" s="41" customFormat="1" ht="16.5" customHeight="1" x14ac:dyDescent="0.4">
      <c r="A29" s="47" t="s">
        <v>48</v>
      </c>
      <c r="B29" s="47"/>
      <c r="C29" s="63">
        <v>0.84990282000000006</v>
      </c>
      <c r="D29" s="63">
        <v>0.88106982</v>
      </c>
      <c r="E29" s="63">
        <v>0.87464352000000001</v>
      </c>
      <c r="F29" s="63">
        <v>0.82034931</v>
      </c>
      <c r="G29" s="63"/>
      <c r="H29" s="63">
        <v>0</v>
      </c>
      <c r="I29" s="63">
        <v>0</v>
      </c>
      <c r="J29" s="63">
        <v>0</v>
      </c>
      <c r="K29" s="63">
        <v>0</v>
      </c>
      <c r="L29" s="63"/>
      <c r="M29" s="63">
        <v>0</v>
      </c>
      <c r="N29" s="63">
        <v>0</v>
      </c>
      <c r="O29" s="63">
        <v>0</v>
      </c>
      <c r="P29" s="63">
        <v>0</v>
      </c>
      <c r="Q29" s="63"/>
      <c r="R29" s="63">
        <v>0</v>
      </c>
      <c r="S29" s="63">
        <v>0</v>
      </c>
      <c r="T29" s="63">
        <v>0</v>
      </c>
      <c r="U29" s="63">
        <v>0</v>
      </c>
      <c r="V29" s="61"/>
      <c r="W29" s="50" t="s">
        <v>61</v>
      </c>
      <c r="X29" s="55"/>
      <c r="Y29" s="23"/>
      <c r="Z29" s="24"/>
      <c r="AA29" s="39"/>
      <c r="AB29" s="39"/>
      <c r="AC29" s="39"/>
      <c r="AD29" s="40"/>
      <c r="AE29" s="40"/>
      <c r="AF29" s="40"/>
      <c r="AG29" s="40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</row>
    <row r="30" spans="1:63" s="41" customFormat="1" ht="16.5" customHeight="1" x14ac:dyDescent="0.4">
      <c r="A30" s="42" t="s">
        <v>34</v>
      </c>
      <c r="B30" s="42"/>
      <c r="C30" s="62">
        <v>620.20934920000002</v>
      </c>
      <c r="D30" s="62">
        <v>390.34570173999998</v>
      </c>
      <c r="E30" s="62">
        <v>594.34622018999994</v>
      </c>
      <c r="F30" s="62">
        <v>85.347257089999999</v>
      </c>
      <c r="G30" s="62"/>
      <c r="H30" s="62">
        <v>493.34725709000003</v>
      </c>
      <c r="I30" s="62">
        <v>328.34725708999997</v>
      </c>
      <c r="J30" s="62">
        <v>254.50414749999999</v>
      </c>
      <c r="K30" s="62">
        <v>197.3508454</v>
      </c>
      <c r="L30" s="62"/>
      <c r="M30" s="62">
        <v>681.75002195000002</v>
      </c>
      <c r="N30" s="62">
        <v>553.76633708999998</v>
      </c>
      <c r="O30" s="62">
        <v>1051.3676578899999</v>
      </c>
      <c r="P30" s="62">
        <v>997.91159641000002</v>
      </c>
      <c r="Q30" s="62"/>
      <c r="R30" s="62">
        <v>1320.86778495</v>
      </c>
      <c r="S30" s="62">
        <v>1650.5411855900002</v>
      </c>
      <c r="T30" s="62">
        <v>1806.3558758199999</v>
      </c>
      <c r="U30" s="62">
        <v>1701.4218189200001</v>
      </c>
      <c r="V30" s="61"/>
      <c r="W30" s="55"/>
      <c r="X30" s="46" t="s">
        <v>35</v>
      </c>
      <c r="Y30" s="23"/>
      <c r="Z30" s="24"/>
      <c r="AA30" s="39"/>
      <c r="AB30" s="39"/>
      <c r="AC30" s="39"/>
      <c r="AD30" s="40"/>
      <c r="AE30" s="40"/>
      <c r="AF30" s="40"/>
      <c r="AG30" s="40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</row>
    <row r="31" spans="1:63" s="69" customFormat="1" ht="16.5" customHeight="1" x14ac:dyDescent="0.4">
      <c r="A31" s="42" t="s">
        <v>62</v>
      </c>
      <c r="B31" s="42"/>
      <c r="C31" s="64">
        <v>0</v>
      </c>
      <c r="D31" s="64">
        <v>0</v>
      </c>
      <c r="E31" s="64">
        <v>0</v>
      </c>
      <c r="F31" s="64">
        <v>0</v>
      </c>
      <c r="G31" s="64"/>
      <c r="H31" s="64">
        <v>0</v>
      </c>
      <c r="I31" s="64">
        <v>0</v>
      </c>
      <c r="J31" s="64">
        <v>0</v>
      </c>
      <c r="K31" s="64">
        <v>0</v>
      </c>
      <c r="L31" s="64"/>
      <c r="M31" s="64">
        <v>0</v>
      </c>
      <c r="N31" s="64">
        <v>0</v>
      </c>
      <c r="O31" s="64">
        <v>0</v>
      </c>
      <c r="P31" s="64">
        <v>0</v>
      </c>
      <c r="Q31" s="64"/>
      <c r="R31" s="64">
        <v>0</v>
      </c>
      <c r="S31" s="64">
        <v>0</v>
      </c>
      <c r="T31" s="64">
        <v>0</v>
      </c>
      <c r="U31" s="64">
        <v>0</v>
      </c>
      <c r="V31" s="61"/>
      <c r="W31" s="61"/>
      <c r="X31" s="65" t="s">
        <v>17</v>
      </c>
      <c r="Y31" s="66"/>
      <c r="Z31" s="67"/>
      <c r="AA31" s="68"/>
      <c r="AB31" s="68"/>
      <c r="AC31" s="68"/>
      <c r="AD31" s="40"/>
      <c r="AE31" s="40"/>
      <c r="AF31" s="40"/>
      <c r="AG31" s="40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</row>
    <row r="32" spans="1:63" s="69" customFormat="1" ht="16.5" customHeight="1" x14ac:dyDescent="0.4">
      <c r="A32" s="42" t="s">
        <v>63</v>
      </c>
      <c r="B32" s="42"/>
      <c r="C32" s="64">
        <v>391.55058875520001</v>
      </c>
      <c r="D32" s="64">
        <v>470.29107848246798</v>
      </c>
      <c r="E32" s="64">
        <v>446.0309791585488</v>
      </c>
      <c r="F32" s="64">
        <v>444.118061118112</v>
      </c>
      <c r="G32" s="64"/>
      <c r="H32" s="64">
        <v>443.62030386240525</v>
      </c>
      <c r="I32" s="64">
        <v>443.36825933361399</v>
      </c>
      <c r="J32" s="64">
        <v>447.58466597987319</v>
      </c>
      <c r="K32" s="64">
        <v>448.6048366521232</v>
      </c>
      <c r="L32" s="64"/>
      <c r="M32" s="64">
        <v>414.46257339057604</v>
      </c>
      <c r="N32" s="64">
        <v>427.5069758483952</v>
      </c>
      <c r="O32" s="64">
        <v>405.16834459343045</v>
      </c>
      <c r="P32" s="64">
        <v>377.08595611119995</v>
      </c>
      <c r="Q32" s="64"/>
      <c r="R32" s="64">
        <v>384.16582960381606</v>
      </c>
      <c r="S32" s="64">
        <v>397.98750826570915</v>
      </c>
      <c r="T32" s="64">
        <v>370.76485252756959</v>
      </c>
      <c r="U32" s="64">
        <v>365.74074957979201</v>
      </c>
      <c r="V32" s="61"/>
      <c r="W32" s="45"/>
      <c r="X32" s="45" t="s">
        <v>64</v>
      </c>
      <c r="Y32" s="66"/>
      <c r="Z32" s="67"/>
      <c r="AA32" s="68"/>
      <c r="AB32" s="68"/>
      <c r="AC32" s="68"/>
      <c r="AD32" s="40"/>
      <c r="AE32" s="40"/>
      <c r="AF32" s="40"/>
      <c r="AG32" s="40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</row>
    <row r="33" spans="1:63" s="69" customFormat="1" ht="16.5" customHeight="1" x14ac:dyDescent="0.4">
      <c r="A33" s="42" t="s">
        <v>65</v>
      </c>
      <c r="B33" s="42"/>
      <c r="C33" s="64">
        <v>516.98928037479891</v>
      </c>
      <c r="D33" s="64">
        <v>543.08302394753264</v>
      </c>
      <c r="E33" s="64">
        <v>548.28791495145015</v>
      </c>
      <c r="F33" s="64">
        <v>315.46778721189003</v>
      </c>
      <c r="G33" s="64"/>
      <c r="H33" s="64">
        <v>324.25281368759352</v>
      </c>
      <c r="I33" s="64">
        <v>428.80243673638688</v>
      </c>
      <c r="J33" s="64">
        <v>442.6660520901296</v>
      </c>
      <c r="K33" s="64">
        <v>413.08340777787635</v>
      </c>
      <c r="L33" s="64"/>
      <c r="M33" s="64">
        <v>427.3574690094265</v>
      </c>
      <c r="N33" s="64">
        <v>459.34412580160642</v>
      </c>
      <c r="O33" s="64">
        <v>500.84034159657131</v>
      </c>
      <c r="P33" s="64">
        <v>529.37209306879777</v>
      </c>
      <c r="Q33" s="64"/>
      <c r="R33" s="64">
        <v>482.16970918618426</v>
      </c>
      <c r="S33" s="64">
        <v>536.76022762429056</v>
      </c>
      <c r="T33" s="64">
        <v>533.85037997243489</v>
      </c>
      <c r="U33" s="64">
        <v>531.98318509020828</v>
      </c>
      <c r="V33" s="61"/>
      <c r="W33" s="61"/>
      <c r="X33" s="45" t="s">
        <v>66</v>
      </c>
      <c r="Y33" s="66"/>
      <c r="Z33" s="67"/>
      <c r="AA33" s="68"/>
      <c r="AB33" s="68"/>
      <c r="AC33" s="68"/>
      <c r="AD33" s="40"/>
      <c r="AE33" s="40"/>
      <c r="AF33" s="40"/>
      <c r="AG33" s="40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</row>
    <row r="34" spans="1:63" s="69" customFormat="1" ht="16.5" customHeight="1" x14ac:dyDescent="0.4">
      <c r="A34" s="70" t="s">
        <v>36</v>
      </c>
      <c r="B34" s="71"/>
      <c r="C34" s="72">
        <v>388.0182944</v>
      </c>
      <c r="D34" s="72">
        <v>679.96437866999975</v>
      </c>
      <c r="E34" s="72">
        <v>590.99927404999983</v>
      </c>
      <c r="F34" s="72">
        <v>752.12733526999989</v>
      </c>
      <c r="G34" s="72"/>
      <c r="H34" s="72">
        <v>735.90462615000001</v>
      </c>
      <c r="I34" s="72">
        <v>462.39285199</v>
      </c>
      <c r="J34" s="72">
        <v>599.35285665999993</v>
      </c>
      <c r="K34" s="72">
        <v>628.62105124999994</v>
      </c>
      <c r="L34" s="72"/>
      <c r="M34" s="72">
        <v>684.5110251000001</v>
      </c>
      <c r="N34" s="72">
        <v>716.91279771999996</v>
      </c>
      <c r="O34" s="72">
        <v>583.42971975000012</v>
      </c>
      <c r="P34" s="72">
        <v>608.58339818999991</v>
      </c>
      <c r="Q34" s="72"/>
      <c r="R34" s="72">
        <v>766.95523808999997</v>
      </c>
      <c r="S34" s="72">
        <v>700.89871462000008</v>
      </c>
      <c r="T34" s="72">
        <v>288.69941055000004</v>
      </c>
      <c r="U34" s="72">
        <v>179.26297555000002</v>
      </c>
      <c r="V34" s="73"/>
      <c r="W34" s="73"/>
      <c r="X34" s="74" t="s">
        <v>18</v>
      </c>
      <c r="Y34" s="66"/>
      <c r="Z34" s="67"/>
      <c r="AA34" s="68"/>
      <c r="AB34" s="68"/>
      <c r="AC34" s="68"/>
      <c r="AD34" s="40"/>
      <c r="AE34" s="40"/>
      <c r="AF34" s="40"/>
      <c r="AG34" s="40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</row>
    <row r="35" spans="1:63" s="69" customFormat="1" ht="16.5" customHeight="1" x14ac:dyDescent="0.4">
      <c r="A35" s="75" t="s">
        <v>19</v>
      </c>
      <c r="B35" s="75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7"/>
      <c r="W35" s="77"/>
      <c r="X35" s="78" t="s">
        <v>20</v>
      </c>
      <c r="Y35" s="66"/>
      <c r="Z35" s="67"/>
      <c r="AA35" s="68"/>
      <c r="AB35" s="68"/>
      <c r="AC35" s="68"/>
      <c r="AD35" s="40"/>
      <c r="AE35" s="40"/>
      <c r="AF35" s="40"/>
      <c r="AG35" s="40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</row>
    <row r="36" spans="1:63" s="69" customFormat="1" ht="16.5" customHeight="1" x14ac:dyDescent="0.4">
      <c r="A36" s="79" t="s">
        <v>67</v>
      </c>
      <c r="B36" s="79"/>
      <c r="C36" s="80">
        <v>17.899999999999999</v>
      </c>
      <c r="D36" s="80">
        <v>34.1</v>
      </c>
      <c r="E36" s="80">
        <v>40.299999999999997</v>
      </c>
      <c r="F36" s="80">
        <v>15.1</v>
      </c>
      <c r="G36" s="80"/>
      <c r="H36" s="80">
        <f>+(H10/C10-1)*100</f>
        <v>14.582481555952054</v>
      </c>
      <c r="I36" s="80">
        <f t="shared" ref="I36:K36" si="0">+(I10/D10-1)*100</f>
        <v>-7.3447629713496827</v>
      </c>
      <c r="J36" s="80">
        <f t="shared" si="0"/>
        <v>4.2877322991826006</v>
      </c>
      <c r="K36" s="80">
        <f t="shared" si="0"/>
        <v>-9.285645574616197</v>
      </c>
      <c r="L36" s="80"/>
      <c r="M36" s="80">
        <f t="shared" ref="M36:P37" si="1">+(M10/H10-1)*100</f>
        <v>-4.3453975498307535</v>
      </c>
      <c r="N36" s="80">
        <f t="shared" si="1"/>
        <v>7.4704318779715173</v>
      </c>
      <c r="O36" s="80">
        <f t="shared" si="1"/>
        <v>4.7648356882571852</v>
      </c>
      <c r="P36" s="80">
        <f t="shared" si="1"/>
        <v>21.227358861976043</v>
      </c>
      <c r="Q36" s="80"/>
      <c r="R36" s="80">
        <f t="shared" ref="R36:U37" si="2">+(R10/M10-1)*100</f>
        <v>47.567926190033049</v>
      </c>
      <c r="S36" s="80">
        <f t="shared" si="2"/>
        <v>38.755442358886413</v>
      </c>
      <c r="T36" s="80">
        <f t="shared" si="2"/>
        <v>50.369432095885088</v>
      </c>
      <c r="U36" s="80">
        <f t="shared" si="2"/>
        <v>66.676578759095449</v>
      </c>
      <c r="V36" s="81"/>
      <c r="W36" s="81"/>
      <c r="X36" s="45" t="s">
        <v>42</v>
      </c>
      <c r="Y36" s="66"/>
      <c r="Z36" s="67"/>
      <c r="AA36" s="68"/>
      <c r="AB36" s="68"/>
      <c r="AC36" s="68"/>
      <c r="AD36" s="40"/>
      <c r="AE36" s="40"/>
      <c r="AF36" s="40"/>
      <c r="AG36" s="40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  <c r="BK36" s="68"/>
    </row>
    <row r="37" spans="1:63" s="69" customFormat="1" ht="16.5" customHeight="1" x14ac:dyDescent="0.4">
      <c r="A37" s="79" t="s">
        <v>37</v>
      </c>
      <c r="B37" s="79"/>
      <c r="C37" s="80">
        <v>-8</v>
      </c>
      <c r="D37" s="80">
        <v>-6.7</v>
      </c>
      <c r="E37" s="80">
        <v>1.3</v>
      </c>
      <c r="F37" s="80">
        <v>0</v>
      </c>
      <c r="G37" s="80"/>
      <c r="H37" s="80">
        <f>+(H11/C11-1)*100</f>
        <v>1.5881738148124214</v>
      </c>
      <c r="I37" s="80">
        <f t="shared" ref="I37:K37" si="3">+(I11/D11-1)*100</f>
        <v>1.5441336455996879</v>
      </c>
      <c r="J37" s="80">
        <f t="shared" si="3"/>
        <v>-1.1786301971727364</v>
      </c>
      <c r="K37" s="80">
        <f t="shared" si="3"/>
        <v>27.69671008274155</v>
      </c>
      <c r="L37" s="80"/>
      <c r="M37" s="80">
        <f>+(M11/H11-1)*100</f>
        <v>34.187676188261193</v>
      </c>
      <c r="N37" s="80">
        <f t="shared" si="1"/>
        <v>48.101135452239149</v>
      </c>
      <c r="O37" s="80">
        <f t="shared" si="1"/>
        <v>47.842092360694096</v>
      </c>
      <c r="P37" s="80">
        <f t="shared" si="1"/>
        <v>25.05400424886448</v>
      </c>
      <c r="Q37" s="80"/>
      <c r="R37" s="80">
        <f>+(R11/M11-1)*100</f>
        <v>12.258756622786549</v>
      </c>
      <c r="S37" s="80">
        <f t="shared" si="2"/>
        <v>11.261937696453428</v>
      </c>
      <c r="T37" s="80">
        <f t="shared" si="2"/>
        <v>11.549552063501034</v>
      </c>
      <c r="U37" s="80">
        <f t="shared" si="2"/>
        <v>2.8813421332273492</v>
      </c>
      <c r="V37" s="81"/>
      <c r="W37" s="81"/>
      <c r="X37" s="46" t="s">
        <v>12</v>
      </c>
      <c r="Y37" s="66"/>
      <c r="Z37" s="67"/>
      <c r="AA37" s="68"/>
      <c r="AB37" s="68"/>
      <c r="AC37" s="68"/>
      <c r="AD37" s="40"/>
      <c r="AE37" s="40"/>
      <c r="AF37" s="40"/>
      <c r="AG37" s="40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</row>
    <row r="38" spans="1:63" ht="16.5" customHeight="1" x14ac:dyDescent="0.4">
      <c r="A38" s="82" t="s">
        <v>56</v>
      </c>
      <c r="B38" s="82"/>
      <c r="C38" s="83">
        <v>-50.2</v>
      </c>
      <c r="D38" s="83">
        <v>-58.9</v>
      </c>
      <c r="E38" s="83">
        <v>-62.8</v>
      </c>
      <c r="F38" s="83">
        <v>-67.2</v>
      </c>
      <c r="G38" s="83"/>
      <c r="H38" s="83">
        <f>+(H24/C24-1)*100</f>
        <v>-31.928272226324772</v>
      </c>
      <c r="I38" s="83">
        <f t="shared" ref="I38:K38" si="4">+(I24/D24-1)*100</f>
        <v>-43.16016590721491</v>
      </c>
      <c r="J38" s="83">
        <f t="shared" si="4"/>
        <v>-15.559480599946617</v>
      </c>
      <c r="K38" s="83">
        <f t="shared" si="4"/>
        <v>-18.436626298718995</v>
      </c>
      <c r="L38" s="83"/>
      <c r="M38" s="83">
        <f t="shared" ref="M38" si="5">+(M24/H24-1)*100</f>
        <v>-4.5917216275152111</v>
      </c>
      <c r="N38" s="83">
        <f t="shared" ref="N38" si="6">+(N24/I24-1)*100</f>
        <v>28.321098356905527</v>
      </c>
      <c r="O38" s="83">
        <f t="shared" ref="O38" si="7">+(O24/J24-1)*100</f>
        <v>11.21459397399982</v>
      </c>
      <c r="P38" s="83">
        <f t="shared" ref="P38" si="8">+(P24/K24-1)*100</f>
        <v>-6.8137596586763216</v>
      </c>
      <c r="Q38" s="83"/>
      <c r="R38" s="83">
        <f t="shared" ref="R38" si="9">+(R24/M24-1)*100</f>
        <v>-14.429779632076677</v>
      </c>
      <c r="S38" s="83">
        <f t="shared" ref="S38" si="10">+(S24/N24-1)*100</f>
        <v>112.9074933287459</v>
      </c>
      <c r="T38" s="83">
        <f t="shared" ref="T38" si="11">+(T24/O24-1)*100</f>
        <v>310.04315323978074</v>
      </c>
      <c r="U38" s="83">
        <f t="shared" ref="U38" si="12">+(U24/P24-1)*100</f>
        <v>273.60988724374306</v>
      </c>
      <c r="V38" s="84"/>
      <c r="W38" s="84"/>
      <c r="X38" s="85" t="s">
        <v>13</v>
      </c>
      <c r="Y38" s="66"/>
      <c r="Z38" s="67"/>
      <c r="AA38" s="68"/>
      <c r="AB38" s="68"/>
      <c r="AC38" s="68"/>
      <c r="AD38" s="40"/>
      <c r="AE38" s="40"/>
      <c r="AF38" s="40"/>
      <c r="AG38" s="40"/>
    </row>
    <row r="39" spans="1:63" ht="16.5" customHeight="1" x14ac:dyDescent="0.4">
      <c r="A39" s="88" t="s">
        <v>21</v>
      </c>
      <c r="B39" s="88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7"/>
      <c r="W39" s="77"/>
      <c r="X39" s="78" t="s">
        <v>22</v>
      </c>
      <c r="Y39" s="66"/>
      <c r="Z39" s="67"/>
      <c r="AA39" s="68"/>
      <c r="AB39" s="68"/>
      <c r="AC39" s="68"/>
      <c r="AD39" s="40"/>
      <c r="AE39" s="40"/>
      <c r="AF39" s="40"/>
      <c r="AG39" s="40"/>
    </row>
    <row r="40" spans="1:63" ht="16.5" customHeight="1" x14ac:dyDescent="0.4">
      <c r="A40" s="89" t="s">
        <v>68</v>
      </c>
      <c r="B40" s="90"/>
      <c r="C40" s="90">
        <v>372.29083046328134</v>
      </c>
      <c r="D40" s="90">
        <v>346.76128080848309</v>
      </c>
      <c r="E40" s="90">
        <v>317.9847098602387</v>
      </c>
      <c r="F40" s="90">
        <v>335.4731102811183</v>
      </c>
      <c r="G40" s="90"/>
      <c r="H40" s="90">
        <v>354.32997556918576</v>
      </c>
      <c r="I40" s="90">
        <v>320.66699836338711</v>
      </c>
      <c r="J40" s="90">
        <v>331.18864836661334</v>
      </c>
      <c r="K40" s="90">
        <v>305.11425654532314</v>
      </c>
      <c r="L40" s="90"/>
      <c r="M40" s="90">
        <v>338.93292949248644</v>
      </c>
      <c r="N40" s="90">
        <v>345.07006015345786</v>
      </c>
      <c r="O40" s="90">
        <v>348.09870045157595</v>
      </c>
      <c r="P40" s="90">
        <v>368.92184581866314</v>
      </c>
      <c r="Q40" s="90"/>
      <c r="R40" s="90">
        <v>500.48107204227176</v>
      </c>
      <c r="S40" s="90">
        <v>478.18206922073659</v>
      </c>
      <c r="T40" s="90">
        <v>522.41369974487668</v>
      </c>
      <c r="U40" s="90">
        <v>615.30560071772902</v>
      </c>
      <c r="V40" s="61"/>
      <c r="W40" s="55" t="s">
        <v>69</v>
      </c>
      <c r="X40" s="61"/>
      <c r="Y40" s="66"/>
      <c r="Z40" s="67"/>
      <c r="AD40" s="40"/>
      <c r="AE40" s="40"/>
      <c r="AF40" s="40"/>
      <c r="AG40" s="40"/>
    </row>
    <row r="41" spans="1:63" ht="16.5" customHeight="1" x14ac:dyDescent="0.4">
      <c r="A41" s="91" t="s">
        <v>70</v>
      </c>
      <c r="B41" s="92"/>
      <c r="C41" s="92">
        <v>12.8</v>
      </c>
      <c r="D41" s="92">
        <v>15.38</v>
      </c>
      <c r="E41" s="92">
        <v>15.39</v>
      </c>
      <c r="F41" s="92">
        <v>15.41</v>
      </c>
      <c r="G41" s="92"/>
      <c r="H41" s="93">
        <v>15.41</v>
      </c>
      <c r="I41" s="93">
        <v>15.41</v>
      </c>
      <c r="J41" s="93">
        <v>15.41</v>
      </c>
      <c r="K41" s="93">
        <v>15.37</v>
      </c>
      <c r="L41" s="93"/>
      <c r="M41" s="93">
        <v>15.41</v>
      </c>
      <c r="N41" s="93">
        <v>15.39</v>
      </c>
      <c r="O41" s="93">
        <v>15.36</v>
      </c>
      <c r="P41" s="93">
        <v>15.41</v>
      </c>
      <c r="Q41" s="93"/>
      <c r="R41" s="92">
        <v>15.4</v>
      </c>
      <c r="S41" s="92">
        <v>15.41</v>
      </c>
      <c r="T41" s="92">
        <v>15.39</v>
      </c>
      <c r="U41" s="92">
        <v>15.4</v>
      </c>
      <c r="V41" s="94"/>
      <c r="W41" s="94" t="s">
        <v>71</v>
      </c>
      <c r="X41" s="95"/>
      <c r="Y41" s="66"/>
      <c r="Z41" s="67"/>
      <c r="AD41" s="40"/>
      <c r="AE41" s="40"/>
      <c r="AF41" s="40"/>
      <c r="AG41" s="40"/>
    </row>
    <row r="42" spans="1:63" ht="15" customHeight="1" x14ac:dyDescent="0.4">
      <c r="A42" s="5" t="s">
        <v>75</v>
      </c>
      <c r="B42" s="96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8"/>
      <c r="W42" s="98"/>
      <c r="X42" s="6" t="s">
        <v>74</v>
      </c>
      <c r="Y42" s="66"/>
      <c r="Z42" s="67"/>
    </row>
    <row r="43" spans="1:63" ht="15" customHeight="1" x14ac:dyDescent="0.4">
      <c r="A43" s="7" t="s">
        <v>83</v>
      </c>
      <c r="B43" s="69"/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10" t="s">
        <v>84</v>
      </c>
      <c r="W43" s="110"/>
      <c r="X43" s="125"/>
      <c r="Y43" s="66" t="s">
        <v>72</v>
      </c>
      <c r="Z43" s="67"/>
    </row>
    <row r="44" spans="1:63" ht="15" customHeight="1" x14ac:dyDescent="0.25">
      <c r="A44" s="7" t="s">
        <v>23</v>
      </c>
      <c r="B44" s="101"/>
      <c r="C44" s="102"/>
      <c r="D44" s="103"/>
      <c r="E44" s="103"/>
      <c r="F44" s="111" t="s">
        <v>24</v>
      </c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8"/>
      <c r="Z44" s="8"/>
      <c r="AA44" s="8"/>
      <c r="AB44" s="8"/>
      <c r="AC44" s="8"/>
      <c r="AD44" s="8"/>
      <c r="AE44" s="8"/>
      <c r="AF44" s="104"/>
    </row>
    <row r="45" spans="1:63" ht="15" customHeight="1" x14ac:dyDescent="0.4">
      <c r="A45" s="7" t="s">
        <v>25</v>
      </c>
      <c r="X45" s="106" t="s">
        <v>73</v>
      </c>
      <c r="Z45" s="67"/>
    </row>
    <row r="47" spans="1:63" x14ac:dyDescent="0.25"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</row>
    <row r="48" spans="1:63" x14ac:dyDescent="0.25"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</row>
    <row r="49" spans="3:21" x14ac:dyDescent="0.25"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</row>
    <row r="50" spans="3:21" x14ac:dyDescent="0.25"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</row>
    <row r="51" spans="3:21" x14ac:dyDescent="0.25">
      <c r="C51" s="107"/>
      <c r="D51" s="107"/>
      <c r="E51" s="107"/>
      <c r="F51" s="107"/>
      <c r="G51" s="107"/>
      <c r="H51" s="108"/>
      <c r="I51" s="108"/>
      <c r="J51" s="108"/>
      <c r="K51" s="108"/>
      <c r="L51" s="107"/>
      <c r="M51" s="107"/>
      <c r="N51" s="107"/>
      <c r="O51" s="107"/>
      <c r="P51" s="107"/>
      <c r="Q51" s="107"/>
      <c r="R51" s="107"/>
      <c r="S51" s="107"/>
      <c r="T51" s="107"/>
      <c r="U51" s="107"/>
    </row>
    <row r="52" spans="3:21" x14ac:dyDescent="0.25">
      <c r="C52" s="107"/>
      <c r="D52" s="107"/>
      <c r="E52" s="107"/>
      <c r="F52" s="107"/>
      <c r="G52" s="107"/>
      <c r="H52" s="108"/>
      <c r="I52" s="108"/>
      <c r="J52" s="108"/>
      <c r="K52" s="108"/>
      <c r="L52" s="107"/>
      <c r="M52" s="107"/>
      <c r="N52" s="107"/>
      <c r="O52" s="107"/>
      <c r="P52" s="107"/>
      <c r="Q52" s="107"/>
      <c r="R52" s="107"/>
      <c r="S52" s="107"/>
      <c r="T52" s="107"/>
      <c r="U52" s="107"/>
    </row>
    <row r="53" spans="3:21" x14ac:dyDescent="0.25">
      <c r="C53" s="107"/>
      <c r="D53" s="107"/>
      <c r="E53" s="107"/>
      <c r="F53" s="107"/>
      <c r="G53" s="107"/>
      <c r="H53" s="108"/>
      <c r="I53" s="108"/>
      <c r="J53" s="108"/>
      <c r="K53" s="108"/>
      <c r="L53" s="107"/>
      <c r="M53" s="107"/>
      <c r="N53" s="107"/>
      <c r="O53" s="107"/>
      <c r="P53" s="107"/>
      <c r="Q53" s="107"/>
      <c r="R53" s="107"/>
      <c r="S53" s="107"/>
      <c r="T53" s="107"/>
      <c r="U53" s="107"/>
    </row>
    <row r="54" spans="3:21" x14ac:dyDescent="0.25"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</row>
    <row r="55" spans="3:21" x14ac:dyDescent="0.25"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</row>
    <row r="56" spans="3:21" x14ac:dyDescent="0.25"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</row>
    <row r="57" spans="3:21" x14ac:dyDescent="0.25"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</row>
    <row r="58" spans="3:21" x14ac:dyDescent="0.25">
      <c r="C58" s="107"/>
      <c r="D58" s="107"/>
      <c r="E58" s="107"/>
      <c r="F58" s="107"/>
      <c r="G58" s="107"/>
      <c r="H58" s="108"/>
      <c r="I58" s="108"/>
      <c r="J58" s="108"/>
      <c r="K58" s="108"/>
      <c r="L58" s="108"/>
      <c r="M58" s="108"/>
      <c r="N58" s="108"/>
      <c r="O58" s="108"/>
      <c r="P58" s="107"/>
      <c r="Q58" s="108"/>
      <c r="R58" s="108"/>
      <c r="S58" s="108"/>
      <c r="T58" s="108"/>
      <c r="U58" s="107"/>
    </row>
    <row r="59" spans="3:21" x14ac:dyDescent="0.25"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</row>
    <row r="60" spans="3:21" x14ac:dyDescent="0.25"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</row>
    <row r="61" spans="3:21" x14ac:dyDescent="0.25"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</row>
    <row r="62" spans="3:21" x14ac:dyDescent="0.25"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</row>
    <row r="63" spans="3:21" x14ac:dyDescent="0.25"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</row>
    <row r="64" spans="3:21" x14ac:dyDescent="0.25"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</row>
    <row r="65" spans="3:21" x14ac:dyDescent="0.25"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</row>
    <row r="66" spans="3:21" x14ac:dyDescent="0.25"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</row>
    <row r="67" spans="3:21" x14ac:dyDescent="0.25"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</row>
    <row r="68" spans="3:21" x14ac:dyDescent="0.25"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</row>
    <row r="69" spans="3:21" x14ac:dyDescent="0.25"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</row>
    <row r="70" spans="3:21" x14ac:dyDescent="0.25"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</row>
    <row r="71" spans="3:21" x14ac:dyDescent="0.25"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</row>
    <row r="72" spans="3:21" x14ac:dyDescent="0.25"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</row>
    <row r="73" spans="3:21" x14ac:dyDescent="0.25"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</row>
    <row r="74" spans="3:21" x14ac:dyDescent="0.25"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</row>
    <row r="75" spans="3:21" x14ac:dyDescent="0.25"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</row>
    <row r="76" spans="3:21" x14ac:dyDescent="0.25"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</row>
    <row r="77" spans="3:21" x14ac:dyDescent="0.25"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</row>
    <row r="78" spans="3:21" x14ac:dyDescent="0.25"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</row>
    <row r="79" spans="3:21" x14ac:dyDescent="0.25"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</row>
    <row r="80" spans="3:21" x14ac:dyDescent="0.25"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</row>
    <row r="81" spans="3:21" x14ac:dyDescent="0.25"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</row>
    <row r="82" spans="3:21" x14ac:dyDescent="0.25"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</row>
    <row r="83" spans="3:21" x14ac:dyDescent="0.25"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</row>
    <row r="84" spans="3:21" x14ac:dyDescent="0.25"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</row>
    <row r="85" spans="3:21" x14ac:dyDescent="0.25"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</row>
    <row r="86" spans="3:21" x14ac:dyDescent="0.25"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</row>
    <row r="87" spans="3:21" x14ac:dyDescent="0.25"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</row>
    <row r="88" spans="3:21" x14ac:dyDescent="0.25"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</row>
  </sheetData>
  <mergeCells count="10">
    <mergeCell ref="F44:X44"/>
    <mergeCell ref="A1:X1"/>
    <mergeCell ref="A2:Y2"/>
    <mergeCell ref="A3:X3"/>
    <mergeCell ref="A4:X4"/>
    <mergeCell ref="C6:F6"/>
    <mergeCell ref="H6:K6"/>
    <mergeCell ref="M6:P6"/>
    <mergeCell ref="R6:U6"/>
    <mergeCell ref="V43:X43"/>
  </mergeCells>
  <printOptions horizontalCentered="1"/>
  <pageMargins left="0.56000000000000005" right="0.56000000000000005" top="0.31" bottom="0.32" header="0.3" footer="0.3"/>
  <pageSetup paperSize="9" scale="51" fitToHeight="0" orientation="landscape" r:id="rId1"/>
  <colBreaks count="1" manualBreakCount="1">
    <brk id="2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14.6</vt:lpstr>
      <vt:lpstr>'14.6'!Print_Area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2016-03-16T07:19:19Z</cp:lastPrinted>
  <dcterms:created xsi:type="dcterms:W3CDTF">2013-04-01T04:26:10Z</dcterms:created>
  <dcterms:modified xsi:type="dcterms:W3CDTF">2016-03-16T07:19:20Z</dcterms:modified>
</cp:coreProperties>
</file>