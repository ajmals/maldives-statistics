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120" yWindow="105" windowWidth="15120" windowHeight="8010" tabRatio="725"/>
  </bookViews>
  <sheets>
    <sheet name="4.6" sheetId="1" r:id="rId1"/>
  </sheets>
  <definedNames>
    <definedName name="_xlnm.Print_Area" localSheetId="0">'4.6'!$A$1:$M$35</definedName>
  </definedNames>
  <calcPr calcId="144525"/>
</workbook>
</file>

<file path=xl/calcChain.xml><?xml version="1.0" encoding="utf-8"?>
<calcChain xmlns="http://schemas.openxmlformats.org/spreadsheetml/2006/main">
  <c r="M28" i="1" l="1"/>
  <c r="M27" i="1"/>
  <c r="M22" i="1" l="1"/>
  <c r="E10" i="1"/>
  <c r="E9" i="1"/>
</calcChain>
</file>

<file path=xl/sharedStrings.xml><?xml version="1.0" encoding="utf-8"?>
<sst xmlns="http://schemas.openxmlformats.org/spreadsheetml/2006/main" count="157" uniqueCount="87">
  <si>
    <t>އަހަރު</t>
  </si>
  <si>
    <t>ބާވަތް</t>
  </si>
  <si>
    <t>އަދަދު</t>
  </si>
  <si>
    <t>އެވަރެޖް މަހަކު ކުލި (ރުފިޔާ)</t>
  </si>
  <si>
    <t>އޭރިޔާ (އަކަފޫޓުން)</t>
  </si>
  <si>
    <t>އިމާތާރްކުރުމަށް ހިނގި ޚަރަދު (ރުފިޔާ)/ފްލެޓް</t>
  </si>
  <si>
    <t>ޚަރަދުކުރެވުނު ގޮތް</t>
  </si>
  <si>
    <t>ޚަރަދުކުރި ފަރާތް</t>
  </si>
  <si>
    <t>ޑައުންޕޭމަންޓްގެ ގޮތުގައި ލިބުނު ފައިސާ</t>
  </si>
  <si>
    <t>Year</t>
  </si>
  <si>
    <t>Type</t>
  </si>
  <si>
    <t>Number</t>
  </si>
  <si>
    <t>Area (Sq ft)</t>
  </si>
  <si>
    <t>Type of Funding</t>
  </si>
  <si>
    <t>Financial Source(s)</t>
  </si>
  <si>
    <t>Amount received as downpayment(s)</t>
  </si>
  <si>
    <t>Plot</t>
  </si>
  <si>
    <t>1000-1500</t>
  </si>
  <si>
    <t>-</t>
  </si>
  <si>
    <t>Row House</t>
  </si>
  <si>
    <t>HDC / End-user Financing by HDFC</t>
  </si>
  <si>
    <t>އެޗް.ޑީ.ސީ/ އެޗް.ޑީ.އެފް.ސީ</t>
  </si>
  <si>
    <t>HDC</t>
  </si>
  <si>
    <t>އެޗް.ޑީ.ސީ</t>
  </si>
  <si>
    <t>12,878,400**</t>
  </si>
  <si>
    <t>1224-1709</t>
  </si>
  <si>
    <t>110,903,113.92***</t>
  </si>
  <si>
    <t>Coral Ville</t>
  </si>
  <si>
    <t>866-900</t>
  </si>
  <si>
    <t>HDFC</t>
  </si>
  <si>
    <t>Pruksa-HDC</t>
  </si>
  <si>
    <t>ޕްރުކްސާ-އެޗް.ޑީ.ސީ</t>
  </si>
  <si>
    <t>MIB/HDFC</t>
  </si>
  <si>
    <t>އެޗް.ޑީ.އެފް.ސީ/ އެމް.އައި.ބީ</t>
  </si>
  <si>
    <t>Rain View</t>
  </si>
  <si>
    <t>Rainbow Construction</t>
  </si>
  <si>
    <t>ޜެއިންބޯ ކޮންސްޓްރަކްޝަން</t>
  </si>
  <si>
    <t>Water Lilly</t>
  </si>
  <si>
    <t>Jausa Property Development</t>
  </si>
  <si>
    <t>ޖައުސާ ޕްރޮޕަރޓީ ޑިވެލޮޕްމަންޓް</t>
  </si>
  <si>
    <t>Damas</t>
  </si>
  <si>
    <t xml:space="preserve">Damas Company </t>
  </si>
  <si>
    <t>ދަމާސް ކޮމްޕެނީ</t>
  </si>
  <si>
    <t>Lexon</t>
  </si>
  <si>
    <t>Lexon Pvt Ltd</t>
  </si>
  <si>
    <t>ލެކްސަން ޕްރައިވެޓް ލިމިޓެޑް</t>
  </si>
  <si>
    <t>Platinum Residence</t>
  </si>
  <si>
    <t>Platinum Real Estate Development</t>
  </si>
  <si>
    <t>ޕްލެޓިނަމް ރިއަލް އެސްޓޭޓް ޑިވެލޮޕްމަންޓް</t>
  </si>
  <si>
    <t>Apartment Complex</t>
  </si>
  <si>
    <t>Damas Company Pvt.Ltd</t>
  </si>
  <si>
    <t>ދަމާސް ކޮމްޕެނީ ޕްރައިވެޓް ލިމިޓެޑް</t>
  </si>
  <si>
    <t xml:space="preserve">Ensis Fisheries Pvt. Ltd. </t>
  </si>
  <si>
    <t>އެންސިސް ފިޝަރީސް ޕްރައިވެޓް ލިމިޓެޑް</t>
  </si>
  <si>
    <t>Green Market Pvt. Ltd.</t>
  </si>
  <si>
    <t>ގްރީން މާރކެޓް ޕްރައިވެޓް ލިމިޓެޑް</t>
  </si>
  <si>
    <t xml:space="preserve">Ostrava Pvt. Ltd. </t>
  </si>
  <si>
    <t>އޮސްޓްރޮވާ ޕްރައިވެޓް ލިމިޓެޑް</t>
  </si>
  <si>
    <t>Flats</t>
  </si>
  <si>
    <t>Govt. of Maldives</t>
  </si>
  <si>
    <t>ގަވަރމެނޓް އޮފް މޯލްޑިވްސް</t>
  </si>
  <si>
    <t xml:space="preserve">Note: </t>
  </si>
  <si>
    <t xml:space="preserve">ނޯޓް: </t>
  </si>
  <si>
    <t>** Amount includes RF 9,069,000 received as full payment for 4  Row-Houses</t>
  </si>
  <si>
    <t>**ފުރިހަމައަށްލިބިފައިވާ 4 ރޯހައުސްއަށްވާ 9,069,000 ރުފިޔާ ހިމެނިފައި</t>
  </si>
  <si>
    <t>*** މިއަދަދަކީ ޑިސެމްބަރ 2011 ގެ ނިޔަލަށެވެ. ގިނަ ގޯތިތަކަށް ޑައުންޕޭމަންޓް ދައްކާފައިވަނީ އިންސްޓޯލްމަންޓަށް ބަހާލައިގެންނެވެ. ވުމާއެކު އެގޯތިތަކަށް ޑައުންޕޭމަންޓްގެ ޖުމްލަ އަގު އަދާކުރެވިފައިވަނީ 2012 ގައެވެ. ޖޫން 2012ގެ ނިޔަލަށް ޑައުންޕޭމަންޓްގެ ގޮތުގައި ލިބިފައިވަނީ 112,962,850.82 ރުފިޔާއެވެ.</t>
  </si>
  <si>
    <t>Source: Housing Development Corporation Ltd</t>
  </si>
  <si>
    <t>މަޢުލޫމާތުދެއްވި ފަރާތް: ހައުސިންގް ޑިވެލޮޕްމަންޓް ކޯޕަރޭޝަން ލިމިޓެޑް</t>
  </si>
  <si>
    <t>HDC: Housing Development Corporation Ltd</t>
  </si>
  <si>
    <t xml:space="preserve">އެޗް.ޑީ.ސީ: ހައުސިންގް ޑިވެލޮޕްމަންޓް ކޯޕަރޭޝަން ލިމިޓެޑް </t>
  </si>
  <si>
    <t>HDFC: Source: Housing Development Finance Corporation</t>
  </si>
  <si>
    <t>އެޗް.ޑީ.އެފް.ސީ: ހައުސިންގް ޑިވެލޮޕްމަންޓް ފައިނޭސް ކޯޕަރޭޝަން</t>
  </si>
  <si>
    <r>
      <t>2012</t>
    </r>
    <r>
      <rPr>
        <b/>
        <vertAlign val="superscript"/>
        <sz val="10"/>
        <color theme="1"/>
        <rFont val="Calibri"/>
        <family val="2"/>
        <scheme val="minor"/>
      </rPr>
      <t>_/1</t>
    </r>
  </si>
  <si>
    <t>Average Monthly Rent (MVR)</t>
  </si>
  <si>
    <t>Cost of Construction/development MVR/Flat</t>
  </si>
  <si>
    <t>އެޗް.ޑީ.އެފް.ސީ</t>
  </si>
  <si>
    <r>
      <rPr>
        <vertAlign val="superscript"/>
        <sz val="9"/>
        <color theme="1"/>
        <rFont val="Faruma"/>
      </rPr>
      <t>1/_</t>
    </r>
    <r>
      <rPr>
        <sz val="9"/>
        <color theme="1"/>
        <rFont val="Faruma"/>
      </rPr>
      <t xml:space="preserve"> : 2012 ވަނަ އަހަރު ރޯހައުސްއަށް އެވަރޭޖްކޮށް މަހަކު ދައްކަންޖެހޭ ކުލީގެ ފައިސާގެ އަދަދު އިސްލާޙުކުރެވިފައި</t>
    </r>
  </si>
  <si>
    <r>
      <rPr>
        <i/>
        <vertAlign val="superscript"/>
        <sz val="12"/>
        <color theme="1"/>
        <rFont val="Calibri"/>
        <family val="2"/>
        <scheme val="minor"/>
      </rPr>
      <t>_/1</t>
    </r>
    <r>
      <rPr>
        <i/>
        <sz val="12"/>
        <color theme="1"/>
        <rFont val="Calibri"/>
        <family val="2"/>
        <scheme val="minor"/>
      </rPr>
      <t xml:space="preserve"> </t>
    </r>
    <r>
      <rPr>
        <i/>
        <sz val="9"/>
        <color theme="1"/>
        <rFont val="Calibri"/>
        <family val="2"/>
        <scheme val="minor"/>
      </rPr>
      <t xml:space="preserve">2012,  Average monthly rented figures for row house has been revised </t>
    </r>
  </si>
  <si>
    <t>***Amount as at December 2011. Downpayment was paid in installments for most plots, hence downpayment for  those plots were fully paid in 2012. Amount as at June 2012 is MRF 112,962,850.82</t>
  </si>
  <si>
    <t>Plots</t>
  </si>
  <si>
    <t>Row House (For Developing)</t>
  </si>
  <si>
    <t>Rainbow Construction Pvt Ltd</t>
  </si>
  <si>
    <t>ރެއިންބޯ ކޮންސްޓްރަކްޝަން ޕވޓ ލޓޑ</t>
  </si>
  <si>
    <t>The WIZ Co. Pvt Ltd</t>
  </si>
  <si>
    <t>ދަ ވިޒްކޯ ޕވޓ ލޓޑ</t>
  </si>
  <si>
    <t>TABLE 4.6: SUPPLY OF HOUSING UNITS IN HULHUMALE', 2010 - 2014</t>
  </si>
  <si>
    <t>ތާވަލް 4.6 : ހުޅުމާލެއިން ދޫކުރެވިފައިވާ ހައުސިންގ ޔުނިޓުތައް، 2010 - 2014</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</si>
</sst>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_(* \(#,##0.00\);_(* &quot;-&quot;??_);_(@_)"/>
    <numFmt numFmtId="164" formatCode="&quot;$&quot;#,##0.00"/>
    <numFmt numFmtId="165" formatCode="_(* #,##0_);_(* \(#,##0\);_(* &quot;-&quot;??_);_(@_)"/>
    <numFmt numFmtId="166" formatCode="General_)"/>
  </numFmts>
  <fonts count="23" x14ac:knownFonts="1">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b/>
      <sz val="12"/>
      <name val="Faruma"/>
    </font>
    <font>
      <sz val="10"/>
      <name val="Calibri"/>
      <family val="2"/>
      <scheme val="minor"/>
    </font>
    <font>
      <b/>
      <sz val="12"/>
      <color theme="1"/>
      <name val="Calibri"/>
      <family val="2"/>
      <scheme val="minor"/>
    </font>
    <font>
      <b/>
      <sz val="10"/>
      <name val="Faruma"/>
    </font>
    <font>
      <sz val="10"/>
      <name val="Faruma"/>
    </font>
    <font>
      <b/>
      <sz val="10"/>
      <color theme="1"/>
      <name val="Calibri"/>
      <family val="2"/>
      <scheme val="minor"/>
    </font>
    <font>
      <sz val="10"/>
      <color theme="1"/>
      <name val="Calibri"/>
      <family val="2"/>
      <scheme val="minor"/>
    </font>
    <font>
      <i/>
      <sz val="9"/>
      <color theme="1"/>
      <name val="Calibri"/>
      <family val="2"/>
      <scheme val="minor"/>
    </font>
    <font>
      <b/>
      <sz val="9"/>
      <color theme="1"/>
      <name val="Calibri"/>
      <family val="2"/>
      <scheme val="minor"/>
    </font>
    <font>
      <sz val="9"/>
      <color theme="1"/>
      <name val="Calibri"/>
      <family val="2"/>
      <scheme val="minor"/>
    </font>
    <font>
      <sz val="10"/>
      <name val="Courier"/>
      <family val="3"/>
    </font>
    <font>
      <sz val="9"/>
      <color theme="1"/>
      <name val="Faruma"/>
    </font>
    <font>
      <b/>
      <sz val="9"/>
      <color theme="1"/>
      <name val="Faruma"/>
    </font>
    <font>
      <sz val="9"/>
      <name val="Calibri"/>
      <family val="2"/>
      <scheme val="minor"/>
    </font>
    <font>
      <b/>
      <vertAlign val="superscript"/>
      <sz val="10"/>
      <color theme="1"/>
      <name val="Calibri"/>
      <family val="2"/>
      <scheme val="minor"/>
    </font>
    <font>
      <i/>
      <vertAlign val="superscript"/>
      <sz val="12"/>
      <color theme="1"/>
      <name val="Calibri"/>
      <family val="2"/>
      <scheme val="minor"/>
    </font>
    <font>
      <vertAlign val="superscript"/>
      <sz val="9"/>
      <color theme="1"/>
      <name val="Faruma"/>
    </font>
    <font>
      <i/>
      <sz val="12"/>
      <color theme="1"/>
      <name val="Calibri"/>
      <family val="2"/>
      <scheme val="minor"/>
    </font>
    <font>
      <u/>
      <sz val="10"/>
      <color indexed="12"/>
      <name val="Arial"/>
      <family val="2"/>
    </font>
  </fonts>
  <fills count="3">
    <fill>
      <patternFill patternType="none"/>
    </fill>
    <fill>
      <patternFill patternType="gray125"/>
    </fill>
    <fill>
      <patternFill patternType="solid">
        <fgColor theme="0"/>
        <bgColor indexed="64"/>
      </patternFill>
    </fill>
  </fills>
  <borders count="5">
    <border>
      <left/>
      <right/>
      <top/>
      <bottom/>
      <diagonal/>
    </border>
    <border>
      <left/>
      <right/>
      <top/>
      <bottom style="thin">
        <color indexed="64"/>
      </bottom>
      <diagonal/>
    </border>
    <border>
      <left/>
      <right/>
      <top style="thin">
        <color indexed="64"/>
      </top>
      <bottom style="hair">
        <color indexed="64"/>
      </bottom>
      <diagonal/>
    </border>
    <border>
      <left/>
      <right/>
      <top/>
      <bottom style="hair">
        <color indexed="64"/>
      </bottom>
      <diagonal/>
    </border>
    <border>
      <left/>
      <right/>
      <top style="hair">
        <color indexed="64"/>
      </top>
      <bottom/>
      <diagonal/>
    </border>
  </borders>
  <cellStyleXfs count="7">
    <xf numFmtId="0" fontId="0" fillId="0" borderId="0"/>
    <xf numFmtId="43" fontId="1" fillId="0" borderId="0" applyFont="0" applyFill="0" applyBorder="0" applyAlignment="0" applyProtection="0"/>
    <xf numFmtId="0" fontId="3" fillId="0" borderId="0"/>
    <xf numFmtId="164" fontId="14" fillId="0" borderId="0"/>
    <xf numFmtId="165" fontId="14" fillId="0" borderId="0"/>
    <xf numFmtId="0" fontId="3" fillId="0" borderId="0" applyFont="0" applyFill="0" applyBorder="0" applyAlignment="0" applyProtection="0"/>
    <xf numFmtId="0" fontId="22" fillId="0" borderId="0" applyNumberFormat="0" applyFill="0" applyBorder="0" applyAlignment="0" applyProtection="0">
      <alignment vertical="top"/>
      <protection locked="0"/>
    </xf>
  </cellStyleXfs>
  <cellXfs count="102">
    <xf numFmtId="0" fontId="0" fillId="0" borderId="0" xfId="0"/>
    <xf numFmtId="0" fontId="5" fillId="2" borderId="0" xfId="0" applyFont="1" applyFill="1"/>
    <xf numFmtId="0" fontId="6" fillId="2" borderId="0" xfId="0" applyFont="1" applyFill="1"/>
    <xf numFmtId="0" fontId="7" fillId="2" borderId="2" xfId="0" applyFont="1" applyFill="1" applyBorder="1" applyAlignment="1">
      <alignment horizontal="left" vertical="center" wrapText="1"/>
    </xf>
    <xf numFmtId="0" fontId="7" fillId="2" borderId="2" xfId="0" applyFont="1" applyFill="1" applyBorder="1" applyAlignment="1">
      <alignment horizontal="center" vertical="center" wrapText="1"/>
    </xf>
    <xf numFmtId="0" fontId="7" fillId="2" borderId="2" xfId="0" applyFont="1" applyFill="1" applyBorder="1" applyAlignment="1">
      <alignment horizontal="center" wrapText="1"/>
    </xf>
    <xf numFmtId="0" fontId="8" fillId="2" borderId="0" xfId="0" applyFont="1" applyFill="1"/>
    <xf numFmtId="0" fontId="9" fillId="2" borderId="1" xfId="0" applyFont="1" applyFill="1" applyBorder="1" applyAlignment="1">
      <alignment horizontal="left" vertical="center" wrapText="1"/>
    </xf>
    <xf numFmtId="0" fontId="9" fillId="2" borderId="1"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0" xfId="0" applyFont="1" applyFill="1" applyBorder="1" applyAlignment="1">
      <alignment horizontal="left" vertical="center"/>
    </xf>
    <xf numFmtId="0" fontId="5" fillId="2" borderId="0" xfId="0" applyFont="1" applyFill="1" applyBorder="1" applyAlignment="1">
      <alignment horizontal="center" vertical="center"/>
    </xf>
    <xf numFmtId="165" fontId="5" fillId="2" borderId="0" xfId="1" applyNumberFormat="1" applyFont="1" applyFill="1" applyBorder="1" applyAlignment="1">
      <alignment horizontal="right" vertical="center" indent="2"/>
    </xf>
    <xf numFmtId="2" fontId="5" fillId="2" borderId="0" xfId="0" applyNumberFormat="1" applyFont="1" applyFill="1" applyBorder="1" applyAlignment="1">
      <alignment horizontal="right" vertical="center"/>
    </xf>
    <xf numFmtId="0" fontId="5" fillId="2" borderId="0" xfId="0" applyFont="1" applyFill="1" applyBorder="1" applyAlignment="1">
      <alignment horizontal="right" vertical="center"/>
    </xf>
    <xf numFmtId="43" fontId="5" fillId="2" borderId="0" xfId="1" applyFont="1" applyFill="1" applyBorder="1" applyAlignment="1">
      <alignment horizontal="center" vertical="center"/>
    </xf>
    <xf numFmtId="0" fontId="5" fillId="2" borderId="0" xfId="0" applyFont="1" applyFill="1" applyBorder="1" applyAlignment="1">
      <alignment horizontal="left" vertical="center" indent="5"/>
    </xf>
    <xf numFmtId="0" fontId="5" fillId="2" borderId="0" xfId="0" applyFont="1" applyFill="1" applyAlignment="1">
      <alignment horizontal="center" vertical="center"/>
    </xf>
    <xf numFmtId="0" fontId="9" fillId="2" borderId="3" xfId="0" applyFont="1" applyFill="1" applyBorder="1" applyAlignment="1">
      <alignment horizontal="left" vertical="center"/>
    </xf>
    <xf numFmtId="0" fontId="9" fillId="2" borderId="3" xfId="0" applyFont="1" applyFill="1" applyBorder="1" applyAlignment="1">
      <alignment vertical="center"/>
    </xf>
    <xf numFmtId="0" fontId="5" fillId="2" borderId="3" xfId="0" applyFont="1" applyFill="1" applyBorder="1" applyAlignment="1">
      <alignment horizontal="center" vertical="center"/>
    </xf>
    <xf numFmtId="165" fontId="5" fillId="2" borderId="3" xfId="1" applyNumberFormat="1" applyFont="1" applyFill="1" applyBorder="1" applyAlignment="1">
      <alignment horizontal="right" vertical="center" indent="2"/>
    </xf>
    <xf numFmtId="43" fontId="5" fillId="2" borderId="3" xfId="1" applyFont="1" applyFill="1" applyBorder="1" applyAlignment="1">
      <alignment horizontal="right" vertical="center"/>
    </xf>
    <xf numFmtId="165" fontId="5" fillId="2" borderId="3" xfId="1" applyNumberFormat="1" applyFont="1" applyFill="1" applyBorder="1" applyAlignment="1">
      <alignment horizontal="right" vertical="center"/>
    </xf>
    <xf numFmtId="0" fontId="5" fillId="2" borderId="3" xfId="0" applyFont="1" applyFill="1" applyBorder="1" applyAlignment="1">
      <alignment horizontal="right" vertical="center" wrapText="1"/>
    </xf>
    <xf numFmtId="0" fontId="8" fillId="2" borderId="3" xfId="0" applyFont="1" applyFill="1" applyBorder="1" applyAlignment="1">
      <alignment horizontal="center" vertical="center" wrapText="1"/>
    </xf>
    <xf numFmtId="0" fontId="5" fillId="2" borderId="3" xfId="0" applyFont="1" applyFill="1" applyBorder="1" applyAlignment="1">
      <alignment horizontal="left" vertical="center" indent="5"/>
    </xf>
    <xf numFmtId="0" fontId="8" fillId="2" borderId="3" xfId="0" applyFont="1" applyFill="1" applyBorder="1" applyAlignment="1">
      <alignment horizontal="right" vertical="center" wrapText="1"/>
    </xf>
    <xf numFmtId="165" fontId="5" fillId="2" borderId="3" xfId="0" applyNumberFormat="1" applyFont="1" applyFill="1" applyBorder="1" applyAlignment="1">
      <alignment horizontal="center" vertical="center"/>
    </xf>
    <xf numFmtId="0" fontId="9" fillId="2" borderId="4" xfId="0" applyFont="1" applyFill="1" applyBorder="1" applyAlignment="1">
      <alignment horizontal="left" vertical="center"/>
    </xf>
    <xf numFmtId="0" fontId="10" fillId="2" borderId="4" xfId="0" applyFont="1" applyFill="1" applyBorder="1" applyAlignment="1">
      <alignment horizontal="center" vertical="center"/>
    </xf>
    <xf numFmtId="165" fontId="10" fillId="2" borderId="4" xfId="1" applyNumberFormat="1" applyFont="1" applyFill="1" applyBorder="1" applyAlignment="1">
      <alignment horizontal="right" vertical="center" indent="2"/>
    </xf>
    <xf numFmtId="2" fontId="10" fillId="2" borderId="4" xfId="0" applyNumberFormat="1" applyFont="1" applyFill="1" applyBorder="1" applyAlignment="1">
      <alignment horizontal="right" vertical="center"/>
    </xf>
    <xf numFmtId="0" fontId="10" fillId="2" borderId="4" xfId="0" applyFont="1" applyFill="1" applyBorder="1" applyAlignment="1">
      <alignment horizontal="right" vertical="center"/>
    </xf>
    <xf numFmtId="43" fontId="10" fillId="2" borderId="4" xfId="1" applyFont="1" applyFill="1" applyBorder="1" applyAlignment="1">
      <alignment horizontal="right" vertical="center"/>
    </xf>
    <xf numFmtId="0" fontId="10" fillId="2" borderId="4" xfId="0" applyFont="1" applyFill="1" applyBorder="1" applyAlignment="1">
      <alignment horizontal="left" vertical="center" indent="5"/>
    </xf>
    <xf numFmtId="0" fontId="10" fillId="2" borderId="0" xfId="0" applyFont="1" applyFill="1" applyAlignment="1">
      <alignment horizontal="center" vertical="center"/>
    </xf>
    <xf numFmtId="0" fontId="10" fillId="2" borderId="3" xfId="0" applyFont="1" applyFill="1" applyBorder="1" applyAlignment="1">
      <alignment horizontal="center" vertical="center"/>
    </xf>
    <xf numFmtId="165" fontId="10" fillId="2" borderId="3" xfId="1" applyNumberFormat="1" applyFont="1" applyFill="1" applyBorder="1" applyAlignment="1">
      <alignment horizontal="right" vertical="center" indent="2"/>
    </xf>
    <xf numFmtId="2" fontId="10" fillId="2" borderId="3" xfId="0" applyNumberFormat="1" applyFont="1" applyFill="1" applyBorder="1" applyAlignment="1">
      <alignment horizontal="right" vertical="center"/>
    </xf>
    <xf numFmtId="0" fontId="10" fillId="2" borderId="3" xfId="0" applyFont="1" applyFill="1" applyBorder="1" applyAlignment="1">
      <alignment horizontal="right" vertical="center"/>
    </xf>
    <xf numFmtId="43" fontId="10" fillId="2" borderId="3" xfId="1" applyFont="1" applyFill="1" applyBorder="1" applyAlignment="1">
      <alignment horizontal="right" vertical="center"/>
    </xf>
    <xf numFmtId="0" fontId="10" fillId="2" borderId="3" xfId="0" applyFont="1" applyFill="1" applyBorder="1" applyAlignment="1">
      <alignment horizontal="left" vertical="center" indent="5"/>
    </xf>
    <xf numFmtId="165" fontId="10" fillId="2" borderId="3" xfId="1" applyNumberFormat="1" applyFont="1" applyFill="1" applyBorder="1" applyAlignment="1">
      <alignment horizontal="right" vertical="center"/>
    </xf>
    <xf numFmtId="0" fontId="10" fillId="2" borderId="0" xfId="0" applyFont="1" applyFill="1" applyBorder="1" applyAlignment="1">
      <alignment horizontal="center" vertical="center"/>
    </xf>
    <xf numFmtId="165" fontId="10" fillId="2" borderId="0" xfId="1" applyNumberFormat="1" applyFont="1" applyFill="1" applyBorder="1" applyAlignment="1">
      <alignment horizontal="right" vertical="center" indent="2"/>
    </xf>
    <xf numFmtId="1" fontId="10" fillId="2" borderId="0" xfId="0" applyNumberFormat="1" applyFont="1" applyFill="1" applyBorder="1" applyAlignment="1">
      <alignment horizontal="right" vertical="center"/>
    </xf>
    <xf numFmtId="165" fontId="10" fillId="2" borderId="0" xfId="1" applyNumberFormat="1" applyFont="1" applyFill="1" applyBorder="1" applyAlignment="1">
      <alignment horizontal="right" vertical="center"/>
    </xf>
    <xf numFmtId="43" fontId="10" fillId="2" borderId="0" xfId="1" applyFont="1" applyFill="1" applyBorder="1" applyAlignment="1">
      <alignment horizontal="right" vertical="center"/>
    </xf>
    <xf numFmtId="0" fontId="8" fillId="2" borderId="0" xfId="0" applyFont="1" applyFill="1" applyBorder="1" applyAlignment="1">
      <alignment horizontal="center" vertical="center" wrapText="1"/>
    </xf>
    <xf numFmtId="0" fontId="10" fillId="2" borderId="0" xfId="0" applyFont="1" applyFill="1" applyBorder="1" applyAlignment="1">
      <alignment horizontal="left" vertical="center" indent="4"/>
    </xf>
    <xf numFmtId="0" fontId="8" fillId="2" borderId="4" xfId="0" applyFont="1" applyFill="1" applyBorder="1" applyAlignment="1">
      <alignment horizontal="right" vertical="center" wrapText="1"/>
    </xf>
    <xf numFmtId="0" fontId="8" fillId="2" borderId="0" xfId="0" applyFont="1" applyFill="1" applyBorder="1" applyAlignment="1">
      <alignment horizontal="right" vertical="center" wrapText="1"/>
    </xf>
    <xf numFmtId="43" fontId="10" fillId="2" borderId="0" xfId="1" applyFont="1" applyFill="1" applyBorder="1" applyAlignment="1">
      <alignment horizontal="center" vertical="center"/>
    </xf>
    <xf numFmtId="43" fontId="10" fillId="2" borderId="3" xfId="1" applyFont="1" applyFill="1" applyBorder="1" applyAlignment="1">
      <alignment horizontal="center" vertical="center"/>
    </xf>
    <xf numFmtId="0" fontId="10" fillId="2" borderId="3" xfId="0" applyFont="1" applyFill="1" applyBorder="1" applyAlignment="1">
      <alignment horizontal="left" vertical="center" wrapText="1" indent="4"/>
    </xf>
    <xf numFmtId="0" fontId="11" fillId="2" borderId="0" xfId="0" applyFont="1" applyFill="1" applyBorder="1" applyAlignment="1">
      <alignment horizontal="left" vertical="center"/>
    </xf>
    <xf numFmtId="0" fontId="12" fillId="2" borderId="0" xfId="0" applyFont="1" applyFill="1" applyBorder="1" applyAlignment="1">
      <alignment horizontal="left" vertical="center"/>
    </xf>
    <xf numFmtId="0" fontId="13" fillId="2" borderId="0" xfId="0" applyFont="1" applyFill="1" applyBorder="1" applyAlignment="1">
      <alignment horizontal="center" vertical="center"/>
    </xf>
    <xf numFmtId="2" fontId="13" fillId="2" borderId="0" xfId="0" applyNumberFormat="1" applyFont="1" applyFill="1" applyBorder="1" applyAlignment="1">
      <alignment horizontal="right" vertical="center"/>
    </xf>
    <xf numFmtId="43" fontId="13" fillId="2" borderId="0" xfId="1" applyFont="1" applyFill="1" applyBorder="1" applyAlignment="1">
      <alignment horizontal="center" vertical="center"/>
    </xf>
    <xf numFmtId="0" fontId="13" fillId="2" borderId="0" xfId="0" applyFont="1" applyFill="1" applyBorder="1" applyAlignment="1">
      <alignment horizontal="left" vertical="center" wrapText="1" indent="4"/>
    </xf>
    <xf numFmtId="43" fontId="13" fillId="2" borderId="0" xfId="1" applyFont="1" applyFill="1" applyBorder="1" applyAlignment="1">
      <alignment horizontal="right" vertical="center"/>
    </xf>
    <xf numFmtId="0" fontId="13" fillId="2" borderId="0" xfId="0" applyFont="1" applyFill="1" applyAlignment="1">
      <alignment horizontal="center" vertical="center"/>
    </xf>
    <xf numFmtId="0" fontId="13" fillId="2" borderId="0" xfId="0" applyFont="1" applyFill="1" applyAlignment="1">
      <alignment vertical="top" wrapText="1"/>
    </xf>
    <xf numFmtId="164" fontId="15" fillId="2" borderId="0" xfId="2" applyNumberFormat="1" applyFont="1" applyFill="1" applyAlignment="1">
      <alignment vertical="top" wrapText="1" readingOrder="2"/>
    </xf>
    <xf numFmtId="164" fontId="16" fillId="2" borderId="0" xfId="2" applyNumberFormat="1" applyFont="1" applyFill="1" applyAlignment="1">
      <alignment vertical="center" wrapText="1"/>
    </xf>
    <xf numFmtId="0" fontId="13" fillId="2" borderId="0" xfId="0" applyFont="1" applyFill="1"/>
    <xf numFmtId="0" fontId="17" fillId="2" borderId="0" xfId="0" applyFont="1" applyFill="1"/>
    <xf numFmtId="0" fontId="15" fillId="2" borderId="0" xfId="0" applyFont="1" applyFill="1" applyBorder="1" applyAlignment="1">
      <alignment horizontal="right" vertical="center" wrapText="1"/>
    </xf>
    <xf numFmtId="166" fontId="15" fillId="2" borderId="0" xfId="3" applyNumberFormat="1" applyFont="1" applyFill="1" applyAlignment="1">
      <alignment horizontal="right" vertical="center"/>
    </xf>
    <xf numFmtId="0" fontId="11" fillId="2" borderId="0" xfId="0" applyFont="1" applyFill="1" applyAlignment="1">
      <alignment vertical="center"/>
    </xf>
    <xf numFmtId="0" fontId="13" fillId="2" borderId="0" xfId="0" applyFont="1" applyFill="1" applyAlignment="1">
      <alignment vertical="center"/>
    </xf>
    <xf numFmtId="0" fontId="13" fillId="2" borderId="0" xfId="0" applyFont="1" applyFill="1" applyAlignment="1">
      <alignment vertical="center" readingOrder="2"/>
    </xf>
    <xf numFmtId="164" fontId="15" fillId="2" borderId="0" xfId="2" applyNumberFormat="1" applyFont="1" applyFill="1" applyAlignment="1">
      <alignment horizontal="right" vertical="center" readingOrder="2"/>
    </xf>
    <xf numFmtId="0" fontId="11" fillId="2" borderId="0" xfId="2" applyFont="1" applyFill="1" applyBorder="1" applyAlignment="1">
      <alignment horizontal="left" vertical="center"/>
    </xf>
    <xf numFmtId="0" fontId="10" fillId="2" borderId="0" xfId="0" applyFont="1" applyFill="1" applyBorder="1" applyAlignment="1">
      <alignment horizontal="left" vertical="center" wrapText="1" indent="4"/>
    </xf>
    <xf numFmtId="165" fontId="10" fillId="2" borderId="0" xfId="1" applyNumberFormat="1" applyFont="1" applyFill="1" applyBorder="1" applyAlignment="1">
      <alignment horizontal="center" vertical="center"/>
    </xf>
    <xf numFmtId="164" fontId="16" fillId="2" borderId="0" xfId="2" applyNumberFormat="1" applyFont="1" applyFill="1" applyAlignment="1">
      <alignment wrapText="1"/>
    </xf>
    <xf numFmtId="0" fontId="13" fillId="2" borderId="0" xfId="0" applyFont="1" applyFill="1" applyAlignment="1"/>
    <xf numFmtId="164" fontId="15" fillId="2" borderId="0" xfId="2" applyNumberFormat="1" applyFont="1" applyFill="1" applyAlignment="1">
      <alignment horizontal="right" wrapText="1" readingOrder="2"/>
    </xf>
    <xf numFmtId="0" fontId="9" fillId="2" borderId="0" xfId="0" applyFont="1" applyFill="1" applyBorder="1" applyAlignment="1">
      <alignment horizontal="center" vertical="center"/>
    </xf>
    <xf numFmtId="0" fontId="9" fillId="2" borderId="1" xfId="0" applyFont="1" applyFill="1" applyBorder="1" applyAlignment="1">
      <alignment horizontal="left" vertical="center"/>
    </xf>
    <xf numFmtId="0" fontId="9" fillId="2" borderId="1" xfId="0" applyFont="1" applyFill="1" applyBorder="1" applyAlignment="1">
      <alignment horizontal="center" vertical="center"/>
    </xf>
    <xf numFmtId="0" fontId="10" fillId="2" borderId="1" xfId="0" applyFont="1" applyFill="1" applyBorder="1" applyAlignment="1">
      <alignment horizontal="center" vertical="center"/>
    </xf>
    <xf numFmtId="165" fontId="10" fillId="2" borderId="1" xfId="1" applyNumberFormat="1" applyFont="1" applyFill="1" applyBorder="1" applyAlignment="1">
      <alignment horizontal="center" vertical="center"/>
    </xf>
    <xf numFmtId="165" fontId="10" fillId="2" borderId="1" xfId="1" applyNumberFormat="1" applyFont="1" applyFill="1" applyBorder="1" applyAlignment="1">
      <alignment horizontal="right" vertical="center"/>
    </xf>
    <xf numFmtId="43" fontId="10" fillId="2" borderId="1" xfId="1" applyFont="1" applyFill="1" applyBorder="1" applyAlignment="1">
      <alignment horizontal="center" vertical="center"/>
    </xf>
    <xf numFmtId="0" fontId="8" fillId="2" borderId="1" xfId="0" applyFont="1" applyFill="1" applyBorder="1" applyAlignment="1">
      <alignment horizontal="right" vertical="center" wrapText="1"/>
    </xf>
    <xf numFmtId="0" fontId="10" fillId="2" borderId="1" xfId="0" applyFont="1" applyFill="1" applyBorder="1" applyAlignment="1">
      <alignment horizontal="left" vertical="center" wrapText="1" indent="4"/>
    </xf>
    <xf numFmtId="43" fontId="10" fillId="2" borderId="1" xfId="1" applyFont="1" applyFill="1" applyBorder="1" applyAlignment="1">
      <alignment horizontal="right" vertical="center"/>
    </xf>
    <xf numFmtId="0" fontId="11" fillId="2" borderId="0" xfId="0" applyFont="1" applyFill="1" applyAlignment="1">
      <alignment horizontal="left" wrapText="1"/>
    </xf>
    <xf numFmtId="164" fontId="15" fillId="2" borderId="0" xfId="2" applyNumberFormat="1" applyFont="1" applyFill="1" applyAlignment="1">
      <alignment horizontal="right" wrapText="1" readingOrder="2"/>
    </xf>
    <xf numFmtId="164" fontId="4" fillId="2" borderId="0" xfId="2" applyNumberFormat="1" applyFont="1" applyFill="1" applyAlignment="1">
      <alignment horizontal="center" vertical="center" wrapText="1"/>
    </xf>
    <xf numFmtId="0" fontId="2" fillId="2" borderId="1"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9" fillId="2" borderId="1" xfId="0" applyFont="1" applyFill="1" applyBorder="1" applyAlignment="1">
      <alignment horizontal="center" vertical="center" wrapText="1"/>
    </xf>
    <xf numFmtId="165" fontId="5" fillId="2" borderId="0" xfId="1" applyNumberFormat="1" applyFont="1" applyFill="1" applyBorder="1" applyAlignment="1">
      <alignment horizontal="center" vertical="center"/>
    </xf>
    <xf numFmtId="165" fontId="10" fillId="2" borderId="4" xfId="1" applyNumberFormat="1" applyFont="1" applyFill="1" applyBorder="1" applyAlignment="1">
      <alignment horizontal="right" vertical="center"/>
    </xf>
    <xf numFmtId="0" fontId="11" fillId="2" borderId="0" xfId="0" applyFont="1" applyFill="1" applyAlignment="1">
      <alignment horizontal="left" vertical="top" wrapText="1"/>
    </xf>
    <xf numFmtId="164" fontId="15" fillId="2" borderId="0" xfId="2" applyNumberFormat="1" applyFont="1" applyFill="1" applyAlignment="1">
      <alignment horizontal="right" vertical="center" wrapText="1" readingOrder="2"/>
    </xf>
    <xf numFmtId="43" fontId="10" fillId="2" borderId="3" xfId="1" applyFont="1" applyFill="1" applyBorder="1" applyAlignment="1">
      <alignment horizontal="right" vertical="center"/>
    </xf>
  </cellXfs>
  <cellStyles count="7">
    <cellStyle name="Comma" xfId="1" builtinId="3"/>
    <cellStyle name="Comma 2" xfId="5"/>
    <cellStyle name="Hyperlink_Housing - 3" xfId="6"/>
    <cellStyle name="Normal" xfId="0" builtinId="0"/>
    <cellStyle name="Normal 2" xfId="4"/>
    <cellStyle name="Normal_3 Population." xfId="3"/>
    <cellStyle name="Normal_Housing - 3 2" xfId="2"/>
  </cellStyles>
  <dxfs count="0"/>
  <tableStyles count="0" defaultTableStyle="TableStyleMedium9" defaultPivotStyle="PivotStyleLight16"/>
  <colors>
    <mruColors>
      <color rgb="FFE8D1FF"/>
      <color rgb="FFE4C9FF"/>
      <color rgb="FF9400C8"/>
      <color rgb="FFCC99FF"/>
      <color rgb="FFDC79FF"/>
      <color rgb="FFCC66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X40"/>
  <sheetViews>
    <sheetView tabSelected="1" zoomScaleNormal="100" workbookViewId="0">
      <selection activeCell="R4" sqref="R4"/>
    </sheetView>
  </sheetViews>
  <sheetFormatPr defaultColWidth="9.140625" defaultRowHeight="12.75" x14ac:dyDescent="0.2"/>
  <cols>
    <col min="1" max="1" width="8.140625" style="1" customWidth="1"/>
    <col min="2" max="2" width="27.85546875" style="1" customWidth="1"/>
    <col min="3" max="3" width="9.28515625" style="1" customWidth="1"/>
    <col min="4" max="4" width="0.7109375" style="1" customWidth="1"/>
    <col min="5" max="5" width="13.5703125" style="1" bestFit="1" customWidth="1"/>
    <col min="6" max="6" width="12" style="1" customWidth="1"/>
    <col min="7" max="7" width="23.28515625" style="1" customWidth="1"/>
    <col min="8" max="8" width="18.85546875" style="1" customWidth="1"/>
    <col min="9" max="9" width="21.42578125" style="1" customWidth="1"/>
    <col min="10" max="10" width="29.85546875" style="1" customWidth="1"/>
    <col min="11" max="11" width="26.140625" style="1" customWidth="1"/>
    <col min="12" max="12" width="4.7109375" style="1" customWidth="1"/>
    <col min="13" max="13" width="19.42578125" style="1" customWidth="1"/>
    <col min="14" max="14" width="15.140625" style="1" bestFit="1" customWidth="1"/>
    <col min="15" max="16384" width="9.140625" style="1"/>
  </cols>
  <sheetData>
    <row r="1" spans="1:13" ht="21.75" x14ac:dyDescent="0.2">
      <c r="A1" s="93" t="s">
        <v>86</v>
      </c>
      <c r="B1" s="93"/>
      <c r="C1" s="93"/>
      <c r="D1" s="93"/>
      <c r="E1" s="93"/>
      <c r="F1" s="93"/>
      <c r="G1" s="93"/>
      <c r="H1" s="93"/>
      <c r="I1" s="93"/>
      <c r="J1" s="93"/>
      <c r="K1" s="93"/>
      <c r="L1" s="93"/>
      <c r="M1" s="93"/>
    </row>
    <row r="2" spans="1:13" s="2" customFormat="1" ht="15.75" x14ac:dyDescent="0.25">
      <c r="A2" s="94" t="s">
        <v>85</v>
      </c>
      <c r="B2" s="94"/>
      <c r="C2" s="94"/>
      <c r="D2" s="94"/>
      <c r="E2" s="94"/>
      <c r="F2" s="94"/>
      <c r="G2" s="94"/>
      <c r="H2" s="94"/>
      <c r="I2" s="94"/>
      <c r="J2" s="94"/>
      <c r="K2" s="94"/>
      <c r="L2" s="94"/>
      <c r="M2" s="94"/>
    </row>
    <row r="3" spans="1:13" s="6" customFormat="1" ht="37.5" x14ac:dyDescent="0.5">
      <c r="A3" s="3" t="s">
        <v>0</v>
      </c>
      <c r="B3" s="3" t="s">
        <v>1</v>
      </c>
      <c r="C3" s="4" t="s">
        <v>2</v>
      </c>
      <c r="D3" s="4"/>
      <c r="E3" s="5" t="s">
        <v>3</v>
      </c>
      <c r="F3" s="5" t="s">
        <v>4</v>
      </c>
      <c r="G3" s="5" t="s">
        <v>5</v>
      </c>
      <c r="H3" s="95" t="s">
        <v>6</v>
      </c>
      <c r="I3" s="95"/>
      <c r="J3" s="95" t="s">
        <v>7</v>
      </c>
      <c r="K3" s="95"/>
      <c r="L3" s="95" t="s">
        <v>8</v>
      </c>
      <c r="M3" s="95"/>
    </row>
    <row r="4" spans="1:13" s="9" customFormat="1" ht="41.45" x14ac:dyDescent="0.3">
      <c r="A4" s="7" t="s">
        <v>9</v>
      </c>
      <c r="B4" s="7" t="s">
        <v>10</v>
      </c>
      <c r="C4" s="8" t="s">
        <v>11</v>
      </c>
      <c r="D4" s="8"/>
      <c r="E4" s="8" t="s">
        <v>73</v>
      </c>
      <c r="F4" s="8" t="s">
        <v>12</v>
      </c>
      <c r="G4" s="8" t="s">
        <v>74</v>
      </c>
      <c r="H4" s="96" t="s">
        <v>13</v>
      </c>
      <c r="I4" s="96"/>
      <c r="J4" s="96" t="s">
        <v>14</v>
      </c>
      <c r="K4" s="96"/>
      <c r="L4" s="96" t="s">
        <v>15</v>
      </c>
      <c r="M4" s="96"/>
    </row>
    <row r="5" spans="1:13" s="17" customFormat="1" ht="13.9" x14ac:dyDescent="0.3">
      <c r="A5" s="10">
        <v>2010</v>
      </c>
      <c r="B5" s="10" t="s">
        <v>16</v>
      </c>
      <c r="C5" s="11">
        <v>55</v>
      </c>
      <c r="D5" s="11"/>
      <c r="E5" s="12">
        <v>33611.78</v>
      </c>
      <c r="F5" s="13" t="s">
        <v>17</v>
      </c>
      <c r="G5" s="14" t="s">
        <v>18</v>
      </c>
      <c r="H5" s="15">
        <v>0</v>
      </c>
      <c r="I5" s="11" t="s">
        <v>18</v>
      </c>
      <c r="J5" s="16" t="s">
        <v>18</v>
      </c>
      <c r="K5" s="14" t="s">
        <v>18</v>
      </c>
      <c r="L5" s="97">
        <v>835382.53</v>
      </c>
      <c r="M5" s="97"/>
    </row>
    <row r="6" spans="1:13" s="17" customFormat="1" ht="25.5" x14ac:dyDescent="0.25">
      <c r="A6" s="18"/>
      <c r="B6" s="19" t="s">
        <v>19</v>
      </c>
      <c r="C6" s="20">
        <v>12</v>
      </c>
      <c r="D6" s="20"/>
      <c r="E6" s="21">
        <v>22400</v>
      </c>
      <c r="F6" s="22">
        <v>2408.94</v>
      </c>
      <c r="G6" s="23">
        <v>1339759</v>
      </c>
      <c r="H6" s="24" t="s">
        <v>20</v>
      </c>
      <c r="I6" s="25" t="s">
        <v>21</v>
      </c>
      <c r="J6" s="26" t="s">
        <v>22</v>
      </c>
      <c r="K6" s="27" t="s">
        <v>23</v>
      </c>
      <c r="L6" s="28"/>
      <c r="M6" s="23" t="s">
        <v>24</v>
      </c>
    </row>
    <row r="7" spans="1:13" s="36" customFormat="1" ht="13.9" x14ac:dyDescent="0.3">
      <c r="A7" s="29">
        <v>2011</v>
      </c>
      <c r="B7" s="29" t="s">
        <v>16</v>
      </c>
      <c r="C7" s="30">
        <v>150</v>
      </c>
      <c r="D7" s="30"/>
      <c r="E7" s="31">
        <v>25642.97</v>
      </c>
      <c r="F7" s="32" t="s">
        <v>25</v>
      </c>
      <c r="G7" s="33" t="s">
        <v>18</v>
      </c>
      <c r="H7" s="34" t="s">
        <v>18</v>
      </c>
      <c r="I7" s="30" t="s">
        <v>18</v>
      </c>
      <c r="J7" s="35" t="s">
        <v>18</v>
      </c>
      <c r="K7" s="33" t="s">
        <v>18</v>
      </c>
      <c r="L7" s="98" t="s">
        <v>26</v>
      </c>
      <c r="M7" s="98"/>
    </row>
    <row r="8" spans="1:13" s="36" customFormat="1" ht="18.75" x14ac:dyDescent="0.25">
      <c r="A8" s="18"/>
      <c r="B8" s="18" t="s">
        <v>27</v>
      </c>
      <c r="C8" s="37">
        <v>178</v>
      </c>
      <c r="D8" s="37"/>
      <c r="E8" s="38">
        <v>15000</v>
      </c>
      <c r="F8" s="39" t="s">
        <v>28</v>
      </c>
      <c r="G8" s="40"/>
      <c r="H8" s="41" t="s">
        <v>29</v>
      </c>
      <c r="I8" s="37"/>
      <c r="J8" s="42" t="s">
        <v>30</v>
      </c>
      <c r="K8" s="27" t="s">
        <v>31</v>
      </c>
      <c r="L8" s="43"/>
      <c r="M8" s="43">
        <v>45395406</v>
      </c>
    </row>
    <row r="9" spans="1:13" s="36" customFormat="1" ht="18.75" x14ac:dyDescent="0.25">
      <c r="A9" s="10" t="s">
        <v>72</v>
      </c>
      <c r="B9" s="10" t="s">
        <v>19</v>
      </c>
      <c r="C9" s="44">
        <v>5</v>
      </c>
      <c r="D9" s="44"/>
      <c r="E9" s="45">
        <f>PMT(10.5%/12,12*15,-G9*0.8,0,0)</f>
        <v>24689.456374814657</v>
      </c>
      <c r="F9" s="46">
        <v>2220</v>
      </c>
      <c r="G9" s="47">
        <v>2791917</v>
      </c>
      <c r="H9" s="48" t="s">
        <v>32</v>
      </c>
      <c r="I9" s="49" t="s">
        <v>33</v>
      </c>
      <c r="J9" s="50" t="s">
        <v>22</v>
      </c>
      <c r="K9" s="51" t="s">
        <v>23</v>
      </c>
      <c r="L9" s="48"/>
      <c r="M9" s="52" t="s">
        <v>18</v>
      </c>
    </row>
    <row r="10" spans="1:13" s="36" customFormat="1" ht="18.75" x14ac:dyDescent="0.25">
      <c r="A10" s="10"/>
      <c r="B10" s="10" t="s">
        <v>19</v>
      </c>
      <c r="C10" s="44">
        <v>9</v>
      </c>
      <c r="D10" s="44"/>
      <c r="E10" s="45">
        <f>PMT(10.5%/12,12*15,-G10*0.8,0,0)</f>
        <v>23673.011113305245</v>
      </c>
      <c r="F10" s="46">
        <v>2220</v>
      </c>
      <c r="G10" s="47">
        <v>2676976</v>
      </c>
      <c r="H10" s="48" t="s">
        <v>32</v>
      </c>
      <c r="I10" s="49" t="s">
        <v>33</v>
      </c>
      <c r="J10" s="50" t="s">
        <v>22</v>
      </c>
      <c r="K10" s="52" t="s">
        <v>23</v>
      </c>
      <c r="L10" s="48"/>
      <c r="M10" s="52" t="s">
        <v>18</v>
      </c>
    </row>
    <row r="11" spans="1:13" s="36" customFormat="1" ht="18.75" x14ac:dyDescent="0.25">
      <c r="A11" s="10"/>
      <c r="B11" s="10" t="s">
        <v>27</v>
      </c>
      <c r="C11" s="44">
        <v>2</v>
      </c>
      <c r="D11" s="44"/>
      <c r="E11" s="45">
        <v>15000</v>
      </c>
      <c r="F11" s="46" t="s">
        <v>28</v>
      </c>
      <c r="G11" s="47" t="s">
        <v>18</v>
      </c>
      <c r="H11" s="48" t="s">
        <v>29</v>
      </c>
      <c r="I11" s="49" t="s">
        <v>75</v>
      </c>
      <c r="J11" s="50" t="s">
        <v>30</v>
      </c>
      <c r="K11" s="52" t="s">
        <v>31</v>
      </c>
      <c r="L11" s="48"/>
      <c r="M11" s="47">
        <v>95412000</v>
      </c>
    </row>
    <row r="12" spans="1:13" s="36" customFormat="1" ht="18.75" x14ac:dyDescent="0.25">
      <c r="A12" s="10"/>
      <c r="B12" s="10" t="s">
        <v>34</v>
      </c>
      <c r="C12" s="44">
        <v>10</v>
      </c>
      <c r="D12" s="44"/>
      <c r="E12" s="47" t="s">
        <v>18</v>
      </c>
      <c r="F12" s="46">
        <v>950</v>
      </c>
      <c r="G12" s="47" t="s">
        <v>18</v>
      </c>
      <c r="H12" s="53"/>
      <c r="I12" s="44"/>
      <c r="J12" s="50" t="s">
        <v>35</v>
      </c>
      <c r="K12" s="52" t="s">
        <v>36</v>
      </c>
      <c r="L12" s="52"/>
      <c r="M12" s="52" t="s">
        <v>18</v>
      </c>
    </row>
    <row r="13" spans="1:13" s="36" customFormat="1" ht="18.75" x14ac:dyDescent="0.25">
      <c r="A13" s="10"/>
      <c r="B13" s="10" t="s">
        <v>37</v>
      </c>
      <c r="C13" s="44">
        <v>10</v>
      </c>
      <c r="D13" s="44"/>
      <c r="E13" s="47" t="s">
        <v>18</v>
      </c>
      <c r="F13" s="46">
        <v>950</v>
      </c>
      <c r="G13" s="47" t="s">
        <v>18</v>
      </c>
      <c r="H13" s="53"/>
      <c r="I13" s="44"/>
      <c r="J13" s="50" t="s">
        <v>38</v>
      </c>
      <c r="K13" s="52" t="s">
        <v>39</v>
      </c>
      <c r="L13" s="52"/>
      <c r="M13" s="52" t="s">
        <v>18</v>
      </c>
    </row>
    <row r="14" spans="1:13" s="36" customFormat="1" ht="18.75" x14ac:dyDescent="0.25">
      <c r="A14" s="10"/>
      <c r="B14" s="10" t="s">
        <v>40</v>
      </c>
      <c r="C14" s="44">
        <v>10</v>
      </c>
      <c r="D14" s="44"/>
      <c r="E14" s="47" t="s">
        <v>18</v>
      </c>
      <c r="F14" s="46">
        <v>950</v>
      </c>
      <c r="G14" s="47" t="s">
        <v>18</v>
      </c>
      <c r="H14" s="53"/>
      <c r="I14" s="44"/>
      <c r="J14" s="50" t="s">
        <v>41</v>
      </c>
      <c r="K14" s="52" t="s">
        <v>42</v>
      </c>
      <c r="L14" s="52"/>
      <c r="M14" s="52" t="s">
        <v>18</v>
      </c>
    </row>
    <row r="15" spans="1:13" s="36" customFormat="1" ht="18.75" x14ac:dyDescent="0.25">
      <c r="A15" s="10"/>
      <c r="B15" s="10" t="s">
        <v>43</v>
      </c>
      <c r="C15" s="44">
        <v>10</v>
      </c>
      <c r="D15" s="44"/>
      <c r="E15" s="47" t="s">
        <v>18</v>
      </c>
      <c r="F15" s="46">
        <v>950</v>
      </c>
      <c r="G15" s="47" t="s">
        <v>18</v>
      </c>
      <c r="H15" s="53"/>
      <c r="I15" s="44"/>
      <c r="J15" s="50" t="s">
        <v>44</v>
      </c>
      <c r="K15" s="52" t="s">
        <v>45</v>
      </c>
      <c r="L15" s="52"/>
      <c r="M15" s="52" t="s">
        <v>18</v>
      </c>
    </row>
    <row r="16" spans="1:13" s="44" customFormat="1" ht="25.5" x14ac:dyDescent="0.25">
      <c r="A16" s="18">
        <v>2012</v>
      </c>
      <c r="B16" s="18" t="s">
        <v>46</v>
      </c>
      <c r="C16" s="37">
        <v>33</v>
      </c>
      <c r="D16" s="37"/>
      <c r="E16" s="43" t="s">
        <v>18</v>
      </c>
      <c r="F16" s="43" t="s">
        <v>18</v>
      </c>
      <c r="G16" s="43" t="s">
        <v>18</v>
      </c>
      <c r="H16" s="54"/>
      <c r="I16" s="37"/>
      <c r="J16" s="55" t="s">
        <v>47</v>
      </c>
      <c r="K16" s="27" t="s">
        <v>48</v>
      </c>
      <c r="L16" s="27"/>
      <c r="M16" s="27" t="s">
        <v>18</v>
      </c>
    </row>
    <row r="17" spans="1:24" s="36" customFormat="1" ht="18.75" x14ac:dyDescent="0.25">
      <c r="A17" s="10">
        <v>2013</v>
      </c>
      <c r="B17" s="10" t="s">
        <v>49</v>
      </c>
      <c r="C17" s="44">
        <v>10</v>
      </c>
      <c r="D17" s="44"/>
      <c r="E17" s="47" t="s">
        <v>18</v>
      </c>
      <c r="F17" s="47">
        <v>2530.9026399999998</v>
      </c>
      <c r="G17" s="47" t="s">
        <v>18</v>
      </c>
      <c r="H17" s="53"/>
      <c r="I17" s="52"/>
      <c r="J17" s="76" t="s">
        <v>50</v>
      </c>
      <c r="K17" s="52" t="s">
        <v>51</v>
      </c>
      <c r="L17" s="48"/>
      <c r="M17" s="47">
        <v>379773</v>
      </c>
    </row>
    <row r="18" spans="1:24" s="36" customFormat="1" ht="18.75" x14ac:dyDescent="0.25">
      <c r="A18" s="10"/>
      <c r="B18" s="10" t="s">
        <v>49</v>
      </c>
      <c r="C18" s="44">
        <v>10</v>
      </c>
      <c r="D18" s="44"/>
      <c r="E18" s="47" t="s">
        <v>18</v>
      </c>
      <c r="F18" s="47">
        <v>2466.5793599999997</v>
      </c>
      <c r="G18" s="47" t="s">
        <v>18</v>
      </c>
      <c r="H18" s="53"/>
      <c r="I18" s="52"/>
      <c r="J18" s="76" t="s">
        <v>52</v>
      </c>
      <c r="K18" s="52" t="s">
        <v>53</v>
      </c>
      <c r="L18" s="52"/>
      <c r="M18" s="47">
        <v>370120.5</v>
      </c>
    </row>
    <row r="19" spans="1:24" s="36" customFormat="1" ht="18.75" x14ac:dyDescent="0.25">
      <c r="A19" s="10"/>
      <c r="B19" s="10" t="s">
        <v>49</v>
      </c>
      <c r="C19" s="44">
        <v>10</v>
      </c>
      <c r="D19" s="44"/>
      <c r="E19" s="47" t="s">
        <v>18</v>
      </c>
      <c r="F19" s="47">
        <v>2353.1797200000001</v>
      </c>
      <c r="G19" s="47" t="s">
        <v>18</v>
      </c>
      <c r="H19" s="53"/>
      <c r="I19" s="52"/>
      <c r="J19" s="76" t="s">
        <v>54</v>
      </c>
      <c r="K19" s="52" t="s">
        <v>55</v>
      </c>
      <c r="L19" s="48"/>
      <c r="M19" s="47">
        <v>353104.5</v>
      </c>
    </row>
    <row r="20" spans="1:24" s="36" customFormat="1" ht="18.75" x14ac:dyDescent="0.25">
      <c r="A20" s="10"/>
      <c r="B20" s="10" t="s">
        <v>49</v>
      </c>
      <c r="C20" s="44">
        <v>10</v>
      </c>
      <c r="D20" s="44"/>
      <c r="E20" s="47" t="s">
        <v>18</v>
      </c>
      <c r="F20" s="47">
        <v>2511.3301999999999</v>
      </c>
      <c r="G20" s="47" t="s">
        <v>18</v>
      </c>
      <c r="H20" s="53"/>
      <c r="I20" s="52"/>
      <c r="J20" s="76" t="s">
        <v>44</v>
      </c>
      <c r="K20" s="52" t="s">
        <v>45</v>
      </c>
      <c r="L20" s="48"/>
      <c r="M20" s="47">
        <v>376836</v>
      </c>
    </row>
    <row r="21" spans="1:24" s="36" customFormat="1" ht="18.75" x14ac:dyDescent="0.25">
      <c r="A21" s="10"/>
      <c r="B21" s="10" t="s">
        <v>49</v>
      </c>
      <c r="C21" s="44">
        <v>10</v>
      </c>
      <c r="D21" s="44"/>
      <c r="E21" s="47" t="s">
        <v>18</v>
      </c>
      <c r="F21" s="47">
        <v>2409.1640000000002</v>
      </c>
      <c r="G21" s="47" t="s">
        <v>18</v>
      </c>
      <c r="H21" s="53"/>
      <c r="I21" s="52"/>
      <c r="J21" s="76" t="s">
        <v>56</v>
      </c>
      <c r="K21" s="52" t="s">
        <v>57</v>
      </c>
      <c r="L21" s="48"/>
      <c r="M21" s="47">
        <v>361504.5</v>
      </c>
    </row>
    <row r="22" spans="1:24" s="36" customFormat="1" ht="18.75" x14ac:dyDescent="0.25">
      <c r="A22" s="10"/>
      <c r="B22" s="10" t="s">
        <v>58</v>
      </c>
      <c r="C22" s="44">
        <v>1000</v>
      </c>
      <c r="D22" s="44"/>
      <c r="E22" s="77">
        <v>7350</v>
      </c>
      <c r="F22" s="47" t="s">
        <v>18</v>
      </c>
      <c r="G22" s="47" t="s">
        <v>18</v>
      </c>
      <c r="H22" s="53"/>
      <c r="I22" s="52"/>
      <c r="J22" s="76" t="s">
        <v>59</v>
      </c>
      <c r="K22" s="52" t="s">
        <v>60</v>
      </c>
      <c r="L22" s="52"/>
      <c r="M22" s="47">
        <f>70500*15.42*1000</f>
        <v>1087110000</v>
      </c>
    </row>
    <row r="23" spans="1:24" s="36" customFormat="1" ht="18.75" customHeight="1" x14ac:dyDescent="0.25">
      <c r="A23" s="10"/>
      <c r="B23" s="10" t="s">
        <v>19</v>
      </c>
      <c r="C23" s="44">
        <v>9</v>
      </c>
      <c r="D23" s="44"/>
      <c r="E23" s="77">
        <v>28600</v>
      </c>
      <c r="F23" s="47">
        <v>1262</v>
      </c>
      <c r="G23" s="77">
        <v>3230000</v>
      </c>
      <c r="H23" s="53"/>
      <c r="I23" s="52"/>
      <c r="J23" s="76" t="s">
        <v>22</v>
      </c>
      <c r="K23" s="52" t="s">
        <v>18</v>
      </c>
      <c r="L23" s="52"/>
      <c r="M23" s="52" t="s">
        <v>18</v>
      </c>
    </row>
    <row r="24" spans="1:24" s="44" customFormat="1" ht="18.75" x14ac:dyDescent="0.25">
      <c r="A24" s="10"/>
      <c r="B24" s="10" t="s">
        <v>19</v>
      </c>
      <c r="C24" s="44">
        <v>6</v>
      </c>
      <c r="E24" s="77">
        <v>29800</v>
      </c>
      <c r="F24" s="47">
        <v>1400</v>
      </c>
      <c r="G24" s="77">
        <v>3370000</v>
      </c>
      <c r="H24" s="53"/>
      <c r="I24" s="52"/>
      <c r="J24" s="76" t="s">
        <v>22</v>
      </c>
      <c r="K24" s="52" t="s">
        <v>18</v>
      </c>
      <c r="L24" s="52"/>
      <c r="M24" s="52" t="s">
        <v>18</v>
      </c>
    </row>
    <row r="25" spans="1:24" s="44" customFormat="1" ht="15" customHeight="1" x14ac:dyDescent="0.25">
      <c r="A25" s="18"/>
      <c r="B25" s="18"/>
      <c r="C25" s="37"/>
      <c r="D25" s="37"/>
      <c r="E25" s="43"/>
      <c r="F25" s="43"/>
      <c r="G25" s="43"/>
      <c r="H25" s="54"/>
      <c r="I25" s="37"/>
      <c r="J25" s="55"/>
      <c r="K25" s="27"/>
      <c r="L25" s="101"/>
      <c r="M25" s="101"/>
    </row>
    <row r="26" spans="1:24" s="44" customFormat="1" ht="18.75" x14ac:dyDescent="0.25">
      <c r="A26" s="10">
        <v>2014</v>
      </c>
      <c r="B26" s="10" t="s">
        <v>79</v>
      </c>
      <c r="C26" s="44">
        <v>1</v>
      </c>
      <c r="E26" s="77">
        <v>29925</v>
      </c>
      <c r="F26" s="47">
        <v>1511.683</v>
      </c>
      <c r="G26" s="77">
        <v>0</v>
      </c>
      <c r="H26" s="53">
        <v>0</v>
      </c>
      <c r="I26" s="52"/>
      <c r="J26" s="76" t="s">
        <v>18</v>
      </c>
      <c r="K26" s="52" t="s">
        <v>18</v>
      </c>
      <c r="L26" s="52"/>
      <c r="M26" s="48">
        <v>570509.16</v>
      </c>
    </row>
    <row r="27" spans="1:24" s="44" customFormat="1" ht="18.75" x14ac:dyDescent="0.25">
      <c r="A27" s="10"/>
      <c r="B27" s="81" t="s">
        <v>80</v>
      </c>
      <c r="C27" s="44">
        <v>20</v>
      </c>
      <c r="E27" s="77"/>
      <c r="F27" s="47">
        <v>2000</v>
      </c>
      <c r="G27" s="77"/>
      <c r="H27" s="53"/>
      <c r="I27" s="52"/>
      <c r="J27" s="76" t="s">
        <v>81</v>
      </c>
      <c r="K27" s="52" t="s">
        <v>82</v>
      </c>
      <c r="L27" s="52"/>
      <c r="M27" s="48">
        <f>4200000*0.2</f>
        <v>840000</v>
      </c>
    </row>
    <row r="28" spans="1:24" s="36" customFormat="1" ht="18.75" x14ac:dyDescent="0.25">
      <c r="A28" s="82"/>
      <c r="B28" s="83" t="s">
        <v>80</v>
      </c>
      <c r="C28" s="84">
        <v>20</v>
      </c>
      <c r="D28" s="84"/>
      <c r="E28" s="85"/>
      <c r="F28" s="86">
        <v>2000</v>
      </c>
      <c r="G28" s="85"/>
      <c r="H28" s="87"/>
      <c r="I28" s="88"/>
      <c r="J28" s="89" t="s">
        <v>83</v>
      </c>
      <c r="K28" s="88" t="s">
        <v>84</v>
      </c>
      <c r="L28" s="88"/>
      <c r="M28" s="90">
        <f>4200000*0.2</f>
        <v>840000</v>
      </c>
    </row>
    <row r="29" spans="1:24" s="63" customFormat="1" ht="16.5" customHeight="1" x14ac:dyDescent="0.25">
      <c r="A29" s="56" t="s">
        <v>61</v>
      </c>
      <c r="B29" s="57"/>
      <c r="C29" s="58"/>
      <c r="D29" s="58"/>
      <c r="E29" s="58"/>
      <c r="F29" s="59"/>
      <c r="G29" s="58"/>
      <c r="H29" s="60"/>
      <c r="I29" s="58"/>
      <c r="J29" s="61"/>
      <c r="K29" s="69"/>
      <c r="L29" s="62"/>
      <c r="M29" s="70" t="s">
        <v>62</v>
      </c>
    </row>
    <row r="30" spans="1:24" s="72" customFormat="1" ht="17.25" customHeight="1" x14ac:dyDescent="0.25">
      <c r="A30" s="71" t="s">
        <v>63</v>
      </c>
      <c r="B30" s="71"/>
      <c r="C30" s="71"/>
      <c r="D30" s="71"/>
      <c r="E30" s="71"/>
      <c r="F30" s="71"/>
      <c r="G30" s="71"/>
      <c r="H30" s="71"/>
      <c r="I30" s="71"/>
      <c r="L30" s="73"/>
      <c r="M30" s="74" t="s">
        <v>64</v>
      </c>
      <c r="N30" s="66"/>
      <c r="O30" s="66"/>
      <c r="P30" s="66"/>
      <c r="Q30" s="66"/>
      <c r="R30" s="66"/>
      <c r="S30" s="66"/>
      <c r="T30" s="66"/>
      <c r="U30" s="66"/>
      <c r="V30" s="66"/>
      <c r="W30" s="66"/>
      <c r="X30" s="66"/>
    </row>
    <row r="31" spans="1:24" s="67" customFormat="1" ht="32.450000000000003" customHeight="1" x14ac:dyDescent="0.2">
      <c r="A31" s="99" t="s">
        <v>78</v>
      </c>
      <c r="B31" s="99"/>
      <c r="C31" s="99"/>
      <c r="D31" s="99"/>
      <c r="E31" s="99"/>
      <c r="F31" s="99"/>
      <c r="G31" s="99"/>
      <c r="H31" s="100" t="s">
        <v>65</v>
      </c>
      <c r="I31" s="100"/>
      <c r="J31" s="100"/>
      <c r="K31" s="100"/>
      <c r="L31" s="100"/>
      <c r="M31" s="100"/>
      <c r="N31" s="66"/>
      <c r="O31" s="66"/>
      <c r="P31" s="66"/>
      <c r="Q31" s="66"/>
      <c r="R31" s="66"/>
      <c r="S31" s="66"/>
      <c r="T31" s="66"/>
      <c r="U31" s="66"/>
      <c r="V31" s="66"/>
      <c r="W31" s="66"/>
      <c r="X31" s="66"/>
    </row>
    <row r="32" spans="1:24" s="79" customFormat="1" ht="22.15" customHeight="1" x14ac:dyDescent="0.45">
      <c r="A32" s="91" t="s">
        <v>77</v>
      </c>
      <c r="B32" s="91"/>
      <c r="C32" s="91"/>
      <c r="D32" s="91"/>
      <c r="E32" s="91"/>
      <c r="F32" s="91"/>
      <c r="G32" s="91"/>
      <c r="H32" s="80"/>
      <c r="I32" s="92" t="s">
        <v>76</v>
      </c>
      <c r="J32" s="92"/>
      <c r="K32" s="92"/>
      <c r="L32" s="92"/>
      <c r="M32" s="92"/>
      <c r="N32" s="78"/>
      <c r="O32" s="78"/>
      <c r="P32" s="78"/>
      <c r="Q32" s="78"/>
      <c r="R32" s="78"/>
      <c r="S32" s="78"/>
      <c r="T32" s="78"/>
      <c r="U32" s="78"/>
      <c r="V32" s="78"/>
      <c r="W32" s="78"/>
      <c r="X32" s="78"/>
    </row>
    <row r="33" spans="1:24" s="67" customFormat="1" ht="15.75" customHeight="1" x14ac:dyDescent="0.2">
      <c r="A33" s="75" t="s">
        <v>66</v>
      </c>
      <c r="B33" s="64"/>
      <c r="C33" s="64"/>
      <c r="D33" s="64"/>
      <c r="E33" s="64"/>
      <c r="F33" s="64"/>
      <c r="G33" s="64"/>
      <c r="H33" s="64"/>
      <c r="I33" s="64"/>
      <c r="J33" s="65"/>
      <c r="K33" s="65"/>
      <c r="L33" s="65"/>
      <c r="M33" s="70" t="s">
        <v>67</v>
      </c>
      <c r="N33" s="66"/>
      <c r="O33" s="66"/>
      <c r="P33" s="66"/>
      <c r="Q33" s="66"/>
      <c r="R33" s="66"/>
      <c r="S33" s="66"/>
      <c r="T33" s="66"/>
      <c r="U33" s="66"/>
      <c r="V33" s="66"/>
      <c r="W33" s="66"/>
      <c r="X33" s="66"/>
    </row>
    <row r="34" spans="1:24" s="67" customFormat="1" ht="15.75" customHeight="1" x14ac:dyDescent="0.2">
      <c r="A34" s="75" t="s">
        <v>68</v>
      </c>
      <c r="B34" s="72"/>
      <c r="M34" s="70" t="s">
        <v>69</v>
      </c>
    </row>
    <row r="35" spans="1:24" s="67" customFormat="1" ht="15.75" customHeight="1" x14ac:dyDescent="0.2">
      <c r="A35" s="75" t="s">
        <v>70</v>
      </c>
      <c r="B35" s="72"/>
      <c r="M35" s="70" t="s">
        <v>71</v>
      </c>
    </row>
    <row r="36" spans="1:24" s="67" customFormat="1" ht="12" x14ac:dyDescent="0.2">
      <c r="B36" s="72"/>
    </row>
    <row r="37" spans="1:24" s="67" customFormat="1" ht="12" x14ac:dyDescent="0.2"/>
    <row r="38" spans="1:24" s="68" customFormat="1" ht="12" x14ac:dyDescent="0.2"/>
    <row r="39" spans="1:24" s="68" customFormat="1" ht="12" x14ac:dyDescent="0.2"/>
    <row r="40" spans="1:24" s="68" customFormat="1" ht="12" x14ac:dyDescent="0.2"/>
  </sheetData>
  <mergeCells count="15">
    <mergeCell ref="A32:G32"/>
    <mergeCell ref="I32:M32"/>
    <mergeCell ref="A1:M1"/>
    <mergeCell ref="A2:M2"/>
    <mergeCell ref="H3:I3"/>
    <mergeCell ref="J3:K3"/>
    <mergeCell ref="L3:M3"/>
    <mergeCell ref="H4:I4"/>
    <mergeCell ref="J4:K4"/>
    <mergeCell ref="L4:M4"/>
    <mergeCell ref="L5:M5"/>
    <mergeCell ref="L7:M7"/>
    <mergeCell ref="A31:G31"/>
    <mergeCell ref="H31:M31"/>
    <mergeCell ref="L25:M25"/>
  </mergeCells>
  <pageMargins left="0.24" right="0.27" top="0.46" bottom="0.75" header="0.3" footer="0.3"/>
  <pageSetup paperSize="9" scale="66" orientation="landscape" r:id="rId1"/>
  <colBreaks count="1" manualBreakCount="1">
    <brk id="13" max="30"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4.6</vt:lpstr>
      <vt:lpstr>'4.6'!Print_Area</vt:lpstr>
    </vt:vector>
  </TitlesOfParts>
  <Company>Department of National Planning</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f.shifaza</dc:creator>
  <cp:lastModifiedBy>Fathmath Shifaza</cp:lastModifiedBy>
  <cp:lastPrinted>2015-10-03T10:42:36Z</cp:lastPrinted>
  <dcterms:created xsi:type="dcterms:W3CDTF">2014-03-04T07:02:54Z</dcterms:created>
  <dcterms:modified xsi:type="dcterms:W3CDTF">2016-02-25T07:36:53Z</dcterms:modified>
</cp:coreProperties>
</file>