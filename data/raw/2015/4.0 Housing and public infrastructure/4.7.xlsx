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10" tabRatio="725"/>
  </bookViews>
  <sheets>
    <sheet name="4.7" sheetId="6" r:id="rId1"/>
  </sheets>
  <definedNames>
    <definedName name="_xlnm.Print_Area" localSheetId="0">'4.7'!$A$1:$P$35</definedName>
  </definedNames>
  <calcPr calcId="144525"/>
</workbook>
</file>

<file path=xl/calcChain.xml><?xml version="1.0" encoding="utf-8"?>
<calcChain xmlns="http://schemas.openxmlformats.org/spreadsheetml/2006/main">
  <c r="AD25" i="6" l="1"/>
  <c r="AD24" i="6"/>
  <c r="H14" i="6"/>
  <c r="G14" i="6"/>
  <c r="E14" i="6"/>
  <c r="D14" i="6"/>
  <c r="L13" i="6"/>
  <c r="J13" i="6"/>
  <c r="I13" i="6"/>
  <c r="K12" i="6"/>
  <c r="K13" i="6" s="1"/>
  <c r="AC25" i="6" s="1"/>
  <c r="L11" i="6"/>
  <c r="K11" i="6"/>
  <c r="J11" i="6"/>
  <c r="I11" i="6"/>
  <c r="N9" i="6"/>
  <c r="N14" i="6" s="1"/>
  <c r="AD33" i="6" s="1"/>
  <c r="M9" i="6"/>
  <c r="M14" i="6" s="1"/>
  <c r="AD26" i="6" s="1"/>
  <c r="L9" i="6"/>
  <c r="L14" i="6" s="1"/>
  <c r="K9" i="6"/>
  <c r="K14" i="6" s="1"/>
  <c r="J9" i="6"/>
  <c r="I9" i="6"/>
  <c r="AD31" i="6"/>
  <c r="AD32" i="6"/>
  <c r="AC30" i="6"/>
  <c r="AA32" i="6"/>
  <c r="Z32" i="6"/>
  <c r="AA31" i="6"/>
  <c r="Z31" i="6"/>
  <c r="AA30" i="6"/>
  <c r="Z30" i="6"/>
  <c r="Z33" i="6" s="1"/>
  <c r="AA25" i="6"/>
  <c r="Z25" i="6"/>
  <c r="Y25" i="6"/>
  <c r="AA24" i="6"/>
  <c r="Z24" i="6"/>
  <c r="Y24" i="6"/>
  <c r="AA23" i="6"/>
  <c r="AA26" i="6" s="1"/>
  <c r="Z23" i="6"/>
  <c r="Y23" i="6"/>
  <c r="AC32" i="6"/>
  <c r="AB32" i="6"/>
  <c r="AB25" i="6"/>
  <c r="AC31" i="6"/>
  <c r="AC24" i="6"/>
  <c r="AB31" i="6"/>
  <c r="AB24" i="6"/>
  <c r="AB30" i="6"/>
  <c r="AB23" i="6"/>
  <c r="AB26" i="6" l="1"/>
  <c r="AB33" i="6"/>
  <c r="Z26" i="6"/>
  <c r="AA33" i="6"/>
  <c r="I14" i="6"/>
  <c r="J14" i="6"/>
  <c r="AC23" i="6"/>
  <c r="AD23" i="6"/>
  <c r="AD30" i="6"/>
  <c r="AC26" i="6"/>
  <c r="AC33" i="6"/>
</calcChain>
</file>

<file path=xl/sharedStrings.xml><?xml version="1.0" encoding="utf-8"?>
<sst xmlns="http://schemas.openxmlformats.org/spreadsheetml/2006/main" count="68" uniqueCount="36">
  <si>
    <t>އަހަރު</t>
  </si>
  <si>
    <t>Year</t>
  </si>
  <si>
    <t>Type</t>
  </si>
  <si>
    <t>HDFC</t>
  </si>
  <si>
    <t>HDFC: Source: Housing Development Finance Corporation</t>
  </si>
  <si>
    <t>އެޗް.ޑީ.އެފް.ސީ</t>
  </si>
  <si>
    <t>ލޯނުދޫކުރިފަރާތް</t>
  </si>
  <si>
    <t>Loan provider</t>
  </si>
  <si>
    <t>ލޯނުގެ އަދަދު</t>
  </si>
  <si>
    <t>އަދަދު (ރުފިޔާ)</t>
  </si>
  <si>
    <t xml:space="preserve">ލޯނުގެ އަދަދު </t>
  </si>
  <si>
    <t>No. of loans</t>
  </si>
  <si>
    <t>Value (MVR)</t>
  </si>
  <si>
    <t>&lt; 1 MILLION</t>
  </si>
  <si>
    <t xml:space="preserve">އެއް މިލިއަން ރުފިޔާއިން ދަށް </t>
  </si>
  <si>
    <t>MHUD</t>
  </si>
  <si>
    <t>މޯލްޑިވްސް ހައުސިންގް އެންޑް އަރބަން ޑިވެލޮޕްމަންޓް</t>
  </si>
  <si>
    <t>Total</t>
  </si>
  <si>
    <t>ޖުމްލަ</t>
  </si>
  <si>
    <t>1 MILLION</t>
  </si>
  <si>
    <t xml:space="preserve">އެއް މިލިއަން ރުފިޔާގެ </t>
  </si>
  <si>
    <t>1 MILLION PLUS</t>
  </si>
  <si>
    <t>އެއް މިލިއަން ރުފިޔާއިން މަތި</t>
  </si>
  <si>
    <t>Grand Total</t>
  </si>
  <si>
    <t>މުޅި ޖުމްލަ</t>
  </si>
  <si>
    <t>Source: Housing Development Finance Corporation</t>
  </si>
  <si>
    <t>މަޢުލޫމާތުދެއްވި ފަރާތް: ހައުސިންގް ޑިވެލޮޕްމަންޓް ފައިނޭންސް ކޯޕަރޭޝަން</t>
  </si>
  <si>
    <t>HDC: Housing Development Corporation</t>
  </si>
  <si>
    <t xml:space="preserve">އެޗް.ޑީ.ސީ: ހައުސިންގް ޑިވެލޮޕްމަންޓް ކޯޕަރޭޝަން </t>
  </si>
  <si>
    <t>އެޗް.ޑީ.އެފް.ސީ: ހައުސިންގް ޑިވެލޮޕްމަންޓް ފައިނޭންސް ކޯޕަރޭޝަން</t>
  </si>
  <si>
    <t>MHUD: Maldives Housing and Urban Development</t>
  </si>
  <si>
    <t>އެމް.އެޗް.ޔޫ.ޑީ: މޯލްޑިވްސް ހައުސިންގް އެންޑް އަރބަން ޑިވެލޮޕްމަންޓް</t>
  </si>
  <si>
    <r>
      <t>Value of loans (</t>
    </r>
    <r>
      <rPr>
        <sz val="10"/>
        <color rgb="FFFF0000"/>
        <rFont val="Arial"/>
        <family val="2"/>
      </rPr>
      <t>mill rf</t>
    </r>
    <r>
      <rPr>
        <sz val="10"/>
        <rFont val="Arial"/>
        <family val="2"/>
      </rPr>
      <t>)</t>
    </r>
  </si>
  <si>
    <t>އެޗް.ޑީއެފް.ސީ</t>
  </si>
  <si>
    <t>TABLE 4.7: HOUSING FINANCE/LOANS PROVIDED, 2010 - 2014</t>
  </si>
  <si>
    <t xml:space="preserve"> ތާވަލް 4.7: އިމާރާތް ކުރުމަށްޓަކައި ދޫކުރެވިފައިވާ ލޯނުގެ އަދަދު 2010 - 2014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</si>
</sst>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General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sz val="10"/>
      <name val="Faruma"/>
    </font>
    <font>
      <sz val="10"/>
      <name val="Courier"/>
      <family val="3"/>
    </font>
    <font>
      <sz val="9"/>
      <name val="Calibri"/>
      <family val="2"/>
      <scheme val="minor"/>
    </font>
    <font>
      <b/>
      <sz val="12"/>
      <name val="A_Randhoo"/>
    </font>
    <font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2"/>
      <name val="Arial"/>
      <family val="2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9"/>
      <name val="Faruma"/>
    </font>
    <font>
      <sz val="9"/>
      <name val="A_Randhoo"/>
    </font>
    <font>
      <sz val="9"/>
      <name val="Arial"/>
      <family val="2"/>
    </font>
    <font>
      <i/>
      <sz val="10"/>
      <name val="Calibri"/>
      <family val="2"/>
      <scheme val="minor"/>
    </font>
    <font>
      <sz val="10"/>
      <color rgb="FFFF0000"/>
      <name val="Arial"/>
      <family val="2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indexed="64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5" fillId="0" borderId="0"/>
    <xf numFmtId="0" fontId="2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</cellStyleXfs>
  <cellXfs count="111">
    <xf numFmtId="0" fontId="0" fillId="0" borderId="0" xfId="0"/>
    <xf numFmtId="0" fontId="7" fillId="2" borderId="0" xfId="2" applyFont="1" applyFill="1" applyAlignment="1"/>
    <xf numFmtId="166" fontId="8" fillId="2" borderId="0" xfId="0" applyNumberFormat="1" applyFont="1" applyFill="1"/>
    <xf numFmtId="166" fontId="9" fillId="2" borderId="2" xfId="3" applyNumberFormat="1" applyFont="1" applyFill="1" applyBorder="1" applyAlignment="1" applyProtection="1">
      <alignment horizontal="center" vertical="center"/>
    </xf>
    <xf numFmtId="166" fontId="9" fillId="2" borderId="3" xfId="3" applyNumberFormat="1" applyFont="1" applyFill="1" applyBorder="1" applyAlignment="1" applyProtection="1">
      <alignment horizontal="center" vertical="center"/>
    </xf>
    <xf numFmtId="166" fontId="3" fillId="2" borderId="10" xfId="3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right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right" vertical="center" wrapText="1"/>
    </xf>
    <xf numFmtId="0" fontId="10" fillId="2" borderId="15" xfId="0" applyFont="1" applyFill="1" applyBorder="1" applyAlignment="1">
      <alignment horizontal="right" vertical="center" wrapText="1"/>
    </xf>
    <xf numFmtId="166" fontId="8" fillId="2" borderId="0" xfId="0" applyNumberFormat="1" applyFont="1" applyFill="1" applyAlignment="1">
      <alignment vertical="center"/>
    </xf>
    <xf numFmtId="166" fontId="9" fillId="2" borderId="16" xfId="3" applyNumberFormat="1" applyFont="1" applyFill="1" applyBorder="1" applyAlignment="1" applyProtection="1">
      <alignment horizontal="center" vertical="center"/>
    </xf>
    <xf numFmtId="166" fontId="9" fillId="2" borderId="17" xfId="3" applyNumberFormat="1" applyFont="1" applyFill="1" applyBorder="1" applyAlignment="1" applyProtection="1">
      <alignment horizontal="center" vertical="center"/>
    </xf>
    <xf numFmtId="166" fontId="9" fillId="2" borderId="18" xfId="3" applyNumberFormat="1" applyFont="1" applyFill="1" applyBorder="1" applyAlignment="1" applyProtection="1">
      <alignment horizontal="center" vertical="center"/>
    </xf>
    <xf numFmtId="166" fontId="9" fillId="2" borderId="19" xfId="3" applyNumberFormat="1" applyFont="1" applyFill="1" applyBorder="1" applyAlignment="1" applyProtection="1">
      <alignment horizontal="right" vertical="center"/>
    </xf>
    <xf numFmtId="166" fontId="9" fillId="2" borderId="1" xfId="3" applyNumberFormat="1" applyFont="1" applyFill="1" applyBorder="1" applyAlignment="1" applyProtection="1">
      <alignment horizontal="right" vertical="center"/>
    </xf>
    <xf numFmtId="166" fontId="9" fillId="2" borderId="1" xfId="3" applyNumberFormat="1" applyFont="1" applyFill="1" applyBorder="1" applyAlignment="1" applyProtection="1">
      <alignment horizontal="center" vertical="center"/>
    </xf>
    <xf numFmtId="166" fontId="9" fillId="2" borderId="20" xfId="3" applyNumberFormat="1" applyFont="1" applyFill="1" applyBorder="1" applyAlignment="1" applyProtection="1">
      <alignment horizontal="center" vertical="center"/>
    </xf>
    <xf numFmtId="166" fontId="9" fillId="2" borderId="17" xfId="3" applyNumberFormat="1" applyFont="1" applyFill="1" applyBorder="1" applyAlignment="1" applyProtection="1">
      <alignment horizontal="right" vertical="center"/>
    </xf>
    <xf numFmtId="166" fontId="9" fillId="2" borderId="21" xfId="3" applyNumberFormat="1" applyFont="1" applyFill="1" applyBorder="1" applyAlignment="1" applyProtection="1">
      <alignment horizontal="right" vertical="center"/>
    </xf>
    <xf numFmtId="166" fontId="8" fillId="2" borderId="22" xfId="0" applyNumberFormat="1" applyFont="1" applyFill="1" applyBorder="1"/>
    <xf numFmtId="166" fontId="12" fillId="2" borderId="0" xfId="3" applyNumberFormat="1" applyFont="1" applyFill="1" applyBorder="1" applyAlignment="1" applyProtection="1">
      <alignment horizontal="center" vertical="center"/>
    </xf>
    <xf numFmtId="166" fontId="12" fillId="2" borderId="11" xfId="3" applyNumberFormat="1" applyFont="1" applyFill="1" applyBorder="1" applyAlignment="1" applyProtection="1">
      <alignment horizontal="center" vertical="center"/>
    </xf>
    <xf numFmtId="165" fontId="12" fillId="2" borderId="12" xfId="1" applyNumberFormat="1" applyFont="1" applyFill="1" applyBorder="1" applyAlignment="1" applyProtection="1">
      <alignment horizontal="center" vertical="center"/>
    </xf>
    <xf numFmtId="165" fontId="12" fillId="2" borderId="0" xfId="1" applyNumberFormat="1" applyFont="1" applyFill="1" applyBorder="1" applyAlignment="1" applyProtection="1">
      <alignment horizontal="center" vertical="center"/>
    </xf>
    <xf numFmtId="165" fontId="12" fillId="2" borderId="23" xfId="1" applyNumberFormat="1" applyFont="1" applyFill="1" applyBorder="1" applyAlignment="1" applyProtection="1">
      <alignment horizontal="center" vertical="center"/>
    </xf>
    <xf numFmtId="166" fontId="13" fillId="2" borderId="0" xfId="3" applyNumberFormat="1" applyFont="1" applyFill="1" applyBorder="1" applyAlignment="1" applyProtection="1">
      <alignment horizontal="right" vertical="center" wrapText="1"/>
    </xf>
    <xf numFmtId="166" fontId="8" fillId="2" borderId="0" xfId="0" applyNumberFormat="1" applyFont="1" applyFill="1" applyBorder="1"/>
    <xf numFmtId="165" fontId="12" fillId="2" borderId="12" xfId="1" applyNumberFormat="1" applyFont="1" applyFill="1" applyBorder="1" applyAlignment="1">
      <alignment horizontal="center" vertical="center"/>
    </xf>
    <xf numFmtId="165" fontId="12" fillId="2" borderId="0" xfId="1" applyNumberFormat="1" applyFont="1" applyFill="1" applyBorder="1" applyAlignment="1">
      <alignment horizontal="center" vertical="center"/>
    </xf>
    <xf numFmtId="165" fontId="12" fillId="2" borderId="23" xfId="1" applyNumberFormat="1" applyFont="1" applyFill="1" applyBorder="1" applyAlignment="1">
      <alignment horizontal="center" vertical="center"/>
    </xf>
    <xf numFmtId="166" fontId="9" fillId="2" borderId="24" xfId="3" applyNumberFormat="1" applyFont="1" applyFill="1" applyBorder="1" applyAlignment="1" applyProtection="1">
      <alignment horizontal="center" vertical="center"/>
    </xf>
    <xf numFmtId="166" fontId="8" fillId="2" borderId="24" xfId="0" applyNumberFormat="1" applyFont="1" applyFill="1" applyBorder="1"/>
    <xf numFmtId="166" fontId="9" fillId="2" borderId="25" xfId="3" applyNumberFormat="1" applyFont="1" applyFill="1" applyBorder="1" applyAlignment="1" applyProtection="1">
      <alignment horizontal="center" vertical="center"/>
    </xf>
    <xf numFmtId="165" fontId="9" fillId="2" borderId="26" xfId="1" applyNumberFormat="1" applyFont="1" applyFill="1" applyBorder="1" applyAlignment="1">
      <alignment horizontal="center" vertical="center"/>
    </xf>
    <xf numFmtId="165" fontId="9" fillId="2" borderId="24" xfId="1" applyNumberFormat="1" applyFont="1" applyFill="1" applyBorder="1" applyAlignment="1">
      <alignment horizontal="center" vertical="center"/>
    </xf>
    <xf numFmtId="165" fontId="9" fillId="2" borderId="26" xfId="1" applyNumberFormat="1" applyFont="1" applyFill="1" applyBorder="1" applyAlignment="1" applyProtection="1">
      <alignment horizontal="center" vertical="center"/>
    </xf>
    <xf numFmtId="165" fontId="9" fillId="2" borderId="24" xfId="1" applyNumberFormat="1" applyFont="1" applyFill="1" applyBorder="1" applyAlignment="1" applyProtection="1">
      <alignment horizontal="right" vertical="center"/>
    </xf>
    <xf numFmtId="165" fontId="9" fillId="2" borderId="27" xfId="1" applyNumberFormat="1" applyFont="1" applyFill="1" applyBorder="1" applyAlignment="1" applyProtection="1">
      <alignment horizontal="right" vertical="center"/>
    </xf>
    <xf numFmtId="166" fontId="13" fillId="2" borderId="24" xfId="3" applyNumberFormat="1" applyFont="1" applyFill="1" applyBorder="1" applyAlignment="1" applyProtection="1">
      <alignment horizontal="right" vertical="center" wrapText="1"/>
    </xf>
    <xf numFmtId="0" fontId="10" fillId="2" borderId="24" xfId="0" applyFont="1" applyFill="1" applyBorder="1" applyAlignment="1">
      <alignment horizontal="right" wrapText="1"/>
    </xf>
    <xf numFmtId="166" fontId="9" fillId="2" borderId="11" xfId="3" applyNumberFormat="1" applyFont="1" applyFill="1" applyBorder="1" applyAlignment="1" applyProtection="1">
      <alignment horizontal="center" vertical="center"/>
    </xf>
    <xf numFmtId="165" fontId="9" fillId="2" borderId="12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>
      <alignment horizontal="center" vertical="center"/>
    </xf>
    <xf numFmtId="165" fontId="9" fillId="2" borderId="0" xfId="1" applyNumberFormat="1" applyFont="1" applyFill="1" applyBorder="1" applyAlignment="1" applyProtection="1">
      <alignment horizontal="right" vertical="center"/>
    </xf>
    <xf numFmtId="165" fontId="9" fillId="2" borderId="23" xfId="1" applyNumberFormat="1" applyFont="1" applyFill="1" applyBorder="1" applyAlignment="1" applyProtection="1">
      <alignment horizontal="right" vertical="center"/>
    </xf>
    <xf numFmtId="166" fontId="3" fillId="2" borderId="0" xfId="3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Border="1" applyAlignment="1">
      <alignment horizontal="right" wrapText="1"/>
    </xf>
    <xf numFmtId="166" fontId="14" fillId="2" borderId="0" xfId="0" applyNumberFormat="1" applyFont="1" applyFill="1" applyBorder="1"/>
    <xf numFmtId="166" fontId="9" fillId="2" borderId="28" xfId="3" applyNumberFormat="1" applyFont="1" applyFill="1" applyBorder="1" applyAlignment="1" applyProtection="1">
      <alignment horizontal="right" vertical="center"/>
    </xf>
    <xf numFmtId="166" fontId="9" fillId="2" borderId="29" xfId="3" applyNumberFormat="1" applyFont="1" applyFill="1" applyBorder="1" applyAlignment="1" applyProtection="1">
      <alignment horizontal="right" vertical="center"/>
    </xf>
    <xf numFmtId="3" fontId="9" fillId="2" borderId="30" xfId="3" applyNumberFormat="1" applyFont="1" applyFill="1" applyBorder="1" applyAlignment="1" applyProtection="1">
      <alignment horizontal="center" vertical="center"/>
    </xf>
    <xf numFmtId="3" fontId="9" fillId="2" borderId="29" xfId="3" applyNumberFormat="1" applyFont="1" applyFill="1" applyBorder="1" applyAlignment="1" applyProtection="1">
      <alignment horizontal="right" vertical="center"/>
    </xf>
    <xf numFmtId="3" fontId="9" fillId="2" borderId="28" xfId="3" applyNumberFormat="1" applyFont="1" applyFill="1" applyBorder="1" applyAlignment="1" applyProtection="1">
      <alignment horizontal="right" vertical="center"/>
    </xf>
    <xf numFmtId="3" fontId="9" fillId="2" borderId="28" xfId="3" applyNumberFormat="1" applyFont="1" applyFill="1" applyBorder="1" applyAlignment="1" applyProtection="1">
      <alignment horizontal="center" vertical="center"/>
    </xf>
    <xf numFmtId="3" fontId="9" fillId="2" borderId="31" xfId="3" applyNumberFormat="1" applyFont="1" applyFill="1" applyBorder="1" applyAlignment="1" applyProtection="1">
      <alignment horizontal="right" vertical="center"/>
    </xf>
    <xf numFmtId="0" fontId="10" fillId="2" borderId="28" xfId="0" applyFont="1" applyFill="1" applyBorder="1" applyAlignment="1">
      <alignment horizontal="right" vertical="center" wrapText="1"/>
    </xf>
    <xf numFmtId="166" fontId="3" fillId="2" borderId="28" xfId="3" applyNumberFormat="1" applyFont="1" applyFill="1" applyBorder="1" applyAlignment="1" applyProtection="1">
      <alignment horizontal="right" vertical="center"/>
    </xf>
    <xf numFmtId="0" fontId="15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horizontal="left" vertical="center"/>
    </xf>
    <xf numFmtId="0" fontId="16" fillId="2" borderId="0" xfId="2" applyFont="1" applyFill="1" applyBorder="1" applyAlignment="1">
      <alignment horizontal="left" vertical="center" wrapText="1"/>
    </xf>
    <xf numFmtId="166" fontId="17" fillId="2" borderId="32" xfId="3" applyNumberFormat="1" applyFont="1" applyFill="1" applyBorder="1" applyAlignment="1" applyProtection="1">
      <alignment horizontal="right" vertical="center"/>
    </xf>
    <xf numFmtId="0" fontId="16" fillId="2" borderId="0" xfId="2" applyFont="1" applyFill="1" applyAlignment="1">
      <alignment horizontal="left" vertical="center"/>
    </xf>
    <xf numFmtId="0" fontId="18" fillId="2" borderId="0" xfId="2" applyFont="1" applyFill="1" applyAlignment="1">
      <alignment horizontal="right" vertical="center"/>
    </xf>
    <xf numFmtId="166" fontId="19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43" fontId="6" fillId="2" borderId="0" xfId="1" applyFont="1" applyFill="1" applyAlignment="1">
      <alignment vertical="center"/>
    </xf>
    <xf numFmtId="166" fontId="19" fillId="2" borderId="0" xfId="0" applyNumberFormat="1" applyFont="1" applyFill="1" applyAlignment="1">
      <alignment vertical="center" wrapText="1"/>
    </xf>
    <xf numFmtId="0" fontId="20" fillId="2" borderId="0" xfId="2" applyFont="1" applyFill="1" applyBorder="1" applyAlignment="1">
      <alignment horizontal="left"/>
    </xf>
    <xf numFmtId="166" fontId="2" fillId="2" borderId="0" xfId="0" applyNumberFormat="1" applyFont="1" applyFill="1"/>
    <xf numFmtId="166" fontId="2" fillId="2" borderId="0" xfId="0" applyNumberFormat="1" applyFont="1" applyFill="1" applyAlignment="1">
      <alignment wrapText="1"/>
    </xf>
    <xf numFmtId="166" fontId="4" fillId="2" borderId="0" xfId="3" applyNumberFormat="1" applyFont="1" applyFill="1" applyBorder="1" applyAlignment="1" applyProtection="1">
      <alignment horizontal="right" vertical="center"/>
    </xf>
    <xf numFmtId="166" fontId="8" fillId="2" borderId="0" xfId="0" applyNumberFormat="1" applyFont="1" applyFill="1" applyAlignment="1">
      <alignment wrapText="1"/>
    </xf>
    <xf numFmtId="166" fontId="8" fillId="2" borderId="0" xfId="0" applyNumberFormat="1" applyFont="1" applyFill="1" applyBorder="1" applyAlignment="1">
      <alignment horizontal="right"/>
    </xf>
    <xf numFmtId="166" fontId="8" fillId="3" borderId="0" xfId="0" applyNumberFormat="1" applyFont="1" applyFill="1"/>
    <xf numFmtId="166" fontId="2" fillId="3" borderId="0" xfId="0" applyNumberFormat="1" applyFont="1" applyFill="1"/>
    <xf numFmtId="0" fontId="0" fillId="2" borderId="0" xfId="0" applyFill="1"/>
    <xf numFmtId="166" fontId="9" fillId="2" borderId="0" xfId="3" applyNumberFormat="1" applyFont="1" applyFill="1" applyBorder="1" applyAlignment="1" applyProtection="1">
      <alignment horizontal="center" vertical="center"/>
    </xf>
    <xf numFmtId="166" fontId="3" fillId="2" borderId="0" xfId="3" applyNumberFormat="1" applyFont="1" applyFill="1" applyBorder="1" applyAlignment="1" applyProtection="1">
      <alignment horizontal="right" vertical="center"/>
    </xf>
    <xf numFmtId="166" fontId="9" fillId="2" borderId="6" xfId="3" applyNumberFormat="1" applyFont="1" applyFill="1" applyBorder="1" applyAlignment="1" applyProtection="1">
      <alignment horizontal="center" vertical="center"/>
    </xf>
    <xf numFmtId="0" fontId="23" fillId="2" borderId="0" xfId="2" applyFont="1" applyFill="1" applyAlignment="1"/>
    <xf numFmtId="166" fontId="19" fillId="2" borderId="0" xfId="0" applyNumberFormat="1" applyFont="1" applyFill="1"/>
    <xf numFmtId="166" fontId="19" fillId="2" borderId="22" xfId="0" applyNumberFormat="1" applyFont="1" applyFill="1" applyBorder="1"/>
    <xf numFmtId="166" fontId="19" fillId="2" borderId="0" xfId="0" applyNumberFormat="1" applyFont="1" applyFill="1" applyBorder="1"/>
    <xf numFmtId="166" fontId="24" fillId="2" borderId="0" xfId="0" applyNumberFormat="1" applyFont="1" applyFill="1" applyBorder="1"/>
    <xf numFmtId="166" fontId="19" fillId="3" borderId="0" xfId="0" applyNumberFormat="1" applyFont="1" applyFill="1"/>
    <xf numFmtId="166" fontId="22" fillId="3" borderId="18" xfId="3" applyNumberFormat="1" applyFont="1" applyFill="1" applyBorder="1" applyAlignment="1" applyProtection="1">
      <alignment horizontal="center" vertical="center"/>
    </xf>
    <xf numFmtId="165" fontId="19" fillId="3" borderId="0" xfId="1" applyNumberFormat="1" applyFont="1" applyFill="1"/>
    <xf numFmtId="165" fontId="19" fillId="2" borderId="0" xfId="1" applyNumberFormat="1" applyFont="1" applyFill="1"/>
    <xf numFmtId="166" fontId="9" fillId="2" borderId="0" xfId="3" applyNumberFormat="1" applyFont="1" applyFill="1" applyBorder="1" applyAlignment="1" applyProtection="1">
      <alignment horizontal="center" vertical="center"/>
    </xf>
    <xf numFmtId="166" fontId="9" fillId="2" borderId="12" xfId="3" applyNumberFormat="1" applyFont="1" applyFill="1" applyBorder="1" applyAlignment="1" applyProtection="1">
      <alignment vertical="center"/>
    </xf>
    <xf numFmtId="166" fontId="9" fillId="2" borderId="0" xfId="3" applyNumberFormat="1" applyFont="1" applyFill="1" applyBorder="1" applyAlignment="1" applyProtection="1">
      <alignment horizontal="center" vertical="center"/>
    </xf>
    <xf numFmtId="166" fontId="3" fillId="2" borderId="0" xfId="3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wrapText="1"/>
    </xf>
    <xf numFmtId="166" fontId="9" fillId="2" borderId="1" xfId="3" applyNumberFormat="1" applyFont="1" applyFill="1" applyBorder="1" applyAlignment="1" applyProtection="1">
      <alignment horizontal="center" vertical="center" wrapText="1"/>
    </xf>
    <xf numFmtId="166" fontId="9" fillId="2" borderId="0" xfId="3" applyNumberFormat="1" applyFont="1" applyFill="1" applyBorder="1" applyAlignment="1" applyProtection="1">
      <alignment horizontal="center" vertical="center" wrapText="1"/>
    </xf>
    <xf numFmtId="166" fontId="9" fillId="2" borderId="4" xfId="3" applyNumberFormat="1" applyFont="1" applyFill="1" applyBorder="1" applyAlignment="1" applyProtection="1">
      <alignment horizontal="center" vertical="center"/>
    </xf>
    <xf numFmtId="166" fontId="9" fillId="2" borderId="5" xfId="3" applyNumberFormat="1" applyFont="1" applyFill="1" applyBorder="1" applyAlignment="1" applyProtection="1">
      <alignment horizontal="center" vertical="center"/>
    </xf>
    <xf numFmtId="166" fontId="9" fillId="2" borderId="6" xfId="3" applyNumberFormat="1" applyFont="1" applyFill="1" applyBorder="1" applyAlignment="1" applyProtection="1">
      <alignment horizontal="center" vertical="center"/>
    </xf>
    <xf numFmtId="166" fontId="9" fillId="2" borderId="7" xfId="3" applyNumberFormat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166" fontId="3" fillId="2" borderId="1" xfId="3" applyNumberFormat="1" applyFont="1" applyFill="1" applyBorder="1" applyAlignment="1" applyProtection="1">
      <alignment horizontal="right" vertical="center"/>
    </xf>
    <xf numFmtId="166" fontId="9" fillId="2" borderId="8" xfId="3" applyNumberFormat="1" applyFont="1" applyFill="1" applyBorder="1" applyAlignment="1" applyProtection="1">
      <alignment horizontal="center" vertical="center"/>
    </xf>
    <xf numFmtId="166" fontId="9" fillId="2" borderId="9" xfId="3" applyNumberFormat="1" applyFont="1" applyFill="1" applyBorder="1" applyAlignment="1" applyProtection="1">
      <alignment horizontal="center" vertical="center"/>
    </xf>
    <xf numFmtId="166" fontId="9" fillId="2" borderId="33" xfId="3" applyNumberFormat="1" applyFont="1" applyFill="1" applyBorder="1" applyAlignment="1" applyProtection="1">
      <alignment horizontal="center" vertical="center"/>
    </xf>
  </cellXfs>
  <cellStyles count="6">
    <cellStyle name="Comma" xfId="1" builtinId="3"/>
    <cellStyle name="Comma 2" xfId="4"/>
    <cellStyle name="Hyperlink_Housing - 3" xfId="5"/>
    <cellStyle name="Normal" xfId="0" builtinId="0"/>
    <cellStyle name="Normal 2" xfId="3"/>
    <cellStyle name="Normal_Housing - 3 2" xfId="2"/>
  </cellStyles>
  <dxfs count="0"/>
  <tableStyles count="0" defaultTableStyle="TableStyleMedium9" defaultPivotStyle="PivotStyleLight16"/>
  <colors>
    <mruColors>
      <color rgb="FFE8D1FF"/>
      <color rgb="FFE4C9FF"/>
      <color rgb="FF9400C8"/>
      <color rgb="FFCC99FF"/>
      <color rgb="FFDC7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82053700775968"/>
          <c:y val="0.22209585024932704"/>
          <c:w val="0.87803110339318058"/>
          <c:h val="0.5280972018723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'4.7'!$Y$23</c:f>
              <c:strCache>
                <c:ptCount val="1"/>
                <c:pt idx="0">
                  <c:v>&lt; 1 MILLION</c:v>
                </c:pt>
              </c:strCache>
            </c:strRef>
          </c:tx>
          <c:spPr>
            <a:solidFill>
              <a:srgbClr val="9400C8"/>
            </a:solidFill>
          </c:spPr>
          <c:invertIfNegative val="0"/>
          <c:cat>
            <c:numRef>
              <c:f>'4.7'!$Z$22:$AD$22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'4.7'!$Z$23:$AD$23</c:f>
              <c:numCache>
                <c:formatCode>General_)</c:formatCode>
                <c:ptCount val="5"/>
                <c:pt idx="0">
                  <c:v>64</c:v>
                </c:pt>
                <c:pt idx="1">
                  <c:v>202</c:v>
                </c:pt>
                <c:pt idx="2">
                  <c:v>96</c:v>
                </c:pt>
                <c:pt idx="3">
                  <c:v>54</c:v>
                </c:pt>
                <c:pt idx="4">
                  <c:v>63</c:v>
                </c:pt>
              </c:numCache>
            </c:numRef>
          </c:val>
        </c:ser>
        <c:ser>
          <c:idx val="1"/>
          <c:order val="1"/>
          <c:tx>
            <c:strRef>
              <c:f>'4.7'!$Y$24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'4.7'!$Z$22:$AD$22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'4.7'!$Z$24:$AD$24</c:f>
              <c:numCache>
                <c:formatCode>General_)</c:formatCode>
                <c:ptCount val="5"/>
                <c:pt idx="0">
                  <c:v>4</c:v>
                </c:pt>
                <c:pt idx="1">
                  <c:v>11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'4.7'!$Y$25</c:f>
              <c:strCache>
                <c:ptCount val="1"/>
                <c:pt idx="0">
                  <c:v>1 MILLION PLUS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'4.7'!$Z$22:$AD$22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'4.7'!$Z$25:$AD$25</c:f>
              <c:numCache>
                <c:formatCode>General_)</c:formatCode>
                <c:ptCount val="5"/>
                <c:pt idx="0">
                  <c:v>43</c:v>
                </c:pt>
                <c:pt idx="1">
                  <c:v>115</c:v>
                </c:pt>
                <c:pt idx="2">
                  <c:v>74</c:v>
                </c:pt>
                <c:pt idx="3">
                  <c:v>72</c:v>
                </c:pt>
                <c:pt idx="4">
                  <c:v>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35425024"/>
        <c:axId val="135447296"/>
      </c:barChart>
      <c:catAx>
        <c:axId val="1354250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5447296"/>
        <c:crosses val="autoZero"/>
        <c:auto val="1"/>
        <c:lblAlgn val="ctr"/>
        <c:lblOffset val="100"/>
        <c:noMultiLvlLbl val="0"/>
      </c:catAx>
      <c:valAx>
        <c:axId val="135447296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Number of loans</a:t>
                </a:r>
              </a:p>
            </c:rich>
          </c:tx>
          <c:layout>
            <c:manualLayout>
              <c:xMode val="edge"/>
              <c:yMode val="edge"/>
              <c:x val="9.4503101713982202E-3"/>
              <c:y val="0.13008426210976298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542502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"/>
          <c:y val="0.84289719254344808"/>
          <c:w val="0.9746375240001216"/>
          <c:h val="0.10835953662699131"/>
        </c:manualLayout>
      </c:layout>
      <c:overlay val="0"/>
    </c:legend>
    <c:plotVisOnly val="1"/>
    <c:dispBlanksAs val="gap"/>
    <c:showDLblsOverMax val="0"/>
  </c:chart>
  <c:spPr>
    <a:solidFill>
      <a:sysClr val="window" lastClr="FFFFFF"/>
    </a:solidFill>
    <a:ln w="6350">
      <a:solidFill>
        <a:schemeClr val="tx1"/>
      </a:solidFill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34101838744136"/>
          <c:y val="0.23108178708745239"/>
          <c:w val="0.82395570402290907"/>
          <c:h val="0.55887620733158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'4.7'!$Y$30</c:f>
              <c:strCache>
                <c:ptCount val="1"/>
                <c:pt idx="0">
                  <c:v>&lt; 1 MILLION</c:v>
                </c:pt>
              </c:strCache>
            </c:strRef>
          </c:tx>
          <c:spPr>
            <a:solidFill>
              <a:srgbClr val="9400C8"/>
            </a:solidFill>
          </c:spPr>
          <c:invertIfNegative val="0"/>
          <c:cat>
            <c:numRef>
              <c:f>'4.7'!$Z$29:$AD$29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'4.7'!$Z$30:$AD$30</c:f>
              <c:numCache>
                <c:formatCode>_(* #,##0_);_(* \(#,##0\);_(* "-"??_);_(@_)</c:formatCode>
                <c:ptCount val="5"/>
                <c:pt idx="0">
                  <c:v>24376348</c:v>
                </c:pt>
                <c:pt idx="1">
                  <c:v>81778087</c:v>
                </c:pt>
                <c:pt idx="2">
                  <c:v>53959231.93</c:v>
                </c:pt>
                <c:pt idx="3">
                  <c:v>27603491.469999999</c:v>
                </c:pt>
                <c:pt idx="4">
                  <c:v>28482012</c:v>
                </c:pt>
              </c:numCache>
            </c:numRef>
          </c:val>
        </c:ser>
        <c:ser>
          <c:idx val="1"/>
          <c:order val="1"/>
          <c:tx>
            <c:strRef>
              <c:f>'4.7'!$Y$31</c:f>
              <c:strCache>
                <c:ptCount val="1"/>
                <c:pt idx="0">
                  <c:v>1 MILLION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'4.7'!$Z$29:$AD$29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'4.7'!$Z$31:$AD$31</c:f>
              <c:numCache>
                <c:formatCode>_(* #,##0_);_(* \(#,##0\);_(* "-"??_);_(@_)</c:formatCode>
                <c:ptCount val="5"/>
                <c:pt idx="0">
                  <c:v>4000000</c:v>
                </c:pt>
                <c:pt idx="1">
                  <c:v>11000000</c:v>
                </c:pt>
                <c:pt idx="2">
                  <c:v>4000000</c:v>
                </c:pt>
                <c:pt idx="3">
                  <c:v>1000000</c:v>
                </c:pt>
                <c:pt idx="4">
                  <c:v>1000000</c:v>
                </c:pt>
              </c:numCache>
            </c:numRef>
          </c:val>
        </c:ser>
        <c:ser>
          <c:idx val="2"/>
          <c:order val="2"/>
          <c:tx>
            <c:strRef>
              <c:f>'4.7'!$Y$32</c:f>
              <c:strCache>
                <c:ptCount val="1"/>
                <c:pt idx="0">
                  <c:v>1 MILLION PLUS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'4.7'!$Z$29:$AD$29</c:f>
              <c:numCache>
                <c:formatCode>General_)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'4.7'!$Z$32:$AD$32</c:f>
              <c:numCache>
                <c:formatCode>_(* #,##0_);_(* \(#,##0\);_(* "-"??_);_(@_)</c:formatCode>
                <c:ptCount val="5"/>
                <c:pt idx="0">
                  <c:v>120927102</c:v>
                </c:pt>
                <c:pt idx="1">
                  <c:v>280726560</c:v>
                </c:pt>
                <c:pt idx="2">
                  <c:v>142885813.94</c:v>
                </c:pt>
                <c:pt idx="3">
                  <c:v>179525526.21000001</c:v>
                </c:pt>
                <c:pt idx="4">
                  <c:v>182867574.81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100"/>
        <c:axId val="136791936"/>
        <c:axId val="136793472"/>
      </c:barChart>
      <c:catAx>
        <c:axId val="13679193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6793472"/>
        <c:crosses val="autoZero"/>
        <c:auto val="1"/>
        <c:lblAlgn val="ctr"/>
        <c:lblOffset val="100"/>
        <c:noMultiLvlLbl val="0"/>
      </c:catAx>
      <c:valAx>
        <c:axId val="136793472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75000"/>
                </a:schemeClr>
              </a:solidFill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13679193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7.9802869321972478E-3"/>
          <c:y val="0.89034634714986871"/>
          <c:w val="0.96978629701769581"/>
          <c:h val="7.249092146916723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>
      <a:solidFill>
        <a:schemeClr val="tx1"/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807720</xdr:colOff>
      <xdr:row>18</xdr:row>
      <xdr:rowOff>80489</xdr:rowOff>
    </xdr:from>
    <xdr:to>
      <xdr:col>8</xdr:col>
      <xdr:colOff>276439</xdr:colOff>
      <xdr:row>33</xdr:row>
      <xdr:rowOff>148575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142365</xdr:colOff>
      <xdr:row>18</xdr:row>
      <xdr:rowOff>71535</xdr:rowOff>
    </xdr:from>
    <xdr:to>
      <xdr:col>15</xdr:col>
      <xdr:colOff>145064</xdr:colOff>
      <xdr:row>33</xdr:row>
      <xdr:rowOff>144033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545703</xdr:colOff>
      <xdr:row>20</xdr:row>
      <xdr:rowOff>0</xdr:rowOff>
    </xdr:from>
    <xdr:to>
      <xdr:col>7</xdr:col>
      <xdr:colOff>803672</xdr:colOff>
      <xdr:row>20</xdr:row>
      <xdr:rowOff>9920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835547" y="5119688"/>
          <a:ext cx="4435078" cy="992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10</xdr:col>
      <xdr:colOff>307578</xdr:colOff>
      <xdr:row>20</xdr:row>
      <xdr:rowOff>99216</xdr:rowOff>
    </xdr:from>
    <xdr:to>
      <xdr:col>14</xdr:col>
      <xdr:colOff>992187</xdr:colOff>
      <xdr:row>20</xdr:row>
      <xdr:rowOff>99216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8810625" y="5218904"/>
          <a:ext cx="452437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486172</xdr:colOff>
      <xdr:row>18</xdr:row>
      <xdr:rowOff>94614</xdr:rowOff>
    </xdr:from>
    <xdr:to>
      <xdr:col>7</xdr:col>
      <xdr:colOff>883047</xdr:colOff>
      <xdr:row>19</xdr:row>
      <xdr:rowOff>154379</xdr:rowOff>
    </xdr:to>
    <xdr:sp macro="" textlink="">
      <xdr:nvSpPr>
        <xdr:cNvPr id="8" name="TextBox 7"/>
        <xdr:cNvSpPr txBox="1"/>
      </xdr:nvSpPr>
      <xdr:spPr>
        <a:xfrm>
          <a:off x="1776016" y="4817427"/>
          <a:ext cx="4573984" cy="2582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4.4</a:t>
          </a: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 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Number of loans provided,  2010 -  2014</a:t>
          </a:r>
          <a:endParaRPr lang="en-US">
            <a:latin typeface="Consolas" pitchFamily="49" charset="0"/>
            <a:cs typeface="Consolas" pitchFamily="49" charset="0"/>
          </a:endParaRPr>
        </a:p>
        <a:p>
          <a:endParaRPr lang="en-US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248048</xdr:colOff>
      <xdr:row>18</xdr:row>
      <xdr:rowOff>198078</xdr:rowOff>
    </xdr:from>
    <xdr:to>
      <xdr:col>14</xdr:col>
      <xdr:colOff>1071562</xdr:colOff>
      <xdr:row>20</xdr:row>
      <xdr:rowOff>94168</xdr:rowOff>
    </xdr:to>
    <xdr:sp macro="" textlink="">
      <xdr:nvSpPr>
        <xdr:cNvPr id="10" name="TextBox 9"/>
        <xdr:cNvSpPr txBox="1"/>
      </xdr:nvSpPr>
      <xdr:spPr>
        <a:xfrm>
          <a:off x="8751095" y="4920891"/>
          <a:ext cx="4663280" cy="292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+mn-lt"/>
              <a:ea typeface="+mn-ea"/>
              <a:cs typeface="Arial" pitchFamily="34" charset="0"/>
            </a:rPr>
            <a:t>  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4.5:Total value of loans (MVR), 2010 - 2014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0.01305</cdr:x>
      <cdr:y>0.12565</cdr:y>
    </cdr:from>
    <cdr:to>
      <cdr:x>0.1696</cdr:x>
      <cdr:y>0.20315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2657" y="366895"/>
          <a:ext cx="991408" cy="22633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</a:t>
          </a:r>
          <a:r>
            <a:rPr lang="en-US" sz="1000" b="1">
              <a:latin typeface="Arial" pitchFamily="34" charset="0"/>
              <a:cs typeface="Arial" pitchFamily="34" charset="0"/>
            </a:rPr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D41"/>
  <sheetViews>
    <sheetView tabSelected="1" zoomScale="96" zoomScaleNormal="96" zoomScaleSheetLayoutView="46" workbookViewId="0">
      <selection activeCell="P24" sqref="P24"/>
    </sheetView>
  </sheetViews>
  <sheetFormatPr defaultColWidth="9.140625" defaultRowHeight="15.75" x14ac:dyDescent="0.25"/>
  <cols>
    <col min="1" max="1" width="19.28515625" style="2" customWidth="1"/>
    <col min="2" max="2" width="14.5703125" style="2" customWidth="1"/>
    <col min="3" max="3" width="1.85546875" style="2" customWidth="1"/>
    <col min="4" max="4" width="13.85546875" style="2" customWidth="1"/>
    <col min="5" max="5" width="15.28515625" style="2" customWidth="1"/>
    <col min="6" max="6" width="2.7109375" style="2" customWidth="1"/>
    <col min="7" max="7" width="14.42578125" style="2" customWidth="1"/>
    <col min="8" max="8" width="16.28515625" style="2" customWidth="1"/>
    <col min="9" max="9" width="14.85546875" style="2" customWidth="1"/>
    <col min="10" max="10" width="14.42578125" style="2" customWidth="1"/>
    <col min="11" max="11" width="14.85546875" style="2" customWidth="1"/>
    <col min="12" max="13" width="14" style="2" customWidth="1"/>
    <col min="14" max="14" width="14.7109375" style="2" customWidth="1"/>
    <col min="15" max="15" width="22.85546875" style="76" customWidth="1"/>
    <col min="16" max="16" width="27.5703125" style="77" customWidth="1"/>
    <col min="17" max="17" width="2.7109375" style="2" customWidth="1"/>
    <col min="18" max="18" width="33" style="2" customWidth="1"/>
    <col min="19" max="19" width="9.140625" style="2"/>
    <col min="20" max="24" width="9.140625" style="80"/>
    <col min="25" max="25" width="13.85546875" style="2" customWidth="1"/>
    <col min="26" max="30" width="10.7109375" style="85" customWidth="1"/>
    <col min="31" max="16384" width="9.140625" style="2"/>
  </cols>
  <sheetData>
    <row r="2" spans="1:30" ht="21.75" x14ac:dyDescent="0.55000000000000004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1"/>
      <c r="R2" s="1"/>
      <c r="S2" s="1"/>
      <c r="Y2" s="1"/>
      <c r="Z2" s="84"/>
    </row>
    <row r="3" spans="1:30" x14ac:dyDescent="0.25">
      <c r="A3" s="98" t="s">
        <v>34</v>
      </c>
      <c r="B3" s="99"/>
      <c r="C3" s="99"/>
      <c r="D3" s="98"/>
      <c r="E3" s="98"/>
      <c r="F3" s="98"/>
      <c r="G3" s="98"/>
      <c r="H3" s="98"/>
      <c r="I3" s="98"/>
      <c r="J3" s="98"/>
      <c r="K3" s="99"/>
      <c r="L3" s="99"/>
      <c r="M3" s="99"/>
      <c r="N3" s="99"/>
      <c r="O3" s="98"/>
      <c r="P3" s="98"/>
    </row>
    <row r="4" spans="1:30" ht="21.75" x14ac:dyDescent="0.25">
      <c r="A4" s="3" t="s">
        <v>1</v>
      </c>
      <c r="B4" s="4"/>
      <c r="C4" s="4"/>
      <c r="D4" s="100">
        <v>2010</v>
      </c>
      <c r="E4" s="101"/>
      <c r="F4" s="83"/>
      <c r="G4" s="102">
        <v>2011</v>
      </c>
      <c r="H4" s="103"/>
      <c r="I4" s="108">
        <v>2012</v>
      </c>
      <c r="J4" s="103"/>
      <c r="K4" s="108">
        <v>2013</v>
      </c>
      <c r="L4" s="109"/>
      <c r="M4" s="110">
        <v>2014</v>
      </c>
      <c r="N4" s="109"/>
      <c r="O4" s="104" t="s">
        <v>6</v>
      </c>
      <c r="P4" s="5" t="s">
        <v>0</v>
      </c>
    </row>
    <row r="5" spans="1:30" s="13" customFormat="1" ht="21" x14ac:dyDescent="0.25">
      <c r="A5" s="81" t="s">
        <v>2</v>
      </c>
      <c r="B5" s="6" t="s">
        <v>7</v>
      </c>
      <c r="C5" s="6"/>
      <c r="D5" s="7" t="s">
        <v>8</v>
      </c>
      <c r="E5" s="8" t="s">
        <v>9</v>
      </c>
      <c r="F5" s="9"/>
      <c r="G5" s="10" t="s">
        <v>8</v>
      </c>
      <c r="H5" s="8" t="s">
        <v>9</v>
      </c>
      <c r="I5" s="7" t="s">
        <v>8</v>
      </c>
      <c r="J5" s="11" t="s">
        <v>9</v>
      </c>
      <c r="K5" s="7" t="s">
        <v>8</v>
      </c>
      <c r="L5" s="12" t="s">
        <v>9</v>
      </c>
      <c r="M5" s="7" t="s">
        <v>8</v>
      </c>
      <c r="N5" s="12" t="s">
        <v>9</v>
      </c>
      <c r="O5" s="105"/>
      <c r="P5" s="96" t="s">
        <v>10</v>
      </c>
      <c r="Z5" s="67"/>
      <c r="AA5" s="67"/>
      <c r="AB5" s="67"/>
      <c r="AC5" s="67"/>
      <c r="AD5" s="67"/>
    </row>
    <row r="6" spans="1:30" s="23" customFormat="1" x14ac:dyDescent="0.2">
      <c r="A6" s="14"/>
      <c r="B6" s="14"/>
      <c r="C6" s="15"/>
      <c r="D6" s="16" t="s">
        <v>11</v>
      </c>
      <c r="E6" s="17" t="s">
        <v>12</v>
      </c>
      <c r="F6" s="18"/>
      <c r="G6" s="19" t="s">
        <v>11</v>
      </c>
      <c r="H6" s="17" t="s">
        <v>12</v>
      </c>
      <c r="I6" s="20" t="s">
        <v>11</v>
      </c>
      <c r="J6" s="21" t="s">
        <v>12</v>
      </c>
      <c r="K6" s="20" t="s">
        <v>11</v>
      </c>
      <c r="L6" s="22" t="s">
        <v>12</v>
      </c>
      <c r="M6" s="20" t="s">
        <v>11</v>
      </c>
      <c r="N6" s="22" t="s">
        <v>12</v>
      </c>
      <c r="O6" s="106"/>
      <c r="P6" s="107"/>
      <c r="Z6" s="86"/>
      <c r="AA6" s="86"/>
      <c r="AB6" s="86"/>
      <c r="AC6" s="86"/>
      <c r="AD6" s="86"/>
    </row>
    <row r="7" spans="1:30" s="30" customFormat="1" ht="21.75" x14ac:dyDescent="0.2">
      <c r="A7" s="95" t="s">
        <v>13</v>
      </c>
      <c r="B7" s="24" t="s">
        <v>3</v>
      </c>
      <c r="C7" s="24"/>
      <c r="D7" s="25">
        <v>53</v>
      </c>
      <c r="E7" s="26">
        <v>22326606</v>
      </c>
      <c r="F7" s="27"/>
      <c r="G7" s="24">
        <v>202</v>
      </c>
      <c r="H7" s="26">
        <v>81778087</v>
      </c>
      <c r="I7" s="25">
        <v>96</v>
      </c>
      <c r="J7" s="27">
        <v>53959231.93</v>
      </c>
      <c r="K7" s="25">
        <v>54</v>
      </c>
      <c r="L7" s="28">
        <v>27603491.469999999</v>
      </c>
      <c r="M7" s="25">
        <v>63</v>
      </c>
      <c r="N7" s="28">
        <v>28482012</v>
      </c>
      <c r="O7" s="29" t="s">
        <v>5</v>
      </c>
      <c r="P7" s="96" t="s">
        <v>14</v>
      </c>
      <c r="Z7" s="87"/>
      <c r="AA7" s="87"/>
      <c r="AB7" s="87"/>
      <c r="AC7" s="87"/>
      <c r="AD7" s="87"/>
    </row>
    <row r="8" spans="1:30" s="30" customFormat="1" ht="43.5" x14ac:dyDescent="0.2">
      <c r="A8" s="95"/>
      <c r="B8" s="24" t="s">
        <v>15</v>
      </c>
      <c r="C8" s="24"/>
      <c r="D8" s="25">
        <v>11</v>
      </c>
      <c r="E8" s="31">
        <v>2049742</v>
      </c>
      <c r="F8" s="32"/>
      <c r="G8" s="24">
        <v>0</v>
      </c>
      <c r="H8" s="31">
        <v>0</v>
      </c>
      <c r="I8" s="25">
        <v>0</v>
      </c>
      <c r="J8" s="32">
        <v>0</v>
      </c>
      <c r="K8" s="25">
        <v>0</v>
      </c>
      <c r="L8" s="33">
        <v>0</v>
      </c>
      <c r="M8" s="25">
        <v>0</v>
      </c>
      <c r="N8" s="33">
        <v>0</v>
      </c>
      <c r="O8" s="29" t="s">
        <v>16</v>
      </c>
      <c r="P8" s="96"/>
      <c r="Z8" s="87"/>
      <c r="AA8" s="87"/>
      <c r="AB8" s="87"/>
      <c r="AC8" s="87"/>
      <c r="AD8" s="87"/>
    </row>
    <row r="9" spans="1:30" s="30" customFormat="1" ht="21.75" x14ac:dyDescent="0.55000000000000004">
      <c r="A9" s="34" t="s">
        <v>17</v>
      </c>
      <c r="B9" s="35"/>
      <c r="C9" s="35"/>
      <c r="D9" s="36">
        <v>64</v>
      </c>
      <c r="E9" s="37">
        <v>24376348</v>
      </c>
      <c r="F9" s="38"/>
      <c r="G9" s="34">
        <v>202</v>
      </c>
      <c r="H9" s="39">
        <v>81778087</v>
      </c>
      <c r="I9" s="36">
        <f t="shared" ref="I9:N9" si="0">SUM(I7:I8)</f>
        <v>96</v>
      </c>
      <c r="J9" s="40">
        <f t="shared" si="0"/>
        <v>53959231.93</v>
      </c>
      <c r="K9" s="36">
        <f t="shared" si="0"/>
        <v>54</v>
      </c>
      <c r="L9" s="41">
        <f t="shared" si="0"/>
        <v>27603491.469999999</v>
      </c>
      <c r="M9" s="36">
        <f t="shared" si="0"/>
        <v>63</v>
      </c>
      <c r="N9" s="41">
        <f t="shared" si="0"/>
        <v>28482012</v>
      </c>
      <c r="O9" s="42"/>
      <c r="P9" s="43" t="s">
        <v>18</v>
      </c>
      <c r="Z9" s="87"/>
      <c r="AA9" s="87"/>
      <c r="AB9" s="87"/>
      <c r="AC9" s="87"/>
      <c r="AD9" s="87"/>
    </row>
    <row r="10" spans="1:30" s="30" customFormat="1" ht="21.75" x14ac:dyDescent="0.2">
      <c r="A10" s="81" t="s">
        <v>19</v>
      </c>
      <c r="B10" s="24" t="s">
        <v>3</v>
      </c>
      <c r="C10" s="24"/>
      <c r="D10" s="25">
        <v>4</v>
      </c>
      <c r="E10" s="31">
        <v>4000000</v>
      </c>
      <c r="F10" s="32"/>
      <c r="G10" s="24">
        <v>11</v>
      </c>
      <c r="H10" s="31">
        <v>11000000</v>
      </c>
      <c r="I10" s="25">
        <v>4</v>
      </c>
      <c r="J10" s="32">
        <v>4000000</v>
      </c>
      <c r="K10" s="25">
        <v>1</v>
      </c>
      <c r="L10" s="33">
        <v>1000000</v>
      </c>
      <c r="M10" s="25">
        <v>1</v>
      </c>
      <c r="N10" s="33">
        <v>1000000</v>
      </c>
      <c r="O10" s="29" t="s">
        <v>5</v>
      </c>
      <c r="P10" s="82" t="s">
        <v>20</v>
      </c>
      <c r="Z10" s="87"/>
      <c r="AA10" s="87"/>
      <c r="AB10" s="87"/>
      <c r="AC10" s="87"/>
      <c r="AD10" s="87"/>
    </row>
    <row r="11" spans="1:30" s="30" customFormat="1" ht="21.75" x14ac:dyDescent="0.55000000000000004">
      <c r="A11" s="34" t="s">
        <v>17</v>
      </c>
      <c r="B11" s="35"/>
      <c r="C11" s="35"/>
      <c r="D11" s="36">
        <v>4</v>
      </c>
      <c r="E11" s="37">
        <v>4000000</v>
      </c>
      <c r="F11" s="38"/>
      <c r="G11" s="34">
        <v>11</v>
      </c>
      <c r="H11" s="37">
        <v>11000000</v>
      </c>
      <c r="I11" s="36">
        <f>SUM(I10:I10)</f>
        <v>4</v>
      </c>
      <c r="J11" s="40">
        <f>SUM(J10:J10)</f>
        <v>4000000</v>
      </c>
      <c r="K11" s="36">
        <f>SUM(K10)</f>
        <v>1</v>
      </c>
      <c r="L11" s="41">
        <f>SUM(L10)</f>
        <v>1000000</v>
      </c>
      <c r="M11" s="36">
        <v>1</v>
      </c>
      <c r="N11" s="41">
        <v>1000000</v>
      </c>
      <c r="O11" s="42"/>
      <c r="P11" s="43" t="s">
        <v>18</v>
      </c>
      <c r="Z11" s="87"/>
      <c r="AA11" s="87"/>
      <c r="AB11" s="87"/>
      <c r="AC11" s="87"/>
      <c r="AD11" s="87"/>
    </row>
    <row r="12" spans="1:30" s="30" customFormat="1" ht="21.75" x14ac:dyDescent="0.2">
      <c r="A12" s="81" t="s">
        <v>21</v>
      </c>
      <c r="B12" s="24" t="s">
        <v>3</v>
      </c>
      <c r="C12" s="24"/>
      <c r="D12" s="25">
        <v>43</v>
      </c>
      <c r="E12" s="31">
        <v>120927102</v>
      </c>
      <c r="F12" s="32"/>
      <c r="G12" s="24">
        <v>115</v>
      </c>
      <c r="H12" s="31">
        <v>280726560</v>
      </c>
      <c r="I12" s="25">
        <v>74</v>
      </c>
      <c r="J12" s="32">
        <v>142885813.94</v>
      </c>
      <c r="K12" s="25">
        <f>54+18</f>
        <v>72</v>
      </c>
      <c r="L12" s="33">
        <v>179525526.21000001</v>
      </c>
      <c r="M12" s="25">
        <v>68</v>
      </c>
      <c r="N12" s="33">
        <v>182867574.81</v>
      </c>
      <c r="O12" s="29" t="s">
        <v>33</v>
      </c>
      <c r="P12" s="82" t="s">
        <v>22</v>
      </c>
      <c r="Z12" s="87"/>
      <c r="AA12" s="87"/>
      <c r="AB12" s="87"/>
      <c r="AC12" s="87"/>
      <c r="AD12" s="87"/>
    </row>
    <row r="13" spans="1:30" s="51" customFormat="1" ht="21.75" x14ac:dyDescent="0.55000000000000004">
      <c r="A13" s="81" t="s">
        <v>17</v>
      </c>
      <c r="B13" s="81"/>
      <c r="C13" s="81"/>
      <c r="D13" s="44">
        <v>43</v>
      </c>
      <c r="E13" s="45">
        <v>120927102</v>
      </c>
      <c r="F13" s="46"/>
      <c r="G13" s="81">
        <v>115</v>
      </c>
      <c r="H13" s="45">
        <v>280726560</v>
      </c>
      <c r="I13" s="44">
        <f t="shared" ref="I13:L13" si="1">SUM(I12:I12)</f>
        <v>74</v>
      </c>
      <c r="J13" s="47">
        <f t="shared" si="1"/>
        <v>142885813.94</v>
      </c>
      <c r="K13" s="44">
        <f t="shared" si="1"/>
        <v>72</v>
      </c>
      <c r="L13" s="48">
        <f t="shared" si="1"/>
        <v>179525526.21000001</v>
      </c>
      <c r="M13" s="44">
        <v>68</v>
      </c>
      <c r="N13" s="48">
        <v>182867574.81</v>
      </c>
      <c r="O13" s="49"/>
      <c r="P13" s="50" t="s">
        <v>18</v>
      </c>
      <c r="Z13" s="88"/>
      <c r="AA13" s="88"/>
      <c r="AB13" s="88"/>
      <c r="AC13" s="88"/>
      <c r="AD13" s="88"/>
    </row>
    <row r="14" spans="1:30" s="30" customFormat="1" ht="22.5" thickBot="1" x14ac:dyDescent="0.25">
      <c r="A14" s="52" t="s">
        <v>23</v>
      </c>
      <c r="B14" s="52"/>
      <c r="C14" s="53"/>
      <c r="D14" s="54">
        <f>D9+D11+D13</f>
        <v>111</v>
      </c>
      <c r="E14" s="55">
        <f>E9+E11+E13</f>
        <v>149303450</v>
      </c>
      <c r="F14" s="56"/>
      <c r="G14" s="57">
        <f>G9+G11+G13</f>
        <v>328</v>
      </c>
      <c r="H14" s="55">
        <f>H9+H11+H13</f>
        <v>373504647</v>
      </c>
      <c r="I14" s="54">
        <f>I9+I11+I13</f>
        <v>174</v>
      </c>
      <c r="J14" s="56">
        <f>J9+J11+J13</f>
        <v>200845045.87</v>
      </c>
      <c r="K14" s="54">
        <f>+K9+K11+K13</f>
        <v>127</v>
      </c>
      <c r="L14" s="58">
        <f>L9+L11+L13</f>
        <v>208129017.68000001</v>
      </c>
      <c r="M14" s="54">
        <f>+M9+M11+M13</f>
        <v>132</v>
      </c>
      <c r="N14" s="58">
        <f>N9+N11+N13</f>
        <v>212349586.81</v>
      </c>
      <c r="O14" s="59"/>
      <c r="P14" s="60" t="s">
        <v>24</v>
      </c>
      <c r="Z14" s="87"/>
      <c r="AA14" s="87"/>
      <c r="AB14" s="87"/>
      <c r="AC14" s="87"/>
      <c r="AD14" s="87"/>
    </row>
    <row r="15" spans="1:30" s="67" customFormat="1" ht="18" thickTop="1" x14ac:dyDescent="0.25">
      <c r="A15" s="61" t="s">
        <v>25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3"/>
      <c r="P15" s="64" t="s">
        <v>26</v>
      </c>
      <c r="Q15" s="65"/>
      <c r="R15" s="65"/>
      <c r="S15" s="66"/>
    </row>
    <row r="16" spans="1:30" s="67" customFormat="1" ht="17.25" x14ac:dyDescent="0.25">
      <c r="A16" s="61" t="s">
        <v>27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/>
      <c r="P16" s="64" t="s">
        <v>28</v>
      </c>
      <c r="Q16" s="68"/>
      <c r="R16" s="68"/>
      <c r="S16" s="68"/>
      <c r="Y16" s="68"/>
    </row>
    <row r="17" spans="1:30" s="67" customFormat="1" ht="14.25" customHeight="1" x14ac:dyDescent="0.25">
      <c r="A17" s="61" t="s">
        <v>4</v>
      </c>
      <c r="B17" s="68"/>
      <c r="C17" s="68"/>
      <c r="D17" s="68"/>
      <c r="E17" s="68"/>
      <c r="F17" s="68"/>
      <c r="G17" s="68"/>
      <c r="H17" s="70"/>
      <c r="I17" s="70"/>
      <c r="J17" s="70"/>
      <c r="K17" s="70"/>
      <c r="L17" s="70"/>
      <c r="M17" s="70"/>
      <c r="N17" s="70"/>
      <c r="O17" s="69"/>
      <c r="P17" s="64" t="s">
        <v>29</v>
      </c>
      <c r="Q17" s="68"/>
      <c r="R17" s="68"/>
      <c r="S17" s="68"/>
      <c r="Y17" s="68"/>
    </row>
    <row r="18" spans="1:30" s="67" customFormat="1" ht="14.25" customHeight="1" x14ac:dyDescent="0.25">
      <c r="A18" s="61" t="s">
        <v>30</v>
      </c>
      <c r="O18" s="71"/>
      <c r="P18" s="64" t="s">
        <v>31</v>
      </c>
    </row>
    <row r="19" spans="1:30" s="73" customFormat="1" ht="15.75" customHeight="1" x14ac:dyDescent="0.2">
      <c r="A19" s="72"/>
      <c r="O19" s="74"/>
      <c r="P19" s="75"/>
      <c r="Z19" s="85"/>
      <c r="AA19" s="85"/>
      <c r="AB19" s="85"/>
      <c r="AC19" s="85"/>
      <c r="AD19" s="85"/>
    </row>
    <row r="21" spans="1:30" x14ac:dyDescent="0.25">
      <c r="Y21" s="78" t="s">
        <v>11</v>
      </c>
      <c r="Z21" s="89"/>
      <c r="AA21" s="89"/>
      <c r="AB21" s="89"/>
    </row>
    <row r="22" spans="1:30" x14ac:dyDescent="0.25">
      <c r="Y22" s="79"/>
      <c r="Z22" s="90">
        <v>2010</v>
      </c>
      <c r="AA22" s="89">
        <v>2011</v>
      </c>
      <c r="AB22" s="89">
        <v>2012</v>
      </c>
      <c r="AC22" s="85">
        <v>2013</v>
      </c>
      <c r="AD22" s="85">
        <v>2014</v>
      </c>
    </row>
    <row r="23" spans="1:30" x14ac:dyDescent="0.25">
      <c r="Y23" s="79" t="str">
        <f>A7</f>
        <v>&lt; 1 MILLION</v>
      </c>
      <c r="Z23" s="89">
        <f>D9</f>
        <v>64</v>
      </c>
      <c r="AA23" s="89">
        <f>G9</f>
        <v>202</v>
      </c>
      <c r="AB23" s="89">
        <f>I9</f>
        <v>96</v>
      </c>
      <c r="AC23" s="85">
        <f>K9</f>
        <v>54</v>
      </c>
      <c r="AD23" s="85">
        <f>M9</f>
        <v>63</v>
      </c>
    </row>
    <row r="24" spans="1:30" x14ac:dyDescent="0.25">
      <c r="Y24" s="79" t="str">
        <f>A10</f>
        <v>1 MILLION</v>
      </c>
      <c r="Z24" s="89">
        <f>D11</f>
        <v>4</v>
      </c>
      <c r="AA24" s="89">
        <f>G11</f>
        <v>11</v>
      </c>
      <c r="AB24" s="89">
        <f>I11</f>
        <v>4</v>
      </c>
      <c r="AC24" s="85">
        <f>K11</f>
        <v>1</v>
      </c>
      <c r="AD24" s="85">
        <f>M11</f>
        <v>1</v>
      </c>
    </row>
    <row r="25" spans="1:30" x14ac:dyDescent="0.25">
      <c r="Y25" s="79" t="str">
        <f>A12</f>
        <v>1 MILLION PLUS</v>
      </c>
      <c r="Z25" s="89">
        <f>D13</f>
        <v>43</v>
      </c>
      <c r="AA25" s="89">
        <f>G13</f>
        <v>115</v>
      </c>
      <c r="AB25" s="89">
        <f>I13</f>
        <v>74</v>
      </c>
      <c r="AC25" s="85">
        <f>K13</f>
        <v>72</v>
      </c>
      <c r="AD25" s="85">
        <f>M13</f>
        <v>68</v>
      </c>
    </row>
    <row r="26" spans="1:30" x14ac:dyDescent="0.25">
      <c r="Y26" s="79" t="s">
        <v>17</v>
      </c>
      <c r="Z26" s="89">
        <f>SUM(Z23:Z25)</f>
        <v>111</v>
      </c>
      <c r="AA26" s="89">
        <f t="shared" ref="AA26:AB26" si="2">SUM(AA23:AA25)</f>
        <v>328</v>
      </c>
      <c r="AB26" s="89">
        <f t="shared" si="2"/>
        <v>174</v>
      </c>
      <c r="AC26" s="85">
        <f>K14</f>
        <v>127</v>
      </c>
      <c r="AD26" s="85">
        <f>M14</f>
        <v>132</v>
      </c>
    </row>
    <row r="27" spans="1:30" x14ac:dyDescent="0.25">
      <c r="Y27" s="79"/>
      <c r="Z27" s="89"/>
      <c r="AA27" s="89"/>
      <c r="AB27" s="89"/>
    </row>
    <row r="28" spans="1:30" x14ac:dyDescent="0.25">
      <c r="Y28" s="79" t="s">
        <v>32</v>
      </c>
      <c r="Z28" s="89"/>
      <c r="AA28" s="89"/>
      <c r="AB28" s="89"/>
    </row>
    <row r="29" spans="1:30" x14ac:dyDescent="0.25">
      <c r="Y29" s="79"/>
      <c r="Z29" s="90">
        <v>2010</v>
      </c>
      <c r="AA29" s="89">
        <v>2011</v>
      </c>
      <c r="AB29" s="89">
        <v>2012</v>
      </c>
      <c r="AC29" s="85">
        <v>2013</v>
      </c>
      <c r="AD29" s="85">
        <v>2014</v>
      </c>
    </row>
    <row r="30" spans="1:30" x14ac:dyDescent="0.25">
      <c r="Y30" s="79" t="s">
        <v>13</v>
      </c>
      <c r="Z30" s="91">
        <f>E9</f>
        <v>24376348</v>
      </c>
      <c r="AA30" s="91">
        <f>H9</f>
        <v>81778087</v>
      </c>
      <c r="AB30" s="91">
        <f>J9</f>
        <v>53959231.93</v>
      </c>
      <c r="AC30" s="92">
        <f>L9</f>
        <v>27603491.469999999</v>
      </c>
      <c r="AD30" s="92">
        <f>N9</f>
        <v>28482012</v>
      </c>
    </row>
    <row r="31" spans="1:30" x14ac:dyDescent="0.25">
      <c r="Y31" s="79" t="s">
        <v>19</v>
      </c>
      <c r="Z31" s="91">
        <f>E11</f>
        <v>4000000</v>
      </c>
      <c r="AA31" s="91">
        <f>H11</f>
        <v>11000000</v>
      </c>
      <c r="AB31" s="91">
        <f>J11</f>
        <v>4000000</v>
      </c>
      <c r="AC31" s="92">
        <f>L11</f>
        <v>1000000</v>
      </c>
      <c r="AD31" s="92">
        <f>N11</f>
        <v>1000000</v>
      </c>
    </row>
    <row r="32" spans="1:30" x14ac:dyDescent="0.25">
      <c r="Y32" s="79" t="s">
        <v>21</v>
      </c>
      <c r="Z32" s="91">
        <f>E13</f>
        <v>120927102</v>
      </c>
      <c r="AA32" s="91">
        <f>H13</f>
        <v>280726560</v>
      </c>
      <c r="AB32" s="91">
        <f>J13</f>
        <v>142885813.94</v>
      </c>
      <c r="AC32" s="92">
        <f>L13</f>
        <v>179525526.21000001</v>
      </c>
      <c r="AD32" s="92">
        <f>N13</f>
        <v>182867574.81</v>
      </c>
    </row>
    <row r="33" spans="21:30" x14ac:dyDescent="0.25">
      <c r="Y33" s="79" t="s">
        <v>17</v>
      </c>
      <c r="Z33" s="91">
        <f>SUM(Z30:Z32)</f>
        <v>149303450</v>
      </c>
      <c r="AA33" s="91">
        <f t="shared" ref="AA33:AB33" si="3">SUM(AA30:AA32)</f>
        <v>373504647</v>
      </c>
      <c r="AB33" s="91">
        <f t="shared" si="3"/>
        <v>200845045.87</v>
      </c>
      <c r="AC33" s="92">
        <f>L14</f>
        <v>208129017.68000001</v>
      </c>
      <c r="AD33" s="92">
        <f>N14</f>
        <v>212349586.81</v>
      </c>
    </row>
    <row r="37" spans="21:30" x14ac:dyDescent="0.25">
      <c r="U37" s="77"/>
      <c r="V37" s="2"/>
      <c r="W37" s="2"/>
    </row>
    <row r="38" spans="21:30" x14ac:dyDescent="0.25">
      <c r="U38" s="77"/>
      <c r="V38" s="94" t="s">
        <v>13</v>
      </c>
      <c r="W38" s="36">
        <v>63</v>
      </c>
    </row>
    <row r="39" spans="21:30" x14ac:dyDescent="0.25">
      <c r="U39" s="77"/>
      <c r="V39" s="93" t="s">
        <v>19</v>
      </c>
      <c r="W39" s="36">
        <v>1</v>
      </c>
    </row>
    <row r="40" spans="21:30" x14ac:dyDescent="0.25">
      <c r="U40" s="77"/>
      <c r="V40" s="93" t="s">
        <v>21</v>
      </c>
      <c r="W40" s="44">
        <v>68</v>
      </c>
    </row>
    <row r="41" spans="21:30" x14ac:dyDescent="0.25">
      <c r="U41" s="77"/>
      <c r="V41" s="2"/>
      <c r="W41" s="2"/>
    </row>
  </sheetData>
  <mergeCells count="11">
    <mergeCell ref="A7:A8"/>
    <mergeCell ref="P7:P8"/>
    <mergeCell ref="A2:P2"/>
    <mergeCell ref="A3:P3"/>
    <mergeCell ref="D4:E4"/>
    <mergeCell ref="G4:H4"/>
    <mergeCell ref="O4:O6"/>
    <mergeCell ref="P5:P6"/>
    <mergeCell ref="I4:J4"/>
    <mergeCell ref="K4:L4"/>
    <mergeCell ref="M4:N4"/>
  </mergeCells>
  <pageMargins left="0.3" right="0.23" top="0.75" bottom="0.75" header="0.3" footer="0.3"/>
  <pageSetup paperSize="9" scale="60" orientation="landscape" r:id="rId1"/>
  <colBreaks count="2" manualBreakCount="2">
    <brk id="16" max="34" man="1"/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4.7</vt:lpstr>
      <vt:lpstr>'4.7'!Print_Area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2016-02-25T07:37:53Z</cp:lastPrinted>
  <dcterms:created xsi:type="dcterms:W3CDTF">2014-03-04T07:02:54Z</dcterms:created>
  <dcterms:modified xsi:type="dcterms:W3CDTF">2016-02-25T07:37:55Z</dcterms:modified>
</cp:coreProperties>
</file>