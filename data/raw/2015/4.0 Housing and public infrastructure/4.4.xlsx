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05" windowWidth="15120" windowHeight="8010" tabRatio="725"/>
  </bookViews>
  <sheets>
    <sheet name="4.4" sheetId="5" r:id="rId1"/>
  </sheets>
  <definedNames>
    <definedName name="_xlnm.Print_Area" localSheetId="0">'4.4'!$A$1:$M$34</definedName>
  </definedNames>
  <calcPr calcId="144525"/>
</workbook>
</file>

<file path=xl/calcChain.xml><?xml version="1.0" encoding="utf-8"?>
<calcChain xmlns="http://schemas.openxmlformats.org/spreadsheetml/2006/main">
  <c r="CM36" i="5" l="1"/>
  <c r="CM35" i="5"/>
  <c r="CM29" i="5"/>
  <c r="CM30" i="5"/>
  <c r="CL36" i="5" l="1"/>
  <c r="CL35" i="5"/>
  <c r="CL30" i="5"/>
  <c r="CL29" i="5"/>
  <c r="I12" i="5"/>
  <c r="H12" i="5"/>
  <c r="G12" i="5"/>
  <c r="E12" i="5"/>
  <c r="D12" i="5"/>
  <c r="C12" i="5"/>
  <c r="B12" i="5"/>
  <c r="I7" i="5"/>
  <c r="H7" i="5"/>
  <c r="G7" i="5"/>
  <c r="E7" i="5"/>
  <c r="D7" i="5"/>
  <c r="C7" i="5"/>
  <c r="B7" i="5"/>
</calcChain>
</file>

<file path=xl/sharedStrings.xml><?xml version="1.0" encoding="utf-8"?>
<sst xmlns="http://schemas.openxmlformats.org/spreadsheetml/2006/main" count="40" uniqueCount="23">
  <si>
    <t>Type</t>
  </si>
  <si>
    <t>ctwvWb</t>
  </si>
  <si>
    <t>Authorized Buildings</t>
  </si>
  <si>
    <t xml:space="preserve">                       cnwtcnwt Wviawfivedwdcauh egumurukctWrWmia</t>
  </si>
  <si>
    <t>No. of Dwellings</t>
  </si>
  <si>
    <t>udwdwa egunwtcnwt ELuairid</t>
  </si>
  <si>
    <t>Floor Area (in sqm)</t>
  </si>
  <si>
    <t>( cnurwTIm wkwa ) cnimuDob egunwt</t>
  </si>
  <si>
    <t>Residential</t>
  </si>
  <si>
    <t>ELuairid</t>
  </si>
  <si>
    <t>Non- residential</t>
  </si>
  <si>
    <t>cSwmwkcnwk cnehinehea cnUncnuLuairid</t>
  </si>
  <si>
    <t>Completed Buildings</t>
  </si>
  <si>
    <t xml:space="preserve">                               cnwtcnwt unumcnin cSokctWrWmia</t>
  </si>
  <si>
    <t>No of Dwellings</t>
  </si>
  <si>
    <t xml:space="preserve">  udwdwa egunwtcnwt ELuairid</t>
  </si>
  <si>
    <t xml:space="preserve">                        ( cnurwTIm wkwa ) cnimuDob egunwt</t>
  </si>
  <si>
    <t>iawbEhebWmunid wdcauh cSwmuruk ctWrWmiA /cliscnuawk ITis ElWm   :ctWrwfivcaed utWmUluAwm</t>
  </si>
  <si>
    <t xml:space="preserve">2014 - 2007 cnimuDob iaWdwdwa egunwtcnwt unumcnin cSokctWrWmia idwa unuvedwdcauh egumurukctWrWmia iawgElWm : 4.4 clwvWt                                                                                                                                          </t>
  </si>
  <si>
    <t>N/A</t>
  </si>
  <si>
    <t>Source: Male' City Council, Building Approval Section</t>
  </si>
  <si>
    <t>Note: N/A - Data not available</t>
  </si>
  <si>
    <t xml:space="preserve">Table 4.4 : BUILDINGS AUTHORIZED FOR CONSTRUCTION AND COMPLETED BY NUMBER AND FLOOR AREA IN MALE' 2007 - 2014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</si>
</sst>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&quot;$&quot;#,##0.00"/>
    <numFmt numFmtId="165" formatCode="_(* #,##0_);_(* \(#,##0\);_(* &quot;-&quot;??_);_(@_)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i/>
      <sz val="9"/>
      <name val="Arial"/>
      <family val="2"/>
    </font>
    <font>
      <sz val="9"/>
      <name val="A_Randhoo"/>
    </font>
    <font>
      <sz val="9"/>
      <name val="Arial"/>
      <family val="2"/>
    </font>
    <font>
      <b/>
      <sz val="11"/>
      <name val="A_Randhoo"/>
    </font>
    <font>
      <b/>
      <sz val="10"/>
      <name val="Arial"/>
      <family val="2"/>
    </font>
    <font>
      <b/>
      <sz val="9"/>
      <name val="A_Randhoo"/>
    </font>
    <font>
      <b/>
      <sz val="10"/>
      <name val="A_Randhoo"/>
    </font>
    <font>
      <b/>
      <sz val="11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9"/>
      <name val="Calibri"/>
      <family val="2"/>
    </font>
    <font>
      <b/>
      <sz val="10"/>
      <color theme="1"/>
      <name val="Calibri"/>
      <family val="2"/>
    </font>
    <font>
      <sz val="9"/>
      <name val="Calibri"/>
      <family val="2"/>
    </font>
    <font>
      <sz val="10"/>
      <color theme="1"/>
      <name val="Calibri"/>
      <family val="2"/>
    </font>
    <font>
      <i/>
      <sz val="9"/>
      <name val="Calibri"/>
      <family val="2"/>
    </font>
    <font>
      <u/>
      <sz val="10"/>
      <color indexed="12"/>
      <name val="Arial"/>
      <family val="2"/>
    </font>
    <font>
      <sz val="10"/>
      <name val="A_Randhoo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5" fontId="3" fillId="0" borderId="0"/>
    <xf numFmtId="0" fontId="2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</cellStyleXfs>
  <cellXfs count="93">
    <xf numFmtId="0" fontId="0" fillId="0" borderId="0" xfId="0"/>
    <xf numFmtId="0" fontId="8" fillId="2" borderId="1" xfId="2" applyFont="1" applyFill="1" applyBorder="1" applyAlignment="1">
      <alignment horizontal="center"/>
    </xf>
    <xf numFmtId="0" fontId="15" fillId="2" borderId="2" xfId="2" applyFont="1" applyFill="1" applyBorder="1"/>
    <xf numFmtId="165" fontId="17" fillId="2" borderId="0" xfId="1" applyNumberFormat="1" applyFont="1" applyFill="1" applyBorder="1" applyAlignment="1" applyProtection="1">
      <alignment horizontal="right" vertical="center"/>
      <protection locked="0"/>
    </xf>
    <xf numFmtId="165" fontId="17" fillId="2" borderId="0" xfId="1" applyNumberFormat="1" applyFont="1" applyFill="1" applyBorder="1" applyAlignment="1" applyProtection="1">
      <alignment vertical="center"/>
      <protection locked="0"/>
    </xf>
    <xf numFmtId="0" fontId="18" fillId="2" borderId="0" xfId="2" applyFont="1" applyFill="1" applyAlignment="1">
      <alignment horizontal="left"/>
    </xf>
    <xf numFmtId="0" fontId="4" fillId="2" borderId="0" xfId="2" applyFont="1" applyFill="1" applyAlignment="1">
      <alignment horizontal="left"/>
    </xf>
    <xf numFmtId="3" fontId="6" fillId="2" borderId="0" xfId="2" applyNumberFormat="1" applyFont="1" applyFill="1"/>
    <xf numFmtId="3" fontId="2" fillId="2" borderId="0" xfId="2" applyNumberFormat="1" applyFont="1" applyFill="1"/>
    <xf numFmtId="0" fontId="19" fillId="2" borderId="0" xfId="5" applyFill="1" applyAlignment="1" applyProtection="1"/>
    <xf numFmtId="0" fontId="2" fillId="2" borderId="0" xfId="2" applyFont="1" applyFill="1"/>
    <xf numFmtId="164" fontId="7" fillId="2" borderId="0" xfId="2" applyNumberFormat="1" applyFont="1" applyFill="1" applyAlignment="1">
      <alignment horizontal="center" vertical="center" wrapText="1"/>
    </xf>
    <xf numFmtId="3" fontId="17" fillId="2" borderId="0" xfId="2" applyNumberFormat="1" applyFont="1" applyFill="1" applyBorder="1" applyAlignment="1">
      <alignment vertical="center"/>
    </xf>
    <xf numFmtId="0" fontId="12" fillId="2" borderId="0" xfId="2" applyFont="1" applyFill="1" applyBorder="1" applyAlignment="1">
      <alignment horizontal="center"/>
    </xf>
    <xf numFmtId="0" fontId="13" fillId="2" borderId="0" xfId="2" applyFont="1" applyFill="1" applyBorder="1"/>
    <xf numFmtId="0" fontId="8" fillId="2" borderId="0" xfId="2" applyFont="1" applyFill="1" applyBorder="1" applyAlignment="1">
      <alignment horizontal="center"/>
    </xf>
    <xf numFmtId="0" fontId="2" fillId="2" borderId="0" xfId="2" applyFont="1" applyFill="1" applyBorder="1"/>
    <xf numFmtId="0" fontId="14" fillId="2" borderId="2" xfId="2" applyFont="1" applyFill="1" applyBorder="1"/>
    <xf numFmtId="0" fontId="12" fillId="2" borderId="2" xfId="2" applyFont="1" applyFill="1" applyBorder="1"/>
    <xf numFmtId="0" fontId="10" fillId="2" borderId="2" xfId="2" applyFont="1" applyFill="1" applyBorder="1" applyAlignment="1">
      <alignment horizontal="right"/>
    </xf>
    <xf numFmtId="0" fontId="10" fillId="2" borderId="0" xfId="2" applyFont="1" applyFill="1" applyBorder="1" applyAlignment="1">
      <alignment horizontal="right"/>
    </xf>
    <xf numFmtId="0" fontId="6" fillId="2" borderId="0" xfId="2" applyFont="1" applyFill="1"/>
    <xf numFmtId="0" fontId="14" fillId="2" borderId="0" xfId="2" applyFont="1" applyFill="1"/>
    <xf numFmtId="0" fontId="16" fillId="2" borderId="0" xfId="2" applyFont="1" applyFill="1"/>
    <xf numFmtId="0" fontId="10" fillId="2" borderId="0" xfId="0" applyFont="1" applyFill="1" applyBorder="1" applyAlignment="1">
      <alignment horizontal="right"/>
    </xf>
    <xf numFmtId="0" fontId="9" fillId="2" borderId="0" xfId="0" applyFont="1" applyFill="1" applyBorder="1" applyAlignment="1">
      <alignment horizontal="right"/>
    </xf>
    <xf numFmtId="3" fontId="13" fillId="2" borderId="3" xfId="0" applyNumberFormat="1" applyFont="1" applyFill="1" applyBorder="1"/>
    <xf numFmtId="0" fontId="5" fillId="2" borderId="0" xfId="2" applyFont="1" applyFill="1" applyBorder="1" applyAlignment="1">
      <alignment horizontal="right"/>
    </xf>
    <xf numFmtId="0" fontId="16" fillId="2" borderId="0" xfId="2" applyFont="1" applyFill="1" applyBorder="1" applyAlignment="1">
      <alignment horizontal="left" indent="1"/>
    </xf>
    <xf numFmtId="3" fontId="5" fillId="2" borderId="0" xfId="2" applyNumberFormat="1" applyFont="1" applyFill="1" applyBorder="1" applyAlignment="1">
      <alignment horizontal="right" indent="1"/>
    </xf>
    <xf numFmtId="0" fontId="5" fillId="2" borderId="0" xfId="2" applyFont="1" applyFill="1" applyBorder="1"/>
    <xf numFmtId="0" fontId="16" fillId="2" borderId="1" xfId="2" applyFont="1" applyFill="1" applyBorder="1" applyAlignment="1">
      <alignment horizontal="left" indent="1"/>
    </xf>
    <xf numFmtId="0" fontId="6" fillId="2" borderId="0" xfId="2" applyFont="1" applyFill="1" applyBorder="1"/>
    <xf numFmtId="165" fontId="18" fillId="2" borderId="0" xfId="4" applyNumberFormat="1" applyFont="1" applyFill="1" applyBorder="1" applyAlignment="1">
      <alignment vertical="center"/>
    </xf>
    <xf numFmtId="3" fontId="16" fillId="2" borderId="0" xfId="2" applyNumberFormat="1" applyFont="1" applyFill="1" applyBorder="1"/>
    <xf numFmtId="3" fontId="13" fillId="2" borderId="0" xfId="4" applyNumberFormat="1" applyFont="1" applyFill="1" applyBorder="1"/>
    <xf numFmtId="3" fontId="13" fillId="2" borderId="0" xfId="2" applyNumberFormat="1" applyFont="1" applyFill="1" applyBorder="1" applyAlignment="1">
      <alignment vertical="center"/>
    </xf>
    <xf numFmtId="0" fontId="5" fillId="2" borderId="0" xfId="2" applyFont="1" applyFill="1" applyAlignment="1">
      <alignment horizontal="right"/>
    </xf>
    <xf numFmtId="0" fontId="20" fillId="2" borderId="0" xfId="2" applyFont="1" applyFill="1"/>
    <xf numFmtId="165" fontId="13" fillId="2" borderId="3" xfId="4" applyNumberFormat="1" applyFont="1" applyFill="1" applyBorder="1" applyAlignment="1"/>
    <xf numFmtId="3" fontId="13" fillId="2" borderId="3" xfId="2" applyNumberFormat="1" applyFont="1" applyFill="1" applyBorder="1" applyAlignment="1">
      <alignment horizontal="right"/>
    </xf>
    <xf numFmtId="3" fontId="17" fillId="2" borderId="0" xfId="2" applyNumberFormat="1" applyFont="1" applyFill="1" applyBorder="1" applyAlignment="1">
      <alignment horizontal="right"/>
    </xf>
    <xf numFmtId="165" fontId="17" fillId="2" borderId="0" xfId="1" applyNumberFormat="1" applyFont="1" applyFill="1" applyBorder="1" applyAlignment="1" applyProtection="1">
      <alignment horizontal="right"/>
      <protection locked="0"/>
    </xf>
    <xf numFmtId="165" fontId="2" fillId="2" borderId="0" xfId="2" applyNumberFormat="1" applyFont="1" applyFill="1"/>
    <xf numFmtId="3" fontId="13" fillId="2" borderId="3" xfId="2" applyNumberFormat="1" applyFont="1" applyFill="1" applyBorder="1" applyAlignment="1"/>
    <xf numFmtId="3" fontId="17" fillId="2" borderId="0" xfId="0" applyNumberFormat="1" applyFont="1" applyFill="1" applyBorder="1"/>
    <xf numFmtId="165" fontId="17" fillId="2" borderId="0" xfId="1" applyNumberFormat="1" applyFont="1" applyFill="1" applyBorder="1" applyProtection="1">
      <protection locked="0"/>
    </xf>
    <xf numFmtId="165" fontId="13" fillId="2" borderId="1" xfId="4" applyNumberFormat="1" applyFont="1" applyFill="1" applyBorder="1" applyAlignment="1"/>
    <xf numFmtId="3" fontId="13" fillId="2" borderId="1" xfId="2" applyNumberFormat="1" applyFont="1" applyFill="1" applyBorder="1" applyAlignment="1"/>
    <xf numFmtId="3" fontId="17" fillId="2" borderId="1" xfId="2" applyNumberFormat="1" applyFont="1" applyFill="1" applyBorder="1" applyAlignment="1"/>
    <xf numFmtId="165" fontId="17" fillId="2" borderId="1" xfId="1" applyNumberFormat="1" applyFont="1" applyFill="1" applyBorder="1" applyAlignment="1" applyProtection="1">
      <protection locked="0"/>
    </xf>
    <xf numFmtId="165" fontId="2" fillId="2" borderId="1" xfId="2" applyNumberFormat="1" applyFont="1" applyFill="1" applyBorder="1"/>
    <xf numFmtId="0" fontId="12" fillId="2" borderId="2" xfId="2" applyFont="1" applyFill="1" applyBorder="1" applyAlignment="1">
      <alignment vertical="center"/>
    </xf>
    <xf numFmtId="0" fontId="15" fillId="2" borderId="2" xfId="2" applyFont="1" applyFill="1" applyBorder="1" applyAlignment="1">
      <alignment vertical="center"/>
    </xf>
    <xf numFmtId="3" fontId="22" fillId="2" borderId="3" xfId="0" applyNumberFormat="1" applyFont="1" applyFill="1" applyBorder="1" applyAlignment="1">
      <alignment vertical="center"/>
    </xf>
    <xf numFmtId="0" fontId="22" fillId="2" borderId="3" xfId="2" applyFont="1" applyFill="1" applyBorder="1" applyAlignment="1">
      <alignment horizontal="right" vertical="center"/>
    </xf>
    <xf numFmtId="0" fontId="23" fillId="2" borderId="0" xfId="2" applyFont="1" applyFill="1" applyBorder="1" applyAlignment="1">
      <alignment horizontal="right" vertical="center"/>
    </xf>
    <xf numFmtId="165" fontId="23" fillId="2" borderId="0" xfId="1" applyNumberFormat="1" applyFont="1" applyFill="1" applyBorder="1" applyAlignment="1" applyProtection="1">
      <alignment horizontal="right" vertical="center"/>
      <protection locked="0"/>
    </xf>
    <xf numFmtId="165" fontId="22" fillId="2" borderId="3" xfId="4" applyNumberFormat="1" applyFont="1" applyFill="1" applyBorder="1" applyAlignment="1">
      <alignment vertical="center"/>
    </xf>
    <xf numFmtId="3" fontId="22" fillId="2" borderId="3" xfId="2" applyNumberFormat="1" applyFont="1" applyFill="1" applyBorder="1" applyAlignment="1">
      <alignment horizontal="right" vertical="center"/>
    </xf>
    <xf numFmtId="3" fontId="23" fillId="2" borderId="0" xfId="2" applyNumberFormat="1" applyFont="1" applyFill="1" applyBorder="1" applyAlignment="1">
      <alignment horizontal="right" vertical="center"/>
    </xf>
    <xf numFmtId="3" fontId="22" fillId="2" borderId="3" xfId="2" applyNumberFormat="1" applyFont="1" applyFill="1" applyBorder="1" applyAlignment="1">
      <alignment vertical="center"/>
    </xf>
    <xf numFmtId="3" fontId="23" fillId="2" borderId="0" xfId="0" applyNumberFormat="1" applyFont="1" applyFill="1" applyBorder="1" applyAlignment="1">
      <alignment vertical="center"/>
    </xf>
    <xf numFmtId="165" fontId="23" fillId="2" borderId="0" xfId="1" applyNumberFormat="1" applyFont="1" applyFill="1" applyBorder="1" applyAlignment="1" applyProtection="1">
      <alignment vertical="center"/>
      <protection locked="0"/>
    </xf>
    <xf numFmtId="0" fontId="11" fillId="2" borderId="3" xfId="0" applyFont="1" applyFill="1" applyBorder="1" applyAlignment="1">
      <alignment horizontal="right" vertical="center"/>
    </xf>
    <xf numFmtId="3" fontId="11" fillId="2" borderId="3" xfId="0" applyNumberFormat="1" applyFont="1" applyFill="1" applyBorder="1" applyAlignment="1">
      <alignment horizontal="right" vertical="center"/>
    </xf>
    <xf numFmtId="3" fontId="21" fillId="2" borderId="0" xfId="0" applyNumberFormat="1" applyFont="1" applyFill="1" applyBorder="1" applyAlignment="1">
      <alignment horizontal="right" vertical="center"/>
    </xf>
    <xf numFmtId="165" fontId="21" fillId="2" borderId="0" xfId="1" applyNumberFormat="1" applyFont="1" applyFill="1" applyBorder="1" applyAlignment="1" applyProtection="1">
      <alignment horizontal="right" vertical="center"/>
      <protection locked="0"/>
    </xf>
    <xf numFmtId="165" fontId="22" fillId="2" borderId="1" xfId="4" applyNumberFormat="1" applyFont="1" applyFill="1" applyBorder="1" applyAlignment="1">
      <alignment vertical="center"/>
    </xf>
    <xf numFmtId="3" fontId="22" fillId="2" borderId="1" xfId="2" applyNumberFormat="1" applyFont="1" applyFill="1" applyBorder="1" applyAlignment="1">
      <alignment vertical="center"/>
    </xf>
    <xf numFmtId="3" fontId="23" fillId="2" borderId="1" xfId="2" applyNumberFormat="1" applyFont="1" applyFill="1" applyBorder="1" applyAlignment="1">
      <alignment vertical="center"/>
    </xf>
    <xf numFmtId="165" fontId="23" fillId="2" borderId="1" xfId="1" applyNumberFormat="1" applyFont="1" applyFill="1" applyBorder="1" applyAlignment="1" applyProtection="1">
      <alignment vertical="center"/>
      <protection locked="0"/>
    </xf>
    <xf numFmtId="165" fontId="23" fillId="2" borderId="1" xfId="1" applyNumberFormat="1" applyFont="1" applyFill="1" applyBorder="1" applyAlignment="1" applyProtection="1">
      <alignment horizontal="right" vertical="center"/>
      <protection locked="0"/>
    </xf>
    <xf numFmtId="0" fontId="11" fillId="2" borderId="0" xfId="2" applyFont="1" applyFill="1"/>
    <xf numFmtId="0" fontId="22" fillId="2" borderId="0" xfId="2" applyFont="1" applyFill="1"/>
    <xf numFmtId="0" fontId="22" fillId="2" borderId="0" xfId="2" applyFont="1" applyFill="1" applyBorder="1"/>
    <xf numFmtId="0" fontId="23" fillId="2" borderId="0" xfId="2" applyFont="1" applyFill="1" applyBorder="1"/>
    <xf numFmtId="0" fontId="7" fillId="2" borderId="0" xfId="0" applyFont="1" applyFill="1" applyBorder="1" applyAlignment="1">
      <alignment horizontal="right"/>
    </xf>
    <xf numFmtId="1" fontId="22" fillId="2" borderId="0" xfId="2" applyNumberFormat="1" applyFont="1" applyFill="1"/>
    <xf numFmtId="3" fontId="22" fillId="2" borderId="3" xfId="0" applyNumberFormat="1" applyFont="1" applyFill="1" applyBorder="1"/>
    <xf numFmtId="0" fontId="24" fillId="2" borderId="0" xfId="2" applyFont="1" applyFill="1" applyBorder="1" applyAlignment="1">
      <alignment horizontal="right"/>
    </xf>
    <xf numFmtId="3" fontId="22" fillId="2" borderId="0" xfId="2" applyNumberFormat="1" applyFont="1" applyFill="1"/>
    <xf numFmtId="3" fontId="22" fillId="2" borderId="3" xfId="2" applyNumberFormat="1" applyFont="1" applyFill="1" applyBorder="1"/>
    <xf numFmtId="0" fontId="22" fillId="2" borderId="0" xfId="2" applyFont="1" applyFill="1" applyBorder="1" applyAlignment="1">
      <alignment horizontal="left" indent="1"/>
    </xf>
    <xf numFmtId="3" fontId="24" fillId="2" borderId="0" xfId="2" applyNumberFormat="1" applyFont="1" applyFill="1" applyBorder="1" applyAlignment="1">
      <alignment horizontal="right" indent="1"/>
    </xf>
    <xf numFmtId="3" fontId="22" fillId="2" borderId="3" xfId="4" applyNumberFormat="1" applyFont="1" applyFill="1" applyBorder="1"/>
    <xf numFmtId="0" fontId="22" fillId="2" borderId="1" xfId="2" applyFont="1" applyFill="1" applyBorder="1" applyAlignment="1">
      <alignment horizontal="left" indent="1"/>
    </xf>
    <xf numFmtId="3" fontId="22" fillId="2" borderId="1" xfId="2" applyNumberFormat="1" applyFont="1" applyFill="1" applyBorder="1"/>
    <xf numFmtId="3" fontId="22" fillId="2" borderId="1" xfId="4" applyNumberFormat="1" applyFont="1" applyFill="1" applyBorder="1"/>
    <xf numFmtId="3" fontId="24" fillId="2" borderId="1" xfId="2" applyNumberFormat="1" applyFont="1" applyFill="1" applyBorder="1" applyAlignment="1">
      <alignment horizontal="right" indent="1"/>
    </xf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 vertical="center" wrapText="1"/>
    </xf>
    <xf numFmtId="0" fontId="11" fillId="2" borderId="0" xfId="2" applyFont="1" applyFill="1" applyBorder="1" applyAlignment="1">
      <alignment horizontal="center"/>
    </xf>
  </cellXfs>
  <cellStyles count="6">
    <cellStyle name="Comma" xfId="1" builtinId="3"/>
    <cellStyle name="Comma 2" xfId="4"/>
    <cellStyle name="Hyperlink_Housing - 3" xfId="5"/>
    <cellStyle name="Normal" xfId="0" builtinId="0"/>
    <cellStyle name="Normal 2" xfId="3"/>
    <cellStyle name="Normal_Housing - 3 2" xfId="2"/>
  </cellStyles>
  <dxfs count="0"/>
  <tableStyles count="0" defaultTableStyle="TableStyleMedium9" defaultPivotStyle="PivotStyleLight16"/>
  <colors>
    <mruColors>
      <color rgb="FFE8D1FF"/>
      <color rgb="FFE4C9FF"/>
      <color rgb="FF9400C8"/>
      <color rgb="FFCC99FF"/>
      <color rgb="FFDC7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 sz="1000" b="1" i="0" u="none" strike="noStrike" baseline="0"/>
              <a:t>Figure 4.2 : Buildings authorized for construction and buildings completed by floor area, 2007 - 2014</a:t>
            </a:r>
            <a:endParaRPr lang="en-US" sz="1000"/>
          </a:p>
        </c:rich>
      </c:tx>
      <c:layout>
        <c:manualLayout>
          <c:xMode val="edge"/>
          <c:yMode val="edge"/>
          <c:x val="0.16057454185240241"/>
          <c:y val="2.74914089347079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119510061242345"/>
          <c:y val="0.14622670493947451"/>
          <c:w val="0.86134727958411106"/>
          <c:h val="0.731227626647003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'4.4'!$CE$29</c:f>
              <c:strCache>
                <c:ptCount val="1"/>
                <c:pt idx="0">
                  <c:v>Authorized Buildings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</c:spPr>
          <c:invertIfNegative val="0"/>
          <c:cat>
            <c:numRef>
              <c:f>'4.4'!$CF$28:$CM$28</c:f>
              <c:numCache>
                <c:formatCode>General</c:formatCode>
                <c:ptCount val="8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</c:numCache>
            </c:numRef>
          </c:cat>
          <c:val>
            <c:numRef>
              <c:f>'4.4'!$CF$29:$CM$29</c:f>
              <c:numCache>
                <c:formatCode>#,##0</c:formatCode>
                <c:ptCount val="8"/>
                <c:pt idx="0" formatCode="_(* #,##0_);_(* \(#,##0\);_(* &quot;-&quot;??_);_(@_)">
                  <c:v>320813.18</c:v>
                </c:pt>
                <c:pt idx="1">
                  <c:v>408901.03999999992</c:v>
                </c:pt>
                <c:pt idx="2">
                  <c:v>309647</c:v>
                </c:pt>
                <c:pt idx="3">
                  <c:v>224560.28</c:v>
                </c:pt>
                <c:pt idx="4">
                  <c:v>236158.83000000002</c:v>
                </c:pt>
                <c:pt idx="5" formatCode="_(* #,##0_);_(* \(#,##0\);_(* &quot;-&quot;??_);_(@_)">
                  <c:v>422177</c:v>
                </c:pt>
                <c:pt idx="6" formatCode="_(* #,##0_);_(* \(#,##0\);_(* &quot;-&quot;??_);_(@_)">
                  <c:v>158327.85999999999</c:v>
                </c:pt>
                <c:pt idx="7" formatCode="_(* #,##0_);_(* \(#,##0\);_(* &quot;-&quot;??_);_(@_)">
                  <c:v>220621</c:v>
                </c:pt>
              </c:numCache>
            </c:numRef>
          </c:val>
        </c:ser>
        <c:ser>
          <c:idx val="1"/>
          <c:order val="1"/>
          <c:tx>
            <c:strRef>
              <c:f>'4.4'!$CE$30</c:f>
              <c:strCache>
                <c:ptCount val="1"/>
                <c:pt idx="0">
                  <c:v>Completed Buildings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</c:spPr>
          <c:invertIfNegative val="0"/>
          <c:cat>
            <c:numRef>
              <c:f>'4.4'!$CF$28:$CM$28</c:f>
              <c:numCache>
                <c:formatCode>General</c:formatCode>
                <c:ptCount val="8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</c:numCache>
            </c:numRef>
          </c:cat>
          <c:val>
            <c:numRef>
              <c:f>'4.4'!$CF$30:$CM$30</c:f>
              <c:numCache>
                <c:formatCode>#,##0</c:formatCode>
                <c:ptCount val="8"/>
                <c:pt idx="0" formatCode="_(* #,##0_);_(* \(#,##0\);_(* &quot;-&quot;??_);_(@_)">
                  <c:v>38212</c:v>
                </c:pt>
                <c:pt idx="1">
                  <c:v>59939.090000000004</c:v>
                </c:pt>
                <c:pt idx="2">
                  <c:v>51986</c:v>
                </c:pt>
                <c:pt idx="3">
                  <c:v>51725.04</c:v>
                </c:pt>
                <c:pt idx="4">
                  <c:v>45122.18</c:v>
                </c:pt>
                <c:pt idx="5" formatCode="_(* #,##0_);_(* \(#,##0\);_(* &quot;-&quot;??_);_(@_)">
                  <c:v>28116</c:v>
                </c:pt>
                <c:pt idx="6" formatCode="_(* #,##0_);_(* \(#,##0\);_(* &quot;-&quot;??_);_(@_)">
                  <c:v>0</c:v>
                </c:pt>
                <c:pt idx="7" formatCode="_(* #,##0_);_(* \(#,##0\);_(* &quot;-&quot;??_);_(@_)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269120"/>
        <c:axId val="43295488"/>
      </c:barChart>
      <c:catAx>
        <c:axId val="4326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43295488"/>
        <c:crosses val="autoZero"/>
        <c:auto val="1"/>
        <c:lblAlgn val="ctr"/>
        <c:lblOffset val="100"/>
        <c:noMultiLvlLbl val="0"/>
      </c:catAx>
      <c:valAx>
        <c:axId val="43295488"/>
        <c:scaling>
          <c:orientation val="minMax"/>
        </c:scaling>
        <c:delete val="0"/>
        <c:axPos val="l"/>
        <c:majorGridlines>
          <c:spPr>
            <a:ln>
              <a:solidFill>
                <a:schemeClr val="accent4">
                  <a:lumMod val="20000"/>
                  <a:lumOff val="80000"/>
                </a:schemeClr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sz="800" b="0"/>
                </a:pPr>
                <a:r>
                  <a:rPr lang="en-US" sz="800" b="0" i="0" baseline="0"/>
                  <a:t>Floor Area (in sqm)</a:t>
                </a:r>
                <a:endParaRPr lang="en-US" sz="800" b="0"/>
              </a:p>
            </c:rich>
          </c:tx>
          <c:layout>
            <c:manualLayout>
              <c:xMode val="edge"/>
              <c:yMode val="edge"/>
              <c:x val="9.1967255950361326E-3"/>
              <c:y val="5.4803510385944033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crossAx val="43269120"/>
        <c:crosses val="autoZero"/>
        <c:crossBetween val="between"/>
      </c:valAx>
      <c:spPr>
        <a:solidFill>
          <a:schemeClr val="accent4">
            <a:lumMod val="20000"/>
            <a:lumOff val="80000"/>
          </a:schemeClr>
        </a:solidFill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27674084925430831"/>
          <c:y val="0.20974516981363953"/>
          <c:w val="0.3822909113105048"/>
          <c:h val="7.8528779220323211E-2"/>
        </c:manualLayout>
      </c:layout>
      <c:overlay val="0"/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22" l="0.70000000000000062" r="0.70000000000000062" t="0.75000000000000222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1529714</xdr:colOff>
      <xdr:row>17</xdr:row>
      <xdr:rowOff>51434</xdr:rowOff>
    </xdr:from>
    <xdr:to>
      <xdr:col>12</xdr:col>
      <xdr:colOff>866774</xdr:colOff>
      <xdr:row>33</xdr:row>
      <xdr:rowOff>1904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M36"/>
  <sheetViews>
    <sheetView tabSelected="1" zoomScaleNormal="100" workbookViewId="0">
      <selection activeCell="Q8" sqref="Q8:R8"/>
    </sheetView>
  </sheetViews>
  <sheetFormatPr defaultColWidth="9.140625" defaultRowHeight="12.75" x14ac:dyDescent="0.2"/>
  <cols>
    <col min="1" max="1" width="27" style="10" customWidth="1"/>
    <col min="2" max="4" width="10.5703125" style="10" hidden="1" customWidth="1"/>
    <col min="5" max="12" width="10.5703125" style="10" customWidth="1"/>
    <col min="13" max="13" width="37.140625" style="10" customWidth="1"/>
    <col min="14" max="78" width="5.28515625" style="10" customWidth="1"/>
    <col min="79" max="82" width="9.140625" style="10"/>
    <col min="83" max="83" width="21.7109375" style="10" customWidth="1"/>
    <col min="84" max="16384" width="9.140625" style="10"/>
  </cols>
  <sheetData>
    <row r="1" spans="1:84" ht="18" x14ac:dyDescent="0.2">
      <c r="A1" s="91" t="s">
        <v>18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11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0"/>
      <c r="BF1" s="90"/>
      <c r="BG1" s="90"/>
      <c r="BH1" s="90"/>
      <c r="BI1" s="90"/>
      <c r="BJ1" s="90"/>
      <c r="BK1" s="90"/>
      <c r="BL1" s="90"/>
      <c r="BM1" s="90"/>
      <c r="BN1" s="90"/>
      <c r="BO1" s="90"/>
      <c r="BP1" s="90"/>
      <c r="BQ1" s="90"/>
      <c r="BR1" s="90"/>
      <c r="BS1" s="90"/>
      <c r="BT1" s="90"/>
      <c r="BU1" s="90"/>
      <c r="BV1" s="90"/>
      <c r="BW1" s="90"/>
      <c r="BX1" s="90"/>
      <c r="BY1" s="90"/>
      <c r="BZ1" s="90"/>
      <c r="CA1" s="11"/>
      <c r="CB1" s="11"/>
    </row>
    <row r="2" spans="1:84" s="14" customFormat="1" ht="15" x14ac:dyDescent="0.25">
      <c r="A2" s="92" t="s">
        <v>22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</row>
    <row r="3" spans="1:84" s="16" customForma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</row>
    <row r="4" spans="1:84" s="21" customFormat="1" ht="15.75" x14ac:dyDescent="0.4">
      <c r="A4" s="17" t="s">
        <v>0</v>
      </c>
      <c r="B4" s="17">
        <v>2002</v>
      </c>
      <c r="C4" s="17">
        <v>2003</v>
      </c>
      <c r="D4" s="18">
        <v>2006</v>
      </c>
      <c r="E4" s="52">
        <v>2007</v>
      </c>
      <c r="F4" s="52">
        <v>2008</v>
      </c>
      <c r="G4" s="52">
        <v>2009</v>
      </c>
      <c r="H4" s="52">
        <v>2010</v>
      </c>
      <c r="I4" s="53">
        <v>2011</v>
      </c>
      <c r="J4" s="53">
        <v>2012</v>
      </c>
      <c r="K4" s="53">
        <v>2013</v>
      </c>
      <c r="L4" s="53">
        <v>2014</v>
      </c>
      <c r="M4" s="19" t="s">
        <v>1</v>
      </c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</row>
    <row r="5" spans="1:84" s="21" customFormat="1" ht="25.5" customHeight="1" x14ac:dyDescent="0.45">
      <c r="A5" s="73" t="s">
        <v>2</v>
      </c>
      <c r="B5" s="74"/>
      <c r="C5" s="74"/>
      <c r="D5" s="75"/>
      <c r="E5" s="75"/>
      <c r="F5" s="75"/>
      <c r="G5" s="75"/>
      <c r="H5" s="75"/>
      <c r="I5" s="76"/>
      <c r="J5" s="76"/>
      <c r="K5" s="76"/>
      <c r="L5" s="76"/>
      <c r="M5" s="77" t="s">
        <v>3</v>
      </c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5"/>
      <c r="CD5" s="25"/>
    </row>
    <row r="6" spans="1:84" s="21" customFormat="1" ht="25.5" customHeight="1" x14ac:dyDescent="0.45">
      <c r="A6" s="75" t="s">
        <v>4</v>
      </c>
      <c r="B6" s="74">
        <v>452</v>
      </c>
      <c r="C6" s="78">
        <v>619</v>
      </c>
      <c r="D6" s="79">
        <v>593</v>
      </c>
      <c r="E6" s="54">
        <v>506</v>
      </c>
      <c r="F6" s="55">
        <v>504</v>
      </c>
      <c r="G6" s="55">
        <v>485</v>
      </c>
      <c r="H6" s="55">
        <v>436</v>
      </c>
      <c r="I6" s="56">
        <v>322</v>
      </c>
      <c r="J6" s="57">
        <v>273</v>
      </c>
      <c r="K6" s="57">
        <v>239</v>
      </c>
      <c r="L6" s="57">
        <v>318</v>
      </c>
      <c r="M6" s="80" t="s">
        <v>5</v>
      </c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</row>
    <row r="7" spans="1:84" s="21" customFormat="1" ht="25.5" customHeight="1" x14ac:dyDescent="0.45">
      <c r="A7" s="75" t="s">
        <v>6</v>
      </c>
      <c r="B7" s="81">
        <f>SUM(B8:B9)</f>
        <v>180738</v>
      </c>
      <c r="C7" s="81">
        <f>SUM(C8:C9)</f>
        <v>209615</v>
      </c>
      <c r="D7" s="82">
        <f>SUM(D8:D9)</f>
        <v>360446.79000000004</v>
      </c>
      <c r="E7" s="58">
        <f>SUM(E8:E9)</f>
        <v>320813.18</v>
      </c>
      <c r="F7" s="59">
        <v>408901.03999999992</v>
      </c>
      <c r="G7" s="59">
        <f>SUM(G8:G9)</f>
        <v>309647</v>
      </c>
      <c r="H7" s="59">
        <f>SUM(H8:H9)</f>
        <v>224560.28</v>
      </c>
      <c r="I7" s="60">
        <f>I8+I9</f>
        <v>236158.83000000002</v>
      </c>
      <c r="J7" s="57">
        <v>422177</v>
      </c>
      <c r="K7" s="57">
        <v>158327.85999999999</v>
      </c>
      <c r="L7" s="57">
        <v>220621</v>
      </c>
      <c r="M7" s="80" t="s">
        <v>7</v>
      </c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</row>
    <row r="8" spans="1:84" s="21" customFormat="1" ht="25.5" customHeight="1" x14ac:dyDescent="0.45">
      <c r="A8" s="83" t="s">
        <v>8</v>
      </c>
      <c r="B8" s="81">
        <v>116200</v>
      </c>
      <c r="C8" s="81">
        <v>131252</v>
      </c>
      <c r="D8" s="82">
        <v>253944.94</v>
      </c>
      <c r="E8" s="58">
        <v>235433.41</v>
      </c>
      <c r="F8" s="61">
        <v>229276.41999999998</v>
      </c>
      <c r="G8" s="61">
        <v>235860</v>
      </c>
      <c r="H8" s="54">
        <v>176826.05</v>
      </c>
      <c r="I8" s="62">
        <v>191884.39</v>
      </c>
      <c r="J8" s="63">
        <v>151841</v>
      </c>
      <c r="K8" s="63">
        <v>108237</v>
      </c>
      <c r="L8" s="63">
        <v>164560</v>
      </c>
      <c r="M8" s="84" t="s">
        <v>9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</row>
    <row r="9" spans="1:84" s="21" customFormat="1" ht="25.5" customHeight="1" x14ac:dyDescent="0.45">
      <c r="A9" s="83" t="s">
        <v>10</v>
      </c>
      <c r="B9" s="81">
        <v>64538</v>
      </c>
      <c r="C9" s="81">
        <v>78363</v>
      </c>
      <c r="D9" s="82">
        <v>106501.85</v>
      </c>
      <c r="E9" s="58">
        <v>85379.77</v>
      </c>
      <c r="F9" s="61">
        <v>179624.61999999997</v>
      </c>
      <c r="G9" s="61">
        <v>73787</v>
      </c>
      <c r="H9" s="54">
        <v>47734.23</v>
      </c>
      <c r="I9" s="62">
        <v>44274.44</v>
      </c>
      <c r="J9" s="63">
        <v>270336</v>
      </c>
      <c r="K9" s="63">
        <v>49893</v>
      </c>
      <c r="L9" s="63">
        <v>47468</v>
      </c>
      <c r="M9" s="84" t="s">
        <v>11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</row>
    <row r="10" spans="1:84" s="21" customFormat="1" ht="25.5" customHeight="1" x14ac:dyDescent="0.45">
      <c r="A10" s="73" t="s">
        <v>12</v>
      </c>
      <c r="B10" s="74"/>
      <c r="C10" s="74"/>
      <c r="D10" s="82"/>
      <c r="E10" s="58"/>
      <c r="F10" s="64"/>
      <c r="G10" s="64"/>
      <c r="H10" s="65"/>
      <c r="I10" s="66"/>
      <c r="J10" s="67"/>
      <c r="K10" s="67"/>
      <c r="L10" s="67"/>
      <c r="M10" s="77" t="s">
        <v>13</v>
      </c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5"/>
      <c r="CD10" s="25"/>
    </row>
    <row r="11" spans="1:84" s="21" customFormat="1" ht="25.5" customHeight="1" x14ac:dyDescent="0.45">
      <c r="A11" s="75" t="s">
        <v>14</v>
      </c>
      <c r="B11" s="74">
        <v>264</v>
      </c>
      <c r="C11" s="74">
        <v>175</v>
      </c>
      <c r="D11" s="82">
        <v>153</v>
      </c>
      <c r="E11" s="58">
        <v>153</v>
      </c>
      <c r="F11" s="55">
        <v>167</v>
      </c>
      <c r="G11" s="55">
        <v>175</v>
      </c>
      <c r="H11" s="59">
        <v>176</v>
      </c>
      <c r="I11" s="60">
        <v>78</v>
      </c>
      <c r="J11" s="57">
        <v>46</v>
      </c>
      <c r="K11" s="57" t="s">
        <v>19</v>
      </c>
      <c r="L11" s="57" t="s">
        <v>19</v>
      </c>
      <c r="M11" s="80" t="s">
        <v>15</v>
      </c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</row>
    <row r="12" spans="1:84" s="21" customFormat="1" ht="25.5" customHeight="1" x14ac:dyDescent="0.45">
      <c r="A12" s="75" t="s">
        <v>6</v>
      </c>
      <c r="B12" s="81">
        <f>SUM(B13:B14)</f>
        <v>52895</v>
      </c>
      <c r="C12" s="81">
        <f>SUM(C13:C14)</f>
        <v>56461</v>
      </c>
      <c r="D12" s="82">
        <f>SUM(D13:D14)</f>
        <v>58724.759999999995</v>
      </c>
      <c r="E12" s="58">
        <f>SUM(E13:E14)</f>
        <v>38212</v>
      </c>
      <c r="F12" s="59">
        <v>59939.090000000004</v>
      </c>
      <c r="G12" s="59">
        <f>G13+G14</f>
        <v>51986</v>
      </c>
      <c r="H12" s="59">
        <f>SUM(H13:H14)</f>
        <v>51725.04</v>
      </c>
      <c r="I12" s="60">
        <f>I13+I14</f>
        <v>45122.18</v>
      </c>
      <c r="J12" s="57">
        <v>28116</v>
      </c>
      <c r="K12" s="57" t="s">
        <v>19</v>
      </c>
      <c r="L12" s="57" t="s">
        <v>19</v>
      </c>
      <c r="M12" s="80" t="s">
        <v>16</v>
      </c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</row>
    <row r="13" spans="1:84" s="21" customFormat="1" ht="25.5" customHeight="1" x14ac:dyDescent="0.45">
      <c r="A13" s="83" t="s">
        <v>8</v>
      </c>
      <c r="B13" s="81">
        <v>33635</v>
      </c>
      <c r="C13" s="81">
        <v>36662</v>
      </c>
      <c r="D13" s="85">
        <v>22525.759999999998</v>
      </c>
      <c r="E13" s="58">
        <v>16811</v>
      </c>
      <c r="F13" s="61">
        <v>21444.400000000001</v>
      </c>
      <c r="G13" s="61">
        <v>26411</v>
      </c>
      <c r="H13" s="54">
        <v>27026.71</v>
      </c>
      <c r="I13" s="62">
        <v>22251.040000000001</v>
      </c>
      <c r="J13" s="63">
        <v>12556</v>
      </c>
      <c r="K13" s="57" t="s">
        <v>19</v>
      </c>
      <c r="L13" s="57" t="s">
        <v>19</v>
      </c>
      <c r="M13" s="84" t="s">
        <v>9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30"/>
    </row>
    <row r="14" spans="1:84" s="21" customFormat="1" ht="25.5" customHeight="1" x14ac:dyDescent="0.45">
      <c r="A14" s="86" t="s">
        <v>10</v>
      </c>
      <c r="B14" s="87">
        <v>19260</v>
      </c>
      <c r="C14" s="87">
        <v>19799</v>
      </c>
      <c r="D14" s="88">
        <v>36199</v>
      </c>
      <c r="E14" s="68">
        <v>21401</v>
      </c>
      <c r="F14" s="69">
        <v>38494.69</v>
      </c>
      <c r="G14" s="69">
        <v>25575</v>
      </c>
      <c r="H14" s="69">
        <v>24698.33</v>
      </c>
      <c r="I14" s="70">
        <v>22871.14</v>
      </c>
      <c r="J14" s="71">
        <v>15560</v>
      </c>
      <c r="K14" s="72" t="s">
        <v>19</v>
      </c>
      <c r="L14" s="72" t="s">
        <v>19</v>
      </c>
      <c r="M14" s="89" t="s">
        <v>11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5"/>
      <c r="CB14" s="29"/>
      <c r="CC14" s="30"/>
      <c r="CD14" s="32"/>
      <c r="CE14" s="32"/>
      <c r="CF14" s="32"/>
    </row>
    <row r="15" spans="1:84" s="21" customFormat="1" ht="15.75" x14ac:dyDescent="0.4">
      <c r="A15" s="33" t="s">
        <v>21</v>
      </c>
      <c r="B15" s="34"/>
      <c r="C15" s="34"/>
      <c r="D15" s="35"/>
      <c r="F15" s="36"/>
      <c r="G15" s="36"/>
      <c r="H15" s="36"/>
      <c r="I15" s="12"/>
      <c r="J15" s="4"/>
      <c r="K15" s="3"/>
      <c r="L15" s="3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5"/>
      <c r="CB15" s="29"/>
      <c r="CC15" s="30"/>
      <c r="CD15" s="32"/>
      <c r="CE15" s="32"/>
      <c r="CF15" s="32"/>
    </row>
    <row r="16" spans="1:84" ht="15.75" x14ac:dyDescent="0.4">
      <c r="A16" s="5" t="s">
        <v>20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37" t="s">
        <v>17</v>
      </c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  <c r="BV16" s="37"/>
      <c r="BW16" s="37"/>
      <c r="BX16" s="37"/>
      <c r="BY16" s="37"/>
      <c r="BZ16" s="37"/>
      <c r="CA16" s="5"/>
      <c r="CB16" s="37"/>
      <c r="CC16" s="32"/>
      <c r="CD16" s="21"/>
      <c r="CF16" s="37"/>
    </row>
    <row r="17" spans="1:91" ht="15.75" x14ac:dyDescent="0.4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5"/>
      <c r="CB17" s="37"/>
      <c r="CC17" s="32"/>
      <c r="CD17" s="21"/>
      <c r="CF17" s="37"/>
    </row>
    <row r="18" spans="1:91" ht="15.75" x14ac:dyDescent="0.4">
      <c r="A18" s="21"/>
      <c r="B18" s="21"/>
      <c r="C18" s="21"/>
      <c r="D18" s="7"/>
      <c r="E18" s="7"/>
      <c r="F18" s="7"/>
      <c r="G18" s="7"/>
      <c r="H18" s="7"/>
      <c r="I18" s="7"/>
      <c r="J18" s="7"/>
      <c r="K18" s="7"/>
      <c r="L18" s="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  <c r="BV18" s="37"/>
      <c r="BW18" s="37"/>
      <c r="BX18" s="37"/>
      <c r="BY18" s="37"/>
      <c r="BZ18" s="37"/>
      <c r="CA18" s="5"/>
      <c r="CB18" s="37"/>
    </row>
    <row r="19" spans="1:91" ht="15.75" x14ac:dyDescent="0.4">
      <c r="D19" s="8"/>
      <c r="E19" s="8"/>
      <c r="F19" s="8"/>
      <c r="G19" s="8"/>
      <c r="H19" s="8"/>
      <c r="I19" s="8"/>
      <c r="J19" s="8"/>
      <c r="K19" s="8"/>
      <c r="L19" s="8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  <c r="BW19" s="37"/>
      <c r="BX19" s="37"/>
      <c r="BY19" s="37"/>
      <c r="BZ19" s="37"/>
      <c r="CA19" s="37"/>
      <c r="CB19" s="37"/>
      <c r="CF19" s="37"/>
    </row>
    <row r="20" spans="1:91" ht="15.75" x14ac:dyDescent="0.4">
      <c r="D20" s="9"/>
      <c r="E20" s="9"/>
      <c r="F20" s="9"/>
      <c r="G20" s="9"/>
      <c r="H20" s="9"/>
      <c r="I20" s="9"/>
      <c r="J20" s="9"/>
      <c r="K20" s="9"/>
      <c r="L20" s="9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</row>
    <row r="21" spans="1:91" ht="15.75" x14ac:dyDescent="0.4"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F21" s="37"/>
    </row>
    <row r="23" spans="1:91" ht="15.75" x14ac:dyDescent="0.4">
      <c r="CF23" s="37"/>
    </row>
    <row r="25" spans="1:91" ht="15.75" x14ac:dyDescent="0.4">
      <c r="CF25" s="37"/>
    </row>
    <row r="28" spans="1:91" x14ac:dyDescent="0.2">
      <c r="CF28" s="18">
        <v>2007</v>
      </c>
      <c r="CG28" s="18">
        <v>2008</v>
      </c>
      <c r="CH28" s="18">
        <v>2009</v>
      </c>
      <c r="CI28" s="18">
        <v>2010</v>
      </c>
      <c r="CJ28" s="2">
        <v>2011</v>
      </c>
      <c r="CK28" s="2">
        <v>2012</v>
      </c>
      <c r="CL28" s="2">
        <v>2013</v>
      </c>
      <c r="CM28" s="2">
        <v>2014</v>
      </c>
    </row>
    <row r="29" spans="1:91" x14ac:dyDescent="0.2">
      <c r="CE29" s="23" t="s">
        <v>2</v>
      </c>
      <c r="CF29" s="39">
        <v>320813.18</v>
      </c>
      <c r="CG29" s="40">
        <v>408901.03999999992</v>
      </c>
      <c r="CH29" s="40">
        <v>309647</v>
      </c>
      <c r="CI29" s="40">
        <v>224560.28</v>
      </c>
      <c r="CJ29" s="41">
        <v>236158.83000000002</v>
      </c>
      <c r="CK29" s="42">
        <v>422177</v>
      </c>
      <c r="CL29" s="43">
        <f>K7</f>
        <v>158327.85999999999</v>
      </c>
      <c r="CM29" s="43">
        <f>L7</f>
        <v>220621</v>
      </c>
    </row>
    <row r="30" spans="1:91" x14ac:dyDescent="0.2">
      <c r="CE30" s="23" t="s">
        <v>12</v>
      </c>
      <c r="CF30" s="39">
        <v>38212</v>
      </c>
      <c r="CG30" s="40">
        <v>59939.090000000004</v>
      </c>
      <c r="CH30" s="40">
        <v>51986</v>
      </c>
      <c r="CI30" s="40">
        <v>51725.04</v>
      </c>
      <c r="CJ30" s="41">
        <v>45122.18</v>
      </c>
      <c r="CK30" s="42">
        <v>28116</v>
      </c>
      <c r="CL30" s="43" t="str">
        <f>K12</f>
        <v>N/A</v>
      </c>
      <c r="CM30" s="43" t="str">
        <f>L12</f>
        <v>N/A</v>
      </c>
    </row>
    <row r="33" spans="83:91" x14ac:dyDescent="0.2">
      <c r="CE33" s="22" t="s">
        <v>12</v>
      </c>
    </row>
    <row r="34" spans="83:91" x14ac:dyDescent="0.2">
      <c r="CF34" s="18">
        <v>2007</v>
      </c>
      <c r="CG34" s="18">
        <v>2008</v>
      </c>
      <c r="CH34" s="18">
        <v>2009</v>
      </c>
      <c r="CI34" s="18">
        <v>2010</v>
      </c>
      <c r="CJ34" s="2">
        <v>2011</v>
      </c>
      <c r="CK34" s="2">
        <v>2012</v>
      </c>
      <c r="CL34" s="2">
        <v>2013</v>
      </c>
      <c r="CM34" s="2">
        <v>2014</v>
      </c>
    </row>
    <row r="35" spans="83:91" x14ac:dyDescent="0.2">
      <c r="CE35" s="28" t="s">
        <v>8</v>
      </c>
      <c r="CF35" s="39">
        <v>16811</v>
      </c>
      <c r="CG35" s="44">
        <v>21444.400000000001</v>
      </c>
      <c r="CH35" s="44">
        <v>26411</v>
      </c>
      <c r="CI35" s="26">
        <v>27026.71</v>
      </c>
      <c r="CJ35" s="45">
        <v>22251.040000000001</v>
      </c>
      <c r="CK35" s="46">
        <v>12556</v>
      </c>
      <c r="CL35" s="43" t="str">
        <f>K13</f>
        <v>N/A</v>
      </c>
      <c r="CM35" s="43" t="str">
        <f>L13</f>
        <v>N/A</v>
      </c>
    </row>
    <row r="36" spans="83:91" x14ac:dyDescent="0.2">
      <c r="CE36" s="31" t="s">
        <v>10</v>
      </c>
      <c r="CF36" s="47">
        <v>21401</v>
      </c>
      <c r="CG36" s="48">
        <v>38494.69</v>
      </c>
      <c r="CH36" s="48">
        <v>25575</v>
      </c>
      <c r="CI36" s="48">
        <v>24698.33</v>
      </c>
      <c r="CJ36" s="49">
        <v>22871.14</v>
      </c>
      <c r="CK36" s="50">
        <v>15560</v>
      </c>
      <c r="CL36" s="51" t="str">
        <f>K14</f>
        <v>N/A</v>
      </c>
      <c r="CM36" s="51" t="str">
        <f>L14</f>
        <v>N/A</v>
      </c>
    </row>
  </sheetData>
  <mergeCells count="2">
    <mergeCell ref="A1:M1"/>
    <mergeCell ref="A2:M2"/>
  </mergeCells>
  <pageMargins left="0.7" right="0.7" top="0.75" bottom="0.75" header="0.3" footer="0.3"/>
  <pageSetup paperSize="9" scale="84" orientation="landscape" r:id="rId1"/>
  <rowBreaks count="1" manualBreakCount="1">
    <brk id="34" max="1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4.4</vt:lpstr>
      <vt:lpstr>'4.4'!Print_Area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2016-02-25T07:42:28Z</cp:lastPrinted>
  <dcterms:created xsi:type="dcterms:W3CDTF">2014-03-04T07:02:54Z</dcterms:created>
  <dcterms:modified xsi:type="dcterms:W3CDTF">2016-02-25T07:42:30Z</dcterms:modified>
</cp:coreProperties>
</file>