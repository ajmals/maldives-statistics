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60" windowHeight="11190" tabRatio="841"/>
  </bookViews>
  <sheets>
    <sheet name="6.3" sheetId="18" r:id="rId1"/>
  </sheets>
  <calcPr calcId="144525"/>
</workbook>
</file>

<file path=xl/calcChain.xml><?xml version="1.0" encoding="utf-8"?>
<calcChain xmlns="http://schemas.openxmlformats.org/spreadsheetml/2006/main">
  <c r="O10" i="18" l="1"/>
  <c r="N10" i="18"/>
  <c r="O7" i="18" l="1"/>
  <c r="N7" i="18"/>
  <c r="O6" i="18" l="1"/>
  <c r="N6" i="18"/>
  <c r="K17" i="18" l="1"/>
  <c r="J17" i="18"/>
  <c r="I17" i="18"/>
  <c r="H17" i="18"/>
  <c r="F17" i="18"/>
  <c r="E17" i="18"/>
  <c r="C17" i="18"/>
  <c r="B17" i="18"/>
  <c r="K10" i="18"/>
  <c r="J10" i="18"/>
  <c r="I10" i="18"/>
  <c r="H10" i="18"/>
  <c r="F10" i="18"/>
  <c r="E10" i="18"/>
  <c r="C10" i="18"/>
  <c r="B10" i="18"/>
  <c r="K7" i="18"/>
  <c r="J7" i="18"/>
  <c r="J6" i="18" s="1"/>
  <c r="I7" i="18"/>
  <c r="I6" i="18" s="1"/>
  <c r="H7" i="18"/>
  <c r="F7" i="18"/>
  <c r="E7" i="18"/>
  <c r="E6" i="18" s="1"/>
  <c r="C7" i="18"/>
  <c r="B7" i="18"/>
  <c r="H6" i="18" l="1"/>
  <c r="B6" i="18"/>
  <c r="F6" i="18"/>
  <c r="C6" i="18"/>
  <c r="K6" i="18"/>
</calcChain>
</file>

<file path=xl/sharedStrings.xml><?xml version="1.0" encoding="utf-8"?>
<sst xmlns="http://schemas.openxmlformats.org/spreadsheetml/2006/main" count="80" uniqueCount="62">
  <si>
    <t>Total</t>
  </si>
  <si>
    <t>-</t>
  </si>
  <si>
    <t>މަޢުލޫމާތު ދެއްވީ: މިނިސްޓްރީ އޮފް ހެލްތް</t>
  </si>
  <si>
    <t>Institutions</t>
  </si>
  <si>
    <t>Outpatients</t>
  </si>
  <si>
    <t>Inpatients</t>
  </si>
  <si>
    <t>Bed Occupancy Rate</t>
  </si>
  <si>
    <t>wlcmuj</t>
  </si>
  <si>
    <t>Hospitals  in Male'</t>
  </si>
  <si>
    <t>cawtulwTipcsoh</t>
  </si>
  <si>
    <t xml:space="preserve">    Indira Gandhi Memorial Hospital</t>
  </si>
  <si>
    <t xml:space="preserve">clwTipcsoh clwairOmem IdcnWg Wridcnia </t>
  </si>
  <si>
    <t xml:space="preserve">    Hulhumale' Hospital</t>
  </si>
  <si>
    <t xml:space="preserve">clwTipcsoh elWmuLuh </t>
  </si>
  <si>
    <t>Regional Hospitals</t>
  </si>
  <si>
    <t>cawtulWtwfcswh IdcawHwrws</t>
  </si>
  <si>
    <t>Atoll Hospitals</t>
  </si>
  <si>
    <t xml:space="preserve"> cawtulWtwfcswh uLotwa</t>
  </si>
  <si>
    <t>HA.Dhiddhoo</t>
  </si>
  <si>
    <t>Udcaid .ah</t>
  </si>
  <si>
    <t>Sh.Funadhoo</t>
  </si>
  <si>
    <t>Udwnuf .S</t>
  </si>
  <si>
    <t>N.Manadhoo</t>
  </si>
  <si>
    <t>Udwnwm .n</t>
  </si>
  <si>
    <t>B.Eydhafushi</t>
  </si>
  <si>
    <t>iSufwdEa .b</t>
  </si>
  <si>
    <t>Lh.Naifaru</t>
  </si>
  <si>
    <t>urwfiawn .L</t>
  </si>
  <si>
    <t>AA. Rasdhoo</t>
  </si>
  <si>
    <t>އއ.ރަސްދޫ</t>
  </si>
  <si>
    <t>ADh. Mahibadhoo</t>
  </si>
  <si>
    <t>Udwbihwm .da</t>
  </si>
  <si>
    <t>V.Felidhoo</t>
  </si>
  <si>
    <t>ވ. ފެލިދޫ</t>
  </si>
  <si>
    <t>F.Nilandhoo</t>
  </si>
  <si>
    <t>ފ. ނިލަންދޫ</t>
  </si>
  <si>
    <t>Dh.Kudahuvadhoo</t>
  </si>
  <si>
    <t>UdwvuhwDuk .d</t>
  </si>
  <si>
    <t>Th. Veymandoo</t>
  </si>
  <si>
    <t>UDcnwmEv .t</t>
  </si>
  <si>
    <t>Ga.Villigilli</t>
  </si>
  <si>
    <t>iligiliv .ag</t>
  </si>
  <si>
    <t>Gn.Fuahmulah</t>
  </si>
  <si>
    <t>cawlumcSwvuf .N</t>
  </si>
  <si>
    <t>ތާވަލު 6.3:  މާލެއާއި އަތޮޅުތަކުގައިވށ ސަރުކާރު ހޮސްޕިޓަލްތަކުގައި ބެލުނު ބަލިމީހުންނާއި އެނދުމަތިކުރެވުނު ބަލި މީހުން، 2010 - 2014</t>
  </si>
  <si>
    <t>Table 6.3 : OUT- PATIENT FLOW, INPATIENT FLOW AND  BED OCCUPANCY RATE OF GOVERNMENT HOSPITALS,  2010 - 2014</t>
  </si>
  <si>
    <t xml:space="preserve">Source: Ministry of Health </t>
  </si>
  <si>
    <t>13014*</t>
  </si>
  <si>
    <t>686*</t>
  </si>
  <si>
    <t>* based on 58% of (7 months) reports received from HA hosp.</t>
  </si>
  <si>
    <t>HDh. Kulhudufushi Regional Hospital</t>
  </si>
  <si>
    <t>R. Ungoofaaru Regional Hospital</t>
  </si>
  <si>
    <t>M. Muli Regional Hospital</t>
  </si>
  <si>
    <t>L. Gan Regional Hospital</t>
  </si>
  <si>
    <t>GDh. Thinadhoo , Dr. Abdul Samad Memorial Hospital</t>
  </si>
  <si>
    <t>S.Hithadhoo Regional Hospital</t>
  </si>
  <si>
    <t>ސ. ހިތަދޫ ރީޖަނަލް ހޮސްޕިޓަލް</t>
  </si>
  <si>
    <t>ގދ. ތިނަދޫ - ޑރ. ޢަބްދުއްސަމަދު މެމޯރިއަލް ހޮސްޕިޓަލް</t>
  </si>
  <si>
    <t>ލ. ގަން ރީޖަނަލް ހޮސްޕިޓަލް</t>
  </si>
  <si>
    <t>މ. މުލި ރީޖަނަލް ހޮސްޕިޓަލް</t>
  </si>
  <si>
    <t>ރ. އުނގޫފާރު ރީޖަނަލް ހޮސްޕިޓަލް</t>
  </si>
  <si>
    <t>ހދ. ކުޅުދުއްފުށި ރީޖަނަލް ހޮސްޕިޓަލް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</si>
</sst>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70" formatCode="_(* #,##0_);_(* \(#,##0\);_(* &quot;-&quot;??_);_(@_)"/>
    <numFmt numFmtId="171" formatCode="_-* #,##0.00\ _ރ_._-;_-* #,##0.00\ _ރ_.\-;_-* &quot;-&quot;??\ _ރ_._-;_-@_-"/>
    <numFmt numFmtId="172" formatCode="0.00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Faruma"/>
    </font>
    <font>
      <sz val="9"/>
      <name val="Faruma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Faruma"/>
    </font>
    <font>
      <sz val="9"/>
      <name val="Akuru-Bodu Bold"/>
      <family val="2"/>
      <charset val="2"/>
    </font>
    <font>
      <sz val="9"/>
      <name val="Win Ahamedey PRB"/>
      <family val="2"/>
    </font>
    <font>
      <b/>
      <sz val="10"/>
      <color rgb="FF000000"/>
      <name val="Calibri"/>
      <family val="2"/>
      <scheme val="minor"/>
    </font>
    <font>
      <b/>
      <sz val="11"/>
      <name val="A_Randhoo"/>
    </font>
    <font>
      <sz val="10"/>
      <color rgb="FF000000"/>
      <name val="Calibri"/>
      <family val="2"/>
      <scheme val="minor"/>
    </font>
    <font>
      <sz val="11"/>
      <name val="A_Randhoo"/>
    </font>
    <font>
      <sz val="11"/>
      <name val="A_Reethi"/>
    </font>
    <font>
      <b/>
      <sz val="10"/>
      <name val="A_Ilham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rgb="FFFF0000"/>
      <name val="Arial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Farum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2" fillId="0" borderId="0"/>
    <xf numFmtId="171" fontId="26" fillId="0" borderId="0" applyFont="0" applyFill="0" applyBorder="0" applyAlignment="0" applyProtection="0"/>
    <xf numFmtId="0" fontId="26" fillId="0" borderId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20" borderId="0" applyNumberFormat="0" applyBorder="0" applyAlignment="0" applyProtection="0"/>
    <xf numFmtId="0" fontId="32" fillId="4" borderId="0" applyNumberFormat="0" applyBorder="0" applyAlignment="0" applyProtection="0"/>
    <xf numFmtId="0" fontId="33" fillId="21" borderId="16" applyNumberFormat="0" applyAlignment="0" applyProtection="0"/>
    <xf numFmtId="0" fontId="34" fillId="22" borderId="17" applyNumberFormat="0" applyAlignment="0" applyProtection="0"/>
    <xf numFmtId="40" fontId="28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5" borderId="0" applyNumberFormat="0" applyBorder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40" fillId="8" borderId="16" applyNumberFormat="0" applyAlignment="0" applyProtection="0"/>
    <xf numFmtId="0" fontId="41" fillId="0" borderId="21" applyNumberFormat="0" applyFill="0" applyAlignment="0" applyProtection="0"/>
    <xf numFmtId="0" fontId="42" fillId="23" borderId="0" applyNumberFormat="0" applyBorder="0" applyAlignment="0" applyProtection="0"/>
    <xf numFmtId="172" fontId="29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164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30" fillId="24" borderId="22" applyNumberFormat="0" applyFont="0" applyAlignment="0" applyProtection="0"/>
    <xf numFmtId="0" fontId="43" fillId="21" borderId="23" applyNumberFormat="0" applyAlignment="0" applyProtection="0"/>
    <xf numFmtId="9" fontId="2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24" applyNumberFormat="0" applyFill="0" applyAlignment="0" applyProtection="0"/>
    <xf numFmtId="0" fontId="45" fillId="0" borderId="0" applyNumberFormat="0" applyFill="0" applyBorder="0" applyAlignment="0" applyProtection="0"/>
  </cellStyleXfs>
  <cellXfs count="64">
    <xf numFmtId="0" fontId="0" fillId="0" borderId="0" xfId="0"/>
    <xf numFmtId="164" fontId="4" fillId="2" borderId="1" xfId="0" applyNumberFormat="1" applyFont="1" applyFill="1" applyBorder="1" applyAlignment="1">
      <alignment vertical="center"/>
    </xf>
    <xf numFmtId="164" fontId="14" fillId="0" borderId="1" xfId="0" applyNumberFormat="1" applyFont="1" applyFill="1" applyBorder="1"/>
    <xf numFmtId="0" fontId="3" fillId="0" borderId="1" xfId="0" applyNumberFormat="1" applyFont="1" applyFill="1" applyBorder="1"/>
    <xf numFmtId="0" fontId="8" fillId="0" borderId="1" xfId="0" applyNumberFormat="1" applyFont="1" applyFill="1" applyBorder="1" applyAlignment="1" applyProtection="1">
      <alignment horizontal="left" vertical="center" wrapText="1"/>
    </xf>
    <xf numFmtId="164" fontId="11" fillId="2" borderId="3" xfId="0" applyNumberFormat="1" applyFont="1" applyFill="1" applyBorder="1" applyAlignment="1" applyProtection="1">
      <alignment horizontal="center" vertical="center"/>
    </xf>
    <xf numFmtId="164" fontId="12" fillId="2" borderId="1" xfId="0" applyNumberFormat="1" applyFont="1" applyFill="1" applyBorder="1"/>
    <xf numFmtId="0" fontId="7" fillId="0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/>
    <xf numFmtId="164" fontId="5" fillId="2" borderId="1" xfId="0" applyNumberFormat="1" applyFont="1" applyFill="1" applyBorder="1" applyAlignment="1" applyProtection="1">
      <alignment horizontal="left" vertical="center"/>
    </xf>
    <xf numFmtId="38" fontId="5" fillId="2" borderId="1" xfId="1" applyNumberFormat="1" applyFont="1" applyFill="1" applyBorder="1" applyAlignment="1" applyProtection="1">
      <alignment horizontal="right" vertical="center"/>
    </xf>
    <xf numFmtId="164" fontId="11" fillId="2" borderId="10" xfId="0" applyNumberFormat="1" applyFont="1" applyFill="1" applyBorder="1" applyAlignment="1" applyProtection="1">
      <alignment horizontal="right" vertical="center"/>
    </xf>
    <xf numFmtId="164" fontId="11" fillId="2" borderId="4" xfId="0" applyNumberFormat="1" applyFont="1" applyFill="1" applyBorder="1" applyAlignment="1">
      <alignment horizontal="right" vertical="center"/>
    </xf>
    <xf numFmtId="164" fontId="11" fillId="2" borderId="12" xfId="0" applyNumberFormat="1" applyFont="1" applyFill="1" applyBorder="1" applyAlignment="1">
      <alignment horizontal="right" vertical="center" wrapText="1"/>
    </xf>
    <xf numFmtId="164" fontId="11" fillId="2" borderId="14" xfId="0" applyNumberFormat="1" applyFont="1" applyFill="1" applyBorder="1" applyAlignment="1">
      <alignment horizontal="right" vertical="center" wrapText="1"/>
    </xf>
    <xf numFmtId="164" fontId="11" fillId="2" borderId="15" xfId="0" applyNumberFormat="1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>
      <alignment horizontal="right" vertical="center" wrapText="1"/>
    </xf>
    <xf numFmtId="170" fontId="2" fillId="2" borderId="2" xfId="1" applyNumberFormat="1" applyFont="1" applyFill="1" applyBorder="1" applyAlignment="1">
      <alignment horizontal="right" vertical="center" wrapText="1"/>
    </xf>
    <xf numFmtId="170" fontId="3" fillId="2" borderId="2" xfId="1" applyNumberFormat="1" applyFont="1" applyFill="1" applyBorder="1" applyAlignment="1">
      <alignment horizontal="right" vertical="center" wrapText="1"/>
    </xf>
    <xf numFmtId="170" fontId="3" fillId="2" borderId="7" xfId="1" applyNumberFormat="1" applyFont="1" applyFill="1" applyBorder="1" applyAlignment="1">
      <alignment horizontal="right" vertical="center" wrapText="1"/>
    </xf>
    <xf numFmtId="164" fontId="11" fillId="2" borderId="9" xfId="0" applyNumberFormat="1" applyFont="1" applyFill="1" applyBorder="1" applyAlignment="1">
      <alignment horizontal="right" vertical="center" wrapText="1"/>
    </xf>
    <xf numFmtId="164" fontId="11" fillId="2" borderId="8" xfId="0" applyNumberFormat="1" applyFont="1" applyFill="1" applyBorder="1" applyAlignment="1" applyProtection="1">
      <alignment horizontal="center" vertical="center"/>
    </xf>
    <xf numFmtId="164" fontId="8" fillId="2" borderId="1" xfId="0" applyNumberFormat="1" applyFont="1" applyFill="1" applyBorder="1"/>
    <xf numFmtId="164" fontId="17" fillId="2" borderId="1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horizontal="left" vertical="center"/>
    </xf>
    <xf numFmtId="164" fontId="20" fillId="2" borderId="5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/>
    <xf numFmtId="164" fontId="10" fillId="2" borderId="1" xfId="0" applyNumberFormat="1" applyFont="1" applyFill="1" applyBorder="1" applyAlignment="1" applyProtection="1">
      <alignment horizontal="left" vertical="center"/>
    </xf>
    <xf numFmtId="164" fontId="20" fillId="2" borderId="1" xfId="0" applyNumberFormat="1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 applyProtection="1">
      <alignment vertical="center"/>
    </xf>
    <xf numFmtId="164" fontId="22" fillId="2" borderId="1" xfId="0" applyNumberFormat="1" applyFont="1" applyFill="1" applyBorder="1" applyAlignment="1">
      <alignment horizontal="right" vertical="center" indent="1"/>
    </xf>
    <xf numFmtId="164" fontId="4" fillId="2" borderId="1" xfId="0" applyNumberFormat="1" applyFont="1" applyFill="1" applyBorder="1" applyAlignment="1"/>
    <xf numFmtId="164" fontId="5" fillId="2" borderId="1" xfId="0" applyNumberFormat="1" applyFont="1" applyFill="1" applyBorder="1" applyAlignment="1" applyProtection="1">
      <alignment vertical="center"/>
    </xf>
    <xf numFmtId="164" fontId="46" fillId="2" borderId="1" xfId="0" applyNumberFormat="1" applyFont="1" applyFill="1" applyBorder="1" applyAlignment="1">
      <alignment horizontal="right" vertical="center" indent="1"/>
    </xf>
    <xf numFmtId="164" fontId="5" fillId="2" borderId="1" xfId="0" applyNumberFormat="1" applyFont="1" applyFill="1" applyBorder="1" applyAlignment="1" applyProtection="1">
      <alignment horizontal="left" vertical="center" wrapText="1"/>
    </xf>
    <xf numFmtId="164" fontId="6" fillId="2" borderId="1" xfId="0" applyNumberFormat="1" applyFont="1" applyFill="1" applyBorder="1" applyAlignment="1">
      <alignment horizontal="right" vertical="center" wrapText="1" indent="1"/>
    </xf>
    <xf numFmtId="164" fontId="5" fillId="2" borderId="1" xfId="0" applyNumberFormat="1" applyFont="1" applyFill="1" applyBorder="1" applyAlignment="1">
      <alignment horizontal="left" vertical="center"/>
    </xf>
    <xf numFmtId="164" fontId="23" fillId="2" borderId="1" xfId="0" applyNumberFormat="1" applyFont="1" applyFill="1" applyBorder="1" applyAlignment="1">
      <alignment horizontal="right" vertical="center" indent="1"/>
    </xf>
    <xf numFmtId="164" fontId="5" fillId="2" borderId="6" xfId="0" applyNumberFormat="1" applyFont="1" applyFill="1" applyBorder="1" applyAlignment="1">
      <alignment horizontal="left" vertical="center"/>
    </xf>
    <xf numFmtId="164" fontId="22" fillId="2" borderId="6" xfId="0" applyNumberFormat="1" applyFont="1" applyFill="1" applyBorder="1" applyAlignment="1">
      <alignment horizontal="right" vertical="center" indent="1"/>
    </xf>
    <xf numFmtId="0" fontId="9" fillId="2" borderId="0" xfId="0" applyFont="1" applyFill="1"/>
    <xf numFmtId="38" fontId="21" fillId="2" borderId="1" xfId="1" applyNumberFormat="1" applyFont="1" applyFill="1" applyBorder="1" applyAlignment="1">
      <alignment horizontal="right" vertical="center" wrapText="1"/>
    </xf>
    <xf numFmtId="164" fontId="21" fillId="2" borderId="1" xfId="0" applyNumberFormat="1" applyFont="1" applyFill="1" applyBorder="1" applyAlignment="1">
      <alignment horizontal="right" vertical="center" wrapText="1"/>
    </xf>
    <xf numFmtId="38" fontId="3" fillId="2" borderId="1" xfId="1" applyNumberFormat="1" applyFont="1" applyFill="1" applyBorder="1" applyAlignment="1">
      <alignment horizontal="right" vertical="center" wrapText="1"/>
    </xf>
    <xf numFmtId="38" fontId="19" fillId="2" borderId="1" xfId="1" applyNumberFormat="1" applyFont="1" applyFill="1" applyBorder="1" applyAlignment="1">
      <alignment horizontal="right" vertical="center" wrapText="1"/>
    </xf>
    <xf numFmtId="164" fontId="19" fillId="2" borderId="1" xfId="0" applyNumberFormat="1" applyFont="1" applyFill="1" applyBorder="1" applyAlignment="1">
      <alignment horizontal="right" vertical="center" wrapText="1"/>
    </xf>
    <xf numFmtId="38" fontId="2" fillId="2" borderId="1" xfId="1" applyNumberFormat="1" applyFont="1" applyFill="1" applyBorder="1" applyAlignment="1">
      <alignment horizontal="right" vertical="center" wrapText="1"/>
    </xf>
    <xf numFmtId="38" fontId="5" fillId="2" borderId="1" xfId="1" applyNumberFormat="1" applyFont="1" applyFill="1" applyBorder="1" applyAlignment="1">
      <alignment horizontal="right" vertical="center" wrapText="1"/>
    </xf>
    <xf numFmtId="38" fontId="5" fillId="2" borderId="6" xfId="1" applyNumberFormat="1" applyFont="1" applyFill="1" applyBorder="1" applyAlignment="1">
      <alignment horizontal="right" vertical="center" wrapText="1"/>
    </xf>
    <xf numFmtId="38" fontId="21" fillId="2" borderId="6" xfId="1" applyNumberFormat="1" applyFont="1" applyFill="1" applyBorder="1" applyAlignment="1">
      <alignment horizontal="right" vertical="center" wrapText="1"/>
    </xf>
    <xf numFmtId="164" fontId="21" fillId="2" borderId="6" xfId="0" applyNumberFormat="1" applyFont="1" applyFill="1" applyBorder="1" applyAlignment="1">
      <alignment horizontal="right" vertical="center" wrapText="1"/>
    </xf>
    <xf numFmtId="38" fontId="3" fillId="2" borderId="6" xfId="1" applyNumberFormat="1" applyFont="1" applyFill="1" applyBorder="1" applyAlignment="1">
      <alignment horizontal="right" vertical="center" wrapText="1"/>
    </xf>
    <xf numFmtId="164" fontId="24" fillId="2" borderId="13" xfId="0" applyNumberFormat="1" applyFont="1" applyFill="1" applyBorder="1" applyAlignment="1" applyProtection="1">
      <alignment horizontal="right" vertical="center"/>
    </xf>
    <xf numFmtId="164" fontId="24" fillId="2" borderId="12" xfId="0" applyNumberFormat="1" applyFont="1" applyFill="1" applyBorder="1" applyAlignment="1" applyProtection="1">
      <alignment horizontal="right" vertical="center"/>
    </xf>
    <xf numFmtId="164" fontId="16" fillId="2" borderId="1" xfId="0" applyNumberFormat="1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164" fontId="15" fillId="2" borderId="1" xfId="0" applyNumberFormat="1" applyFont="1" applyFill="1" applyBorder="1" applyAlignment="1" applyProtection="1">
      <alignment horizontal="center"/>
    </xf>
    <xf numFmtId="164" fontId="11" fillId="2" borderId="13" xfId="0" applyNumberFormat="1" applyFont="1" applyFill="1" applyBorder="1" applyAlignment="1" applyProtection="1">
      <alignment horizontal="left" vertical="center"/>
    </xf>
    <xf numFmtId="164" fontId="11" fillId="2" borderId="12" xfId="0" applyNumberFormat="1" applyFont="1" applyFill="1" applyBorder="1" applyAlignment="1" applyProtection="1">
      <alignment horizontal="left" vertical="center"/>
    </xf>
    <xf numFmtId="164" fontId="11" fillId="2" borderId="14" xfId="0" applyNumberFormat="1" applyFont="1" applyFill="1" applyBorder="1" applyAlignment="1" applyProtection="1">
      <alignment horizontal="center" vertical="center"/>
    </xf>
    <xf numFmtId="164" fontId="11" fillId="2" borderId="11" xfId="0" applyNumberFormat="1" applyFont="1" applyFill="1" applyBorder="1" applyAlignment="1" applyProtection="1">
      <alignment horizontal="center" vertical="center"/>
    </xf>
    <xf numFmtId="164" fontId="11" fillId="2" borderId="15" xfId="0" applyNumberFormat="1" applyFont="1" applyFill="1" applyBorder="1" applyAlignment="1" applyProtection="1">
      <alignment horizontal="center" vertical="center"/>
    </xf>
  </cellXfs>
  <cellStyles count="61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32"/>
  <sheetViews>
    <sheetView tabSelected="1" workbookViewId="0">
      <selection activeCell="W14" sqref="W14"/>
    </sheetView>
  </sheetViews>
  <sheetFormatPr defaultRowHeight="12.75"/>
  <cols>
    <col min="1" max="1" width="30.85546875" style="8" customWidth="1"/>
    <col min="2" max="2" width="13.5703125" style="6" customWidth="1"/>
    <col min="3" max="3" width="13.140625" style="6" customWidth="1"/>
    <col min="4" max="4" width="2.5703125" style="6" customWidth="1"/>
    <col min="5" max="5" width="11.85546875" style="6" customWidth="1"/>
    <col min="6" max="6" width="10.140625" style="8" customWidth="1"/>
    <col min="7" max="7" width="2.5703125" style="6" customWidth="1"/>
    <col min="8" max="8" width="11.85546875" style="6" customWidth="1"/>
    <col min="9" max="9" width="10.140625" style="8" customWidth="1"/>
    <col min="10" max="10" width="11.85546875" style="6" hidden="1" customWidth="1"/>
    <col min="11" max="11" width="10.140625" style="8" hidden="1" customWidth="1"/>
    <col min="12" max="12" width="0.42578125" style="8" hidden="1" customWidth="1"/>
    <col min="13" max="13" width="1.140625" style="8" customWidth="1"/>
    <col min="14" max="14" width="11.85546875" style="6" bestFit="1" customWidth="1"/>
    <col min="15" max="15" width="10.140625" style="8" customWidth="1"/>
    <col min="16" max="16" width="14.28515625" style="8" hidden="1" customWidth="1"/>
    <col min="17" max="17" width="37.42578125" style="8" customWidth="1"/>
    <col min="18" max="18" width="19.7109375" style="8" customWidth="1"/>
    <col min="19" max="16384" width="9.140625" style="8"/>
  </cols>
  <sheetData>
    <row r="1" spans="1:18" ht="24.75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8" s="1" customFormat="1" ht="14.25" customHeight="1">
      <c r="A2" s="58" t="s">
        <v>45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23"/>
    </row>
    <row r="3" spans="1:18" s="1" customFormat="1" ht="3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4"/>
    </row>
    <row r="4" spans="1:18" s="1" customFormat="1" ht="19.5" customHeight="1">
      <c r="A4" s="59" t="s">
        <v>3</v>
      </c>
      <c r="B4" s="61">
        <v>2010</v>
      </c>
      <c r="C4" s="62"/>
      <c r="D4" s="11"/>
      <c r="E4" s="61">
        <v>2011</v>
      </c>
      <c r="F4" s="62"/>
      <c r="G4" s="11"/>
      <c r="H4" s="61">
        <v>2012</v>
      </c>
      <c r="I4" s="62"/>
      <c r="J4" s="61">
        <v>2013</v>
      </c>
      <c r="K4" s="62"/>
      <c r="L4" s="62"/>
      <c r="M4" s="21"/>
      <c r="N4" s="62">
        <v>2014</v>
      </c>
      <c r="O4" s="62"/>
      <c r="P4" s="63"/>
      <c r="Q4" s="54" t="s">
        <v>9</v>
      </c>
    </row>
    <row r="5" spans="1:18" s="1" customFormat="1" ht="18" customHeight="1">
      <c r="A5" s="60"/>
      <c r="B5" s="12" t="s">
        <v>4</v>
      </c>
      <c r="C5" s="12" t="s">
        <v>5</v>
      </c>
      <c r="D5" s="13"/>
      <c r="E5" s="12" t="s">
        <v>4</v>
      </c>
      <c r="F5" s="12" t="s">
        <v>5</v>
      </c>
      <c r="G5" s="13"/>
      <c r="H5" s="12" t="s">
        <v>4</v>
      </c>
      <c r="I5" s="12" t="s">
        <v>5</v>
      </c>
      <c r="J5" s="12" t="s">
        <v>4</v>
      </c>
      <c r="K5" s="12" t="s">
        <v>5</v>
      </c>
      <c r="L5" s="14" t="s">
        <v>6</v>
      </c>
      <c r="M5" s="20"/>
      <c r="N5" s="15" t="s">
        <v>4</v>
      </c>
      <c r="O5" s="12" t="s">
        <v>5</v>
      </c>
      <c r="P5" s="16" t="s">
        <v>6</v>
      </c>
      <c r="Q5" s="55"/>
      <c r="R5" s="25"/>
    </row>
    <row r="6" spans="1:18" s="28" customFormat="1" ht="23.25" customHeight="1">
      <c r="A6" s="26" t="s">
        <v>0</v>
      </c>
      <c r="B6" s="46">
        <f>B7+B10+B17</f>
        <v>684311</v>
      </c>
      <c r="C6" s="46">
        <f>C7+C10+C17</f>
        <v>36353</v>
      </c>
      <c r="D6" s="47"/>
      <c r="E6" s="46">
        <f>E7+E10+E17</f>
        <v>762337</v>
      </c>
      <c r="F6" s="46">
        <f>F7+F10+F17</f>
        <v>38275</v>
      </c>
      <c r="G6" s="47"/>
      <c r="H6" s="46">
        <f>H7+H10+H17</f>
        <v>741594</v>
      </c>
      <c r="I6" s="46">
        <f>I7+I10+I17</f>
        <v>35909</v>
      </c>
      <c r="J6" s="46">
        <f>J7+J10+J17</f>
        <v>0</v>
      </c>
      <c r="K6" s="46">
        <f>K7+K10+K17</f>
        <v>0</v>
      </c>
      <c r="L6" s="17" t="s">
        <v>1</v>
      </c>
      <c r="M6" s="17"/>
      <c r="N6" s="46">
        <f>N7+N10+N17</f>
        <v>881779</v>
      </c>
      <c r="O6" s="46">
        <f>O7+O10+O17</f>
        <v>31976</v>
      </c>
      <c r="P6" s="17" t="s">
        <v>1</v>
      </c>
      <c r="Q6" s="27" t="s">
        <v>7</v>
      </c>
    </row>
    <row r="7" spans="1:18" s="28" customFormat="1" ht="23.25" customHeight="1">
      <c r="A7" s="29" t="s">
        <v>8</v>
      </c>
      <c r="B7" s="46">
        <f>SUM(B8:B9)</f>
        <v>285230</v>
      </c>
      <c r="C7" s="46">
        <f>SUM(C8:C9)</f>
        <v>16084</v>
      </c>
      <c r="D7" s="47"/>
      <c r="E7" s="46">
        <f>SUM(E8:E9)</f>
        <v>333115</v>
      </c>
      <c r="F7" s="46">
        <f>SUM(F8:F9)</f>
        <v>15364</v>
      </c>
      <c r="G7" s="47"/>
      <c r="H7" s="46">
        <f>SUM(H8:H9)</f>
        <v>309904</v>
      </c>
      <c r="I7" s="46">
        <f>SUM(I8:I9)</f>
        <v>15269</v>
      </c>
      <c r="J7" s="46">
        <f>SUM(J8:J9)</f>
        <v>0</v>
      </c>
      <c r="K7" s="46">
        <f>SUM(K8:K9)</f>
        <v>0</v>
      </c>
      <c r="L7" s="17" t="s">
        <v>1</v>
      </c>
      <c r="M7" s="17"/>
      <c r="N7" s="46">
        <f>SUM(N8:N9)</f>
        <v>380184</v>
      </c>
      <c r="O7" s="46">
        <f>SUM(O8:O9)</f>
        <v>13788</v>
      </c>
      <c r="P7" s="17" t="s">
        <v>1</v>
      </c>
      <c r="Q7" s="30" t="s">
        <v>9</v>
      </c>
    </row>
    <row r="8" spans="1:18" s="33" customFormat="1" ht="23.25" customHeight="1">
      <c r="A8" s="31" t="s">
        <v>10</v>
      </c>
      <c r="B8" s="43">
        <v>263369</v>
      </c>
      <c r="C8" s="43">
        <v>13568</v>
      </c>
      <c r="D8" s="44"/>
      <c r="E8" s="45">
        <v>284462</v>
      </c>
      <c r="F8" s="45">
        <v>13996</v>
      </c>
      <c r="G8" s="44"/>
      <c r="H8" s="45">
        <v>268237</v>
      </c>
      <c r="I8" s="45">
        <v>13935</v>
      </c>
      <c r="J8" s="45"/>
      <c r="K8" s="45"/>
      <c r="L8" s="18"/>
      <c r="M8" s="18"/>
      <c r="N8" s="45">
        <v>292563</v>
      </c>
      <c r="O8" s="45">
        <v>12590</v>
      </c>
      <c r="P8" s="18"/>
      <c r="Q8" s="32" t="s">
        <v>11</v>
      </c>
    </row>
    <row r="9" spans="1:18" s="33" customFormat="1" ht="23.25" customHeight="1">
      <c r="A9" s="34" t="s">
        <v>12</v>
      </c>
      <c r="B9" s="43">
        <v>21861</v>
      </c>
      <c r="C9" s="43">
        <v>2516</v>
      </c>
      <c r="D9" s="44"/>
      <c r="E9" s="45">
        <v>48653</v>
      </c>
      <c r="F9" s="45">
        <v>1368</v>
      </c>
      <c r="G9" s="44"/>
      <c r="H9" s="45">
        <v>41667</v>
      </c>
      <c r="I9" s="45">
        <v>1334</v>
      </c>
      <c r="J9" s="45"/>
      <c r="K9" s="45"/>
      <c r="L9" s="18"/>
      <c r="M9" s="18"/>
      <c r="N9" s="45">
        <v>87621</v>
      </c>
      <c r="O9" s="45">
        <v>1198</v>
      </c>
      <c r="P9" s="18"/>
      <c r="Q9" s="32" t="s">
        <v>13</v>
      </c>
    </row>
    <row r="10" spans="1:18" s="28" customFormat="1" ht="23.25" customHeight="1">
      <c r="A10" s="29" t="s">
        <v>14</v>
      </c>
      <c r="B10" s="46">
        <f>SUM(B11:B16)</f>
        <v>193664</v>
      </c>
      <c r="C10" s="46">
        <f>SUM(C11:C16)</f>
        <v>11418</v>
      </c>
      <c r="D10" s="47"/>
      <c r="E10" s="48">
        <f>SUM(E11:E16)</f>
        <v>216250</v>
      </c>
      <c r="F10" s="48">
        <f>SUM(F11:F16)</f>
        <v>13290</v>
      </c>
      <c r="G10" s="47"/>
      <c r="H10" s="48">
        <f>SUM(H11:H16)</f>
        <v>216047</v>
      </c>
      <c r="I10" s="48">
        <f>SUM(I11:I16)</f>
        <v>11523</v>
      </c>
      <c r="J10" s="48">
        <f>SUM(J11:J16)</f>
        <v>0</v>
      </c>
      <c r="K10" s="48">
        <f>SUM(K11:K16)</f>
        <v>0</v>
      </c>
      <c r="L10" s="17" t="s">
        <v>1</v>
      </c>
      <c r="M10" s="17"/>
      <c r="N10" s="48">
        <f>SUM(N11:N16)</f>
        <v>270091</v>
      </c>
      <c r="O10" s="48">
        <f>SUM(O11:O16)</f>
        <v>10008</v>
      </c>
      <c r="P10" s="17" t="s">
        <v>1</v>
      </c>
      <c r="Q10" s="30" t="s">
        <v>15</v>
      </c>
    </row>
    <row r="11" spans="1:18" s="33" customFormat="1" ht="23.25" customHeight="1">
      <c r="A11" s="9" t="s">
        <v>50</v>
      </c>
      <c r="B11" s="43">
        <v>48605</v>
      </c>
      <c r="C11" s="43">
        <v>2620</v>
      </c>
      <c r="D11" s="44"/>
      <c r="E11" s="10">
        <v>48357</v>
      </c>
      <c r="F11" s="45">
        <v>2911</v>
      </c>
      <c r="G11" s="44"/>
      <c r="H11" s="10">
        <v>58672</v>
      </c>
      <c r="I11" s="45">
        <v>3586</v>
      </c>
      <c r="J11" s="10"/>
      <c r="K11" s="45"/>
      <c r="L11" s="18"/>
      <c r="M11" s="18"/>
      <c r="N11" s="10">
        <v>72498</v>
      </c>
      <c r="O11" s="45">
        <v>2456</v>
      </c>
      <c r="P11" s="18">
        <v>52</v>
      </c>
      <c r="Q11" s="35" t="s">
        <v>61</v>
      </c>
    </row>
    <row r="12" spans="1:18" s="33" customFormat="1" ht="23.25" customHeight="1">
      <c r="A12" s="9" t="s">
        <v>51</v>
      </c>
      <c r="B12" s="43">
        <v>23413</v>
      </c>
      <c r="C12" s="43">
        <v>1317</v>
      </c>
      <c r="D12" s="44"/>
      <c r="E12" s="10">
        <v>34017</v>
      </c>
      <c r="F12" s="45">
        <v>1444</v>
      </c>
      <c r="G12" s="44"/>
      <c r="H12" s="10">
        <v>34599</v>
      </c>
      <c r="I12" s="45">
        <v>1206</v>
      </c>
      <c r="J12" s="10"/>
      <c r="K12" s="45"/>
      <c r="L12" s="18"/>
      <c r="M12" s="18"/>
      <c r="N12" s="10">
        <v>41618</v>
      </c>
      <c r="O12" s="45">
        <v>1232</v>
      </c>
      <c r="P12" s="18">
        <v>24</v>
      </c>
      <c r="Q12" s="35" t="s">
        <v>60</v>
      </c>
    </row>
    <row r="13" spans="1:18" s="33" customFormat="1" ht="23.25" customHeight="1">
      <c r="A13" s="9" t="s">
        <v>52</v>
      </c>
      <c r="B13" s="43">
        <v>12814</v>
      </c>
      <c r="C13" s="43">
        <v>396</v>
      </c>
      <c r="D13" s="44"/>
      <c r="E13" s="45">
        <v>12752</v>
      </c>
      <c r="F13" s="45">
        <v>411</v>
      </c>
      <c r="G13" s="44"/>
      <c r="H13" s="45">
        <v>10399</v>
      </c>
      <c r="I13" s="45">
        <v>334</v>
      </c>
      <c r="J13" s="45"/>
      <c r="K13" s="45"/>
      <c r="L13" s="18"/>
      <c r="M13" s="18"/>
      <c r="N13" s="10">
        <v>15850</v>
      </c>
      <c r="O13" s="45">
        <v>628</v>
      </c>
      <c r="P13" s="18"/>
      <c r="Q13" s="35" t="s">
        <v>59</v>
      </c>
    </row>
    <row r="14" spans="1:18" s="33" customFormat="1" ht="23.25" customHeight="1">
      <c r="A14" s="9" t="s">
        <v>53</v>
      </c>
      <c r="B14" s="43">
        <v>29093</v>
      </c>
      <c r="C14" s="43">
        <v>1481</v>
      </c>
      <c r="D14" s="44"/>
      <c r="E14" s="45">
        <v>31908</v>
      </c>
      <c r="F14" s="45">
        <v>2303</v>
      </c>
      <c r="G14" s="44"/>
      <c r="H14" s="45">
        <v>27761</v>
      </c>
      <c r="I14" s="45">
        <v>1526</v>
      </c>
      <c r="J14" s="45"/>
      <c r="K14" s="45"/>
      <c r="L14" s="18"/>
      <c r="M14" s="18"/>
      <c r="N14" s="10">
        <v>35038</v>
      </c>
      <c r="O14" s="45">
        <v>1264</v>
      </c>
      <c r="P14" s="18">
        <v>48</v>
      </c>
      <c r="Q14" s="35" t="s">
        <v>58</v>
      </c>
    </row>
    <row r="15" spans="1:18" s="33" customFormat="1" ht="27.75" customHeight="1">
      <c r="A15" s="36" t="s">
        <v>54</v>
      </c>
      <c r="B15" s="43">
        <v>34334</v>
      </c>
      <c r="C15" s="43">
        <v>2395</v>
      </c>
      <c r="D15" s="44"/>
      <c r="E15" s="45">
        <v>37430</v>
      </c>
      <c r="F15" s="45">
        <v>2649</v>
      </c>
      <c r="G15" s="44"/>
      <c r="H15" s="45">
        <v>36541</v>
      </c>
      <c r="I15" s="45">
        <v>2088</v>
      </c>
      <c r="J15" s="45"/>
      <c r="K15" s="45"/>
      <c r="L15" s="18"/>
      <c r="M15" s="18"/>
      <c r="N15" s="10">
        <v>35611</v>
      </c>
      <c r="O15" s="45">
        <v>2060</v>
      </c>
      <c r="P15" s="18"/>
      <c r="Q15" s="37" t="s">
        <v>57</v>
      </c>
    </row>
    <row r="16" spans="1:18" s="33" customFormat="1" ht="23.25" customHeight="1">
      <c r="A16" s="9" t="s">
        <v>55</v>
      </c>
      <c r="B16" s="43">
        <v>45405</v>
      </c>
      <c r="C16" s="43">
        <v>3209</v>
      </c>
      <c r="D16" s="44"/>
      <c r="E16" s="45">
        <v>51786</v>
      </c>
      <c r="F16" s="45">
        <v>3572</v>
      </c>
      <c r="G16" s="44"/>
      <c r="H16" s="45">
        <v>48075</v>
      </c>
      <c r="I16" s="45">
        <v>2783</v>
      </c>
      <c r="J16" s="45"/>
      <c r="K16" s="45"/>
      <c r="L16" s="18"/>
      <c r="M16" s="18"/>
      <c r="N16" s="10">
        <v>69476</v>
      </c>
      <c r="O16" s="45">
        <v>2368</v>
      </c>
      <c r="P16" s="18">
        <v>86</v>
      </c>
      <c r="Q16" s="35" t="s">
        <v>56</v>
      </c>
    </row>
    <row r="17" spans="1:17" s="28" customFormat="1" ht="25.5">
      <c r="A17" s="29" t="s">
        <v>16</v>
      </c>
      <c r="B17" s="46">
        <f>SUM(B18:B30)</f>
        <v>205417</v>
      </c>
      <c r="C17" s="46">
        <f>SUM(C18:C30)</f>
        <v>8851</v>
      </c>
      <c r="D17" s="47"/>
      <c r="E17" s="48">
        <f>SUM(E18:E30)</f>
        <v>212972</v>
      </c>
      <c r="F17" s="48">
        <f>SUM(F18:F30)</f>
        <v>9621</v>
      </c>
      <c r="G17" s="47"/>
      <c r="H17" s="48">
        <f>SUM(H18:H30)</f>
        <v>215643</v>
      </c>
      <c r="I17" s="48">
        <f>SUM(I18:I30)</f>
        <v>9117</v>
      </c>
      <c r="J17" s="48">
        <f>SUM(J18:J30)</f>
        <v>0</v>
      </c>
      <c r="K17" s="48">
        <f>SUM(K18:K30)</f>
        <v>0</v>
      </c>
      <c r="L17" s="17" t="s">
        <v>1</v>
      </c>
      <c r="M17" s="17"/>
      <c r="N17" s="48">
        <v>231504</v>
      </c>
      <c r="O17" s="48">
        <v>8180</v>
      </c>
      <c r="P17" s="17" t="s">
        <v>1</v>
      </c>
      <c r="Q17" s="30" t="s">
        <v>17</v>
      </c>
    </row>
    <row r="18" spans="1:17" s="33" customFormat="1" ht="24" customHeight="1">
      <c r="A18" s="9" t="s">
        <v>18</v>
      </c>
      <c r="B18" s="49">
        <v>22828</v>
      </c>
      <c r="C18" s="43">
        <v>1204</v>
      </c>
      <c r="D18" s="44"/>
      <c r="E18" s="45">
        <v>22677</v>
      </c>
      <c r="F18" s="45">
        <v>1108</v>
      </c>
      <c r="G18" s="44"/>
      <c r="H18" s="45">
        <v>19550</v>
      </c>
      <c r="I18" s="45">
        <v>823</v>
      </c>
      <c r="J18" s="45"/>
      <c r="K18" s="45"/>
      <c r="L18" s="18"/>
      <c r="M18" s="18"/>
      <c r="N18" s="45" t="s">
        <v>47</v>
      </c>
      <c r="O18" s="45" t="s">
        <v>48</v>
      </c>
      <c r="P18" s="18">
        <v>23.2</v>
      </c>
      <c r="Q18" s="32" t="s">
        <v>19</v>
      </c>
    </row>
    <row r="19" spans="1:17" s="33" customFormat="1" ht="24" customHeight="1">
      <c r="A19" s="38" t="s">
        <v>20</v>
      </c>
      <c r="B19" s="49">
        <v>10787</v>
      </c>
      <c r="C19" s="43">
        <v>238</v>
      </c>
      <c r="D19" s="44"/>
      <c r="E19" s="45">
        <v>10428</v>
      </c>
      <c r="F19" s="45">
        <v>547</v>
      </c>
      <c r="G19" s="44"/>
      <c r="H19" s="45">
        <v>11953</v>
      </c>
      <c r="I19" s="45">
        <v>398</v>
      </c>
      <c r="J19" s="45"/>
      <c r="K19" s="45"/>
      <c r="L19" s="18"/>
      <c r="M19" s="18"/>
      <c r="N19" s="45">
        <v>13941</v>
      </c>
      <c r="O19" s="45">
        <v>631</v>
      </c>
      <c r="P19" s="18">
        <v>29.75</v>
      </c>
      <c r="Q19" s="32" t="s">
        <v>21</v>
      </c>
    </row>
    <row r="20" spans="1:17" s="33" customFormat="1" ht="24" customHeight="1">
      <c r="A20" s="38" t="s">
        <v>22</v>
      </c>
      <c r="B20" s="49">
        <v>12491</v>
      </c>
      <c r="C20" s="43">
        <v>341</v>
      </c>
      <c r="D20" s="44"/>
      <c r="E20" s="45">
        <v>12476</v>
      </c>
      <c r="F20" s="45">
        <v>674</v>
      </c>
      <c r="G20" s="44"/>
      <c r="H20" s="45">
        <v>14137</v>
      </c>
      <c r="I20" s="45">
        <v>859</v>
      </c>
      <c r="J20" s="45"/>
      <c r="K20" s="45"/>
      <c r="L20" s="18"/>
      <c r="M20" s="18"/>
      <c r="N20" s="45">
        <v>14406</v>
      </c>
      <c r="O20" s="45">
        <v>431</v>
      </c>
      <c r="P20" s="18">
        <v>12.98</v>
      </c>
      <c r="Q20" s="32" t="s">
        <v>23</v>
      </c>
    </row>
    <row r="21" spans="1:17" s="33" customFormat="1" ht="24" customHeight="1">
      <c r="A21" s="38" t="s">
        <v>24</v>
      </c>
      <c r="B21" s="49">
        <v>16509</v>
      </c>
      <c r="C21" s="43">
        <v>630</v>
      </c>
      <c r="D21" s="44"/>
      <c r="E21" s="45">
        <v>17613</v>
      </c>
      <c r="F21" s="45">
        <v>648</v>
      </c>
      <c r="G21" s="44"/>
      <c r="H21" s="45">
        <v>10784</v>
      </c>
      <c r="I21" s="45">
        <v>543</v>
      </c>
      <c r="J21" s="45"/>
      <c r="K21" s="45"/>
      <c r="L21" s="18"/>
      <c r="M21" s="18"/>
      <c r="N21" s="45">
        <v>19975</v>
      </c>
      <c r="O21" s="45">
        <v>492</v>
      </c>
      <c r="P21" s="18">
        <v>18.98</v>
      </c>
      <c r="Q21" s="32" t="s">
        <v>25</v>
      </c>
    </row>
    <row r="22" spans="1:17" s="33" customFormat="1" ht="24" customHeight="1">
      <c r="A22" s="38" t="s">
        <v>26</v>
      </c>
      <c r="B22" s="49">
        <v>23481</v>
      </c>
      <c r="C22" s="43">
        <v>873</v>
      </c>
      <c r="D22" s="44"/>
      <c r="E22" s="45">
        <v>25951</v>
      </c>
      <c r="F22" s="45">
        <v>1014</v>
      </c>
      <c r="G22" s="44"/>
      <c r="H22" s="45">
        <v>28335</v>
      </c>
      <c r="I22" s="45">
        <v>1164</v>
      </c>
      <c r="J22" s="45"/>
      <c r="K22" s="45"/>
      <c r="L22" s="18"/>
      <c r="M22" s="18"/>
      <c r="N22" s="45">
        <v>32327</v>
      </c>
      <c r="O22" s="45">
        <v>996</v>
      </c>
      <c r="P22" s="18">
        <v>33.6</v>
      </c>
      <c r="Q22" s="32" t="s">
        <v>27</v>
      </c>
    </row>
    <row r="23" spans="1:17" s="33" customFormat="1" ht="24" customHeight="1">
      <c r="A23" s="38" t="s">
        <v>28</v>
      </c>
      <c r="B23" s="49">
        <v>9153</v>
      </c>
      <c r="C23" s="43">
        <v>249</v>
      </c>
      <c r="D23" s="44"/>
      <c r="E23" s="45">
        <v>6735</v>
      </c>
      <c r="F23" s="45">
        <v>221</v>
      </c>
      <c r="G23" s="44"/>
      <c r="H23" s="45">
        <v>7154</v>
      </c>
      <c r="I23" s="45">
        <v>305</v>
      </c>
      <c r="J23" s="45"/>
      <c r="K23" s="45"/>
      <c r="L23" s="18"/>
      <c r="M23" s="18"/>
      <c r="N23" s="45">
        <v>5675</v>
      </c>
      <c r="O23" s="45">
        <v>249</v>
      </c>
      <c r="P23" s="18">
        <v>9.86</v>
      </c>
      <c r="Q23" s="32" t="s">
        <v>29</v>
      </c>
    </row>
    <row r="24" spans="1:17" s="33" customFormat="1" ht="24" customHeight="1">
      <c r="A24" s="38" t="s">
        <v>30</v>
      </c>
      <c r="B24" s="49">
        <v>16165</v>
      </c>
      <c r="C24" s="43">
        <v>710</v>
      </c>
      <c r="D24" s="44"/>
      <c r="E24" s="45">
        <v>18340</v>
      </c>
      <c r="F24" s="45">
        <v>592</v>
      </c>
      <c r="G24" s="44"/>
      <c r="H24" s="45">
        <v>21169</v>
      </c>
      <c r="I24" s="45">
        <v>627</v>
      </c>
      <c r="J24" s="45"/>
      <c r="K24" s="45"/>
      <c r="L24" s="18"/>
      <c r="M24" s="18"/>
      <c r="N24" s="45">
        <v>21112</v>
      </c>
      <c r="O24" s="45">
        <v>400</v>
      </c>
      <c r="P24" s="18">
        <v>19.5</v>
      </c>
      <c r="Q24" s="32" t="s">
        <v>31</v>
      </c>
    </row>
    <row r="25" spans="1:17" s="33" customFormat="1" ht="24" customHeight="1">
      <c r="A25" s="38" t="s">
        <v>32</v>
      </c>
      <c r="B25" s="49">
        <v>5098</v>
      </c>
      <c r="C25" s="43">
        <v>195</v>
      </c>
      <c r="D25" s="44"/>
      <c r="E25" s="45">
        <v>3955</v>
      </c>
      <c r="F25" s="45">
        <v>109</v>
      </c>
      <c r="G25" s="44"/>
      <c r="H25" s="45">
        <v>2647</v>
      </c>
      <c r="I25" s="45">
        <v>75</v>
      </c>
      <c r="J25" s="45"/>
      <c r="K25" s="45"/>
      <c r="L25" s="18"/>
      <c r="M25" s="18"/>
      <c r="N25" s="45">
        <v>2918</v>
      </c>
      <c r="O25" s="45">
        <v>48</v>
      </c>
      <c r="P25" s="18">
        <v>1.51</v>
      </c>
      <c r="Q25" s="39" t="s">
        <v>33</v>
      </c>
    </row>
    <row r="26" spans="1:17" s="33" customFormat="1" ht="24" customHeight="1">
      <c r="A26" s="38" t="s">
        <v>34</v>
      </c>
      <c r="B26" s="49">
        <v>10144</v>
      </c>
      <c r="C26" s="43">
        <v>525</v>
      </c>
      <c r="D26" s="44"/>
      <c r="E26" s="45">
        <v>10110</v>
      </c>
      <c r="F26" s="45">
        <v>456</v>
      </c>
      <c r="G26" s="44"/>
      <c r="H26" s="45">
        <v>10633</v>
      </c>
      <c r="I26" s="45">
        <v>358</v>
      </c>
      <c r="J26" s="45"/>
      <c r="K26" s="45"/>
      <c r="L26" s="18"/>
      <c r="M26" s="18"/>
      <c r="N26" s="45">
        <v>11805</v>
      </c>
      <c r="O26" s="45">
        <v>355</v>
      </c>
      <c r="P26" s="18">
        <v>15.29</v>
      </c>
      <c r="Q26" s="39" t="s">
        <v>35</v>
      </c>
    </row>
    <row r="27" spans="1:17" s="33" customFormat="1" ht="24" customHeight="1">
      <c r="A27" s="38" t="s">
        <v>36</v>
      </c>
      <c r="B27" s="49">
        <v>11942</v>
      </c>
      <c r="C27" s="43">
        <v>567</v>
      </c>
      <c r="D27" s="44"/>
      <c r="E27" s="45">
        <v>14851</v>
      </c>
      <c r="F27" s="45">
        <v>615</v>
      </c>
      <c r="G27" s="44"/>
      <c r="H27" s="45">
        <v>18201</v>
      </c>
      <c r="I27" s="45">
        <v>911</v>
      </c>
      <c r="J27" s="45"/>
      <c r="K27" s="45"/>
      <c r="L27" s="18"/>
      <c r="M27" s="18"/>
      <c r="N27" s="45">
        <v>19861</v>
      </c>
      <c r="O27" s="45">
        <v>913</v>
      </c>
      <c r="P27" s="18">
        <v>16.675799086757991</v>
      </c>
      <c r="Q27" s="32" t="s">
        <v>37</v>
      </c>
    </row>
    <row r="28" spans="1:17" s="33" customFormat="1" ht="24" customHeight="1">
      <c r="A28" s="38" t="s">
        <v>38</v>
      </c>
      <c r="B28" s="49">
        <v>15002</v>
      </c>
      <c r="C28" s="43">
        <v>664</v>
      </c>
      <c r="D28" s="44"/>
      <c r="E28" s="45">
        <v>16024</v>
      </c>
      <c r="F28" s="45">
        <v>765</v>
      </c>
      <c r="G28" s="44"/>
      <c r="H28" s="45">
        <v>16503</v>
      </c>
      <c r="I28" s="45">
        <v>802</v>
      </c>
      <c r="J28" s="45"/>
      <c r="K28" s="45"/>
      <c r="L28" s="18"/>
      <c r="M28" s="18"/>
      <c r="N28" s="45">
        <v>20582</v>
      </c>
      <c r="O28" s="45">
        <v>1043</v>
      </c>
      <c r="P28" s="18">
        <v>20.142465753424659</v>
      </c>
      <c r="Q28" s="32" t="s">
        <v>39</v>
      </c>
    </row>
    <row r="29" spans="1:17" s="33" customFormat="1" ht="24" customHeight="1">
      <c r="A29" s="38" t="s">
        <v>40</v>
      </c>
      <c r="B29" s="49">
        <v>20688</v>
      </c>
      <c r="C29" s="43">
        <v>796</v>
      </c>
      <c r="D29" s="44"/>
      <c r="E29" s="45">
        <v>19961</v>
      </c>
      <c r="F29" s="45">
        <v>698</v>
      </c>
      <c r="G29" s="44"/>
      <c r="H29" s="45">
        <v>20280</v>
      </c>
      <c r="I29" s="45">
        <v>682</v>
      </c>
      <c r="J29" s="45"/>
      <c r="K29" s="45"/>
      <c r="L29" s="18"/>
      <c r="M29" s="18"/>
      <c r="N29" s="45">
        <v>23723</v>
      </c>
      <c r="O29" s="45">
        <v>639</v>
      </c>
      <c r="P29" s="18">
        <v>21.88</v>
      </c>
      <c r="Q29" s="32" t="s">
        <v>41</v>
      </c>
    </row>
    <row r="30" spans="1:17" s="33" customFormat="1" ht="24" customHeight="1">
      <c r="A30" s="40" t="s">
        <v>42</v>
      </c>
      <c r="B30" s="50">
        <v>31129</v>
      </c>
      <c r="C30" s="51">
        <v>1859</v>
      </c>
      <c r="D30" s="52"/>
      <c r="E30" s="53">
        <v>33851</v>
      </c>
      <c r="F30" s="53">
        <v>2174</v>
      </c>
      <c r="G30" s="52"/>
      <c r="H30" s="53">
        <v>34297</v>
      </c>
      <c r="I30" s="53">
        <v>1570</v>
      </c>
      <c r="J30" s="53"/>
      <c r="K30" s="53"/>
      <c r="L30" s="19"/>
      <c r="M30" s="19"/>
      <c r="N30" s="53">
        <v>32165</v>
      </c>
      <c r="O30" s="53">
        <v>1297</v>
      </c>
      <c r="P30" s="19">
        <v>24.914902449149025</v>
      </c>
      <c r="Q30" s="41" t="s">
        <v>43</v>
      </c>
    </row>
    <row r="31" spans="1:17" s="22" customFormat="1">
      <c r="A31" s="42" t="s">
        <v>49</v>
      </c>
    </row>
    <row r="32" spans="1:17" s="2" customFormat="1" ht="16.5" customHeight="1">
      <c r="A32" s="4" t="s">
        <v>46</v>
      </c>
      <c r="B32" s="3"/>
      <c r="C32" s="3"/>
      <c r="D32" s="3"/>
      <c r="E32" s="3"/>
      <c r="F32" s="3"/>
      <c r="G32" s="3"/>
      <c r="H32" s="3"/>
      <c r="I32" s="3"/>
      <c r="J32" s="3"/>
      <c r="K32" s="7" t="s">
        <v>2</v>
      </c>
      <c r="Q32" s="7" t="s">
        <v>2</v>
      </c>
    </row>
  </sheetData>
  <mergeCells count="9">
    <mergeCell ref="Q4:Q5"/>
    <mergeCell ref="A1:Q1"/>
    <mergeCell ref="A2:Q2"/>
    <mergeCell ref="A4:A5"/>
    <mergeCell ref="B4:C4"/>
    <mergeCell ref="E4:F4"/>
    <mergeCell ref="H4:I4"/>
    <mergeCell ref="J4:L4"/>
    <mergeCell ref="N4:P4"/>
  </mergeCells>
  <pageMargins left="0.7" right="0.7" top="0.75" bottom="0.75" header="0.3" footer="0.3"/>
  <pageSetup paperSize="9" scale="70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6.3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2015-12-02T08:39:49Z</cp:lastPrinted>
  <dcterms:created xsi:type="dcterms:W3CDTF">2014-03-04T09:17:57Z</dcterms:created>
  <dcterms:modified xsi:type="dcterms:W3CDTF">2015-12-02T08:39:51Z</dcterms:modified>
</cp:coreProperties>
</file>