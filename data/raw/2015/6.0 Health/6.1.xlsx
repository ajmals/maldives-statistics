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60" windowHeight="11190" tabRatio="841"/>
  </bookViews>
  <sheets>
    <sheet name="6.1" sheetId="20" r:id="rId1"/>
  </sheets>
  <definedNames>
    <definedName name="_xlnm.Print_Area" localSheetId="0">'6.1'!$A$1:$Q$53</definedName>
  </definedNames>
  <calcPr calcId="144525"/>
</workbook>
</file>

<file path=xl/calcChain.xml><?xml version="1.0" encoding="utf-8"?>
<calcChain xmlns="http://schemas.openxmlformats.org/spreadsheetml/2006/main">
  <c r="AG23" i="20" l="1"/>
  <c r="AE28" i="20" l="1"/>
  <c r="AE24" i="20"/>
  <c r="AE25" i="20"/>
  <c r="AE26" i="20"/>
  <c r="AE27" i="20"/>
  <c r="J22" i="20" l="1"/>
  <c r="F22" i="20"/>
  <c r="D22" i="20"/>
  <c r="C22" i="20"/>
  <c r="J21" i="20"/>
  <c r="F21" i="20"/>
  <c r="D21" i="20"/>
  <c r="C21" i="20"/>
  <c r="B21" i="20" s="1"/>
  <c r="L20" i="20"/>
  <c r="L17" i="20" s="1"/>
  <c r="K20" i="20"/>
  <c r="K17" i="20" s="1"/>
  <c r="H20" i="20"/>
  <c r="H17" i="20" s="1"/>
  <c r="G20" i="20"/>
  <c r="G17" i="20" s="1"/>
  <c r="J19" i="20"/>
  <c r="F19" i="20"/>
  <c r="D19" i="20"/>
  <c r="C19" i="20"/>
  <c r="B19" i="20" s="1"/>
  <c r="J18" i="20"/>
  <c r="F18" i="20"/>
  <c r="D18" i="20"/>
  <c r="C18" i="20"/>
  <c r="D16" i="20"/>
  <c r="C16" i="20"/>
  <c r="J15" i="20"/>
  <c r="F15" i="20"/>
  <c r="D15" i="20"/>
  <c r="C15" i="20"/>
  <c r="J14" i="20"/>
  <c r="F14" i="20"/>
  <c r="D14" i="20"/>
  <c r="C14" i="20"/>
  <c r="J13" i="20"/>
  <c r="F13" i="20"/>
  <c r="D13" i="20"/>
  <c r="C13" i="20"/>
  <c r="J12" i="20"/>
  <c r="F12" i="20"/>
  <c r="D12" i="20"/>
  <c r="C12" i="20"/>
  <c r="L11" i="20"/>
  <c r="K11" i="20"/>
  <c r="H11" i="20"/>
  <c r="G11" i="20"/>
  <c r="J10" i="20"/>
  <c r="J9" i="20" s="1"/>
  <c r="F10" i="20"/>
  <c r="F9" i="20" s="1"/>
  <c r="D10" i="20"/>
  <c r="D9" i="20" s="1"/>
  <c r="C10" i="20"/>
  <c r="C9" i="20" s="1"/>
  <c r="L9" i="20"/>
  <c r="K9" i="20"/>
  <c r="H9" i="20"/>
  <c r="G9" i="20"/>
  <c r="J8" i="20"/>
  <c r="F8" i="20"/>
  <c r="D8" i="20"/>
  <c r="C8" i="20"/>
  <c r="J7" i="20"/>
  <c r="F7" i="20"/>
  <c r="D7" i="20"/>
  <c r="C7" i="20"/>
  <c r="L6" i="20"/>
  <c r="K6" i="20"/>
  <c r="H6" i="20"/>
  <c r="G6" i="20"/>
  <c r="B18" i="20" l="1"/>
  <c r="B22" i="20"/>
  <c r="B20" i="20" s="1"/>
  <c r="B17" i="20" s="1"/>
  <c r="J6" i="20"/>
  <c r="B14" i="20"/>
  <c r="B15" i="20"/>
  <c r="B8" i="20"/>
  <c r="B10" i="20"/>
  <c r="B9" i="20" s="1"/>
  <c r="F11" i="20"/>
  <c r="D20" i="20"/>
  <c r="D17" i="20" s="1"/>
  <c r="J20" i="20"/>
  <c r="J17" i="20" s="1"/>
  <c r="B7" i="20"/>
  <c r="B12" i="20"/>
  <c r="D6" i="20"/>
  <c r="D11" i="20"/>
  <c r="F6" i="20"/>
  <c r="B16" i="20"/>
  <c r="J11" i="20"/>
  <c r="F20" i="20"/>
  <c r="F17" i="20" s="1"/>
  <c r="C6" i="20"/>
  <c r="B13" i="20"/>
  <c r="C11" i="20"/>
  <c r="C20" i="20"/>
  <c r="C17" i="20" s="1"/>
  <c r="B6" i="20" l="1"/>
  <c r="B11" i="20"/>
</calcChain>
</file>

<file path=xl/sharedStrings.xml><?xml version="1.0" encoding="utf-8"?>
<sst xmlns="http://schemas.openxmlformats.org/spreadsheetml/2006/main" count="70" uniqueCount="49">
  <si>
    <t>Male'</t>
  </si>
  <si>
    <t>Male</t>
  </si>
  <si>
    <t>Female</t>
  </si>
  <si>
    <t>Categories of Health Personnel</t>
  </si>
  <si>
    <t>ސިއްހީ ދާއިރާގެ މުވައްޒިފުން</t>
  </si>
  <si>
    <t xml:space="preserve">Atolls </t>
  </si>
  <si>
    <t>Both sexes</t>
  </si>
  <si>
    <t>Doctors</t>
  </si>
  <si>
    <t>ޑޮކްޓަރުން</t>
  </si>
  <si>
    <t xml:space="preserve">         General duty doctors</t>
  </si>
  <si>
    <t xml:space="preserve">cnurwTckoD egukwtilwbumcaWA   </t>
  </si>
  <si>
    <t xml:space="preserve">         Specialists</t>
  </si>
  <si>
    <t xml:space="preserve">cnurwTckoD wBcaWH cSwkwtilwbikeaikea   </t>
  </si>
  <si>
    <t>Nurses</t>
  </si>
  <si>
    <t>cnuhurwn</t>
  </si>
  <si>
    <t xml:space="preserve">         Nurses</t>
  </si>
  <si>
    <t>Paramedical Staff</t>
  </si>
  <si>
    <t>ޕެރަމެޑިކަލް މުވައްޒިފުން</t>
  </si>
  <si>
    <t xml:space="preserve">         Physiotherapists</t>
  </si>
  <si>
    <t xml:space="preserve">  ފިޒިއީތެރަޕިސްޓްސް</t>
  </si>
  <si>
    <t xml:space="preserve">         Radiographers</t>
  </si>
  <si>
    <t xml:space="preserve">  ރޭޑިއޯގްރާފަރސް</t>
  </si>
  <si>
    <t xml:space="preserve">  ޑެންޓިސްޓުން</t>
  </si>
  <si>
    <t xml:space="preserve">         Pharmacists / Pharmacy Asst.</t>
  </si>
  <si>
    <t xml:space="preserve">  ފާމަސިސްޓް 2_/</t>
  </si>
  <si>
    <t>Community Health Personnel</t>
  </si>
  <si>
    <t>ޖަމާއަތުގެ ސިއްޚި މުވައްޒިފުން</t>
  </si>
  <si>
    <t xml:space="preserve">         Community Health Workers</t>
  </si>
  <si>
    <t xml:space="preserve">  ޖަމާއަތުގެ ސިއްޚި އެހީތެރިން</t>
  </si>
  <si>
    <t xml:space="preserve">         Family Health Workers</t>
  </si>
  <si>
    <t xml:space="preserve">  އާއިލީ ސިއްޚީ އެހީތެރިން</t>
  </si>
  <si>
    <t>Traditional Birth Attendant (Foolhuma)</t>
  </si>
  <si>
    <t>ފޫޅުމައިން</t>
  </si>
  <si>
    <t xml:space="preserve">                 Trained</t>
  </si>
  <si>
    <t xml:space="preserve">  ތަމްރީން ދެވިފައި</t>
  </si>
  <si>
    <t xml:space="preserve">                 Untrained</t>
  </si>
  <si>
    <t xml:space="preserve">  ތަމްރީން ނުދެވި</t>
  </si>
  <si>
    <t>މަޢުލޫމާތު ދެއްވީ: މިނިސްޓްރީ އޮފް ހެލްތް</t>
  </si>
  <si>
    <t>Table 6.1 :  DISTRIBUTION OF MEDICAL STAFF IN MALE' AND ATOLLS - 2014</t>
  </si>
  <si>
    <t>Laboratory Scientists / Laboratory technicians/ laboratory assistants</t>
  </si>
  <si>
    <t xml:space="preserve">         Dental technicians / dental assistants</t>
  </si>
  <si>
    <t>Source: Ministry of Health</t>
  </si>
  <si>
    <t xml:space="preserve"> ލެބޯރެޓަރީ ސައިންސިސްޓްސް  ލެބޯރެޓަރީ ޓެކްނީޝަންސް  / ލެބޯޓްރީ އެސިސްޓަންޓްސް</t>
  </si>
  <si>
    <t>ތާވަލު 6.1: ޞިއްޙީ ދާއިރާގައި މަސައްކަތްކުރާ މީހުންގެ އަދަދު، 2014</t>
  </si>
  <si>
    <t>Note: This table does not include private sector health personnels</t>
  </si>
  <si>
    <t>ނޯޓް: މިތާވަލުގައި ޕްރައިވެޓް ސެކްޓަރގައި މަސައްކަތްކުރާ މީހުން ނުހިމެނޭ</t>
  </si>
  <si>
    <r>
      <t xml:space="preserve">Republic   </t>
    </r>
    <r>
      <rPr>
        <b/>
        <sz val="9"/>
        <rFont val="A_Faseyha"/>
      </rPr>
      <t>ejcaWr</t>
    </r>
  </si>
  <si>
    <r>
      <t xml:space="preserve">Male'  </t>
    </r>
    <r>
      <rPr>
        <b/>
        <sz val="10"/>
        <rFont val="A_Faseyha"/>
      </rPr>
      <t>elWm</t>
    </r>
  </si>
  <si>
    <r>
      <t xml:space="preserve">Atolls  </t>
    </r>
    <r>
      <rPr>
        <b/>
        <sz val="10"/>
        <rFont val="A_Faseyha"/>
      </rPr>
      <t>cawtuLotwa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</si>
</sst>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_-* #,##0.00\ _ރ_._-;_-* #,##0.00\ _ރ_.\-;_-* &quot;-&quot;??\ _ރ_._-;_-@_-"/>
    <numFmt numFmtId="167" formatCode="0.00_)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Arial"/>
      <family val="2"/>
    </font>
    <font>
      <sz val="10"/>
      <color theme="1"/>
      <name val="Faruma"/>
    </font>
    <font>
      <sz val="10"/>
      <name val="Arial"/>
      <family val="2"/>
    </font>
    <font>
      <sz val="10"/>
      <name val="Faruma"/>
    </font>
    <font>
      <i/>
      <sz val="9"/>
      <name val="Calibri"/>
      <family val="2"/>
      <scheme val="minor"/>
    </font>
    <font>
      <sz val="9"/>
      <name val="Faruma"/>
    </font>
    <font>
      <i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Faruma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ourier"/>
      <family val="3"/>
    </font>
    <font>
      <b/>
      <sz val="11"/>
      <name val="Faruma"/>
    </font>
    <font>
      <sz val="11"/>
      <name val="Calibri"/>
      <family val="2"/>
      <scheme val="minor"/>
    </font>
    <font>
      <b/>
      <sz val="9"/>
      <name val="Arial"/>
      <family val="2"/>
    </font>
    <font>
      <b/>
      <sz val="11"/>
      <name val="A_Randhoo"/>
    </font>
    <font>
      <sz val="11"/>
      <name val="A_Randhoo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rgb="FFFF0000"/>
      <name val="Calibri"/>
      <family val="2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Faruma"/>
    </font>
    <font>
      <b/>
      <sz val="12"/>
      <color theme="1"/>
      <name val="Faruma"/>
    </font>
    <font>
      <b/>
      <sz val="9"/>
      <name val="A_Faseyha"/>
    </font>
    <font>
      <b/>
      <sz val="10"/>
      <name val="A_Faseyha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/>
      <right/>
      <top style="thin">
        <color theme="0"/>
      </top>
      <bottom style="dotted">
        <color theme="1"/>
      </bottom>
      <diagonal/>
    </border>
    <border>
      <left style="thin">
        <color theme="0"/>
      </left>
      <right/>
      <top style="thin">
        <color theme="0"/>
      </top>
      <bottom style="dotted">
        <color theme="1"/>
      </bottom>
      <diagonal/>
    </border>
    <border>
      <left/>
      <right/>
      <top style="thin">
        <color indexed="64"/>
      </top>
      <bottom style="dotted">
        <color theme="1"/>
      </bottom>
      <diagonal/>
    </border>
    <border>
      <left/>
      <right style="hair">
        <color indexed="64"/>
      </right>
      <top style="thin">
        <color indexed="64"/>
      </top>
      <bottom style="dotted">
        <color theme="1"/>
      </bottom>
      <diagonal/>
    </border>
    <border>
      <left/>
      <right style="thin">
        <color theme="0"/>
      </right>
      <top style="thin">
        <color indexed="64"/>
      </top>
      <bottom style="dotted">
        <color theme="1"/>
      </bottom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3" fillId="0" borderId="0"/>
    <xf numFmtId="166" fontId="20" fillId="0" borderId="0" applyFont="0" applyFill="0" applyBorder="0" applyAlignment="0" applyProtection="0"/>
    <xf numFmtId="0" fontId="20" fillId="0" borderId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9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20" borderId="0" applyNumberFormat="0" applyBorder="0" applyAlignment="0" applyProtection="0"/>
    <xf numFmtId="0" fontId="26" fillId="4" borderId="0" applyNumberFormat="0" applyBorder="0" applyAlignment="0" applyProtection="0"/>
    <xf numFmtId="0" fontId="27" fillId="21" borderId="28" applyNumberFormat="0" applyAlignment="0" applyProtection="0"/>
    <xf numFmtId="0" fontId="28" fillId="22" borderId="29" applyNumberFormat="0" applyAlignment="0" applyProtection="0"/>
    <xf numFmtId="40" fontId="2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5" borderId="0" applyNumberFormat="0" applyBorder="0" applyAlignment="0" applyProtection="0"/>
    <xf numFmtId="0" fontId="31" fillId="0" borderId="30" applyNumberFormat="0" applyFill="0" applyAlignment="0" applyProtection="0"/>
    <xf numFmtId="0" fontId="32" fillId="0" borderId="31" applyNumberFormat="0" applyFill="0" applyAlignment="0" applyProtection="0"/>
    <xf numFmtId="0" fontId="33" fillId="0" borderId="32" applyNumberFormat="0" applyFill="0" applyAlignment="0" applyProtection="0"/>
    <xf numFmtId="0" fontId="33" fillId="0" borderId="0" applyNumberFormat="0" applyFill="0" applyBorder="0" applyAlignment="0" applyProtection="0"/>
    <xf numFmtId="0" fontId="34" fillId="8" borderId="28" applyNumberFormat="0" applyAlignment="0" applyProtection="0"/>
    <xf numFmtId="0" fontId="35" fillId="0" borderId="33" applyNumberFormat="0" applyFill="0" applyAlignment="0" applyProtection="0"/>
    <xf numFmtId="0" fontId="36" fillId="23" borderId="0" applyNumberFormat="0" applyBorder="0" applyAlignment="0" applyProtection="0"/>
    <xf numFmtId="167" fontId="23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164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4" fillId="24" borderId="34" applyNumberFormat="0" applyFont="0" applyAlignment="0" applyProtection="0"/>
    <xf numFmtId="0" fontId="37" fillId="21" borderId="35" applyNumberFormat="0" applyAlignment="0" applyProtection="0"/>
    <xf numFmtId="9" fontId="2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9" fillId="0" borderId="36" applyNumberFormat="0" applyFill="0" applyAlignment="0" applyProtection="0"/>
    <xf numFmtId="0" fontId="39" fillId="0" borderId="0" applyNumberFormat="0" applyFill="0" applyBorder="0" applyAlignment="0" applyProtection="0"/>
  </cellStyleXfs>
  <cellXfs count="78">
    <xf numFmtId="0" fontId="0" fillId="0" borderId="0" xfId="0"/>
    <xf numFmtId="0" fontId="12" fillId="2" borderId="5" xfId="0" applyNumberFormat="1" applyFont="1" applyFill="1" applyBorder="1" applyAlignment="1" applyProtection="1">
      <alignment horizontal="center" vertical="center" wrapText="1"/>
    </xf>
    <xf numFmtId="0" fontId="12" fillId="2" borderId="5" xfId="0" applyNumberFormat="1" applyFont="1" applyFill="1" applyBorder="1" applyAlignment="1" applyProtection="1">
      <alignment horizontal="right" vertical="center"/>
    </xf>
    <xf numFmtId="0" fontId="0" fillId="2" borderId="1" xfId="0" applyNumberFormat="1" applyFill="1" applyBorder="1" applyAlignment="1">
      <alignment vertical="center"/>
    </xf>
    <xf numFmtId="0" fontId="2" fillId="2" borderId="1" xfId="0" applyNumberFormat="1" applyFont="1" applyFill="1" applyBorder="1" applyAlignment="1" applyProtection="1">
      <alignment horizontal="right" vertical="center"/>
    </xf>
    <xf numFmtId="0" fontId="15" fillId="2" borderId="1" xfId="0" applyNumberFormat="1" applyFont="1" applyFill="1" applyBorder="1" applyAlignment="1">
      <alignment horizontal="right" vertical="center"/>
    </xf>
    <xf numFmtId="0" fontId="0" fillId="2" borderId="1" xfId="0" applyNumberFormat="1" applyFill="1" applyBorder="1" applyAlignment="1">
      <alignment horizontal="right" vertical="center"/>
    </xf>
    <xf numFmtId="0" fontId="0" fillId="2" borderId="1" xfId="0" applyNumberFormat="1" applyFill="1" applyBorder="1" applyAlignment="1">
      <alignment vertical="center" wrapText="1"/>
    </xf>
    <xf numFmtId="0" fontId="7" fillId="2" borderId="1" xfId="0" applyFont="1" applyFill="1" applyBorder="1" applyAlignment="1">
      <alignment horizontal="right" vertical="center"/>
    </xf>
    <xf numFmtId="0" fontId="21" fillId="2" borderId="1" xfId="0" applyNumberFormat="1" applyFont="1" applyFill="1" applyBorder="1" applyAlignment="1">
      <alignment vertical="center"/>
    </xf>
    <xf numFmtId="0" fontId="0" fillId="2" borderId="5" xfId="0" applyNumberFormat="1" applyFill="1" applyBorder="1" applyAlignment="1">
      <alignment vertical="center"/>
    </xf>
    <xf numFmtId="0" fontId="15" fillId="2" borderId="4" xfId="0" applyNumberFormat="1" applyFont="1" applyFill="1" applyBorder="1" applyAlignment="1">
      <alignment vertical="center"/>
    </xf>
    <xf numFmtId="0" fontId="15" fillId="2" borderId="27" xfId="0" applyNumberFormat="1" applyFont="1" applyFill="1" applyBorder="1" applyAlignment="1">
      <alignment vertical="center"/>
    </xf>
    <xf numFmtId="0" fontId="15" fillId="2" borderId="1" xfId="0" applyNumberFormat="1" applyFont="1" applyFill="1" applyBorder="1" applyAlignment="1">
      <alignment vertical="center"/>
    </xf>
    <xf numFmtId="0" fontId="11" fillId="2" borderId="13" xfId="0" applyNumberFormat="1" applyFont="1" applyFill="1" applyBorder="1" applyAlignment="1">
      <alignment horizontal="right" vertical="center"/>
    </xf>
    <xf numFmtId="0" fontId="11" fillId="2" borderId="17" xfId="0" applyNumberFormat="1" applyFont="1" applyFill="1" applyBorder="1" applyAlignment="1">
      <alignment horizontal="right" vertical="center"/>
    </xf>
    <xf numFmtId="0" fontId="15" fillId="2" borderId="4" xfId="0" applyNumberFormat="1" applyFont="1" applyFill="1" applyBorder="1" applyAlignment="1">
      <alignment horizontal="right" vertical="center" indent="1"/>
    </xf>
    <xf numFmtId="0" fontId="9" fillId="2" borderId="9" xfId="0" applyNumberFormat="1" applyFont="1" applyFill="1" applyBorder="1" applyAlignment="1" applyProtection="1">
      <alignment horizontal="left" vertical="center" wrapText="1"/>
    </xf>
    <xf numFmtId="0" fontId="9" fillId="2" borderId="10" xfId="0" applyNumberFormat="1" applyFont="1" applyFill="1" applyBorder="1" applyAlignment="1" applyProtection="1">
      <alignment horizontal="right" vertical="center"/>
    </xf>
    <xf numFmtId="3" fontId="9" fillId="2" borderId="10" xfId="0" applyNumberFormat="1" applyFont="1" applyFill="1" applyBorder="1" applyAlignment="1" applyProtection="1">
      <alignment horizontal="right" vertical="center"/>
    </xf>
    <xf numFmtId="3" fontId="9" fillId="2" borderId="37" xfId="0" applyNumberFormat="1" applyFont="1" applyFill="1" applyBorder="1" applyAlignment="1" applyProtection="1">
      <alignment horizontal="right" vertical="center"/>
    </xf>
    <xf numFmtId="0" fontId="15" fillId="2" borderId="2" xfId="0" applyNumberFormat="1" applyFont="1" applyFill="1" applyBorder="1" applyAlignment="1" applyProtection="1">
      <alignment horizontal="left" vertical="center" wrapText="1"/>
    </xf>
    <xf numFmtId="3" fontId="15" fillId="2" borderId="3" xfId="0" applyNumberFormat="1" applyFont="1" applyFill="1" applyBorder="1" applyAlignment="1" applyProtection="1">
      <alignment horizontal="right" vertical="center"/>
    </xf>
    <xf numFmtId="3" fontId="15" fillId="2" borderId="16" xfId="0" applyNumberFormat="1" applyFont="1" applyFill="1" applyBorder="1" applyAlignment="1" applyProtection="1">
      <alignment horizontal="right" vertical="center"/>
    </xf>
    <xf numFmtId="0" fontId="9" fillId="2" borderId="2" xfId="0" applyNumberFormat="1" applyFont="1" applyFill="1" applyBorder="1" applyAlignment="1" applyProtection="1">
      <alignment horizontal="left" vertical="center" wrapText="1"/>
    </xf>
    <xf numFmtId="0" fontId="9" fillId="2" borderId="3" xfId="0" applyNumberFormat="1" applyFont="1" applyFill="1" applyBorder="1" applyAlignment="1" applyProtection="1">
      <alignment horizontal="right" vertical="center"/>
    </xf>
    <xf numFmtId="3" fontId="9" fillId="2" borderId="3" xfId="0" applyNumberFormat="1" applyFont="1" applyFill="1" applyBorder="1" applyAlignment="1" applyProtection="1">
      <alignment horizontal="right" vertical="center"/>
    </xf>
    <xf numFmtId="3" fontId="9" fillId="2" borderId="16" xfId="0" applyNumberFormat="1" applyFont="1" applyFill="1" applyBorder="1" applyAlignment="1" applyProtection="1">
      <alignment horizontal="right" vertical="center"/>
    </xf>
    <xf numFmtId="0" fontId="15" fillId="2" borderId="2" xfId="0" applyNumberFormat="1" applyFont="1" applyFill="1" applyBorder="1" applyAlignment="1" applyProtection="1">
      <alignment horizontal="left" vertical="center" wrapText="1" indent="1"/>
    </xf>
    <xf numFmtId="0" fontId="15" fillId="2" borderId="8" xfId="0" applyNumberFormat="1" applyFont="1" applyFill="1" applyBorder="1" applyAlignment="1" applyProtection="1">
      <alignment horizontal="left" vertical="center" wrapText="1"/>
    </xf>
    <xf numFmtId="3" fontId="15" fillId="2" borderId="18" xfId="0" applyNumberFormat="1" applyFont="1" applyFill="1" applyBorder="1" applyAlignment="1" applyProtection="1">
      <alignment horizontal="right" vertical="center"/>
    </xf>
    <xf numFmtId="3" fontId="15" fillId="2" borderId="22" xfId="0" applyNumberFormat="1" applyFont="1" applyFill="1" applyBorder="1" applyAlignment="1" applyProtection="1">
      <alignment horizontal="right" vertical="center"/>
    </xf>
    <xf numFmtId="0" fontId="0" fillId="2" borderId="11" xfId="0" applyNumberFormat="1" applyFont="1" applyFill="1" applyBorder="1" applyAlignment="1">
      <alignment vertical="center"/>
    </xf>
    <xf numFmtId="0" fontId="0" fillId="2" borderId="6" xfId="0" applyNumberFormat="1" applyFont="1" applyFill="1" applyBorder="1" applyAlignment="1">
      <alignment vertical="center"/>
    </xf>
    <xf numFmtId="0" fontId="14" fillId="2" borderId="6" xfId="0" applyFont="1" applyFill="1" applyBorder="1" applyAlignment="1">
      <alignment horizontal="right" vertical="center"/>
    </xf>
    <xf numFmtId="0" fontId="0" fillId="2" borderId="1" xfId="0" applyNumberFormat="1" applyFont="1" applyFill="1" applyBorder="1" applyAlignment="1">
      <alignment vertical="center"/>
    </xf>
    <xf numFmtId="0" fontId="18" fillId="2" borderId="6" xfId="0" applyFont="1" applyFill="1" applyBorder="1" applyAlignment="1">
      <alignment horizontal="right" vertical="center" indent="1"/>
    </xf>
    <xf numFmtId="0" fontId="18" fillId="2" borderId="1" xfId="0" applyFont="1" applyFill="1" applyBorder="1" applyAlignment="1">
      <alignment horizontal="right" vertical="center" indent="1"/>
    </xf>
    <xf numFmtId="0" fontId="17" fillId="2" borderId="1" xfId="0" applyFont="1" applyFill="1" applyBorder="1" applyAlignment="1">
      <alignment horizontal="right" vertical="center"/>
    </xf>
    <xf numFmtId="0" fontId="17" fillId="2" borderId="1" xfId="0" applyFont="1" applyFill="1" applyBorder="1" applyAlignment="1">
      <alignment horizontal="right" vertical="center" indent="3"/>
    </xf>
    <xf numFmtId="0" fontId="14" fillId="2" borderId="1" xfId="0" applyFont="1" applyFill="1" applyBorder="1" applyAlignment="1">
      <alignment horizontal="right" vertical="center"/>
    </xf>
    <xf numFmtId="0" fontId="0" fillId="2" borderId="1" xfId="0" applyNumberFormat="1" applyFont="1" applyFill="1" applyBorder="1" applyAlignment="1">
      <alignment horizontal="right" vertical="center" indent="1"/>
    </xf>
    <xf numFmtId="0" fontId="40" fillId="2" borderId="1" xfId="0" applyFont="1" applyFill="1" applyBorder="1" applyAlignment="1">
      <alignment horizontal="right" vertical="center" indent="1"/>
    </xf>
    <xf numFmtId="0" fontId="40" fillId="2" borderId="1" xfId="0" applyFont="1" applyFill="1" applyBorder="1" applyAlignment="1">
      <alignment horizontal="right" vertical="center"/>
    </xf>
    <xf numFmtId="0" fontId="0" fillId="2" borderId="7" xfId="0" applyNumberFormat="1" applyFont="1" applyFill="1" applyBorder="1" applyAlignment="1">
      <alignment vertical="center"/>
    </xf>
    <xf numFmtId="0" fontId="40" fillId="2" borderId="7" xfId="0" applyFont="1" applyFill="1" applyBorder="1" applyAlignment="1">
      <alignment horizontal="right" vertical="center" indent="1"/>
    </xf>
    <xf numFmtId="3" fontId="0" fillId="2" borderId="1" xfId="0" applyNumberFormat="1" applyFill="1" applyBorder="1" applyAlignment="1">
      <alignment horizontal="right" vertical="center"/>
    </xf>
    <xf numFmtId="1" fontId="0" fillId="2" borderId="1" xfId="0" applyNumberFormat="1" applyFill="1" applyBorder="1" applyAlignment="1">
      <alignment horizontal="right" vertical="center"/>
    </xf>
    <xf numFmtId="0" fontId="6" fillId="2" borderId="1" xfId="0" applyNumberFormat="1" applyFont="1" applyFill="1" applyBorder="1" applyAlignment="1" applyProtection="1">
      <alignment horizontal="left" vertical="center" wrapText="1"/>
    </xf>
    <xf numFmtId="0" fontId="12" fillId="2" borderId="19" xfId="0" applyNumberFormat="1" applyFont="1" applyFill="1" applyBorder="1" applyAlignment="1" applyProtection="1">
      <alignment vertical="center"/>
    </xf>
    <xf numFmtId="165" fontId="9" fillId="2" borderId="3" xfId="1" applyNumberFormat="1" applyFont="1" applyFill="1" applyBorder="1" applyAlignment="1" applyProtection="1">
      <alignment horizontal="right" vertical="center"/>
    </xf>
    <xf numFmtId="0" fontId="3" fillId="2" borderId="1" xfId="0" applyNumberFormat="1" applyFont="1" applyFill="1" applyBorder="1" applyAlignment="1">
      <alignment vertical="center"/>
    </xf>
    <xf numFmtId="0" fontId="12" fillId="2" borderId="41" xfId="0" applyNumberFormat="1" applyFont="1" applyFill="1" applyBorder="1" applyAlignment="1" applyProtection="1">
      <alignment horizontal="center" vertical="center"/>
    </xf>
    <xf numFmtId="0" fontId="8" fillId="2" borderId="21" xfId="0" applyNumberFormat="1" applyFont="1" applyFill="1" applyBorder="1" applyAlignment="1">
      <alignment horizontal="left" vertical="center" wrapText="1"/>
    </xf>
    <xf numFmtId="0" fontId="8" fillId="2" borderId="15" xfId="0" applyNumberFormat="1" applyFont="1" applyFill="1" applyBorder="1" applyAlignment="1">
      <alignment horizontal="left" vertical="center" wrapText="1"/>
    </xf>
    <xf numFmtId="0" fontId="8" fillId="2" borderId="20" xfId="0" applyNumberFormat="1" applyFont="1" applyFill="1" applyBorder="1" applyAlignment="1">
      <alignment horizontal="left" vertical="center" wrapText="1"/>
    </xf>
    <xf numFmtId="0" fontId="16" fillId="2" borderId="23" xfId="0" applyNumberFormat="1" applyFont="1" applyFill="1" applyBorder="1" applyAlignment="1" applyProtection="1">
      <alignment horizontal="left" vertical="center" wrapText="1"/>
    </xf>
    <xf numFmtId="0" fontId="16" fillId="2" borderId="25" xfId="0" applyNumberFormat="1" applyFont="1" applyFill="1" applyBorder="1" applyAlignment="1" applyProtection="1">
      <alignment horizontal="left" vertical="center" wrapText="1"/>
    </xf>
    <xf numFmtId="0" fontId="10" fillId="2" borderId="23" xfId="0" applyFont="1" applyFill="1" applyBorder="1" applyAlignment="1">
      <alignment horizontal="right" vertical="center"/>
    </xf>
    <xf numFmtId="0" fontId="10" fillId="2" borderId="12" xfId="0" applyFont="1" applyFill="1" applyBorder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25" xfId="0" applyFont="1" applyFill="1" applyBorder="1" applyAlignment="1">
      <alignment horizontal="right" vertical="center"/>
    </xf>
    <xf numFmtId="0" fontId="10" fillId="2" borderId="13" xfId="0" applyFont="1" applyFill="1" applyBorder="1" applyAlignment="1">
      <alignment horizontal="right" vertical="center"/>
    </xf>
    <xf numFmtId="0" fontId="10" fillId="2" borderId="26" xfId="0" applyFont="1" applyFill="1" applyBorder="1" applyAlignment="1">
      <alignment horizontal="right" vertical="center"/>
    </xf>
    <xf numFmtId="0" fontId="12" fillId="2" borderId="39" xfId="0" applyNumberFormat="1" applyFont="1" applyFill="1" applyBorder="1" applyAlignment="1" applyProtection="1">
      <alignment horizontal="center" vertical="center"/>
    </xf>
    <xf numFmtId="0" fontId="12" fillId="2" borderId="38" xfId="0" applyNumberFormat="1" applyFont="1" applyFill="1" applyBorder="1" applyAlignment="1" applyProtection="1">
      <alignment horizontal="center" vertical="center"/>
    </xf>
    <xf numFmtId="0" fontId="12" fillId="2" borderId="14" xfId="0" applyNumberFormat="1" applyFont="1" applyFill="1" applyBorder="1" applyAlignment="1" applyProtection="1">
      <alignment horizontal="center" vertical="center"/>
    </xf>
    <xf numFmtId="0" fontId="41" fillId="2" borderId="2" xfId="0" applyNumberFormat="1" applyFont="1" applyFill="1" applyBorder="1" applyAlignment="1">
      <alignment horizontal="center" vertical="center" wrapText="1"/>
    </xf>
    <xf numFmtId="0" fontId="41" fillId="2" borderId="3" xfId="0" applyNumberFormat="1" applyFont="1" applyFill="1" applyBorder="1" applyAlignment="1">
      <alignment horizontal="center" vertical="center" wrapText="1"/>
    </xf>
    <xf numFmtId="0" fontId="41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 indent="1"/>
    </xf>
    <xf numFmtId="0" fontId="5" fillId="2" borderId="4" xfId="0" applyFont="1" applyFill="1" applyBorder="1" applyAlignment="1">
      <alignment horizontal="right" vertical="center" wrapText="1" indent="1"/>
    </xf>
    <xf numFmtId="0" fontId="9" fillId="2" borderId="2" xfId="0" applyNumberFormat="1" applyFont="1" applyFill="1" applyBorder="1" applyAlignment="1" applyProtection="1">
      <alignment horizontal="center" vertical="center"/>
    </xf>
    <xf numFmtId="0" fontId="9" fillId="2" borderId="3" xfId="0" applyNumberFormat="1" applyFont="1" applyFill="1" applyBorder="1" applyAlignment="1" applyProtection="1">
      <alignment horizontal="center" vertical="center"/>
    </xf>
    <xf numFmtId="0" fontId="9" fillId="2" borderId="4" xfId="0" applyNumberFormat="1" applyFont="1" applyFill="1" applyBorder="1" applyAlignment="1" applyProtection="1">
      <alignment horizontal="center" vertical="center"/>
    </xf>
    <xf numFmtId="0" fontId="16" fillId="2" borderId="40" xfId="0" applyNumberFormat="1" applyFont="1" applyFill="1" applyBorder="1" applyAlignment="1" applyProtection="1">
      <alignment horizontal="center" vertical="center"/>
    </xf>
    <xf numFmtId="0" fontId="12" fillId="2" borderId="40" xfId="0" applyNumberFormat="1" applyFont="1" applyFill="1" applyBorder="1" applyAlignment="1" applyProtection="1">
      <alignment horizontal="center" vertical="center"/>
    </xf>
    <xf numFmtId="0" fontId="12" fillId="2" borderId="42" xfId="0" applyNumberFormat="1" applyFont="1" applyFill="1" applyBorder="1" applyAlignment="1" applyProtection="1">
      <alignment horizontal="center" vertical="center"/>
    </xf>
  </cellXfs>
  <cellStyles count="61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6.1: Percentage</a:t>
            </a:r>
            <a:r>
              <a:rPr lang="en-US" sz="1200" baseline="0">
                <a:latin typeface="Consolas" pitchFamily="49" charset="0"/>
                <a:cs typeface="Consolas" pitchFamily="49" charset="0"/>
              </a:rPr>
              <a:t> of Health Personnels, 2014</a:t>
            </a:r>
            <a:r>
              <a:rPr lang="en-US" sz="1200">
                <a:latin typeface="Consolas" pitchFamily="49" charset="0"/>
                <a:cs typeface="Consolas" pitchFamily="49" charset="0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9462149341424065"/>
          <c:y val="0.22471784776902887"/>
          <c:w val="0.38384569818680919"/>
          <c:h val="0.72637467191601046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2727896168942185"/>
                  <c:y val="1.49584426946631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10730027917904426"/>
                  <c:y val="-0.1809722222222222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3.575525536372174E-2"/>
                  <c:y val="9.44025226013414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2.9997736521466926E-2"/>
                  <c:y val="8.25740011665208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0.10894420766211572"/>
                  <c:y val="0.209490740740740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'6.1'!$AD$24:$AD$28</c:f>
              <c:strCache>
                <c:ptCount val="5"/>
                <c:pt idx="0">
                  <c:v>Doctors</c:v>
                </c:pt>
                <c:pt idx="1">
                  <c:v>Nurses</c:v>
                </c:pt>
                <c:pt idx="2">
                  <c:v>Paramedical Staff</c:v>
                </c:pt>
                <c:pt idx="3">
                  <c:v>Community Health Personnel</c:v>
                </c:pt>
                <c:pt idx="4">
                  <c:v>Traditional Birth Attendant (Foolhuma)</c:v>
                </c:pt>
              </c:strCache>
            </c:strRef>
          </c:cat>
          <c:val>
            <c:numRef>
              <c:f>'6.1'!$AE$24:$AE$28</c:f>
              <c:numCache>
                <c:formatCode>0</c:formatCode>
                <c:ptCount val="5"/>
                <c:pt idx="0">
                  <c:v>18.158369873613619</c:v>
                </c:pt>
                <c:pt idx="1">
                  <c:v>56.17745679649213</c:v>
                </c:pt>
                <c:pt idx="2">
                  <c:v>10.007737941707507</c:v>
                </c:pt>
                <c:pt idx="3">
                  <c:v>14.392571575960794</c:v>
                </c:pt>
                <c:pt idx="4">
                  <c:v>1.263863812225948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52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380042300537675E-2"/>
          <c:y val="0.16261858572026322"/>
          <c:w val="0.90411614810284646"/>
          <c:h val="0.668866217809730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'6.1'!$AD$35</c:f>
              <c:strCache>
                <c:ptCount val="1"/>
                <c:pt idx="0">
                  <c:v>Doctors</c:v>
                </c:pt>
              </c:strCache>
            </c:strRef>
          </c:tx>
          <c:invertIfNegative val="0"/>
          <c:cat>
            <c:multiLvlStrRef>
              <c:f>'6.1'!$AE$33:$AH$34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'6.1'!$AE$35:$AH$35</c:f>
              <c:numCache>
                <c:formatCode>#,##0</c:formatCode>
                <c:ptCount val="4"/>
                <c:pt idx="0">
                  <c:v>177</c:v>
                </c:pt>
                <c:pt idx="1">
                  <c:v>109</c:v>
                </c:pt>
                <c:pt idx="2">
                  <c:v>363</c:v>
                </c:pt>
                <c:pt idx="3">
                  <c:v>55</c:v>
                </c:pt>
              </c:numCache>
            </c:numRef>
          </c:val>
        </c:ser>
        <c:ser>
          <c:idx val="1"/>
          <c:order val="1"/>
          <c:tx>
            <c:strRef>
              <c:f>'6.1'!$AD$36</c:f>
              <c:strCache>
                <c:ptCount val="1"/>
                <c:pt idx="0">
                  <c:v>Nurses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multiLvlStrRef>
              <c:f>'6.1'!$AE$33:$AH$34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'6.1'!$AE$36:$AH$36</c:f>
              <c:numCache>
                <c:formatCode>General</c:formatCode>
                <c:ptCount val="4"/>
                <c:pt idx="0">
                  <c:v>88</c:v>
                </c:pt>
                <c:pt idx="1">
                  <c:v>730</c:v>
                </c:pt>
                <c:pt idx="2">
                  <c:v>83</c:v>
                </c:pt>
                <c:pt idx="3">
                  <c:v>1277</c:v>
                </c:pt>
              </c:numCache>
            </c:numRef>
          </c:val>
        </c:ser>
        <c:ser>
          <c:idx val="2"/>
          <c:order val="2"/>
          <c:tx>
            <c:strRef>
              <c:f>'6.1'!$AD$39</c:f>
              <c:strCache>
                <c:ptCount val="1"/>
                <c:pt idx="0">
                  <c:v>Paramedical Staff</c:v>
                </c:pt>
              </c:strCache>
            </c:strRef>
          </c:tx>
          <c:invertIfNegative val="0"/>
          <c:cat>
            <c:multiLvlStrRef>
              <c:f>'6.1'!$AE$33:$AH$34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'6.1'!$AE$39:$AH$39</c:f>
              <c:numCache>
                <c:formatCode>General</c:formatCode>
                <c:ptCount val="4"/>
                <c:pt idx="0">
                  <c:v>66</c:v>
                </c:pt>
                <c:pt idx="1">
                  <c:v>114</c:v>
                </c:pt>
                <c:pt idx="2">
                  <c:v>121</c:v>
                </c:pt>
                <c:pt idx="3">
                  <c:v>87</c:v>
                </c:pt>
              </c:numCache>
            </c:numRef>
          </c:val>
        </c:ser>
        <c:ser>
          <c:idx val="3"/>
          <c:order val="3"/>
          <c:tx>
            <c:strRef>
              <c:f>'6.1'!$AD$40</c:f>
              <c:strCache>
                <c:ptCount val="1"/>
                <c:pt idx="0">
                  <c:v>Community Health Personnel</c:v>
                </c:pt>
              </c:strCache>
            </c:strRef>
          </c:tx>
          <c:invertIfNegative val="0"/>
          <c:cat>
            <c:multiLvlStrRef>
              <c:f>'6.1'!$AE$33:$AH$34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'6.1'!$AE$40:$AH$40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153</c:v>
                </c:pt>
                <c:pt idx="3">
                  <c:v>402</c:v>
                </c:pt>
              </c:numCache>
            </c:numRef>
          </c:val>
        </c:ser>
        <c:ser>
          <c:idx val="4"/>
          <c:order val="4"/>
          <c:tx>
            <c:strRef>
              <c:f>'6.1'!$AD$41</c:f>
              <c:strCache>
                <c:ptCount val="1"/>
                <c:pt idx="0">
                  <c:v>Traditional Birth Attendant (Foolhuma)</c:v>
                </c:pt>
              </c:strCache>
            </c:strRef>
          </c:tx>
          <c:invertIfNegative val="0"/>
          <c:cat>
            <c:multiLvlStrRef>
              <c:f>'6.1'!$AE$33:$AH$34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'6.1'!$AE$41:$AH$41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318272"/>
        <c:axId val="105319808"/>
      </c:barChart>
      <c:catAx>
        <c:axId val="105318272"/>
        <c:scaling>
          <c:orientation val="minMax"/>
        </c:scaling>
        <c:delete val="0"/>
        <c:axPos val="b"/>
        <c:majorTickMark val="none"/>
        <c:minorTickMark val="none"/>
        <c:tickLblPos val="nextTo"/>
        <c:crossAx val="105319808"/>
        <c:crosses val="autoZero"/>
        <c:auto val="1"/>
        <c:lblAlgn val="ctr"/>
        <c:lblOffset val="100"/>
        <c:noMultiLvlLbl val="0"/>
      </c:catAx>
      <c:valAx>
        <c:axId val="1053198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10531827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6260416319610261E-2"/>
          <c:y val="0.21122781391456505"/>
          <c:w val="0.68994961666463062"/>
          <c:h val="0.1909741717067975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1447799</xdr:colOff>
      <xdr:row>24</xdr:row>
      <xdr:rowOff>161925</xdr:rowOff>
    </xdr:from>
    <xdr:to>
      <xdr:col>12</xdr:col>
      <xdr:colOff>66675</xdr:colOff>
      <xdr:row>35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1447800</xdr:colOff>
      <xdr:row>38</xdr:row>
      <xdr:rowOff>66674</xdr:rowOff>
    </xdr:from>
    <xdr:to>
      <xdr:col>12</xdr:col>
      <xdr:colOff>76200</xdr:colOff>
      <xdr:row>51</xdr:row>
      <xdr:rowOff>133349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2190749</xdr:colOff>
      <xdr:row>38</xdr:row>
      <xdr:rowOff>104775</xdr:rowOff>
    </xdr:from>
    <xdr:to>
      <xdr:col>11</xdr:col>
      <xdr:colOff>38099</xdr:colOff>
      <xdr:row>39</xdr:row>
      <xdr:rowOff>190500</xdr:rowOff>
    </xdr:to>
    <xdr:sp macro="" textlink="">
      <xdr:nvSpPr>
        <xdr:cNvPr id="5" name="TextBox 4"/>
        <xdr:cNvSpPr txBox="1"/>
      </xdr:nvSpPr>
      <xdr:spPr>
        <a:xfrm>
          <a:off x="2190749" y="9086850"/>
          <a:ext cx="5419725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6.2: Distribution of Medical staff</a:t>
          </a:r>
          <a:r>
            <a:rPr lang="en-US" sz="11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by sex and locality, 2014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2152650</xdr:colOff>
      <xdr:row>39</xdr:row>
      <xdr:rowOff>104773</xdr:rowOff>
    </xdr:from>
    <xdr:to>
      <xdr:col>10</xdr:col>
      <xdr:colOff>495300</xdr:colOff>
      <xdr:row>39</xdr:row>
      <xdr:rowOff>104774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2152650" y="9334498"/>
          <a:ext cx="5362575" cy="1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0.18644</cdr:x>
      <cdr:y>0.11458</cdr:y>
    </cdr:from>
    <cdr:to>
      <cdr:x>0.81638</cdr:x>
      <cdr:y>0.11806</cdr:y>
    </cdr:to>
    <cdr:sp macro="" textlink="">
      <cdr:nvSpPr>
        <cdr:cNvPr id="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257301" y="314325"/>
          <a:ext cx="4248150" cy="952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58"/>
  <sheetViews>
    <sheetView tabSelected="1" zoomScaleNormal="100" workbookViewId="0">
      <selection activeCell="O40" sqref="O40"/>
    </sheetView>
  </sheetViews>
  <sheetFormatPr defaultColWidth="9.140625" defaultRowHeight="19.5" customHeight="1" x14ac:dyDescent="0.25"/>
  <cols>
    <col min="1" max="1" width="41.140625" style="7" customWidth="1"/>
    <col min="2" max="2" width="9.42578125" style="6" customWidth="1"/>
    <col min="3" max="4" width="8.28515625" style="6" customWidth="1"/>
    <col min="5" max="5" width="1.28515625" style="6" customWidth="1"/>
    <col min="6" max="6" width="9.42578125" style="6" customWidth="1"/>
    <col min="7" max="8" width="8.28515625" style="6" customWidth="1"/>
    <col min="9" max="9" width="1.28515625" style="6" customWidth="1"/>
    <col min="10" max="10" width="9.5703125" style="6" customWidth="1"/>
    <col min="11" max="12" width="8.28515625" style="6" customWidth="1"/>
    <col min="13" max="13" width="6.7109375" style="3" customWidth="1"/>
    <col min="14" max="14" width="6.5703125" style="3" bestFit="1" customWidth="1"/>
    <col min="15" max="15" width="26.42578125" style="3" customWidth="1"/>
    <col min="16" max="16384" width="9.140625" style="3"/>
  </cols>
  <sheetData>
    <row r="1" spans="1:39" ht="19.5" customHeight="1" x14ac:dyDescent="0.25">
      <c r="A1" s="67" t="s">
        <v>43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9"/>
    </row>
    <row r="2" spans="1:39" ht="24.75" customHeight="1" x14ac:dyDescent="0.25">
      <c r="A2" s="72" t="s">
        <v>38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4"/>
    </row>
    <row r="3" spans="1:39" ht="13.5" customHeight="1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0"/>
      <c r="N3" s="10"/>
      <c r="O3" s="10"/>
    </row>
    <row r="4" spans="1:39" ht="20.25" customHeight="1" x14ac:dyDescent="0.25">
      <c r="A4" s="56" t="s">
        <v>3</v>
      </c>
      <c r="B4" s="75" t="s">
        <v>46</v>
      </c>
      <c r="C4" s="76"/>
      <c r="D4" s="76"/>
      <c r="E4" s="52"/>
      <c r="F4" s="76" t="s">
        <v>47</v>
      </c>
      <c r="G4" s="76"/>
      <c r="H4" s="76"/>
      <c r="I4" s="52"/>
      <c r="J4" s="76" t="s">
        <v>48</v>
      </c>
      <c r="K4" s="76"/>
      <c r="L4" s="77"/>
      <c r="M4" s="58" t="s">
        <v>4</v>
      </c>
      <c r="N4" s="59"/>
      <c r="O4" s="60"/>
    </row>
    <row r="5" spans="1:39" ht="24" customHeight="1" x14ac:dyDescent="0.25">
      <c r="A5" s="57"/>
      <c r="B5" s="14" t="s">
        <v>6</v>
      </c>
      <c r="C5" s="14" t="s">
        <v>1</v>
      </c>
      <c r="D5" s="14" t="s">
        <v>2</v>
      </c>
      <c r="E5" s="15"/>
      <c r="F5" s="14" t="s">
        <v>6</v>
      </c>
      <c r="G5" s="14" t="s">
        <v>1</v>
      </c>
      <c r="H5" s="14" t="s">
        <v>2</v>
      </c>
      <c r="I5" s="15"/>
      <c r="J5" s="14" t="s">
        <v>6</v>
      </c>
      <c r="K5" s="14" t="s">
        <v>1</v>
      </c>
      <c r="L5" s="14" t="s">
        <v>2</v>
      </c>
      <c r="M5" s="61"/>
      <c r="N5" s="62"/>
      <c r="O5" s="63"/>
    </row>
    <row r="6" spans="1:39" ht="21.75" customHeight="1" x14ac:dyDescent="0.25">
      <c r="A6" s="17" t="s">
        <v>7</v>
      </c>
      <c r="B6" s="18">
        <f>SUM(B7:B8)</f>
        <v>704</v>
      </c>
      <c r="C6" s="19">
        <f>SUM(C7:C8)</f>
        <v>540</v>
      </c>
      <c r="D6" s="19">
        <f>SUM(D7:D8)</f>
        <v>164</v>
      </c>
      <c r="E6" s="20"/>
      <c r="F6" s="19">
        <f>SUM(F7:F8)</f>
        <v>286</v>
      </c>
      <c r="G6" s="19">
        <f>SUM(G7:G8)</f>
        <v>177</v>
      </c>
      <c r="H6" s="19">
        <f>SUM(H7:H8)</f>
        <v>109</v>
      </c>
      <c r="I6" s="20"/>
      <c r="J6" s="19">
        <f>SUM(J7:J8)</f>
        <v>418</v>
      </c>
      <c r="K6" s="19">
        <f>SUM(K7:K8)</f>
        <v>363</v>
      </c>
      <c r="L6" s="19">
        <f>SUM(L7:L8)</f>
        <v>55</v>
      </c>
      <c r="M6" s="32"/>
      <c r="N6" s="33"/>
      <c r="O6" s="34" t="s">
        <v>8</v>
      </c>
      <c r="P6" s="9"/>
    </row>
    <row r="7" spans="1:39" ht="21.75" customHeight="1" x14ac:dyDescent="0.25">
      <c r="A7" s="21" t="s">
        <v>9</v>
      </c>
      <c r="B7" s="22">
        <f>SUM(C7:D7)</f>
        <v>441</v>
      </c>
      <c r="C7" s="22">
        <f>G7+K7</f>
        <v>348</v>
      </c>
      <c r="D7" s="22">
        <f>H7+L7</f>
        <v>93</v>
      </c>
      <c r="E7" s="23"/>
      <c r="F7" s="22">
        <f>SUM(G7:H7)</f>
        <v>125</v>
      </c>
      <c r="G7" s="22">
        <v>71</v>
      </c>
      <c r="H7" s="22">
        <v>54</v>
      </c>
      <c r="I7" s="23"/>
      <c r="J7" s="22">
        <f>SUM(K7:L7)</f>
        <v>316</v>
      </c>
      <c r="K7" s="22">
        <v>277</v>
      </c>
      <c r="L7" s="22">
        <v>39</v>
      </c>
      <c r="M7" s="11"/>
      <c r="N7" s="35"/>
      <c r="O7" s="36" t="s">
        <v>10</v>
      </c>
    </row>
    <row r="8" spans="1:39" ht="21.75" customHeight="1" x14ac:dyDescent="0.25">
      <c r="A8" s="21" t="s">
        <v>11</v>
      </c>
      <c r="B8" s="22">
        <f>SUM(C8:D8)</f>
        <v>263</v>
      </c>
      <c r="C8" s="22">
        <f>G8+K8</f>
        <v>192</v>
      </c>
      <c r="D8" s="22">
        <f>H8+L8</f>
        <v>71</v>
      </c>
      <c r="E8" s="23"/>
      <c r="F8" s="22">
        <f>SUM(G8:H8)</f>
        <v>161</v>
      </c>
      <c r="G8" s="22">
        <v>106</v>
      </c>
      <c r="H8" s="22">
        <v>55</v>
      </c>
      <c r="I8" s="23"/>
      <c r="J8" s="22">
        <f>SUM(K8:L8)</f>
        <v>102</v>
      </c>
      <c r="K8" s="22">
        <v>86</v>
      </c>
      <c r="L8" s="22">
        <v>16</v>
      </c>
      <c r="M8" s="11"/>
      <c r="N8" s="35"/>
      <c r="O8" s="37" t="s">
        <v>12</v>
      </c>
    </row>
    <row r="9" spans="1:39" ht="21.75" customHeight="1" x14ac:dyDescent="0.25">
      <c r="A9" s="24" t="s">
        <v>13</v>
      </c>
      <c r="B9" s="50">
        <f>SUM(B10:B10)</f>
        <v>2178</v>
      </c>
      <c r="C9" s="26">
        <f>SUM(C10:C10)</f>
        <v>171</v>
      </c>
      <c r="D9" s="26">
        <f>SUM(D10:D10)</f>
        <v>2007</v>
      </c>
      <c r="E9" s="27"/>
      <c r="F9" s="26">
        <f>SUM(F10:F10)</f>
        <v>818</v>
      </c>
      <c r="G9" s="26">
        <f>SUM(G10:G10)</f>
        <v>88</v>
      </c>
      <c r="H9" s="26">
        <f>SUM(H10:H10)</f>
        <v>730</v>
      </c>
      <c r="I9" s="27"/>
      <c r="J9" s="26">
        <f>SUM(J10:J10)</f>
        <v>1360</v>
      </c>
      <c r="K9" s="26">
        <f>SUM(K10:K10)</f>
        <v>83</v>
      </c>
      <c r="L9" s="26">
        <f>SUM(L10:L10)</f>
        <v>1277</v>
      </c>
      <c r="M9" s="11"/>
      <c r="N9" s="35"/>
      <c r="O9" s="38" t="s">
        <v>14</v>
      </c>
    </row>
    <row r="10" spans="1:39" ht="21.75" customHeight="1" x14ac:dyDescent="0.25">
      <c r="A10" s="21" t="s">
        <v>15</v>
      </c>
      <c r="B10" s="22">
        <f>SUM(C10:D10)</f>
        <v>2178</v>
      </c>
      <c r="C10" s="22">
        <f>G10+K10</f>
        <v>171</v>
      </c>
      <c r="D10" s="22">
        <f>H10+L10</f>
        <v>2007</v>
      </c>
      <c r="E10" s="23"/>
      <c r="F10" s="22">
        <f>SUM(G10:H10)</f>
        <v>818</v>
      </c>
      <c r="G10" s="22">
        <v>88</v>
      </c>
      <c r="H10" s="22">
        <v>730</v>
      </c>
      <c r="I10" s="23"/>
      <c r="J10" s="22">
        <f>SUM(K10:L10)</f>
        <v>1360</v>
      </c>
      <c r="K10" s="22">
        <v>83</v>
      </c>
      <c r="L10" s="22">
        <v>1277</v>
      </c>
      <c r="M10" s="11"/>
      <c r="N10" s="35"/>
      <c r="O10" s="39" t="s">
        <v>14</v>
      </c>
    </row>
    <row r="11" spans="1:39" ht="21.75" customHeight="1" x14ac:dyDescent="0.25">
      <c r="A11" s="24" t="s">
        <v>16</v>
      </c>
      <c r="B11" s="26">
        <f>SUM(B12:B16)</f>
        <v>388</v>
      </c>
      <c r="C11" s="26">
        <f>SUM(C12:C16)</f>
        <v>187</v>
      </c>
      <c r="D11" s="26">
        <f>SUM(D12:D16)</f>
        <v>201</v>
      </c>
      <c r="E11" s="27"/>
      <c r="F11" s="26">
        <f>SUM(F12:F16)</f>
        <v>180</v>
      </c>
      <c r="G11" s="26">
        <f>SUM(G12:G16)</f>
        <v>66</v>
      </c>
      <c r="H11" s="26">
        <f>SUM(H12:H16)</f>
        <v>114</v>
      </c>
      <c r="I11" s="27"/>
      <c r="J11" s="26">
        <f>SUM(J12:J16)</f>
        <v>208</v>
      </c>
      <c r="K11" s="26">
        <f>SUM(K12:K16)</f>
        <v>121</v>
      </c>
      <c r="L11" s="26">
        <f>SUM(L12:L16)</f>
        <v>87</v>
      </c>
      <c r="M11" s="11"/>
      <c r="N11" s="35"/>
      <c r="O11" s="40" t="s">
        <v>17</v>
      </c>
    </row>
    <row r="12" spans="1:39" ht="37.5" customHeight="1" x14ac:dyDescent="0.25">
      <c r="A12" s="28" t="s">
        <v>39</v>
      </c>
      <c r="B12" s="22">
        <f>SUM(C12:D12)</f>
        <v>259</v>
      </c>
      <c r="C12" s="22">
        <f>G12+K12</f>
        <v>106</v>
      </c>
      <c r="D12" s="22">
        <f>H12+L12</f>
        <v>153</v>
      </c>
      <c r="E12" s="23"/>
      <c r="F12" s="22">
        <f>SUM(G12:H12)</f>
        <v>100</v>
      </c>
      <c r="G12" s="22">
        <v>22</v>
      </c>
      <c r="H12" s="22">
        <v>78</v>
      </c>
      <c r="I12" s="23"/>
      <c r="J12" s="22">
        <f>SUM(K12:L12)</f>
        <v>159</v>
      </c>
      <c r="K12" s="22">
        <v>84</v>
      </c>
      <c r="L12" s="22">
        <v>75</v>
      </c>
      <c r="M12" s="70" t="s">
        <v>42</v>
      </c>
      <c r="N12" s="70"/>
      <c r="O12" s="71"/>
      <c r="AD12" s="7"/>
      <c r="AE12" s="5"/>
      <c r="AF12" s="6"/>
      <c r="AG12" s="6"/>
      <c r="AH12" s="6"/>
      <c r="AI12" s="6"/>
      <c r="AJ12" s="5"/>
      <c r="AK12" s="5"/>
      <c r="AL12" s="5"/>
      <c r="AM12" s="5"/>
    </row>
    <row r="13" spans="1:39" ht="21.75" customHeight="1" x14ac:dyDescent="0.25">
      <c r="A13" s="21" t="s">
        <v>18</v>
      </c>
      <c r="B13" s="22">
        <f t="shared" ref="B13:B22" si="0">SUM(C13:D13)</f>
        <v>33</v>
      </c>
      <c r="C13" s="22">
        <f t="shared" ref="C13:D16" si="1">G13+K13</f>
        <v>16</v>
      </c>
      <c r="D13" s="22">
        <f t="shared" si="1"/>
        <v>17</v>
      </c>
      <c r="E13" s="23"/>
      <c r="F13" s="22">
        <f>SUM(G13:H13)</f>
        <v>23</v>
      </c>
      <c r="G13" s="22">
        <v>10</v>
      </c>
      <c r="H13" s="22">
        <v>13</v>
      </c>
      <c r="I13" s="23"/>
      <c r="J13" s="22">
        <f>SUM(K13:L13)</f>
        <v>10</v>
      </c>
      <c r="K13" s="22">
        <v>6</v>
      </c>
      <c r="L13" s="22">
        <v>4</v>
      </c>
      <c r="M13" s="16"/>
      <c r="N13" s="41"/>
      <c r="O13" s="42" t="s">
        <v>19</v>
      </c>
      <c r="AD13" s="7"/>
      <c r="AE13" s="14"/>
      <c r="AF13" s="14"/>
      <c r="AG13" s="6"/>
      <c r="AH13" s="6"/>
      <c r="AI13" s="6"/>
      <c r="AJ13" s="5"/>
      <c r="AK13" s="6"/>
      <c r="AL13" s="5"/>
      <c r="AM13" s="5"/>
    </row>
    <row r="14" spans="1:39" ht="21.75" customHeight="1" x14ac:dyDescent="0.25">
      <c r="A14" s="21" t="s">
        <v>20</v>
      </c>
      <c r="B14" s="22">
        <f t="shared" si="0"/>
        <v>67</v>
      </c>
      <c r="C14" s="22">
        <f t="shared" si="1"/>
        <v>51</v>
      </c>
      <c r="D14" s="22">
        <f t="shared" si="1"/>
        <v>16</v>
      </c>
      <c r="E14" s="23"/>
      <c r="F14" s="22">
        <f>SUM(G14:H14)</f>
        <v>31</v>
      </c>
      <c r="G14" s="22">
        <v>22</v>
      </c>
      <c r="H14" s="22">
        <v>9</v>
      </c>
      <c r="I14" s="23"/>
      <c r="J14" s="22">
        <f>SUM(K14:L14)</f>
        <v>36</v>
      </c>
      <c r="K14" s="22">
        <v>29</v>
      </c>
      <c r="L14" s="22">
        <v>7</v>
      </c>
      <c r="M14" s="16"/>
      <c r="N14" s="41"/>
      <c r="O14" s="42" t="s">
        <v>21</v>
      </c>
      <c r="AD14" s="7"/>
      <c r="AE14" s="6"/>
      <c r="AF14" s="6"/>
      <c r="AH14" s="6"/>
      <c r="AI14" s="6"/>
      <c r="AJ14" s="5"/>
      <c r="AK14" s="6"/>
      <c r="AL14" s="5"/>
      <c r="AM14" s="5"/>
    </row>
    <row r="15" spans="1:39" ht="21.75" customHeight="1" x14ac:dyDescent="0.25">
      <c r="A15" s="21" t="s">
        <v>40</v>
      </c>
      <c r="B15" s="22">
        <f t="shared" si="0"/>
        <v>29</v>
      </c>
      <c r="C15" s="22">
        <f t="shared" si="1"/>
        <v>14</v>
      </c>
      <c r="D15" s="22">
        <f t="shared" si="1"/>
        <v>15</v>
      </c>
      <c r="E15" s="23"/>
      <c r="F15" s="22">
        <f>SUM(G15:H15)</f>
        <v>26</v>
      </c>
      <c r="G15" s="22">
        <v>12</v>
      </c>
      <c r="H15" s="22">
        <v>14</v>
      </c>
      <c r="I15" s="23"/>
      <c r="J15" s="22">
        <f>SUM(K15:L15)</f>
        <v>3</v>
      </c>
      <c r="K15" s="22">
        <v>2</v>
      </c>
      <c r="L15" s="22">
        <v>1</v>
      </c>
      <c r="M15" s="16"/>
      <c r="N15" s="41"/>
      <c r="O15" s="42" t="s">
        <v>22</v>
      </c>
      <c r="AD15" s="7"/>
      <c r="AE15" s="6"/>
      <c r="AF15" s="6"/>
      <c r="AH15" s="6"/>
      <c r="AI15" s="6"/>
      <c r="AJ15" s="6"/>
      <c r="AK15" s="6"/>
      <c r="AL15" s="6"/>
      <c r="AM15" s="6"/>
    </row>
    <row r="16" spans="1:39" ht="21.75" hidden="1" customHeight="1" x14ac:dyDescent="0.25">
      <c r="A16" s="21" t="s">
        <v>23</v>
      </c>
      <c r="B16" s="22">
        <f t="shared" si="0"/>
        <v>0</v>
      </c>
      <c r="C16" s="22">
        <f t="shared" si="1"/>
        <v>0</v>
      </c>
      <c r="D16" s="22">
        <f t="shared" si="1"/>
        <v>0</v>
      </c>
      <c r="E16" s="23"/>
      <c r="F16" s="22"/>
      <c r="G16" s="22"/>
      <c r="H16" s="22"/>
      <c r="I16" s="23"/>
      <c r="J16" s="22"/>
      <c r="K16" s="22"/>
      <c r="L16" s="22"/>
      <c r="M16" s="11"/>
      <c r="N16" s="35"/>
      <c r="O16" s="43" t="s">
        <v>24</v>
      </c>
      <c r="AD16" s="7"/>
      <c r="AE16" s="6"/>
      <c r="AF16" s="6"/>
      <c r="AH16" s="6"/>
      <c r="AI16" s="6"/>
      <c r="AJ16" s="6"/>
      <c r="AK16" s="6"/>
      <c r="AL16" s="6"/>
      <c r="AM16" s="6"/>
    </row>
    <row r="17" spans="1:39" ht="21.75" customHeight="1" x14ac:dyDescent="0.25">
      <c r="A17" s="24" t="s">
        <v>25</v>
      </c>
      <c r="B17" s="25">
        <f>SUM(B18:B20)</f>
        <v>558</v>
      </c>
      <c r="C17" s="26">
        <f>SUM(C18:C20)</f>
        <v>154</v>
      </c>
      <c r="D17" s="26">
        <f>SUM(D18:D20)</f>
        <v>404</v>
      </c>
      <c r="E17" s="27"/>
      <c r="F17" s="26">
        <f>SUM(F18:F20)</f>
        <v>3</v>
      </c>
      <c r="G17" s="26">
        <f>SUM(G18:G20)</f>
        <v>1</v>
      </c>
      <c r="H17" s="26">
        <f>SUM(H18:H20)</f>
        <v>2</v>
      </c>
      <c r="I17" s="27"/>
      <c r="J17" s="26">
        <f>SUM(J18:J20)</f>
        <v>555</v>
      </c>
      <c r="K17" s="26">
        <f>SUM(K18:K20)</f>
        <v>153</v>
      </c>
      <c r="L17" s="26">
        <f>SUM(L18:L20)</f>
        <v>402</v>
      </c>
      <c r="M17" s="11"/>
      <c r="N17" s="35"/>
      <c r="O17" s="40" t="s">
        <v>26</v>
      </c>
      <c r="AD17" s="7"/>
      <c r="AE17" s="6"/>
      <c r="AF17" s="6"/>
      <c r="AH17" s="6"/>
      <c r="AI17" s="6"/>
      <c r="AJ17" s="6"/>
      <c r="AK17" s="6"/>
      <c r="AL17" s="6"/>
      <c r="AM17" s="6"/>
    </row>
    <row r="18" spans="1:39" ht="21.75" customHeight="1" x14ac:dyDescent="0.25">
      <c r="A18" s="21" t="s">
        <v>27</v>
      </c>
      <c r="B18" s="22">
        <f t="shared" si="0"/>
        <v>237</v>
      </c>
      <c r="C18" s="22">
        <f>G18+K18</f>
        <v>108</v>
      </c>
      <c r="D18" s="22">
        <f>H18+L18</f>
        <v>129</v>
      </c>
      <c r="E18" s="23"/>
      <c r="F18" s="22">
        <f>SUM(G18:H18)</f>
        <v>3</v>
      </c>
      <c r="G18" s="22">
        <v>1</v>
      </c>
      <c r="H18" s="22">
        <v>2</v>
      </c>
      <c r="I18" s="23"/>
      <c r="J18" s="22">
        <f>SUM(K18:L18)</f>
        <v>234</v>
      </c>
      <c r="K18" s="22">
        <v>107</v>
      </c>
      <c r="L18" s="22">
        <v>127</v>
      </c>
      <c r="M18" s="11"/>
      <c r="N18" s="35"/>
      <c r="O18" s="42" t="s">
        <v>28</v>
      </c>
      <c r="AD18" s="7"/>
      <c r="AE18" s="6"/>
      <c r="AF18" s="6"/>
      <c r="AH18" s="6"/>
      <c r="AI18" s="6"/>
      <c r="AJ18" s="6"/>
      <c r="AK18" s="6"/>
      <c r="AL18" s="6"/>
      <c r="AM18" s="6"/>
    </row>
    <row r="19" spans="1:39" ht="21.75" customHeight="1" x14ac:dyDescent="0.25">
      <c r="A19" s="21" t="s">
        <v>29</v>
      </c>
      <c r="B19" s="22">
        <f t="shared" si="0"/>
        <v>272</v>
      </c>
      <c r="C19" s="22">
        <f>G19+K19</f>
        <v>46</v>
      </c>
      <c r="D19" s="22">
        <f>H19+L19</f>
        <v>226</v>
      </c>
      <c r="E19" s="23"/>
      <c r="F19" s="22">
        <f>SUM(G19:H19)</f>
        <v>0</v>
      </c>
      <c r="G19" s="22">
        <v>0</v>
      </c>
      <c r="H19" s="22">
        <v>0</v>
      </c>
      <c r="I19" s="23"/>
      <c r="J19" s="22">
        <f>SUM(K19:L19)</f>
        <v>272</v>
      </c>
      <c r="K19" s="22">
        <v>46</v>
      </c>
      <c r="L19" s="22">
        <v>226</v>
      </c>
      <c r="M19" s="11"/>
      <c r="N19" s="35"/>
      <c r="O19" s="42" t="s">
        <v>30</v>
      </c>
      <c r="AD19" s="7"/>
      <c r="AE19" s="6"/>
      <c r="AF19" s="6"/>
      <c r="AG19" s="6"/>
      <c r="AH19" s="6"/>
      <c r="AI19" s="6"/>
      <c r="AJ19" s="6"/>
      <c r="AK19" s="6"/>
      <c r="AL19" s="6"/>
      <c r="AM19" s="6"/>
    </row>
    <row r="20" spans="1:39" ht="21.75" customHeight="1" x14ac:dyDescent="0.25">
      <c r="A20" s="24" t="s">
        <v>31</v>
      </c>
      <c r="B20" s="26">
        <f>SUM(B21:B22)</f>
        <v>49</v>
      </c>
      <c r="C20" s="26">
        <f>SUM(C21:C22)</f>
        <v>0</v>
      </c>
      <c r="D20" s="26">
        <f>SUM(D21:D22)</f>
        <v>49</v>
      </c>
      <c r="E20" s="27"/>
      <c r="F20" s="26">
        <f>SUM(F21:F22)</f>
        <v>0</v>
      </c>
      <c r="G20" s="26">
        <f>SUM(G21:G22)</f>
        <v>0</v>
      </c>
      <c r="H20" s="26">
        <f>SUM(H21:H22)</f>
        <v>0</v>
      </c>
      <c r="I20" s="27"/>
      <c r="J20" s="26">
        <f>SUM(J21:J22)</f>
        <v>49</v>
      </c>
      <c r="K20" s="26">
        <f>SUM(K21:K22)</f>
        <v>0</v>
      </c>
      <c r="L20" s="26">
        <f>SUM(L21:L22)</f>
        <v>49</v>
      </c>
      <c r="M20" s="11"/>
      <c r="N20" s="35"/>
      <c r="O20" s="40" t="s">
        <v>32</v>
      </c>
    </row>
    <row r="21" spans="1:39" ht="21.75" customHeight="1" x14ac:dyDescent="0.25">
      <c r="A21" s="21" t="s">
        <v>33</v>
      </c>
      <c r="B21" s="22">
        <f t="shared" si="0"/>
        <v>49</v>
      </c>
      <c r="C21" s="22">
        <f>G21+K21</f>
        <v>0</v>
      </c>
      <c r="D21" s="22">
        <f>H21+L21</f>
        <v>49</v>
      </c>
      <c r="E21" s="23"/>
      <c r="F21" s="22">
        <f>SUM(G21:H21)</f>
        <v>0</v>
      </c>
      <c r="G21" s="22">
        <v>0</v>
      </c>
      <c r="H21" s="22">
        <v>0</v>
      </c>
      <c r="I21" s="23"/>
      <c r="J21" s="22">
        <f>SUM(K21:L21)</f>
        <v>49</v>
      </c>
      <c r="K21" s="22">
        <v>0</v>
      </c>
      <c r="L21" s="22">
        <v>49</v>
      </c>
      <c r="M21" s="11"/>
      <c r="N21" s="35"/>
      <c r="O21" s="42" t="s">
        <v>34</v>
      </c>
    </row>
    <row r="22" spans="1:39" ht="21.75" customHeight="1" x14ac:dyDescent="0.25">
      <c r="A22" s="29" t="s">
        <v>35</v>
      </c>
      <c r="B22" s="30">
        <f t="shared" si="0"/>
        <v>0</v>
      </c>
      <c r="C22" s="30">
        <f>G22+K22</f>
        <v>0</v>
      </c>
      <c r="D22" s="30">
        <f>H22+L22</f>
        <v>0</v>
      </c>
      <c r="E22" s="31"/>
      <c r="F22" s="30">
        <f>SUM(G22:H22)</f>
        <v>0</v>
      </c>
      <c r="G22" s="30">
        <v>0</v>
      </c>
      <c r="H22" s="30">
        <v>0</v>
      </c>
      <c r="I22" s="31"/>
      <c r="J22" s="30">
        <f>SUM(K22:L22)</f>
        <v>0</v>
      </c>
      <c r="K22" s="30">
        <v>0</v>
      </c>
      <c r="L22" s="30">
        <v>0</v>
      </c>
      <c r="M22" s="12"/>
      <c r="N22" s="44"/>
      <c r="O22" s="45" t="s">
        <v>36</v>
      </c>
    </row>
    <row r="23" spans="1:39" ht="16.5" customHeight="1" x14ac:dyDescent="0.25">
      <c r="A23" s="53" t="s">
        <v>44</v>
      </c>
      <c r="B23" s="54"/>
      <c r="C23" s="55"/>
      <c r="O23" s="51" t="s">
        <v>45</v>
      </c>
      <c r="AD23" s="7"/>
      <c r="AE23" s="6"/>
      <c r="AF23" s="6"/>
      <c r="AG23" s="6">
        <f>SUM(AG24:AG28)</f>
        <v>3877</v>
      </c>
    </row>
    <row r="24" spans="1:39" ht="16.5" customHeight="1" x14ac:dyDescent="0.25">
      <c r="A24" s="48" t="s">
        <v>41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13"/>
      <c r="O24" s="8" t="s">
        <v>37</v>
      </c>
      <c r="AA24" s="49"/>
      <c r="AD24" s="7" t="s">
        <v>7</v>
      </c>
      <c r="AE24" s="47">
        <f>AG24/AG23*100</f>
        <v>18.158369873613619</v>
      </c>
      <c r="AF24" s="6"/>
      <c r="AG24" s="6">
        <v>704</v>
      </c>
    </row>
    <row r="25" spans="1:39" ht="19.5" customHeight="1" x14ac:dyDescent="0.25">
      <c r="B25" s="5"/>
      <c r="F25" s="46"/>
      <c r="G25" s="5"/>
      <c r="H25" s="5"/>
      <c r="I25" s="5"/>
      <c r="J25" s="5"/>
      <c r="K25" s="5"/>
      <c r="L25" s="5"/>
      <c r="M25" s="13"/>
      <c r="AD25" s="7" t="s">
        <v>13</v>
      </c>
      <c r="AE25" s="47">
        <f>AG25/AG23*100</f>
        <v>56.17745679649213</v>
      </c>
      <c r="AF25" s="6"/>
      <c r="AG25" s="6">
        <v>2178</v>
      </c>
    </row>
    <row r="26" spans="1:39" ht="19.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5"/>
      <c r="L26" s="5"/>
      <c r="M26" s="13"/>
      <c r="AD26" s="7" t="s">
        <v>16</v>
      </c>
      <c r="AE26" s="47">
        <f>AG26/AG23*100</f>
        <v>10.007737941707507</v>
      </c>
      <c r="AF26" s="6"/>
      <c r="AG26" s="6">
        <v>388</v>
      </c>
    </row>
    <row r="27" spans="1:39" ht="19.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5"/>
      <c r="L27" s="5"/>
      <c r="M27" s="13"/>
      <c r="AD27" s="7" t="s">
        <v>25</v>
      </c>
      <c r="AE27" s="47">
        <f>AG27/AG23*100</f>
        <v>14.392571575960794</v>
      </c>
      <c r="AF27" s="6"/>
      <c r="AG27" s="6">
        <v>558</v>
      </c>
    </row>
    <row r="28" spans="1:39" ht="19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5"/>
      <c r="L28" s="5"/>
      <c r="M28" s="13"/>
      <c r="AD28" s="7" t="s">
        <v>31</v>
      </c>
      <c r="AE28" s="47">
        <f>AG28/AG23*100</f>
        <v>1.263863812225948</v>
      </c>
      <c r="AF28" s="6"/>
      <c r="AG28" s="6">
        <v>49</v>
      </c>
    </row>
    <row r="29" spans="1:39" ht="19.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39" ht="19.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39" ht="19.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39" ht="19.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34" ht="19.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AE33" s="64" t="s">
        <v>0</v>
      </c>
      <c r="AF33" s="65"/>
      <c r="AG33" s="66" t="s">
        <v>5</v>
      </c>
      <c r="AH33" s="66"/>
    </row>
    <row r="34" spans="1:34" ht="19.5" customHeight="1" x14ac:dyDescent="0.25">
      <c r="AE34" s="14" t="s">
        <v>1</v>
      </c>
      <c r="AF34" s="14" t="s">
        <v>2</v>
      </c>
      <c r="AG34" s="14" t="s">
        <v>1</v>
      </c>
      <c r="AH34" s="14" t="s">
        <v>2</v>
      </c>
    </row>
    <row r="35" spans="1:34" ht="19.5" customHeight="1" x14ac:dyDescent="0.25">
      <c r="AD35" s="17" t="s">
        <v>7</v>
      </c>
      <c r="AE35" s="19">
        <v>177</v>
      </c>
      <c r="AF35" s="19">
        <v>109</v>
      </c>
      <c r="AG35" s="19">
        <v>363</v>
      </c>
      <c r="AH35" s="19">
        <v>55</v>
      </c>
    </row>
    <row r="36" spans="1:34" ht="19.5" customHeight="1" x14ac:dyDescent="0.25">
      <c r="AD36" s="3" t="s">
        <v>13</v>
      </c>
      <c r="AE36" s="3">
        <v>88</v>
      </c>
      <c r="AF36" s="3">
        <v>730</v>
      </c>
      <c r="AG36" s="3">
        <v>83</v>
      </c>
      <c r="AH36" s="3">
        <v>1277</v>
      </c>
    </row>
    <row r="39" spans="1:34" ht="19.5" customHeight="1" x14ac:dyDescent="0.25">
      <c r="AD39" s="3" t="s">
        <v>16</v>
      </c>
      <c r="AE39" s="3">
        <v>66</v>
      </c>
      <c r="AF39" s="3">
        <v>114</v>
      </c>
      <c r="AG39" s="3">
        <v>121</v>
      </c>
      <c r="AH39" s="3">
        <v>87</v>
      </c>
    </row>
    <row r="40" spans="1:34" ht="19.5" customHeight="1" x14ac:dyDescent="0.25">
      <c r="AD40" s="3" t="s">
        <v>25</v>
      </c>
      <c r="AE40" s="3">
        <v>1</v>
      </c>
      <c r="AF40" s="3">
        <v>2</v>
      </c>
      <c r="AG40" s="3">
        <v>153</v>
      </c>
      <c r="AH40" s="3">
        <v>402</v>
      </c>
    </row>
    <row r="41" spans="1:34" ht="19.5" customHeight="1" x14ac:dyDescent="0.25">
      <c r="AD41" s="3" t="s">
        <v>31</v>
      </c>
      <c r="AE41" s="3">
        <v>0</v>
      </c>
      <c r="AF41" s="3">
        <v>0</v>
      </c>
      <c r="AG41" s="3">
        <v>0</v>
      </c>
      <c r="AH41" s="3">
        <v>49</v>
      </c>
    </row>
    <row r="53" spans="1:4" ht="19.5" customHeight="1" x14ac:dyDescent="0.25">
      <c r="A53" s="3"/>
      <c r="B53" s="3"/>
      <c r="C53" s="3"/>
      <c r="D53" s="3"/>
    </row>
    <row r="54" spans="1:4" ht="19.5" customHeight="1" x14ac:dyDescent="0.25">
      <c r="A54" s="3"/>
      <c r="B54" s="3"/>
      <c r="C54" s="3"/>
      <c r="D54" s="3"/>
    </row>
    <row r="55" spans="1:4" ht="19.5" customHeight="1" x14ac:dyDescent="0.25">
      <c r="A55" s="3"/>
      <c r="B55" s="3"/>
      <c r="C55" s="3"/>
      <c r="D55" s="3"/>
    </row>
    <row r="56" spans="1:4" ht="19.5" customHeight="1" x14ac:dyDescent="0.25">
      <c r="A56" s="3"/>
      <c r="B56" s="3"/>
      <c r="C56" s="3"/>
      <c r="D56" s="3"/>
    </row>
    <row r="57" spans="1:4" ht="19.5" customHeight="1" x14ac:dyDescent="0.25">
      <c r="A57" s="3"/>
      <c r="B57" s="3"/>
      <c r="C57" s="3"/>
      <c r="D57" s="3"/>
    </row>
    <row r="58" spans="1:4" ht="19.5" customHeight="1" x14ac:dyDescent="0.25">
      <c r="A58" s="3"/>
      <c r="B58" s="3"/>
      <c r="C58" s="3"/>
      <c r="D58" s="3"/>
    </row>
  </sheetData>
  <mergeCells count="11">
    <mergeCell ref="A1:O1"/>
    <mergeCell ref="M12:O12"/>
    <mergeCell ref="A2:O2"/>
    <mergeCell ref="B4:D4"/>
    <mergeCell ref="F4:H4"/>
    <mergeCell ref="J4:L4"/>
    <mergeCell ref="A23:C23"/>
    <mergeCell ref="A4:A5"/>
    <mergeCell ref="M4:O5"/>
    <mergeCell ref="AE33:AF33"/>
    <mergeCell ref="AG33:AH33"/>
  </mergeCells>
  <pageMargins left="0.7" right="0.7" top="0.75" bottom="0.75" header="0.3" footer="0.3"/>
  <pageSetup paperSize="9" scale="66" orientation="landscape" verticalDpi="4294967295" r:id="rId1"/>
  <rowBreaks count="1" manualBreakCount="1">
    <brk id="36" max="16" man="1"/>
  </rowBreaks>
  <ignoredErrors>
    <ignoredError sqref="B9:L22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</vt:lpstr>
      <vt:lpstr>'6.1'!Print_Area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2015-12-03T06:52:35Z</cp:lastPrinted>
  <dcterms:created xsi:type="dcterms:W3CDTF">2014-03-04T09:17:57Z</dcterms:created>
  <dcterms:modified xsi:type="dcterms:W3CDTF">2015-12-03T06:52:41Z</dcterms:modified>
</cp:coreProperties>
</file>