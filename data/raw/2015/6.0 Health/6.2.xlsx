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60" windowHeight="11190" tabRatio="841"/>
  </bookViews>
  <sheets>
    <sheet name="6.2" sheetId="19" r:id="rId1"/>
  </sheets>
  <definedNames>
    <definedName name="_xlnm.Print_Area" localSheetId="0">'6.2'!$A$1:$M$34</definedName>
  </definedNames>
  <calcPr calcId="144525"/>
</workbook>
</file>

<file path=xl/calcChain.xml><?xml version="1.0" encoding="utf-8"?>
<calcChain xmlns="http://schemas.openxmlformats.org/spreadsheetml/2006/main">
  <c r="D18" i="19" l="1"/>
  <c r="C18" i="19"/>
  <c r="B18" i="19" s="1"/>
  <c r="D17" i="19"/>
  <c r="C17" i="19"/>
  <c r="B17" i="19" s="1"/>
  <c r="D16" i="19"/>
  <c r="C16" i="19"/>
  <c r="B16" i="19" s="1"/>
  <c r="D14" i="19"/>
  <c r="C14" i="19"/>
  <c r="B14" i="19" s="1"/>
  <c r="D13" i="19"/>
  <c r="C13" i="19"/>
  <c r="B13" i="19"/>
  <c r="D12" i="19"/>
  <c r="C12" i="19"/>
  <c r="B12" i="19" s="1"/>
  <c r="D11" i="19"/>
  <c r="C11" i="19"/>
  <c r="B11" i="19"/>
  <c r="D10" i="19"/>
  <c r="C10" i="19"/>
  <c r="B10" i="19"/>
  <c r="D9" i="19"/>
  <c r="D7" i="19" s="1"/>
  <c r="Z22" i="19" s="1"/>
  <c r="C9" i="19"/>
  <c r="B9" i="19" s="1"/>
  <c r="D8" i="19"/>
  <c r="C8" i="19"/>
  <c r="B8" i="19"/>
  <c r="K7" i="19"/>
  <c r="J7" i="19"/>
  <c r="H7" i="19"/>
  <c r="G7" i="19"/>
  <c r="F7" i="19"/>
  <c r="E7" i="19"/>
  <c r="C7" i="19" l="1"/>
  <c r="B7" i="19" l="1"/>
  <c r="Y22" i="19"/>
  <c r="AA22" i="19" s="1"/>
</calcChain>
</file>

<file path=xl/sharedStrings.xml><?xml version="1.0" encoding="utf-8"?>
<sst xmlns="http://schemas.openxmlformats.org/spreadsheetml/2006/main" count="66" uniqueCount="46">
  <si>
    <t>Total</t>
  </si>
  <si>
    <t>-</t>
  </si>
  <si>
    <t>Categories of Health Personnel</t>
  </si>
  <si>
    <t>ސިއްހީ ދާއިރާގެ މުވައްޒިފުން</t>
  </si>
  <si>
    <t xml:space="preserve">cnurwTckoD egukwtilwbumcaWA   </t>
  </si>
  <si>
    <t xml:space="preserve">cnurwTckoD wBcaWH cSwkwtilwbikeaikea   </t>
  </si>
  <si>
    <t>Nurses</t>
  </si>
  <si>
    <t>cnuhurwn</t>
  </si>
  <si>
    <t>ފޫޅުމައިން</t>
  </si>
  <si>
    <t>މަޢުލޫމާތު ދެއްވީ: މިނިސްޓްރީ އޮފް ހެލްތް</t>
  </si>
  <si>
    <t>PUBLIC SECTOR</t>
  </si>
  <si>
    <t xml:space="preserve"> PRIVATE  SECTOR </t>
  </si>
  <si>
    <t>MALE'</t>
  </si>
  <si>
    <t>ATOLLS</t>
  </si>
  <si>
    <t>REPUBLIC</t>
  </si>
  <si>
    <t>expat</t>
  </si>
  <si>
    <t>local</t>
  </si>
  <si>
    <t>Doctors (MBBS)</t>
  </si>
  <si>
    <t>Doctors (Specialists)</t>
  </si>
  <si>
    <t>ލެބޯރެޓަރީ ސައިންސިސްޓްސް</t>
  </si>
  <si>
    <t>Physiotherapists</t>
  </si>
  <si>
    <t>Radiographers</t>
  </si>
  <si>
    <t>ރޭޑިއޯގްރާފަރސް</t>
  </si>
  <si>
    <t>ޑެންޓިސްޓުން</t>
  </si>
  <si>
    <t>Pharmacists / Pharmacy Asst.2_/</t>
  </si>
  <si>
    <t>ފާމަސިސްޓް 2_/</t>
  </si>
  <si>
    <t>Community Health Workers</t>
  </si>
  <si>
    <t>ޖަމާއަތުގެ ސިއްޚި އެހީތެރިން</t>
  </si>
  <si>
    <t>Family  Health Workers</t>
  </si>
  <si>
    <t>އާއިލީ ސިއްޚީ އެހީތެރިން</t>
  </si>
  <si>
    <t>Foolhumaas (TBAs)</t>
  </si>
  <si>
    <t>ޖުމްލަ</t>
  </si>
  <si>
    <t xml:space="preserve">ޕްރައިވެޓް ސެކްޓަރގައި ހިމެނެނީ ހަމަ އެކަނި އޭޑީކޭ ހޮސޕިޓަލް </t>
  </si>
  <si>
    <t>2_/:  All  Pharmacists / Pharmacy Assts. under pvt sector</t>
  </si>
  <si>
    <t>2_/ ފާރމަސިސްޓުންނާއި އެސިސްޓަންޓް ފާރމަސިސްޓޫން (ޕްރައިވެޓް ސެކްޓަރ)</t>
  </si>
  <si>
    <t>Table 6.2: HEALTH PERSONNEL BY LOCALS AND EXPATRIATES  - 2014</t>
  </si>
  <si>
    <t xml:space="preserve">Total </t>
  </si>
  <si>
    <t xml:space="preserve">2014, udwdwA egcnIsEdib iaWncnihevid Wrukctwkcawswm iawgWriaWd IHcaiB : 6.2 clwvWt   </t>
  </si>
  <si>
    <t xml:space="preserve">Laboratory Scientists / Laboratory technicians/ laboratory assistants </t>
  </si>
  <si>
    <t>ފިޒިއީތެރަޕިސްޓްސް</t>
  </si>
  <si>
    <t xml:space="preserve"> Dental technicians / dental assistants</t>
  </si>
  <si>
    <t>Note: Pvt. Sector data  includes ADK &amp; IMDC (in Addu City)only</t>
  </si>
  <si>
    <t xml:space="preserve">Source: Ministry of Health </t>
  </si>
  <si>
    <t>NA</t>
  </si>
  <si>
    <t>Expatriate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</si>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</sst>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-* #,##0.00\ _ރ_._-;_-* #,##0.00\ _ރ_.\-;_-* &quot;-&quot;??\ _ރ_._-;_-@_-"/>
    <numFmt numFmtId="166" formatCode="0.00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9"/>
      <name val="Faruma"/>
    </font>
    <font>
      <i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name val="Faruma"/>
    </font>
    <font>
      <b/>
      <sz val="10"/>
      <name val="Calibri"/>
      <family val="2"/>
      <scheme val="minor"/>
    </font>
    <font>
      <b/>
      <sz val="9"/>
      <name val="A_Randhoo"/>
    </font>
    <font>
      <sz val="9"/>
      <name val="A_Randhoo"/>
    </font>
    <font>
      <b/>
      <i/>
      <sz val="10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9"/>
      <color rgb="FFFF0000"/>
      <name val="Faruma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rgb="FFFF0000"/>
      <name val="Calibri"/>
      <family val="2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theme="1"/>
      <name val="Faruma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</borders>
  <cellStyleXfs count="60">
    <xf numFmtId="0" fontId="0" fillId="0" borderId="0"/>
    <xf numFmtId="0" fontId="1" fillId="0" borderId="0"/>
    <xf numFmtId="164" fontId="14" fillId="0" borderId="0"/>
    <xf numFmtId="165" fontId="21" fillId="0" borderId="0" applyFont="0" applyFill="0" applyBorder="0" applyAlignment="0" applyProtection="0"/>
    <xf numFmtId="0" fontId="21" fillId="0" borderId="0"/>
    <xf numFmtId="0" fontId="25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6" borderId="0" applyNumberFormat="0" applyBorder="0" applyAlignment="0" applyProtection="0"/>
    <xf numFmtId="0" fontId="25" fillId="9" borderId="0" applyNumberFormat="0" applyBorder="0" applyAlignment="0" applyProtection="0"/>
    <xf numFmtId="0" fontId="25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7" fillId="4" borderId="0" applyNumberFormat="0" applyBorder="0" applyAlignment="0" applyProtection="0"/>
    <xf numFmtId="0" fontId="28" fillId="21" borderId="15" applyNumberFormat="0" applyAlignment="0" applyProtection="0"/>
    <xf numFmtId="0" fontId="29" fillId="22" borderId="16" applyNumberFormat="0" applyAlignment="0" applyProtection="0"/>
    <xf numFmtId="40" fontId="23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5" borderId="0" applyNumberFormat="0" applyBorder="0" applyAlignment="0" applyProtection="0"/>
    <xf numFmtId="0" fontId="32" fillId="0" borderId="17" applyNumberFormat="0" applyFill="0" applyAlignment="0" applyProtection="0"/>
    <xf numFmtId="0" fontId="33" fillId="0" borderId="18" applyNumberFormat="0" applyFill="0" applyAlignment="0" applyProtection="0"/>
    <xf numFmtId="0" fontId="34" fillId="0" borderId="19" applyNumberFormat="0" applyFill="0" applyAlignment="0" applyProtection="0"/>
    <xf numFmtId="0" fontId="34" fillId="0" borderId="0" applyNumberFormat="0" applyFill="0" applyBorder="0" applyAlignment="0" applyProtection="0"/>
    <xf numFmtId="0" fontId="35" fillId="8" borderId="15" applyNumberFormat="0" applyAlignment="0" applyProtection="0"/>
    <xf numFmtId="0" fontId="36" fillId="0" borderId="20" applyNumberFormat="0" applyFill="0" applyAlignment="0" applyProtection="0"/>
    <xf numFmtId="0" fontId="37" fillId="23" borderId="0" applyNumberFormat="0" applyBorder="0" applyAlignment="0" applyProtection="0"/>
    <xf numFmtId="166" fontId="24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164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25" fillId="24" borderId="21" applyNumberFormat="0" applyFont="0" applyAlignment="0" applyProtection="0"/>
    <xf numFmtId="0" fontId="38" fillId="21" borderId="22" applyNumberFormat="0" applyAlignment="0" applyProtection="0"/>
    <xf numFmtId="9" fontId="2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23" applyNumberFormat="0" applyFill="0" applyAlignment="0" applyProtection="0"/>
    <xf numFmtId="0" fontId="40" fillId="0" borderId="0" applyNumberFormat="0" applyFill="0" applyBorder="0" applyAlignment="0" applyProtection="0"/>
  </cellStyleXfs>
  <cellXfs count="84">
    <xf numFmtId="0" fontId="0" fillId="0" borderId="0" xfId="0"/>
    <xf numFmtId="164" fontId="0" fillId="2" borderId="4" xfId="0" applyNumberFormat="1" applyFill="1" applyBorder="1"/>
    <xf numFmtId="164" fontId="0" fillId="2" borderId="1" xfId="0" applyNumberFormat="1" applyFill="1" applyBorder="1"/>
    <xf numFmtId="0" fontId="6" fillId="2" borderId="1" xfId="0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0" fontId="10" fillId="2" borderId="8" xfId="0" applyNumberFormat="1" applyFont="1" applyFill="1" applyBorder="1" applyAlignment="1">
      <alignment horizontal="right" vertical="center"/>
    </xf>
    <xf numFmtId="0" fontId="22" fillId="2" borderId="4" xfId="0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horizontal="right" vertical="center"/>
    </xf>
    <xf numFmtId="164" fontId="15" fillId="2" borderId="3" xfId="0" applyNumberFormat="1" applyFont="1" applyFill="1" applyBorder="1" applyAlignment="1">
      <alignment vertical="center"/>
    </xf>
    <xf numFmtId="0" fontId="13" fillId="2" borderId="5" xfId="0" applyNumberFormat="1" applyFont="1" applyFill="1" applyBorder="1" applyAlignment="1">
      <alignment horizontal="left" vertical="center" wrapText="1"/>
    </xf>
    <xf numFmtId="0" fontId="13" fillId="2" borderId="5" xfId="0" applyNumberFormat="1" applyFont="1" applyFill="1" applyBorder="1" applyAlignment="1">
      <alignment horizontal="left" vertical="center"/>
    </xf>
    <xf numFmtId="0" fontId="0" fillId="2" borderId="5" xfId="0" applyFill="1" applyBorder="1"/>
    <xf numFmtId="164" fontId="0" fillId="2" borderId="1" xfId="0" applyNumberFormat="1" applyFill="1" applyBorder="1" applyAlignment="1"/>
    <xf numFmtId="0" fontId="5" fillId="2" borderId="0" xfId="0" applyNumberFormat="1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right" vertical="center"/>
    </xf>
    <xf numFmtId="0" fontId="5" fillId="2" borderId="0" xfId="0" applyNumberFormat="1" applyFont="1" applyFill="1" applyBorder="1" applyAlignment="1" applyProtection="1">
      <alignment horizontal="left" vertical="center" wrapText="1"/>
    </xf>
    <xf numFmtId="0" fontId="5" fillId="2" borderId="0" xfId="0" applyNumberFormat="1" applyFont="1" applyFill="1" applyBorder="1" applyAlignment="1" applyProtection="1">
      <alignment vertical="center" wrapText="1"/>
    </xf>
    <xf numFmtId="0" fontId="7" fillId="2" borderId="6" xfId="0" applyNumberFormat="1" applyFont="1" applyFill="1" applyBorder="1" applyAlignment="1" applyProtection="1"/>
    <xf numFmtId="0" fontId="3" fillId="2" borderId="6" xfId="0" applyNumberFormat="1" applyFont="1" applyFill="1" applyBorder="1"/>
    <xf numFmtId="0" fontId="10" fillId="2" borderId="6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right" vertical="center"/>
    </xf>
    <xf numFmtId="0" fontId="7" fillId="2" borderId="1" xfId="0" applyNumberFormat="1" applyFont="1" applyFill="1" applyBorder="1" applyAlignment="1" applyProtection="1">
      <alignment horizontal="left" vertical="center" wrapText="1"/>
    </xf>
    <xf numFmtId="0" fontId="3" fillId="2" borderId="1" xfId="0" applyNumberFormat="1" applyFont="1" applyFill="1" applyBorder="1"/>
    <xf numFmtId="164" fontId="16" fillId="2" borderId="1" xfId="0" applyNumberFormat="1" applyFont="1" applyFill="1" applyBorder="1"/>
    <xf numFmtId="0" fontId="8" fillId="2" borderId="1" xfId="0" applyNumberFormat="1" applyFont="1" applyFill="1" applyBorder="1" applyAlignment="1">
      <alignment wrapText="1"/>
    </xf>
    <xf numFmtId="0" fontId="0" fillId="2" borderId="1" xfId="0" applyFill="1" applyBorder="1"/>
    <xf numFmtId="164" fontId="19" fillId="2" borderId="1" xfId="0" applyNumberFormat="1" applyFont="1" applyFill="1" applyBorder="1" applyAlignment="1">
      <alignment horizontal="right" vertical="center"/>
    </xf>
    <xf numFmtId="164" fontId="16" fillId="2" borderId="3" xfId="0" applyNumberFormat="1" applyFont="1" applyFill="1" applyBorder="1"/>
    <xf numFmtId="164" fontId="19" fillId="2" borderId="3" xfId="0" applyNumberFormat="1" applyFont="1" applyFill="1" applyBorder="1" applyAlignment="1">
      <alignment horizontal="right" vertical="center"/>
    </xf>
    <xf numFmtId="164" fontId="0" fillId="2" borderId="1" xfId="0" applyNumberFormat="1" applyFill="1" applyBorder="1" applyAlignment="1">
      <alignment wrapText="1"/>
    </xf>
    <xf numFmtId="0" fontId="10" fillId="2" borderId="8" xfId="0" applyNumberFormat="1" applyFont="1" applyFill="1" applyBorder="1" applyAlignment="1">
      <alignment horizontal="center"/>
    </xf>
    <xf numFmtId="3" fontId="3" fillId="2" borderId="0" xfId="0" applyNumberFormat="1" applyFont="1" applyFill="1" applyBorder="1" applyAlignment="1">
      <alignment horizontal="center" vertical="center"/>
    </xf>
    <xf numFmtId="3" fontId="3" fillId="2" borderId="10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right" vertical="center"/>
    </xf>
    <xf numFmtId="0" fontId="10" fillId="2" borderId="24" xfId="0" applyNumberFormat="1" applyFont="1" applyFill="1" applyBorder="1" applyAlignment="1">
      <alignment horizontal="center" vertical="center"/>
    </xf>
    <xf numFmtId="0" fontId="3" fillId="2" borderId="25" xfId="0" applyNumberFormat="1" applyFont="1" applyFill="1" applyBorder="1" applyAlignment="1">
      <alignment vertical="center"/>
    </xf>
    <xf numFmtId="0" fontId="10" fillId="2" borderId="12" xfId="0" applyNumberFormat="1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 vertical="center"/>
    </xf>
    <xf numFmtId="0" fontId="5" fillId="2" borderId="8" xfId="0" applyNumberFormat="1" applyFont="1" applyFill="1" applyBorder="1" applyAlignment="1">
      <alignment horizontal="left" vertical="center" wrapText="1"/>
    </xf>
    <xf numFmtId="3" fontId="3" fillId="2" borderId="8" xfId="0" applyNumberFormat="1" applyFont="1" applyFill="1" applyBorder="1" applyAlignment="1">
      <alignment horizontal="right" vertical="center"/>
    </xf>
    <xf numFmtId="3" fontId="3" fillId="2" borderId="12" xfId="0" applyNumberFormat="1" applyFont="1" applyFill="1" applyBorder="1" applyAlignment="1">
      <alignment horizontal="center" vertical="center"/>
    </xf>
    <xf numFmtId="3" fontId="3" fillId="2" borderId="8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right" vertical="center"/>
    </xf>
    <xf numFmtId="0" fontId="10" fillId="2" borderId="7" xfId="0" applyNumberFormat="1" applyFont="1" applyFill="1" applyBorder="1" applyAlignment="1">
      <alignment horizontal="left" vertical="center" wrapText="1"/>
    </xf>
    <xf numFmtId="3" fontId="10" fillId="2" borderId="7" xfId="0" applyNumberFormat="1" applyFont="1" applyFill="1" applyBorder="1" applyAlignment="1">
      <alignment horizontal="right" vertical="center"/>
    </xf>
    <xf numFmtId="3" fontId="10" fillId="2" borderId="9" xfId="0" applyNumberFormat="1" applyFont="1" applyFill="1" applyBorder="1" applyAlignment="1">
      <alignment horizontal="center" vertical="center"/>
    </xf>
    <xf numFmtId="3" fontId="10" fillId="2" borderId="7" xfId="0" applyNumberFormat="1" applyFont="1" applyFill="1" applyBorder="1" applyAlignment="1">
      <alignment horizontal="center" vertical="center"/>
    </xf>
    <xf numFmtId="3" fontId="10" fillId="2" borderId="7" xfId="0" applyNumberFormat="1" applyFont="1" applyFill="1" applyBorder="1" applyAlignment="1">
      <alignment horizontal="right" vertical="center" wrapText="1"/>
    </xf>
    <xf numFmtId="3" fontId="10" fillId="2" borderId="0" xfId="0" applyNumberFormat="1" applyFont="1" applyFill="1" applyBorder="1" applyAlignment="1">
      <alignment horizontal="right" vertical="center" wrapText="1"/>
    </xf>
    <xf numFmtId="3" fontId="10" fillId="2" borderId="8" xfId="0" applyNumberFormat="1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right" vertical="center"/>
    </xf>
    <xf numFmtId="0" fontId="18" fillId="2" borderId="2" xfId="0" applyNumberFormat="1" applyFont="1" applyFill="1" applyBorder="1" applyAlignment="1">
      <alignment horizontal="left" wrapText="1"/>
    </xf>
    <xf numFmtId="0" fontId="18" fillId="2" borderId="3" xfId="0" applyNumberFormat="1" applyFont="1" applyFill="1" applyBorder="1" applyAlignment="1">
      <alignment horizontal="left" wrapText="1"/>
    </xf>
    <xf numFmtId="0" fontId="18" fillId="2" borderId="2" xfId="0" applyNumberFormat="1" applyFont="1" applyFill="1" applyBorder="1" applyAlignment="1">
      <alignment horizontal="left" wrapText="1"/>
    </xf>
    <xf numFmtId="0" fontId="18" fillId="2" borderId="3" xfId="0" applyNumberFormat="1" applyFont="1" applyFill="1" applyBorder="1" applyAlignment="1">
      <alignment horizontal="left" wrapText="1"/>
    </xf>
    <xf numFmtId="0" fontId="18" fillId="2" borderId="4" xfId="0" applyNumberFormat="1" applyFont="1" applyFill="1" applyBorder="1" applyAlignment="1">
      <alignment horizontal="left" wrapText="1"/>
    </xf>
    <xf numFmtId="0" fontId="2" fillId="2" borderId="7" xfId="0" applyNumberFormat="1" applyFont="1" applyFill="1" applyBorder="1" applyAlignment="1">
      <alignment horizontal="left" vertical="center" wrapText="1"/>
    </xf>
    <xf numFmtId="0" fontId="2" fillId="2" borderId="0" xfId="0" applyNumberFormat="1" applyFont="1" applyFill="1" applyBorder="1" applyAlignment="1">
      <alignment horizontal="left" vertical="center" wrapText="1"/>
    </xf>
    <xf numFmtId="0" fontId="2" fillId="2" borderId="8" xfId="0" applyNumberFormat="1" applyFont="1" applyFill="1" applyBorder="1" applyAlignment="1">
      <alignment horizontal="left" vertical="center" wrapText="1"/>
    </xf>
    <xf numFmtId="0" fontId="8" fillId="2" borderId="2" xfId="0" applyNumberFormat="1" applyFont="1" applyFill="1" applyBorder="1" applyAlignment="1">
      <alignment horizontal="left" vertical="center" wrapText="1"/>
    </xf>
    <xf numFmtId="0" fontId="8" fillId="2" borderId="3" xfId="0" applyNumberFormat="1" applyFont="1" applyFill="1" applyBorder="1" applyAlignment="1">
      <alignment horizontal="left" vertical="center" wrapText="1"/>
    </xf>
    <xf numFmtId="0" fontId="8" fillId="2" borderId="4" xfId="0" applyNumberFormat="1" applyFont="1" applyFill="1" applyBorder="1" applyAlignment="1">
      <alignment horizontal="left" vertical="center" wrapText="1"/>
    </xf>
    <xf numFmtId="0" fontId="10" fillId="2" borderId="13" xfId="0" applyNumberFormat="1" applyFont="1" applyFill="1" applyBorder="1" applyAlignment="1">
      <alignment horizontal="center" vertical="center"/>
    </xf>
    <xf numFmtId="0" fontId="2" fillId="2" borderId="7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8" xfId="0" applyNumberFormat="1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7" fillId="2" borderId="2" xfId="0" applyNumberFormat="1" applyFont="1" applyFill="1" applyBorder="1" applyAlignment="1">
      <alignment horizontal="center" vertical="center"/>
    </xf>
    <xf numFmtId="0" fontId="17" fillId="2" borderId="3" xfId="0" applyNumberFormat="1" applyFont="1" applyFill="1" applyBorder="1" applyAlignment="1">
      <alignment horizontal="center" vertical="center"/>
    </xf>
    <xf numFmtId="0" fontId="17" fillId="2" borderId="4" xfId="0" applyNumberFormat="1" applyFont="1" applyFill="1" applyBorder="1" applyAlignment="1">
      <alignment horizontal="center" vertical="center"/>
    </xf>
    <xf numFmtId="0" fontId="10" fillId="2" borderId="13" xfId="0" applyNumberFormat="1" applyFont="1" applyFill="1" applyBorder="1" applyAlignment="1">
      <alignment horizontal="center" vertical="center" wrapText="1"/>
    </xf>
    <xf numFmtId="0" fontId="10" fillId="2" borderId="14" xfId="0" applyNumberFormat="1" applyFont="1" applyFill="1" applyBorder="1" applyAlignment="1">
      <alignment horizontal="center" vertical="center" wrapText="1"/>
    </xf>
    <xf numFmtId="0" fontId="10" fillId="2" borderId="14" xfId="0" applyNumberFormat="1" applyFont="1" applyFill="1" applyBorder="1" applyAlignment="1">
      <alignment horizontal="center" vertical="center"/>
    </xf>
    <xf numFmtId="0" fontId="3" fillId="2" borderId="14" xfId="0" applyNumberFormat="1" applyFont="1" applyFill="1" applyBorder="1" applyAlignment="1">
      <alignment horizontal="center" vertical="center"/>
    </xf>
    <xf numFmtId="0" fontId="3" fillId="2" borderId="14" xfId="0" applyNumberFormat="1" applyFont="1" applyFill="1" applyBorder="1" applyAlignment="1">
      <alignment vertical="center"/>
    </xf>
    <xf numFmtId="164" fontId="15" fillId="2" borderId="4" xfId="0" applyNumberFormat="1" applyFont="1" applyFill="1" applyBorder="1" applyAlignment="1">
      <alignment vertical="center"/>
    </xf>
    <xf numFmtId="164" fontId="15" fillId="2" borderId="1" xfId="0" applyNumberFormat="1" applyFont="1" applyFill="1" applyBorder="1" applyAlignment="1">
      <alignment vertical="center"/>
    </xf>
    <xf numFmtId="0" fontId="41" fillId="2" borderId="7" xfId="0" applyFont="1" applyFill="1" applyBorder="1" applyAlignment="1">
      <alignment horizontal="right" vertical="center"/>
    </xf>
    <xf numFmtId="0" fontId="41" fillId="2" borderId="0" xfId="0" applyFont="1" applyFill="1" applyBorder="1" applyAlignment="1">
      <alignment horizontal="right" vertical="center"/>
    </xf>
    <xf numFmtId="0" fontId="41" fillId="2" borderId="8" xfId="0" applyFont="1" applyFill="1" applyBorder="1" applyAlignment="1">
      <alignment horizontal="right" vertical="center"/>
    </xf>
    <xf numFmtId="164" fontId="0" fillId="2" borderId="1" xfId="0" applyNumberFormat="1" applyFill="1" applyBorder="1" applyAlignment="1">
      <alignment horizontal="right" vertical="center"/>
    </xf>
    <xf numFmtId="1" fontId="0" fillId="2" borderId="1" xfId="0" applyNumberFormat="1" applyFill="1" applyBorder="1" applyAlignment="1">
      <alignment horizontal="right" vertical="center"/>
    </xf>
  </cellXfs>
  <cellStyles count="60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43485223191866"/>
          <c:y val="0.1729291660628311"/>
          <c:w val="0.46194377327382813"/>
          <c:h val="0.78502101347760977"/>
        </c:manualLayout>
      </c:layout>
      <c:doughnutChart>
        <c:varyColors val="1"/>
        <c:ser>
          <c:idx val="0"/>
          <c:order val="0"/>
          <c:dLbls>
            <c:dLbl>
              <c:idx val="0"/>
              <c:layout>
                <c:manualLayout>
                  <c:x val="-1.0946907498631636E-2"/>
                  <c:y val="-4.08997955010224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1.9704433497536988E-2"/>
                  <c:y val="-5.3169734151329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'[1]6.2'!$Y$21:$Z$21</c:f>
              <c:strCache>
                <c:ptCount val="2"/>
                <c:pt idx="0">
                  <c:v>Expatriate</c:v>
                </c:pt>
                <c:pt idx="1">
                  <c:v>Local</c:v>
                </c:pt>
              </c:strCache>
            </c:strRef>
          </c:cat>
          <c:val>
            <c:numRef>
              <c:f>'[1]6.2'!$Y$22:$Z$22</c:f>
              <c:numCache>
                <c:formatCode>General_)</c:formatCode>
                <c:ptCount val="2"/>
                <c:pt idx="0">
                  <c:v>1960</c:v>
                </c:pt>
                <c:pt idx="1">
                  <c:v>2146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1971674</xdr:colOff>
      <xdr:row>23</xdr:row>
      <xdr:rowOff>0</xdr:rowOff>
    </xdr:from>
    <xdr:to>
      <xdr:col>10</xdr:col>
      <xdr:colOff>323849</xdr:colOff>
      <xdr:row>33</xdr:row>
      <xdr:rowOff>171450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2152650</xdr:colOff>
      <xdr:row>23</xdr:row>
      <xdr:rowOff>142875</xdr:rowOff>
    </xdr:from>
    <xdr:to>
      <xdr:col>10</xdr:col>
      <xdr:colOff>209550</xdr:colOff>
      <xdr:row>24</xdr:row>
      <xdr:rowOff>190500</xdr:rowOff>
    </xdr:to>
    <xdr:sp macro="" textlink="">
      <xdr:nvSpPr>
        <xdr:cNvPr id="5" name="TextBox 4"/>
        <xdr:cNvSpPr txBox="1"/>
      </xdr:nvSpPr>
      <xdr:spPr>
        <a:xfrm>
          <a:off x="2152650" y="6457950"/>
          <a:ext cx="550545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Figure 6.3: Percenatge of Local and Expatriate health personnel, 2014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0.04324</cdr:x>
      <cdr:y>0.12679</cdr:y>
    </cdr:from>
    <cdr:to>
      <cdr:x>0.96771</cdr:x>
      <cdr:y>0.12679</cdr:y>
    </cdr:to>
    <cdr:sp macro="" textlink="">
      <cdr:nvSpPr>
        <cdr:cNvPr id="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50825" y="393700"/>
          <a:ext cx="5362575" cy="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7030A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24"/>
  <sheetViews>
    <sheetView tabSelected="1" zoomScaleNormal="100" workbookViewId="0">
      <selection activeCell="P5" sqref="P5"/>
    </sheetView>
  </sheetViews>
  <sheetFormatPr defaultColWidth="10.85546875" defaultRowHeight="24" customHeight="1" x14ac:dyDescent="0.25"/>
  <cols>
    <col min="1" max="1" width="36.5703125" style="30" customWidth="1"/>
    <col min="2" max="2" width="8.42578125" style="30" customWidth="1"/>
    <col min="3" max="4" width="7.85546875" style="30" customWidth="1"/>
    <col min="5" max="8" width="9.7109375" style="2" customWidth="1"/>
    <col min="9" max="9" width="2.42578125" style="2" customWidth="1"/>
    <col min="10" max="11" width="9.7109375" style="2" customWidth="1"/>
    <col min="12" max="12" width="25.140625" style="2" customWidth="1"/>
    <col min="13" max="16384" width="10.85546875" style="2"/>
  </cols>
  <sheetData>
    <row r="1" spans="1:23" ht="21.75" customHeight="1" x14ac:dyDescent="0.25">
      <c r="A1" s="67" t="s">
        <v>37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8"/>
      <c r="N1" s="8"/>
      <c r="O1" s="8"/>
      <c r="P1" s="8"/>
      <c r="Q1" s="8"/>
      <c r="R1" s="8"/>
      <c r="S1" s="8"/>
      <c r="T1" s="8"/>
      <c r="U1" s="77"/>
      <c r="V1" s="78"/>
      <c r="W1" s="78"/>
    </row>
    <row r="2" spans="1:23" ht="19.5" customHeight="1" x14ac:dyDescent="0.25">
      <c r="A2" s="69" t="s">
        <v>35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1"/>
    </row>
    <row r="3" spans="1:23" ht="12.75" customHeight="1" x14ac:dyDescent="0.25">
      <c r="A3" s="9"/>
      <c r="B3" s="9"/>
      <c r="C3" s="9"/>
      <c r="D3" s="9"/>
      <c r="E3" s="10"/>
      <c r="F3" s="10"/>
      <c r="G3" s="10"/>
      <c r="H3" s="10"/>
      <c r="I3" s="10"/>
      <c r="J3" s="10"/>
      <c r="K3" s="10"/>
      <c r="L3" s="11"/>
    </row>
    <row r="4" spans="1:23" ht="19.5" customHeight="1" x14ac:dyDescent="0.25">
      <c r="A4" s="57" t="s">
        <v>2</v>
      </c>
      <c r="B4" s="64" t="s">
        <v>36</v>
      </c>
      <c r="C4" s="63" t="s">
        <v>10</v>
      </c>
      <c r="D4" s="63"/>
      <c r="E4" s="63"/>
      <c r="F4" s="63"/>
      <c r="G4" s="63"/>
      <c r="H4" s="63"/>
      <c r="I4" s="35"/>
      <c r="J4" s="72" t="s">
        <v>11</v>
      </c>
      <c r="K4" s="72"/>
      <c r="L4" s="79" t="s">
        <v>3</v>
      </c>
      <c r="M4" s="1"/>
    </row>
    <row r="5" spans="1:23" ht="23.25" customHeight="1" x14ac:dyDescent="0.25">
      <c r="A5" s="58"/>
      <c r="B5" s="65"/>
      <c r="C5" s="74" t="s">
        <v>14</v>
      </c>
      <c r="D5" s="75"/>
      <c r="E5" s="73" t="s">
        <v>12</v>
      </c>
      <c r="F5" s="73"/>
      <c r="G5" s="73" t="s">
        <v>13</v>
      </c>
      <c r="H5" s="73"/>
      <c r="I5" s="36"/>
      <c r="J5" s="74" t="s">
        <v>14</v>
      </c>
      <c r="K5" s="76"/>
      <c r="L5" s="80"/>
      <c r="M5" s="1"/>
    </row>
    <row r="6" spans="1:23" s="12" customFormat="1" ht="17.25" customHeight="1" x14ac:dyDescent="0.25">
      <c r="A6" s="59"/>
      <c r="B6" s="66"/>
      <c r="C6" s="5" t="s">
        <v>15</v>
      </c>
      <c r="D6" s="5" t="s">
        <v>16</v>
      </c>
      <c r="E6" s="5" t="s">
        <v>15</v>
      </c>
      <c r="F6" s="5" t="s">
        <v>16</v>
      </c>
      <c r="G6" s="5" t="s">
        <v>15</v>
      </c>
      <c r="H6" s="5" t="s">
        <v>16</v>
      </c>
      <c r="I6" s="37"/>
      <c r="J6" s="31" t="s">
        <v>15</v>
      </c>
      <c r="K6" s="31" t="s">
        <v>16</v>
      </c>
      <c r="L6" s="81"/>
      <c r="M6" s="6"/>
    </row>
    <row r="7" spans="1:23" ht="24" customHeight="1" x14ac:dyDescent="0.25">
      <c r="A7" s="44" t="s">
        <v>0</v>
      </c>
      <c r="B7" s="48">
        <f>C7+D7+J7+K7</f>
        <v>4106</v>
      </c>
      <c r="C7" s="45">
        <f t="shared" ref="C7:H7" si="0">SUM(C8:C18)</f>
        <v>1778</v>
      </c>
      <c r="D7" s="45">
        <f t="shared" si="0"/>
        <v>2050</v>
      </c>
      <c r="E7" s="45">
        <f t="shared" si="0"/>
        <v>615</v>
      </c>
      <c r="F7" s="45">
        <f t="shared" si="0"/>
        <v>672</v>
      </c>
      <c r="G7" s="45">
        <f t="shared" si="0"/>
        <v>1163</v>
      </c>
      <c r="H7" s="45">
        <f t="shared" si="0"/>
        <v>1378</v>
      </c>
      <c r="I7" s="46"/>
      <c r="J7" s="47">
        <f>SUM(J8:J18)</f>
        <v>182</v>
      </c>
      <c r="K7" s="47">
        <f>SUM(K8:K18)</f>
        <v>96</v>
      </c>
      <c r="L7" s="51" t="s">
        <v>31</v>
      </c>
      <c r="M7" s="1"/>
    </row>
    <row r="8" spans="1:23" ht="24" customHeight="1" x14ac:dyDescent="0.25">
      <c r="A8" s="13" t="s">
        <v>17</v>
      </c>
      <c r="B8" s="49">
        <f>C8+D8+J8+K8</f>
        <v>464</v>
      </c>
      <c r="C8" s="34">
        <f t="shared" ref="C8:D14" si="1">E8+G8</f>
        <v>354</v>
      </c>
      <c r="D8" s="34">
        <f t="shared" si="1"/>
        <v>87</v>
      </c>
      <c r="E8" s="34">
        <v>49</v>
      </c>
      <c r="F8" s="34">
        <v>76</v>
      </c>
      <c r="G8" s="34">
        <v>305</v>
      </c>
      <c r="H8" s="34">
        <v>11</v>
      </c>
      <c r="I8" s="38"/>
      <c r="J8" s="32">
        <v>5</v>
      </c>
      <c r="K8" s="32">
        <v>18</v>
      </c>
      <c r="L8" s="14" t="s">
        <v>4</v>
      </c>
      <c r="M8" s="1"/>
    </row>
    <row r="9" spans="1:23" ht="24" customHeight="1" x14ac:dyDescent="0.25">
      <c r="A9" s="13" t="s">
        <v>18</v>
      </c>
      <c r="B9" s="49">
        <f t="shared" ref="B9:B14" si="2">C9+D9+J9+K9</f>
        <v>306</v>
      </c>
      <c r="C9" s="34">
        <f t="shared" si="1"/>
        <v>196</v>
      </c>
      <c r="D9" s="34">
        <f t="shared" si="1"/>
        <v>67</v>
      </c>
      <c r="E9" s="34">
        <v>98</v>
      </c>
      <c r="F9" s="34">
        <v>63</v>
      </c>
      <c r="G9" s="34">
        <v>98</v>
      </c>
      <c r="H9" s="34">
        <v>4</v>
      </c>
      <c r="I9" s="38"/>
      <c r="J9" s="32">
        <v>13</v>
      </c>
      <c r="K9" s="32">
        <v>30</v>
      </c>
      <c r="L9" s="14" t="s">
        <v>5</v>
      </c>
      <c r="M9" s="1"/>
    </row>
    <row r="10" spans="1:23" ht="24" customHeight="1" x14ac:dyDescent="0.25">
      <c r="A10" s="13" t="s">
        <v>6</v>
      </c>
      <c r="B10" s="49">
        <f t="shared" si="2"/>
        <v>2336</v>
      </c>
      <c r="C10" s="34">
        <f t="shared" si="1"/>
        <v>1028</v>
      </c>
      <c r="D10" s="34">
        <f t="shared" si="1"/>
        <v>1150</v>
      </c>
      <c r="E10" s="34">
        <v>407</v>
      </c>
      <c r="F10" s="34">
        <v>411</v>
      </c>
      <c r="G10" s="34">
        <v>621</v>
      </c>
      <c r="H10" s="34">
        <v>739</v>
      </c>
      <c r="I10" s="38"/>
      <c r="J10" s="32">
        <v>133</v>
      </c>
      <c r="K10" s="32">
        <v>25</v>
      </c>
      <c r="L10" s="15" t="s">
        <v>7</v>
      </c>
      <c r="M10" s="1"/>
    </row>
    <row r="11" spans="1:23" ht="24" customHeight="1" x14ac:dyDescent="0.25">
      <c r="A11" s="16" t="s">
        <v>38</v>
      </c>
      <c r="B11" s="49">
        <f t="shared" si="2"/>
        <v>285</v>
      </c>
      <c r="C11" s="34">
        <f t="shared" si="1"/>
        <v>132</v>
      </c>
      <c r="D11" s="34">
        <f t="shared" si="1"/>
        <v>127</v>
      </c>
      <c r="E11" s="34">
        <v>30</v>
      </c>
      <c r="F11" s="34">
        <v>70</v>
      </c>
      <c r="G11" s="34">
        <v>102</v>
      </c>
      <c r="H11" s="34">
        <v>57</v>
      </c>
      <c r="I11" s="38"/>
      <c r="J11" s="32">
        <v>18</v>
      </c>
      <c r="K11" s="32">
        <v>8</v>
      </c>
      <c r="L11" s="7" t="s">
        <v>19</v>
      </c>
      <c r="M11" s="1"/>
    </row>
    <row r="12" spans="1:23" ht="33.75" customHeight="1" x14ac:dyDescent="0.25">
      <c r="A12" s="16" t="s">
        <v>20</v>
      </c>
      <c r="B12" s="49">
        <f t="shared" si="2"/>
        <v>38</v>
      </c>
      <c r="C12" s="34">
        <f t="shared" si="1"/>
        <v>21</v>
      </c>
      <c r="D12" s="34">
        <f t="shared" si="1"/>
        <v>12</v>
      </c>
      <c r="E12" s="34">
        <v>12</v>
      </c>
      <c r="F12" s="34">
        <v>11</v>
      </c>
      <c r="G12" s="34">
        <v>9</v>
      </c>
      <c r="H12" s="34">
        <v>1</v>
      </c>
      <c r="I12" s="38"/>
      <c r="J12" s="32">
        <v>3</v>
      </c>
      <c r="K12" s="32">
        <v>2</v>
      </c>
      <c r="L12" s="7" t="s">
        <v>39</v>
      </c>
      <c r="M12" s="1"/>
    </row>
    <row r="13" spans="1:23" ht="24" customHeight="1" x14ac:dyDescent="0.25">
      <c r="A13" s="16" t="s">
        <v>21</v>
      </c>
      <c r="B13" s="49">
        <f t="shared" si="2"/>
        <v>79</v>
      </c>
      <c r="C13" s="34">
        <f t="shared" si="1"/>
        <v>44</v>
      </c>
      <c r="D13" s="34">
        <f t="shared" si="1"/>
        <v>23</v>
      </c>
      <c r="E13" s="34">
        <v>18</v>
      </c>
      <c r="F13" s="34">
        <v>13</v>
      </c>
      <c r="G13" s="34">
        <v>26</v>
      </c>
      <c r="H13" s="34">
        <v>10</v>
      </c>
      <c r="I13" s="38"/>
      <c r="J13" s="32">
        <v>10</v>
      </c>
      <c r="K13" s="32">
        <v>2</v>
      </c>
      <c r="L13" s="7" t="s">
        <v>22</v>
      </c>
      <c r="M13" s="1"/>
    </row>
    <row r="14" spans="1:23" ht="24" customHeight="1" x14ac:dyDescent="0.25">
      <c r="A14" s="17" t="s">
        <v>40</v>
      </c>
      <c r="B14" s="49">
        <f t="shared" si="2"/>
        <v>40</v>
      </c>
      <c r="C14" s="34">
        <f t="shared" si="1"/>
        <v>3</v>
      </c>
      <c r="D14" s="34">
        <f t="shared" si="1"/>
        <v>26</v>
      </c>
      <c r="E14" s="34">
        <v>1</v>
      </c>
      <c r="F14" s="34">
        <v>25</v>
      </c>
      <c r="G14" s="34">
        <v>2</v>
      </c>
      <c r="H14" s="34">
        <v>1</v>
      </c>
      <c r="I14" s="38"/>
      <c r="J14" s="32">
        <v>0</v>
      </c>
      <c r="K14" s="32">
        <v>11</v>
      </c>
      <c r="L14" s="7" t="s">
        <v>23</v>
      </c>
      <c r="M14" s="1"/>
    </row>
    <row r="15" spans="1:23" ht="24" customHeight="1" x14ac:dyDescent="0.25">
      <c r="A15" s="16" t="s">
        <v>24</v>
      </c>
      <c r="B15" s="4" t="s">
        <v>1</v>
      </c>
      <c r="C15" s="34" t="s">
        <v>1</v>
      </c>
      <c r="D15" s="34" t="s">
        <v>1</v>
      </c>
      <c r="E15" s="34" t="s">
        <v>1</v>
      </c>
      <c r="F15" s="34" t="s">
        <v>1</v>
      </c>
      <c r="G15" s="34" t="s">
        <v>1</v>
      </c>
      <c r="H15" s="34" t="s">
        <v>1</v>
      </c>
      <c r="I15" s="38"/>
      <c r="J15" s="33" t="s">
        <v>43</v>
      </c>
      <c r="K15" s="32" t="s">
        <v>43</v>
      </c>
      <c r="L15" s="7" t="s">
        <v>25</v>
      </c>
      <c r="M15" s="1"/>
    </row>
    <row r="16" spans="1:23" ht="24" customHeight="1" x14ac:dyDescent="0.25">
      <c r="A16" s="13" t="s">
        <v>26</v>
      </c>
      <c r="B16" s="49">
        <f>C16+D16</f>
        <v>237</v>
      </c>
      <c r="C16" s="34">
        <f t="shared" ref="C16:D18" si="3">E16+G16</f>
        <v>0</v>
      </c>
      <c r="D16" s="34">
        <f t="shared" si="3"/>
        <v>237</v>
      </c>
      <c r="E16" s="34">
        <v>0</v>
      </c>
      <c r="F16" s="34">
        <v>3</v>
      </c>
      <c r="G16" s="34">
        <v>0</v>
      </c>
      <c r="H16" s="34">
        <v>234</v>
      </c>
      <c r="I16" s="38"/>
      <c r="J16" s="32" t="s">
        <v>1</v>
      </c>
      <c r="K16" s="32" t="s">
        <v>1</v>
      </c>
      <c r="L16" s="7" t="s">
        <v>27</v>
      </c>
      <c r="M16" s="1"/>
    </row>
    <row r="17" spans="1:27" ht="24" customHeight="1" x14ac:dyDescent="0.25">
      <c r="A17" s="13" t="s">
        <v>28</v>
      </c>
      <c r="B17" s="49">
        <f t="shared" ref="B17:B18" si="4">C17+D17</f>
        <v>272</v>
      </c>
      <c r="C17" s="34">
        <f t="shared" si="3"/>
        <v>0</v>
      </c>
      <c r="D17" s="34">
        <f t="shared" si="3"/>
        <v>272</v>
      </c>
      <c r="E17" s="34">
        <v>0</v>
      </c>
      <c r="F17" s="34">
        <v>0</v>
      </c>
      <c r="G17" s="34">
        <v>0</v>
      </c>
      <c r="H17" s="34">
        <v>272</v>
      </c>
      <c r="I17" s="38"/>
      <c r="J17" s="32" t="s">
        <v>1</v>
      </c>
      <c r="K17" s="32" t="s">
        <v>1</v>
      </c>
      <c r="L17" s="7" t="s">
        <v>29</v>
      </c>
      <c r="M17" s="1"/>
    </row>
    <row r="18" spans="1:27" ht="24" customHeight="1" x14ac:dyDescent="0.25">
      <c r="A18" s="39" t="s">
        <v>30</v>
      </c>
      <c r="B18" s="50">
        <f t="shared" si="4"/>
        <v>49</v>
      </c>
      <c r="C18" s="40">
        <f t="shared" si="3"/>
        <v>0</v>
      </c>
      <c r="D18" s="40">
        <f t="shared" si="3"/>
        <v>49</v>
      </c>
      <c r="E18" s="40">
        <v>0</v>
      </c>
      <c r="F18" s="40">
        <v>0</v>
      </c>
      <c r="G18" s="40">
        <v>0</v>
      </c>
      <c r="H18" s="40">
        <v>49</v>
      </c>
      <c r="I18" s="41"/>
      <c r="J18" s="42" t="s">
        <v>1</v>
      </c>
      <c r="K18" s="42" t="s">
        <v>1</v>
      </c>
      <c r="L18" s="43" t="s">
        <v>8</v>
      </c>
      <c r="M18" s="1"/>
    </row>
    <row r="19" spans="1:27" ht="24" customHeight="1" x14ac:dyDescent="0.25">
      <c r="A19" s="18" t="s">
        <v>41</v>
      </c>
      <c r="B19" s="18"/>
      <c r="C19" s="18"/>
      <c r="D19" s="18"/>
      <c r="E19" s="19"/>
      <c r="F19" s="19"/>
      <c r="G19" s="19"/>
      <c r="H19" s="19"/>
      <c r="I19" s="19"/>
      <c r="J19" s="19"/>
      <c r="K19" s="20"/>
      <c r="L19" s="21" t="s">
        <v>32</v>
      </c>
    </row>
    <row r="20" spans="1:27" s="24" customFormat="1" ht="16.5" customHeight="1" x14ac:dyDescent="0.25">
      <c r="A20" s="22" t="s">
        <v>42</v>
      </c>
      <c r="B20" s="22"/>
      <c r="C20" s="22"/>
      <c r="D20" s="22"/>
      <c r="E20" s="23"/>
      <c r="F20" s="23"/>
      <c r="G20" s="23"/>
      <c r="H20" s="23"/>
      <c r="I20" s="23"/>
      <c r="J20" s="23"/>
      <c r="K20" s="23"/>
      <c r="L20" s="3" t="s">
        <v>9</v>
      </c>
    </row>
    <row r="21" spans="1:27" s="24" customFormat="1" ht="15.75" customHeight="1" x14ac:dyDescent="0.25">
      <c r="A21" s="60" t="s">
        <v>33</v>
      </c>
      <c r="B21" s="61"/>
      <c r="C21" s="61"/>
      <c r="D21" s="61"/>
      <c r="E21" s="61"/>
      <c r="F21" s="61"/>
      <c r="G21" s="62"/>
      <c r="H21" s="23"/>
      <c r="I21" s="23"/>
      <c r="J21" s="23"/>
      <c r="K21" s="23"/>
      <c r="L21" s="3" t="s">
        <v>34</v>
      </c>
      <c r="Y21" s="82" t="s">
        <v>44</v>
      </c>
      <c r="Z21" s="82" t="s">
        <v>45</v>
      </c>
      <c r="AA21" s="82"/>
    </row>
    <row r="22" spans="1:27" s="24" customFormat="1" ht="14.25" customHeight="1" x14ac:dyDescent="0.25">
      <c r="A22" s="25"/>
      <c r="B22" s="25"/>
      <c r="C22" s="25"/>
      <c r="D22" s="25"/>
      <c r="E22" s="26"/>
      <c r="F22" s="26"/>
      <c r="G22" s="26"/>
      <c r="H22" s="26"/>
      <c r="I22" s="26"/>
      <c r="J22" s="26"/>
      <c r="K22" s="26"/>
      <c r="L22" s="3"/>
      <c r="Y22" s="82">
        <f>C7+J7</f>
        <v>1960</v>
      </c>
      <c r="Z22" s="82">
        <f>D7+K7</f>
        <v>2146</v>
      </c>
      <c r="AA22" s="82">
        <f>Z22+Y22</f>
        <v>4106</v>
      </c>
    </row>
    <row r="23" spans="1:27" s="24" customFormat="1" ht="15" customHeight="1" x14ac:dyDescent="0.25">
      <c r="A23" s="54"/>
      <c r="B23" s="55"/>
      <c r="C23" s="55"/>
      <c r="D23" s="55"/>
      <c r="E23" s="55"/>
      <c r="F23" s="55"/>
      <c r="G23" s="56"/>
      <c r="L23" s="27"/>
      <c r="Y23" s="83"/>
      <c r="Z23" s="83"/>
      <c r="AA23" s="82"/>
    </row>
    <row r="24" spans="1:27" s="24" customFormat="1" ht="15" customHeight="1" x14ac:dyDescent="0.25">
      <c r="A24" s="52"/>
      <c r="B24" s="53"/>
      <c r="C24" s="53"/>
      <c r="D24" s="53"/>
      <c r="E24" s="53"/>
      <c r="F24" s="53"/>
      <c r="G24" s="53"/>
      <c r="H24" s="28"/>
      <c r="I24" s="28"/>
      <c r="J24" s="28"/>
      <c r="K24" s="28"/>
      <c r="L24" s="29"/>
      <c r="M24" s="28"/>
    </row>
  </sheetData>
  <mergeCells count="13">
    <mergeCell ref="A1:L1"/>
    <mergeCell ref="A2:L2"/>
    <mergeCell ref="J4:K4"/>
    <mergeCell ref="E5:F5"/>
    <mergeCell ref="G5:H5"/>
    <mergeCell ref="C5:D5"/>
    <mergeCell ref="J5:K5"/>
    <mergeCell ref="A23:G23"/>
    <mergeCell ref="L4:L6"/>
    <mergeCell ref="A4:A6"/>
    <mergeCell ref="A21:G21"/>
    <mergeCell ref="C4:H4"/>
    <mergeCell ref="B4:B6"/>
  </mergeCells>
  <pageMargins left="0.7" right="0.7" top="0.75" bottom="0.75" header="0.3" footer="0.3"/>
  <pageSetup paperSize="9" scale="80" orientation="landscape" verticalDpi="4294967295" r:id="rId1"/>
  <rowBreaks count="1" manualBreakCount="1">
    <brk id="22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6.2</vt:lpstr>
      <vt:lpstr>'6.2'!Print_Area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2015-12-03T08:13:33Z</cp:lastPrinted>
  <dcterms:created xsi:type="dcterms:W3CDTF">2014-03-04T09:17:57Z</dcterms:created>
  <dcterms:modified xsi:type="dcterms:W3CDTF">2015-12-03T08:13:55Z</dcterms:modified>
</cp:coreProperties>
</file>