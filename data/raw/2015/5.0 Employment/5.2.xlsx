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9165" windowHeight="4365" tabRatio="811"/>
  </bookViews>
  <sheets>
    <sheet name="5.2" sheetId="2" r:id="rId1"/>
  </sheets>
  <definedNames>
    <definedName name="_xlnm.Print_Area" localSheetId="0">'5.2'!$A$1:$M$72</definedName>
  </definedNames>
  <calcPr calcId="144525"/>
</workbook>
</file>

<file path=xl/calcChain.xml><?xml version="1.0" encoding="utf-8"?>
<calcChain xmlns="http://schemas.openxmlformats.org/spreadsheetml/2006/main">
  <c r="B48" i="2" l="1"/>
  <c r="B40" i="2" s="1"/>
  <c r="I40" i="2"/>
  <c r="H40" i="2"/>
  <c r="F40" i="2"/>
  <c r="E40" i="2"/>
  <c r="I25" i="2"/>
  <c r="H25" i="2"/>
  <c r="F25" i="2"/>
  <c r="E25" i="2"/>
  <c r="D25" i="2" s="1"/>
  <c r="B25" i="2"/>
  <c r="I22" i="2"/>
  <c r="H22" i="2"/>
  <c r="F22" i="2"/>
  <c r="E22" i="2"/>
  <c r="D22" i="2" s="1"/>
  <c r="B22" i="2"/>
  <c r="I21" i="2"/>
  <c r="H21" i="2"/>
  <c r="F21" i="2"/>
  <c r="E21" i="2"/>
  <c r="B21" i="2"/>
  <c r="I20" i="2"/>
  <c r="H20" i="2"/>
  <c r="F20" i="2"/>
  <c r="E20" i="2"/>
  <c r="B20" i="2"/>
  <c r="I19" i="2"/>
  <c r="H19" i="2"/>
  <c r="F19" i="2"/>
  <c r="E19" i="2"/>
  <c r="D19" i="2" s="1"/>
  <c r="B19" i="2"/>
  <c r="I18" i="2"/>
  <c r="H18" i="2"/>
  <c r="F18" i="2"/>
  <c r="E18" i="2"/>
  <c r="I17" i="2"/>
  <c r="H17" i="2"/>
  <c r="F17" i="2"/>
  <c r="E17" i="2"/>
  <c r="D17" i="2" s="1"/>
  <c r="B17" i="2"/>
  <c r="I16" i="2"/>
  <c r="H16" i="2"/>
  <c r="F16" i="2"/>
  <c r="E16" i="2"/>
  <c r="B16" i="2"/>
  <c r="I15" i="2"/>
  <c r="H15" i="2"/>
  <c r="F15" i="2"/>
  <c r="E15" i="2"/>
  <c r="D15" i="2" s="1"/>
  <c r="B15" i="2"/>
  <c r="I14" i="2"/>
  <c r="H14" i="2"/>
  <c r="F14" i="2"/>
  <c r="E14" i="2"/>
  <c r="B14" i="2"/>
  <c r="I13" i="2"/>
  <c r="H13" i="2"/>
  <c r="F13" i="2"/>
  <c r="E13" i="2"/>
  <c r="D13" i="2" s="1"/>
  <c r="B13" i="2"/>
  <c r="I12" i="2"/>
  <c r="H12" i="2"/>
  <c r="F12" i="2"/>
  <c r="F10" i="2" s="1"/>
  <c r="E12" i="2"/>
  <c r="B12" i="2"/>
  <c r="I11" i="2"/>
  <c r="H11" i="2"/>
  <c r="F11" i="2"/>
  <c r="E11" i="2"/>
  <c r="D11" i="2"/>
  <c r="B11" i="2"/>
  <c r="D12" i="2" l="1"/>
  <c r="D21" i="2"/>
  <c r="D20" i="2"/>
  <c r="K20" i="2" s="1"/>
  <c r="H10" i="2"/>
  <c r="D16" i="2"/>
  <c r="K16" i="2" s="1"/>
  <c r="I10" i="2"/>
  <c r="D18" i="2"/>
  <c r="K18" i="2" s="1"/>
  <c r="D40" i="2"/>
  <c r="E10" i="2"/>
  <c r="D14" i="2"/>
  <c r="D10" i="2" s="1"/>
  <c r="M10" i="2" s="1"/>
  <c r="B18" i="2"/>
  <c r="B10" i="2" s="1"/>
  <c r="K11" i="2"/>
  <c r="M11" i="2"/>
  <c r="K12" i="2"/>
  <c r="M12" i="2"/>
  <c r="K13" i="2"/>
  <c r="M13" i="2"/>
  <c r="K15" i="2"/>
  <c r="M15" i="2"/>
  <c r="K17" i="2"/>
  <c r="M17" i="2"/>
  <c r="K19" i="2"/>
  <c r="M19" i="2"/>
  <c r="K21" i="2"/>
  <c r="M21" i="2"/>
  <c r="K25" i="2"/>
  <c r="M25" i="2"/>
  <c r="K40" i="2"/>
  <c r="M40" i="2"/>
  <c r="M18" i="2" l="1"/>
  <c r="M16" i="2"/>
  <c r="M14" i="2"/>
  <c r="M20" i="2"/>
  <c r="K14" i="2"/>
  <c r="K10" i="2"/>
</calcChain>
</file>

<file path=xl/sharedStrings.xml><?xml version="1.0" encoding="utf-8"?>
<sst xmlns="http://schemas.openxmlformats.org/spreadsheetml/2006/main" count="86" uniqueCount="57">
  <si>
    <t xml:space="preserve">Activity Status                 </t>
  </si>
  <si>
    <t>ctogWviretctWkwrwH</t>
  </si>
  <si>
    <t>cnegiSefcnurwhwa 15</t>
  </si>
  <si>
    <t xml:space="preserve">       WviretctWkwrwH cnutogIdWBitcqia </t>
  </si>
  <si>
    <t xml:space="preserve">    cnutogIdWBitcqia</t>
  </si>
  <si>
    <t>ބަޔާންނުކުރާ</t>
  </si>
  <si>
    <t>cnutog eguscnij iaWrumua</t>
  </si>
  <si>
    <t xml:space="preserve"> ibitiawfiten WfIzwv</t>
  </si>
  <si>
    <t xml:space="preserve">WrufurumuA </t>
  </si>
  <si>
    <t>IdWbWa egItwm</t>
  </si>
  <si>
    <t xml:space="preserve">       Economically Active</t>
  </si>
  <si>
    <t xml:space="preserve">     WvuniretctWkwrwH</t>
  </si>
  <si>
    <t>urwvcnim WviretctWkwrwh</t>
  </si>
  <si>
    <t>ctwbcsin egcnuhIm</t>
  </si>
  <si>
    <t xml:space="preserve">Total 15 years of </t>
  </si>
  <si>
    <t>wlcmuj</t>
  </si>
  <si>
    <t>iawfibilctwkcawswm</t>
  </si>
  <si>
    <t>iawfitenctwkcawswm</t>
  </si>
  <si>
    <t xml:space="preserve">Not Economically  </t>
  </si>
  <si>
    <t>Not Stated</t>
  </si>
  <si>
    <t>Age specific</t>
  </si>
  <si>
    <t xml:space="preserve">Unemployment </t>
  </si>
  <si>
    <t>Age group</t>
  </si>
  <si>
    <t>age and over</t>
  </si>
  <si>
    <t>Total</t>
  </si>
  <si>
    <t>Employed</t>
  </si>
  <si>
    <t>Unemployed</t>
  </si>
  <si>
    <t xml:space="preserve">Active </t>
  </si>
  <si>
    <t>activity rate</t>
  </si>
  <si>
    <t>Rate</t>
  </si>
  <si>
    <t>Republic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</si>
  <si>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</si>
  <si>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</si>
  <si>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</si>
  <si>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</si>
  <si>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</si>
  <si>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</si>
  <si>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</si>
  <si>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</si>
  <si>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</si>
  <si>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</si>
  <si>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</si>
  <si>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Age not stated</t>
  </si>
  <si>
    <t>Male'</t>
  </si>
  <si>
    <t>Atolls</t>
  </si>
  <si>
    <t>Source :  Household Income and Expenditure Survey (HIES 2009/2010)</t>
  </si>
  <si>
    <t>މަޢުލޫމާތު ދެއްވި ފަރާތް: ގޭބިސީގެ އާމްދަނީ އާއި ޚަރަދުކުރުން ހުރި ގޮތުގެ ސަރވޭ، (ހަޔަސް 2010/2009)</t>
  </si>
  <si>
    <t>Department of National Planning</t>
  </si>
  <si>
    <t>ތާވަލު 5.2 : އިޤްތިޞާދީ މަސައްކަތުގެ ގޮތުން 15 އަހަރުންމަތީގެ އާބާދީ، އުމުރުފުރާގެގޮތުން ހަޔަސް 2009/2010</t>
  </si>
  <si>
    <t>Table 5.2 :  POPULATION 15 YEARS OF AGE AND OVER BY TYPE OF ACTIVITY, CROSS CLASSIFIED BY REGION, HIES 2009/2010
(with unemployed including discouraged workers)</t>
  </si>
  <si>
    <r>
      <rPr>
        <sz val="9"/>
        <rFont val="Faruma"/>
      </rPr>
      <t>ޑިޕާޓްމަންޓް އޮފް ނޭޝަނަލް ޕްލޭނިންގ</t>
    </r>
    <r>
      <rPr>
        <sz val="9"/>
        <rFont val="A_Randhoo"/>
      </rPr>
      <t xml:space="preserve"> </t>
    </r>
  </si>
  <si>
    <t xml:space="preserve"> </t>
  </si>
  <si>
    <t>Note: Includes only the local population but  excludes those locals working in resorts and industrial islands</t>
  </si>
  <si>
    <t>ނޯޓް:  ހިމެނެނީ ހަމައެކަނި ދިވެހީންނެވެ.  ނަމަވެސް ރިސޯޓްތަކާއި ސިނާއީ ރަށްރަށުގައި މަސައްކަތްކުރާ ދިވެހީންނެއް ނުހިމެނޭނެއެވެ.</t>
  </si>
  <si>
    <t>WvunufWs urumuA</t>
  </si>
  <si>
    <t>15+ population</t>
  </si>
  <si>
    <t>NEA's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</si>
</sst>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-* #,##0\ _ރ_._-;_-* #,##0\ _ރ_.\-;_-* &quot;-&quot;??\ _ރ_._-;_-@_-"/>
    <numFmt numFmtId="165" formatCode="#,##0.0"/>
    <numFmt numFmtId="166" formatCode="#,##0;[Red]#,##0"/>
    <numFmt numFmtId="167" formatCode="0;[Red]0"/>
    <numFmt numFmtId="168" formatCode="_-* #,##0.00\ _ރ_._-;_-* #,##0.00\ _ރ_.\-;_-* &quot;-&quot;??\ _ރ_._-;_-@_-"/>
    <numFmt numFmtId="169" formatCode="0.0"/>
    <numFmt numFmtId="170" formatCode="_(* #,##0_);_(* \(#,##0\);_(* &quot;-&quot;??_);_(@_)"/>
    <numFmt numFmtId="171" formatCode="#,##0.0;[Red]#,##0.0"/>
    <numFmt numFmtId="172" formatCode="0.0%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Faruma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Win Ahamedey PRB"/>
      <family val="2"/>
    </font>
    <font>
      <b/>
      <sz val="9"/>
      <name val="A_Randhoo"/>
    </font>
    <font>
      <b/>
      <sz val="9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i/>
      <sz val="10"/>
      <name val="Calibri"/>
      <family val="2"/>
      <scheme val="minor"/>
    </font>
    <font>
      <sz val="9"/>
      <name val="Arial"/>
      <family val="2"/>
    </font>
    <font>
      <sz val="9"/>
      <name val="Faruma"/>
    </font>
    <font>
      <b/>
      <sz val="10"/>
      <name val="Faruma"/>
    </font>
    <font>
      <i/>
      <sz val="9"/>
      <name val="Arial"/>
      <family val="2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_Randhoo Aa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Randhoo Aa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170" fontId="9" fillId="0" borderId="0" applyFont="0" applyFill="0" applyBorder="0" applyAlignment="0" applyProtection="0"/>
    <xf numFmtId="0" fontId="3" fillId="0" borderId="0"/>
    <xf numFmtId="0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4" fillId="0" borderId="0"/>
  </cellStyleXfs>
  <cellXfs count="99">
    <xf numFmtId="0" fontId="0" fillId="0" borderId="0" xfId="0"/>
    <xf numFmtId="0" fontId="6" fillId="2" borderId="1" xfId="1" applyFont="1" applyFill="1" applyBorder="1" applyAlignment="1">
      <alignment horizontal="right" vertical="center"/>
    </xf>
    <xf numFmtId="0" fontId="4" fillId="2" borderId="2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right" vertical="center"/>
    </xf>
    <xf numFmtId="0" fontId="7" fillId="2" borderId="1" xfId="1" applyFont="1" applyFill="1" applyBorder="1"/>
    <xf numFmtId="0" fontId="8" fillId="2" borderId="1" xfId="1" applyFont="1" applyFill="1" applyBorder="1"/>
    <xf numFmtId="0" fontId="6" fillId="2" borderId="0" xfId="1" applyFont="1" applyFill="1" applyBorder="1" applyAlignment="1">
      <alignment horizontal="right" vertical="center"/>
    </xf>
    <xf numFmtId="0" fontId="6" fillId="2" borderId="0" xfId="1" applyFont="1" applyFill="1" applyBorder="1" applyAlignment="1">
      <alignment horizontal="right"/>
    </xf>
    <xf numFmtId="164" fontId="1" fillId="2" borderId="0" xfId="2" applyNumberFormat="1" applyFont="1" applyFill="1"/>
    <xf numFmtId="0" fontId="4" fillId="2" borderId="0" xfId="1" applyFont="1" applyFill="1" applyBorder="1" applyAlignment="1">
      <alignment horizontal="left"/>
    </xf>
    <xf numFmtId="0" fontId="4" fillId="2" borderId="0" xfId="1" applyFont="1" applyFill="1" applyBorder="1" applyAlignment="1">
      <alignment horizontal="right"/>
    </xf>
    <xf numFmtId="0" fontId="4" fillId="2" borderId="5" xfId="1" applyFont="1" applyFill="1" applyBorder="1" applyAlignment="1">
      <alignment horizontal="right" vertical="top"/>
    </xf>
    <xf numFmtId="0" fontId="4" fillId="2" borderId="5" xfId="1" applyFont="1" applyFill="1" applyBorder="1" applyAlignment="1">
      <alignment horizontal="right"/>
    </xf>
    <xf numFmtId="3" fontId="4" fillId="2" borderId="0" xfId="1" applyNumberFormat="1" applyFont="1" applyFill="1"/>
    <xf numFmtId="165" fontId="4" fillId="2" borderId="0" xfId="1" applyNumberFormat="1" applyFont="1" applyFill="1" applyAlignment="1">
      <alignment horizontal="right"/>
    </xf>
    <xf numFmtId="166" fontId="10" fillId="2" borderId="0" xfId="3" applyNumberFormat="1" applyFont="1" applyFill="1"/>
    <xf numFmtId="165" fontId="10" fillId="2" borderId="0" xfId="1" applyNumberFormat="1" applyFont="1" applyFill="1" applyAlignment="1">
      <alignment horizontal="right"/>
    </xf>
    <xf numFmtId="166" fontId="10" fillId="2" borderId="0" xfId="3" applyNumberFormat="1" applyFont="1" applyFill="1" applyBorder="1"/>
    <xf numFmtId="0" fontId="13" fillId="2" borderId="0" xfId="1" applyFont="1" applyFill="1" applyAlignment="1">
      <alignment vertical="center"/>
    </xf>
    <xf numFmtId="167" fontId="13" fillId="2" borderId="0" xfId="1" applyNumberFormat="1" applyFont="1" applyFill="1" applyAlignment="1">
      <alignment vertical="center"/>
    </xf>
    <xf numFmtId="0" fontId="4" fillId="2" borderId="0" xfId="1" applyFont="1" applyFill="1"/>
    <xf numFmtId="3" fontId="4" fillId="2" borderId="0" xfId="4" applyNumberFormat="1" applyFont="1" applyFill="1"/>
    <xf numFmtId="0" fontId="13" fillId="2" borderId="0" xfId="1" applyFont="1" applyFill="1"/>
    <xf numFmtId="49" fontId="10" fillId="2" borderId="0" xfId="1" applyNumberFormat="1" applyFont="1" applyFill="1"/>
    <xf numFmtId="166" fontId="4" fillId="2" borderId="0" xfId="3" applyNumberFormat="1" applyFont="1" applyFill="1"/>
    <xf numFmtId="49" fontId="13" fillId="2" borderId="0" xfId="1" applyNumberFormat="1" applyFont="1" applyFill="1"/>
    <xf numFmtId="165" fontId="13" fillId="2" borderId="0" xfId="1" applyNumberFormat="1" applyFont="1" applyFill="1" applyAlignment="1">
      <alignment horizontal="right"/>
    </xf>
    <xf numFmtId="0" fontId="4" fillId="2" borderId="0" xfId="1" applyFont="1" applyFill="1" applyAlignment="1">
      <alignment vertical="top"/>
    </xf>
    <xf numFmtId="0" fontId="3" fillId="2" borderId="0" xfId="1" applyFont="1" applyFill="1"/>
    <xf numFmtId="3" fontId="10" fillId="2" borderId="0" xfId="4" applyNumberFormat="1" applyFont="1" applyFill="1"/>
    <xf numFmtId="169" fontId="3" fillId="2" borderId="0" xfId="1" applyNumberFormat="1" applyFont="1" applyFill="1"/>
    <xf numFmtId="49" fontId="10" fillId="2" borderId="5" xfId="1" applyNumberFormat="1" applyFont="1" applyFill="1" applyBorder="1"/>
    <xf numFmtId="0" fontId="6" fillId="2" borderId="0" xfId="1" applyFont="1" applyFill="1" applyBorder="1" applyAlignment="1">
      <alignment horizontal="center" vertical="center"/>
    </xf>
    <xf numFmtId="0" fontId="7" fillId="2" borderId="0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right"/>
    </xf>
    <xf numFmtId="171" fontId="10" fillId="2" borderId="0" xfId="3" applyNumberFormat="1" applyFont="1" applyFill="1"/>
    <xf numFmtId="165" fontId="10" fillId="2" borderId="0" xfId="1" applyNumberFormat="1" applyFont="1" applyFill="1" applyBorder="1" applyAlignment="1">
      <alignment horizontal="right"/>
    </xf>
    <xf numFmtId="49" fontId="10" fillId="2" borderId="0" xfId="1" applyNumberFormat="1" applyFont="1" applyFill="1" applyBorder="1" applyAlignment="1"/>
    <xf numFmtId="166" fontId="4" fillId="2" borderId="0" xfId="3" applyNumberFormat="1" applyFont="1" applyFill="1" applyBorder="1" applyAlignment="1"/>
    <xf numFmtId="166" fontId="10" fillId="2" borderId="0" xfId="3" applyNumberFormat="1" applyFont="1" applyFill="1" applyBorder="1" applyAlignment="1"/>
    <xf numFmtId="49" fontId="12" fillId="2" borderId="0" xfId="1" applyNumberFormat="1" applyFont="1" applyFill="1" applyAlignment="1">
      <alignment vertical="top"/>
    </xf>
    <xf numFmtId="0" fontId="16" fillId="2" borderId="0" xfId="1" applyFont="1" applyFill="1"/>
    <xf numFmtId="0" fontId="17" fillId="2" borderId="0" xfId="0" applyFont="1" applyFill="1"/>
    <xf numFmtId="165" fontId="16" fillId="2" borderId="0" xfId="1" applyNumberFormat="1" applyFont="1" applyFill="1" applyAlignment="1">
      <alignment horizontal="right"/>
    </xf>
    <xf numFmtId="168" fontId="16" fillId="2" borderId="0" xfId="2" applyNumberFormat="1" applyFont="1" applyFill="1"/>
    <xf numFmtId="169" fontId="16" fillId="2" borderId="0" xfId="1" applyNumberFormat="1" applyFont="1" applyFill="1"/>
    <xf numFmtId="0" fontId="10" fillId="2" borderId="0" xfId="1" applyFont="1" applyFill="1"/>
    <xf numFmtId="169" fontId="10" fillId="2" borderId="0" xfId="1" applyNumberFormat="1" applyFont="1" applyFill="1"/>
    <xf numFmtId="0" fontId="10" fillId="2" borderId="5" xfId="1" applyFont="1" applyFill="1" applyBorder="1"/>
    <xf numFmtId="0" fontId="18" fillId="2" borderId="0" xfId="0" applyFont="1" applyFill="1"/>
    <xf numFmtId="49" fontId="10" fillId="2" borderId="0" xfId="1" applyNumberFormat="1" applyFont="1" applyFill="1" applyBorder="1"/>
    <xf numFmtId="1" fontId="10" fillId="2" borderId="0" xfId="1" applyNumberFormat="1" applyFont="1" applyFill="1"/>
    <xf numFmtId="170" fontId="10" fillId="2" borderId="5" xfId="4" applyNumberFormat="1" applyFont="1" applyFill="1" applyBorder="1"/>
    <xf numFmtId="170" fontId="10" fillId="2" borderId="5" xfId="4" applyNumberFormat="1" applyFont="1" applyFill="1" applyBorder="1" applyAlignment="1">
      <alignment horizontal="right"/>
    </xf>
    <xf numFmtId="165" fontId="10" fillId="2" borderId="5" xfId="1" applyNumberFormat="1" applyFont="1" applyFill="1" applyBorder="1" applyAlignment="1">
      <alignment horizontal="right"/>
    </xf>
    <xf numFmtId="0" fontId="19" fillId="2" borderId="0" xfId="1" applyFont="1" applyFill="1" applyBorder="1" applyAlignment="1">
      <alignment vertical="center"/>
    </xf>
    <xf numFmtId="0" fontId="10" fillId="2" borderId="0" xfId="1" applyFont="1" applyFill="1" applyBorder="1"/>
    <xf numFmtId="3" fontId="11" fillId="2" borderId="0" xfId="1" applyNumberFormat="1" applyFont="1" applyFill="1" applyBorder="1" applyAlignment="1" applyProtection="1">
      <alignment vertical="center"/>
    </xf>
    <xf numFmtId="0" fontId="7" fillId="2" borderId="0" xfId="1" applyFont="1" applyFill="1" applyBorder="1" applyAlignment="1">
      <alignment vertical="center"/>
    </xf>
    <xf numFmtId="0" fontId="4" fillId="2" borderId="0" xfId="1" applyFont="1" applyFill="1" applyBorder="1" applyAlignment="1">
      <alignment vertical="top"/>
    </xf>
    <xf numFmtId="165" fontId="10" fillId="2" borderId="0" xfId="1" applyNumberFormat="1" applyFont="1" applyFill="1"/>
    <xf numFmtId="3" fontId="10" fillId="2" borderId="0" xfId="1" applyNumberFormat="1" applyFont="1" applyFill="1"/>
    <xf numFmtId="0" fontId="10" fillId="2" borderId="0" xfId="1" applyFont="1" applyFill="1" applyBorder="1" applyAlignment="1"/>
    <xf numFmtId="0" fontId="20" fillId="2" borderId="0" xfId="0" applyFont="1" applyFill="1" applyBorder="1" applyAlignment="1">
      <alignment wrapText="1"/>
    </xf>
    <xf numFmtId="0" fontId="18" fillId="2" borderId="0" xfId="0" applyFont="1" applyFill="1" applyBorder="1"/>
    <xf numFmtId="172" fontId="18" fillId="2" borderId="0" xfId="5" applyNumberFormat="1" applyFont="1" applyFill="1"/>
    <xf numFmtId="0" fontId="18" fillId="2" borderId="0" xfId="0" applyFont="1" applyFill="1" applyBorder="1" applyAlignment="1"/>
    <xf numFmtId="3" fontId="10" fillId="2" borderId="0" xfId="4" applyNumberFormat="1" applyFont="1" applyFill="1" applyBorder="1"/>
    <xf numFmtId="3" fontId="21" fillId="2" borderId="0" xfId="1" applyNumberFormat="1" applyFont="1" applyFill="1" applyAlignment="1">
      <alignment vertical="center"/>
    </xf>
    <xf numFmtId="0" fontId="22" fillId="2" borderId="0" xfId="0" applyFont="1" applyFill="1"/>
    <xf numFmtId="168" fontId="13" fillId="2" borderId="0" xfId="2" applyNumberFormat="1" applyFont="1" applyFill="1"/>
    <xf numFmtId="0" fontId="23" fillId="2" borderId="0" xfId="1" applyFont="1" applyFill="1" applyBorder="1" applyAlignment="1">
      <alignment horizontal="right" vertical="center"/>
    </xf>
    <xf numFmtId="0" fontId="4" fillId="2" borderId="0" xfId="1" applyFont="1" applyFill="1" applyBorder="1" applyAlignment="1">
      <alignment horizontal="right" vertical="top"/>
    </xf>
    <xf numFmtId="0" fontId="8" fillId="2" borderId="0" xfId="1" applyFont="1" applyFill="1" applyBorder="1" applyAlignment="1">
      <alignment horizontal="right"/>
    </xf>
    <xf numFmtId="0" fontId="4" fillId="2" borderId="0" xfId="1" applyFont="1" applyFill="1" applyBorder="1" applyAlignment="1"/>
    <xf numFmtId="0" fontId="4" fillId="2" borderId="5" xfId="1" applyFont="1" applyFill="1" applyBorder="1" applyAlignment="1"/>
    <xf numFmtId="0" fontId="17" fillId="2" borderId="0" xfId="0" applyFont="1" applyFill="1" applyAlignment="1">
      <alignment vertical="center"/>
    </xf>
    <xf numFmtId="0" fontId="16" fillId="2" borderId="0" xfId="1" applyFont="1" applyFill="1" applyAlignment="1">
      <alignment vertical="center"/>
    </xf>
    <xf numFmtId="165" fontId="16" fillId="2" borderId="0" xfId="1" applyNumberFormat="1" applyFont="1" applyFill="1" applyAlignment="1">
      <alignment horizontal="right" vertical="center"/>
    </xf>
    <xf numFmtId="168" fontId="16" fillId="2" borderId="0" xfId="2" applyNumberFormat="1" applyFont="1" applyFill="1" applyAlignment="1">
      <alignment vertical="center"/>
    </xf>
    <xf numFmtId="169" fontId="16" fillId="2" borderId="0" xfId="1" applyNumberFormat="1" applyFont="1" applyFill="1" applyAlignment="1">
      <alignment vertical="center"/>
    </xf>
    <xf numFmtId="49" fontId="21" fillId="2" borderId="0" xfId="1" applyNumberFormat="1" applyFont="1" applyFill="1" applyAlignment="1">
      <alignment vertical="center"/>
    </xf>
    <xf numFmtId="3" fontId="14" fillId="2" borderId="0" xfId="1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0" fontId="0" fillId="2" borderId="0" xfId="0" applyFill="1"/>
    <xf numFmtId="0" fontId="4" fillId="2" borderId="0" xfId="1" applyFont="1" applyFill="1" applyBorder="1" applyAlignment="1">
      <alignment horizontal="right" vertical="top" wrapText="1"/>
    </xf>
    <xf numFmtId="3" fontId="21" fillId="2" borderId="0" xfId="1" applyNumberFormat="1" applyFont="1" applyFill="1" applyAlignment="1">
      <alignment horizontal="left" vertical="top" indent="5"/>
    </xf>
    <xf numFmtId="0" fontId="2" fillId="2" borderId="0" xfId="0" applyFont="1" applyFill="1" applyAlignment="1">
      <alignment horizontal="center"/>
    </xf>
    <xf numFmtId="0" fontId="4" fillId="2" borderId="0" xfId="1" applyFont="1" applyFill="1" applyBorder="1" applyAlignment="1">
      <alignment horizontal="center" vertical="top" wrapText="1"/>
    </xf>
    <xf numFmtId="0" fontId="6" fillId="2" borderId="3" xfId="1" applyFont="1" applyFill="1" applyBorder="1" applyAlignment="1">
      <alignment horizontal="center" vertical="center"/>
    </xf>
    <xf numFmtId="0" fontId="15" fillId="2" borderId="3" xfId="1" applyFont="1" applyFill="1" applyBorder="1" applyAlignment="1">
      <alignment horizontal="right" vertical="top"/>
    </xf>
    <xf numFmtId="0" fontId="15" fillId="2" borderId="0" xfId="1" applyFont="1" applyFill="1" applyBorder="1" applyAlignment="1">
      <alignment horizontal="right" vertical="top"/>
    </xf>
    <xf numFmtId="0" fontId="7" fillId="2" borderId="4" xfId="1" applyFont="1" applyFill="1" applyBorder="1" applyAlignment="1">
      <alignment horizontal="center"/>
    </xf>
    <xf numFmtId="0" fontId="4" fillId="2" borderId="0" xfId="1" applyFont="1" applyFill="1" applyBorder="1" applyAlignment="1">
      <alignment horizontal="right" vertical="top" wrapText="1"/>
    </xf>
    <xf numFmtId="0" fontId="4" fillId="2" borderId="5" xfId="1" applyFont="1" applyFill="1" applyBorder="1" applyAlignment="1">
      <alignment horizontal="right" vertical="top" wrapText="1"/>
    </xf>
    <xf numFmtId="0" fontId="6" fillId="2" borderId="1" xfId="1" applyFont="1" applyFill="1" applyBorder="1" applyAlignment="1">
      <alignment horizontal="left"/>
    </xf>
    <xf numFmtId="0" fontId="6" fillId="2" borderId="0" xfId="1" applyFont="1" applyFill="1" applyBorder="1" applyAlignment="1">
      <alignment horizontal="left"/>
    </xf>
  </cellXfs>
  <cellStyles count="7">
    <cellStyle name="Comma 3" xfId="2"/>
    <cellStyle name="Comma_II-16(Populaion)" xfId="4"/>
    <cellStyle name="Normal" xfId="0" builtinId="0"/>
    <cellStyle name="Normal 2" xfId="3"/>
    <cellStyle name="Normal 4" xfId="6"/>
    <cellStyle name="Normal_II-16(Populaion)" xfId="1"/>
    <cellStyle name="Percent 3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Figure: 5.2: working age and not economically active (NEA) population by locality, 2009/2010</a:t>
            </a:r>
          </a:p>
        </c:rich>
      </c:tx>
      <c:layout>
        <c:manualLayout>
          <c:xMode val="edge"/>
          <c:yMode val="edge"/>
          <c:x val="0.22146529574840138"/>
          <c:y val="3.27716338828435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28233904856799"/>
          <c:y val="0.20607648002333126"/>
          <c:w val="0.74669914063905818"/>
          <c:h val="0.506373725756188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'5.2'!$E$62</c:f>
              <c:strCache>
                <c:ptCount val="1"/>
                <c:pt idx="0">
                  <c:v>15+ population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'5.2'!$F$61:$H$61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'5.2'!$F$62:$H$62</c:f>
              <c:numCache>
                <c:formatCode>#,##0</c:formatCode>
                <c:ptCount val="3"/>
                <c:pt idx="0">
                  <c:v>213872.42941046885</c:v>
                </c:pt>
                <c:pt idx="1">
                  <c:v>82288.605289321262</c:v>
                </c:pt>
                <c:pt idx="2">
                  <c:v>131583.82412114757</c:v>
                </c:pt>
              </c:numCache>
            </c:numRef>
          </c:val>
        </c:ser>
        <c:ser>
          <c:idx val="1"/>
          <c:order val="1"/>
          <c:tx>
            <c:strRef>
              <c:f>'5.2'!$E$63</c:f>
              <c:strCache>
                <c:ptCount val="1"/>
                <c:pt idx="0">
                  <c:v>NEA's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cat>
            <c:strRef>
              <c:f>'5.2'!$F$61:$H$61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'5.2'!$F$63:$H$63</c:f>
              <c:numCache>
                <c:formatCode>#,##0</c:formatCode>
                <c:ptCount val="3"/>
                <c:pt idx="0">
                  <c:v>75157.226619199326</c:v>
                </c:pt>
                <c:pt idx="1">
                  <c:v>29477.982203719064</c:v>
                </c:pt>
                <c:pt idx="2">
                  <c:v>45679.244415480265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693056"/>
        <c:axId val="49694592"/>
      </c:barChart>
      <c:catAx>
        <c:axId val="49693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9694592"/>
        <c:crosses val="autoZero"/>
        <c:auto val="1"/>
        <c:lblAlgn val="ctr"/>
        <c:lblOffset val="100"/>
        <c:noMultiLvlLbl val="0"/>
      </c:catAx>
      <c:valAx>
        <c:axId val="496945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Population</a:t>
                </a:r>
              </a:p>
            </c:rich>
          </c:tx>
          <c:layout>
            <c:manualLayout>
              <c:xMode val="edge"/>
              <c:yMode val="edge"/>
              <c:x val="5.8046270706227962E-2"/>
              <c:y val="0.31800053083252355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crossAx val="4969305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b="1"/>
      </a:pPr>
      <a:endParaRPr lang="en-US"/>
    </a:p>
  </c:txPr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57</xdr:row>
      <xdr:rowOff>152400</xdr:rowOff>
    </xdr:from>
    <xdr:to>
      <xdr:col>10</xdr:col>
      <xdr:colOff>485775</xdr:colOff>
      <xdr:row>71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0.21207</cdr:x>
      <cdr:y>0.16854</cdr:y>
    </cdr:from>
    <cdr:to>
      <cdr:x>0.95511</cdr:x>
      <cdr:y>0.16854</cdr:y>
    </cdr:to>
    <cdr:sp macro="" textlink="">
      <cdr:nvSpPr>
        <cdr:cNvPr id="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304925" y="428624"/>
          <a:ext cx="457200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7030A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68"/>
  <sheetViews>
    <sheetView tabSelected="1" topLeftCell="A4" zoomScaleNormal="100" workbookViewId="0">
      <selection activeCell="T8" sqref="T8"/>
    </sheetView>
  </sheetViews>
  <sheetFormatPr defaultColWidth="9.140625" defaultRowHeight="15"/>
  <cols>
    <col min="1" max="1" width="13.42578125" style="86" customWidth="1"/>
    <col min="2" max="2" width="14.5703125" style="86" customWidth="1"/>
    <col min="3" max="3" width="3.42578125" style="86" customWidth="1"/>
    <col min="4" max="4" width="9.42578125" style="86" customWidth="1"/>
    <col min="5" max="6" width="13.5703125" style="86" customWidth="1"/>
    <col min="7" max="7" width="7.7109375" style="86" customWidth="1"/>
    <col min="8" max="8" width="10.140625" style="86" bestFit="1" customWidth="1"/>
    <col min="9" max="9" width="11" style="86" customWidth="1"/>
    <col min="10" max="10" width="9.140625" style="86"/>
    <col min="11" max="11" width="10.140625" style="86" customWidth="1"/>
    <col min="12" max="12" width="6.28515625" style="86" customWidth="1"/>
    <col min="13" max="13" width="9.28515625" style="86" bestFit="1" customWidth="1"/>
    <col min="14" max="14" width="4.85546875" style="86" customWidth="1"/>
    <col min="15" max="16384" width="9.140625" style="86"/>
  </cols>
  <sheetData>
    <row r="1" spans="1:16" ht="21.75">
      <c r="A1" s="89" t="s">
        <v>48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6" s="85" customFormat="1" ht="27" customHeight="1">
      <c r="A2" s="90" t="s">
        <v>49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</row>
    <row r="3" spans="1:16" ht="8.25" customHeight="1"/>
    <row r="4" spans="1:16" ht="17.25" customHeight="1">
      <c r="A4" s="97" t="s">
        <v>8</v>
      </c>
      <c r="B4" s="1"/>
      <c r="C4" s="1"/>
      <c r="D4" s="2" t="s">
        <v>0</v>
      </c>
      <c r="E4" s="3"/>
      <c r="F4" s="4"/>
      <c r="G4" s="4"/>
      <c r="H4" s="4"/>
      <c r="I4" s="5" t="s">
        <v>1</v>
      </c>
      <c r="J4" s="1"/>
      <c r="K4" s="6"/>
      <c r="L4" s="6"/>
      <c r="M4" s="7"/>
    </row>
    <row r="5" spans="1:16" ht="17.25" customHeight="1">
      <c r="A5" s="98"/>
      <c r="B5" s="8" t="s">
        <v>2</v>
      </c>
      <c r="C5" s="8"/>
      <c r="D5" s="91" t="s">
        <v>3</v>
      </c>
      <c r="E5" s="91"/>
      <c r="F5" s="91"/>
      <c r="G5" s="34"/>
      <c r="H5" s="8" t="s">
        <v>4</v>
      </c>
      <c r="I5" s="92" t="s">
        <v>5</v>
      </c>
      <c r="J5" s="60"/>
      <c r="K5" s="8" t="s">
        <v>6</v>
      </c>
      <c r="L5" s="8"/>
      <c r="M5" s="8" t="s">
        <v>7</v>
      </c>
    </row>
    <row r="6" spans="1:16" ht="17.25">
      <c r="A6" s="76" t="s">
        <v>22</v>
      </c>
      <c r="B6" s="8" t="s">
        <v>9</v>
      </c>
      <c r="C6" s="8"/>
      <c r="D6" s="94" t="s">
        <v>10</v>
      </c>
      <c r="E6" s="94"/>
      <c r="F6" s="94"/>
      <c r="G6" s="35"/>
      <c r="H6" s="8" t="s">
        <v>11</v>
      </c>
      <c r="I6" s="93"/>
      <c r="J6" s="8"/>
      <c r="K6" s="9" t="s">
        <v>12</v>
      </c>
      <c r="L6" s="9"/>
      <c r="M6" s="9" t="s">
        <v>13</v>
      </c>
      <c r="N6" s="10"/>
      <c r="O6" s="10"/>
    </row>
    <row r="7" spans="1:16" ht="20.25" customHeight="1">
      <c r="A7" s="76"/>
      <c r="B7" s="12" t="s">
        <v>14</v>
      </c>
      <c r="C7" s="12"/>
      <c r="D7" s="73" t="s">
        <v>15</v>
      </c>
      <c r="E7" s="73" t="s">
        <v>16</v>
      </c>
      <c r="F7" s="73" t="s">
        <v>17</v>
      </c>
      <c r="G7" s="8"/>
      <c r="H7" s="12" t="s">
        <v>18</v>
      </c>
      <c r="I7" s="95" t="s">
        <v>19</v>
      </c>
      <c r="J7" s="12"/>
      <c r="K7" s="12" t="s">
        <v>20</v>
      </c>
      <c r="L7" s="12"/>
      <c r="M7" s="12" t="s">
        <v>21</v>
      </c>
      <c r="N7" s="10"/>
      <c r="O7" s="10"/>
    </row>
    <row r="8" spans="1:16" ht="12.75" customHeight="1">
      <c r="A8" s="77"/>
      <c r="B8" s="14" t="s">
        <v>23</v>
      </c>
      <c r="C8" s="13"/>
      <c r="D8" s="14" t="s">
        <v>24</v>
      </c>
      <c r="E8" s="14" t="s">
        <v>25</v>
      </c>
      <c r="F8" s="14" t="s">
        <v>26</v>
      </c>
      <c r="G8" s="14"/>
      <c r="H8" s="13" t="s">
        <v>27</v>
      </c>
      <c r="I8" s="96"/>
      <c r="J8" s="36"/>
      <c r="K8" s="14" t="s">
        <v>28</v>
      </c>
      <c r="L8" s="14"/>
      <c r="M8" s="14" t="s">
        <v>29</v>
      </c>
      <c r="N8" s="10"/>
      <c r="O8" s="10"/>
    </row>
    <row r="9" spans="1:16" ht="12.75" customHeight="1">
      <c r="A9" s="11"/>
      <c r="B9" s="12"/>
      <c r="C9" s="74"/>
      <c r="D9" s="12"/>
      <c r="E9" s="12"/>
      <c r="F9" s="12"/>
      <c r="G9" s="12"/>
      <c r="H9" s="74"/>
      <c r="I9" s="87"/>
      <c r="J9" s="75"/>
      <c r="K9" s="12"/>
      <c r="L9" s="12"/>
      <c r="M9" s="12"/>
      <c r="N9" s="10"/>
      <c r="O9" s="10"/>
    </row>
    <row r="10" spans="1:16" s="51" customFormat="1" ht="15" customHeight="1">
      <c r="A10" s="22" t="s">
        <v>30</v>
      </c>
      <c r="B10" s="15">
        <f t="shared" ref="B10:I10" si="0">SUM(B11:B23)</f>
        <v>213872.42941046885</v>
      </c>
      <c r="C10" s="15"/>
      <c r="D10" s="15">
        <f t="shared" si="0"/>
        <v>136885.74245084403</v>
      </c>
      <c r="E10" s="15">
        <f t="shared" si="0"/>
        <v>98393.09335793677</v>
      </c>
      <c r="F10" s="15">
        <f t="shared" si="0"/>
        <v>38492.649092907246</v>
      </c>
      <c r="G10" s="15"/>
      <c r="H10" s="15">
        <f t="shared" si="0"/>
        <v>75157.226619199326</v>
      </c>
      <c r="I10" s="15">
        <f t="shared" si="0"/>
        <v>1829.4603404254356</v>
      </c>
      <c r="J10" s="15"/>
      <c r="K10" s="16">
        <f>SUM(D10/B10)*100</f>
        <v>64.003454221829486</v>
      </c>
      <c r="L10" s="16"/>
      <c r="M10" s="16">
        <f>(F10/D10)*100</f>
        <v>28.120276373363019</v>
      </c>
      <c r="N10" s="37"/>
      <c r="O10" s="65"/>
      <c r="P10" s="66"/>
    </row>
    <row r="11" spans="1:16" s="51" customFormat="1" ht="15" customHeight="1">
      <c r="A11" s="25" t="s">
        <v>31</v>
      </c>
      <c r="B11" s="17">
        <f t="shared" ref="B11:B22" si="1">B26+B41</f>
        <v>38442.738164545262</v>
      </c>
      <c r="C11" s="17"/>
      <c r="D11" s="17">
        <f>E11+F11</f>
        <v>13587.554347953717</v>
      </c>
      <c r="E11" s="17">
        <f t="shared" ref="E11:I22" si="2">E26+E41</f>
        <v>5530.0569277582508</v>
      </c>
      <c r="F11" s="17">
        <f t="shared" si="2"/>
        <v>8057.4974201954665</v>
      </c>
      <c r="G11" s="17"/>
      <c r="H11" s="17">
        <f t="shared" si="2"/>
        <v>24520.430084923537</v>
      </c>
      <c r="I11" s="17">
        <f t="shared" si="2"/>
        <v>334.75373166797954</v>
      </c>
      <c r="J11" s="17"/>
      <c r="K11" s="18">
        <f t="shared" ref="K11:K21" si="3">SUM(D11/B11)*100</f>
        <v>35.344918173610132</v>
      </c>
      <c r="L11" s="18"/>
      <c r="M11" s="18">
        <f>(F11/D11)*100</f>
        <v>59.300571786922958</v>
      </c>
      <c r="N11" s="37"/>
      <c r="O11" s="65"/>
      <c r="P11" s="66"/>
    </row>
    <row r="12" spans="1:16" s="51" customFormat="1" ht="15" customHeight="1">
      <c r="A12" s="25" t="s">
        <v>32</v>
      </c>
      <c r="B12" s="17">
        <f t="shared" si="1"/>
        <v>34247.980649691031</v>
      </c>
      <c r="C12" s="17"/>
      <c r="D12" s="17">
        <f t="shared" ref="D12:D22" si="4">E12+F12</f>
        <v>26197.844377264548</v>
      </c>
      <c r="E12" s="17">
        <f t="shared" si="2"/>
        <v>17171.987275535343</v>
      </c>
      <c r="F12" s="17">
        <f t="shared" si="2"/>
        <v>9025.8571017292052</v>
      </c>
      <c r="G12" s="17"/>
      <c r="H12" s="17">
        <f t="shared" si="2"/>
        <v>7828.8171671086711</v>
      </c>
      <c r="I12" s="17">
        <f t="shared" si="2"/>
        <v>221.31910531778041</v>
      </c>
      <c r="J12" s="17"/>
      <c r="K12" s="18">
        <f t="shared" si="3"/>
        <v>76.494566629290858</v>
      </c>
      <c r="L12" s="18"/>
      <c r="M12" s="18">
        <f t="shared" ref="M12:M21" si="5">(F12/D12)*100</f>
        <v>34.452670882960795</v>
      </c>
      <c r="N12" s="37"/>
      <c r="O12" s="67"/>
    </row>
    <row r="13" spans="1:16" s="51" customFormat="1" ht="15" customHeight="1">
      <c r="A13" s="25" t="s">
        <v>33</v>
      </c>
      <c r="B13" s="17">
        <f t="shared" si="1"/>
        <v>27599.639643235452</v>
      </c>
      <c r="C13" s="17"/>
      <c r="D13" s="17">
        <f t="shared" si="4"/>
        <v>21052.976308146095</v>
      </c>
      <c r="E13" s="17">
        <f t="shared" si="2"/>
        <v>15239.160343905058</v>
      </c>
      <c r="F13" s="17">
        <f t="shared" si="2"/>
        <v>5813.8159642410383</v>
      </c>
      <c r="G13" s="17"/>
      <c r="H13" s="17">
        <f t="shared" si="2"/>
        <v>6133.4415203368244</v>
      </c>
      <c r="I13" s="17">
        <f t="shared" si="2"/>
        <v>413.22181475252182</v>
      </c>
      <c r="J13" s="17"/>
      <c r="K13" s="18">
        <f t="shared" si="3"/>
        <v>76.279895608369245</v>
      </c>
      <c r="L13" s="18"/>
      <c r="M13" s="18">
        <f t="shared" si="5"/>
        <v>27.61517364170253</v>
      </c>
      <c r="N13" s="37"/>
      <c r="O13" s="67"/>
    </row>
    <row r="14" spans="1:16" s="51" customFormat="1" ht="15" customHeight="1">
      <c r="A14" s="25" t="s">
        <v>34</v>
      </c>
      <c r="B14" s="17">
        <f t="shared" si="1"/>
        <v>21386.694672986872</v>
      </c>
      <c r="C14" s="17"/>
      <c r="D14" s="17">
        <f t="shared" si="4"/>
        <v>15972.960004014129</v>
      </c>
      <c r="E14" s="17">
        <f t="shared" si="2"/>
        <v>12347.565536531711</v>
      </c>
      <c r="F14" s="17">
        <f t="shared" si="2"/>
        <v>3625.3944674824179</v>
      </c>
      <c r="G14" s="17"/>
      <c r="H14" s="17">
        <f t="shared" si="2"/>
        <v>5224.5753870307508</v>
      </c>
      <c r="I14" s="17">
        <f t="shared" si="2"/>
        <v>189.15928194199256</v>
      </c>
      <c r="J14" s="17"/>
      <c r="K14" s="18">
        <f t="shared" si="3"/>
        <v>74.686435881039955</v>
      </c>
      <c r="L14" s="18"/>
      <c r="M14" s="18">
        <f t="shared" si="5"/>
        <v>22.697073470235498</v>
      </c>
      <c r="N14" s="37"/>
      <c r="O14" s="67"/>
    </row>
    <row r="15" spans="1:16" s="51" customFormat="1" ht="15" customHeight="1">
      <c r="A15" s="25" t="s">
        <v>35</v>
      </c>
      <c r="B15" s="17">
        <f t="shared" si="1"/>
        <v>19724.726678268125</v>
      </c>
      <c r="C15" s="17"/>
      <c r="D15" s="17">
        <f t="shared" si="4"/>
        <v>15084.195540018238</v>
      </c>
      <c r="E15" s="17">
        <f t="shared" si="2"/>
        <v>12247.911657952884</v>
      </c>
      <c r="F15" s="17">
        <f t="shared" si="2"/>
        <v>2836.2838820653551</v>
      </c>
      <c r="G15" s="17"/>
      <c r="H15" s="17">
        <f t="shared" si="2"/>
        <v>4579.4881241889016</v>
      </c>
      <c r="I15" s="17">
        <f t="shared" si="2"/>
        <v>61.043014060993045</v>
      </c>
      <c r="J15" s="17"/>
      <c r="K15" s="18">
        <f t="shared" si="3"/>
        <v>76.473533884945383</v>
      </c>
      <c r="L15" s="18"/>
      <c r="M15" s="18">
        <f t="shared" si="5"/>
        <v>18.803017201286732</v>
      </c>
      <c r="N15" s="37"/>
      <c r="O15" s="67"/>
    </row>
    <row r="16" spans="1:16" s="51" customFormat="1" ht="15" customHeight="1">
      <c r="A16" s="25" t="s">
        <v>36</v>
      </c>
      <c r="B16" s="17">
        <f t="shared" si="1"/>
        <v>18950.107516993387</v>
      </c>
      <c r="C16" s="17"/>
      <c r="D16" s="17">
        <f t="shared" si="4"/>
        <v>15177.893291456025</v>
      </c>
      <c r="E16" s="17">
        <f t="shared" si="2"/>
        <v>12089.872412413035</v>
      </c>
      <c r="F16" s="17">
        <f t="shared" si="2"/>
        <v>3088.0208790429892</v>
      </c>
      <c r="G16" s="17"/>
      <c r="H16" s="17">
        <f t="shared" si="2"/>
        <v>3717.8304390575931</v>
      </c>
      <c r="I16" s="17">
        <f t="shared" si="2"/>
        <v>54.383786479760026</v>
      </c>
      <c r="J16" s="17"/>
      <c r="K16" s="18">
        <f t="shared" si="3"/>
        <v>80.093969270862161</v>
      </c>
      <c r="L16" s="18"/>
      <c r="M16" s="18">
        <f t="shared" si="5"/>
        <v>20.34551712642034</v>
      </c>
      <c r="N16" s="37"/>
      <c r="O16" s="67"/>
    </row>
    <row r="17" spans="1:23" s="51" customFormat="1" ht="15" customHeight="1">
      <c r="A17" s="25" t="s">
        <v>37</v>
      </c>
      <c r="B17" s="17">
        <f t="shared" si="1"/>
        <v>14536.734777723614</v>
      </c>
      <c r="C17" s="17"/>
      <c r="D17" s="17">
        <f t="shared" si="4"/>
        <v>11424.620440138453</v>
      </c>
      <c r="E17" s="17">
        <f t="shared" si="2"/>
        <v>9071.5098269715199</v>
      </c>
      <c r="F17" s="17">
        <f t="shared" si="2"/>
        <v>2353.1106131669326</v>
      </c>
      <c r="G17" s="17"/>
      <c r="H17" s="17">
        <f t="shared" si="2"/>
        <v>2975.6992018223646</v>
      </c>
      <c r="I17" s="17">
        <f t="shared" si="2"/>
        <v>136.41513576280579</v>
      </c>
      <c r="J17" s="17"/>
      <c r="K17" s="18">
        <f t="shared" si="3"/>
        <v>78.591379803157537</v>
      </c>
      <c r="L17" s="18"/>
      <c r="M17" s="18">
        <f t="shared" si="5"/>
        <v>20.596838428869638</v>
      </c>
      <c r="N17" s="37"/>
      <c r="O17" s="67"/>
    </row>
    <row r="18" spans="1:23" s="51" customFormat="1" ht="15" customHeight="1">
      <c r="A18" s="25" t="s">
        <v>38</v>
      </c>
      <c r="B18" s="17">
        <f t="shared" si="1"/>
        <v>11915.126550855206</v>
      </c>
      <c r="C18" s="17"/>
      <c r="D18" s="17">
        <f t="shared" si="4"/>
        <v>9037.3612638528102</v>
      </c>
      <c r="E18" s="17">
        <f t="shared" si="2"/>
        <v>7560.0484961108741</v>
      </c>
      <c r="F18" s="17">
        <f t="shared" si="2"/>
        <v>1477.3127677419368</v>
      </c>
      <c r="G18" s="17"/>
      <c r="H18" s="17">
        <f t="shared" si="2"/>
        <v>2778.4037016666698</v>
      </c>
      <c r="I18" s="17">
        <f t="shared" si="2"/>
        <v>99.361585335722452</v>
      </c>
      <c r="J18" s="17"/>
      <c r="K18" s="18">
        <f t="shared" si="3"/>
        <v>75.847799226304943</v>
      </c>
      <c r="L18" s="18"/>
      <c r="M18" s="18">
        <f t="shared" si="5"/>
        <v>16.34672693290263</v>
      </c>
      <c r="N18" s="37"/>
      <c r="O18" s="67"/>
    </row>
    <row r="19" spans="1:23" s="51" customFormat="1" ht="15" customHeight="1">
      <c r="A19" s="25" t="s">
        <v>39</v>
      </c>
      <c r="B19" s="17">
        <f t="shared" si="1"/>
        <v>6482.5374336167642</v>
      </c>
      <c r="C19" s="17"/>
      <c r="D19" s="17">
        <f t="shared" si="4"/>
        <v>4310.6130700831945</v>
      </c>
      <c r="E19" s="17">
        <f t="shared" si="2"/>
        <v>3141.2174624801537</v>
      </c>
      <c r="F19" s="17">
        <f t="shared" si="2"/>
        <v>1169.3956076030406</v>
      </c>
      <c r="G19" s="17"/>
      <c r="H19" s="17">
        <f t="shared" si="2"/>
        <v>2152.1645756586768</v>
      </c>
      <c r="I19" s="17">
        <f t="shared" si="2"/>
        <v>19.759787874892609</v>
      </c>
      <c r="J19" s="17"/>
      <c r="K19" s="18">
        <f t="shared" si="3"/>
        <v>66.495768273229999</v>
      </c>
      <c r="L19" s="18"/>
      <c r="M19" s="18">
        <f t="shared" si="5"/>
        <v>27.128289841622721</v>
      </c>
      <c r="N19" s="37"/>
      <c r="O19" s="67"/>
    </row>
    <row r="20" spans="1:23" s="51" customFormat="1" ht="15" customHeight="1">
      <c r="A20" s="25" t="s">
        <v>40</v>
      </c>
      <c r="B20" s="17">
        <f t="shared" si="1"/>
        <v>4678.3525997682545</v>
      </c>
      <c r="C20" s="17"/>
      <c r="D20" s="17">
        <f t="shared" si="4"/>
        <v>2311.1260864229075</v>
      </c>
      <c r="E20" s="17">
        <f t="shared" si="2"/>
        <v>1985.6977113311939</v>
      </c>
      <c r="F20" s="17">
        <f t="shared" si="2"/>
        <v>325.42837509171375</v>
      </c>
      <c r="G20" s="17"/>
      <c r="H20" s="17">
        <f t="shared" si="2"/>
        <v>2334.4347732027522</v>
      </c>
      <c r="I20" s="17">
        <f t="shared" si="2"/>
        <v>32.791740142594691</v>
      </c>
      <c r="J20" s="17"/>
      <c r="K20" s="18">
        <f t="shared" si="3"/>
        <v>49.400425409093593</v>
      </c>
      <c r="L20" s="18"/>
      <c r="M20" s="18">
        <f t="shared" si="5"/>
        <v>14.080944220373635</v>
      </c>
      <c r="N20" s="37"/>
      <c r="O20" s="67"/>
    </row>
    <row r="21" spans="1:23" s="51" customFormat="1" ht="15" customHeight="1">
      <c r="A21" s="25" t="s">
        <v>41</v>
      </c>
      <c r="B21" s="17">
        <f t="shared" si="1"/>
        <v>15520.492320922314</v>
      </c>
      <c r="C21" s="17"/>
      <c r="D21" s="17">
        <f t="shared" si="4"/>
        <v>2522.6915565925501</v>
      </c>
      <c r="E21" s="17">
        <f t="shared" si="2"/>
        <v>1912.8514032133432</v>
      </c>
      <c r="F21" s="17">
        <f t="shared" si="2"/>
        <v>609.84015337920698</v>
      </c>
      <c r="G21" s="17"/>
      <c r="H21" s="17">
        <f t="shared" si="2"/>
        <v>12811.8916732486</v>
      </c>
      <c r="I21" s="17">
        <f t="shared" si="2"/>
        <v>185.90909108117211</v>
      </c>
      <c r="J21" s="17"/>
      <c r="K21" s="18">
        <f t="shared" si="3"/>
        <v>16.253940303116863</v>
      </c>
      <c r="L21" s="18"/>
      <c r="M21" s="18">
        <f t="shared" si="5"/>
        <v>24.174186169748406</v>
      </c>
      <c r="N21" s="37"/>
      <c r="O21" s="67"/>
    </row>
    <row r="22" spans="1:23" s="51" customFormat="1" ht="15" customHeight="1">
      <c r="A22" s="57" t="s">
        <v>54</v>
      </c>
      <c r="B22" s="17">
        <f t="shared" si="1"/>
        <v>387.29840186256001</v>
      </c>
      <c r="C22" s="17"/>
      <c r="D22" s="17">
        <f t="shared" si="4"/>
        <v>205.90616490135778</v>
      </c>
      <c r="E22" s="17">
        <f t="shared" si="2"/>
        <v>95.214303733411512</v>
      </c>
      <c r="F22" s="17">
        <f t="shared" si="2"/>
        <v>110.69186116794627</v>
      </c>
      <c r="G22" s="17"/>
      <c r="H22" s="17">
        <f t="shared" si="2"/>
        <v>100.04997095398193</v>
      </c>
      <c r="I22" s="17">
        <f t="shared" si="2"/>
        <v>81.342266007220303</v>
      </c>
      <c r="J22" s="17"/>
      <c r="K22" s="18">
        <v>0</v>
      </c>
      <c r="L22" s="18"/>
      <c r="M22" s="18">
        <v>0</v>
      </c>
      <c r="N22" s="37"/>
      <c r="O22" s="67"/>
    </row>
    <row r="23" spans="1:23" s="66" customFormat="1" ht="15" customHeight="1">
      <c r="A23" s="52" t="s">
        <v>42</v>
      </c>
      <c r="B23" s="19"/>
      <c r="C23" s="19"/>
      <c r="D23" s="19"/>
      <c r="E23" s="19"/>
      <c r="F23" s="19"/>
      <c r="G23" s="19"/>
      <c r="H23" s="19"/>
      <c r="I23" s="19"/>
      <c r="J23" s="19"/>
      <c r="K23" s="38"/>
      <c r="L23" s="38"/>
      <c r="M23" s="38"/>
    </row>
    <row r="24" spans="1:23" s="51" customFormat="1" ht="15" customHeight="1">
      <c r="A24" s="48"/>
      <c r="B24" s="31"/>
      <c r="C24" s="31"/>
      <c r="D24" s="31"/>
      <c r="E24" s="31"/>
      <c r="F24" s="31"/>
      <c r="G24" s="31"/>
      <c r="H24" s="31"/>
      <c r="I24" s="31"/>
      <c r="J24" s="31"/>
      <c r="K24" s="62"/>
      <c r="L24" s="62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</row>
    <row r="25" spans="1:23" s="51" customFormat="1" ht="15" customHeight="1">
      <c r="A25" s="22" t="s">
        <v>43</v>
      </c>
      <c r="B25" s="15">
        <f>SUM(B26:B38)</f>
        <v>82288.605289321262</v>
      </c>
      <c r="C25" s="15"/>
      <c r="D25" s="23">
        <f>SUM(E25:F25)</f>
        <v>52153.013993453627</v>
      </c>
      <c r="E25" s="15">
        <f>SUM(E26:E38)</f>
        <v>39775.159362769184</v>
      </c>
      <c r="F25" s="15">
        <f>SUM(F26:F38)</f>
        <v>12377.854630684444</v>
      </c>
      <c r="G25" s="15"/>
      <c r="H25" s="15">
        <f>SUM(H26:H38)</f>
        <v>29477.982203719064</v>
      </c>
      <c r="I25" s="15">
        <f>SUM(I26:I38)</f>
        <v>657.6090921484622</v>
      </c>
      <c r="J25" s="15"/>
      <c r="K25" s="16">
        <f>SUM(D25/B25)*100</f>
        <v>63.378172239141861</v>
      </c>
      <c r="L25" s="16"/>
      <c r="M25" s="16">
        <f>(F25/D25)*100</f>
        <v>23.733728279324644</v>
      </c>
      <c r="N25" s="62"/>
      <c r="O25" s="63"/>
      <c r="P25" s="48"/>
      <c r="Q25" s="48"/>
      <c r="R25" s="48"/>
      <c r="S25" s="48"/>
      <c r="T25" s="48"/>
      <c r="U25" s="48"/>
      <c r="V25" s="48"/>
      <c r="W25" s="48"/>
    </row>
    <row r="26" spans="1:23" s="51" customFormat="1" ht="15" customHeight="1">
      <c r="A26" s="25" t="s">
        <v>31</v>
      </c>
      <c r="B26" s="26">
        <v>15919.974715829938</v>
      </c>
      <c r="C26" s="26"/>
      <c r="D26" s="17">
        <v>5404.3978461237348</v>
      </c>
      <c r="E26" s="17">
        <v>2655.3603685989465</v>
      </c>
      <c r="F26" s="17">
        <v>2749.0374775247888</v>
      </c>
      <c r="G26" s="17"/>
      <c r="H26" s="17">
        <v>10393.830705160643</v>
      </c>
      <c r="I26" s="17">
        <v>121.74616454552825</v>
      </c>
      <c r="J26" s="17"/>
      <c r="K26" s="18">
        <v>33.947276566651212</v>
      </c>
      <c r="L26" s="18"/>
      <c r="M26" s="18">
        <v>50.866674804419077</v>
      </c>
      <c r="N26" s="62"/>
      <c r="O26" s="63"/>
      <c r="P26" s="48"/>
      <c r="Q26" s="48"/>
      <c r="R26" s="48"/>
      <c r="S26" s="48"/>
      <c r="T26" s="48"/>
      <c r="U26" s="48"/>
      <c r="V26" s="48"/>
      <c r="W26" s="48"/>
    </row>
    <row r="27" spans="1:23" s="51" customFormat="1" ht="15" customHeight="1">
      <c r="A27" s="25" t="s">
        <v>32</v>
      </c>
      <c r="B27" s="26">
        <v>15830.643747112563</v>
      </c>
      <c r="C27" s="26"/>
      <c r="D27" s="17">
        <v>11868.426264201731</v>
      </c>
      <c r="E27" s="17">
        <v>8751.4420007494573</v>
      </c>
      <c r="F27" s="17">
        <v>3116.9842634522734</v>
      </c>
      <c r="G27" s="17"/>
      <c r="H27" s="17">
        <v>3829.5047388331386</v>
      </c>
      <c r="I27" s="17">
        <v>132.71274407765745</v>
      </c>
      <c r="J27" s="17"/>
      <c r="K27" s="18">
        <v>74.971216924557964</v>
      </c>
      <c r="L27" s="18"/>
      <c r="M27" s="18">
        <v>26.262827051080151</v>
      </c>
      <c r="N27" s="62"/>
      <c r="O27" s="63"/>
      <c r="P27" s="48"/>
      <c r="Q27" s="48"/>
      <c r="R27" s="48"/>
      <c r="S27" s="48"/>
      <c r="T27" s="48"/>
      <c r="U27" s="48"/>
      <c r="V27" s="48"/>
      <c r="W27" s="48"/>
    </row>
    <row r="28" spans="1:23" s="51" customFormat="1" ht="15" customHeight="1">
      <c r="A28" s="25" t="s">
        <v>33</v>
      </c>
      <c r="B28" s="26">
        <v>11459.296995558876</v>
      </c>
      <c r="C28" s="26"/>
      <c r="D28" s="17">
        <v>8784.3550751639141</v>
      </c>
      <c r="E28" s="17">
        <v>6940.0795302911047</v>
      </c>
      <c r="F28" s="17">
        <v>1844.2755448728094</v>
      </c>
      <c r="G28" s="17"/>
      <c r="H28" s="17">
        <v>2567.2584545193272</v>
      </c>
      <c r="I28" s="17">
        <v>107.68346587561862</v>
      </c>
      <c r="J28" s="17"/>
      <c r="K28" s="18">
        <v>76.657015509488474</v>
      </c>
      <c r="L28" s="18"/>
      <c r="M28" s="18">
        <v>20.995002240826377</v>
      </c>
      <c r="N28" s="62"/>
      <c r="O28" s="63"/>
      <c r="P28" s="48"/>
      <c r="Q28" s="48"/>
      <c r="R28" s="48"/>
      <c r="S28" s="48"/>
      <c r="T28" s="48"/>
      <c r="U28" s="48"/>
      <c r="V28" s="48"/>
      <c r="W28" s="48"/>
    </row>
    <row r="29" spans="1:23" s="51" customFormat="1" ht="15" customHeight="1">
      <c r="A29" s="25" t="s">
        <v>34</v>
      </c>
      <c r="B29" s="26">
        <v>8261.7181626534039</v>
      </c>
      <c r="C29" s="26"/>
      <c r="D29" s="17">
        <v>6159.9883167628159</v>
      </c>
      <c r="E29" s="17">
        <v>5214.1217368848156</v>
      </c>
      <c r="F29" s="17">
        <v>945.86657987800049</v>
      </c>
      <c r="G29" s="17"/>
      <c r="H29" s="17">
        <v>2065.4585316604571</v>
      </c>
      <c r="I29" s="17">
        <v>36.271314230126237</v>
      </c>
      <c r="J29" s="17"/>
      <c r="K29" s="18">
        <v>74.560620387762313</v>
      </c>
      <c r="L29" s="18"/>
      <c r="M29" s="18">
        <v>15.355006068827585</v>
      </c>
      <c r="N29" s="62"/>
      <c r="O29" s="63"/>
      <c r="P29" s="48"/>
      <c r="Q29" s="48"/>
      <c r="R29" s="48"/>
      <c r="S29" s="48"/>
      <c r="T29" s="48"/>
      <c r="U29" s="48"/>
      <c r="V29" s="48"/>
      <c r="W29" s="48"/>
    </row>
    <row r="30" spans="1:23" s="51" customFormat="1" ht="15" customHeight="1">
      <c r="A30" s="25" t="s">
        <v>35</v>
      </c>
      <c r="B30" s="26">
        <v>7031.1991519356006</v>
      </c>
      <c r="C30" s="26"/>
      <c r="D30" s="17">
        <v>5111.9403692700607</v>
      </c>
      <c r="E30" s="17">
        <v>4099.415737118281</v>
      </c>
      <c r="F30" s="17">
        <v>1012.5246321517795</v>
      </c>
      <c r="G30" s="17"/>
      <c r="H30" s="17">
        <v>1886.4952679743674</v>
      </c>
      <c r="I30" s="17">
        <v>32.763514691170066</v>
      </c>
      <c r="J30" s="17"/>
      <c r="K30" s="18">
        <v>72.703677691490327</v>
      </c>
      <c r="L30" s="18"/>
      <c r="M30" s="18">
        <v>19.807050924116297</v>
      </c>
      <c r="N30" s="62"/>
      <c r="O30" s="63"/>
      <c r="P30" s="48"/>
      <c r="Q30" s="48"/>
      <c r="R30" s="48"/>
      <c r="S30" s="48"/>
      <c r="T30" s="48"/>
      <c r="U30" s="48"/>
      <c r="V30" s="48"/>
      <c r="W30" s="48"/>
    </row>
    <row r="31" spans="1:23" s="51" customFormat="1" ht="15" customHeight="1">
      <c r="A31" s="25" t="s">
        <v>36</v>
      </c>
      <c r="B31" s="26">
        <v>7464.2454966421619</v>
      </c>
      <c r="C31" s="26"/>
      <c r="D31" s="17">
        <v>5764.2778139357351</v>
      </c>
      <c r="E31" s="17">
        <v>4904.204123066891</v>
      </c>
      <c r="F31" s="17">
        <v>860.07369086884376</v>
      </c>
      <c r="G31" s="17"/>
      <c r="H31" s="17">
        <v>1699.967682706415</v>
      </c>
      <c r="I31" s="17">
        <v>0</v>
      </c>
      <c r="J31" s="17"/>
      <c r="K31" s="18">
        <v>77.225190630839137</v>
      </c>
      <c r="L31" s="18"/>
      <c r="M31" s="18">
        <v>14.920753624843117</v>
      </c>
      <c r="N31" s="62"/>
      <c r="O31" s="63"/>
      <c r="P31" s="48"/>
      <c r="Q31" s="48"/>
      <c r="R31" s="48"/>
      <c r="S31" s="48"/>
      <c r="T31" s="48"/>
      <c r="U31" s="48"/>
      <c r="V31" s="48"/>
      <c r="W31" s="48"/>
    </row>
    <row r="32" spans="1:23" s="51" customFormat="1" ht="15" customHeight="1">
      <c r="A32" s="25" t="s">
        <v>37</v>
      </c>
      <c r="B32" s="26">
        <v>4575.8134549527704</v>
      </c>
      <c r="C32" s="26"/>
      <c r="D32" s="17">
        <v>3503.3058158375461</v>
      </c>
      <c r="E32" s="17">
        <v>2952.9736819272816</v>
      </c>
      <c r="F32" s="17">
        <v>550.3321339102647</v>
      </c>
      <c r="G32" s="17"/>
      <c r="H32" s="17">
        <v>1043.5536492958704</v>
      </c>
      <c r="I32" s="17">
        <v>28.953989819355719</v>
      </c>
      <c r="J32" s="17"/>
      <c r="K32" s="18">
        <v>76.561377563275386</v>
      </c>
      <c r="L32" s="18"/>
      <c r="M32" s="18">
        <v>15.708937867266808</v>
      </c>
      <c r="N32" s="62"/>
      <c r="O32" s="63"/>
      <c r="P32" s="48"/>
      <c r="Q32" s="48"/>
      <c r="R32" s="48"/>
      <c r="S32" s="48"/>
      <c r="T32" s="48"/>
      <c r="U32" s="48"/>
      <c r="V32" s="48"/>
      <c r="W32" s="48"/>
    </row>
    <row r="33" spans="1:23" s="51" customFormat="1" ht="15" customHeight="1">
      <c r="A33" s="25" t="s">
        <v>38</v>
      </c>
      <c r="B33" s="26">
        <v>4322.7296203360647</v>
      </c>
      <c r="C33" s="26"/>
      <c r="D33" s="17">
        <v>3043.1080149457307</v>
      </c>
      <c r="E33" s="17">
        <v>2403.6679046357731</v>
      </c>
      <c r="F33" s="17">
        <v>639.44011030995773</v>
      </c>
      <c r="G33" s="17"/>
      <c r="H33" s="17">
        <v>1199.67845976274</v>
      </c>
      <c r="I33" s="17">
        <v>79.943145627590823</v>
      </c>
      <c r="J33" s="17"/>
      <c r="K33" s="18">
        <v>70.39783382771806</v>
      </c>
      <c r="L33" s="18"/>
      <c r="M33" s="18">
        <v>21.012731298706832</v>
      </c>
      <c r="N33" s="62"/>
      <c r="O33" s="63"/>
      <c r="P33" s="48"/>
      <c r="Q33" s="48"/>
      <c r="R33" s="48"/>
      <c r="S33" s="48"/>
      <c r="T33" s="48"/>
      <c r="U33" s="48"/>
      <c r="V33" s="48"/>
      <c r="W33" s="48"/>
    </row>
    <row r="34" spans="1:23" s="51" customFormat="1" ht="15" customHeight="1">
      <c r="A34" s="25" t="s">
        <v>39</v>
      </c>
      <c r="B34" s="26">
        <v>2431.7287126503775</v>
      </c>
      <c r="C34" s="26"/>
      <c r="D34" s="17">
        <v>1326.8538952359072</v>
      </c>
      <c r="E34" s="17">
        <v>977.25205085994764</v>
      </c>
      <c r="F34" s="17">
        <v>349.60184437595962</v>
      </c>
      <c r="G34" s="17"/>
      <c r="H34" s="17">
        <v>1104.8748174144705</v>
      </c>
      <c r="I34" s="17">
        <v>0</v>
      </c>
      <c r="J34" s="17"/>
      <c r="K34" s="18">
        <v>54.564223728301883</v>
      </c>
      <c r="L34" s="18"/>
      <c r="M34" s="18">
        <v>26.34817937613262</v>
      </c>
      <c r="N34" s="62"/>
      <c r="O34" s="63"/>
      <c r="P34" s="48"/>
      <c r="Q34" s="48"/>
      <c r="R34" s="48"/>
      <c r="S34" s="48"/>
      <c r="T34" s="48"/>
      <c r="U34" s="48"/>
      <c r="V34" s="48"/>
      <c r="W34" s="48"/>
    </row>
    <row r="35" spans="1:23" s="51" customFormat="1" ht="15" customHeight="1">
      <c r="A35" s="25" t="s">
        <v>40</v>
      </c>
      <c r="B35" s="26">
        <v>1433.2214189996575</v>
      </c>
      <c r="C35" s="26"/>
      <c r="D35" s="17">
        <v>649.00824863558648</v>
      </c>
      <c r="E35" s="17">
        <v>521.93533573512445</v>
      </c>
      <c r="F35" s="17">
        <v>127.07291290046201</v>
      </c>
      <c r="G35" s="17"/>
      <c r="H35" s="17">
        <v>784.21317036407129</v>
      </c>
      <c r="I35" s="17">
        <v>0</v>
      </c>
      <c r="J35" s="17"/>
      <c r="K35" s="18">
        <v>45.283180953894295</v>
      </c>
      <c r="L35" s="18"/>
      <c r="M35" s="18">
        <v>19.579552828120146</v>
      </c>
      <c r="N35" s="62"/>
      <c r="O35" s="63"/>
      <c r="P35" s="48"/>
      <c r="Q35" s="48"/>
      <c r="R35" s="48"/>
      <c r="S35" s="48"/>
      <c r="T35" s="48"/>
      <c r="U35" s="48"/>
      <c r="V35" s="48"/>
      <c r="W35" s="48"/>
    </row>
    <row r="36" spans="1:23" s="51" customFormat="1" ht="15" customHeight="1">
      <c r="A36" s="25" t="s">
        <v>41</v>
      </c>
      <c r="B36" s="26">
        <v>3294.6377635420508</v>
      </c>
      <c r="C36" s="26"/>
      <c r="D36" s="17">
        <v>355.29855024028853</v>
      </c>
      <c r="E36" s="17">
        <v>283.34497096892818</v>
      </c>
      <c r="F36" s="17">
        <v>71.953579271360354</v>
      </c>
      <c r="G36" s="17"/>
      <c r="H36" s="17">
        <v>2903.1467260275667</v>
      </c>
      <c r="I36" s="17">
        <v>36.19248727419464</v>
      </c>
      <c r="J36" s="17"/>
      <c r="K36" s="18">
        <v>10.784146110749019</v>
      </c>
      <c r="L36" s="18"/>
      <c r="M36" s="18">
        <v>20.251582569841087</v>
      </c>
      <c r="N36" s="62"/>
      <c r="O36" s="63"/>
      <c r="P36" s="48"/>
      <c r="Q36" s="48"/>
      <c r="R36" s="48"/>
      <c r="S36" s="48"/>
      <c r="T36" s="48"/>
      <c r="U36" s="48"/>
      <c r="V36" s="48"/>
      <c r="W36" s="48"/>
    </row>
    <row r="37" spans="1:23" s="51" customFormat="1" ht="15" customHeight="1">
      <c r="A37" s="57" t="s">
        <v>54</v>
      </c>
      <c r="B37" s="53">
        <v>263.39604910780361</v>
      </c>
      <c r="C37" s="53"/>
      <c r="D37" s="53">
        <v>182.0537831005833</v>
      </c>
      <c r="E37" s="53">
        <v>71.361921932637031</v>
      </c>
      <c r="F37" s="53">
        <v>110.69186116794627</v>
      </c>
      <c r="G37" s="53"/>
      <c r="H37" s="53">
        <v>0</v>
      </c>
      <c r="I37" s="53">
        <v>81.342266007220303</v>
      </c>
      <c r="J37" s="53"/>
      <c r="K37" s="18">
        <v>69.117886816165466</v>
      </c>
      <c r="L37" s="18"/>
      <c r="M37" s="18">
        <v>60.801736323595037</v>
      </c>
      <c r="N37" s="62"/>
      <c r="O37" s="63"/>
      <c r="P37" s="48"/>
      <c r="Q37" s="48"/>
      <c r="R37" s="48"/>
      <c r="S37" s="48"/>
      <c r="T37" s="48"/>
      <c r="U37" s="48"/>
      <c r="V37" s="48"/>
      <c r="W37" s="48"/>
    </row>
    <row r="38" spans="1:23" s="68" customFormat="1" ht="15" customHeight="1">
      <c r="A38" s="39" t="s">
        <v>42</v>
      </c>
      <c r="B38" s="40"/>
      <c r="C38" s="40"/>
      <c r="D38" s="41"/>
      <c r="E38" s="41"/>
      <c r="F38" s="41"/>
      <c r="G38" s="41"/>
      <c r="H38" s="41"/>
      <c r="I38" s="41"/>
      <c r="J38" s="41"/>
      <c r="K38" s="38"/>
      <c r="L38" s="38"/>
      <c r="M38" s="38"/>
      <c r="N38" s="64"/>
      <c r="O38" s="64"/>
      <c r="P38" s="64"/>
      <c r="Q38" s="64"/>
      <c r="R38" s="64"/>
      <c r="S38" s="64"/>
      <c r="T38" s="64"/>
      <c r="U38" s="64"/>
      <c r="V38" s="64"/>
      <c r="W38" s="64"/>
    </row>
    <row r="39" spans="1:23" s="66" customFormat="1" ht="15" customHeight="1">
      <c r="A39" s="61"/>
      <c r="B39" s="69"/>
      <c r="C39" s="69"/>
      <c r="D39" s="69"/>
      <c r="E39" s="69"/>
      <c r="F39" s="69"/>
      <c r="G39" s="69"/>
      <c r="H39" s="69"/>
      <c r="I39" s="69"/>
      <c r="J39" s="69"/>
      <c r="K39" s="38"/>
      <c r="L39" s="38"/>
      <c r="M39" s="61"/>
      <c r="N39" s="58"/>
      <c r="O39" s="58"/>
      <c r="P39" s="58"/>
      <c r="Q39" s="58"/>
      <c r="R39" s="58"/>
      <c r="S39" s="58"/>
      <c r="T39" s="58"/>
      <c r="U39" s="58"/>
      <c r="V39" s="58"/>
      <c r="W39" s="58"/>
    </row>
    <row r="40" spans="1:23" s="51" customFormat="1" ht="15" customHeight="1">
      <c r="A40" s="29" t="s">
        <v>44</v>
      </c>
      <c r="B40" s="15">
        <f>SUM(B41:B52)</f>
        <v>131583.82412114757</v>
      </c>
      <c r="C40" s="15"/>
      <c r="D40" s="23">
        <f>SUM(E40:F40)</f>
        <v>84732.728457390389</v>
      </c>
      <c r="E40" s="15">
        <f>SUM(E41:E52)</f>
        <v>58617.933995167587</v>
      </c>
      <c r="F40" s="15">
        <f>SUM(F41:F52)</f>
        <v>26114.794462222806</v>
      </c>
      <c r="G40" s="15"/>
      <c r="H40" s="15">
        <f>SUM(H41:H52)</f>
        <v>45679.244415480265</v>
      </c>
      <c r="I40" s="15">
        <f>SUM(I41:I52)</f>
        <v>1171.8512482769731</v>
      </c>
      <c r="J40" s="15"/>
      <c r="K40" s="16">
        <f>SUM(D40/B40)*100</f>
        <v>64.39448695409402</v>
      </c>
      <c r="L40" s="16"/>
      <c r="M40" s="16">
        <f>(F40/D40)*100</f>
        <v>30.820197741366457</v>
      </c>
      <c r="N40" s="49"/>
      <c r="O40" s="48"/>
      <c r="P40" s="48"/>
      <c r="Q40" s="48"/>
      <c r="R40" s="48"/>
      <c r="S40" s="48"/>
      <c r="T40" s="48"/>
      <c r="U40" s="48"/>
      <c r="V40" s="48"/>
      <c r="W40" s="48"/>
    </row>
    <row r="41" spans="1:23" s="51" customFormat="1" ht="15" customHeight="1">
      <c r="A41" s="25" t="s">
        <v>31</v>
      </c>
      <c r="B41" s="26">
        <v>22522.763448715323</v>
      </c>
      <c r="C41" s="26"/>
      <c r="D41" s="31">
        <v>8183.1565018299816</v>
      </c>
      <c r="E41" s="17">
        <v>2874.6965591593043</v>
      </c>
      <c r="F41" s="17">
        <v>5308.4599426706773</v>
      </c>
      <c r="G41" s="17"/>
      <c r="H41" s="17">
        <v>14126.599379762894</v>
      </c>
      <c r="I41" s="17">
        <v>213.00756712245129</v>
      </c>
      <c r="J41" s="17"/>
      <c r="K41" s="18">
        <v>36.332826211415636</v>
      </c>
      <c r="L41" s="18"/>
      <c r="M41" s="18">
        <v>64.870566039932854</v>
      </c>
      <c r="N41" s="49"/>
      <c r="O41" s="48"/>
      <c r="P41" s="48"/>
      <c r="Q41" s="48"/>
      <c r="R41" s="48"/>
      <c r="S41" s="48"/>
      <c r="T41" s="48"/>
      <c r="U41" s="48"/>
      <c r="V41" s="48"/>
      <c r="W41" s="48"/>
    </row>
    <row r="42" spans="1:23" s="51" customFormat="1" ht="15" customHeight="1">
      <c r="A42" s="25" t="s">
        <v>32</v>
      </c>
      <c r="B42" s="26">
        <v>18417.33690257847</v>
      </c>
      <c r="C42" s="26"/>
      <c r="D42" s="31">
        <v>14329.41811306282</v>
      </c>
      <c r="E42" s="17">
        <v>8420.5452747858872</v>
      </c>
      <c r="F42" s="17">
        <v>5908.8728382769323</v>
      </c>
      <c r="G42" s="17"/>
      <c r="H42" s="17">
        <v>3999.3124282755325</v>
      </c>
      <c r="I42" s="17">
        <v>88.606361240122965</v>
      </c>
      <c r="J42" s="17"/>
      <c r="K42" s="18">
        <v>77.803963672167328</v>
      </c>
      <c r="L42" s="18"/>
      <c r="M42" s="18">
        <v>41.235958024634321</v>
      </c>
      <c r="N42" s="49"/>
      <c r="O42" s="48"/>
      <c r="P42" s="48"/>
      <c r="Q42" s="48"/>
      <c r="R42" s="48"/>
      <c r="S42" s="48"/>
      <c r="T42" s="48"/>
      <c r="U42" s="48"/>
      <c r="V42" s="48"/>
      <c r="W42" s="48"/>
    </row>
    <row r="43" spans="1:23" s="51" customFormat="1" ht="15" customHeight="1">
      <c r="A43" s="25" t="s">
        <v>33</v>
      </c>
      <c r="B43" s="26">
        <v>16140.342647676574</v>
      </c>
      <c r="C43" s="26"/>
      <c r="D43" s="31">
        <v>12268.621232982183</v>
      </c>
      <c r="E43" s="17">
        <v>8299.0808136139531</v>
      </c>
      <c r="F43" s="17">
        <v>3969.5404193682289</v>
      </c>
      <c r="G43" s="17"/>
      <c r="H43" s="17">
        <v>3566.1830658174977</v>
      </c>
      <c r="I43" s="17">
        <v>305.53834887690323</v>
      </c>
      <c r="J43" s="17"/>
      <c r="K43" s="18">
        <v>76.012148569524129</v>
      </c>
      <c r="L43" s="18"/>
      <c r="M43" s="18">
        <v>32.355228382931642</v>
      </c>
      <c r="N43" s="49"/>
      <c r="O43" s="48"/>
      <c r="P43" s="48"/>
      <c r="Q43" s="48"/>
      <c r="R43" s="48"/>
      <c r="S43" s="48"/>
      <c r="T43" s="48"/>
      <c r="U43" s="48"/>
      <c r="V43" s="48"/>
      <c r="W43" s="48"/>
    </row>
    <row r="44" spans="1:23" s="51" customFormat="1" ht="15" customHeight="1">
      <c r="A44" s="25" t="s">
        <v>34</v>
      </c>
      <c r="B44" s="26">
        <v>13124.976510333467</v>
      </c>
      <c r="C44" s="26"/>
      <c r="D44" s="31">
        <v>9812.9716872513127</v>
      </c>
      <c r="E44" s="17">
        <v>7133.4437996468951</v>
      </c>
      <c r="F44" s="17">
        <v>2679.5278876044176</v>
      </c>
      <c r="G44" s="17"/>
      <c r="H44" s="17">
        <v>3159.1168553702933</v>
      </c>
      <c r="I44" s="17">
        <v>152.88796771186634</v>
      </c>
      <c r="J44" s="17"/>
      <c r="K44" s="18">
        <v>74.765632376754581</v>
      </c>
      <c r="L44" s="18"/>
      <c r="M44" s="18">
        <v>27.305977974904089</v>
      </c>
      <c r="N44" s="49"/>
      <c r="O44" s="48"/>
      <c r="P44" s="48"/>
      <c r="Q44" s="48"/>
      <c r="R44" s="48"/>
      <c r="S44" s="48"/>
      <c r="T44" s="48"/>
      <c r="U44" s="48"/>
      <c r="V44" s="48"/>
      <c r="W44" s="48"/>
    </row>
    <row r="45" spans="1:23" s="51" customFormat="1" ht="15" customHeight="1">
      <c r="A45" s="25" t="s">
        <v>35</v>
      </c>
      <c r="B45" s="26">
        <v>12693.527526332524</v>
      </c>
      <c r="C45" s="26"/>
      <c r="D45" s="31">
        <v>9972.255170748178</v>
      </c>
      <c r="E45" s="17">
        <v>8148.4959208346027</v>
      </c>
      <c r="F45" s="17">
        <v>1823.7592499135756</v>
      </c>
      <c r="G45" s="17"/>
      <c r="H45" s="17">
        <v>2692.9928562145346</v>
      </c>
      <c r="I45" s="17">
        <v>28.279499369822975</v>
      </c>
      <c r="J45" s="17"/>
      <c r="K45" s="18">
        <v>78.561732741831548</v>
      </c>
      <c r="L45" s="18"/>
      <c r="M45" s="18">
        <v>18.288333167238303</v>
      </c>
      <c r="N45" s="49"/>
      <c r="O45" s="48"/>
      <c r="P45" s="48"/>
      <c r="Q45" s="48"/>
      <c r="R45" s="48"/>
      <c r="S45" s="48"/>
      <c r="T45" s="48"/>
      <c r="U45" s="48"/>
      <c r="V45" s="48"/>
      <c r="W45" s="48"/>
    </row>
    <row r="46" spans="1:23" s="51" customFormat="1" ht="15" customHeight="1">
      <c r="A46" s="25" t="s">
        <v>36</v>
      </c>
      <c r="B46" s="26">
        <v>11485.862020351224</v>
      </c>
      <c r="C46" s="26"/>
      <c r="D46" s="31">
        <v>9413.6154775202904</v>
      </c>
      <c r="E46" s="17">
        <v>7185.6682893461448</v>
      </c>
      <c r="F46" s="17">
        <v>2227.9471881741456</v>
      </c>
      <c r="G46" s="17"/>
      <c r="H46" s="17">
        <v>2017.8627563511782</v>
      </c>
      <c r="I46" s="17">
        <v>54.383786479760026</v>
      </c>
      <c r="J46" s="17"/>
      <c r="K46" s="18">
        <v>81.958284548785073</v>
      </c>
      <c r="L46" s="18"/>
      <c r="M46" s="18">
        <v>23.667284833276678</v>
      </c>
      <c r="N46" s="49"/>
      <c r="O46" s="48"/>
      <c r="P46" s="48"/>
      <c r="Q46" s="48"/>
      <c r="R46" s="48"/>
      <c r="S46" s="48"/>
      <c r="T46" s="48"/>
      <c r="U46" s="48"/>
      <c r="V46" s="48"/>
      <c r="W46" s="48"/>
    </row>
    <row r="47" spans="1:23" s="51" customFormat="1" ht="15" customHeight="1">
      <c r="A47" s="25" t="s">
        <v>37</v>
      </c>
      <c r="B47" s="26">
        <v>9960.9213227708442</v>
      </c>
      <c r="C47" s="26"/>
      <c r="D47" s="31">
        <v>7921.314624300906</v>
      </c>
      <c r="E47" s="17">
        <v>6118.5361450442379</v>
      </c>
      <c r="F47" s="17">
        <v>1802.7784792566679</v>
      </c>
      <c r="G47" s="17"/>
      <c r="H47" s="17">
        <v>1932.1455525264939</v>
      </c>
      <c r="I47" s="17">
        <v>107.46114594345008</v>
      </c>
      <c r="J47" s="17"/>
      <c r="K47" s="18">
        <v>79.52391518435789</v>
      </c>
      <c r="L47" s="18"/>
      <c r="M47" s="18">
        <v>22.758576887302613</v>
      </c>
      <c r="N47" s="49"/>
      <c r="O47" s="48"/>
      <c r="P47" s="48"/>
      <c r="Q47" s="48"/>
      <c r="R47" s="48"/>
      <c r="S47" s="48"/>
      <c r="T47" s="48"/>
      <c r="U47" s="48"/>
      <c r="V47" s="48"/>
      <c r="W47" s="48"/>
    </row>
    <row r="48" spans="1:23" s="51" customFormat="1" ht="15" customHeight="1">
      <c r="A48" s="25" t="s">
        <v>38</v>
      </c>
      <c r="B48" s="26">
        <f>D48+H48+I48</f>
        <v>7592.3969305191422</v>
      </c>
      <c r="C48" s="26"/>
      <c r="D48" s="31">
        <v>5994.25324890708</v>
      </c>
      <c r="E48" s="17">
        <v>5156.380591475101</v>
      </c>
      <c r="F48" s="17">
        <v>837.87265743197906</v>
      </c>
      <c r="G48" s="17"/>
      <c r="H48" s="17">
        <v>1578.7252419039301</v>
      </c>
      <c r="I48" s="17">
        <v>19.418439708131633</v>
      </c>
      <c r="J48" s="17"/>
      <c r="K48" s="18">
        <v>78.950735897539715</v>
      </c>
      <c r="L48" s="18"/>
      <c r="M48" s="18">
        <v>13.977932240095905</v>
      </c>
      <c r="N48" s="49"/>
      <c r="O48" s="48"/>
      <c r="P48" s="48"/>
      <c r="Q48" s="48"/>
      <c r="R48" s="48"/>
      <c r="S48" s="48"/>
      <c r="T48" s="48"/>
      <c r="U48" s="48"/>
      <c r="V48" s="48"/>
      <c r="W48" s="48"/>
    </row>
    <row r="49" spans="1:25" s="51" customFormat="1" ht="15" customHeight="1">
      <c r="A49" s="25" t="s">
        <v>39</v>
      </c>
      <c r="B49" s="26">
        <v>4050.8087209663868</v>
      </c>
      <c r="C49" s="26"/>
      <c r="D49" s="31">
        <v>2983.7591748472869</v>
      </c>
      <c r="E49" s="17">
        <v>2163.9654116202059</v>
      </c>
      <c r="F49" s="17">
        <v>819.79376322708094</v>
      </c>
      <c r="G49" s="17"/>
      <c r="H49" s="17">
        <v>1047.2897582442065</v>
      </c>
      <c r="I49" s="17">
        <v>19.759787874892609</v>
      </c>
      <c r="J49" s="17"/>
      <c r="K49" s="18">
        <v>73.658357636187333</v>
      </c>
      <c r="L49" s="18"/>
      <c r="M49" s="18">
        <v>27.475198740496175</v>
      </c>
      <c r="N49" s="49"/>
      <c r="O49" s="48"/>
      <c r="P49" s="48"/>
      <c r="Q49" s="48"/>
      <c r="R49" s="48"/>
      <c r="S49" s="48"/>
      <c r="T49" s="48"/>
      <c r="U49" s="48"/>
      <c r="V49" s="48"/>
      <c r="W49" s="48"/>
    </row>
    <row r="50" spans="1:25" s="51" customFormat="1" ht="15" customHeight="1">
      <c r="A50" s="25" t="s">
        <v>40</v>
      </c>
      <c r="B50" s="26">
        <v>3245.131180768597</v>
      </c>
      <c r="C50" s="26"/>
      <c r="D50" s="31">
        <v>1662.1178377873212</v>
      </c>
      <c r="E50" s="17">
        <v>1463.7623755960694</v>
      </c>
      <c r="F50" s="17">
        <v>198.35546219125172</v>
      </c>
      <c r="G50" s="17"/>
      <c r="H50" s="17">
        <v>1550.2216028386808</v>
      </c>
      <c r="I50" s="17">
        <v>32.791740142594691</v>
      </c>
      <c r="J50" s="17"/>
      <c r="K50" s="18">
        <v>51.218818137073121</v>
      </c>
      <c r="L50" s="18"/>
      <c r="M50" s="18">
        <v>11.933898889823032</v>
      </c>
      <c r="N50" s="49"/>
      <c r="O50" s="48"/>
      <c r="P50" s="48"/>
      <c r="Q50" s="48"/>
      <c r="R50" s="48"/>
      <c r="S50" s="48"/>
      <c r="T50" s="48"/>
      <c r="U50" s="48"/>
      <c r="V50" s="48"/>
      <c r="W50" s="48"/>
    </row>
    <row r="51" spans="1:25" s="51" customFormat="1" ht="15" customHeight="1">
      <c r="A51" s="25" t="s">
        <v>41</v>
      </c>
      <c r="B51" s="26">
        <v>12225.854557380264</v>
      </c>
      <c r="C51" s="26"/>
      <c r="D51" s="31">
        <v>2167.3930063522616</v>
      </c>
      <c r="E51" s="17">
        <v>1629.506432244415</v>
      </c>
      <c r="F51" s="17">
        <v>537.88657410784663</v>
      </c>
      <c r="G51" s="17"/>
      <c r="H51" s="17">
        <v>9908.7449472210337</v>
      </c>
      <c r="I51" s="17">
        <v>149.71660380697747</v>
      </c>
      <c r="J51" s="17"/>
      <c r="K51" s="18">
        <v>17.727946919210588</v>
      </c>
      <c r="L51" s="18"/>
      <c r="M51" s="18">
        <v>24.817214622885292</v>
      </c>
      <c r="N51" s="49"/>
      <c r="O51" s="48"/>
      <c r="P51" s="48"/>
      <c r="Q51" s="48"/>
      <c r="R51" s="48"/>
      <c r="S51" s="48"/>
      <c r="T51" s="48"/>
      <c r="U51" s="48"/>
      <c r="V51" s="48"/>
      <c r="W51" s="48"/>
    </row>
    <row r="52" spans="1:25" s="51" customFormat="1" ht="15" customHeight="1">
      <c r="A52" s="57" t="s">
        <v>54</v>
      </c>
      <c r="B52" s="26">
        <v>123.90235275475641</v>
      </c>
      <c r="C52" s="26"/>
      <c r="D52" s="31">
        <v>0</v>
      </c>
      <c r="E52" s="17">
        <v>23.852381800774477</v>
      </c>
      <c r="F52" s="17">
        <v>0</v>
      </c>
      <c r="G52" s="17"/>
      <c r="H52" s="17">
        <v>100.04997095398193</v>
      </c>
      <c r="I52" s="17">
        <v>0</v>
      </c>
      <c r="J52" s="17"/>
      <c r="K52" s="18">
        <v>0</v>
      </c>
      <c r="L52" s="18"/>
      <c r="M52" s="18">
        <v>0</v>
      </c>
      <c r="N52" s="49"/>
      <c r="O52" s="48"/>
      <c r="P52" s="48"/>
      <c r="Q52" s="48"/>
      <c r="R52" s="48"/>
      <c r="S52" s="48"/>
      <c r="T52" s="48"/>
      <c r="U52" s="48"/>
      <c r="V52" s="48"/>
      <c r="W52" s="48"/>
    </row>
    <row r="53" spans="1:25" s="51" customFormat="1" ht="15" customHeight="1">
      <c r="A53" s="33" t="s">
        <v>42</v>
      </c>
      <c r="B53" s="50"/>
      <c r="C53" s="50"/>
      <c r="D53" s="54"/>
      <c r="E53" s="54"/>
      <c r="F53" s="55"/>
      <c r="G53" s="55"/>
      <c r="H53" s="54"/>
      <c r="I53" s="54"/>
      <c r="J53" s="54"/>
      <c r="K53" s="56"/>
      <c r="L53" s="56"/>
      <c r="M53" s="50"/>
      <c r="N53" s="48"/>
      <c r="O53" s="48"/>
      <c r="P53" s="48"/>
      <c r="Q53" s="48"/>
      <c r="R53" s="48"/>
      <c r="S53" s="48"/>
      <c r="T53" s="48"/>
      <c r="U53" s="48"/>
      <c r="V53" s="48"/>
      <c r="W53" s="48"/>
    </row>
    <row r="54" spans="1:25" s="78" customFormat="1" ht="15" customHeight="1">
      <c r="A54" s="83" t="s">
        <v>52</v>
      </c>
      <c r="B54" s="79"/>
      <c r="C54" s="79"/>
      <c r="E54" s="79"/>
      <c r="F54" s="79"/>
      <c r="G54" s="79"/>
      <c r="H54" s="79"/>
      <c r="I54" s="79"/>
      <c r="J54" s="80"/>
      <c r="L54" s="81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79"/>
    </row>
    <row r="55" spans="1:25" s="44" customFormat="1" ht="15" customHeight="1">
      <c r="A55" s="42" t="s">
        <v>51</v>
      </c>
      <c r="B55" s="43"/>
      <c r="C55" s="43"/>
      <c r="E55" s="43"/>
      <c r="F55" s="43"/>
      <c r="G55" s="43"/>
      <c r="H55" s="43"/>
      <c r="I55" s="43"/>
      <c r="J55" s="45"/>
      <c r="L55" s="46"/>
      <c r="M55" s="84" t="s">
        <v>53</v>
      </c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3"/>
    </row>
    <row r="56" spans="1:25" ht="15" customHeight="1">
      <c r="A56" s="70" t="s">
        <v>45</v>
      </c>
      <c r="B56" s="20"/>
      <c r="C56" s="20"/>
      <c r="D56" s="20"/>
      <c r="E56" s="20"/>
      <c r="F56" s="21"/>
      <c r="G56" s="21"/>
      <c r="H56" s="20"/>
      <c r="I56" s="20"/>
      <c r="J56" s="20"/>
      <c r="K56" s="71"/>
      <c r="L56" s="72"/>
      <c r="M56" s="84" t="s">
        <v>46</v>
      </c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0"/>
    </row>
    <row r="57" spans="1:25" ht="15" customHeight="1">
      <c r="A57" s="88" t="s">
        <v>47</v>
      </c>
      <c r="B57" s="88"/>
      <c r="C57" s="88"/>
      <c r="D57" s="88"/>
      <c r="E57" s="88"/>
      <c r="F57" s="21"/>
      <c r="G57" s="21"/>
      <c r="H57" s="20"/>
      <c r="I57" s="71"/>
      <c r="J57" s="59"/>
      <c r="K57" s="59" t="s">
        <v>50</v>
      </c>
      <c r="L57" s="59"/>
      <c r="M57" s="59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0"/>
    </row>
    <row r="58" spans="1:25" ht="15" customHeight="1">
      <c r="F58" s="71"/>
      <c r="G58" s="71"/>
      <c r="H58" s="71"/>
      <c r="I58" s="71"/>
      <c r="J58" s="71"/>
      <c r="K58" s="71"/>
      <c r="L58" s="71"/>
      <c r="M58" s="71"/>
    </row>
    <row r="59" spans="1:25">
      <c r="F59" s="71"/>
      <c r="G59" s="71"/>
      <c r="H59" s="71"/>
      <c r="I59" s="71"/>
      <c r="J59" s="71"/>
      <c r="K59" s="71"/>
      <c r="L59" s="71"/>
      <c r="M59" s="71"/>
    </row>
    <row r="60" spans="1:25">
      <c r="I60" s="71"/>
      <c r="J60" s="71"/>
      <c r="K60" s="71"/>
      <c r="L60" s="71"/>
      <c r="M60" s="71"/>
    </row>
    <row r="61" spans="1:25">
      <c r="A61" s="27"/>
      <c r="B61" s="24"/>
      <c r="C61" s="24"/>
      <c r="D61" s="24"/>
      <c r="F61" s="22" t="s">
        <v>30</v>
      </c>
      <c r="G61" s="22" t="s">
        <v>43</v>
      </c>
      <c r="H61" s="29" t="s">
        <v>44</v>
      </c>
      <c r="I61" s="24"/>
      <c r="J61" s="24"/>
      <c r="K61" s="28"/>
      <c r="L61" s="28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</row>
    <row r="62" spans="1:25">
      <c r="E62" s="86" t="s">
        <v>55</v>
      </c>
      <c r="F62" s="15">
        <v>213872.42941046885</v>
      </c>
      <c r="G62" s="15">
        <v>82288.605289321262</v>
      </c>
      <c r="H62" s="15">
        <v>131583.82412114757</v>
      </c>
    </row>
    <row r="63" spans="1:25">
      <c r="E63" s="86" t="s">
        <v>56</v>
      </c>
      <c r="F63" s="15">
        <v>75157.226619199326</v>
      </c>
      <c r="G63" s="15">
        <v>29477.982203719064</v>
      </c>
      <c r="H63" s="15">
        <v>45679.244415480265</v>
      </c>
    </row>
    <row r="66" spans="4:6">
      <c r="D66" s="22"/>
      <c r="E66" s="15"/>
      <c r="F66" s="15"/>
    </row>
    <row r="67" spans="4:6">
      <c r="D67" s="22"/>
      <c r="E67" s="15"/>
      <c r="F67" s="15"/>
    </row>
    <row r="68" spans="4:6">
      <c r="D68" s="29"/>
      <c r="E68" s="15"/>
      <c r="F68" s="15"/>
    </row>
  </sheetData>
  <mergeCells count="8">
    <mergeCell ref="A57:E57"/>
    <mergeCell ref="A1:M1"/>
    <mergeCell ref="A2:M2"/>
    <mergeCell ref="D5:F5"/>
    <mergeCell ref="I5:I6"/>
    <mergeCell ref="D6:F6"/>
    <mergeCell ref="I7:I8"/>
    <mergeCell ref="A4:A5"/>
  </mergeCells>
  <pageMargins left="0.28000000000000003" right="0.53" top="0.75" bottom="0.22" header="0.3" footer="0.17"/>
  <pageSetup paperSize="9" scale="70" orientation="portrait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5.2</vt:lpstr>
      <vt:lpstr>'5.2'!Print_Area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2015-11-26T07:41:32Z</cp:lastPrinted>
  <dcterms:created xsi:type="dcterms:W3CDTF">2013-03-26T05:45:33Z</dcterms:created>
  <dcterms:modified xsi:type="dcterms:W3CDTF">2015-11-26T07:43:19Z</dcterms:modified>
</cp:coreProperties>
</file>