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480" yWindow="75" windowWidth="9165" windowHeight="4365" tabRatio="811"/>
  </bookViews>
  <sheets>
    <sheet name="5.11" sheetId="11" r:id="rId1"/>
  </sheets>
  <definedNames>
    <definedName name="_xlnm._FilterDatabase" localSheetId="0" hidden="1">'5.11'!$A$5:$C$5</definedName>
    <definedName name="_xlnm.Print_Area" localSheetId="0">'5.11'!$A$1:$E$66</definedName>
  </definedNames>
  <calcPr calcId="144525"/>
</workbook>
</file>

<file path=xl/calcChain.xml><?xml version="1.0" encoding="utf-8"?>
<calcChain xmlns="http://schemas.openxmlformats.org/spreadsheetml/2006/main">
  <c r="B29" i="11" l="1"/>
  <c r="B28" i="11"/>
  <c r="B27" i="11"/>
  <c r="B26" i="11"/>
  <c r="B25" i="11"/>
  <c r="B24" i="11"/>
  <c r="B23" i="11"/>
  <c r="B22" i="11"/>
  <c r="B21" i="11"/>
  <c r="B20" i="11"/>
  <c r="B19" i="11"/>
  <c r="B18" i="11"/>
  <c r="B17" i="11"/>
  <c r="B16" i="11"/>
  <c r="B15" i="11"/>
  <c r="B14" i="11"/>
  <c r="B13" i="11"/>
  <c r="B12" i="11"/>
  <c r="B11" i="11"/>
  <c r="B10" i="11"/>
  <c r="B9" i="11"/>
  <c r="D8" i="11"/>
  <c r="D6" i="11" s="1"/>
  <c r="C8" i="11"/>
  <c r="C6" i="11" s="1"/>
  <c r="B7" i="11"/>
  <c r="B8" i="11" l="1"/>
  <c r="B6" i="11" s="1"/>
</calcChain>
</file>

<file path=xl/sharedStrings.xml><?xml version="1.0" encoding="utf-8"?>
<sst xmlns="http://schemas.openxmlformats.org/spreadsheetml/2006/main" count="102" uniqueCount="80">
  <si>
    <t>ފިރިހެން</t>
  </si>
  <si>
    <t>އަންހެން</t>
  </si>
  <si>
    <t>Male</t>
  </si>
  <si>
    <t>Female</t>
  </si>
  <si>
    <t>މާލެ</t>
  </si>
  <si>
    <t>އަތޮޅުތައް</t>
  </si>
  <si>
    <t>Both sexes</t>
  </si>
  <si>
    <t>Source: Civil Service Commision</t>
  </si>
  <si>
    <t>ދެޖިންސް</t>
  </si>
  <si>
    <t>މަޢުލޫމާތު ދެއްވި ފަރާތް: ސިވިލް ސަރވިސް ކޮމިޝަން</t>
  </si>
  <si>
    <t>MALE'</t>
  </si>
  <si>
    <t>Locality</t>
  </si>
  <si>
    <t>ތަން</t>
  </si>
  <si>
    <t>REPUBLIC</t>
  </si>
  <si>
    <t>މުޅި ރާއްޖެ</t>
  </si>
  <si>
    <t>All ATOLL</t>
  </si>
  <si>
    <t xml:space="preserve"> North Thiladhunmathi (HA)</t>
  </si>
  <si>
    <t xml:space="preserve">       (ah)  iruburutua Itwmcnudwlit</t>
  </si>
  <si>
    <t xml:space="preserve"> South Thiladhunmathi (HDh)</t>
  </si>
  <si>
    <t>(dh) irubunuked Itwmcnudwlit</t>
  </si>
  <si>
    <t xml:space="preserve"> North Miladhunmadulu (Sh)</t>
  </si>
  <si>
    <t>(S) iruburutua uluDwmcnudwlim</t>
  </si>
  <si>
    <t xml:space="preserve"> South Miladhunmadulu (N)</t>
  </si>
  <si>
    <t>(n) irubunuked uluDwmcnudwlim</t>
  </si>
  <si>
    <t xml:space="preserve"> North Maalhosmadulu (R)</t>
  </si>
  <si>
    <t>(r) iruburutuauluDwmcsoLWm</t>
  </si>
  <si>
    <t xml:space="preserve"> South Maalhosmadulu (B)</t>
  </si>
  <si>
    <t>(b) irubunukeduluDwcsoLWm</t>
  </si>
  <si>
    <t xml:space="preserve"> Faadhippolhu (Lh)</t>
  </si>
  <si>
    <t>(L) uLopcaidWf</t>
  </si>
  <si>
    <t xml:space="preserve"> Male' Atoll (K)</t>
  </si>
  <si>
    <t>(k) uLotwa elWm</t>
  </si>
  <si>
    <t xml:space="preserve"> North Ari Atoll (AA)</t>
  </si>
  <si>
    <t>(aa) iruburutuauLotwairwa</t>
  </si>
  <si>
    <t xml:space="preserve"> South Ari Atoll (ADh)</t>
  </si>
  <si>
    <t>(da) iruburutuauLotwairwa</t>
  </si>
  <si>
    <t xml:space="preserve"> Felidhu Atoll (V)</t>
  </si>
  <si>
    <t>(v) uLotwa udilef</t>
  </si>
  <si>
    <t xml:space="preserve"> Mulakatholhu (M)</t>
  </si>
  <si>
    <t>(m) uLotwkwlum</t>
  </si>
  <si>
    <t xml:space="preserve"> North Nilandhe Atoll (F)</t>
  </si>
  <si>
    <t>(f) iruburutua uLotwaedcnwlin</t>
  </si>
  <si>
    <t xml:space="preserve"> South Nilandhe Atoll (D)</t>
  </si>
  <si>
    <t>(d) irubunuked uLotwaedcnwlin</t>
  </si>
  <si>
    <t xml:space="preserve"> Kolhumadulu (Th)</t>
  </si>
  <si>
    <t>(t) uluDwmuLok</t>
  </si>
  <si>
    <t xml:space="preserve"> Hadhdhunmathi (L)</t>
  </si>
  <si>
    <t>(l) itwmcnudcawh</t>
  </si>
  <si>
    <t xml:space="preserve"> North Huvadhu Atoll (GA)</t>
  </si>
  <si>
    <t>(ag) iruburutua uLotwaudwvuh</t>
  </si>
  <si>
    <t xml:space="preserve"> South Huvadhu Atoll (GDh)</t>
  </si>
  <si>
    <t xml:space="preserve"> (dg) irubunuked uLotwaudwvuh</t>
  </si>
  <si>
    <t xml:space="preserve"> Fuvahmulah (Gn)</t>
  </si>
  <si>
    <t>(N)cawlumcawvuf</t>
  </si>
  <si>
    <t xml:space="preserve"> Addu Atoll (S)</t>
  </si>
  <si>
    <t>(s) uLotwauDcawa</t>
  </si>
  <si>
    <t>Abroad</t>
  </si>
  <si>
    <t xml:space="preserve">ރާއްޖޭން ބޭރު ޤައުމުތަކުގައި ތިބި </t>
  </si>
  <si>
    <t>HA</t>
  </si>
  <si>
    <t>HDh</t>
  </si>
  <si>
    <t>Sh</t>
  </si>
  <si>
    <t>N</t>
  </si>
  <si>
    <t>S</t>
  </si>
  <si>
    <t>R</t>
  </si>
  <si>
    <t>B</t>
  </si>
  <si>
    <t>Lh</t>
  </si>
  <si>
    <t>K</t>
  </si>
  <si>
    <t>AA</t>
  </si>
  <si>
    <t>ADh</t>
  </si>
  <si>
    <t>V</t>
  </si>
  <si>
    <t>M</t>
  </si>
  <si>
    <t>F</t>
  </si>
  <si>
    <t>Dh</t>
  </si>
  <si>
    <t>Th</t>
  </si>
  <si>
    <t>L</t>
  </si>
  <si>
    <t>GA</t>
  </si>
  <si>
    <t>GDh</t>
  </si>
  <si>
    <t>Gn</t>
  </si>
  <si>
    <t>Table 5.11: CIVIL SERVANTS BY ATOLL AND SEX, 2014</t>
  </si>
  <si>
    <t>ތާވަލް 5.11: މާލެ އާއި އަތޮޅުތަކުގައި މަސައްކަތްކުރާ ސިވިލް ސަރވަންޓުންގެ އަދަދު އަދި ޖިންސް، 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</si>
</sst>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_(* #,##0_);_(* \(#,##0\);_(* &quot;-&quot;??_);_(@_)"/>
    <numFmt numFmtId="165" formatCode="General_)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0"/>
      <name val="Calibri"/>
      <family val="2"/>
      <scheme val="minor"/>
    </font>
    <font>
      <sz val="9"/>
      <name val="Faruma"/>
    </font>
    <font>
      <b/>
      <sz val="10"/>
      <name val="Faruma"/>
    </font>
    <font>
      <b/>
      <sz val="10"/>
      <color theme="1"/>
      <name val="Calibri"/>
      <family val="2"/>
      <scheme val="minor"/>
    </font>
    <font>
      <i/>
      <sz val="9"/>
      <name val="Calibri"/>
      <family val="2"/>
      <scheme val="minor"/>
    </font>
    <font>
      <b/>
      <sz val="11"/>
      <color theme="1"/>
      <name val="Faruma"/>
    </font>
    <font>
      <b/>
      <sz val="10"/>
      <color theme="1"/>
      <name val="Faruma"/>
    </font>
    <font>
      <b/>
      <sz val="11"/>
      <name val="A_Reethi"/>
    </font>
    <font>
      <sz val="10"/>
      <name val="MS Sans Serif"/>
      <family val="2"/>
    </font>
    <font>
      <sz val="11"/>
      <color rgb="FFFF0000"/>
      <name val="Calibri"/>
      <family val="2"/>
      <scheme val="minor"/>
    </font>
    <font>
      <b/>
      <sz val="10"/>
      <color theme="1" tint="0.14999847407452621"/>
      <name val="Faruma"/>
    </font>
    <font>
      <sz val="10"/>
      <color theme="1" tint="0.14999847407452621"/>
      <name val="A_Randhoo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/>
      <bottom/>
      <diagonal/>
    </border>
  </borders>
  <cellStyleXfs count="11">
    <xf numFmtId="0" fontId="0" fillId="0" borderId="0"/>
    <xf numFmtId="43" fontId="1" fillId="0" borderId="0" applyFont="0" applyFill="0" applyBorder="0" applyAlignment="0" applyProtection="0"/>
    <xf numFmtId="0" fontId="3" fillId="0" borderId="0"/>
    <xf numFmtId="164" fontId="4" fillId="0" borderId="0" applyFont="0" applyFill="0" applyBorder="0" applyAlignment="0" applyProtection="0"/>
    <xf numFmtId="0" fontId="3" fillId="0" borderId="0"/>
    <xf numFmtId="0" fontId="3" fillId="0" borderId="0"/>
    <xf numFmtId="9" fontId="4" fillId="0" borderId="0" applyFont="0" applyFill="0" applyBorder="0" applyAlignment="0" applyProtection="0"/>
    <xf numFmtId="0" fontId="3" fillId="0" borderId="0"/>
    <xf numFmtId="0" fontId="13" fillId="0" borderId="0"/>
    <xf numFmtId="0" fontId="3" fillId="0" borderId="0"/>
    <xf numFmtId="0" fontId="3" fillId="0" borderId="0"/>
  </cellStyleXfs>
  <cellXfs count="31">
    <xf numFmtId="0" fontId="0" fillId="0" borderId="0" xfId="0"/>
    <xf numFmtId="0" fontId="0" fillId="2" borderId="0" xfId="0" applyFill="1"/>
    <xf numFmtId="3" fontId="6" fillId="2" borderId="0" xfId="2" applyNumberFormat="1" applyFont="1" applyFill="1" applyBorder="1" applyAlignment="1" applyProtection="1">
      <alignment horizontal="right" vertical="center"/>
    </xf>
    <xf numFmtId="0" fontId="2" fillId="2" borderId="0" xfId="0" applyFont="1" applyFill="1"/>
    <xf numFmtId="0" fontId="2" fillId="2" borderId="0" xfId="0" applyFont="1" applyFill="1" applyBorder="1" applyAlignment="1">
      <alignment horizontal="left" vertical="center"/>
    </xf>
    <xf numFmtId="0" fontId="9" fillId="2" borderId="4" xfId="7" applyFont="1" applyFill="1" applyBorder="1"/>
    <xf numFmtId="0" fontId="12" fillId="2" borderId="0" xfId="5" applyFont="1" applyFill="1" applyBorder="1" applyAlignment="1"/>
    <xf numFmtId="3" fontId="0" fillId="2" borderId="0" xfId="0" applyNumberFormat="1" applyFill="1"/>
    <xf numFmtId="0" fontId="14" fillId="2" borderId="0" xfId="0" applyFont="1" applyFill="1"/>
    <xf numFmtId="0" fontId="8" fillId="2" borderId="3" xfId="0" applyFont="1" applyFill="1" applyBorder="1" applyAlignment="1">
      <alignment horizontal="right" vertical="center"/>
    </xf>
    <xf numFmtId="0" fontId="11" fillId="2" borderId="2" xfId="0" applyFont="1" applyFill="1" applyBorder="1" applyAlignment="1">
      <alignment horizontal="right" vertical="center" readingOrder="2"/>
    </xf>
    <xf numFmtId="3" fontId="8" fillId="2" borderId="0" xfId="0" applyNumberFormat="1" applyFont="1" applyFill="1" applyBorder="1" applyAlignment="1">
      <alignment horizontal="right" vertical="center"/>
    </xf>
    <xf numFmtId="3" fontId="15" fillId="2" borderId="0" xfId="9" applyNumberFormat="1" applyFont="1" applyFill="1" applyBorder="1" applyAlignment="1" applyProtection="1">
      <alignment horizontal="right" vertical="center"/>
    </xf>
    <xf numFmtId="3" fontId="0" fillId="2" borderId="0" xfId="1" applyNumberFormat="1" applyFont="1" applyFill="1"/>
    <xf numFmtId="0" fontId="5" fillId="2" borderId="5" xfId="10" applyFont="1" applyFill="1" applyBorder="1" applyAlignment="1" applyProtection="1">
      <alignment horizontal="left" vertical="center" indent="2"/>
    </xf>
    <xf numFmtId="3" fontId="16" fillId="2" borderId="0" xfId="9" applyNumberFormat="1" applyFont="1" applyFill="1" applyBorder="1" applyAlignment="1" applyProtection="1">
      <alignment horizontal="right" vertical="center" indent="2"/>
    </xf>
    <xf numFmtId="0" fontId="2" fillId="2" borderId="3" xfId="0" applyFont="1" applyFill="1" applyBorder="1" applyAlignment="1">
      <alignment horizontal="left" indent="1"/>
    </xf>
    <xf numFmtId="3" fontId="0" fillId="2" borderId="3" xfId="1" applyNumberFormat="1" applyFont="1" applyFill="1" applyBorder="1"/>
    <xf numFmtId="165" fontId="7" fillId="2" borderId="3" xfId="0" applyNumberFormat="1" applyFont="1" applyFill="1" applyBorder="1" applyAlignment="1">
      <alignment horizontal="right" vertical="center"/>
    </xf>
    <xf numFmtId="3" fontId="0" fillId="2" borderId="3" xfId="1" applyNumberFormat="1" applyFont="1" applyFill="1" applyBorder="1" applyAlignment="1">
      <alignment horizontal="right" vertical="center"/>
    </xf>
    <xf numFmtId="3" fontId="2" fillId="2" borderId="0" xfId="1" applyNumberFormat="1" applyFont="1" applyFill="1" applyBorder="1" applyAlignment="1">
      <alignment vertical="center"/>
    </xf>
    <xf numFmtId="0" fontId="5" fillId="2" borderId="0" xfId="10" applyFont="1" applyFill="1" applyBorder="1" applyAlignment="1" applyProtection="1">
      <alignment horizontal="left" vertical="center" indent="2"/>
    </xf>
    <xf numFmtId="3" fontId="0" fillId="2" borderId="0" xfId="1" applyNumberFormat="1" applyFont="1" applyFill="1" applyBorder="1"/>
    <xf numFmtId="0" fontId="2" fillId="2" borderId="0" xfId="0" applyFont="1" applyFill="1"/>
    <xf numFmtId="0" fontId="0" fillId="2" borderId="0" xfId="0" applyFill="1"/>
    <xf numFmtId="0" fontId="12" fillId="2" borderId="0" xfId="5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1" xfId="0" applyFont="1" applyFill="1" applyBorder="1" applyAlignment="1">
      <alignment horizontal="left" vertical="center" indent="2"/>
    </xf>
    <xf numFmtId="0" fontId="2" fillId="2" borderId="3" xfId="0" applyFont="1" applyFill="1" applyBorder="1" applyAlignment="1">
      <alignment horizontal="left" vertical="center" indent="2"/>
    </xf>
    <xf numFmtId="0" fontId="10" fillId="2" borderId="1" xfId="0" applyFont="1" applyFill="1" applyBorder="1" applyAlignment="1">
      <alignment horizontal="right" vertical="center"/>
    </xf>
    <xf numFmtId="0" fontId="10" fillId="2" borderId="3" xfId="0" applyFont="1" applyFill="1" applyBorder="1" applyAlignment="1">
      <alignment horizontal="right" vertical="center"/>
    </xf>
  </cellXfs>
  <cellStyles count="11">
    <cellStyle name="Comma" xfId="1" builtinId="3"/>
    <cellStyle name="Comma 3" xfId="3"/>
    <cellStyle name="Normal" xfId="0" builtinId="0"/>
    <cellStyle name="Normal 2" xfId="4"/>
    <cellStyle name="Normal 4" xfId="8"/>
    <cellStyle name="Normal_5 Employment_done" xfId="5"/>
    <cellStyle name="Normal_II-15(Population) 2" xfId="9"/>
    <cellStyle name="Normal_II-16(Populaion)" xfId="2"/>
    <cellStyle name="Normal_immunization" xfId="10"/>
    <cellStyle name="Normal_po" xfId="7"/>
    <cellStyle name="Percent 3" xfId="6"/>
  </cellStyles>
  <dxfs count="9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4038589213045629E-2"/>
          <c:y val="0.1486227763196267"/>
          <c:w val="0.88193345097917819"/>
          <c:h val="0.70100284339457575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4">
                <a:lumMod val="75000"/>
              </a:schemeClr>
            </a:solidFill>
          </c:spPr>
          <c:invertIfNegative val="0"/>
          <c:cat>
            <c:strRef>
              <c:f>'5.11'!$Z$21:$Z$40</c:f>
              <c:strCache>
                <c:ptCount val="20"/>
                <c:pt idx="0">
                  <c:v>HDh</c:v>
                </c:pt>
                <c:pt idx="1">
                  <c:v>R</c:v>
                </c:pt>
                <c:pt idx="2">
                  <c:v>S</c:v>
                </c:pt>
                <c:pt idx="3">
                  <c:v>HA</c:v>
                </c:pt>
                <c:pt idx="4">
                  <c:v>Sh</c:v>
                </c:pt>
                <c:pt idx="5">
                  <c:v>GDh</c:v>
                </c:pt>
                <c:pt idx="6">
                  <c:v>Th</c:v>
                </c:pt>
                <c:pt idx="7">
                  <c:v>K</c:v>
                </c:pt>
                <c:pt idx="8">
                  <c:v>L</c:v>
                </c:pt>
                <c:pt idx="9">
                  <c:v>N</c:v>
                </c:pt>
                <c:pt idx="10">
                  <c:v>B</c:v>
                </c:pt>
                <c:pt idx="11">
                  <c:v>GA</c:v>
                </c:pt>
                <c:pt idx="12">
                  <c:v>ADh</c:v>
                </c:pt>
                <c:pt idx="13">
                  <c:v>Gn</c:v>
                </c:pt>
                <c:pt idx="14">
                  <c:v>Lh</c:v>
                </c:pt>
                <c:pt idx="15">
                  <c:v>AA</c:v>
                </c:pt>
                <c:pt idx="16">
                  <c:v>M</c:v>
                </c:pt>
                <c:pt idx="17">
                  <c:v>Dh</c:v>
                </c:pt>
                <c:pt idx="18">
                  <c:v>F</c:v>
                </c:pt>
                <c:pt idx="19">
                  <c:v>V</c:v>
                </c:pt>
              </c:strCache>
            </c:strRef>
          </c:cat>
          <c:val>
            <c:numRef>
              <c:f>'5.11'!$AA$21:$AA$40</c:f>
              <c:numCache>
                <c:formatCode>#,##0</c:formatCode>
                <c:ptCount val="20"/>
                <c:pt idx="0">
                  <c:v>1348</c:v>
                </c:pt>
                <c:pt idx="1">
                  <c:v>1250</c:v>
                </c:pt>
                <c:pt idx="2">
                  <c:v>1193</c:v>
                </c:pt>
                <c:pt idx="3">
                  <c:v>1090</c:v>
                </c:pt>
                <c:pt idx="4">
                  <c:v>1079</c:v>
                </c:pt>
                <c:pt idx="5">
                  <c:v>955</c:v>
                </c:pt>
                <c:pt idx="6">
                  <c:v>948</c:v>
                </c:pt>
                <c:pt idx="7">
                  <c:v>945</c:v>
                </c:pt>
                <c:pt idx="8">
                  <c:v>931</c:v>
                </c:pt>
                <c:pt idx="9">
                  <c:v>877</c:v>
                </c:pt>
                <c:pt idx="10">
                  <c:v>857</c:v>
                </c:pt>
                <c:pt idx="11">
                  <c:v>711</c:v>
                </c:pt>
                <c:pt idx="12">
                  <c:v>663</c:v>
                </c:pt>
                <c:pt idx="13">
                  <c:v>560</c:v>
                </c:pt>
                <c:pt idx="14">
                  <c:v>530</c:v>
                </c:pt>
                <c:pt idx="15">
                  <c:v>519</c:v>
                </c:pt>
                <c:pt idx="16">
                  <c:v>503</c:v>
                </c:pt>
                <c:pt idx="17">
                  <c:v>491</c:v>
                </c:pt>
                <c:pt idx="18">
                  <c:v>476</c:v>
                </c:pt>
                <c:pt idx="19">
                  <c:v>206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8"/>
        <c:axId val="144302080"/>
        <c:axId val="144303616"/>
      </c:barChart>
      <c:catAx>
        <c:axId val="14430208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144303616"/>
        <c:crosses val="autoZero"/>
        <c:auto val="1"/>
        <c:lblAlgn val="ctr"/>
        <c:lblOffset val="100"/>
        <c:noMultiLvlLbl val="0"/>
      </c:catAx>
      <c:valAx>
        <c:axId val="144303616"/>
        <c:scaling>
          <c:orientation val="minMax"/>
          <c:max val="1400"/>
        </c:scaling>
        <c:delete val="0"/>
        <c:axPos val="l"/>
        <c:majorGridlines>
          <c:spPr>
            <a:ln>
              <a:solidFill>
                <a:schemeClr val="accent4">
                  <a:lumMod val="20000"/>
                  <a:lumOff val="80000"/>
                </a:schemeClr>
              </a:solidFill>
            </a:ln>
          </c:spPr>
        </c:majorGridlines>
        <c:numFmt formatCode="#,##0" sourceLinked="1"/>
        <c:majorTickMark val="none"/>
        <c:minorTickMark val="none"/>
        <c:tickLblPos val="nextTo"/>
        <c:crossAx val="144302080"/>
        <c:crosses val="autoZero"/>
        <c:crossBetween val="between"/>
      </c:valAx>
      <c:spPr>
        <a:solidFill>
          <a:schemeClr val="accent4">
            <a:lumMod val="20000"/>
            <a:lumOff val="80000"/>
          </a:schemeClr>
        </a:solidFill>
        <a:ln>
          <a:solidFill>
            <a:schemeClr val="tx1">
              <a:lumMod val="50000"/>
              <a:lumOff val="50000"/>
            </a:schemeClr>
          </a:solidFill>
        </a:ln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8571741032370971E-2"/>
          <c:y val="0.1355881578632458"/>
          <c:w val="0.87752690288713908"/>
          <c:h val="0.73297274010961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'5.11'!$AA$45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</c:spPr>
          <c:invertIfNegative val="0"/>
          <c:cat>
            <c:strRef>
              <c:f>'5.11'!$Z$46:$Z$66</c:f>
              <c:strCache>
                <c:ptCount val="21"/>
                <c:pt idx="0">
                  <c:v>HA</c:v>
                </c:pt>
                <c:pt idx="2">
                  <c:v>HDh</c:v>
                </c:pt>
                <c:pt idx="3">
                  <c:v>Sh</c:v>
                </c:pt>
                <c:pt idx="4">
                  <c:v>N</c:v>
                </c:pt>
                <c:pt idx="5">
                  <c:v>R</c:v>
                </c:pt>
                <c:pt idx="6">
                  <c:v>B</c:v>
                </c:pt>
                <c:pt idx="7">
                  <c:v>Lh</c:v>
                </c:pt>
                <c:pt idx="8">
                  <c:v>K</c:v>
                </c:pt>
                <c:pt idx="9">
                  <c:v>AA</c:v>
                </c:pt>
                <c:pt idx="10">
                  <c:v>ADh</c:v>
                </c:pt>
                <c:pt idx="11">
                  <c:v>V</c:v>
                </c:pt>
                <c:pt idx="12">
                  <c:v>M</c:v>
                </c:pt>
                <c:pt idx="13">
                  <c:v>F</c:v>
                </c:pt>
                <c:pt idx="14">
                  <c:v>Dh</c:v>
                </c:pt>
                <c:pt idx="15">
                  <c:v>Th</c:v>
                </c:pt>
                <c:pt idx="16">
                  <c:v>L</c:v>
                </c:pt>
                <c:pt idx="17">
                  <c:v>GA</c:v>
                </c:pt>
                <c:pt idx="18">
                  <c:v>GDh</c:v>
                </c:pt>
                <c:pt idx="19">
                  <c:v>Gn</c:v>
                </c:pt>
                <c:pt idx="20">
                  <c:v>S</c:v>
                </c:pt>
              </c:strCache>
            </c:strRef>
          </c:cat>
          <c:val>
            <c:numRef>
              <c:f>'5.11'!$AA$46:$AA$66</c:f>
              <c:numCache>
                <c:formatCode>#,##0</c:formatCode>
                <c:ptCount val="21"/>
                <c:pt idx="0">
                  <c:v>549</c:v>
                </c:pt>
                <c:pt idx="2">
                  <c:v>655</c:v>
                </c:pt>
                <c:pt idx="3">
                  <c:v>606</c:v>
                </c:pt>
                <c:pt idx="4">
                  <c:v>436</c:v>
                </c:pt>
                <c:pt idx="5">
                  <c:v>651</c:v>
                </c:pt>
                <c:pt idx="6">
                  <c:v>411</c:v>
                </c:pt>
                <c:pt idx="7">
                  <c:v>245</c:v>
                </c:pt>
                <c:pt idx="8">
                  <c:v>407</c:v>
                </c:pt>
                <c:pt idx="9">
                  <c:v>263</c:v>
                </c:pt>
                <c:pt idx="10">
                  <c:v>313</c:v>
                </c:pt>
                <c:pt idx="11">
                  <c:v>107</c:v>
                </c:pt>
                <c:pt idx="12">
                  <c:v>263</c:v>
                </c:pt>
                <c:pt idx="13">
                  <c:v>224</c:v>
                </c:pt>
                <c:pt idx="14">
                  <c:v>236</c:v>
                </c:pt>
                <c:pt idx="15">
                  <c:v>491</c:v>
                </c:pt>
                <c:pt idx="16">
                  <c:v>462</c:v>
                </c:pt>
                <c:pt idx="17">
                  <c:v>304</c:v>
                </c:pt>
                <c:pt idx="18">
                  <c:v>451</c:v>
                </c:pt>
                <c:pt idx="19">
                  <c:v>230</c:v>
                </c:pt>
                <c:pt idx="20">
                  <c:v>402</c:v>
                </c:pt>
              </c:numCache>
            </c:numRef>
          </c:val>
        </c:ser>
        <c:ser>
          <c:idx val="1"/>
          <c:order val="1"/>
          <c:tx>
            <c:strRef>
              <c:f>'5.11'!$AB$45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</c:spPr>
          <c:invertIfNegative val="0"/>
          <c:cat>
            <c:strRef>
              <c:f>'5.11'!$Z$46:$Z$66</c:f>
              <c:strCache>
                <c:ptCount val="21"/>
                <c:pt idx="0">
                  <c:v>HA</c:v>
                </c:pt>
                <c:pt idx="2">
                  <c:v>HDh</c:v>
                </c:pt>
                <c:pt idx="3">
                  <c:v>Sh</c:v>
                </c:pt>
                <c:pt idx="4">
                  <c:v>N</c:v>
                </c:pt>
                <c:pt idx="5">
                  <c:v>R</c:v>
                </c:pt>
                <c:pt idx="6">
                  <c:v>B</c:v>
                </c:pt>
                <c:pt idx="7">
                  <c:v>Lh</c:v>
                </c:pt>
                <c:pt idx="8">
                  <c:v>K</c:v>
                </c:pt>
                <c:pt idx="9">
                  <c:v>AA</c:v>
                </c:pt>
                <c:pt idx="10">
                  <c:v>ADh</c:v>
                </c:pt>
                <c:pt idx="11">
                  <c:v>V</c:v>
                </c:pt>
                <c:pt idx="12">
                  <c:v>M</c:v>
                </c:pt>
                <c:pt idx="13">
                  <c:v>F</c:v>
                </c:pt>
                <c:pt idx="14">
                  <c:v>Dh</c:v>
                </c:pt>
                <c:pt idx="15">
                  <c:v>Th</c:v>
                </c:pt>
                <c:pt idx="16">
                  <c:v>L</c:v>
                </c:pt>
                <c:pt idx="17">
                  <c:v>GA</c:v>
                </c:pt>
                <c:pt idx="18">
                  <c:v>GDh</c:v>
                </c:pt>
                <c:pt idx="19">
                  <c:v>Gn</c:v>
                </c:pt>
                <c:pt idx="20">
                  <c:v>S</c:v>
                </c:pt>
              </c:strCache>
            </c:strRef>
          </c:cat>
          <c:val>
            <c:numRef>
              <c:f>'5.11'!$AB$46:$AB$66</c:f>
              <c:numCache>
                <c:formatCode>#,##0</c:formatCode>
                <c:ptCount val="21"/>
                <c:pt idx="0">
                  <c:v>541</c:v>
                </c:pt>
                <c:pt idx="2">
                  <c:v>693</c:v>
                </c:pt>
                <c:pt idx="3">
                  <c:v>473</c:v>
                </c:pt>
                <c:pt idx="4">
                  <c:v>441</c:v>
                </c:pt>
                <c:pt idx="5">
                  <c:v>599</c:v>
                </c:pt>
                <c:pt idx="6">
                  <c:v>446</c:v>
                </c:pt>
                <c:pt idx="7">
                  <c:v>285</c:v>
                </c:pt>
                <c:pt idx="8">
                  <c:v>538</c:v>
                </c:pt>
                <c:pt idx="9">
                  <c:v>256</c:v>
                </c:pt>
                <c:pt idx="10">
                  <c:v>350</c:v>
                </c:pt>
                <c:pt idx="11">
                  <c:v>99</c:v>
                </c:pt>
                <c:pt idx="12">
                  <c:v>240</c:v>
                </c:pt>
                <c:pt idx="13">
                  <c:v>252</c:v>
                </c:pt>
                <c:pt idx="14">
                  <c:v>255</c:v>
                </c:pt>
                <c:pt idx="15">
                  <c:v>457</c:v>
                </c:pt>
                <c:pt idx="16">
                  <c:v>469</c:v>
                </c:pt>
                <c:pt idx="17">
                  <c:v>407</c:v>
                </c:pt>
                <c:pt idx="18">
                  <c:v>504</c:v>
                </c:pt>
                <c:pt idx="19">
                  <c:v>330</c:v>
                </c:pt>
                <c:pt idx="20">
                  <c:v>791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axId val="144730752"/>
        <c:axId val="144736640"/>
      </c:barChart>
      <c:catAx>
        <c:axId val="14473075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44736640"/>
        <c:crosses val="autoZero"/>
        <c:auto val="1"/>
        <c:lblAlgn val="ctr"/>
        <c:lblOffset val="100"/>
        <c:noMultiLvlLbl val="0"/>
      </c:catAx>
      <c:valAx>
        <c:axId val="144736640"/>
        <c:scaling>
          <c:orientation val="minMax"/>
        </c:scaling>
        <c:delete val="0"/>
        <c:axPos val="l"/>
        <c:majorGridlines>
          <c:spPr>
            <a:ln>
              <a:solidFill>
                <a:schemeClr val="accent4">
                  <a:lumMod val="20000"/>
                  <a:lumOff val="80000"/>
                </a:schemeClr>
              </a:solidFill>
            </a:ln>
          </c:spPr>
        </c:majorGridlines>
        <c:numFmt formatCode="#,##0" sourceLinked="1"/>
        <c:majorTickMark val="out"/>
        <c:minorTickMark val="none"/>
        <c:tickLblPos val="nextTo"/>
        <c:crossAx val="144730752"/>
        <c:crosses val="autoZero"/>
        <c:crossBetween val="between"/>
      </c:valAx>
      <c:spPr>
        <a:solidFill>
          <a:schemeClr val="accent4">
            <a:lumMod val="20000"/>
            <a:lumOff val="80000"/>
          </a:schemeClr>
        </a:solidFill>
        <a:ln>
          <a:solidFill>
            <a:schemeClr val="tx1">
              <a:lumMod val="50000"/>
              <a:lumOff val="50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54926999664224829"/>
          <c:y val="0.19726012971782783"/>
          <c:w val="0.26309879622377047"/>
          <c:h val="7.9471420239136795E-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502920</xdr:colOff>
      <xdr:row>30</xdr:row>
      <xdr:rowOff>167640</xdr:rowOff>
    </xdr:from>
    <xdr:to>
      <xdr:col>4</xdr:col>
      <xdr:colOff>1935480</xdr:colOff>
      <xdr:row>45</xdr:row>
      <xdr:rowOff>167640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1162050</xdr:colOff>
      <xdr:row>31</xdr:row>
      <xdr:rowOff>28574</xdr:rowOff>
    </xdr:from>
    <xdr:to>
      <xdr:col>4</xdr:col>
      <xdr:colOff>1533525</xdr:colOff>
      <xdr:row>32</xdr:row>
      <xdr:rowOff>76199</xdr:rowOff>
    </xdr:to>
    <xdr:sp macro="" textlink="">
      <xdr:nvSpPr>
        <xdr:cNvPr id="5" name="TextBox 4"/>
        <xdr:cNvSpPr txBox="1"/>
      </xdr:nvSpPr>
      <xdr:spPr>
        <a:xfrm>
          <a:off x="1162050" y="6419849"/>
          <a:ext cx="4619625" cy="238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 b="1">
              <a:latin typeface="Consolas" pitchFamily="49" charset="0"/>
              <a:cs typeface="Consolas" pitchFamily="49" charset="0"/>
            </a:rPr>
            <a:t>   Figure 5.6: Number</a:t>
          </a:r>
          <a:r>
            <a:rPr lang="en-US" sz="1100" b="1" baseline="0">
              <a:latin typeface="Consolas" pitchFamily="49" charset="0"/>
              <a:cs typeface="Consolas" pitchFamily="49" charset="0"/>
            </a:rPr>
            <a:t> of civil servants by Atoll, 2014</a:t>
          </a:r>
          <a:endParaRPr lang="en-US" sz="1100" b="1">
            <a:latin typeface="Consolas" pitchFamily="49" charset="0"/>
            <a:cs typeface="Consolas" pitchFamily="49" charset="0"/>
          </a:endParaRPr>
        </a:p>
      </xdr:txBody>
    </xdr:sp>
    <xdr:clientData/>
  </xdr:twoCellAnchor>
  <xdr:twoCellAnchor>
    <xdr:from>
      <xdr:col>0</xdr:col>
      <xdr:colOff>1381125</xdr:colOff>
      <xdr:row>32</xdr:row>
      <xdr:rowOff>95249</xdr:rowOff>
    </xdr:from>
    <xdr:to>
      <xdr:col>4</xdr:col>
      <xdr:colOff>1247775</xdr:colOff>
      <xdr:row>32</xdr:row>
      <xdr:rowOff>104774</xdr:rowOff>
    </xdr:to>
    <xdr:sp macro="" textlink="">
      <xdr:nvSpPr>
        <xdr:cNvPr id="7" name="Line 4"/>
        <xdr:cNvSpPr>
          <a:spLocks noChangeShapeType="1"/>
        </xdr:cNvSpPr>
      </xdr:nvSpPr>
      <xdr:spPr bwMode="auto">
        <a:xfrm flipV="1">
          <a:off x="1381125" y="6677024"/>
          <a:ext cx="4114800" cy="9525"/>
        </a:xfrm>
        <a:prstGeom prst="line">
          <a:avLst/>
        </a:prstGeom>
        <a:noFill/>
        <a:ln w="19050">
          <a:solidFill>
            <a:srgbClr val="7030A0"/>
          </a:solidFill>
          <a:round/>
          <a:headEnd/>
          <a:tailEnd/>
        </a:ln>
      </xdr:spPr>
    </xdr:sp>
    <xdr:clientData/>
  </xdr:twoCellAnchor>
  <xdr:twoCellAnchor>
    <xdr:from>
      <xdr:col>0</xdr:col>
      <xdr:colOff>480060</xdr:colOff>
      <xdr:row>47</xdr:row>
      <xdr:rowOff>123824</xdr:rowOff>
    </xdr:from>
    <xdr:to>
      <xdr:col>4</xdr:col>
      <xdr:colOff>1920240</xdr:colOff>
      <xdr:row>64</xdr:row>
      <xdr:rowOff>19049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1221104</xdr:colOff>
      <xdr:row>48</xdr:row>
      <xdr:rowOff>3810</xdr:rowOff>
    </xdr:from>
    <xdr:to>
      <xdr:col>4</xdr:col>
      <xdr:colOff>1752599</xdr:colOff>
      <xdr:row>49</xdr:row>
      <xdr:rowOff>47625</xdr:rowOff>
    </xdr:to>
    <xdr:sp macro="" textlink="">
      <xdr:nvSpPr>
        <xdr:cNvPr id="9" name="TextBox 8"/>
        <xdr:cNvSpPr txBox="1"/>
      </xdr:nvSpPr>
      <xdr:spPr>
        <a:xfrm>
          <a:off x="1221104" y="9443085"/>
          <a:ext cx="4779645" cy="23431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>
              <a:solidFill>
                <a:schemeClr val="dk1"/>
              </a:solidFill>
              <a:latin typeface="Consolas" pitchFamily="49" charset="0"/>
              <a:ea typeface="+mn-ea"/>
              <a:cs typeface="Consolas" pitchFamily="49" charset="0"/>
            </a:rPr>
            <a:t>Figure 5.6: Number</a:t>
          </a:r>
          <a:r>
            <a:rPr lang="en-US" sz="1100" b="1" baseline="0">
              <a:solidFill>
                <a:schemeClr val="dk1"/>
              </a:solidFill>
              <a:latin typeface="Consolas" pitchFamily="49" charset="0"/>
              <a:ea typeface="+mn-ea"/>
              <a:cs typeface="Consolas" pitchFamily="49" charset="0"/>
            </a:rPr>
            <a:t> of civil servants by atoll and sex, 2014</a:t>
          </a:r>
          <a:endParaRPr lang="en-US" sz="1100">
            <a:latin typeface="Consolas" pitchFamily="49" charset="0"/>
            <a:cs typeface="Consolas" pitchFamily="49" charset="0"/>
          </a:endParaRPr>
        </a:p>
      </xdr:txBody>
    </xdr:sp>
    <xdr:clientData/>
  </xdr:twoCellAnchor>
  <xdr:twoCellAnchor>
    <xdr:from>
      <xdr:col>0</xdr:col>
      <xdr:colOff>1282065</xdr:colOff>
      <xdr:row>49</xdr:row>
      <xdr:rowOff>45720</xdr:rowOff>
    </xdr:from>
    <xdr:to>
      <xdr:col>4</xdr:col>
      <xdr:colOff>1752600</xdr:colOff>
      <xdr:row>49</xdr:row>
      <xdr:rowOff>45720</xdr:rowOff>
    </xdr:to>
    <xdr:sp macro="" textlink="">
      <xdr:nvSpPr>
        <xdr:cNvPr id="10" name="Line 4"/>
        <xdr:cNvSpPr>
          <a:spLocks noChangeShapeType="1"/>
        </xdr:cNvSpPr>
      </xdr:nvSpPr>
      <xdr:spPr bwMode="auto">
        <a:xfrm>
          <a:off x="1282065" y="9675495"/>
          <a:ext cx="4718685" cy="0"/>
        </a:xfrm>
        <a:prstGeom prst="line">
          <a:avLst/>
        </a:prstGeom>
        <a:noFill/>
        <a:ln w="19050">
          <a:solidFill>
            <a:srgbClr val="7030A0"/>
          </a:solidFill>
          <a:round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B66"/>
  <sheetViews>
    <sheetView tabSelected="1" view="pageBreakPreview" zoomScaleNormal="100" zoomScaleSheetLayoutView="100" workbookViewId="0">
      <selection activeCell="J30" sqref="J30"/>
    </sheetView>
  </sheetViews>
  <sheetFormatPr defaultColWidth="8.85546875" defaultRowHeight="15" x14ac:dyDescent="0.25"/>
  <cols>
    <col min="1" max="1" width="32.85546875" style="1" customWidth="1"/>
    <col min="2" max="4" width="10.28515625" style="1" customWidth="1"/>
    <col min="5" max="5" width="30.42578125" style="1" customWidth="1"/>
    <col min="6" max="9" width="8.85546875" style="1"/>
    <col min="10" max="19" width="8.85546875" style="24"/>
    <col min="20" max="21" width="8.85546875" style="1"/>
    <col min="22" max="22" width="8.85546875" style="24"/>
    <col min="23" max="16384" width="8.85546875" style="1"/>
  </cols>
  <sheetData>
    <row r="1" spans="1:24" ht="21" x14ac:dyDescent="0.55000000000000004">
      <c r="A1" s="25" t="s">
        <v>79</v>
      </c>
      <c r="B1" s="25"/>
      <c r="C1" s="25"/>
      <c r="D1" s="25"/>
      <c r="E1" s="25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</row>
    <row r="2" spans="1:24" x14ac:dyDescent="0.25">
      <c r="A2" s="26" t="s">
        <v>78</v>
      </c>
      <c r="B2" s="26"/>
      <c r="C2" s="26"/>
      <c r="D2" s="26"/>
      <c r="E2" s="26"/>
    </row>
    <row r="3" spans="1:24" ht="11.45" customHeight="1" x14ac:dyDescent="0.25"/>
    <row r="4" spans="1:24" ht="18.75" x14ac:dyDescent="0.25">
      <c r="A4" s="27" t="s">
        <v>11</v>
      </c>
      <c r="B4" s="10" t="s">
        <v>8</v>
      </c>
      <c r="C4" s="10" t="s">
        <v>0</v>
      </c>
      <c r="D4" s="10" t="s">
        <v>1</v>
      </c>
      <c r="E4" s="29" t="s">
        <v>12</v>
      </c>
      <c r="G4" s="8"/>
    </row>
    <row r="5" spans="1:24" x14ac:dyDescent="0.25">
      <c r="A5" s="28"/>
      <c r="B5" s="9" t="s">
        <v>6</v>
      </c>
      <c r="C5" s="9" t="s">
        <v>2</v>
      </c>
      <c r="D5" s="9" t="s">
        <v>3</v>
      </c>
      <c r="E5" s="30"/>
    </row>
    <row r="6" spans="1:24" ht="18.75" x14ac:dyDescent="0.25">
      <c r="A6" s="4" t="s">
        <v>13</v>
      </c>
      <c r="B6" s="11">
        <f>B7+B8+B29</f>
        <v>24883</v>
      </c>
      <c r="C6" s="11">
        <f>C7+C8+C29</f>
        <v>11547</v>
      </c>
      <c r="D6" s="11">
        <f>D7+D8+D29</f>
        <v>13336</v>
      </c>
      <c r="E6" s="12" t="s">
        <v>14</v>
      </c>
    </row>
    <row r="7" spans="1:24" s="3" customFormat="1" ht="18.75" x14ac:dyDescent="0.25">
      <c r="A7" s="4" t="s">
        <v>10</v>
      </c>
      <c r="B7" s="20">
        <f>SUM(C7:D7)</f>
        <v>8749</v>
      </c>
      <c r="C7" s="20">
        <v>3839</v>
      </c>
      <c r="D7" s="20">
        <v>4910</v>
      </c>
      <c r="E7" s="12" t="s">
        <v>4</v>
      </c>
      <c r="J7" s="23"/>
      <c r="K7" s="23"/>
      <c r="L7" s="23"/>
      <c r="M7" s="23"/>
      <c r="N7" s="23"/>
      <c r="O7" s="23"/>
      <c r="P7" s="23"/>
      <c r="Q7" s="23"/>
      <c r="R7" s="23"/>
      <c r="S7" s="23"/>
      <c r="V7" s="23"/>
    </row>
    <row r="8" spans="1:24" s="3" customFormat="1" ht="18.75" x14ac:dyDescent="0.25">
      <c r="A8" s="4" t="s">
        <v>15</v>
      </c>
      <c r="B8" s="20">
        <f>SUM(C8:D8)</f>
        <v>16132</v>
      </c>
      <c r="C8" s="20">
        <f t="shared" ref="C8:D8" si="0">SUM(C9:C28)</f>
        <v>7706</v>
      </c>
      <c r="D8" s="20">
        <f t="shared" si="0"/>
        <v>8426</v>
      </c>
      <c r="E8" s="12" t="s">
        <v>5</v>
      </c>
      <c r="J8" s="23"/>
      <c r="K8" s="23"/>
      <c r="L8" s="23"/>
      <c r="M8" s="23"/>
      <c r="N8" s="23"/>
      <c r="O8" s="23"/>
      <c r="P8" s="23"/>
      <c r="Q8" s="23"/>
      <c r="R8" s="23"/>
      <c r="S8" s="23"/>
      <c r="V8" s="23"/>
    </row>
    <row r="9" spans="1:24" ht="15.75" x14ac:dyDescent="0.25">
      <c r="A9" s="21" t="s">
        <v>16</v>
      </c>
      <c r="B9" s="22">
        <f>SUM(C9:D9)</f>
        <v>1090</v>
      </c>
      <c r="C9" s="22">
        <v>549</v>
      </c>
      <c r="D9" s="22">
        <v>541</v>
      </c>
      <c r="E9" s="15" t="s">
        <v>17</v>
      </c>
    </row>
    <row r="10" spans="1:24" ht="15.75" x14ac:dyDescent="0.25">
      <c r="A10" s="21" t="s">
        <v>18</v>
      </c>
      <c r="B10" s="22">
        <f t="shared" ref="B10:B29" si="1">SUM(C10:D10)</f>
        <v>1348</v>
      </c>
      <c r="C10" s="22">
        <v>655</v>
      </c>
      <c r="D10" s="22">
        <v>693</v>
      </c>
      <c r="E10" s="15" t="s">
        <v>19</v>
      </c>
    </row>
    <row r="11" spans="1:24" ht="15.75" x14ac:dyDescent="0.25">
      <c r="A11" s="21" t="s">
        <v>20</v>
      </c>
      <c r="B11" s="22">
        <f t="shared" si="1"/>
        <v>1079</v>
      </c>
      <c r="C11" s="22">
        <v>606</v>
      </c>
      <c r="D11" s="22">
        <v>473</v>
      </c>
      <c r="E11" s="15" t="s">
        <v>21</v>
      </c>
    </row>
    <row r="12" spans="1:24" ht="15.75" x14ac:dyDescent="0.25">
      <c r="A12" s="21" t="s">
        <v>22</v>
      </c>
      <c r="B12" s="22">
        <f t="shared" si="1"/>
        <v>877</v>
      </c>
      <c r="C12" s="22">
        <v>436</v>
      </c>
      <c r="D12" s="22">
        <v>441</v>
      </c>
      <c r="E12" s="15" t="s">
        <v>23</v>
      </c>
    </row>
    <row r="13" spans="1:24" ht="15.75" x14ac:dyDescent="0.25">
      <c r="A13" s="21" t="s">
        <v>24</v>
      </c>
      <c r="B13" s="22">
        <f t="shared" si="1"/>
        <v>1250</v>
      </c>
      <c r="C13" s="22">
        <v>651</v>
      </c>
      <c r="D13" s="22">
        <v>599</v>
      </c>
      <c r="E13" s="15" t="s">
        <v>25</v>
      </c>
    </row>
    <row r="14" spans="1:24" ht="15.75" x14ac:dyDescent="0.25">
      <c r="A14" s="21" t="s">
        <v>26</v>
      </c>
      <c r="B14" s="22">
        <f t="shared" si="1"/>
        <v>857</v>
      </c>
      <c r="C14" s="22">
        <v>411</v>
      </c>
      <c r="D14" s="22">
        <v>446</v>
      </c>
      <c r="E14" s="15" t="s">
        <v>27</v>
      </c>
    </row>
    <row r="15" spans="1:24" ht="15.75" x14ac:dyDescent="0.25">
      <c r="A15" s="21" t="s">
        <v>28</v>
      </c>
      <c r="B15" s="22">
        <f t="shared" si="1"/>
        <v>530</v>
      </c>
      <c r="C15" s="22">
        <v>245</v>
      </c>
      <c r="D15" s="22">
        <v>285</v>
      </c>
      <c r="E15" s="15" t="s">
        <v>29</v>
      </c>
    </row>
    <row r="16" spans="1:24" ht="15.75" x14ac:dyDescent="0.25">
      <c r="A16" s="21" t="s">
        <v>30</v>
      </c>
      <c r="B16" s="22">
        <f t="shared" si="1"/>
        <v>945</v>
      </c>
      <c r="C16" s="22">
        <v>407</v>
      </c>
      <c r="D16" s="22">
        <v>538</v>
      </c>
      <c r="E16" s="15" t="s">
        <v>31</v>
      </c>
    </row>
    <row r="17" spans="1:27" ht="15.75" x14ac:dyDescent="0.25">
      <c r="A17" s="21" t="s">
        <v>32</v>
      </c>
      <c r="B17" s="22">
        <f t="shared" si="1"/>
        <v>519</v>
      </c>
      <c r="C17" s="22">
        <v>263</v>
      </c>
      <c r="D17" s="22">
        <v>256</v>
      </c>
      <c r="E17" s="15" t="s">
        <v>33</v>
      </c>
    </row>
    <row r="18" spans="1:27" ht="15.75" x14ac:dyDescent="0.25">
      <c r="A18" s="21" t="s">
        <v>34</v>
      </c>
      <c r="B18" s="22">
        <f t="shared" si="1"/>
        <v>663</v>
      </c>
      <c r="C18" s="22">
        <v>313</v>
      </c>
      <c r="D18" s="22">
        <v>350</v>
      </c>
      <c r="E18" s="15" t="s">
        <v>35</v>
      </c>
    </row>
    <row r="19" spans="1:27" ht="15.75" x14ac:dyDescent="0.25">
      <c r="A19" s="21" t="s">
        <v>36</v>
      </c>
      <c r="B19" s="22">
        <f t="shared" si="1"/>
        <v>206</v>
      </c>
      <c r="C19" s="22">
        <v>107</v>
      </c>
      <c r="D19" s="22">
        <v>99</v>
      </c>
      <c r="E19" s="15" t="s">
        <v>37</v>
      </c>
      <c r="AA19" s="7"/>
    </row>
    <row r="20" spans="1:27" ht="15.75" x14ac:dyDescent="0.25">
      <c r="A20" s="21" t="s">
        <v>38</v>
      </c>
      <c r="B20" s="22">
        <f t="shared" si="1"/>
        <v>503</v>
      </c>
      <c r="C20" s="22">
        <v>263</v>
      </c>
      <c r="D20" s="22">
        <v>240</v>
      </c>
      <c r="E20" s="15" t="s">
        <v>39</v>
      </c>
    </row>
    <row r="21" spans="1:27" ht="15.75" x14ac:dyDescent="0.25">
      <c r="A21" s="21" t="s">
        <v>40</v>
      </c>
      <c r="B21" s="22">
        <f t="shared" si="1"/>
        <v>476</v>
      </c>
      <c r="C21" s="22">
        <v>224</v>
      </c>
      <c r="D21" s="22">
        <v>252</v>
      </c>
      <c r="E21" s="15" t="s">
        <v>41</v>
      </c>
      <c r="Z21" s="14" t="s">
        <v>59</v>
      </c>
      <c r="AA21" s="13">
        <v>1348</v>
      </c>
    </row>
    <row r="22" spans="1:27" ht="15.75" x14ac:dyDescent="0.25">
      <c r="A22" s="21" t="s">
        <v>42</v>
      </c>
      <c r="B22" s="22">
        <f t="shared" si="1"/>
        <v>491</v>
      </c>
      <c r="C22" s="22">
        <v>236</v>
      </c>
      <c r="D22" s="22">
        <v>255</v>
      </c>
      <c r="E22" s="15" t="s">
        <v>43</v>
      </c>
      <c r="Z22" s="14" t="s">
        <v>63</v>
      </c>
      <c r="AA22" s="13">
        <v>1250</v>
      </c>
    </row>
    <row r="23" spans="1:27" ht="15.75" x14ac:dyDescent="0.25">
      <c r="A23" s="21" t="s">
        <v>44</v>
      </c>
      <c r="B23" s="22">
        <f t="shared" si="1"/>
        <v>948</v>
      </c>
      <c r="C23" s="22">
        <v>491</v>
      </c>
      <c r="D23" s="22">
        <v>457</v>
      </c>
      <c r="E23" s="15" t="s">
        <v>45</v>
      </c>
      <c r="Z23" s="14" t="s">
        <v>62</v>
      </c>
      <c r="AA23" s="13">
        <v>1193</v>
      </c>
    </row>
    <row r="24" spans="1:27" ht="15.75" x14ac:dyDescent="0.25">
      <c r="A24" s="21" t="s">
        <v>46</v>
      </c>
      <c r="B24" s="22">
        <f t="shared" si="1"/>
        <v>931</v>
      </c>
      <c r="C24" s="22">
        <v>462</v>
      </c>
      <c r="D24" s="22">
        <v>469</v>
      </c>
      <c r="E24" s="15" t="s">
        <v>47</v>
      </c>
      <c r="Z24" s="14" t="s">
        <v>58</v>
      </c>
      <c r="AA24" s="13">
        <v>1090</v>
      </c>
    </row>
    <row r="25" spans="1:27" ht="15.75" x14ac:dyDescent="0.25">
      <c r="A25" s="21" t="s">
        <v>48</v>
      </c>
      <c r="B25" s="22">
        <f t="shared" si="1"/>
        <v>711</v>
      </c>
      <c r="C25" s="22">
        <v>304</v>
      </c>
      <c r="D25" s="22">
        <v>407</v>
      </c>
      <c r="E25" s="15" t="s">
        <v>49</v>
      </c>
      <c r="Z25" s="14" t="s">
        <v>60</v>
      </c>
      <c r="AA25" s="13">
        <v>1079</v>
      </c>
    </row>
    <row r="26" spans="1:27" ht="15.75" x14ac:dyDescent="0.25">
      <c r="A26" s="21" t="s">
        <v>50</v>
      </c>
      <c r="B26" s="22">
        <f t="shared" si="1"/>
        <v>955</v>
      </c>
      <c r="C26" s="22">
        <v>451</v>
      </c>
      <c r="D26" s="22">
        <v>504</v>
      </c>
      <c r="E26" s="15" t="s">
        <v>51</v>
      </c>
      <c r="Z26" s="14" t="s">
        <v>76</v>
      </c>
      <c r="AA26" s="13">
        <v>955</v>
      </c>
    </row>
    <row r="27" spans="1:27" ht="15.75" x14ac:dyDescent="0.25">
      <c r="A27" s="21" t="s">
        <v>52</v>
      </c>
      <c r="B27" s="22">
        <f t="shared" si="1"/>
        <v>560</v>
      </c>
      <c r="C27" s="22">
        <v>230</v>
      </c>
      <c r="D27" s="22">
        <v>330</v>
      </c>
      <c r="E27" s="15" t="s">
        <v>53</v>
      </c>
      <c r="Z27" s="14" t="s">
        <v>73</v>
      </c>
      <c r="AA27" s="13">
        <v>948</v>
      </c>
    </row>
    <row r="28" spans="1:27" ht="15.75" x14ac:dyDescent="0.25">
      <c r="A28" s="21" t="s">
        <v>54</v>
      </c>
      <c r="B28" s="22">
        <f t="shared" si="1"/>
        <v>1193</v>
      </c>
      <c r="C28" s="22">
        <v>402</v>
      </c>
      <c r="D28" s="22">
        <v>791</v>
      </c>
      <c r="E28" s="15" t="s">
        <v>55</v>
      </c>
      <c r="Z28" s="14" t="s">
        <v>66</v>
      </c>
      <c r="AA28" s="13">
        <v>945</v>
      </c>
    </row>
    <row r="29" spans="1:27" ht="18.75" x14ac:dyDescent="0.25">
      <c r="A29" s="16" t="s">
        <v>56</v>
      </c>
      <c r="B29" s="17">
        <f t="shared" si="1"/>
        <v>2</v>
      </c>
      <c r="C29" s="17">
        <v>2</v>
      </c>
      <c r="D29" s="19">
        <v>0</v>
      </c>
      <c r="E29" s="18" t="s">
        <v>57</v>
      </c>
      <c r="Z29" s="14" t="s">
        <v>74</v>
      </c>
      <c r="AA29" s="13">
        <v>931</v>
      </c>
    </row>
    <row r="30" spans="1:27" ht="17.25" x14ac:dyDescent="0.25">
      <c r="A30" s="5" t="s">
        <v>7</v>
      </c>
      <c r="B30" s="7"/>
      <c r="C30" s="7"/>
      <c r="E30" s="2" t="s">
        <v>9</v>
      </c>
      <c r="Z30" s="14" t="s">
        <v>61</v>
      </c>
      <c r="AA30" s="13">
        <v>877</v>
      </c>
    </row>
    <row r="31" spans="1:27" x14ac:dyDescent="0.25">
      <c r="Z31" s="14" t="s">
        <v>64</v>
      </c>
      <c r="AA31" s="13">
        <v>857</v>
      </c>
    </row>
    <row r="32" spans="1:27" x14ac:dyDescent="0.25">
      <c r="Z32" s="14" t="s">
        <v>75</v>
      </c>
      <c r="AA32" s="13">
        <v>711</v>
      </c>
    </row>
    <row r="33" spans="26:28" x14ac:dyDescent="0.25">
      <c r="Z33" s="14" t="s">
        <v>68</v>
      </c>
      <c r="AA33" s="13">
        <v>663</v>
      </c>
    </row>
    <row r="34" spans="26:28" x14ac:dyDescent="0.25">
      <c r="Z34" s="14" t="s">
        <v>77</v>
      </c>
      <c r="AA34" s="13">
        <v>560</v>
      </c>
    </row>
    <row r="35" spans="26:28" x14ac:dyDescent="0.25">
      <c r="Z35" s="14" t="s">
        <v>65</v>
      </c>
      <c r="AA35" s="13">
        <v>530</v>
      </c>
    </row>
    <row r="36" spans="26:28" x14ac:dyDescent="0.25">
      <c r="Z36" s="14" t="s">
        <v>67</v>
      </c>
      <c r="AA36" s="13">
        <v>519</v>
      </c>
    </row>
    <row r="37" spans="26:28" x14ac:dyDescent="0.25">
      <c r="Z37" s="14" t="s">
        <v>70</v>
      </c>
      <c r="AA37" s="13">
        <v>503</v>
      </c>
    </row>
    <row r="38" spans="26:28" x14ac:dyDescent="0.25">
      <c r="Z38" s="14" t="s">
        <v>72</v>
      </c>
      <c r="AA38" s="13">
        <v>491</v>
      </c>
    </row>
    <row r="39" spans="26:28" x14ac:dyDescent="0.25">
      <c r="Z39" s="14" t="s">
        <v>71</v>
      </c>
      <c r="AA39" s="13">
        <v>476</v>
      </c>
    </row>
    <row r="40" spans="26:28" x14ac:dyDescent="0.25">
      <c r="Z40" s="14" t="s">
        <v>69</v>
      </c>
      <c r="AA40" s="13">
        <v>206</v>
      </c>
    </row>
    <row r="45" spans="26:28" x14ac:dyDescent="0.25">
      <c r="AA45" s="9" t="s">
        <v>2</v>
      </c>
      <c r="AB45" s="9" t="s">
        <v>3</v>
      </c>
    </row>
    <row r="46" spans="26:28" x14ac:dyDescent="0.25">
      <c r="Z46" s="14" t="s">
        <v>58</v>
      </c>
      <c r="AA46" s="13">
        <v>549</v>
      </c>
      <c r="AB46" s="13">
        <v>541</v>
      </c>
    </row>
    <row r="47" spans="26:28" s="24" customFormat="1" x14ac:dyDescent="0.25">
      <c r="Z47" s="14"/>
      <c r="AA47" s="13"/>
      <c r="AB47" s="13"/>
    </row>
    <row r="48" spans="26:28" x14ac:dyDescent="0.25">
      <c r="Z48" s="14" t="s">
        <v>59</v>
      </c>
      <c r="AA48" s="13">
        <v>655</v>
      </c>
      <c r="AB48" s="13">
        <v>693</v>
      </c>
    </row>
    <row r="49" spans="1:28" x14ac:dyDescent="0.25">
      <c r="Z49" s="14" t="s">
        <v>60</v>
      </c>
      <c r="AA49" s="13">
        <v>606</v>
      </c>
      <c r="AB49" s="13">
        <v>473</v>
      </c>
    </row>
    <row r="50" spans="1:28" x14ac:dyDescent="0.25">
      <c r="Z50" s="14" t="s">
        <v>61</v>
      </c>
      <c r="AA50" s="13">
        <v>436</v>
      </c>
      <c r="AB50" s="13">
        <v>441</v>
      </c>
    </row>
    <row r="51" spans="1:28" x14ac:dyDescent="0.25">
      <c r="Z51" s="14" t="s">
        <v>63</v>
      </c>
      <c r="AA51" s="13">
        <v>651</v>
      </c>
      <c r="AB51" s="13">
        <v>599</v>
      </c>
    </row>
    <row r="52" spans="1:28" x14ac:dyDescent="0.25">
      <c r="Z52" s="14" t="s">
        <v>64</v>
      </c>
      <c r="AA52" s="13">
        <v>411</v>
      </c>
      <c r="AB52" s="13">
        <v>446</v>
      </c>
    </row>
    <row r="53" spans="1:28" x14ac:dyDescent="0.25">
      <c r="A53" s="7"/>
      <c r="B53" s="7"/>
      <c r="Z53" s="14" t="s">
        <v>65</v>
      </c>
      <c r="AA53" s="13">
        <v>245</v>
      </c>
      <c r="AB53" s="13">
        <v>285</v>
      </c>
    </row>
    <row r="54" spans="1:28" x14ac:dyDescent="0.25">
      <c r="Z54" s="14" t="s">
        <v>66</v>
      </c>
      <c r="AA54" s="13">
        <v>407</v>
      </c>
      <c r="AB54" s="13">
        <v>538</v>
      </c>
    </row>
    <row r="55" spans="1:28" x14ac:dyDescent="0.25">
      <c r="Z55" s="14" t="s">
        <v>67</v>
      </c>
      <c r="AA55" s="13">
        <v>263</v>
      </c>
      <c r="AB55" s="13">
        <v>256</v>
      </c>
    </row>
    <row r="56" spans="1:28" x14ac:dyDescent="0.25">
      <c r="Z56" s="14" t="s">
        <v>68</v>
      </c>
      <c r="AA56" s="13">
        <v>313</v>
      </c>
      <c r="AB56" s="13">
        <v>350</v>
      </c>
    </row>
    <row r="57" spans="1:28" x14ac:dyDescent="0.25">
      <c r="A57" s="7"/>
      <c r="B57" s="7"/>
      <c r="Z57" s="14" t="s">
        <v>69</v>
      </c>
      <c r="AA57" s="13">
        <v>107</v>
      </c>
      <c r="AB57" s="13">
        <v>99</v>
      </c>
    </row>
    <row r="58" spans="1:28" x14ac:dyDescent="0.25">
      <c r="Z58" s="14" t="s">
        <v>70</v>
      </c>
      <c r="AA58" s="13">
        <v>263</v>
      </c>
      <c r="AB58" s="13">
        <v>240</v>
      </c>
    </row>
    <row r="59" spans="1:28" x14ac:dyDescent="0.25">
      <c r="Z59" s="14" t="s">
        <v>71</v>
      </c>
      <c r="AA59" s="13">
        <v>224</v>
      </c>
      <c r="AB59" s="13">
        <v>252</v>
      </c>
    </row>
    <row r="60" spans="1:28" x14ac:dyDescent="0.25">
      <c r="Z60" s="14" t="s">
        <v>72</v>
      </c>
      <c r="AA60" s="13">
        <v>236</v>
      </c>
      <c r="AB60" s="13">
        <v>255</v>
      </c>
    </row>
    <row r="61" spans="1:28" x14ac:dyDescent="0.25">
      <c r="Z61" s="14" t="s">
        <v>73</v>
      </c>
      <c r="AA61" s="13">
        <v>491</v>
      </c>
      <c r="AB61" s="13">
        <v>457</v>
      </c>
    </row>
    <row r="62" spans="1:28" x14ac:dyDescent="0.25">
      <c r="Z62" s="14" t="s">
        <v>74</v>
      </c>
      <c r="AA62" s="13">
        <v>462</v>
      </c>
      <c r="AB62" s="13">
        <v>469</v>
      </c>
    </row>
    <row r="63" spans="1:28" x14ac:dyDescent="0.25">
      <c r="Z63" s="14" t="s">
        <v>75</v>
      </c>
      <c r="AA63" s="13">
        <v>304</v>
      </c>
      <c r="AB63" s="13">
        <v>407</v>
      </c>
    </row>
    <row r="64" spans="1:28" x14ac:dyDescent="0.25">
      <c r="Z64" s="14" t="s">
        <v>76</v>
      </c>
      <c r="AA64" s="13">
        <v>451</v>
      </c>
      <c r="AB64" s="13">
        <v>504</v>
      </c>
    </row>
    <row r="65" spans="26:28" x14ac:dyDescent="0.25">
      <c r="Z65" s="14" t="s">
        <v>77</v>
      </c>
      <c r="AA65" s="13">
        <v>230</v>
      </c>
      <c r="AB65" s="13">
        <v>330</v>
      </c>
    </row>
    <row r="66" spans="26:28" x14ac:dyDescent="0.25">
      <c r="Z66" s="14" t="s">
        <v>62</v>
      </c>
      <c r="AA66" s="13">
        <v>402</v>
      </c>
      <c r="AB66" s="13">
        <v>791</v>
      </c>
    </row>
  </sheetData>
  <sortState ref="Z21:AA39">
    <sortCondition descending="1" ref="AA20"/>
  </sortState>
  <mergeCells count="4">
    <mergeCell ref="A1:E1"/>
    <mergeCell ref="A2:E2"/>
    <mergeCell ref="A4:A5"/>
    <mergeCell ref="E4:E5"/>
  </mergeCells>
  <conditionalFormatting sqref="B33">
    <cfRule type="duplicateValues" dxfId="8" priority="56"/>
  </conditionalFormatting>
  <conditionalFormatting sqref="B35">
    <cfRule type="duplicateValues" dxfId="7" priority="54"/>
  </conditionalFormatting>
  <conditionalFormatting sqref="B42">
    <cfRule type="duplicateValues" dxfId="6" priority="53"/>
  </conditionalFormatting>
  <conditionalFormatting sqref="B44">
    <cfRule type="duplicateValues" dxfId="5" priority="52"/>
  </conditionalFormatting>
  <conditionalFormatting sqref="B46:B50">
    <cfRule type="duplicateValues" dxfId="4" priority="51"/>
  </conditionalFormatting>
  <conditionalFormatting sqref="B52">
    <cfRule type="duplicateValues" dxfId="3" priority="50"/>
  </conditionalFormatting>
  <conditionalFormatting sqref="AA21:AA40">
    <cfRule type="duplicateValues" dxfId="2" priority="176"/>
  </conditionalFormatting>
  <conditionalFormatting sqref="B1 B4:B1048576">
    <cfRule type="duplicateValues" dxfId="1" priority="177"/>
  </conditionalFormatting>
  <conditionalFormatting sqref="B51 B34 B36:B41 B43 B45 B53:B1048576 B1 B4:B32">
    <cfRule type="duplicateValues" dxfId="0" priority="181"/>
  </conditionalFormatting>
  <pageMargins left="0.25" right="0.25" top="0.25" bottom="0.25" header="0.25" footer="0.25"/>
  <pageSetup paperSize="9" scale="80" orientation="portrait" r:id="rId1"/>
  <rowBreaks count="1" manualBreakCount="1">
    <brk id="47" max="4" man="1"/>
  </rowBreaks>
  <ignoredErrors>
    <ignoredError sqref="C8:D8" formulaRange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5.11</vt:lpstr>
      <vt:lpstr>'5.11'!Print_Area</vt:lpstr>
    </vt:vector>
  </TitlesOfParts>
  <Company>Department of National Planning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Fathmath Shifaza</cp:lastModifiedBy>
  <cp:lastPrinted>2015-11-29T07:35:01Z</cp:lastPrinted>
  <dcterms:created xsi:type="dcterms:W3CDTF">2013-03-26T05:45:33Z</dcterms:created>
  <dcterms:modified xsi:type="dcterms:W3CDTF">2015-11-29T07:36:07Z</dcterms:modified>
</cp:coreProperties>
</file>