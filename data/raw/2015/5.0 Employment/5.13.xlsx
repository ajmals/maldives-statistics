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13" sheetId="19" r:id="rId1"/>
  </sheets>
  <calcPr calcId="144525"/>
</workbook>
</file>

<file path=xl/calcChain.xml><?xml version="1.0" encoding="utf-8"?>
<calcChain xmlns="http://schemas.openxmlformats.org/spreadsheetml/2006/main">
  <c r="J13" i="19" l="1"/>
  <c r="F13" i="19"/>
  <c r="D13" i="19"/>
  <c r="C13" i="19"/>
  <c r="J12" i="19"/>
  <c r="F12" i="19"/>
  <c r="B12" i="19" s="1"/>
  <c r="D12" i="19"/>
  <c r="C12" i="19"/>
  <c r="J11" i="19"/>
  <c r="F11" i="19"/>
  <c r="B11" i="19" s="1"/>
  <c r="D11" i="19"/>
  <c r="C11" i="19"/>
  <c r="J10" i="19"/>
  <c r="F10" i="19"/>
  <c r="F9" i="19" s="1"/>
  <c r="D10" i="19"/>
  <c r="D9" i="19" s="1"/>
  <c r="C10" i="19"/>
  <c r="C9" i="19" s="1"/>
  <c r="B10" i="19"/>
  <c r="L9" i="19"/>
  <c r="K9" i="19"/>
  <c r="H9" i="19"/>
  <c r="G9" i="19"/>
  <c r="B13" i="19" l="1"/>
  <c r="J9" i="19"/>
  <c r="B9" i="19"/>
</calcChain>
</file>

<file path=xl/sharedStrings.xml><?xml version="1.0" encoding="utf-8"?>
<sst xmlns="http://schemas.openxmlformats.org/spreadsheetml/2006/main" count="40" uniqueCount="28">
  <si>
    <t>Total</t>
  </si>
  <si>
    <t>Republic</t>
  </si>
  <si>
    <t>Male'</t>
  </si>
  <si>
    <t>Atolls</t>
  </si>
  <si>
    <t>ޖުމްލަ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</si>
  <si>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</si>
  <si>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</si>
  <si>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</si>
  <si>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</si>
  <si>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</si>
  <si>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</si>
  <si>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</si>
  <si>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</si>
  <si>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</si>
  <si>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</si>
  <si>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</si>
  <si>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9,999 - 5,000</t>
  </si>
  <si>
    <t>14,999 - 10,000</t>
  </si>
  <si>
    <t>މުސާރަ (ރުފިޔާއިން)</t>
  </si>
  <si>
    <t>Salary Range (in MVR)</t>
  </si>
  <si>
    <t>Less than 5,000</t>
  </si>
  <si>
    <t xml:space="preserve">5،000އަށް ވުރެ ދަށް  </t>
  </si>
  <si>
    <t>5,000 - 9,999</t>
  </si>
  <si>
    <t>10,000 - 14,999</t>
  </si>
  <si>
    <t>15,000 and above</t>
  </si>
  <si>
    <t xml:space="preserve">15،000އާއި އެއަށްވުރެ މަތި </t>
  </si>
  <si>
    <t>Table 5.13: CIVIL SERVANTS CLASSIFIED BY  SALARY, SEX AND LOCALITY,  2014</t>
  </si>
  <si>
    <t>ތާވަލު 5.13: ސިވިލް ސަރވަންޓުން މަޤާމުތައް ކްލެސިފައިކުރެވިފައިވާ ގޮތް މުސާރަ އަދި ޖިންސް،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</si>
</sst>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name val="Farum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171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13" fillId="0" borderId="0"/>
  </cellStyleXfs>
  <cellXfs count="52">
    <xf numFmtId="0" fontId="0" fillId="0" borderId="0" xfId="0"/>
    <xf numFmtId="0" fontId="0" fillId="2" borderId="0" xfId="0" applyFill="1"/>
    <xf numFmtId="3" fontId="4" fillId="2" borderId="0" xfId="1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4" xfId="5" applyFont="1" applyFill="1" applyBorder="1"/>
    <xf numFmtId="0" fontId="5" fillId="2" borderId="1" xfId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readingOrder="2"/>
    </xf>
    <xf numFmtId="3" fontId="0" fillId="2" borderId="0" xfId="0" applyNumberFormat="1" applyFill="1"/>
    <xf numFmtId="0" fontId="0" fillId="2" borderId="0" xfId="0" applyFill="1" applyBorder="1" applyAlignment="1"/>
    <xf numFmtId="0" fontId="15" fillId="2" borderId="0" xfId="0" applyFont="1" applyFill="1"/>
    <xf numFmtId="0" fontId="0" fillId="2" borderId="3" xfId="0" applyFill="1" applyBorder="1"/>
    <xf numFmtId="0" fontId="0" fillId="2" borderId="1" xfId="0" applyFill="1" applyBorder="1"/>
    <xf numFmtId="0" fontId="6" fillId="2" borderId="7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readingOrder="2"/>
    </xf>
    <xf numFmtId="0" fontId="5" fillId="2" borderId="9" xfId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3" fontId="14" fillId="2" borderId="0" xfId="0" applyNumberFormat="1" applyFont="1" applyFill="1" applyBorder="1" applyAlignment="1">
      <alignment horizontal="right"/>
    </xf>
    <xf numFmtId="0" fontId="14" fillId="2" borderId="0" xfId="0" applyFont="1" applyFill="1" applyBorder="1" applyAlignment="1">
      <alignment horizontal="right" indent="1"/>
    </xf>
    <xf numFmtId="3" fontId="14" fillId="2" borderId="3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right" indent="1"/>
    </xf>
    <xf numFmtId="0" fontId="6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3" fontId="1" fillId="2" borderId="0" xfId="0" applyNumberFormat="1" applyFont="1" applyFill="1" applyBorder="1" applyAlignment="1"/>
    <xf numFmtId="0" fontId="0" fillId="2" borderId="3" xfId="0" applyFill="1" applyBorder="1" applyAlignment="1"/>
    <xf numFmtId="3" fontId="6" fillId="2" borderId="0" xfId="0" applyNumberFormat="1" applyFont="1" applyFill="1" applyBorder="1" applyAlignment="1">
      <alignment horizontal="right" readingOrder="2"/>
    </xf>
    <xf numFmtId="3" fontId="6" fillId="2" borderId="10" xfId="0" applyNumberFormat="1" applyFont="1" applyFill="1" applyBorder="1" applyAlignment="1">
      <alignment horizontal="right" readingOrder="2"/>
    </xf>
    <xf numFmtId="3" fontId="6" fillId="2" borderId="7" xfId="0" applyNumberFormat="1" applyFont="1" applyFill="1" applyBorder="1" applyAlignment="1">
      <alignment horizontal="right" readingOrder="2"/>
    </xf>
    <xf numFmtId="3" fontId="0" fillId="2" borderId="0" xfId="0" applyNumberFormat="1" applyFill="1" applyBorder="1" applyAlignment="1"/>
    <xf numFmtId="0" fontId="0" fillId="2" borderId="10" xfId="0" applyFill="1" applyBorder="1" applyAlignment="1"/>
    <xf numFmtId="3" fontId="0" fillId="2" borderId="7" xfId="0" applyNumberFormat="1" applyFill="1" applyBorder="1" applyAlignment="1"/>
    <xf numFmtId="0" fontId="0" fillId="2" borderId="7" xfId="0" applyFill="1" applyBorder="1" applyAlignment="1"/>
    <xf numFmtId="3" fontId="1" fillId="2" borderId="3" xfId="0" applyNumberFormat="1" applyFont="1" applyFill="1" applyBorder="1" applyAlignment="1"/>
    <xf numFmtId="3" fontId="0" fillId="2" borderId="3" xfId="0" applyNumberFormat="1" applyFill="1" applyBorder="1" applyAlignment="1"/>
    <xf numFmtId="0" fontId="0" fillId="2" borderId="12" xfId="0" applyFill="1" applyBorder="1" applyAlignment="1"/>
    <xf numFmtId="0" fontId="0" fillId="2" borderId="5" xfId="0" applyFill="1" applyBorder="1" applyAlignment="1"/>
    <xf numFmtId="0" fontId="11" fillId="2" borderId="0" xfId="0" applyFont="1" applyFill="1" applyAlignment="1">
      <alignment horizontal="center"/>
    </xf>
    <xf numFmtId="0" fontId="5" fillId="2" borderId="1" xfId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7">
    <cellStyle name="Comma 3" xfId="2"/>
    <cellStyle name="Normal" xfId="0" builtinId="0"/>
    <cellStyle name="Normal 2" xfId="3"/>
    <cellStyle name="Normal 4" xfId="6"/>
    <cellStyle name="Normal_II-16(Populaion)" xfId="1"/>
    <cellStyle name="Normal_po" xfId="5"/>
    <cellStyle name="Percent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'5.13'!$C$7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'5.13'!$A$10:$A$13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'5.13'!$C$10:$C$13</c:f>
              <c:numCache>
                <c:formatCode>#,##0</c:formatCode>
                <c:ptCount val="4"/>
                <c:pt idx="0">
                  <c:v>4994</c:v>
                </c:pt>
                <c:pt idx="1">
                  <c:v>6184</c:v>
                </c:pt>
                <c:pt idx="2">
                  <c:v>251</c:v>
                </c:pt>
                <c:pt idx="3">
                  <c:v>118</c:v>
                </c:pt>
              </c:numCache>
            </c:numRef>
          </c:val>
        </c:ser>
        <c:ser>
          <c:idx val="1"/>
          <c:order val="1"/>
          <c:tx>
            <c:strRef>
              <c:f>'5.13'!$D$7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'5.13'!$A$10:$A$13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'5.13'!$D$10:$D$13</c:f>
              <c:numCache>
                <c:formatCode>#,##0</c:formatCode>
                <c:ptCount val="4"/>
                <c:pt idx="0">
                  <c:v>5145</c:v>
                </c:pt>
                <c:pt idx="1">
                  <c:v>8015</c:v>
                </c:pt>
                <c:pt idx="2">
                  <c:v>104</c:v>
                </c:pt>
                <c:pt idx="3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22976"/>
        <c:axId val="110629248"/>
      </c:barChart>
      <c:catAx>
        <c:axId val="11062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10629248"/>
        <c:crosses val="autoZero"/>
        <c:auto val="1"/>
        <c:lblAlgn val="ctr"/>
        <c:lblOffset val="100"/>
        <c:noMultiLvlLbl val="0"/>
      </c:catAx>
      <c:valAx>
        <c:axId val="110629248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0020569909269571E-2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1062297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808973452387177"/>
          <c:y val="0.26383820129786312"/>
          <c:w val="0.2272821874741834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/>
        <xdr:cNvSpPr txBox="1"/>
      </xdr:nvSpPr>
      <xdr:spPr>
        <a:xfrm>
          <a:off x="2505074" y="370712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5.8: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2014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474344</xdr:colOff>
      <xdr:row>17</xdr:row>
      <xdr:rowOff>104775</xdr:rowOff>
    </xdr:from>
    <xdr:to>
      <xdr:col>12</xdr:col>
      <xdr:colOff>657224</xdr:colOff>
      <xdr:row>17</xdr:row>
      <xdr:rowOff>118109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531744" y="3924300"/>
          <a:ext cx="5012055" cy="13334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5"/>
  <sheetViews>
    <sheetView tabSelected="1" workbookViewId="0">
      <selection activeCell="Q23" sqref="Q23"/>
    </sheetView>
  </sheetViews>
  <sheetFormatPr defaultColWidth="8.85546875" defaultRowHeight="15" x14ac:dyDescent="0.25"/>
  <cols>
    <col min="1" max="1" width="22" style="1" customWidth="1"/>
    <col min="2" max="4" width="8.85546875" style="1"/>
    <col min="5" max="5" width="0.5703125" style="1" customWidth="1"/>
    <col min="6" max="8" width="8.85546875" style="1"/>
    <col min="9" max="9" width="1" style="1" customWidth="1"/>
    <col min="10" max="12" width="8.85546875" style="1"/>
    <col min="13" max="13" width="29.28515625" style="1" customWidth="1"/>
    <col min="14" max="16384" width="8.85546875" style="1"/>
  </cols>
  <sheetData>
    <row r="2" spans="1:14" ht="21" x14ac:dyDescent="0.55000000000000004">
      <c r="A2" s="42" t="s">
        <v>27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4" x14ac:dyDescent="0.25">
      <c r="A3" s="51" t="s">
        <v>26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13"/>
    </row>
    <row r="5" spans="1:14" ht="18.75" x14ac:dyDescent="0.25">
      <c r="A5" s="15"/>
      <c r="B5" s="43" t="s">
        <v>10</v>
      </c>
      <c r="C5" s="43"/>
      <c r="D5" s="43"/>
      <c r="E5" s="18"/>
      <c r="F5" s="43" t="s">
        <v>9</v>
      </c>
      <c r="G5" s="43"/>
      <c r="H5" s="47"/>
      <c r="I5" s="9"/>
      <c r="J5" s="43" t="s">
        <v>11</v>
      </c>
      <c r="K5" s="43"/>
      <c r="L5" s="43"/>
      <c r="M5" s="48" t="s">
        <v>18</v>
      </c>
    </row>
    <row r="6" spans="1:14" x14ac:dyDescent="0.25">
      <c r="A6" s="4" t="s">
        <v>19</v>
      </c>
      <c r="B6" s="44" t="s">
        <v>1</v>
      </c>
      <c r="C6" s="44"/>
      <c r="D6" s="44"/>
      <c r="E6" s="19"/>
      <c r="F6" s="45" t="s">
        <v>2</v>
      </c>
      <c r="G6" s="45"/>
      <c r="H6" s="46"/>
      <c r="I6" s="28"/>
      <c r="J6" s="45" t="s">
        <v>3</v>
      </c>
      <c r="K6" s="45"/>
      <c r="L6" s="45"/>
      <c r="M6" s="49"/>
    </row>
    <row r="7" spans="1:14" x14ac:dyDescent="0.25">
      <c r="A7" s="3"/>
      <c r="B7" s="7" t="s">
        <v>12</v>
      </c>
      <c r="C7" s="7" t="s">
        <v>7</v>
      </c>
      <c r="D7" s="7" t="s">
        <v>8</v>
      </c>
      <c r="E7" s="20"/>
      <c r="F7" s="7" t="s">
        <v>12</v>
      </c>
      <c r="G7" s="7" t="s">
        <v>7</v>
      </c>
      <c r="H7" s="16" t="s">
        <v>8</v>
      </c>
      <c r="I7" s="26"/>
      <c r="J7" s="7" t="s">
        <v>12</v>
      </c>
      <c r="K7" s="7" t="s">
        <v>7</v>
      </c>
      <c r="L7" s="7" t="s">
        <v>8</v>
      </c>
      <c r="M7" s="49"/>
    </row>
    <row r="8" spans="1:14" ht="18.75" x14ac:dyDescent="0.5">
      <c r="A8" s="14"/>
      <c r="B8" s="10" t="s">
        <v>14</v>
      </c>
      <c r="C8" s="10" t="s">
        <v>5</v>
      </c>
      <c r="D8" s="10" t="s">
        <v>6</v>
      </c>
      <c r="E8" s="21"/>
      <c r="F8" s="10" t="s">
        <v>14</v>
      </c>
      <c r="G8" s="10" t="s">
        <v>5</v>
      </c>
      <c r="H8" s="17" t="s">
        <v>6</v>
      </c>
      <c r="I8" s="27"/>
      <c r="J8" s="10" t="s">
        <v>14</v>
      </c>
      <c r="K8" s="10" t="s">
        <v>5</v>
      </c>
      <c r="L8" s="10" t="s">
        <v>6</v>
      </c>
      <c r="M8" s="50"/>
    </row>
    <row r="9" spans="1:14" ht="21" x14ac:dyDescent="0.55000000000000004">
      <c r="A9" s="6" t="s">
        <v>0</v>
      </c>
      <c r="B9" s="31">
        <f>SUM(B10:B13)</f>
        <v>24883</v>
      </c>
      <c r="C9" s="31">
        <f>SUM(C10:C13)</f>
        <v>11547</v>
      </c>
      <c r="D9" s="31">
        <f>SUM(D10:D13)</f>
        <v>13336</v>
      </c>
      <c r="E9" s="32"/>
      <c r="F9" s="31">
        <f>SUM(F10:F13)</f>
        <v>8749</v>
      </c>
      <c r="G9" s="31">
        <f>SUM(G10:G13)</f>
        <v>3839</v>
      </c>
      <c r="H9" s="33">
        <f>SUM(H10:H13)</f>
        <v>4910</v>
      </c>
      <c r="I9" s="31"/>
      <c r="J9" s="31">
        <f>SUM(J10:J13)</f>
        <v>16134</v>
      </c>
      <c r="K9" s="31">
        <f>SUM(K10:K13)</f>
        <v>7708</v>
      </c>
      <c r="L9" s="31">
        <f>SUM(L10:L13)</f>
        <v>8426</v>
      </c>
      <c r="M9" s="25" t="s">
        <v>4</v>
      </c>
    </row>
    <row r="10" spans="1:14" ht="21" x14ac:dyDescent="0.55000000000000004">
      <c r="A10" s="3" t="s">
        <v>20</v>
      </c>
      <c r="B10" s="29">
        <f t="shared" ref="B10:D13" si="0">F10+J10</f>
        <v>10139</v>
      </c>
      <c r="C10" s="34">
        <f t="shared" si="0"/>
        <v>4994</v>
      </c>
      <c r="D10" s="34">
        <f t="shared" si="0"/>
        <v>5145</v>
      </c>
      <c r="E10" s="35"/>
      <c r="F10" s="29">
        <f>G10+H10</f>
        <v>3079</v>
      </c>
      <c r="G10" s="34">
        <v>1576</v>
      </c>
      <c r="H10" s="36">
        <v>1503</v>
      </c>
      <c r="I10" s="34"/>
      <c r="J10" s="29">
        <f>K10+L10</f>
        <v>7060</v>
      </c>
      <c r="K10" s="12">
        <v>3418</v>
      </c>
      <c r="L10" s="34">
        <v>3642</v>
      </c>
      <c r="M10" s="22" t="s">
        <v>21</v>
      </c>
    </row>
    <row r="11" spans="1:14" ht="21" x14ac:dyDescent="0.55000000000000004">
      <c r="A11" s="3" t="s">
        <v>22</v>
      </c>
      <c r="B11" s="29">
        <f t="shared" si="0"/>
        <v>14199</v>
      </c>
      <c r="C11" s="34">
        <f t="shared" si="0"/>
        <v>6184</v>
      </c>
      <c r="D11" s="34">
        <f t="shared" si="0"/>
        <v>8015</v>
      </c>
      <c r="E11" s="35"/>
      <c r="F11" s="29">
        <f>G11+H11</f>
        <v>5232</v>
      </c>
      <c r="G11" s="34">
        <v>1988</v>
      </c>
      <c r="H11" s="36">
        <v>3244</v>
      </c>
      <c r="I11" s="34"/>
      <c r="J11" s="29">
        <f>K11+L11</f>
        <v>8967</v>
      </c>
      <c r="K11" s="12">
        <v>4196</v>
      </c>
      <c r="L11" s="34">
        <v>4771</v>
      </c>
      <c r="M11" s="23" t="s">
        <v>16</v>
      </c>
    </row>
    <row r="12" spans="1:14" ht="21" x14ac:dyDescent="0.55000000000000004">
      <c r="A12" s="3" t="s">
        <v>23</v>
      </c>
      <c r="B12" s="29">
        <f t="shared" si="0"/>
        <v>355</v>
      </c>
      <c r="C12" s="34">
        <f t="shared" si="0"/>
        <v>251</v>
      </c>
      <c r="D12" s="34">
        <f t="shared" si="0"/>
        <v>104</v>
      </c>
      <c r="E12" s="35"/>
      <c r="F12" s="29">
        <f>G12+H12</f>
        <v>265</v>
      </c>
      <c r="G12" s="12">
        <v>167</v>
      </c>
      <c r="H12" s="37">
        <v>98</v>
      </c>
      <c r="I12" s="12"/>
      <c r="J12" s="29">
        <f>K12+L12</f>
        <v>90</v>
      </c>
      <c r="K12" s="12">
        <v>84</v>
      </c>
      <c r="L12" s="12">
        <v>6</v>
      </c>
      <c r="M12" s="23" t="s">
        <v>17</v>
      </c>
    </row>
    <row r="13" spans="1:14" ht="21" x14ac:dyDescent="0.55000000000000004">
      <c r="A13" s="14" t="s">
        <v>24</v>
      </c>
      <c r="B13" s="38">
        <f t="shared" si="0"/>
        <v>190</v>
      </c>
      <c r="C13" s="39">
        <f t="shared" si="0"/>
        <v>118</v>
      </c>
      <c r="D13" s="39">
        <f t="shared" si="0"/>
        <v>72</v>
      </c>
      <c r="E13" s="40"/>
      <c r="F13" s="38">
        <f>G13+H13</f>
        <v>173</v>
      </c>
      <c r="G13" s="30">
        <v>108</v>
      </c>
      <c r="H13" s="41">
        <v>65</v>
      </c>
      <c r="I13" s="30"/>
      <c r="J13" s="38">
        <f>K13+L13</f>
        <v>17</v>
      </c>
      <c r="K13" s="30">
        <v>10</v>
      </c>
      <c r="L13" s="30">
        <v>7</v>
      </c>
      <c r="M13" s="24" t="s">
        <v>25</v>
      </c>
    </row>
    <row r="14" spans="1:14" ht="17.25" x14ac:dyDescent="0.25">
      <c r="A14" s="8" t="s">
        <v>13</v>
      </c>
      <c r="F14" s="5"/>
      <c r="M14" s="2" t="s">
        <v>15</v>
      </c>
    </row>
    <row r="15" spans="1:14" x14ac:dyDescent="0.25">
      <c r="K15" s="11"/>
    </row>
    <row r="29" ht="19.899999999999999" customHeight="1" x14ac:dyDescent="0.25"/>
    <row r="30" ht="19.899999999999999" customHeight="1" x14ac:dyDescent="0.25"/>
    <row r="31" ht="19.899999999999999" customHeight="1" x14ac:dyDescent="0.25"/>
    <row r="32" ht="19.899999999999999" customHeight="1" x14ac:dyDescent="0.25"/>
    <row r="33" ht="19.899999999999999" customHeight="1" x14ac:dyDescent="0.25"/>
    <row r="34" ht="19.899999999999999" customHeight="1" x14ac:dyDescent="0.25"/>
    <row r="42" ht="18.600000000000001" customHeight="1" x14ac:dyDescent="0.25"/>
    <row r="43" ht="14.45" customHeight="1" x14ac:dyDescent="0.25"/>
    <row r="44" ht="14.45" customHeight="1" x14ac:dyDescent="0.25"/>
    <row r="45" ht="18.600000000000001" customHeight="1" x14ac:dyDescent="0.25"/>
  </sheetData>
  <mergeCells count="9">
    <mergeCell ref="M5:M8"/>
    <mergeCell ref="A2:M2"/>
    <mergeCell ref="A3:M3"/>
    <mergeCell ref="B5:D5"/>
    <mergeCell ref="F5:H5"/>
    <mergeCell ref="J5:L5"/>
    <mergeCell ref="B6:D6"/>
    <mergeCell ref="F6:H6"/>
    <mergeCell ref="J6:L6"/>
  </mergeCells>
  <pageMargins left="0.18" right="0.5" top="0.36" bottom="0.17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5.13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2015-10-15T03:58:30Z</cp:lastPrinted>
  <dcterms:created xsi:type="dcterms:W3CDTF">2013-03-26T05:45:33Z</dcterms:created>
  <dcterms:modified xsi:type="dcterms:W3CDTF">2015-11-26T07:34:13Z</dcterms:modified>
</cp:coreProperties>
</file>