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9165" windowHeight="4365" tabRatio="811"/>
  </bookViews>
  <sheets>
    <sheet name="5.16" sheetId="25" r:id="rId1"/>
  </sheets>
  <definedNames>
    <definedName name="_xlnm.Print_Area" localSheetId="0">'5.16'!$A$1:$H$45</definedName>
  </definedNames>
  <calcPr calcId="144525"/>
</workbook>
</file>

<file path=xl/calcChain.xml><?xml version="1.0" encoding="utf-8"?>
<calcChain xmlns="http://schemas.openxmlformats.org/spreadsheetml/2006/main">
  <c r="B28" i="25" l="1"/>
  <c r="B27" i="25"/>
  <c r="B26" i="25"/>
  <c r="B25" i="25"/>
  <c r="B24" i="25"/>
  <c r="B23" i="25"/>
  <c r="B22" i="25"/>
  <c r="B21" i="25"/>
  <c r="B20" i="25"/>
  <c r="B19" i="25"/>
  <c r="B18" i="25"/>
  <c r="B17" i="25"/>
  <c r="B16" i="25"/>
  <c r="B15" i="25"/>
  <c r="B14" i="25"/>
  <c r="B13" i="25"/>
  <c r="B12" i="25"/>
  <c r="B11" i="25"/>
  <c r="B10" i="25"/>
  <c r="B9" i="25"/>
  <c r="B8" i="25"/>
  <c r="H7" i="25"/>
  <c r="H5" i="25" s="1"/>
  <c r="G7" i="25"/>
  <c r="G5" i="25" s="1"/>
  <c r="F7" i="25"/>
  <c r="F5" i="25" s="1"/>
  <c r="E7" i="25"/>
  <c r="E5" i="25" s="1"/>
  <c r="D7" i="25"/>
  <c r="D5" i="25" s="1"/>
  <c r="C7" i="25"/>
  <c r="C5" i="25" s="1"/>
  <c r="B6" i="25"/>
  <c r="B5" i="25" l="1"/>
  <c r="B7" i="25"/>
</calcChain>
</file>

<file path=xl/sharedStrings.xml><?xml version="1.0" encoding="utf-8"?>
<sst xmlns="http://schemas.openxmlformats.org/spreadsheetml/2006/main" count="44" uniqueCount="36">
  <si>
    <t>Total</t>
  </si>
  <si>
    <t>Source: Civil Service Commision</t>
  </si>
  <si>
    <t>މަޢުލޫމާތު ދެއްވި ފަރާތް: ސިވިލް ސަރވިސް ކޮމިޝަން</t>
  </si>
  <si>
    <t>MALE'</t>
  </si>
  <si>
    <t>REPUBLIC</t>
  </si>
  <si>
    <t>All ATOLL</t>
  </si>
  <si>
    <t xml:space="preserve"> North Thiladhunmathi (HA)</t>
  </si>
  <si>
    <t xml:space="preserve"> South Thiladhunmathi (HDh)</t>
  </si>
  <si>
    <t xml:space="preserve"> North Miladhunmadulu (Sh)</t>
  </si>
  <si>
    <t xml:space="preserve"> South Miladhunmadulu (N)</t>
  </si>
  <si>
    <t xml:space="preserve"> North Maalhosmadulu (R)</t>
  </si>
  <si>
    <t xml:space="preserve"> South Maalhosmadulu (B)</t>
  </si>
  <si>
    <t xml:space="preserve"> Faadhippolhu (Lh)</t>
  </si>
  <si>
    <t xml:space="preserve"> Male' Atoll (K)</t>
  </si>
  <si>
    <t xml:space="preserve"> North Ari Atoll (AA)</t>
  </si>
  <si>
    <t xml:space="preserve"> South Ari Atoll (ADh)</t>
  </si>
  <si>
    <t xml:space="preserve"> Felidhu Atoll (V)</t>
  </si>
  <si>
    <t xml:space="preserve"> Mulakatholhu (M)</t>
  </si>
  <si>
    <t xml:space="preserve"> North Nilandhe Atoll (F)</t>
  </si>
  <si>
    <t xml:space="preserve"> South Nilandhe Atoll (D)</t>
  </si>
  <si>
    <t xml:space="preserve"> Kolhumadulu (Th)</t>
  </si>
  <si>
    <t xml:space="preserve"> Hadhdhunmathi (L)</t>
  </si>
  <si>
    <t xml:space="preserve"> North Huvadhu Atoll (GA)</t>
  </si>
  <si>
    <t xml:space="preserve"> South Huvadhu Atoll (GDh)</t>
  </si>
  <si>
    <t xml:space="preserve"> Fuvahmulah (Gn)</t>
  </si>
  <si>
    <t xml:space="preserve"> Addu Atoll (S)</t>
  </si>
  <si>
    <t>Abroad</t>
  </si>
  <si>
    <t>Schools</t>
  </si>
  <si>
    <t>Hospitals</t>
  </si>
  <si>
    <t>Atoll Councils</t>
  </si>
  <si>
    <t>Island Councils</t>
  </si>
  <si>
    <t>Government Ministries</t>
  </si>
  <si>
    <t>other offices</t>
  </si>
  <si>
    <t>Table 5.16: Civil Servants Classified by sector, 2014</t>
  </si>
  <si>
    <t>ތާވަލު 5.16: ވަޒީފާ އަދާކުރާ ދާއިރާގެ ގޮތުން ސިވިލް ސަރވަންޓުން ބެހިފައިވާ ގޮތް، 2014</t>
  </si>
  <si>
    <t xml:space="preserve"> ATOLL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</si>
</sst>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9"/>
      <name val="Faruma"/>
    </font>
    <font>
      <i/>
      <sz val="9"/>
      <name val="Calibri"/>
      <family val="2"/>
      <scheme val="minor"/>
    </font>
    <font>
      <b/>
      <sz val="11"/>
      <color theme="1"/>
      <name val="Faruma"/>
    </font>
    <font>
      <sz val="10"/>
      <name val="MS Sans Serif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0" fontId="3" fillId="0" borderId="0"/>
    <xf numFmtId="9" fontId="4" fillId="0" borderId="0" applyFont="0" applyFill="0" applyBorder="0" applyAlignment="0" applyProtection="0"/>
    <xf numFmtId="0" fontId="3" fillId="0" borderId="0"/>
    <xf numFmtId="0" fontId="9" fillId="0" borderId="0"/>
    <xf numFmtId="0" fontId="3" fillId="0" borderId="0"/>
  </cellStyleXfs>
  <cellXfs count="38">
    <xf numFmtId="0" fontId="0" fillId="0" borderId="0" xfId="0"/>
    <xf numFmtId="0" fontId="0" fillId="2" borderId="0" xfId="0" applyFill="1"/>
    <xf numFmtId="3" fontId="6" fillId="2" borderId="0" xfId="2" applyNumberFormat="1" applyFont="1" applyFill="1" applyBorder="1" applyAlignment="1" applyProtection="1">
      <alignment horizontal="right" vertical="center"/>
    </xf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0" fillId="2" borderId="0" xfId="0" applyFont="1" applyFill="1"/>
    <xf numFmtId="0" fontId="2" fillId="2" borderId="0" xfId="0" applyFont="1" applyFill="1" applyAlignment="1">
      <alignment horizontal="left" indent="1"/>
    </xf>
    <xf numFmtId="0" fontId="2" fillId="2" borderId="2" xfId="0" applyFont="1" applyFill="1" applyBorder="1" applyAlignment="1">
      <alignment horizontal="left" indent="1"/>
    </xf>
    <xf numFmtId="0" fontId="0" fillId="2" borderId="3" xfId="0" applyFill="1" applyBorder="1"/>
    <xf numFmtId="0" fontId="0" fillId="2" borderId="0" xfId="0" applyFill="1" applyAlignment="1">
      <alignment horizontal="center" vertical="center" wrapText="1"/>
    </xf>
    <xf numFmtId="0" fontId="2" fillId="2" borderId="0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 wrapText="1"/>
    </xf>
    <xf numFmtId="0" fontId="10" fillId="2" borderId="0" xfId="0" applyFont="1" applyFill="1"/>
    <xf numFmtId="0" fontId="5" fillId="2" borderId="4" xfId="8" applyFont="1" applyFill="1" applyBorder="1" applyAlignment="1" applyProtection="1">
      <alignment horizontal="left" vertical="center" indent="2"/>
    </xf>
    <xf numFmtId="0" fontId="0" fillId="2" borderId="0" xfId="0" applyFill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/>
    </xf>
    <xf numFmtId="164" fontId="2" fillId="2" borderId="1" xfId="1" applyNumberFormat="1" applyFont="1" applyFill="1" applyBorder="1" applyAlignment="1">
      <alignment vertical="center" wrapText="1"/>
    </xf>
    <xf numFmtId="164" fontId="0" fillId="2" borderId="0" xfId="1" applyNumberFormat="1" applyFont="1" applyFill="1" applyBorder="1" applyAlignment="1">
      <alignment vertical="center"/>
    </xf>
    <xf numFmtId="164" fontId="2" fillId="2" borderId="0" xfId="1" applyNumberFormat="1" applyFont="1" applyFill="1" applyBorder="1" applyAlignment="1">
      <alignment vertical="center" wrapText="1"/>
    </xf>
    <xf numFmtId="164" fontId="0" fillId="2" borderId="0" xfId="1" applyNumberFormat="1" applyFont="1" applyFill="1" applyBorder="1" applyAlignment="1">
      <alignment vertical="center" wrapText="1"/>
    </xf>
    <xf numFmtId="164" fontId="1" fillId="2" borderId="0" xfId="1" applyNumberFormat="1" applyFont="1" applyFill="1" applyBorder="1" applyAlignment="1">
      <alignment vertical="center"/>
    </xf>
    <xf numFmtId="164" fontId="0" fillId="2" borderId="2" xfId="1" applyNumberFormat="1" applyFont="1" applyFill="1" applyBorder="1" applyAlignment="1">
      <alignment vertical="center"/>
    </xf>
    <xf numFmtId="164" fontId="0" fillId="2" borderId="2" xfId="1" applyNumberFormat="1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2" fillId="2" borderId="0" xfId="0" applyFont="1" applyFill="1" applyBorder="1" applyAlignment="1">
      <alignment horizontal="left" indent="1"/>
    </xf>
    <xf numFmtId="0" fontId="5" fillId="2" borderId="0" xfId="8" applyFont="1" applyFill="1" applyBorder="1" applyAlignment="1" applyProtection="1">
      <alignment horizontal="left" vertical="center" indent="2"/>
    </xf>
    <xf numFmtId="0" fontId="7" fillId="2" borderId="5" xfId="6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</cellXfs>
  <cellStyles count="9">
    <cellStyle name="Comma" xfId="1" builtinId="3"/>
    <cellStyle name="Comma 3" xfId="3"/>
    <cellStyle name="Normal" xfId="0" builtinId="0"/>
    <cellStyle name="Normal 2" xfId="4"/>
    <cellStyle name="Normal 4" xfId="7"/>
    <cellStyle name="Normal_II-16(Populaion)" xfId="2"/>
    <cellStyle name="Normal_immunization" xfId="8"/>
    <cellStyle name="Normal_po" xfId="6"/>
    <cellStyle name="Percent 3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262573597219266E-2"/>
          <c:y val="0.17527656026859695"/>
          <c:w val="0.89400794495282687"/>
          <c:h val="0.6087429611293394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'5.16'!$V$40</c:f>
              <c:strCache>
                <c:ptCount val="1"/>
                <c:pt idx="0">
                  <c:v> ATOLL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'5.16'!$W$38:$AC$38</c:f>
              <c:strCache>
                <c:ptCount val="7"/>
                <c:pt idx="0">
                  <c:v>Total</c:v>
                </c:pt>
                <c:pt idx="1">
                  <c:v>Schools</c:v>
                </c:pt>
                <c:pt idx="2">
                  <c:v>Hospitals</c:v>
                </c:pt>
                <c:pt idx="3">
                  <c:v>Atoll Councils</c:v>
                </c:pt>
                <c:pt idx="4">
                  <c:v>Island Councils</c:v>
                </c:pt>
                <c:pt idx="5">
                  <c:v>Government Ministries</c:v>
                </c:pt>
                <c:pt idx="6">
                  <c:v>other offices</c:v>
                </c:pt>
              </c:strCache>
            </c:strRef>
          </c:cat>
          <c:val>
            <c:numRef>
              <c:f>'5.16'!$W$40:$AC$40</c:f>
              <c:numCache>
                <c:formatCode>General</c:formatCode>
                <c:ptCount val="7"/>
                <c:pt idx="0">
                  <c:v>16134</c:v>
                </c:pt>
                <c:pt idx="1">
                  <c:v>6160</c:v>
                </c:pt>
                <c:pt idx="2">
                  <c:v>6208</c:v>
                </c:pt>
                <c:pt idx="3">
                  <c:v>812</c:v>
                </c:pt>
                <c:pt idx="4">
                  <c:v>2916</c:v>
                </c:pt>
                <c:pt idx="5">
                  <c:v>0</c:v>
                </c:pt>
                <c:pt idx="6">
                  <c:v>38</c:v>
                </c:pt>
              </c:numCache>
            </c:numRef>
          </c:val>
        </c:ser>
        <c:ser>
          <c:idx val="0"/>
          <c:order val="1"/>
          <c:tx>
            <c:strRef>
              <c:f>'5.16'!$V$39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'5.16'!$W$38:$AC$38</c:f>
              <c:strCache>
                <c:ptCount val="7"/>
                <c:pt idx="0">
                  <c:v>Total</c:v>
                </c:pt>
                <c:pt idx="1">
                  <c:v>Schools</c:v>
                </c:pt>
                <c:pt idx="2">
                  <c:v>Hospitals</c:v>
                </c:pt>
                <c:pt idx="3">
                  <c:v>Atoll Councils</c:v>
                </c:pt>
                <c:pt idx="4">
                  <c:v>Island Councils</c:v>
                </c:pt>
                <c:pt idx="5">
                  <c:v>Government Ministries</c:v>
                </c:pt>
                <c:pt idx="6">
                  <c:v>other offices</c:v>
                </c:pt>
              </c:strCache>
            </c:strRef>
          </c:cat>
          <c:val>
            <c:numRef>
              <c:f>'5.16'!$W$39:$AC$39</c:f>
              <c:numCache>
                <c:formatCode>General</c:formatCode>
                <c:ptCount val="7"/>
                <c:pt idx="0">
                  <c:v>8749</c:v>
                </c:pt>
                <c:pt idx="1">
                  <c:v>1841</c:v>
                </c:pt>
                <c:pt idx="2">
                  <c:v>1653</c:v>
                </c:pt>
                <c:pt idx="3">
                  <c:v>0</c:v>
                </c:pt>
                <c:pt idx="4">
                  <c:v>0</c:v>
                </c:pt>
                <c:pt idx="5">
                  <c:v>2149</c:v>
                </c:pt>
                <c:pt idx="6">
                  <c:v>3106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overlap val="100"/>
        <c:axId val="60658432"/>
        <c:axId val="90585344"/>
      </c:barChart>
      <c:catAx>
        <c:axId val="6065843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90585344"/>
        <c:crosses val="autoZero"/>
        <c:auto val="1"/>
        <c:lblAlgn val="ctr"/>
        <c:lblOffset val="100"/>
        <c:noMultiLvlLbl val="0"/>
      </c:catAx>
      <c:valAx>
        <c:axId val="9058534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none"/>
        <c:minorTickMark val="none"/>
        <c:tickLblPos val="nextTo"/>
        <c:crossAx val="60658432"/>
        <c:crosses val="autoZero"/>
        <c:crossBetween val="between"/>
      </c:valAx>
      <c:spPr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67398291458498849"/>
          <c:y val="0.24365049351497398"/>
          <c:w val="0.23183478754344897"/>
          <c:h val="8.9707786526684152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30</xdr:row>
      <xdr:rowOff>127634</xdr:rowOff>
    </xdr:from>
    <xdr:to>
      <xdr:col>7</xdr:col>
      <xdr:colOff>219075</xdr:colOff>
      <xdr:row>43</xdr:row>
      <xdr:rowOff>133349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971549</xdr:colOff>
      <xdr:row>32</xdr:row>
      <xdr:rowOff>76200</xdr:rowOff>
    </xdr:from>
    <xdr:to>
      <xdr:col>7</xdr:col>
      <xdr:colOff>38100</xdr:colOff>
      <xdr:row>32</xdr:row>
      <xdr:rowOff>85724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971549" y="6381750"/>
          <a:ext cx="5686426" cy="9524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0.21351</cdr:x>
      <cdr:y>0.11704</cdr:y>
    </cdr:from>
    <cdr:to>
      <cdr:x>0.74054</cdr:x>
      <cdr:y>0.39259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3960" y="300990"/>
          <a:ext cx="2971800" cy="70866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0.25037</cdr:x>
      <cdr:y>0.32314</cdr:y>
    </cdr:from>
    <cdr:to>
      <cdr:x>0.97168</cdr:x>
      <cdr:y>0.53525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600200" y="986791"/>
          <a:ext cx="4610100" cy="647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0.07601</cdr:x>
      <cdr:y>0.0312</cdr:y>
    </cdr:from>
    <cdr:to>
      <cdr:x>0.98808</cdr:x>
      <cdr:y>0.10793</cdr:y>
    </cdr:to>
    <cdr:sp macro="" textlink="">
      <cdr:nvSpPr>
        <cdr:cNvPr id="4" name="TextBox 3"/>
        <cdr:cNvSpPr txBox="1"/>
      </cdr:nvSpPr>
      <cdr:spPr>
        <a:xfrm xmlns:a="http://schemas.openxmlformats.org/drawingml/2006/main">
          <a:off x="485775" y="95263"/>
          <a:ext cx="5829299" cy="23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 5.10: Number of Civil Servants by sector for Male' &amp; Atolls, 2014</a:t>
          </a:r>
          <a:endParaRPr lang="en-US" sz="1100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C52"/>
  <sheetViews>
    <sheetView tabSelected="1" topLeftCell="A22" zoomScaleNormal="100" workbookViewId="0">
      <selection activeCell="L24" sqref="L24"/>
    </sheetView>
  </sheetViews>
  <sheetFormatPr defaultRowHeight="15" x14ac:dyDescent="0.25"/>
  <cols>
    <col min="1" max="1" width="27.28515625" style="1" customWidth="1"/>
    <col min="2" max="2" width="11" style="1" customWidth="1"/>
    <col min="3" max="4" width="12.42578125" style="10" customWidth="1"/>
    <col min="5" max="5" width="11.28515625" style="10" customWidth="1"/>
    <col min="6" max="7" width="12.42578125" style="10" customWidth="1"/>
    <col min="8" max="8" width="10.85546875" style="10" customWidth="1"/>
    <col min="9" max="9" width="12.42578125" style="10" customWidth="1"/>
    <col min="10" max="19" width="12.42578125" style="21" customWidth="1"/>
    <col min="20" max="16384" width="9.140625" style="1"/>
  </cols>
  <sheetData>
    <row r="1" spans="1:22" s="5" customFormat="1" ht="21" x14ac:dyDescent="0.25">
      <c r="A1" s="30" t="s">
        <v>34</v>
      </c>
      <c r="B1" s="30"/>
      <c r="C1" s="30"/>
      <c r="D1" s="30"/>
      <c r="E1" s="30"/>
      <c r="F1" s="30"/>
      <c r="G1" s="30"/>
      <c r="H1" s="30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1:22" ht="19.149999999999999" customHeight="1" x14ac:dyDescent="0.25">
      <c r="A2" s="31" t="s">
        <v>33</v>
      </c>
      <c r="B2" s="31"/>
      <c r="C2" s="31"/>
      <c r="D2" s="31"/>
      <c r="E2" s="31"/>
      <c r="F2" s="31"/>
      <c r="G2" s="31"/>
      <c r="H2" s="31"/>
      <c r="I2" s="6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22" ht="4.9000000000000004" customHeight="1" x14ac:dyDescent="0.25">
      <c r="A3" s="32"/>
      <c r="B3" s="32"/>
      <c r="C3" s="16"/>
      <c r="D3" s="16"/>
      <c r="E3" s="16"/>
      <c r="F3" s="16"/>
      <c r="G3" s="16"/>
      <c r="H3" s="16"/>
    </row>
    <row r="4" spans="1:22" ht="30" x14ac:dyDescent="0.25">
      <c r="A4" s="9"/>
      <c r="B4" s="12" t="s">
        <v>0</v>
      </c>
      <c r="C4" s="13" t="s">
        <v>27</v>
      </c>
      <c r="D4" s="13" t="s">
        <v>28</v>
      </c>
      <c r="E4" s="13" t="s">
        <v>29</v>
      </c>
      <c r="F4" s="13" t="s">
        <v>30</v>
      </c>
      <c r="G4" s="13" t="s">
        <v>31</v>
      </c>
      <c r="H4" s="13" t="s">
        <v>32</v>
      </c>
    </row>
    <row r="5" spans="1:22" s="3" customFormat="1" x14ac:dyDescent="0.25">
      <c r="A5" s="33" t="s">
        <v>4</v>
      </c>
      <c r="B5" s="23">
        <f>SUM(C5:H5)</f>
        <v>24883</v>
      </c>
      <c r="C5" s="23">
        <f>SUM(C6:C7)</f>
        <v>7906</v>
      </c>
      <c r="D5" s="23">
        <f t="shared" ref="D5:H5" si="0">SUM(D6:D7)</f>
        <v>7912</v>
      </c>
      <c r="E5" s="23">
        <f t="shared" si="0"/>
        <v>812</v>
      </c>
      <c r="F5" s="23">
        <f t="shared" si="0"/>
        <v>2960</v>
      </c>
      <c r="G5" s="23">
        <f t="shared" si="0"/>
        <v>2149</v>
      </c>
      <c r="H5" s="23">
        <f t="shared" si="0"/>
        <v>3144</v>
      </c>
      <c r="I5" s="4"/>
      <c r="J5" s="18"/>
      <c r="K5" s="18"/>
      <c r="L5" s="18"/>
      <c r="M5" s="18"/>
      <c r="N5" s="18"/>
      <c r="O5" s="18"/>
      <c r="P5" s="18"/>
      <c r="Q5" s="18"/>
      <c r="R5" s="18"/>
      <c r="S5" s="18"/>
    </row>
    <row r="6" spans="1:22" s="3" customFormat="1" x14ac:dyDescent="0.25">
      <c r="A6" s="33" t="s">
        <v>3</v>
      </c>
      <c r="B6" s="24">
        <f t="shared" ref="B6:B7" si="1">SUM(C6:H6)</f>
        <v>8749</v>
      </c>
      <c r="C6" s="25">
        <v>1841</v>
      </c>
      <c r="D6" s="25">
        <v>1653</v>
      </c>
      <c r="E6" s="25">
        <v>0</v>
      </c>
      <c r="F6" s="25">
        <v>0</v>
      </c>
      <c r="G6" s="25">
        <v>2149</v>
      </c>
      <c r="H6" s="25">
        <v>3106</v>
      </c>
      <c r="I6" s="4"/>
      <c r="J6" s="18"/>
      <c r="K6" s="18"/>
      <c r="L6" s="18"/>
      <c r="M6" s="18"/>
      <c r="N6" s="18"/>
      <c r="O6" s="18"/>
      <c r="P6" s="18"/>
      <c r="Q6" s="18"/>
      <c r="R6" s="18"/>
      <c r="S6" s="18"/>
    </row>
    <row r="7" spans="1:22" s="3" customFormat="1" x14ac:dyDescent="0.25">
      <c r="A7" s="33" t="s">
        <v>5</v>
      </c>
      <c r="B7" s="24">
        <f t="shared" si="1"/>
        <v>16134</v>
      </c>
      <c r="C7" s="25">
        <f>SUM(C8:C27)</f>
        <v>6065</v>
      </c>
      <c r="D7" s="25">
        <f t="shared" ref="D7:G7" si="2">SUM(D8:D27)</f>
        <v>6259</v>
      </c>
      <c r="E7" s="25">
        <f t="shared" si="2"/>
        <v>812</v>
      </c>
      <c r="F7" s="25">
        <f t="shared" si="2"/>
        <v>2960</v>
      </c>
      <c r="G7" s="25">
        <f t="shared" si="2"/>
        <v>0</v>
      </c>
      <c r="H7" s="25">
        <f>SUM(H8:H28)</f>
        <v>38</v>
      </c>
      <c r="I7" s="4"/>
      <c r="J7" s="18"/>
      <c r="K7" s="18"/>
      <c r="L7" s="18"/>
      <c r="M7" s="18"/>
      <c r="N7" s="18"/>
      <c r="O7" s="18"/>
      <c r="P7" s="18"/>
      <c r="Q7" s="18"/>
      <c r="R7" s="18"/>
      <c r="S7" s="18"/>
    </row>
    <row r="8" spans="1:22" x14ac:dyDescent="0.25">
      <c r="A8" s="34" t="s">
        <v>6</v>
      </c>
      <c r="B8" s="24">
        <f>SUM(C8:H8)</f>
        <v>1090</v>
      </c>
      <c r="C8" s="26">
        <v>433</v>
      </c>
      <c r="D8" s="26">
        <v>371</v>
      </c>
      <c r="E8" s="26">
        <v>34</v>
      </c>
      <c r="F8" s="26">
        <v>252</v>
      </c>
      <c r="G8" s="26">
        <v>0</v>
      </c>
      <c r="H8" s="26">
        <v>0</v>
      </c>
    </row>
    <row r="9" spans="1:22" x14ac:dyDescent="0.25">
      <c r="A9" s="34" t="s">
        <v>7</v>
      </c>
      <c r="B9" s="24">
        <f t="shared" ref="B9:B28" si="3">SUM(C9:H9)</f>
        <v>1348</v>
      </c>
      <c r="C9" s="26">
        <v>523</v>
      </c>
      <c r="D9" s="26">
        <v>547</v>
      </c>
      <c r="E9" s="26">
        <v>34</v>
      </c>
      <c r="F9" s="26">
        <v>244</v>
      </c>
      <c r="G9" s="26">
        <v>0</v>
      </c>
      <c r="H9" s="26">
        <v>0</v>
      </c>
    </row>
    <row r="10" spans="1:22" x14ac:dyDescent="0.25">
      <c r="A10" s="34" t="s">
        <v>8</v>
      </c>
      <c r="B10" s="24">
        <f t="shared" si="3"/>
        <v>1079</v>
      </c>
      <c r="C10" s="26">
        <v>440</v>
      </c>
      <c r="D10" s="26">
        <v>392</v>
      </c>
      <c r="E10" s="26">
        <v>35</v>
      </c>
      <c r="F10" s="26">
        <v>212</v>
      </c>
      <c r="G10" s="26">
        <v>0</v>
      </c>
      <c r="H10" s="26">
        <v>0</v>
      </c>
    </row>
    <row r="11" spans="1:22" x14ac:dyDescent="0.25">
      <c r="A11" s="34" t="s">
        <v>9</v>
      </c>
      <c r="B11" s="24">
        <f t="shared" si="3"/>
        <v>877</v>
      </c>
      <c r="C11" s="26">
        <v>377</v>
      </c>
      <c r="D11" s="26">
        <v>293</v>
      </c>
      <c r="E11" s="26">
        <v>26</v>
      </c>
      <c r="F11" s="26">
        <v>181</v>
      </c>
      <c r="G11" s="26">
        <v>0</v>
      </c>
      <c r="H11" s="26">
        <v>0</v>
      </c>
    </row>
    <row r="12" spans="1:22" x14ac:dyDescent="0.25">
      <c r="A12" s="34" t="s">
        <v>10</v>
      </c>
      <c r="B12" s="24">
        <f t="shared" si="3"/>
        <v>1250</v>
      </c>
      <c r="C12" s="26">
        <v>591</v>
      </c>
      <c r="D12" s="26">
        <v>402</v>
      </c>
      <c r="E12" s="26">
        <v>33</v>
      </c>
      <c r="F12" s="26">
        <v>224</v>
      </c>
      <c r="G12" s="26">
        <v>0</v>
      </c>
      <c r="H12" s="26">
        <v>0</v>
      </c>
    </row>
    <row r="13" spans="1:22" x14ac:dyDescent="0.25">
      <c r="A13" s="34" t="s">
        <v>11</v>
      </c>
      <c r="B13" s="24">
        <f t="shared" si="3"/>
        <v>857</v>
      </c>
      <c r="C13" s="26">
        <v>284</v>
      </c>
      <c r="D13" s="26">
        <v>373</v>
      </c>
      <c r="E13" s="26">
        <v>31</v>
      </c>
      <c r="F13" s="26">
        <v>162</v>
      </c>
      <c r="G13" s="26">
        <v>0</v>
      </c>
      <c r="H13" s="26">
        <v>7</v>
      </c>
    </row>
    <row r="14" spans="1:22" x14ac:dyDescent="0.25">
      <c r="A14" s="34" t="s">
        <v>12</v>
      </c>
      <c r="B14" s="24">
        <f t="shared" si="3"/>
        <v>530</v>
      </c>
      <c r="C14" s="26">
        <v>171</v>
      </c>
      <c r="D14" s="26">
        <v>245</v>
      </c>
      <c r="E14" s="26">
        <v>30</v>
      </c>
      <c r="F14" s="26">
        <v>84</v>
      </c>
      <c r="G14" s="26">
        <v>0</v>
      </c>
      <c r="H14" s="26">
        <v>0</v>
      </c>
    </row>
    <row r="15" spans="1:22" x14ac:dyDescent="0.25">
      <c r="A15" s="34" t="s">
        <v>13</v>
      </c>
      <c r="B15" s="24">
        <f t="shared" si="3"/>
        <v>945</v>
      </c>
      <c r="C15" s="26">
        <v>282</v>
      </c>
      <c r="D15" s="26">
        <v>474</v>
      </c>
      <c r="E15" s="26">
        <v>23</v>
      </c>
      <c r="F15" s="26">
        <v>137</v>
      </c>
      <c r="G15" s="26">
        <v>0</v>
      </c>
      <c r="H15" s="26">
        <v>29</v>
      </c>
    </row>
    <row r="16" spans="1:22" x14ac:dyDescent="0.25">
      <c r="A16" s="34" t="s">
        <v>14</v>
      </c>
      <c r="B16" s="24">
        <f t="shared" si="3"/>
        <v>519</v>
      </c>
      <c r="C16" s="26">
        <v>197</v>
      </c>
      <c r="D16" s="26">
        <v>197</v>
      </c>
      <c r="E16" s="26">
        <v>21</v>
      </c>
      <c r="F16" s="26">
        <v>104</v>
      </c>
      <c r="G16" s="26">
        <v>0</v>
      </c>
      <c r="H16" s="26">
        <v>0</v>
      </c>
    </row>
    <row r="17" spans="1:20" x14ac:dyDescent="0.25">
      <c r="A17" s="34" t="s">
        <v>15</v>
      </c>
      <c r="B17" s="24">
        <f t="shared" si="3"/>
        <v>663</v>
      </c>
      <c r="C17" s="26">
        <v>229</v>
      </c>
      <c r="D17" s="26">
        <v>269</v>
      </c>
      <c r="E17" s="26">
        <v>26</v>
      </c>
      <c r="F17" s="26">
        <v>139</v>
      </c>
      <c r="G17" s="26">
        <v>0</v>
      </c>
      <c r="H17" s="26">
        <v>0</v>
      </c>
    </row>
    <row r="18" spans="1:20" x14ac:dyDescent="0.25">
      <c r="A18" s="34" t="s">
        <v>16</v>
      </c>
      <c r="B18" s="24">
        <f t="shared" si="3"/>
        <v>206</v>
      </c>
      <c r="C18" s="26">
        <v>49</v>
      </c>
      <c r="D18" s="26">
        <v>93</v>
      </c>
      <c r="E18" s="26">
        <v>24</v>
      </c>
      <c r="F18" s="26">
        <v>40</v>
      </c>
      <c r="G18" s="26">
        <v>0</v>
      </c>
      <c r="H18" s="26">
        <v>0</v>
      </c>
    </row>
    <row r="19" spans="1:20" x14ac:dyDescent="0.25">
      <c r="A19" s="34" t="s">
        <v>17</v>
      </c>
      <c r="B19" s="24">
        <f t="shared" si="3"/>
        <v>503</v>
      </c>
      <c r="C19" s="26">
        <v>162</v>
      </c>
      <c r="D19" s="26">
        <v>209</v>
      </c>
      <c r="E19" s="26">
        <v>28</v>
      </c>
      <c r="F19" s="26">
        <v>104</v>
      </c>
      <c r="G19" s="26">
        <v>0</v>
      </c>
      <c r="H19" s="26">
        <v>0</v>
      </c>
    </row>
    <row r="20" spans="1:20" x14ac:dyDescent="0.25">
      <c r="A20" s="34" t="s">
        <v>18</v>
      </c>
      <c r="B20" s="24">
        <f t="shared" si="3"/>
        <v>476</v>
      </c>
      <c r="C20" s="26">
        <v>127</v>
      </c>
      <c r="D20" s="26">
        <v>223</v>
      </c>
      <c r="E20" s="26">
        <v>33</v>
      </c>
      <c r="F20" s="26">
        <v>93</v>
      </c>
      <c r="G20" s="26">
        <v>0</v>
      </c>
      <c r="H20" s="26">
        <v>0</v>
      </c>
    </row>
    <row r="21" spans="1:20" x14ac:dyDescent="0.25">
      <c r="A21" s="34" t="s">
        <v>19</v>
      </c>
      <c r="B21" s="24">
        <f t="shared" si="3"/>
        <v>491</v>
      </c>
      <c r="C21" s="26">
        <v>132</v>
      </c>
      <c r="D21" s="26">
        <v>229</v>
      </c>
      <c r="E21" s="26">
        <v>25</v>
      </c>
      <c r="F21" s="26">
        <v>105</v>
      </c>
      <c r="G21" s="26">
        <v>0</v>
      </c>
      <c r="H21" s="26">
        <v>0</v>
      </c>
    </row>
    <row r="22" spans="1:20" x14ac:dyDescent="0.25">
      <c r="A22" s="34" t="s">
        <v>20</v>
      </c>
      <c r="B22" s="27">
        <f>SUM(C22:H22)</f>
        <v>948</v>
      </c>
      <c r="C22" s="26">
        <v>324</v>
      </c>
      <c r="D22" s="26">
        <v>354</v>
      </c>
      <c r="E22" s="26">
        <v>37</v>
      </c>
      <c r="F22" s="26">
        <v>233</v>
      </c>
      <c r="G22" s="26">
        <v>0</v>
      </c>
      <c r="H22" s="26">
        <v>0</v>
      </c>
    </row>
    <row r="23" spans="1:20" x14ac:dyDescent="0.25">
      <c r="A23" s="34" t="s">
        <v>21</v>
      </c>
      <c r="B23" s="27">
        <f>SUM(C23:H23)</f>
        <v>931</v>
      </c>
      <c r="C23" s="26">
        <v>363</v>
      </c>
      <c r="D23" s="26">
        <v>330</v>
      </c>
      <c r="E23" s="26">
        <v>37</v>
      </c>
      <c r="F23" s="26">
        <v>201</v>
      </c>
      <c r="G23" s="26">
        <v>0</v>
      </c>
      <c r="H23" s="26">
        <v>0</v>
      </c>
    </row>
    <row r="24" spans="1:20" x14ac:dyDescent="0.25">
      <c r="A24" s="34" t="s">
        <v>22</v>
      </c>
      <c r="B24" s="24">
        <f t="shared" si="3"/>
        <v>711</v>
      </c>
      <c r="C24" s="26">
        <v>229</v>
      </c>
      <c r="D24" s="26">
        <v>315</v>
      </c>
      <c r="E24" s="26">
        <v>22</v>
      </c>
      <c r="F24" s="26">
        <v>145</v>
      </c>
      <c r="G24" s="26">
        <v>0</v>
      </c>
      <c r="H24" s="26">
        <v>0</v>
      </c>
    </row>
    <row r="25" spans="1:20" x14ac:dyDescent="0.25">
      <c r="A25" s="34" t="s">
        <v>23</v>
      </c>
      <c r="B25" s="24">
        <f t="shared" si="3"/>
        <v>955</v>
      </c>
      <c r="C25" s="26">
        <v>348</v>
      </c>
      <c r="D25" s="26">
        <v>412</v>
      </c>
      <c r="E25" s="26">
        <v>34</v>
      </c>
      <c r="F25" s="26">
        <v>161</v>
      </c>
      <c r="G25" s="26">
        <v>0</v>
      </c>
      <c r="H25" s="26">
        <v>0</v>
      </c>
    </row>
    <row r="26" spans="1:20" x14ac:dyDescent="0.25">
      <c r="A26" s="34" t="s">
        <v>24</v>
      </c>
      <c r="B26" s="24">
        <f t="shared" si="3"/>
        <v>560</v>
      </c>
      <c r="C26" s="26">
        <v>181</v>
      </c>
      <c r="D26" s="26">
        <v>204</v>
      </c>
      <c r="E26" s="26">
        <v>36</v>
      </c>
      <c r="F26" s="26">
        <v>139</v>
      </c>
      <c r="G26" s="26">
        <v>0</v>
      </c>
      <c r="H26" s="26">
        <v>0</v>
      </c>
    </row>
    <row r="27" spans="1:20" x14ac:dyDescent="0.25">
      <c r="A27" s="34" t="s">
        <v>25</v>
      </c>
      <c r="B27" s="24">
        <f t="shared" si="3"/>
        <v>1193</v>
      </c>
      <c r="C27" s="26">
        <v>623</v>
      </c>
      <c r="D27" s="26">
        <v>327</v>
      </c>
      <c r="E27" s="26">
        <v>243</v>
      </c>
      <c r="F27" s="26">
        <v>0</v>
      </c>
      <c r="G27" s="26">
        <v>0</v>
      </c>
      <c r="H27" s="26">
        <v>0</v>
      </c>
    </row>
    <row r="28" spans="1:20" x14ac:dyDescent="0.25">
      <c r="A28" s="8" t="s">
        <v>26</v>
      </c>
      <c r="B28" s="28">
        <f t="shared" si="3"/>
        <v>2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2</v>
      </c>
    </row>
    <row r="29" spans="1:20" s="5" customFormat="1" ht="17.25" x14ac:dyDescent="0.25">
      <c r="A29" s="35" t="s">
        <v>1</v>
      </c>
      <c r="B29" s="36"/>
      <c r="C29" s="37"/>
      <c r="D29" s="37"/>
      <c r="E29" s="37"/>
      <c r="F29" s="36"/>
      <c r="G29" s="37"/>
      <c r="H29" s="2" t="s">
        <v>2</v>
      </c>
      <c r="T29" s="14"/>
    </row>
    <row r="38" spans="22:29" ht="60" x14ac:dyDescent="0.25">
      <c r="W38" s="1" t="s">
        <v>0</v>
      </c>
      <c r="X38" s="13" t="s">
        <v>27</v>
      </c>
      <c r="Y38" s="13" t="s">
        <v>28</v>
      </c>
      <c r="Z38" s="13" t="s">
        <v>29</v>
      </c>
      <c r="AA38" s="13" t="s">
        <v>30</v>
      </c>
      <c r="AB38" s="13" t="s">
        <v>31</v>
      </c>
      <c r="AC38" s="13" t="s">
        <v>32</v>
      </c>
    </row>
    <row r="39" spans="22:29" x14ac:dyDescent="0.25">
      <c r="V39" s="7" t="s">
        <v>3</v>
      </c>
      <c r="W39" s="1">
        <v>8749</v>
      </c>
      <c r="X39" s="11">
        <v>1841</v>
      </c>
      <c r="Y39" s="11">
        <v>1653</v>
      </c>
      <c r="Z39" s="11">
        <v>0</v>
      </c>
      <c r="AA39" s="11">
        <v>0</v>
      </c>
      <c r="AB39" s="11">
        <v>2149</v>
      </c>
      <c r="AC39" s="11">
        <v>3106</v>
      </c>
    </row>
    <row r="40" spans="22:29" x14ac:dyDescent="0.25">
      <c r="V40" s="7" t="s">
        <v>35</v>
      </c>
      <c r="W40" s="1">
        <v>16134</v>
      </c>
      <c r="X40" s="11">
        <v>6160</v>
      </c>
      <c r="Y40" s="11">
        <v>6208</v>
      </c>
      <c r="Z40" s="11">
        <v>812</v>
      </c>
      <c r="AA40" s="11">
        <v>2916</v>
      </c>
      <c r="AB40" s="11">
        <v>0</v>
      </c>
      <c r="AC40" s="11">
        <v>38</v>
      </c>
    </row>
    <row r="49" spans="1:6" x14ac:dyDescent="0.25">
      <c r="A49" s="20"/>
      <c r="B49" s="22"/>
      <c r="C49" s="21"/>
      <c r="D49" s="21"/>
      <c r="E49" s="16"/>
      <c r="F49" s="21"/>
    </row>
    <row r="50" spans="1:6" x14ac:dyDescent="0.25">
      <c r="A50" s="20"/>
      <c r="B50" s="22"/>
      <c r="C50" s="21"/>
      <c r="D50" s="21"/>
      <c r="E50" s="16"/>
      <c r="F50" s="21"/>
    </row>
    <row r="51" spans="1:6" x14ac:dyDescent="0.25">
      <c r="A51" s="17"/>
      <c r="B51" s="17"/>
      <c r="C51" s="21"/>
      <c r="D51" s="21"/>
      <c r="E51" s="21"/>
      <c r="F51" s="21"/>
    </row>
    <row r="52" spans="1:6" x14ac:dyDescent="0.25">
      <c r="A52" s="17"/>
      <c r="B52" s="17"/>
      <c r="C52" s="21"/>
      <c r="D52" s="21"/>
      <c r="E52" s="21"/>
      <c r="F52" s="21"/>
    </row>
  </sheetData>
  <mergeCells count="2">
    <mergeCell ref="A2:H2"/>
    <mergeCell ref="A1:H1"/>
  </mergeCells>
  <pageMargins left="0.7" right="0.7" top="0.75" bottom="0.75" header="0.3" footer="0.3"/>
  <pageSetup scale="82" orientation="portrait" r:id="rId1"/>
  <colBreaks count="1" manualBreakCount="1">
    <brk id="8" max="1048575" man="1"/>
  </colBreaks>
  <ignoredErrors>
    <ignoredError sqref="C7:G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5.16</vt:lpstr>
      <vt:lpstr>'5.16'!Print_Area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2015-11-26T08:03:56Z</cp:lastPrinted>
  <dcterms:created xsi:type="dcterms:W3CDTF">2013-03-26T05:45:33Z</dcterms:created>
  <dcterms:modified xsi:type="dcterms:W3CDTF">2015-11-26T08:06:38Z</dcterms:modified>
</cp:coreProperties>
</file>