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75" windowWidth="9165" windowHeight="4365" tabRatio="811"/>
  </bookViews>
  <sheets>
    <sheet name="5.12" sheetId="18" r:id="rId1"/>
  </sheets>
  <definedNames>
    <definedName name="_xlnm.Print_Area" localSheetId="0">'5.12'!$A$1:$M$34</definedName>
  </definedNames>
  <calcPr calcId="144525"/>
</workbook>
</file>

<file path=xl/calcChain.xml><?xml version="1.0" encoding="utf-8"?>
<calcChain xmlns="http://schemas.openxmlformats.org/spreadsheetml/2006/main">
  <c r="J13" i="18" l="1"/>
  <c r="F13" i="18"/>
  <c r="B13" i="18" s="1"/>
  <c r="D13" i="18"/>
  <c r="C13" i="18"/>
  <c r="J12" i="18"/>
  <c r="F12" i="18"/>
  <c r="B12" i="18" s="1"/>
  <c r="D12" i="18"/>
  <c r="C12" i="18"/>
  <c r="J11" i="18"/>
  <c r="F11" i="18"/>
  <c r="F9" i="18" s="1"/>
  <c r="D11" i="18"/>
  <c r="C11" i="18"/>
  <c r="J10" i="18"/>
  <c r="F10" i="18"/>
  <c r="D10" i="18"/>
  <c r="D9" i="18" s="1"/>
  <c r="C10" i="18"/>
  <c r="B10" i="18"/>
  <c r="L9" i="18"/>
  <c r="K9" i="18"/>
  <c r="H9" i="18"/>
  <c r="G9" i="18"/>
  <c r="B11" i="18" l="1"/>
  <c r="B9" i="18" s="1"/>
  <c r="C9" i="18"/>
  <c r="J9" i="18"/>
  <c r="AG21" i="18" l="1"/>
  <c r="AG24" i="18"/>
  <c r="AG23" i="18"/>
  <c r="AG20" i="18"/>
  <c r="AG22" i="18"/>
</calcChain>
</file>

<file path=xl/sharedStrings.xml><?xml version="1.0" encoding="utf-8"?>
<sst xmlns="http://schemas.openxmlformats.org/spreadsheetml/2006/main" count="45" uniqueCount="33">
  <si>
    <t>Total</t>
  </si>
  <si>
    <t>Republic</t>
  </si>
  <si>
    <t>Male'</t>
  </si>
  <si>
    <t>Atolls</t>
  </si>
  <si>
    <t>ޖުމްލަ</t>
  </si>
  <si>
    <t>ފިރިހެން</t>
  </si>
  <si>
    <t>އަންހެން</t>
  </si>
  <si>
    <t>Male</t>
  </si>
  <si>
    <t>Female</t>
  </si>
  <si>
    <t>މާލެ</t>
  </si>
  <si>
    <t xml:space="preserve"> މުޅިރާއްޖެ</t>
  </si>
  <si>
    <t>އަތޮޅުތައް</t>
  </si>
  <si>
    <t>Both sexes</t>
  </si>
  <si>
    <t>Source: Civil Service Commision</t>
  </si>
  <si>
    <t>ދެޖިންސް</t>
  </si>
  <si>
    <t>PERMANENT</t>
  </si>
  <si>
    <t>TEMPORARY</t>
  </si>
  <si>
    <t>މަޢުލޫމާތު ދެއްވި ފަރާތް: ސިވިލް ސަރވިސް ކޮމިޝަން</t>
  </si>
  <si>
    <t>ވަޒީފާގެ ބާވަތް</t>
  </si>
  <si>
    <t>ދާއިމީ މުވައްޒަފުން</t>
  </si>
  <si>
    <t>ވަގުތީ މުވައްޒަފުން</t>
  </si>
  <si>
    <t>ކޮންޓްރެކްޓް މުވައްޒަފުން</t>
  </si>
  <si>
    <t>ރިޓަރޔަޑް އަދި ކޮންޓްރެކްޓް މުވައްޒަފުން</t>
  </si>
  <si>
    <t>Job type</t>
  </si>
  <si>
    <t>CONTRACT</t>
  </si>
  <si>
    <t>RETIRED &amp; CONTRACT</t>
  </si>
  <si>
    <t>temporary</t>
  </si>
  <si>
    <t>retired &amp; contract</t>
  </si>
  <si>
    <t>Contract Staff</t>
  </si>
  <si>
    <t>Permanent Staff</t>
  </si>
  <si>
    <t>Table: 5.12 Civil Servents Classified by job type and Sex, 2014</t>
  </si>
  <si>
    <t>ތާވަލު 5.12: ސިވިލް ސަރވަންޓުން އަދާކުރާ ވަޒީފާގެ ބާވަތް އަދި ޖިންސް، 2014</t>
  </si>
  <si>
    <t>Other 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</si>
</sst>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9"/>
      <name val="Faruma"/>
    </font>
    <font>
      <b/>
      <sz val="10"/>
      <name val="Faruma"/>
    </font>
    <font>
      <b/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color theme="1"/>
      <name val="Faruma"/>
    </font>
    <font>
      <b/>
      <sz val="10"/>
      <color theme="1"/>
      <name val="Faruma"/>
    </font>
    <font>
      <sz val="10"/>
      <name val="MS Sans Serif"/>
      <family val="2"/>
    </font>
    <font>
      <sz val="11"/>
      <color theme="1"/>
      <name val="Faruma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7">
    <xf numFmtId="0" fontId="0" fillId="0" borderId="0"/>
    <xf numFmtId="0" fontId="2" fillId="0" borderId="0"/>
    <xf numFmtId="165" fontId="3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0" fontId="2" fillId="0" borderId="0"/>
    <xf numFmtId="0" fontId="10" fillId="0" borderId="0"/>
  </cellStyleXfs>
  <cellXfs count="53">
    <xf numFmtId="0" fontId="0" fillId="0" borderId="0" xfId="0"/>
    <xf numFmtId="0" fontId="0" fillId="2" borderId="0" xfId="0" applyFill="1"/>
    <xf numFmtId="3" fontId="4" fillId="2" borderId="0" xfId="1" applyNumberFormat="1" applyFont="1" applyFill="1" applyBorder="1" applyAlignment="1" applyProtection="1">
      <alignment horizontal="right" vertical="center"/>
    </xf>
    <xf numFmtId="0" fontId="0" fillId="2" borderId="0" xfId="0" applyFill="1" applyBorder="1"/>
    <xf numFmtId="0" fontId="1" fillId="2" borderId="0" xfId="0" applyFont="1" applyFill="1"/>
    <xf numFmtId="0" fontId="6" fillId="2" borderId="0" xfId="0" applyFont="1" applyFill="1" applyBorder="1" applyAlignment="1">
      <alignment horizontal="right" vertical="center"/>
    </xf>
    <xf numFmtId="0" fontId="7" fillId="2" borderId="4" xfId="5" applyFont="1" applyFill="1" applyBorder="1"/>
    <xf numFmtId="0" fontId="0" fillId="2" borderId="0" xfId="0" applyFill="1" applyBorder="1" applyAlignment="1">
      <alignment vertical="center"/>
    </xf>
    <xf numFmtId="0" fontId="5" fillId="2" borderId="1" xfId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readingOrder="2"/>
    </xf>
    <xf numFmtId="0" fontId="1" fillId="2" borderId="0" xfId="0" applyFont="1" applyFill="1" applyBorder="1" applyAlignment="1">
      <alignment vertical="center"/>
    </xf>
    <xf numFmtId="3" fontId="0" fillId="2" borderId="0" xfId="0" applyNumberFormat="1" applyFill="1"/>
    <xf numFmtId="0" fontId="12" fillId="2" borderId="0" xfId="0" applyFont="1" applyFill="1"/>
    <xf numFmtId="0" fontId="6" fillId="2" borderId="7" xfId="0" applyFont="1" applyFill="1" applyBorder="1" applyAlignment="1">
      <alignment horizontal="right" vertical="center"/>
    </xf>
    <xf numFmtId="0" fontId="9" fillId="2" borderId="5" xfId="0" applyFont="1" applyFill="1" applyBorder="1" applyAlignment="1">
      <alignment horizontal="center" readingOrder="2"/>
    </xf>
    <xf numFmtId="0" fontId="6" fillId="2" borderId="0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164" fontId="0" fillId="2" borderId="0" xfId="0" applyNumberFormat="1" applyFill="1"/>
    <xf numFmtId="0" fontId="0" fillId="2" borderId="0" xfId="0" applyFill="1" applyBorder="1"/>
    <xf numFmtId="0" fontId="1" fillId="2" borderId="0" xfId="0" applyFont="1" applyFill="1"/>
    <xf numFmtId="0" fontId="0" fillId="2" borderId="0" xfId="0" applyFill="1"/>
    <xf numFmtId="0" fontId="12" fillId="2" borderId="0" xfId="0" applyFont="1" applyFill="1"/>
    <xf numFmtId="3" fontId="0" fillId="2" borderId="0" xfId="0" applyNumberFormat="1" applyFill="1" applyBorder="1" applyAlignment="1">
      <alignment horizontal="right" vertical="center"/>
    </xf>
    <xf numFmtId="3" fontId="0" fillId="2" borderId="7" xfId="0" applyNumberFormat="1" applyFill="1" applyBorder="1" applyAlignment="1">
      <alignment horizontal="right" vertical="center"/>
    </xf>
    <xf numFmtId="0" fontId="0" fillId="2" borderId="0" xfId="0" applyFill="1" applyBorder="1" applyAlignment="1">
      <alignment horizontal="right" vertical="center"/>
    </xf>
    <xf numFmtId="0" fontId="0" fillId="2" borderId="7" xfId="0" applyFill="1" applyBorder="1" applyAlignment="1">
      <alignment horizontal="right" vertical="center"/>
    </xf>
    <xf numFmtId="3" fontId="0" fillId="2" borderId="3" xfId="0" applyNumberFormat="1" applyFill="1" applyBorder="1" applyAlignment="1">
      <alignment horizontal="right" vertical="center"/>
    </xf>
    <xf numFmtId="3" fontId="0" fillId="2" borderId="5" xfId="0" applyNumberFormat="1" applyFill="1" applyBorder="1" applyAlignment="1">
      <alignment horizontal="right" vertical="center"/>
    </xf>
    <xf numFmtId="0" fontId="0" fillId="2" borderId="3" xfId="0" applyFill="1" applyBorder="1" applyAlignment="1">
      <alignment horizontal="right" vertical="center"/>
    </xf>
    <xf numFmtId="0" fontId="0" fillId="2" borderId="5" xfId="0" applyFill="1" applyBorder="1" applyAlignment="1">
      <alignment horizontal="right" vertical="center"/>
    </xf>
    <xf numFmtId="3" fontId="1" fillId="2" borderId="0" xfId="0" applyNumberFormat="1" applyFont="1" applyFill="1" applyBorder="1" applyAlignment="1">
      <alignment vertical="center"/>
    </xf>
    <xf numFmtId="3" fontId="1" fillId="2" borderId="6" xfId="0" applyNumberFormat="1" applyFont="1" applyFill="1" applyBorder="1" applyAlignment="1">
      <alignment vertical="center"/>
    </xf>
    <xf numFmtId="3" fontId="1" fillId="2" borderId="7" xfId="0" applyNumberFormat="1" applyFont="1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8" fillId="2" borderId="1" xfId="0" applyFont="1" applyFill="1" applyBorder="1" applyAlignment="1"/>
    <xf numFmtId="0" fontId="11" fillId="2" borderId="0" xfId="0" applyFont="1" applyFill="1" applyBorder="1" applyAlignment="1"/>
    <xf numFmtId="0" fontId="11" fillId="2" borderId="3" xfId="0" applyFont="1" applyFill="1" applyBorder="1" applyAlignment="1"/>
    <xf numFmtId="0" fontId="6" fillId="2" borderId="2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 vertical="top"/>
    </xf>
    <xf numFmtId="0" fontId="5" fillId="2" borderId="6" xfId="1" applyFont="1" applyFill="1" applyBorder="1" applyAlignment="1">
      <alignment horizontal="center" vertical="top"/>
    </xf>
    <xf numFmtId="0" fontId="1" fillId="2" borderId="0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</cellXfs>
  <cellStyles count="7">
    <cellStyle name="Comma 3" xfId="2"/>
    <cellStyle name="Normal" xfId="0" builtinId="0"/>
    <cellStyle name="Normal 2" xfId="3"/>
    <cellStyle name="Normal 4" xfId="6"/>
    <cellStyle name="Normal_II-16(Populaion)" xfId="1"/>
    <cellStyle name="Normal_po" xfId="5"/>
    <cellStyle name="Percent 3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6144663167104115"/>
          <c:y val="0.21343759113444158"/>
          <c:w val="0.43947681539807543"/>
          <c:h val="0.732461358996792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lumMod val="75000"/>
                </a:schemeClr>
              </a:solidFill>
            </c:spPr>
          </c:dPt>
          <c:dPt>
            <c:idx val="1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</c:spPr>
          </c:dPt>
          <c:dLbls>
            <c:dLbl>
              <c:idx val="0"/>
              <c:layout>
                <c:manualLayout>
                  <c:x val="-6.1111111111111116E-2"/>
                  <c:y val="2.77777777777777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5.5555555555555558E-3"/>
                  <c:y val="1.388888888888889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'5.12'!$AF$20:$AF$21</c:f>
              <c:strCache>
                <c:ptCount val="2"/>
                <c:pt idx="0">
                  <c:v>Permanent Staff</c:v>
                </c:pt>
                <c:pt idx="1">
                  <c:v>Other Staff</c:v>
                </c:pt>
              </c:strCache>
            </c:strRef>
          </c:cat>
          <c:val>
            <c:numRef>
              <c:f>'5.12'!$AG$20:$AG$21</c:f>
              <c:numCache>
                <c:formatCode>0.0</c:formatCode>
                <c:ptCount val="2"/>
                <c:pt idx="0">
                  <c:v>85.395651649720691</c:v>
                </c:pt>
                <c:pt idx="1">
                  <c:v>14.604348350279306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571500</xdr:colOff>
      <xdr:row>16</xdr:row>
      <xdr:rowOff>114300</xdr:rowOff>
    </xdr:from>
    <xdr:to>
      <xdr:col>11</xdr:col>
      <xdr:colOff>502920</xdr:colOff>
      <xdr:row>31</xdr:row>
      <xdr:rowOff>114300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228600</xdr:colOff>
      <xdr:row>16</xdr:row>
      <xdr:rowOff>161925</xdr:rowOff>
    </xdr:from>
    <xdr:to>
      <xdr:col>11</xdr:col>
      <xdr:colOff>504824</xdr:colOff>
      <xdr:row>18</xdr:row>
      <xdr:rowOff>66674</xdr:rowOff>
    </xdr:to>
    <xdr:sp macro="" textlink="">
      <xdr:nvSpPr>
        <xdr:cNvPr id="7" name="TextBox 6"/>
        <xdr:cNvSpPr txBox="1"/>
      </xdr:nvSpPr>
      <xdr:spPr>
        <a:xfrm>
          <a:off x="2152650" y="3676650"/>
          <a:ext cx="4629149" cy="28574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050" b="1">
              <a:latin typeface="Consolas" pitchFamily="49" charset="0"/>
              <a:cs typeface="Consolas" pitchFamily="49" charset="0"/>
            </a:rPr>
            <a:t>Figure 5.7: Percentage of civil servants</a:t>
          </a:r>
          <a:r>
            <a:rPr lang="en-US" sz="1050" b="1" baseline="0">
              <a:latin typeface="Consolas" pitchFamily="49" charset="0"/>
              <a:cs typeface="Consolas" pitchFamily="49" charset="0"/>
            </a:rPr>
            <a:t> by job type, 2014</a:t>
          </a:r>
          <a:endParaRPr lang="en-US" sz="1050" b="1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2</xdr:col>
      <xdr:colOff>293370</xdr:colOff>
      <xdr:row>18</xdr:row>
      <xdr:rowOff>38100</xdr:rowOff>
    </xdr:from>
    <xdr:to>
      <xdr:col>11</xdr:col>
      <xdr:colOff>276224</xdr:colOff>
      <xdr:row>18</xdr:row>
      <xdr:rowOff>43813</xdr:rowOff>
    </xdr:to>
    <xdr:sp macro="" textlink="">
      <xdr:nvSpPr>
        <xdr:cNvPr id="8" name="Line 4"/>
        <xdr:cNvSpPr>
          <a:spLocks noChangeShapeType="1"/>
        </xdr:cNvSpPr>
      </xdr:nvSpPr>
      <xdr:spPr bwMode="auto">
        <a:xfrm flipV="1">
          <a:off x="2217420" y="3933825"/>
          <a:ext cx="4335779" cy="5713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G24"/>
  <sheetViews>
    <sheetView tabSelected="1" zoomScaleNormal="100" workbookViewId="0">
      <selection activeCell="Q12" sqref="Q12"/>
    </sheetView>
  </sheetViews>
  <sheetFormatPr defaultColWidth="8.85546875" defaultRowHeight="15" x14ac:dyDescent="0.25"/>
  <cols>
    <col min="1" max="1" width="20" style="1" customWidth="1"/>
    <col min="2" max="4" width="8.85546875" style="1"/>
    <col min="5" max="5" width="2" style="1" customWidth="1"/>
    <col min="6" max="8" width="8.85546875" style="1"/>
    <col min="9" max="9" width="1.28515625" style="1" customWidth="1"/>
    <col min="10" max="12" width="8.85546875" style="1"/>
    <col min="13" max="13" width="30.85546875" style="1" customWidth="1"/>
    <col min="14" max="15" width="8.85546875" style="1"/>
    <col min="16" max="27" width="8.85546875" style="22"/>
    <col min="28" max="16384" width="8.85546875" style="1"/>
  </cols>
  <sheetData>
    <row r="2" spans="1:27" ht="21" x14ac:dyDescent="0.55000000000000004">
      <c r="A2" s="43" t="s">
        <v>31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spans="1:27" s="3" customFormat="1" ht="15" customHeight="1" x14ac:dyDescent="0.25">
      <c r="A3" s="44" t="s">
        <v>30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spans="1:27" ht="7.15" customHeight="1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27" ht="18" customHeight="1" x14ac:dyDescent="0.25">
      <c r="A5" s="52" t="s">
        <v>23</v>
      </c>
      <c r="B5" s="45" t="s">
        <v>10</v>
      </c>
      <c r="C5" s="45"/>
      <c r="D5" s="46"/>
      <c r="E5" s="8"/>
      <c r="F5" s="45" t="s">
        <v>9</v>
      </c>
      <c r="G5" s="45"/>
      <c r="H5" s="46"/>
      <c r="I5" s="8"/>
      <c r="J5" s="45" t="s">
        <v>11</v>
      </c>
      <c r="K5" s="45"/>
      <c r="L5" s="45"/>
      <c r="M5" s="49" t="s">
        <v>18</v>
      </c>
      <c r="O5" s="12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spans="1:27" ht="15" customHeight="1" x14ac:dyDescent="0.25">
      <c r="A6" s="47"/>
      <c r="B6" s="39" t="s">
        <v>1</v>
      </c>
      <c r="C6" s="39"/>
      <c r="D6" s="40"/>
      <c r="E6" s="17"/>
      <c r="F6" s="41" t="s">
        <v>2</v>
      </c>
      <c r="G6" s="41"/>
      <c r="H6" s="42"/>
      <c r="I6" s="17"/>
      <c r="J6" s="41" t="s">
        <v>3</v>
      </c>
      <c r="K6" s="41"/>
      <c r="L6" s="41"/>
      <c r="M6" s="50"/>
    </row>
    <row r="7" spans="1:27" x14ac:dyDescent="0.25">
      <c r="A7" s="47"/>
      <c r="B7" s="5" t="s">
        <v>12</v>
      </c>
      <c r="C7" s="5" t="s">
        <v>7</v>
      </c>
      <c r="D7" s="13" t="s">
        <v>8</v>
      </c>
      <c r="E7" s="15"/>
      <c r="F7" s="5" t="s">
        <v>12</v>
      </c>
      <c r="G7" s="5" t="s">
        <v>7</v>
      </c>
      <c r="H7" s="13" t="s">
        <v>8</v>
      </c>
      <c r="I7" s="15"/>
      <c r="J7" s="5" t="s">
        <v>12</v>
      </c>
      <c r="K7" s="5" t="s">
        <v>7</v>
      </c>
      <c r="L7" s="5" t="s">
        <v>8</v>
      </c>
      <c r="M7" s="50"/>
    </row>
    <row r="8" spans="1:27" ht="18.75" x14ac:dyDescent="0.5">
      <c r="A8" s="48"/>
      <c r="B8" s="9" t="s">
        <v>14</v>
      </c>
      <c r="C8" s="9" t="s">
        <v>5</v>
      </c>
      <c r="D8" s="14" t="s">
        <v>6</v>
      </c>
      <c r="E8" s="16"/>
      <c r="F8" s="9" t="s">
        <v>14</v>
      </c>
      <c r="G8" s="9" t="s">
        <v>5</v>
      </c>
      <c r="H8" s="14" t="s">
        <v>6</v>
      </c>
      <c r="I8" s="16"/>
      <c r="J8" s="9" t="s">
        <v>14</v>
      </c>
      <c r="K8" s="9" t="s">
        <v>5</v>
      </c>
      <c r="L8" s="9" t="s">
        <v>6</v>
      </c>
      <c r="M8" s="51"/>
    </row>
    <row r="9" spans="1:27" s="4" customFormat="1" ht="21" x14ac:dyDescent="0.55000000000000004">
      <c r="A9" s="10" t="s">
        <v>0</v>
      </c>
      <c r="B9" s="32">
        <f>SUM(B10:B13)</f>
        <v>24883</v>
      </c>
      <c r="C9" s="32">
        <f>SUM(C10:C13)</f>
        <v>11547</v>
      </c>
      <c r="D9" s="33">
        <f>SUM(D10:D13)</f>
        <v>13336</v>
      </c>
      <c r="E9" s="10"/>
      <c r="F9" s="32">
        <f>SUM(F10:F13)</f>
        <v>8749</v>
      </c>
      <c r="G9" s="32">
        <f>SUM(G10:G13)</f>
        <v>3839</v>
      </c>
      <c r="H9" s="34">
        <f>SUM(H10:H13)</f>
        <v>4910</v>
      </c>
      <c r="I9" s="10"/>
      <c r="J9" s="32">
        <f>SUM(J10:J13)</f>
        <v>16134</v>
      </c>
      <c r="K9" s="32">
        <f>SUM(K10:K13)</f>
        <v>7708</v>
      </c>
      <c r="L9" s="32">
        <f>SUM(L10:L13)</f>
        <v>8426</v>
      </c>
      <c r="M9" s="36" t="s">
        <v>4</v>
      </c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spans="1:27" ht="21" x14ac:dyDescent="0.55000000000000004">
      <c r="A10" s="7" t="s">
        <v>15</v>
      </c>
      <c r="B10" s="24">
        <f t="shared" ref="B10:D13" si="0">F10+J10</f>
        <v>21249</v>
      </c>
      <c r="C10" s="24">
        <f t="shared" si="0"/>
        <v>9206</v>
      </c>
      <c r="D10" s="25">
        <f t="shared" si="0"/>
        <v>12043</v>
      </c>
      <c r="E10" s="26"/>
      <c r="F10" s="24">
        <f>SUM(G10:H10)</f>
        <v>7700</v>
      </c>
      <c r="G10" s="24">
        <v>3205</v>
      </c>
      <c r="H10" s="25">
        <v>4495</v>
      </c>
      <c r="I10" s="26"/>
      <c r="J10" s="24">
        <f>SUM(K10:L10)</f>
        <v>13549</v>
      </c>
      <c r="K10" s="24">
        <v>6001</v>
      </c>
      <c r="L10" s="24">
        <v>7548</v>
      </c>
      <c r="M10" s="37" t="s">
        <v>19</v>
      </c>
    </row>
    <row r="11" spans="1:27" ht="21" x14ac:dyDescent="0.55000000000000004">
      <c r="A11" s="7" t="s">
        <v>16</v>
      </c>
      <c r="B11" s="24">
        <f t="shared" si="0"/>
        <v>30</v>
      </c>
      <c r="C11" s="24">
        <f t="shared" si="0"/>
        <v>15</v>
      </c>
      <c r="D11" s="25">
        <f t="shared" si="0"/>
        <v>15</v>
      </c>
      <c r="E11" s="26"/>
      <c r="F11" s="24">
        <f>SUM(G11:H11)</f>
        <v>15</v>
      </c>
      <c r="G11" s="26">
        <v>6</v>
      </c>
      <c r="H11" s="27">
        <v>9</v>
      </c>
      <c r="I11" s="26"/>
      <c r="J11" s="24">
        <f>SUM(K11:L11)</f>
        <v>15</v>
      </c>
      <c r="K11" s="26">
        <v>9</v>
      </c>
      <c r="L11" s="26">
        <v>6</v>
      </c>
      <c r="M11" s="37" t="s">
        <v>20</v>
      </c>
    </row>
    <row r="12" spans="1:27" ht="21" x14ac:dyDescent="0.55000000000000004">
      <c r="A12" s="7" t="s">
        <v>24</v>
      </c>
      <c r="B12" s="24">
        <f t="shared" si="0"/>
        <v>3597</v>
      </c>
      <c r="C12" s="24">
        <f t="shared" si="0"/>
        <v>2321</v>
      </c>
      <c r="D12" s="25">
        <f t="shared" si="0"/>
        <v>1276</v>
      </c>
      <c r="E12" s="26"/>
      <c r="F12" s="24">
        <f>SUM(G12:H12)</f>
        <v>1034</v>
      </c>
      <c r="G12" s="26">
        <v>628</v>
      </c>
      <c r="H12" s="27">
        <v>406</v>
      </c>
      <c r="I12" s="26"/>
      <c r="J12" s="24">
        <f>SUM(K12:L12)</f>
        <v>2563</v>
      </c>
      <c r="K12" s="24">
        <v>1693</v>
      </c>
      <c r="L12" s="24">
        <v>870</v>
      </c>
      <c r="M12" s="37" t="s">
        <v>21</v>
      </c>
    </row>
    <row r="13" spans="1:27" ht="21" x14ac:dyDescent="0.55000000000000004">
      <c r="A13" s="35" t="s">
        <v>25</v>
      </c>
      <c r="B13" s="28">
        <f t="shared" si="0"/>
        <v>7</v>
      </c>
      <c r="C13" s="28">
        <f t="shared" si="0"/>
        <v>5</v>
      </c>
      <c r="D13" s="29">
        <f t="shared" si="0"/>
        <v>2</v>
      </c>
      <c r="E13" s="30"/>
      <c r="F13" s="28">
        <f>SUM(G13:H13)</f>
        <v>0</v>
      </c>
      <c r="G13" s="30">
        <v>0</v>
      </c>
      <c r="H13" s="31">
        <v>0</v>
      </c>
      <c r="I13" s="30"/>
      <c r="J13" s="28">
        <f>SUM(K13:L13)</f>
        <v>7</v>
      </c>
      <c r="K13" s="30">
        <v>5</v>
      </c>
      <c r="L13" s="30">
        <v>2</v>
      </c>
      <c r="M13" s="38" t="s">
        <v>22</v>
      </c>
    </row>
    <row r="14" spans="1:27" ht="17.25" x14ac:dyDescent="0.25">
      <c r="A14" s="6" t="s">
        <v>13</v>
      </c>
      <c r="M14" s="2" t="s">
        <v>17</v>
      </c>
    </row>
    <row r="15" spans="1:27" x14ac:dyDescent="0.25">
      <c r="B15" s="11"/>
      <c r="C15" s="11"/>
      <c r="D15" s="11"/>
    </row>
    <row r="16" spans="1:27" x14ac:dyDescent="0.25">
      <c r="B16" s="11"/>
      <c r="C16" s="11"/>
      <c r="D16" s="11"/>
    </row>
    <row r="17" spans="2:33" x14ac:dyDescent="0.25">
      <c r="B17" s="11"/>
      <c r="C17" s="11"/>
      <c r="D17" s="11"/>
    </row>
    <row r="18" spans="2:33" x14ac:dyDescent="0.25">
      <c r="B18" s="11"/>
      <c r="C18" s="11"/>
      <c r="D18" s="11"/>
    </row>
    <row r="19" spans="2:33" x14ac:dyDescent="0.25">
      <c r="B19" s="11"/>
      <c r="C19" s="11"/>
      <c r="D19" s="11"/>
    </row>
    <row r="20" spans="2:33" x14ac:dyDescent="0.25">
      <c r="AF20" s="1" t="s">
        <v>29</v>
      </c>
      <c r="AG20" s="19">
        <f>B10/B9*100</f>
        <v>85.395651649720691</v>
      </c>
    </row>
    <row r="21" spans="2:33" x14ac:dyDescent="0.25">
      <c r="AF21" s="1" t="s">
        <v>32</v>
      </c>
      <c r="AG21" s="19">
        <f>(B11+B12+B13)/B9*100</f>
        <v>14.604348350279306</v>
      </c>
    </row>
    <row r="22" spans="2:33" x14ac:dyDescent="0.25">
      <c r="AF22" s="1" t="s">
        <v>26</v>
      </c>
      <c r="AG22" s="19">
        <f>B11/B9*100</f>
        <v>0.12056424064622433</v>
      </c>
    </row>
    <row r="23" spans="2:33" x14ac:dyDescent="0.25">
      <c r="AF23" s="1" t="s">
        <v>28</v>
      </c>
      <c r="AG23" s="19">
        <f>B12/B9*100</f>
        <v>14.455652453482298</v>
      </c>
    </row>
    <row r="24" spans="2:33" x14ac:dyDescent="0.25">
      <c r="AF24" s="1" t="s">
        <v>27</v>
      </c>
      <c r="AG24" s="19">
        <f>B13/B9*100</f>
        <v>2.8131656150785674E-2</v>
      </c>
    </row>
  </sheetData>
  <mergeCells count="10">
    <mergeCell ref="B6:D6"/>
    <mergeCell ref="F6:H6"/>
    <mergeCell ref="J6:L6"/>
    <mergeCell ref="A2:M2"/>
    <mergeCell ref="A3:M3"/>
    <mergeCell ref="B5:D5"/>
    <mergeCell ref="F5:H5"/>
    <mergeCell ref="J5:L5"/>
    <mergeCell ref="A5:A8"/>
    <mergeCell ref="M5:M8"/>
  </mergeCells>
  <pageMargins left="0.7" right="0.7" top="0.59" bottom="0.47" header="0.3" footer="0.3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5.12</vt:lpstr>
      <vt:lpstr>'5.12'!Print_Area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2015-11-26T07:59:35Z</cp:lastPrinted>
  <dcterms:created xsi:type="dcterms:W3CDTF">2013-03-26T05:45:33Z</dcterms:created>
  <dcterms:modified xsi:type="dcterms:W3CDTF">2015-11-26T07:59:48Z</dcterms:modified>
</cp:coreProperties>
</file>