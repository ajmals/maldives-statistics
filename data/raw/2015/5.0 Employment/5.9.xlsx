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9" sheetId="9" r:id="rId1"/>
  </sheets>
  <definedNames>
    <definedName name="_xlnm.Print_Area" localSheetId="0">'5.9'!$A$1:$N$93</definedName>
    <definedName name="_xlnm.Print_Titles" localSheetId="0">'5.9'!$4:$7</definedName>
  </definedNames>
  <calcPr calcId="144525"/>
</workbook>
</file>

<file path=xl/calcChain.xml><?xml version="1.0" encoding="utf-8"?>
<calcChain xmlns="http://schemas.openxmlformats.org/spreadsheetml/2006/main">
  <c r="K75" i="9" l="1"/>
  <c r="G75" i="9"/>
  <c r="E75" i="9"/>
  <c r="D75" i="9"/>
  <c r="C75" i="9"/>
  <c r="K74" i="9"/>
  <c r="G74" i="9"/>
  <c r="E74" i="9"/>
  <c r="D74" i="9"/>
  <c r="C74" i="9" s="1"/>
  <c r="K73" i="9"/>
  <c r="G73" i="9"/>
  <c r="E73" i="9"/>
  <c r="D73" i="9"/>
  <c r="C73" i="9"/>
  <c r="K72" i="9"/>
  <c r="G72" i="9"/>
  <c r="E72" i="9"/>
  <c r="D72" i="9"/>
  <c r="C72" i="9" s="1"/>
  <c r="K71" i="9"/>
  <c r="G71" i="9"/>
  <c r="E71" i="9"/>
  <c r="D71" i="9"/>
  <c r="K70" i="9"/>
  <c r="G70" i="9"/>
  <c r="E70" i="9"/>
  <c r="D70" i="9"/>
  <c r="K69" i="9"/>
  <c r="G69" i="9"/>
  <c r="E69" i="9"/>
  <c r="D69" i="9"/>
  <c r="C69" i="9" s="1"/>
  <c r="K68" i="9"/>
  <c r="G68" i="9"/>
  <c r="E68" i="9"/>
  <c r="D68" i="9"/>
  <c r="K67" i="9"/>
  <c r="G67" i="9"/>
  <c r="E67" i="9"/>
  <c r="D67" i="9"/>
  <c r="C67" i="9"/>
  <c r="K66" i="9"/>
  <c r="G66" i="9"/>
  <c r="E66" i="9"/>
  <c r="D66" i="9"/>
  <c r="C66" i="9" s="1"/>
  <c r="K65" i="9"/>
  <c r="G65" i="9"/>
  <c r="E65" i="9"/>
  <c r="D65" i="9"/>
  <c r="C65" i="9"/>
  <c r="K64" i="9"/>
  <c r="G64" i="9"/>
  <c r="E64" i="9"/>
  <c r="D64" i="9"/>
  <c r="C64" i="9" s="1"/>
  <c r="K63" i="9"/>
  <c r="G63" i="9"/>
  <c r="E63" i="9"/>
  <c r="D63" i="9"/>
  <c r="C63" i="9" s="1"/>
  <c r="K62" i="9"/>
  <c r="G62" i="9"/>
  <c r="E62" i="9"/>
  <c r="D62" i="9"/>
  <c r="C62" i="9" s="1"/>
  <c r="K61" i="9"/>
  <c r="G61" i="9"/>
  <c r="E61" i="9"/>
  <c r="D61" i="9"/>
  <c r="C61" i="9" s="1"/>
  <c r="K60" i="9"/>
  <c r="G60" i="9"/>
  <c r="E60" i="9"/>
  <c r="D60" i="9"/>
  <c r="K59" i="9"/>
  <c r="G59" i="9"/>
  <c r="E59" i="9"/>
  <c r="D59" i="9"/>
  <c r="C59" i="9" s="1"/>
  <c r="K58" i="9"/>
  <c r="G58" i="9"/>
  <c r="E58" i="9"/>
  <c r="D58" i="9"/>
  <c r="C58" i="9" s="1"/>
  <c r="K57" i="9"/>
  <c r="G57" i="9"/>
  <c r="E57" i="9"/>
  <c r="D57" i="9"/>
  <c r="C57" i="9"/>
  <c r="K56" i="9"/>
  <c r="G56" i="9"/>
  <c r="E56" i="9"/>
  <c r="D56" i="9"/>
  <c r="C56" i="9" s="1"/>
  <c r="K55" i="9"/>
  <c r="G55" i="9"/>
  <c r="E55" i="9"/>
  <c r="D55" i="9"/>
  <c r="C55" i="9" s="1"/>
  <c r="K54" i="9"/>
  <c r="G54" i="9"/>
  <c r="E54" i="9"/>
  <c r="D54" i="9"/>
  <c r="C54" i="9" s="1"/>
  <c r="K53" i="9"/>
  <c r="G53" i="9"/>
  <c r="E53" i="9"/>
  <c r="D53" i="9"/>
  <c r="C53" i="9"/>
  <c r="K52" i="9"/>
  <c r="G52" i="9"/>
  <c r="E52" i="9"/>
  <c r="D52" i="9"/>
  <c r="C52" i="9" s="1"/>
  <c r="K51" i="9"/>
  <c r="G51" i="9"/>
  <c r="E51" i="9"/>
  <c r="D51" i="9"/>
  <c r="C51" i="9" s="1"/>
  <c r="K50" i="9"/>
  <c r="G50" i="9"/>
  <c r="E50" i="9"/>
  <c r="D50" i="9"/>
  <c r="K49" i="9"/>
  <c r="G49" i="9"/>
  <c r="E49" i="9"/>
  <c r="D49" i="9"/>
  <c r="C49" i="9" s="1"/>
  <c r="K48" i="9"/>
  <c r="G48" i="9"/>
  <c r="E48" i="9"/>
  <c r="D48" i="9"/>
  <c r="C48" i="9" s="1"/>
  <c r="K47" i="9"/>
  <c r="G47" i="9"/>
  <c r="E47" i="9"/>
  <c r="D47" i="9"/>
  <c r="C47" i="9" s="1"/>
  <c r="K46" i="9"/>
  <c r="G46" i="9"/>
  <c r="E46" i="9"/>
  <c r="D46" i="9"/>
  <c r="C46" i="9" s="1"/>
  <c r="K45" i="9"/>
  <c r="G45" i="9"/>
  <c r="E45" i="9"/>
  <c r="D45" i="9"/>
  <c r="C45" i="9"/>
  <c r="K44" i="9"/>
  <c r="G44" i="9"/>
  <c r="E44" i="9"/>
  <c r="D44" i="9"/>
  <c r="C44" i="9" s="1"/>
  <c r="K43" i="9"/>
  <c r="G43" i="9"/>
  <c r="E43" i="9"/>
  <c r="D43" i="9"/>
  <c r="C43" i="9"/>
  <c r="K42" i="9"/>
  <c r="G42" i="9"/>
  <c r="E42" i="9"/>
  <c r="D42" i="9"/>
  <c r="C42" i="9" s="1"/>
  <c r="K41" i="9"/>
  <c r="G41" i="9"/>
  <c r="E41" i="9"/>
  <c r="D41" i="9"/>
  <c r="C41" i="9" s="1"/>
  <c r="K40" i="9"/>
  <c r="G40" i="9"/>
  <c r="E40" i="9"/>
  <c r="D40" i="9"/>
  <c r="K39" i="9"/>
  <c r="G39" i="9"/>
  <c r="E39" i="9"/>
  <c r="D39" i="9"/>
  <c r="K38" i="9"/>
  <c r="G38" i="9"/>
  <c r="E38" i="9"/>
  <c r="D38" i="9"/>
  <c r="K37" i="9"/>
  <c r="G37" i="9"/>
  <c r="E37" i="9"/>
  <c r="D37" i="9"/>
  <c r="C37" i="9" s="1"/>
  <c r="K36" i="9"/>
  <c r="G36" i="9"/>
  <c r="E36" i="9"/>
  <c r="D36" i="9"/>
  <c r="K35" i="9"/>
  <c r="G35" i="9"/>
  <c r="E35" i="9"/>
  <c r="D35" i="9"/>
  <c r="C35" i="9"/>
  <c r="K34" i="9"/>
  <c r="G34" i="9"/>
  <c r="E34" i="9"/>
  <c r="D34" i="9"/>
  <c r="C34" i="9" s="1"/>
  <c r="K33" i="9"/>
  <c r="G33" i="9"/>
  <c r="E33" i="9"/>
  <c r="D33" i="9"/>
  <c r="C33" i="9"/>
  <c r="K32" i="9"/>
  <c r="G32" i="9"/>
  <c r="E32" i="9"/>
  <c r="D32" i="9"/>
  <c r="C32" i="9" s="1"/>
  <c r="K31" i="9"/>
  <c r="G31" i="9"/>
  <c r="E31" i="9"/>
  <c r="D31" i="9"/>
  <c r="C31" i="9" s="1"/>
  <c r="K30" i="9"/>
  <c r="G30" i="9"/>
  <c r="E30" i="9"/>
  <c r="D30" i="9"/>
  <c r="C30" i="9" s="1"/>
  <c r="K29" i="9"/>
  <c r="G29" i="9"/>
  <c r="E29" i="9"/>
  <c r="D29" i="9"/>
  <c r="C29" i="9" s="1"/>
  <c r="K28" i="9"/>
  <c r="G28" i="9"/>
  <c r="E28" i="9"/>
  <c r="D28" i="9"/>
  <c r="C28" i="9" s="1"/>
  <c r="K27" i="9"/>
  <c r="G27" i="9"/>
  <c r="E27" i="9"/>
  <c r="D27" i="9"/>
  <c r="C27" i="9" s="1"/>
  <c r="K26" i="9"/>
  <c r="G26" i="9"/>
  <c r="E26" i="9"/>
  <c r="D26" i="9"/>
  <c r="K25" i="9"/>
  <c r="G25" i="9"/>
  <c r="E25" i="9"/>
  <c r="D25" i="9"/>
  <c r="C25" i="9" s="1"/>
  <c r="K24" i="9"/>
  <c r="G24" i="9"/>
  <c r="E24" i="9"/>
  <c r="D24" i="9"/>
  <c r="C24" i="9" s="1"/>
  <c r="K23" i="9"/>
  <c r="G23" i="9"/>
  <c r="E23" i="9"/>
  <c r="D23" i="9"/>
  <c r="C23" i="9" s="1"/>
  <c r="K22" i="9"/>
  <c r="G22" i="9"/>
  <c r="E22" i="9"/>
  <c r="D22" i="9"/>
  <c r="C22" i="9" s="1"/>
  <c r="K21" i="9"/>
  <c r="G21" i="9"/>
  <c r="E21" i="9"/>
  <c r="D21" i="9"/>
  <c r="C21" i="9"/>
  <c r="K20" i="9"/>
  <c r="G20" i="9"/>
  <c r="E20" i="9"/>
  <c r="D20" i="9"/>
  <c r="C20" i="9" s="1"/>
  <c r="K19" i="9"/>
  <c r="G19" i="9"/>
  <c r="E19" i="9"/>
  <c r="D19" i="9"/>
  <c r="C19" i="9"/>
  <c r="K18" i="9"/>
  <c r="G18" i="9"/>
  <c r="E18" i="9"/>
  <c r="D18" i="9"/>
  <c r="K17" i="9"/>
  <c r="G17" i="9"/>
  <c r="E17" i="9"/>
  <c r="D17" i="9"/>
  <c r="C17" i="9" s="1"/>
  <c r="K16" i="9"/>
  <c r="G16" i="9"/>
  <c r="E16" i="9"/>
  <c r="D16" i="9"/>
  <c r="K15" i="9"/>
  <c r="G15" i="9"/>
  <c r="E15" i="9"/>
  <c r="D15" i="9"/>
  <c r="K14" i="9"/>
  <c r="G14" i="9"/>
  <c r="E14" i="9"/>
  <c r="D14" i="9"/>
  <c r="K13" i="9"/>
  <c r="G13" i="9"/>
  <c r="E13" i="9"/>
  <c r="D13" i="9"/>
  <c r="K12" i="9"/>
  <c r="G12" i="9"/>
  <c r="E12" i="9"/>
  <c r="D12" i="9"/>
  <c r="K11" i="9"/>
  <c r="G11" i="9"/>
  <c r="E11" i="9"/>
  <c r="D11" i="9"/>
  <c r="C11" i="9" s="1"/>
  <c r="K10" i="9"/>
  <c r="G10" i="9"/>
  <c r="E10" i="9"/>
  <c r="D10" i="9"/>
  <c r="M9" i="9"/>
  <c r="L9" i="9"/>
  <c r="I9" i="9"/>
  <c r="H9" i="9"/>
  <c r="C18" i="9" l="1"/>
  <c r="G9" i="9"/>
  <c r="K9" i="9"/>
  <c r="C36" i="9"/>
  <c r="C68" i="9"/>
  <c r="E9" i="9"/>
  <c r="C12" i="9"/>
  <c r="C13" i="9"/>
  <c r="C14" i="9"/>
  <c r="C15" i="9"/>
  <c r="C16" i="9"/>
  <c r="C26" i="9"/>
  <c r="C38" i="9"/>
  <c r="C39" i="9"/>
  <c r="C40" i="9"/>
  <c r="C50" i="9"/>
  <c r="C60" i="9"/>
  <c r="C70" i="9"/>
  <c r="C71" i="9"/>
  <c r="D9" i="9"/>
  <c r="C9" i="9" s="1"/>
  <c r="C10" i="9"/>
</calcChain>
</file>

<file path=xl/sharedStrings.xml><?xml version="1.0" encoding="utf-8"?>
<sst xmlns="http://schemas.openxmlformats.org/spreadsheetml/2006/main" count="119" uniqueCount="86">
  <si>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</si>
  <si>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</si>
  <si>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</si>
  <si>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</si>
  <si>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</si>
  <si>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</si>
  <si>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</si>
  <si>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</si>
  <si>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Rank</t>
  </si>
  <si>
    <t>Both Sexes</t>
  </si>
  <si>
    <t xml:space="preserve">SS1   </t>
  </si>
  <si>
    <t xml:space="preserve">SS2   </t>
  </si>
  <si>
    <t xml:space="preserve">GS1   </t>
  </si>
  <si>
    <t xml:space="preserve">SS3   </t>
  </si>
  <si>
    <t xml:space="preserve">GS2   </t>
  </si>
  <si>
    <t xml:space="preserve">SS4   </t>
  </si>
  <si>
    <t xml:space="preserve">GS3   </t>
  </si>
  <si>
    <t xml:space="preserve">GS4   </t>
  </si>
  <si>
    <t>CS3-1</t>
  </si>
  <si>
    <t xml:space="preserve">MS1   </t>
  </si>
  <si>
    <t>CS3-2</t>
  </si>
  <si>
    <t>CS4-1</t>
  </si>
  <si>
    <t xml:space="preserve">MS2   </t>
  </si>
  <si>
    <t>CS4-3</t>
  </si>
  <si>
    <t xml:space="preserve">MS3   </t>
  </si>
  <si>
    <t>CS5-2</t>
  </si>
  <si>
    <t>CS3-3</t>
  </si>
  <si>
    <t>CS5-3</t>
  </si>
  <si>
    <t>CS6-1</t>
  </si>
  <si>
    <t xml:space="preserve">MS4   </t>
  </si>
  <si>
    <t>CS6-2</t>
  </si>
  <si>
    <t>CS5-1</t>
  </si>
  <si>
    <t xml:space="preserve">EX1   </t>
  </si>
  <si>
    <t xml:space="preserve">EX2   </t>
  </si>
  <si>
    <t xml:space="preserve">EX3   </t>
  </si>
  <si>
    <t>CS10-2</t>
  </si>
  <si>
    <t>CS11-2</t>
  </si>
  <si>
    <t xml:space="preserve">EX4   </t>
  </si>
  <si>
    <t xml:space="preserve">EX5   </t>
  </si>
  <si>
    <t>CS13-1</t>
  </si>
  <si>
    <t>CS13-2</t>
  </si>
  <si>
    <t xml:space="preserve">EX6   </t>
  </si>
  <si>
    <t xml:space="preserve">EX7   </t>
  </si>
  <si>
    <t xml:space="preserve">EX8   </t>
  </si>
  <si>
    <t xml:space="preserve">ZV7   </t>
  </si>
  <si>
    <t>Source: Civil Service Commision</t>
  </si>
  <si>
    <t>ދެޖިންސް</t>
  </si>
  <si>
    <t>މުވައްޒަފުންގެ އަދަދު</t>
  </si>
  <si>
    <t>No. of Employees</t>
  </si>
  <si>
    <t>ރޭންކް</t>
  </si>
  <si>
    <t>No: of Employee</t>
  </si>
  <si>
    <r>
      <t xml:space="preserve">Note:  </t>
    </r>
    <r>
      <rPr>
        <sz val="9"/>
        <color theme="1"/>
        <rFont val="Calibri"/>
        <family val="2"/>
        <scheme val="minor"/>
      </rPr>
      <t>Highest 10 job ranks</t>
    </r>
  </si>
  <si>
    <t>CS10-1</t>
  </si>
  <si>
    <t>CS10-3</t>
  </si>
  <si>
    <t>CS11-3</t>
  </si>
  <si>
    <t>CS14-1</t>
  </si>
  <si>
    <t>CS14-3</t>
  </si>
  <si>
    <t>CS15</t>
  </si>
  <si>
    <t>CS16</t>
  </si>
  <si>
    <t>CS2</t>
  </si>
  <si>
    <t>CS6-3</t>
  </si>
  <si>
    <t>CS7-1</t>
  </si>
  <si>
    <t>CS7-2</t>
  </si>
  <si>
    <t>CS7-3</t>
  </si>
  <si>
    <t>CS8-1</t>
  </si>
  <si>
    <t>CS8-2</t>
  </si>
  <si>
    <t>CS9-1</t>
  </si>
  <si>
    <t>CS9-2</t>
  </si>
  <si>
    <t>CS9-3</t>
  </si>
  <si>
    <t xml:space="preserve">SS5   </t>
  </si>
  <si>
    <t>މަޢުލޫމާތު ދެއްވި ފަރާތް: ސިވިލް ސަރވިސް ކޮމިޝަން</t>
  </si>
  <si>
    <t>ތާވަލް 5.9: ސިވިލް ސަރވިސްގައި ވަޒީފާއަދާކުރާ މުވައްޒަފުން، ރޭންކު އަދި ބޭސިކް މުސާރަ، 2014</t>
  </si>
  <si>
    <t>Table 5.9 :  CIVIL SERVANTS CLASSIFIED BY JOB RANK AND BASIC SALARY, 2014</t>
  </si>
  <si>
    <t>CS12-1</t>
  </si>
  <si>
    <t>CS12-2</t>
  </si>
  <si>
    <t>CS12-3</t>
  </si>
  <si>
    <t>CS14-2</t>
  </si>
  <si>
    <t>CS15-1</t>
  </si>
  <si>
    <t>CS15-2</t>
  </si>
  <si>
    <t>CS15-3</t>
  </si>
  <si>
    <t>CS15-4</t>
  </si>
  <si>
    <t>CS15-5</t>
  </si>
  <si>
    <t>CS16-3</t>
  </si>
  <si>
    <t>CS17</t>
  </si>
  <si>
    <t>CS17-2</t>
  </si>
  <si>
    <t>CS18-2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</si>
</sst>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0" fontId="17" fillId="0" borderId="0"/>
  </cellStyleXfs>
  <cellXfs count="73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7" fillId="2" borderId="0" xfId="0" applyFont="1" applyFill="1"/>
    <xf numFmtId="0" fontId="0" fillId="2" borderId="0" xfId="0" applyFont="1" applyFill="1"/>
    <xf numFmtId="3" fontId="7" fillId="2" borderId="2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71" fontId="0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5" fillId="2" borderId="0" xfId="5" applyFont="1" applyFill="1" applyBorder="1" applyAlignment="1"/>
    <xf numFmtId="174" fontId="16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indent="2"/>
    </xf>
    <xf numFmtId="0" fontId="7" fillId="2" borderId="2" xfId="0" applyFont="1" applyFill="1" applyBorder="1" applyAlignment="1">
      <alignment horizontal="left" vertical="center" indent="2"/>
    </xf>
    <xf numFmtId="164" fontId="10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3" fontId="8" fillId="2" borderId="0" xfId="1" applyNumberFormat="1" applyFont="1" applyFill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71" fontId="0" fillId="2" borderId="0" xfId="1" applyNumberFormat="1" applyFont="1" applyFill="1" applyBorder="1"/>
    <xf numFmtId="171" fontId="0" fillId="2" borderId="0" xfId="0" applyNumberFormat="1" applyFill="1" applyBorder="1"/>
    <xf numFmtId="0" fontId="9" fillId="2" borderId="4" xfId="8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readingOrder="2"/>
    </xf>
    <xf numFmtId="0" fontId="14" fillId="2" borderId="0" xfId="0" applyFont="1" applyFill="1" applyBorder="1" applyAlignment="1">
      <alignment horizontal="center" vertical="center" readingOrder="2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164" fontId="8" fillId="2" borderId="2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center" vertical="center"/>
    </xf>
    <xf numFmtId="3" fontId="8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71" fontId="2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4" fillId="2" borderId="7" xfId="0" applyFont="1" applyFill="1" applyBorder="1" applyAlignment="1">
      <alignment horizontal="right" vertical="center" readingOrder="2"/>
    </xf>
    <xf numFmtId="0" fontId="14" fillId="2" borderId="8" xfId="0" applyFont="1" applyFill="1" applyBorder="1" applyAlignment="1">
      <alignment horizontal="right" vertical="center" readingOrder="2"/>
    </xf>
    <xf numFmtId="164" fontId="8" fillId="2" borderId="9" xfId="1" applyNumberFormat="1" applyFont="1" applyFill="1" applyBorder="1" applyAlignment="1">
      <alignment horizontal="right" vertical="center"/>
    </xf>
    <xf numFmtId="164" fontId="8" fillId="2" borderId="10" xfId="1" applyNumberFormat="1" applyFont="1" applyFill="1" applyBorder="1" applyAlignment="1">
      <alignment horizontal="right" vertical="center"/>
    </xf>
    <xf numFmtId="164" fontId="8" fillId="2" borderId="7" xfId="1" applyNumberFormat="1" applyFont="1" applyFill="1" applyBorder="1" applyAlignment="1">
      <alignment horizontal="center" vertical="center"/>
    </xf>
    <xf numFmtId="164" fontId="8" fillId="2" borderId="8" xfId="1" applyNumberFormat="1" applyFont="1" applyFill="1" applyBorder="1" applyAlignment="1">
      <alignment horizontal="center" vertical="center"/>
    </xf>
    <xf numFmtId="3" fontId="8" fillId="2" borderId="7" xfId="1" applyNumberFormat="1" applyFont="1" applyFill="1" applyBorder="1" applyAlignment="1">
      <alignment horizontal="right" vertical="center"/>
    </xf>
    <xf numFmtId="3" fontId="8" fillId="2" borderId="8" xfId="1" applyNumberFormat="1" applyFont="1" applyFill="1" applyBorder="1" applyAlignment="1">
      <alignment horizontal="right" vertical="center"/>
    </xf>
    <xf numFmtId="3" fontId="7" fillId="2" borderId="8" xfId="1" applyNumberFormat="1" applyFont="1" applyFill="1" applyBorder="1" applyAlignment="1">
      <alignment horizontal="right" vertical="center"/>
    </xf>
    <xf numFmtId="3" fontId="8" fillId="2" borderId="9" xfId="1" applyNumberFormat="1" applyFont="1" applyFill="1" applyBorder="1" applyAlignment="1">
      <alignment horizontal="right" vertical="center"/>
    </xf>
    <xf numFmtId="3" fontId="7" fillId="2" borderId="10" xfId="1" applyNumberFormat="1" applyFont="1" applyFill="1" applyBorder="1" applyAlignment="1">
      <alignment horizontal="right" vertical="center"/>
    </xf>
    <xf numFmtId="164" fontId="8" fillId="2" borderId="11" xfId="1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 readingOrder="2"/>
    </xf>
    <xf numFmtId="0" fontId="0" fillId="2" borderId="0" xfId="0" applyFill="1"/>
    <xf numFmtId="0" fontId="8" fillId="2" borderId="3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5" fillId="2" borderId="0" xfId="5" applyFont="1" applyFill="1" applyBorder="1" applyAlignment="1">
      <alignment horizontal="center"/>
    </xf>
    <xf numFmtId="174" fontId="4" fillId="2" borderId="0" xfId="7" applyNumberFormat="1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>
      <alignment horizontal="center" vertical="center" readingOrder="2"/>
    </xf>
    <xf numFmtId="0" fontId="14" fillId="2" borderId="0" xfId="0" applyFont="1" applyFill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left" vertical="center" readingOrder="2"/>
    </xf>
    <xf numFmtId="164" fontId="8" fillId="2" borderId="6" xfId="1" applyNumberFormat="1" applyFont="1" applyFill="1" applyBorder="1" applyAlignment="1">
      <alignment horizontal="center" vertical="center"/>
    </xf>
    <xf numFmtId="164" fontId="8" fillId="2" borderId="12" xfId="1" applyNumberFormat="1" applyFont="1" applyFill="1" applyBorder="1" applyAlignment="1">
      <alignment horizontal="center" vertical="center"/>
    </xf>
    <xf numFmtId="164" fontId="8" fillId="2" borderId="11" xfId="1" applyNumberFormat="1" applyFont="1" applyFill="1" applyBorder="1" applyAlignment="1">
      <alignment horizontal="center" vertical="center"/>
    </xf>
    <xf numFmtId="164" fontId="8" fillId="2" borderId="13" xfId="1" applyNumberFormat="1" applyFont="1" applyFill="1" applyBorder="1" applyAlignment="1">
      <alignment horizontal="center" vertic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44503289810869"/>
          <c:y val="0.1446944097732567"/>
          <c:w val="0.85641097158239232"/>
          <c:h val="0.660305054871990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GB"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'5.9'!$AF$84:$AF$93</c:f>
              <c:strCache>
                <c:ptCount val="10"/>
                <c:pt idx="0">
                  <c:v>MS1   </c:v>
                </c:pt>
                <c:pt idx="1">
                  <c:v>SS1   </c:v>
                </c:pt>
                <c:pt idx="2">
                  <c:v>GS3   </c:v>
                </c:pt>
                <c:pt idx="3">
                  <c:v>MS2   </c:v>
                </c:pt>
                <c:pt idx="4">
                  <c:v>MS3   </c:v>
                </c:pt>
                <c:pt idx="5">
                  <c:v>SS2   </c:v>
                </c:pt>
                <c:pt idx="6">
                  <c:v>GS4   </c:v>
                </c:pt>
                <c:pt idx="7">
                  <c:v>GS2   </c:v>
                </c:pt>
                <c:pt idx="8">
                  <c:v>MS4   </c:v>
                </c:pt>
                <c:pt idx="9">
                  <c:v>GS1   </c:v>
                </c:pt>
              </c:strCache>
            </c:strRef>
          </c:cat>
          <c:val>
            <c:numRef>
              <c:f>'5.9'!$AG$84:$AG$93</c:f>
              <c:numCache>
                <c:formatCode>#,##0</c:formatCode>
                <c:ptCount val="10"/>
                <c:pt idx="0">
                  <c:v>4178</c:v>
                </c:pt>
                <c:pt idx="1">
                  <c:v>3708</c:v>
                </c:pt>
                <c:pt idx="2">
                  <c:v>3550</c:v>
                </c:pt>
                <c:pt idx="3">
                  <c:v>3065</c:v>
                </c:pt>
                <c:pt idx="4">
                  <c:v>2421</c:v>
                </c:pt>
                <c:pt idx="5">
                  <c:v>1992</c:v>
                </c:pt>
                <c:pt idx="6">
                  <c:v>1852</c:v>
                </c:pt>
                <c:pt idx="7">
                  <c:v>961</c:v>
                </c:pt>
                <c:pt idx="8">
                  <c:v>790</c:v>
                </c:pt>
                <c:pt idx="9">
                  <c:v>525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49130880"/>
        <c:axId val="49133056"/>
      </c:barChart>
      <c:catAx>
        <c:axId val="4913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Job Rank</a:t>
                </a:r>
              </a:p>
            </c:rich>
          </c:tx>
          <c:layout>
            <c:manualLayout>
              <c:xMode val="edge"/>
              <c:yMode val="edge"/>
              <c:x val="0.47192988541630532"/>
              <c:y val="0.9075984882036545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49133056"/>
        <c:crosses val="autoZero"/>
        <c:auto val="1"/>
        <c:lblAlgn val="ctr"/>
        <c:lblOffset val="100"/>
        <c:noMultiLvlLbl val="0"/>
      </c:catAx>
      <c:valAx>
        <c:axId val="49133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1197598097594628E-2"/>
              <c:y val="0.2339284352133637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4913088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107226</xdr:colOff>
      <xdr:row>77</xdr:row>
      <xdr:rowOff>116978</xdr:rowOff>
    </xdr:from>
    <xdr:to>
      <xdr:col>12</xdr:col>
      <xdr:colOff>55666</xdr:colOff>
      <xdr:row>91</xdr:row>
      <xdr:rowOff>130709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155614</xdr:colOff>
      <xdr:row>90</xdr:row>
      <xdr:rowOff>128031</xdr:rowOff>
    </xdr:from>
    <xdr:to>
      <xdr:col>4</xdr:col>
      <xdr:colOff>177265</xdr:colOff>
      <xdr:row>91</xdr:row>
      <xdr:rowOff>84312</xdr:rowOff>
    </xdr:to>
    <xdr:sp macro="" textlink="">
      <xdr:nvSpPr>
        <xdr:cNvPr id="5" name="TextBox 4"/>
        <xdr:cNvSpPr txBox="1"/>
      </xdr:nvSpPr>
      <xdr:spPr>
        <a:xfrm>
          <a:off x="811231" y="18571895"/>
          <a:ext cx="1351440" cy="148018"/>
        </a:xfrm>
        <a:prstGeom prst="rect">
          <a:avLst/>
        </a:prstGeom>
        <a:solidFill>
          <a:schemeClr val="lt1"/>
        </a:solidFill>
        <a:ln w="317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/>
            <a:t>Note: The highest  10 Ranks</a:t>
          </a:r>
        </a:p>
      </xdr:txBody>
    </xdr:sp>
    <xdr:clientData/>
  </xdr:twoCellAnchor>
  <xdr:twoCellAnchor>
    <xdr:from>
      <xdr:col>2</xdr:col>
      <xdr:colOff>692728</xdr:colOff>
      <xdr:row>77</xdr:row>
      <xdr:rowOff>160812</xdr:rowOff>
    </xdr:from>
    <xdr:to>
      <xdr:col>11</xdr:col>
      <xdr:colOff>408215</xdr:colOff>
      <xdr:row>78</xdr:row>
      <xdr:rowOff>166997</xdr:rowOff>
    </xdr:to>
    <xdr:sp macro="" textlink="">
      <xdr:nvSpPr>
        <xdr:cNvPr id="8" name="TextBox 7"/>
        <xdr:cNvSpPr txBox="1"/>
      </xdr:nvSpPr>
      <xdr:spPr>
        <a:xfrm>
          <a:off x="1348345" y="16074984"/>
          <a:ext cx="4539838" cy="1979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5.4: Number of civil servants </a:t>
          </a:r>
          <a:r>
            <a:rPr lang="en-US" sz="9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selected</a:t>
          </a:r>
          <a:r>
            <a:rPr lang="en-US" sz="10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by job rank, 2014</a:t>
          </a:r>
          <a:endParaRPr lang="en-US" sz="10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7204</xdr:colOff>
      <xdr:row>78</xdr:row>
      <xdr:rowOff>160812</xdr:rowOff>
    </xdr:from>
    <xdr:to>
      <xdr:col>11</xdr:col>
      <xdr:colOff>377288</xdr:colOff>
      <xdr:row>78</xdr:row>
      <xdr:rowOff>162729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380288" y="16266721"/>
          <a:ext cx="4476968" cy="1917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95"/>
  <sheetViews>
    <sheetView tabSelected="1" view="pageBreakPreview" topLeftCell="A73" zoomScale="106" zoomScaleSheetLayoutView="106" workbookViewId="0">
      <selection activeCell="H11" sqref="H11"/>
    </sheetView>
  </sheetViews>
  <sheetFormatPr defaultColWidth="9.140625" defaultRowHeight="15" x14ac:dyDescent="0.25"/>
  <cols>
    <col min="1" max="1" width="9.85546875" style="14" customWidth="1"/>
    <col min="2" max="2" width="1" style="13" hidden="1" customWidth="1"/>
    <col min="3" max="3" width="10.7109375" style="44" customWidth="1"/>
    <col min="4" max="5" width="9.140625" style="16" customWidth="1"/>
    <col min="6" max="6" width="2.140625" style="16" customWidth="1"/>
    <col min="7" max="7" width="11.28515625" style="16" customWidth="1"/>
    <col min="8" max="8" width="9.28515625" style="16" customWidth="1"/>
    <col min="9" max="9" width="9.140625" style="16" customWidth="1"/>
    <col min="10" max="10" width="2.140625" style="16" customWidth="1"/>
    <col min="11" max="13" width="9.140625" style="16" customWidth="1"/>
    <col min="14" max="14" width="6.140625" style="13" customWidth="1"/>
    <col min="15" max="16384" width="9.140625" style="13"/>
  </cols>
  <sheetData>
    <row r="1" spans="1:29" ht="21" x14ac:dyDescent="0.55000000000000004">
      <c r="A1" s="63" t="s">
        <v>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1"/>
    </row>
    <row r="2" spans="1:29" ht="15.75" x14ac:dyDescent="0.25">
      <c r="A2" s="64" t="s">
        <v>72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4.5" customHeight="1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29" s="4" customFormat="1" ht="18.600000000000001" customHeight="1" x14ac:dyDescent="0.2">
      <c r="A4" s="65" t="s">
        <v>49</v>
      </c>
      <c r="B4" s="35"/>
      <c r="C4" s="67" t="s">
        <v>48</v>
      </c>
      <c r="D4" s="67"/>
      <c r="E4" s="67"/>
      <c r="F4" s="67"/>
      <c r="G4" s="67"/>
      <c r="H4" s="68" t="s">
        <v>47</v>
      </c>
      <c r="I4" s="68"/>
      <c r="J4" s="68"/>
      <c r="K4" s="68"/>
      <c r="L4" s="68"/>
      <c r="M4" s="68"/>
      <c r="Q4" s="9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9"/>
    </row>
    <row r="5" spans="1:29" s="10" customFormat="1" ht="15" customHeight="1" x14ac:dyDescent="0.25">
      <c r="A5" s="66"/>
      <c r="B5" s="36"/>
      <c r="C5" s="69" t="s">
        <v>1</v>
      </c>
      <c r="D5" s="69"/>
      <c r="E5" s="69"/>
      <c r="F5" s="57"/>
      <c r="G5" s="70" t="s">
        <v>2</v>
      </c>
      <c r="H5" s="71"/>
      <c r="I5" s="72"/>
      <c r="J5" s="57"/>
      <c r="K5" s="69" t="s">
        <v>3</v>
      </c>
      <c r="L5" s="69"/>
      <c r="M5" s="69"/>
    </row>
    <row r="6" spans="1:29" s="10" customFormat="1" ht="18.75" x14ac:dyDescent="0.25">
      <c r="A6" s="61" t="s">
        <v>8</v>
      </c>
      <c r="B6" s="11"/>
      <c r="C6" s="9" t="s">
        <v>46</v>
      </c>
      <c r="D6" s="9" t="s">
        <v>4</v>
      </c>
      <c r="E6" s="9" t="s">
        <v>5</v>
      </c>
      <c r="F6" s="9"/>
      <c r="G6" s="46" t="s">
        <v>46</v>
      </c>
      <c r="H6" s="9" t="s">
        <v>4</v>
      </c>
      <c r="I6" s="47" t="s">
        <v>5</v>
      </c>
      <c r="J6" s="9"/>
      <c r="K6" s="9" t="s">
        <v>46</v>
      </c>
      <c r="L6" s="9" t="s">
        <v>4</v>
      </c>
      <c r="M6" s="9" t="s">
        <v>5</v>
      </c>
    </row>
    <row r="7" spans="1:29" s="15" customFormat="1" ht="12.75" x14ac:dyDescent="0.25">
      <c r="A7" s="62"/>
      <c r="B7" s="38"/>
      <c r="C7" s="39" t="s">
        <v>9</v>
      </c>
      <c r="D7" s="39" t="s">
        <v>6</v>
      </c>
      <c r="E7" s="39" t="s">
        <v>7</v>
      </c>
      <c r="F7" s="39"/>
      <c r="G7" s="48" t="s">
        <v>9</v>
      </c>
      <c r="H7" s="39" t="s">
        <v>6</v>
      </c>
      <c r="I7" s="49" t="s">
        <v>7</v>
      </c>
      <c r="J7" s="39"/>
      <c r="K7" s="39" t="s">
        <v>9</v>
      </c>
      <c r="L7" s="39" t="s">
        <v>6</v>
      </c>
      <c r="M7" s="39" t="s">
        <v>7</v>
      </c>
    </row>
    <row r="8" spans="1:29" s="15" customFormat="1" ht="6.6" customHeight="1" x14ac:dyDescent="0.25">
      <c r="A8" s="37"/>
      <c r="B8" s="11"/>
      <c r="C8" s="40"/>
      <c r="D8" s="40"/>
      <c r="E8" s="40"/>
      <c r="F8" s="40"/>
      <c r="G8" s="50"/>
      <c r="H8" s="40"/>
      <c r="I8" s="51"/>
      <c r="J8" s="40"/>
      <c r="K8" s="40"/>
      <c r="L8" s="40"/>
      <c r="M8" s="40"/>
    </row>
    <row r="9" spans="1:29" s="23" customFormat="1" ht="16.899999999999999" customHeight="1" x14ac:dyDescent="0.25">
      <c r="A9" s="37" t="s">
        <v>0</v>
      </c>
      <c r="B9" s="28"/>
      <c r="C9" s="28">
        <f>SUM(D9:E9)</f>
        <v>24883</v>
      </c>
      <c r="D9" s="28">
        <f>SUM(D10:D75)</f>
        <v>11547</v>
      </c>
      <c r="E9" s="28">
        <f>SUM(E10:E75)</f>
        <v>13336</v>
      </c>
      <c r="F9" s="28"/>
      <c r="G9" s="52">
        <f>SUM(H9:I9)</f>
        <v>8749</v>
      </c>
      <c r="H9" s="8">
        <f>SUM(H10:H75)</f>
        <v>3839</v>
      </c>
      <c r="I9" s="53">
        <f>SUM(I10:I75)</f>
        <v>4910</v>
      </c>
      <c r="J9" s="28"/>
      <c r="K9" s="28">
        <f>SUM(K10:K75)</f>
        <v>16134</v>
      </c>
      <c r="L9" s="28">
        <f>SUM(L10:L75)</f>
        <v>7708</v>
      </c>
      <c r="M9" s="28">
        <f>SUM(M10:M75)</f>
        <v>8426</v>
      </c>
    </row>
    <row r="10" spans="1:29" ht="16.899999999999999" customHeight="1" x14ac:dyDescent="0.25">
      <c r="A10" s="24" t="s">
        <v>52</v>
      </c>
      <c r="B10" s="29"/>
      <c r="C10" s="28">
        <f t="shared" ref="C10:C75" si="0">D10+E10</f>
        <v>6</v>
      </c>
      <c r="D10" s="29">
        <f t="shared" ref="D10:E57" si="1">H10+L10</f>
        <v>2</v>
      </c>
      <c r="E10" s="29">
        <f t="shared" si="1"/>
        <v>4</v>
      </c>
      <c r="F10" s="29"/>
      <c r="G10" s="52">
        <f>H10+I10</f>
        <v>6</v>
      </c>
      <c r="H10" s="7">
        <v>2</v>
      </c>
      <c r="I10" s="54">
        <v>4</v>
      </c>
      <c r="J10" s="29"/>
      <c r="K10" s="28">
        <f t="shared" ref="K10:K75" si="2">L10+M10</f>
        <v>0</v>
      </c>
      <c r="L10" s="29">
        <v>0</v>
      </c>
      <c r="M10" s="29">
        <v>0</v>
      </c>
      <c r="O10" s="30"/>
      <c r="P10" s="31"/>
    </row>
    <row r="11" spans="1:29" ht="16.899999999999999" customHeight="1" x14ac:dyDescent="0.25">
      <c r="A11" s="24" t="s">
        <v>35</v>
      </c>
      <c r="B11" s="29"/>
      <c r="C11" s="28">
        <f t="shared" si="0"/>
        <v>8</v>
      </c>
      <c r="D11" s="29">
        <f t="shared" si="1"/>
        <v>8</v>
      </c>
      <c r="E11" s="29">
        <f>I11+M11</f>
        <v>0</v>
      </c>
      <c r="F11" s="29"/>
      <c r="G11" s="52">
        <f>H11+I11</f>
        <v>8</v>
      </c>
      <c r="H11" s="7">
        <v>8</v>
      </c>
      <c r="I11" s="54">
        <v>0</v>
      </c>
      <c r="J11" s="29"/>
      <c r="K11" s="28">
        <f t="shared" si="2"/>
        <v>0</v>
      </c>
      <c r="L11" s="29">
        <v>0</v>
      </c>
      <c r="M11" s="29">
        <v>0</v>
      </c>
      <c r="P11" s="31"/>
    </row>
    <row r="12" spans="1:29" ht="16.899999999999999" customHeight="1" x14ac:dyDescent="0.25">
      <c r="A12" s="24" t="s">
        <v>53</v>
      </c>
      <c r="B12" s="29"/>
      <c r="C12" s="28">
        <f t="shared" si="0"/>
        <v>4</v>
      </c>
      <c r="D12" s="29">
        <f t="shared" si="1"/>
        <v>4</v>
      </c>
      <c r="E12" s="29">
        <f t="shared" si="1"/>
        <v>0</v>
      </c>
      <c r="F12" s="29"/>
      <c r="G12" s="52">
        <f t="shared" ref="G12:G75" si="3">H12+I12</f>
        <v>4</v>
      </c>
      <c r="H12" s="7">
        <v>4</v>
      </c>
      <c r="I12" s="54">
        <v>0</v>
      </c>
      <c r="J12" s="29"/>
      <c r="K12" s="28">
        <f t="shared" si="2"/>
        <v>0</v>
      </c>
      <c r="L12" s="29">
        <v>0</v>
      </c>
      <c r="M12" s="29">
        <v>0</v>
      </c>
      <c r="P12" s="31"/>
    </row>
    <row r="13" spans="1:29" ht="16.899999999999999" customHeight="1" x14ac:dyDescent="0.25">
      <c r="A13" s="24" t="s">
        <v>36</v>
      </c>
      <c r="B13" s="29"/>
      <c r="C13" s="28">
        <f t="shared" si="0"/>
        <v>5</v>
      </c>
      <c r="D13" s="29">
        <f t="shared" si="1"/>
        <v>2</v>
      </c>
      <c r="E13" s="29">
        <f t="shared" si="1"/>
        <v>3</v>
      </c>
      <c r="F13" s="29"/>
      <c r="G13" s="52">
        <f t="shared" si="3"/>
        <v>5</v>
      </c>
      <c r="H13" s="7">
        <v>2</v>
      </c>
      <c r="I13" s="54">
        <v>3</v>
      </c>
      <c r="J13" s="29"/>
      <c r="K13" s="28">
        <f t="shared" si="2"/>
        <v>0</v>
      </c>
      <c r="L13" s="29">
        <v>0</v>
      </c>
      <c r="M13" s="29">
        <v>0</v>
      </c>
      <c r="O13" s="30"/>
      <c r="P13" s="31"/>
    </row>
    <row r="14" spans="1:29" ht="16.899999999999999" customHeight="1" x14ac:dyDescent="0.25">
      <c r="A14" s="24" t="s">
        <v>54</v>
      </c>
      <c r="B14" s="29"/>
      <c r="C14" s="28">
        <f t="shared" si="0"/>
        <v>3</v>
      </c>
      <c r="D14" s="29">
        <f t="shared" si="1"/>
        <v>3</v>
      </c>
      <c r="E14" s="29">
        <f t="shared" si="1"/>
        <v>0</v>
      </c>
      <c r="F14" s="29"/>
      <c r="G14" s="52">
        <f t="shared" si="3"/>
        <v>3</v>
      </c>
      <c r="H14" s="7">
        <v>3</v>
      </c>
      <c r="I14" s="54">
        <v>0</v>
      </c>
      <c r="J14" s="29"/>
      <c r="K14" s="28">
        <f t="shared" si="2"/>
        <v>0</v>
      </c>
      <c r="L14" s="29">
        <v>0</v>
      </c>
      <c r="M14" s="29">
        <v>0</v>
      </c>
      <c r="P14" s="31"/>
    </row>
    <row r="15" spans="1:29" ht="16.899999999999999" customHeight="1" x14ac:dyDescent="0.25">
      <c r="A15" s="24" t="s">
        <v>73</v>
      </c>
      <c r="B15" s="29"/>
      <c r="C15" s="28">
        <f t="shared" si="0"/>
        <v>59</v>
      </c>
      <c r="D15" s="29">
        <f t="shared" si="1"/>
        <v>24</v>
      </c>
      <c r="E15" s="29">
        <f t="shared" si="1"/>
        <v>35</v>
      </c>
      <c r="F15" s="29"/>
      <c r="G15" s="52">
        <f t="shared" si="3"/>
        <v>49</v>
      </c>
      <c r="H15" s="7">
        <v>20</v>
      </c>
      <c r="I15" s="54">
        <v>29</v>
      </c>
      <c r="J15" s="29"/>
      <c r="K15" s="28">
        <f t="shared" si="2"/>
        <v>10</v>
      </c>
      <c r="L15" s="29">
        <v>4</v>
      </c>
      <c r="M15" s="29">
        <v>6</v>
      </c>
      <c r="P15" s="31"/>
    </row>
    <row r="16" spans="1:29" ht="16.899999999999999" customHeight="1" x14ac:dyDescent="0.25">
      <c r="A16" s="24" t="s">
        <v>74</v>
      </c>
      <c r="B16" s="29"/>
      <c r="C16" s="28">
        <f t="shared" si="0"/>
        <v>4</v>
      </c>
      <c r="D16" s="29">
        <f t="shared" si="1"/>
        <v>3</v>
      </c>
      <c r="E16" s="29">
        <f t="shared" si="1"/>
        <v>1</v>
      </c>
      <c r="F16" s="29"/>
      <c r="G16" s="52">
        <f t="shared" si="3"/>
        <v>4</v>
      </c>
      <c r="H16" s="7">
        <v>3</v>
      </c>
      <c r="I16" s="54">
        <v>1</v>
      </c>
      <c r="J16" s="29"/>
      <c r="K16" s="28">
        <f t="shared" si="2"/>
        <v>0</v>
      </c>
      <c r="L16" s="29">
        <v>0</v>
      </c>
      <c r="M16" s="29">
        <v>0</v>
      </c>
      <c r="P16" s="31"/>
    </row>
    <row r="17" spans="1:16" ht="16.899999999999999" customHeight="1" x14ac:dyDescent="0.25">
      <c r="A17" s="24" t="s">
        <v>75</v>
      </c>
      <c r="B17" s="29"/>
      <c r="C17" s="28">
        <f t="shared" si="0"/>
        <v>1</v>
      </c>
      <c r="D17" s="29">
        <f t="shared" si="1"/>
        <v>1</v>
      </c>
      <c r="E17" s="29">
        <f t="shared" si="1"/>
        <v>0</v>
      </c>
      <c r="F17" s="29"/>
      <c r="G17" s="52">
        <f t="shared" si="3"/>
        <v>1</v>
      </c>
      <c r="H17" s="7">
        <v>1</v>
      </c>
      <c r="I17" s="54">
        <v>0</v>
      </c>
      <c r="J17" s="29"/>
      <c r="K17" s="28">
        <f t="shared" si="2"/>
        <v>0</v>
      </c>
      <c r="L17" s="29">
        <v>0</v>
      </c>
      <c r="M17" s="29">
        <v>0</v>
      </c>
      <c r="P17" s="31"/>
    </row>
    <row r="18" spans="1:16" ht="16.899999999999999" customHeight="1" x14ac:dyDescent="0.25">
      <c r="A18" s="24" t="s">
        <v>39</v>
      </c>
      <c r="B18" s="29"/>
      <c r="C18" s="28">
        <f t="shared" si="0"/>
        <v>2</v>
      </c>
      <c r="D18" s="29">
        <f t="shared" si="1"/>
        <v>1</v>
      </c>
      <c r="E18" s="29">
        <f t="shared" si="1"/>
        <v>1</v>
      </c>
      <c r="F18" s="29"/>
      <c r="G18" s="52">
        <f t="shared" si="3"/>
        <v>2</v>
      </c>
      <c r="H18" s="7">
        <v>1</v>
      </c>
      <c r="I18" s="54">
        <v>1</v>
      </c>
      <c r="J18" s="29"/>
      <c r="K18" s="28">
        <f t="shared" si="2"/>
        <v>0</v>
      </c>
      <c r="L18" s="29">
        <v>0</v>
      </c>
      <c r="M18" s="29">
        <v>0</v>
      </c>
      <c r="O18" s="30"/>
      <c r="P18" s="31"/>
    </row>
    <row r="19" spans="1:16" ht="16.899999999999999" customHeight="1" x14ac:dyDescent="0.25">
      <c r="A19" s="24" t="s">
        <v>40</v>
      </c>
      <c r="B19" s="29"/>
      <c r="C19" s="28">
        <f t="shared" si="0"/>
        <v>3</v>
      </c>
      <c r="D19" s="29">
        <f t="shared" si="1"/>
        <v>1</v>
      </c>
      <c r="E19" s="29">
        <f t="shared" si="1"/>
        <v>2</v>
      </c>
      <c r="F19" s="29"/>
      <c r="G19" s="52">
        <f t="shared" si="3"/>
        <v>3</v>
      </c>
      <c r="H19" s="7">
        <v>1</v>
      </c>
      <c r="I19" s="54">
        <v>2</v>
      </c>
      <c r="J19" s="29"/>
      <c r="K19" s="28">
        <f t="shared" si="2"/>
        <v>0</v>
      </c>
      <c r="L19" s="29">
        <v>0</v>
      </c>
      <c r="M19" s="29">
        <v>0</v>
      </c>
      <c r="P19" s="31"/>
    </row>
    <row r="20" spans="1:16" ht="16.899999999999999" customHeight="1" x14ac:dyDescent="0.25">
      <c r="A20" s="24" t="s">
        <v>55</v>
      </c>
      <c r="B20" s="29"/>
      <c r="C20" s="28">
        <f t="shared" si="0"/>
        <v>1</v>
      </c>
      <c r="D20" s="29">
        <f t="shared" si="1"/>
        <v>1</v>
      </c>
      <c r="E20" s="29">
        <f t="shared" si="1"/>
        <v>0</v>
      </c>
      <c r="F20" s="29"/>
      <c r="G20" s="52">
        <f t="shared" si="3"/>
        <v>1</v>
      </c>
      <c r="H20" s="7">
        <v>1</v>
      </c>
      <c r="I20" s="54">
        <v>0</v>
      </c>
      <c r="J20" s="29"/>
      <c r="K20" s="28">
        <f t="shared" si="2"/>
        <v>0</v>
      </c>
      <c r="L20" s="29">
        <v>0</v>
      </c>
      <c r="M20" s="29">
        <v>0</v>
      </c>
      <c r="P20" s="31"/>
    </row>
    <row r="21" spans="1:16" ht="16.899999999999999" customHeight="1" x14ac:dyDescent="0.25">
      <c r="A21" s="24" t="s">
        <v>76</v>
      </c>
      <c r="B21" s="29"/>
      <c r="C21" s="28">
        <f t="shared" si="0"/>
        <v>9</v>
      </c>
      <c r="D21" s="29">
        <f t="shared" si="1"/>
        <v>6</v>
      </c>
      <c r="E21" s="29">
        <f t="shared" si="1"/>
        <v>3</v>
      </c>
      <c r="F21" s="29"/>
      <c r="G21" s="52">
        <f t="shared" si="3"/>
        <v>7</v>
      </c>
      <c r="H21" s="7">
        <v>4</v>
      </c>
      <c r="I21" s="54">
        <v>3</v>
      </c>
      <c r="J21" s="29"/>
      <c r="K21" s="28">
        <f t="shared" si="2"/>
        <v>2</v>
      </c>
      <c r="L21" s="29">
        <v>2</v>
      </c>
      <c r="M21" s="29">
        <v>0</v>
      </c>
      <c r="P21" s="31"/>
    </row>
    <row r="22" spans="1:16" ht="16.899999999999999" customHeight="1" x14ac:dyDescent="0.25">
      <c r="A22" s="24" t="s">
        <v>56</v>
      </c>
      <c r="B22" s="29"/>
      <c r="C22" s="28">
        <f t="shared" si="0"/>
        <v>3</v>
      </c>
      <c r="D22" s="29">
        <f t="shared" si="1"/>
        <v>2</v>
      </c>
      <c r="E22" s="29">
        <f t="shared" si="1"/>
        <v>1</v>
      </c>
      <c r="F22" s="29"/>
      <c r="G22" s="52">
        <f t="shared" si="3"/>
        <v>3</v>
      </c>
      <c r="H22" s="7">
        <v>2</v>
      </c>
      <c r="I22" s="54">
        <v>1</v>
      </c>
      <c r="J22" s="29"/>
      <c r="K22" s="28">
        <f t="shared" si="2"/>
        <v>0</v>
      </c>
      <c r="L22" s="29">
        <v>0</v>
      </c>
      <c r="M22" s="29">
        <v>0</v>
      </c>
      <c r="P22" s="31"/>
    </row>
    <row r="23" spans="1:16" ht="16.899999999999999" customHeight="1" x14ac:dyDescent="0.25">
      <c r="A23" s="24" t="s">
        <v>57</v>
      </c>
      <c r="B23" s="29"/>
      <c r="C23" s="28">
        <f t="shared" si="0"/>
        <v>1</v>
      </c>
      <c r="D23" s="29">
        <f t="shared" si="1"/>
        <v>1</v>
      </c>
      <c r="E23" s="29">
        <f t="shared" si="1"/>
        <v>0</v>
      </c>
      <c r="F23" s="29"/>
      <c r="G23" s="52">
        <f t="shared" si="3"/>
        <v>1</v>
      </c>
      <c r="H23" s="7">
        <v>1</v>
      </c>
      <c r="I23" s="54">
        <v>0</v>
      </c>
      <c r="J23" s="29"/>
      <c r="K23" s="28">
        <f t="shared" si="2"/>
        <v>0</v>
      </c>
      <c r="L23" s="29">
        <v>0</v>
      </c>
      <c r="M23" s="29">
        <v>0</v>
      </c>
      <c r="P23" s="31"/>
    </row>
    <row r="24" spans="1:16" ht="16.899999999999999" customHeight="1" x14ac:dyDescent="0.25">
      <c r="A24" s="24" t="s">
        <v>77</v>
      </c>
      <c r="B24" s="29"/>
      <c r="C24" s="28">
        <f t="shared" si="0"/>
        <v>19</v>
      </c>
      <c r="D24" s="29">
        <f t="shared" si="1"/>
        <v>9</v>
      </c>
      <c r="E24" s="29">
        <f t="shared" si="1"/>
        <v>10</v>
      </c>
      <c r="F24" s="29"/>
      <c r="G24" s="52">
        <f t="shared" si="3"/>
        <v>19</v>
      </c>
      <c r="H24" s="7">
        <v>9</v>
      </c>
      <c r="I24" s="54">
        <v>10</v>
      </c>
      <c r="J24" s="29"/>
      <c r="K24" s="28">
        <f t="shared" si="2"/>
        <v>0</v>
      </c>
      <c r="L24" s="29">
        <v>0</v>
      </c>
      <c r="M24" s="29">
        <v>0</v>
      </c>
      <c r="P24" s="31"/>
    </row>
    <row r="25" spans="1:16" ht="16.899999999999999" customHeight="1" x14ac:dyDescent="0.25">
      <c r="A25" s="24" t="s">
        <v>78</v>
      </c>
      <c r="B25" s="29"/>
      <c r="C25" s="28">
        <f t="shared" si="0"/>
        <v>10</v>
      </c>
      <c r="D25" s="29">
        <f t="shared" si="1"/>
        <v>8</v>
      </c>
      <c r="E25" s="29">
        <f t="shared" si="1"/>
        <v>2</v>
      </c>
      <c r="F25" s="29"/>
      <c r="G25" s="52">
        <f t="shared" si="3"/>
        <v>10</v>
      </c>
      <c r="H25" s="7">
        <v>8</v>
      </c>
      <c r="I25" s="54">
        <v>2</v>
      </c>
      <c r="J25" s="29"/>
      <c r="K25" s="28">
        <f t="shared" si="2"/>
        <v>0</v>
      </c>
      <c r="L25" s="29">
        <v>0</v>
      </c>
      <c r="M25" s="29">
        <v>0</v>
      </c>
      <c r="P25" s="31"/>
    </row>
    <row r="26" spans="1:16" ht="16.899999999999999" customHeight="1" x14ac:dyDescent="0.25">
      <c r="A26" s="24" t="s">
        <v>79</v>
      </c>
      <c r="B26" s="29"/>
      <c r="C26" s="28">
        <f t="shared" si="0"/>
        <v>5</v>
      </c>
      <c r="D26" s="29">
        <f t="shared" si="1"/>
        <v>3</v>
      </c>
      <c r="E26" s="29">
        <f t="shared" si="1"/>
        <v>2</v>
      </c>
      <c r="F26" s="29"/>
      <c r="G26" s="52">
        <f t="shared" si="3"/>
        <v>5</v>
      </c>
      <c r="H26" s="7">
        <v>3</v>
      </c>
      <c r="I26" s="54">
        <v>2</v>
      </c>
      <c r="J26" s="29"/>
      <c r="K26" s="28">
        <f t="shared" si="2"/>
        <v>0</v>
      </c>
      <c r="L26" s="29">
        <v>0</v>
      </c>
      <c r="M26" s="29">
        <v>0</v>
      </c>
      <c r="P26" s="31"/>
    </row>
    <row r="27" spans="1:16" ht="16.899999999999999" customHeight="1" x14ac:dyDescent="0.25">
      <c r="A27" s="24" t="s">
        <v>80</v>
      </c>
      <c r="B27" s="29"/>
      <c r="C27" s="28">
        <f t="shared" si="0"/>
        <v>5</v>
      </c>
      <c r="D27" s="29">
        <f t="shared" si="1"/>
        <v>2</v>
      </c>
      <c r="E27" s="29">
        <f t="shared" si="1"/>
        <v>3</v>
      </c>
      <c r="F27" s="29"/>
      <c r="G27" s="52">
        <f t="shared" si="3"/>
        <v>5</v>
      </c>
      <c r="H27" s="7">
        <v>2</v>
      </c>
      <c r="I27" s="54">
        <v>3</v>
      </c>
      <c r="J27" s="29"/>
      <c r="K27" s="28">
        <f t="shared" si="2"/>
        <v>0</v>
      </c>
      <c r="L27" s="29">
        <v>0</v>
      </c>
      <c r="M27" s="29">
        <v>0</v>
      </c>
      <c r="P27" s="31"/>
    </row>
    <row r="28" spans="1:16" ht="16.899999999999999" customHeight="1" x14ac:dyDescent="0.25">
      <c r="A28" s="24" t="s">
        <v>81</v>
      </c>
      <c r="B28" s="29"/>
      <c r="C28" s="28">
        <f t="shared" si="0"/>
        <v>6</v>
      </c>
      <c r="D28" s="29">
        <f t="shared" si="1"/>
        <v>2</v>
      </c>
      <c r="E28" s="29">
        <f t="shared" si="1"/>
        <v>4</v>
      </c>
      <c r="F28" s="29"/>
      <c r="G28" s="52">
        <f t="shared" si="3"/>
        <v>5</v>
      </c>
      <c r="H28" s="7">
        <v>2</v>
      </c>
      <c r="I28" s="54">
        <v>3</v>
      </c>
      <c r="J28" s="29"/>
      <c r="K28" s="28">
        <f t="shared" si="2"/>
        <v>1</v>
      </c>
      <c r="L28" s="29">
        <v>0</v>
      </c>
      <c r="M28" s="29">
        <v>1</v>
      </c>
      <c r="P28" s="31"/>
    </row>
    <row r="29" spans="1:16" ht="16.899999999999999" customHeight="1" x14ac:dyDescent="0.25">
      <c r="A29" s="24" t="s">
        <v>58</v>
      </c>
      <c r="B29" s="29"/>
      <c r="C29" s="28">
        <f t="shared" si="0"/>
        <v>1</v>
      </c>
      <c r="D29" s="29">
        <f t="shared" si="1"/>
        <v>1</v>
      </c>
      <c r="E29" s="29">
        <f t="shared" si="1"/>
        <v>0</v>
      </c>
      <c r="F29" s="29"/>
      <c r="G29" s="52">
        <f t="shared" si="3"/>
        <v>1</v>
      </c>
      <c r="H29" s="7">
        <v>1</v>
      </c>
      <c r="I29" s="54">
        <v>0</v>
      </c>
      <c r="J29" s="29"/>
      <c r="K29" s="28">
        <f t="shared" si="2"/>
        <v>0</v>
      </c>
      <c r="L29" s="29">
        <v>0</v>
      </c>
      <c r="M29" s="29">
        <v>0</v>
      </c>
      <c r="P29" s="31"/>
    </row>
    <row r="30" spans="1:16" ht="16.899999999999999" customHeight="1" x14ac:dyDescent="0.25">
      <c r="A30" s="24" t="s">
        <v>82</v>
      </c>
      <c r="B30" s="29"/>
      <c r="C30" s="28">
        <f t="shared" si="0"/>
        <v>1</v>
      </c>
      <c r="D30" s="29">
        <f t="shared" si="1"/>
        <v>1</v>
      </c>
      <c r="E30" s="29">
        <f t="shared" si="1"/>
        <v>0</v>
      </c>
      <c r="F30" s="29"/>
      <c r="G30" s="52">
        <f t="shared" si="3"/>
        <v>1</v>
      </c>
      <c r="H30" s="7">
        <v>1</v>
      </c>
      <c r="I30" s="54">
        <v>0</v>
      </c>
      <c r="J30" s="29"/>
      <c r="K30" s="28">
        <f t="shared" si="2"/>
        <v>0</v>
      </c>
      <c r="L30" s="29">
        <v>0</v>
      </c>
      <c r="M30" s="29">
        <v>0</v>
      </c>
      <c r="P30" s="31"/>
    </row>
    <row r="31" spans="1:16" ht="16.899999999999999" customHeight="1" x14ac:dyDescent="0.25">
      <c r="A31" s="24" t="s">
        <v>83</v>
      </c>
      <c r="B31" s="29"/>
      <c r="C31" s="28">
        <f t="shared" si="0"/>
        <v>1</v>
      </c>
      <c r="D31" s="29">
        <f t="shared" si="1"/>
        <v>0</v>
      </c>
      <c r="E31" s="29">
        <f t="shared" si="1"/>
        <v>1</v>
      </c>
      <c r="F31" s="29"/>
      <c r="G31" s="52">
        <f t="shared" si="3"/>
        <v>1</v>
      </c>
      <c r="H31" s="7">
        <v>0</v>
      </c>
      <c r="I31" s="54">
        <v>1</v>
      </c>
      <c r="J31" s="29"/>
      <c r="K31" s="28">
        <f t="shared" si="2"/>
        <v>0</v>
      </c>
      <c r="L31" s="29">
        <v>0</v>
      </c>
      <c r="M31" s="29">
        <v>0</v>
      </c>
      <c r="P31" s="31"/>
    </row>
    <row r="32" spans="1:16" ht="16.899999999999999" customHeight="1" x14ac:dyDescent="0.25">
      <c r="A32" s="24" t="s">
        <v>84</v>
      </c>
      <c r="B32" s="29"/>
      <c r="C32" s="28">
        <f t="shared" si="0"/>
        <v>4</v>
      </c>
      <c r="D32" s="29">
        <f t="shared" si="1"/>
        <v>3</v>
      </c>
      <c r="E32" s="29">
        <f t="shared" si="1"/>
        <v>1</v>
      </c>
      <c r="F32" s="29"/>
      <c r="G32" s="52">
        <f t="shared" si="3"/>
        <v>4</v>
      </c>
      <c r="H32" s="7">
        <v>3</v>
      </c>
      <c r="I32" s="54">
        <v>1</v>
      </c>
      <c r="J32" s="29"/>
      <c r="K32" s="28">
        <f t="shared" si="2"/>
        <v>0</v>
      </c>
      <c r="L32" s="29">
        <v>0</v>
      </c>
      <c r="M32" s="29">
        <v>0</v>
      </c>
      <c r="P32" s="31"/>
    </row>
    <row r="33" spans="1:16" ht="16.899999999999999" customHeight="1" x14ac:dyDescent="0.25">
      <c r="A33" s="24" t="s">
        <v>85</v>
      </c>
      <c r="B33" s="29"/>
      <c r="C33" s="28">
        <f t="shared" si="0"/>
        <v>1</v>
      </c>
      <c r="D33" s="29">
        <f t="shared" si="1"/>
        <v>1</v>
      </c>
      <c r="E33" s="29">
        <f t="shared" si="1"/>
        <v>0</v>
      </c>
      <c r="F33" s="29"/>
      <c r="G33" s="52">
        <f t="shared" si="3"/>
        <v>1</v>
      </c>
      <c r="H33" s="7">
        <v>1</v>
      </c>
      <c r="I33" s="54">
        <v>0</v>
      </c>
      <c r="J33" s="29"/>
      <c r="K33" s="28">
        <f t="shared" si="2"/>
        <v>0</v>
      </c>
      <c r="L33" s="29">
        <v>0</v>
      </c>
      <c r="M33" s="29">
        <v>0</v>
      </c>
      <c r="P33" s="31"/>
    </row>
    <row r="34" spans="1:16" ht="16.899999999999999" customHeight="1" x14ac:dyDescent="0.25">
      <c r="A34" s="24" t="s">
        <v>59</v>
      </c>
      <c r="B34" s="29"/>
      <c r="C34" s="28">
        <f t="shared" si="0"/>
        <v>23</v>
      </c>
      <c r="D34" s="29">
        <f t="shared" si="1"/>
        <v>17</v>
      </c>
      <c r="E34" s="29">
        <f t="shared" si="1"/>
        <v>6</v>
      </c>
      <c r="F34" s="29"/>
      <c r="G34" s="52">
        <f t="shared" si="3"/>
        <v>23</v>
      </c>
      <c r="H34" s="7">
        <v>17</v>
      </c>
      <c r="I34" s="54">
        <v>6</v>
      </c>
      <c r="J34" s="29"/>
      <c r="K34" s="28">
        <f t="shared" si="2"/>
        <v>0</v>
      </c>
      <c r="L34" s="29">
        <v>0</v>
      </c>
      <c r="M34" s="29">
        <v>0</v>
      </c>
      <c r="O34" s="30"/>
      <c r="P34" s="31"/>
    </row>
    <row r="35" spans="1:16" ht="16.899999999999999" customHeight="1" x14ac:dyDescent="0.25">
      <c r="A35" s="24" t="s">
        <v>18</v>
      </c>
      <c r="B35" s="29"/>
      <c r="C35" s="28">
        <f t="shared" si="0"/>
        <v>173</v>
      </c>
      <c r="D35" s="29">
        <f t="shared" si="1"/>
        <v>140</v>
      </c>
      <c r="E35" s="29">
        <f t="shared" si="1"/>
        <v>33</v>
      </c>
      <c r="F35" s="29"/>
      <c r="G35" s="52">
        <f t="shared" si="3"/>
        <v>173</v>
      </c>
      <c r="H35" s="7">
        <v>140</v>
      </c>
      <c r="I35" s="54">
        <v>33</v>
      </c>
      <c r="J35" s="29"/>
      <c r="K35" s="28">
        <f t="shared" si="2"/>
        <v>0</v>
      </c>
      <c r="L35" s="29">
        <v>0</v>
      </c>
      <c r="M35" s="29">
        <v>0</v>
      </c>
      <c r="O35" s="30"/>
      <c r="P35" s="31"/>
    </row>
    <row r="36" spans="1:16" ht="16.899999999999999" customHeight="1" x14ac:dyDescent="0.25">
      <c r="A36" s="24" t="s">
        <v>20</v>
      </c>
      <c r="B36" s="29"/>
      <c r="C36" s="28">
        <f t="shared" si="0"/>
        <v>22</v>
      </c>
      <c r="D36" s="29">
        <f t="shared" si="1"/>
        <v>22</v>
      </c>
      <c r="E36" s="29">
        <f t="shared" si="1"/>
        <v>0</v>
      </c>
      <c r="F36" s="29"/>
      <c r="G36" s="52">
        <f t="shared" si="3"/>
        <v>22</v>
      </c>
      <c r="H36" s="7">
        <v>22</v>
      </c>
      <c r="I36" s="54">
        <v>0</v>
      </c>
      <c r="J36" s="29"/>
      <c r="K36" s="28">
        <f t="shared" si="2"/>
        <v>0</v>
      </c>
      <c r="L36" s="29">
        <v>0</v>
      </c>
      <c r="M36" s="29">
        <v>0</v>
      </c>
      <c r="P36" s="31"/>
    </row>
    <row r="37" spans="1:16" ht="16.899999999999999" customHeight="1" x14ac:dyDescent="0.25">
      <c r="A37" s="24" t="s">
        <v>26</v>
      </c>
      <c r="B37" s="29"/>
      <c r="C37" s="28">
        <f t="shared" si="0"/>
        <v>127</v>
      </c>
      <c r="D37" s="29">
        <f t="shared" si="1"/>
        <v>99</v>
      </c>
      <c r="E37" s="29">
        <f t="shared" si="1"/>
        <v>28</v>
      </c>
      <c r="F37" s="29"/>
      <c r="G37" s="52">
        <f t="shared" si="3"/>
        <v>127</v>
      </c>
      <c r="H37" s="7">
        <v>99</v>
      </c>
      <c r="I37" s="54">
        <v>28</v>
      </c>
      <c r="J37" s="29"/>
      <c r="K37" s="28">
        <f t="shared" si="2"/>
        <v>0</v>
      </c>
      <c r="L37" s="29">
        <v>0</v>
      </c>
      <c r="M37" s="29">
        <v>0</v>
      </c>
      <c r="O37" s="30"/>
      <c r="P37" s="31"/>
    </row>
    <row r="38" spans="1:16" ht="16.899999999999999" customHeight="1" x14ac:dyDescent="0.25">
      <c r="A38" s="24" t="s">
        <v>21</v>
      </c>
      <c r="B38" s="29"/>
      <c r="C38" s="28">
        <f t="shared" si="0"/>
        <v>20</v>
      </c>
      <c r="D38" s="29">
        <f t="shared" si="1"/>
        <v>17</v>
      </c>
      <c r="E38" s="29">
        <f t="shared" si="1"/>
        <v>3</v>
      </c>
      <c r="F38" s="29"/>
      <c r="G38" s="52">
        <f t="shared" si="3"/>
        <v>20</v>
      </c>
      <c r="H38" s="7">
        <v>17</v>
      </c>
      <c r="I38" s="54">
        <v>3</v>
      </c>
      <c r="J38" s="29"/>
      <c r="K38" s="28">
        <f t="shared" si="2"/>
        <v>0</v>
      </c>
      <c r="L38" s="29">
        <v>0</v>
      </c>
      <c r="M38" s="29">
        <v>0</v>
      </c>
      <c r="P38" s="31"/>
    </row>
    <row r="39" spans="1:16" ht="16.899999999999999" customHeight="1" x14ac:dyDescent="0.25">
      <c r="A39" s="24" t="s">
        <v>23</v>
      </c>
      <c r="B39" s="29"/>
      <c r="C39" s="28">
        <f t="shared" si="0"/>
        <v>55</v>
      </c>
      <c r="D39" s="29">
        <f t="shared" si="1"/>
        <v>40</v>
      </c>
      <c r="E39" s="29">
        <f t="shared" si="1"/>
        <v>15</v>
      </c>
      <c r="F39" s="29"/>
      <c r="G39" s="52">
        <f t="shared" si="3"/>
        <v>55</v>
      </c>
      <c r="H39" s="7">
        <v>40</v>
      </c>
      <c r="I39" s="54">
        <v>15</v>
      </c>
      <c r="J39" s="29"/>
      <c r="K39" s="28">
        <f t="shared" si="2"/>
        <v>0</v>
      </c>
      <c r="L39" s="29">
        <v>0</v>
      </c>
      <c r="M39" s="29">
        <v>0</v>
      </c>
      <c r="O39" s="30"/>
      <c r="P39" s="31"/>
    </row>
    <row r="40" spans="1:16" ht="16.899999999999999" customHeight="1" x14ac:dyDescent="0.25">
      <c r="A40" s="24" t="s">
        <v>31</v>
      </c>
      <c r="B40" s="29"/>
      <c r="C40" s="28">
        <f t="shared" si="0"/>
        <v>24</v>
      </c>
      <c r="D40" s="29">
        <f t="shared" si="1"/>
        <v>15</v>
      </c>
      <c r="E40" s="29">
        <f t="shared" si="1"/>
        <v>9</v>
      </c>
      <c r="F40" s="29"/>
      <c r="G40" s="52">
        <f t="shared" si="3"/>
        <v>24</v>
      </c>
      <c r="H40" s="7">
        <v>15</v>
      </c>
      <c r="I40" s="54">
        <v>9</v>
      </c>
      <c r="J40" s="29"/>
      <c r="K40" s="28">
        <f t="shared" si="2"/>
        <v>0</v>
      </c>
      <c r="L40" s="29">
        <v>0</v>
      </c>
      <c r="M40" s="29">
        <v>0</v>
      </c>
      <c r="O40" s="30"/>
      <c r="P40" s="31"/>
    </row>
    <row r="41" spans="1:16" ht="16.899999999999999" customHeight="1" x14ac:dyDescent="0.25">
      <c r="A41" s="24" t="s">
        <v>25</v>
      </c>
      <c r="B41" s="29"/>
      <c r="C41" s="28">
        <f t="shared" si="0"/>
        <v>52</v>
      </c>
      <c r="D41" s="29">
        <f t="shared" si="1"/>
        <v>37</v>
      </c>
      <c r="E41" s="29">
        <f t="shared" si="1"/>
        <v>15</v>
      </c>
      <c r="F41" s="29"/>
      <c r="G41" s="52">
        <f t="shared" si="3"/>
        <v>52</v>
      </c>
      <c r="H41" s="7">
        <v>37</v>
      </c>
      <c r="I41" s="54">
        <v>15</v>
      </c>
      <c r="J41" s="29"/>
      <c r="K41" s="28">
        <f t="shared" si="2"/>
        <v>0</v>
      </c>
      <c r="L41" s="29">
        <v>0</v>
      </c>
      <c r="M41" s="29">
        <v>0</v>
      </c>
      <c r="O41" s="30"/>
      <c r="P41" s="31"/>
    </row>
    <row r="42" spans="1:16" ht="16.899999999999999" customHeight="1" x14ac:dyDescent="0.25">
      <c r="A42" s="24" t="s">
        <v>27</v>
      </c>
      <c r="B42" s="29"/>
      <c r="C42" s="28">
        <f t="shared" si="0"/>
        <v>68</v>
      </c>
      <c r="D42" s="29">
        <f t="shared" si="1"/>
        <v>49</v>
      </c>
      <c r="E42" s="29">
        <f t="shared" si="1"/>
        <v>19</v>
      </c>
      <c r="F42" s="29"/>
      <c r="G42" s="52">
        <f t="shared" si="3"/>
        <v>68</v>
      </c>
      <c r="H42" s="7">
        <v>49</v>
      </c>
      <c r="I42" s="54">
        <v>19</v>
      </c>
      <c r="J42" s="29"/>
      <c r="K42" s="28">
        <f t="shared" si="2"/>
        <v>0</v>
      </c>
      <c r="L42" s="29">
        <v>0</v>
      </c>
      <c r="M42" s="29">
        <v>0</v>
      </c>
      <c r="O42" s="30"/>
      <c r="P42" s="31"/>
    </row>
    <row r="43" spans="1:16" ht="16.899999999999999" customHeight="1" x14ac:dyDescent="0.25">
      <c r="A43" s="24" t="s">
        <v>28</v>
      </c>
      <c r="B43" s="29"/>
      <c r="C43" s="28">
        <f t="shared" si="0"/>
        <v>8</v>
      </c>
      <c r="D43" s="29">
        <f t="shared" si="1"/>
        <v>6</v>
      </c>
      <c r="E43" s="29">
        <f t="shared" si="1"/>
        <v>2</v>
      </c>
      <c r="F43" s="29"/>
      <c r="G43" s="52">
        <f t="shared" si="3"/>
        <v>8</v>
      </c>
      <c r="H43" s="7">
        <v>6</v>
      </c>
      <c r="I43" s="54">
        <v>2</v>
      </c>
      <c r="J43" s="29"/>
      <c r="K43" s="28">
        <f t="shared" si="2"/>
        <v>0</v>
      </c>
      <c r="L43" s="29">
        <v>0</v>
      </c>
      <c r="M43" s="29">
        <v>0</v>
      </c>
      <c r="O43" s="30"/>
      <c r="P43" s="31"/>
    </row>
    <row r="44" spans="1:16" ht="16.899999999999999" customHeight="1" x14ac:dyDescent="0.25">
      <c r="A44" s="24" t="s">
        <v>30</v>
      </c>
      <c r="B44" s="29"/>
      <c r="C44" s="28">
        <f t="shared" si="0"/>
        <v>12</v>
      </c>
      <c r="D44" s="29">
        <f t="shared" si="1"/>
        <v>9</v>
      </c>
      <c r="E44" s="29">
        <f t="shared" si="1"/>
        <v>3</v>
      </c>
      <c r="F44" s="29"/>
      <c r="G44" s="52">
        <f t="shared" si="3"/>
        <v>12</v>
      </c>
      <c r="H44" s="7">
        <v>9</v>
      </c>
      <c r="I44" s="54">
        <v>3</v>
      </c>
      <c r="J44" s="29"/>
      <c r="K44" s="28">
        <f t="shared" si="2"/>
        <v>0</v>
      </c>
      <c r="L44" s="29">
        <v>0</v>
      </c>
      <c r="M44" s="29">
        <v>0</v>
      </c>
      <c r="O44" s="30"/>
      <c r="P44" s="31"/>
    </row>
    <row r="45" spans="1:16" ht="16.899999999999999" customHeight="1" x14ac:dyDescent="0.25">
      <c r="A45" s="24" t="s">
        <v>60</v>
      </c>
      <c r="B45" s="29"/>
      <c r="C45" s="28">
        <f t="shared" si="0"/>
        <v>13</v>
      </c>
      <c r="D45" s="29">
        <f t="shared" si="1"/>
        <v>9</v>
      </c>
      <c r="E45" s="29">
        <f t="shared" si="1"/>
        <v>4</v>
      </c>
      <c r="F45" s="29"/>
      <c r="G45" s="52">
        <f t="shared" si="3"/>
        <v>13</v>
      </c>
      <c r="H45" s="7">
        <v>9</v>
      </c>
      <c r="I45" s="54">
        <v>4</v>
      </c>
      <c r="J45" s="29"/>
      <c r="K45" s="28">
        <f t="shared" si="2"/>
        <v>0</v>
      </c>
      <c r="L45" s="29">
        <v>0</v>
      </c>
      <c r="M45" s="29">
        <v>0</v>
      </c>
      <c r="O45" s="30"/>
      <c r="P45" s="31"/>
    </row>
    <row r="46" spans="1:16" ht="16.899999999999999" customHeight="1" x14ac:dyDescent="0.25">
      <c r="A46" s="24" t="s">
        <v>61</v>
      </c>
      <c r="B46" s="29"/>
      <c r="C46" s="28">
        <f t="shared" si="0"/>
        <v>18</v>
      </c>
      <c r="D46" s="29">
        <f t="shared" si="1"/>
        <v>11</v>
      </c>
      <c r="E46" s="29">
        <f t="shared" si="1"/>
        <v>7</v>
      </c>
      <c r="F46" s="29"/>
      <c r="G46" s="52">
        <f t="shared" si="3"/>
        <v>18</v>
      </c>
      <c r="H46" s="7">
        <v>11</v>
      </c>
      <c r="I46" s="54">
        <v>7</v>
      </c>
      <c r="J46" s="29"/>
      <c r="K46" s="28">
        <f t="shared" si="2"/>
        <v>0</v>
      </c>
      <c r="L46" s="29">
        <v>0</v>
      </c>
      <c r="M46" s="29">
        <v>0</v>
      </c>
      <c r="O46" s="30"/>
      <c r="P46" s="31"/>
    </row>
    <row r="47" spans="1:16" ht="16.899999999999999" customHeight="1" x14ac:dyDescent="0.25">
      <c r="A47" s="24" t="s">
        <v>62</v>
      </c>
      <c r="B47" s="29"/>
      <c r="C47" s="28">
        <f t="shared" si="0"/>
        <v>14</v>
      </c>
      <c r="D47" s="29">
        <f t="shared" si="1"/>
        <v>8</v>
      </c>
      <c r="E47" s="29">
        <f t="shared" si="1"/>
        <v>6</v>
      </c>
      <c r="F47" s="29"/>
      <c r="G47" s="52">
        <f t="shared" si="3"/>
        <v>14</v>
      </c>
      <c r="H47" s="7">
        <v>8</v>
      </c>
      <c r="I47" s="54">
        <v>6</v>
      </c>
      <c r="J47" s="29"/>
      <c r="K47" s="28">
        <f t="shared" si="2"/>
        <v>0</v>
      </c>
      <c r="L47" s="29">
        <v>0</v>
      </c>
      <c r="M47" s="29">
        <v>0</v>
      </c>
      <c r="O47" s="30"/>
      <c r="P47" s="31"/>
    </row>
    <row r="48" spans="1:16" ht="16.899999999999999" customHeight="1" x14ac:dyDescent="0.25">
      <c r="A48" s="24" t="s">
        <v>63</v>
      </c>
      <c r="B48" s="29"/>
      <c r="C48" s="28">
        <f t="shared" si="0"/>
        <v>7</v>
      </c>
      <c r="D48" s="29">
        <f t="shared" si="1"/>
        <v>4</v>
      </c>
      <c r="E48" s="29">
        <f t="shared" si="1"/>
        <v>3</v>
      </c>
      <c r="F48" s="29"/>
      <c r="G48" s="52">
        <f t="shared" si="3"/>
        <v>7</v>
      </c>
      <c r="H48" s="7">
        <v>4</v>
      </c>
      <c r="I48" s="54">
        <v>3</v>
      </c>
      <c r="J48" s="29"/>
      <c r="K48" s="28">
        <f t="shared" si="2"/>
        <v>0</v>
      </c>
      <c r="L48" s="29">
        <v>0</v>
      </c>
      <c r="M48" s="29">
        <v>0</v>
      </c>
      <c r="O48" s="30"/>
      <c r="P48" s="31"/>
    </row>
    <row r="49" spans="1:16" ht="16.899999999999999" customHeight="1" x14ac:dyDescent="0.25">
      <c r="A49" s="24" t="s">
        <v>64</v>
      </c>
      <c r="B49" s="29"/>
      <c r="C49" s="28">
        <f t="shared" si="0"/>
        <v>11</v>
      </c>
      <c r="D49" s="29">
        <f t="shared" si="1"/>
        <v>7</v>
      </c>
      <c r="E49" s="29">
        <f t="shared" si="1"/>
        <v>4</v>
      </c>
      <c r="F49" s="29"/>
      <c r="G49" s="52">
        <f t="shared" si="3"/>
        <v>11</v>
      </c>
      <c r="H49" s="7">
        <v>7</v>
      </c>
      <c r="I49" s="54">
        <v>4</v>
      </c>
      <c r="J49" s="29"/>
      <c r="K49" s="28">
        <f t="shared" si="2"/>
        <v>0</v>
      </c>
      <c r="L49" s="29">
        <v>0</v>
      </c>
      <c r="M49" s="29">
        <v>0</v>
      </c>
      <c r="O49" s="30"/>
      <c r="P49" s="31"/>
    </row>
    <row r="50" spans="1:16" ht="16.899999999999999" customHeight="1" x14ac:dyDescent="0.25">
      <c r="A50" s="24" t="s">
        <v>65</v>
      </c>
      <c r="B50" s="29"/>
      <c r="C50" s="28">
        <f t="shared" si="0"/>
        <v>4</v>
      </c>
      <c r="D50" s="29">
        <f t="shared" si="1"/>
        <v>0</v>
      </c>
      <c r="E50" s="29">
        <f t="shared" si="1"/>
        <v>4</v>
      </c>
      <c r="F50" s="29"/>
      <c r="G50" s="52">
        <f t="shared" si="3"/>
        <v>4</v>
      </c>
      <c r="H50" s="7">
        <v>0</v>
      </c>
      <c r="I50" s="54">
        <v>4</v>
      </c>
      <c r="J50" s="29"/>
      <c r="K50" s="28">
        <f t="shared" si="2"/>
        <v>0</v>
      </c>
      <c r="L50" s="29">
        <v>0</v>
      </c>
      <c r="M50" s="29">
        <v>0</v>
      </c>
      <c r="O50" s="30"/>
      <c r="P50" s="31"/>
    </row>
    <row r="51" spans="1:16" ht="16.899999999999999" customHeight="1" x14ac:dyDescent="0.25">
      <c r="A51" s="24" t="s">
        <v>66</v>
      </c>
      <c r="B51" s="29"/>
      <c r="C51" s="28">
        <f t="shared" si="0"/>
        <v>11</v>
      </c>
      <c r="D51" s="29">
        <f t="shared" si="1"/>
        <v>5</v>
      </c>
      <c r="E51" s="29">
        <f t="shared" si="1"/>
        <v>6</v>
      </c>
      <c r="F51" s="29"/>
      <c r="G51" s="52">
        <f t="shared" si="3"/>
        <v>11</v>
      </c>
      <c r="H51" s="7">
        <v>5</v>
      </c>
      <c r="I51" s="54">
        <v>6</v>
      </c>
      <c r="J51" s="29"/>
      <c r="K51" s="28">
        <f t="shared" si="2"/>
        <v>0</v>
      </c>
      <c r="L51" s="29">
        <v>0</v>
      </c>
      <c r="M51" s="29">
        <v>0</v>
      </c>
      <c r="O51" s="30"/>
      <c r="P51" s="31"/>
    </row>
    <row r="52" spans="1:16" ht="16.899999999999999" customHeight="1" x14ac:dyDescent="0.25">
      <c r="A52" s="24" t="s">
        <v>67</v>
      </c>
      <c r="B52" s="29"/>
      <c r="C52" s="28">
        <f t="shared" si="0"/>
        <v>20</v>
      </c>
      <c r="D52" s="29">
        <f t="shared" si="1"/>
        <v>8</v>
      </c>
      <c r="E52" s="29">
        <f t="shared" si="1"/>
        <v>12</v>
      </c>
      <c r="F52" s="29"/>
      <c r="G52" s="52">
        <f t="shared" si="3"/>
        <v>20</v>
      </c>
      <c r="H52" s="7">
        <v>8</v>
      </c>
      <c r="I52" s="54">
        <v>12</v>
      </c>
      <c r="J52" s="29"/>
      <c r="K52" s="28">
        <f t="shared" si="2"/>
        <v>0</v>
      </c>
      <c r="L52" s="29">
        <v>0</v>
      </c>
      <c r="M52" s="29">
        <v>0</v>
      </c>
      <c r="O52" s="30"/>
      <c r="P52" s="31"/>
    </row>
    <row r="53" spans="1:16" ht="16.899999999999999" customHeight="1" x14ac:dyDescent="0.25">
      <c r="A53" s="24" t="s">
        <v>68</v>
      </c>
      <c r="B53" s="29"/>
      <c r="C53" s="28">
        <f t="shared" si="0"/>
        <v>6</v>
      </c>
      <c r="D53" s="29">
        <f t="shared" si="1"/>
        <v>4</v>
      </c>
      <c r="E53" s="29">
        <f t="shared" si="1"/>
        <v>2</v>
      </c>
      <c r="F53" s="29"/>
      <c r="G53" s="52">
        <f t="shared" si="3"/>
        <v>6</v>
      </c>
      <c r="H53" s="7">
        <v>4</v>
      </c>
      <c r="I53" s="54">
        <v>2</v>
      </c>
      <c r="J53" s="29"/>
      <c r="K53" s="28">
        <f t="shared" si="2"/>
        <v>0</v>
      </c>
      <c r="L53" s="29">
        <v>0</v>
      </c>
      <c r="M53" s="29">
        <v>0</v>
      </c>
      <c r="O53" s="30"/>
      <c r="P53" s="31"/>
    </row>
    <row r="54" spans="1:16" ht="16.899999999999999" customHeight="1" x14ac:dyDescent="0.25">
      <c r="A54" s="24" t="s">
        <v>32</v>
      </c>
      <c r="B54" s="29"/>
      <c r="C54" s="28">
        <f t="shared" si="0"/>
        <v>383</v>
      </c>
      <c r="D54" s="29">
        <f t="shared" si="1"/>
        <v>222</v>
      </c>
      <c r="E54" s="29">
        <f t="shared" si="1"/>
        <v>161</v>
      </c>
      <c r="F54" s="29"/>
      <c r="G54" s="52">
        <f t="shared" si="3"/>
        <v>247</v>
      </c>
      <c r="H54" s="7">
        <v>118</v>
      </c>
      <c r="I54" s="54">
        <v>129</v>
      </c>
      <c r="J54" s="29"/>
      <c r="K54" s="28">
        <f t="shared" si="2"/>
        <v>136</v>
      </c>
      <c r="L54" s="29">
        <v>104</v>
      </c>
      <c r="M54" s="29">
        <v>32</v>
      </c>
      <c r="O54" s="30"/>
      <c r="P54" s="31"/>
    </row>
    <row r="55" spans="1:16" ht="16.899999999999999" customHeight="1" x14ac:dyDescent="0.25">
      <c r="A55" s="24" t="s">
        <v>33</v>
      </c>
      <c r="B55" s="29"/>
      <c r="C55" s="28">
        <f t="shared" si="0"/>
        <v>38</v>
      </c>
      <c r="D55" s="29">
        <f t="shared" si="1"/>
        <v>24</v>
      </c>
      <c r="E55" s="29">
        <f t="shared" si="1"/>
        <v>14</v>
      </c>
      <c r="F55" s="29"/>
      <c r="G55" s="52">
        <f t="shared" si="3"/>
        <v>24</v>
      </c>
      <c r="H55" s="7">
        <v>14</v>
      </c>
      <c r="I55" s="54">
        <v>10</v>
      </c>
      <c r="J55" s="29"/>
      <c r="K55" s="28">
        <f t="shared" si="2"/>
        <v>14</v>
      </c>
      <c r="L55" s="29">
        <v>10</v>
      </c>
      <c r="M55" s="29">
        <v>4</v>
      </c>
      <c r="O55" s="30"/>
      <c r="P55" s="31"/>
    </row>
    <row r="56" spans="1:16" ht="16.899999999999999" customHeight="1" x14ac:dyDescent="0.25">
      <c r="A56" s="24" t="s">
        <v>34</v>
      </c>
      <c r="B56" s="29"/>
      <c r="C56" s="28">
        <f t="shared" si="0"/>
        <v>39</v>
      </c>
      <c r="D56" s="29">
        <f t="shared" si="1"/>
        <v>28</v>
      </c>
      <c r="E56" s="29">
        <f t="shared" si="1"/>
        <v>11</v>
      </c>
      <c r="F56" s="29"/>
      <c r="G56" s="52">
        <f t="shared" si="3"/>
        <v>37</v>
      </c>
      <c r="H56" s="7">
        <v>27</v>
      </c>
      <c r="I56" s="54">
        <v>10</v>
      </c>
      <c r="J56" s="29"/>
      <c r="K56" s="28">
        <f t="shared" si="2"/>
        <v>2</v>
      </c>
      <c r="L56" s="29">
        <v>1</v>
      </c>
      <c r="M56" s="29">
        <v>1</v>
      </c>
      <c r="O56" s="30"/>
      <c r="P56" s="31"/>
    </row>
    <row r="57" spans="1:16" ht="16.899999999999999" customHeight="1" x14ac:dyDescent="0.25">
      <c r="A57" s="24" t="s">
        <v>37</v>
      </c>
      <c r="B57" s="29"/>
      <c r="C57" s="28">
        <f t="shared" si="0"/>
        <v>65</v>
      </c>
      <c r="D57" s="29">
        <f t="shared" si="1"/>
        <v>57</v>
      </c>
      <c r="E57" s="29">
        <f t="shared" si="1"/>
        <v>8</v>
      </c>
      <c r="F57" s="29"/>
      <c r="G57" s="52">
        <f t="shared" si="3"/>
        <v>28</v>
      </c>
      <c r="H57" s="7">
        <v>24</v>
      </c>
      <c r="I57" s="54">
        <v>4</v>
      </c>
      <c r="J57" s="29"/>
      <c r="K57" s="28">
        <f t="shared" si="2"/>
        <v>37</v>
      </c>
      <c r="L57" s="29">
        <v>33</v>
      </c>
      <c r="M57" s="29">
        <v>4</v>
      </c>
      <c r="O57" s="30"/>
      <c r="P57" s="31"/>
    </row>
    <row r="58" spans="1:16" ht="16.899999999999999" customHeight="1" x14ac:dyDescent="0.25">
      <c r="A58" s="24" t="s">
        <v>38</v>
      </c>
      <c r="B58" s="29"/>
      <c r="C58" s="28">
        <f t="shared" si="0"/>
        <v>61</v>
      </c>
      <c r="D58" s="29">
        <f>H58+L58</f>
        <v>47</v>
      </c>
      <c r="E58" s="29">
        <f t="shared" ref="E58:E75" si="4">I58+M58</f>
        <v>14</v>
      </c>
      <c r="F58" s="29"/>
      <c r="G58" s="52">
        <f t="shared" si="3"/>
        <v>53</v>
      </c>
      <c r="H58" s="7">
        <v>39</v>
      </c>
      <c r="I58" s="54">
        <v>14</v>
      </c>
      <c r="J58" s="29"/>
      <c r="K58" s="28">
        <f t="shared" si="2"/>
        <v>8</v>
      </c>
      <c r="L58" s="29">
        <v>8</v>
      </c>
      <c r="M58" s="29">
        <v>0</v>
      </c>
      <c r="P58" s="31"/>
    </row>
    <row r="59" spans="1:16" ht="16.899999999999999" customHeight="1" x14ac:dyDescent="0.25">
      <c r="A59" s="24" t="s">
        <v>41</v>
      </c>
      <c r="B59" s="29"/>
      <c r="C59" s="28">
        <f t="shared" si="0"/>
        <v>10</v>
      </c>
      <c r="D59" s="29">
        <f t="shared" ref="D59:D75" si="5">H59+L59</f>
        <v>9</v>
      </c>
      <c r="E59" s="29">
        <f t="shared" si="4"/>
        <v>1</v>
      </c>
      <c r="F59" s="29"/>
      <c r="G59" s="52">
        <f t="shared" si="3"/>
        <v>10</v>
      </c>
      <c r="H59" s="7">
        <v>9</v>
      </c>
      <c r="I59" s="54">
        <v>1</v>
      </c>
      <c r="J59" s="29"/>
      <c r="K59" s="28">
        <f t="shared" si="2"/>
        <v>0</v>
      </c>
      <c r="L59" s="29">
        <v>0</v>
      </c>
      <c r="M59" s="29">
        <v>0</v>
      </c>
      <c r="P59" s="31"/>
    </row>
    <row r="60" spans="1:16" ht="16.899999999999999" customHeight="1" x14ac:dyDescent="0.25">
      <c r="A60" s="24" t="s">
        <v>42</v>
      </c>
      <c r="B60" s="29"/>
      <c r="C60" s="28">
        <f t="shared" si="0"/>
        <v>9</v>
      </c>
      <c r="D60" s="29">
        <f t="shared" si="5"/>
        <v>7</v>
      </c>
      <c r="E60" s="29">
        <f t="shared" si="4"/>
        <v>2</v>
      </c>
      <c r="F60" s="29"/>
      <c r="G60" s="52">
        <f t="shared" si="3"/>
        <v>8</v>
      </c>
      <c r="H60" s="7">
        <v>6</v>
      </c>
      <c r="I60" s="54">
        <v>2</v>
      </c>
      <c r="J60" s="29"/>
      <c r="K60" s="28">
        <f t="shared" si="2"/>
        <v>1</v>
      </c>
      <c r="L60" s="29">
        <v>1</v>
      </c>
      <c r="M60" s="29">
        <v>0</v>
      </c>
      <c r="P60" s="31"/>
    </row>
    <row r="61" spans="1:16" ht="16.899999999999999" customHeight="1" x14ac:dyDescent="0.25">
      <c r="A61" s="24" t="s">
        <v>43</v>
      </c>
      <c r="B61" s="29"/>
      <c r="C61" s="28">
        <f t="shared" si="0"/>
        <v>2</v>
      </c>
      <c r="D61" s="29">
        <f t="shared" si="5"/>
        <v>1</v>
      </c>
      <c r="E61" s="29">
        <f t="shared" si="4"/>
        <v>1</v>
      </c>
      <c r="F61" s="29"/>
      <c r="G61" s="52">
        <f t="shared" si="3"/>
        <v>2</v>
      </c>
      <c r="H61" s="7">
        <v>1</v>
      </c>
      <c r="I61" s="54">
        <v>1</v>
      </c>
      <c r="J61" s="29"/>
      <c r="K61" s="28">
        <f t="shared" si="2"/>
        <v>0</v>
      </c>
      <c r="L61" s="29">
        <v>0</v>
      </c>
      <c r="M61" s="29">
        <v>0</v>
      </c>
      <c r="P61" s="31"/>
    </row>
    <row r="62" spans="1:16" ht="16.899999999999999" customHeight="1" x14ac:dyDescent="0.25">
      <c r="A62" s="24" t="s">
        <v>12</v>
      </c>
      <c r="B62" s="29"/>
      <c r="C62" s="28">
        <f t="shared" si="0"/>
        <v>525</v>
      </c>
      <c r="D62" s="29">
        <f t="shared" si="5"/>
        <v>203</v>
      </c>
      <c r="E62" s="29">
        <f t="shared" si="4"/>
        <v>322</v>
      </c>
      <c r="F62" s="29"/>
      <c r="G62" s="52">
        <f t="shared" si="3"/>
        <v>55</v>
      </c>
      <c r="H62" s="7">
        <v>15</v>
      </c>
      <c r="I62" s="54">
        <v>40</v>
      </c>
      <c r="J62" s="29"/>
      <c r="K62" s="28">
        <f t="shared" si="2"/>
        <v>470</v>
      </c>
      <c r="L62" s="29">
        <v>188</v>
      </c>
      <c r="M62" s="29">
        <v>282</v>
      </c>
      <c r="O62" s="30"/>
      <c r="P62" s="31"/>
    </row>
    <row r="63" spans="1:16" ht="16.899999999999999" customHeight="1" x14ac:dyDescent="0.25">
      <c r="A63" s="24" t="s">
        <v>14</v>
      </c>
      <c r="B63" s="29"/>
      <c r="C63" s="28">
        <f>D63+E63</f>
        <v>961</v>
      </c>
      <c r="D63" s="29">
        <f t="shared" si="5"/>
        <v>315</v>
      </c>
      <c r="E63" s="29">
        <f t="shared" si="4"/>
        <v>646</v>
      </c>
      <c r="F63" s="29"/>
      <c r="G63" s="52">
        <f t="shared" si="3"/>
        <v>282</v>
      </c>
      <c r="H63" s="7">
        <v>88</v>
      </c>
      <c r="I63" s="54">
        <v>194</v>
      </c>
      <c r="J63" s="29"/>
      <c r="K63" s="28">
        <f t="shared" si="2"/>
        <v>679</v>
      </c>
      <c r="L63" s="29">
        <v>227</v>
      </c>
      <c r="M63" s="29">
        <v>452</v>
      </c>
      <c r="O63" s="30"/>
      <c r="P63" s="31"/>
    </row>
    <row r="64" spans="1:16" ht="16.899999999999999" customHeight="1" x14ac:dyDescent="0.25">
      <c r="A64" s="24" t="s">
        <v>16</v>
      </c>
      <c r="B64" s="29"/>
      <c r="C64" s="28">
        <f t="shared" si="0"/>
        <v>3550</v>
      </c>
      <c r="D64" s="29">
        <f t="shared" si="5"/>
        <v>1449</v>
      </c>
      <c r="E64" s="29">
        <f t="shared" si="4"/>
        <v>2101</v>
      </c>
      <c r="F64" s="29"/>
      <c r="G64" s="52">
        <f t="shared" si="3"/>
        <v>1288</v>
      </c>
      <c r="H64" s="7">
        <v>485</v>
      </c>
      <c r="I64" s="54">
        <v>803</v>
      </c>
      <c r="J64" s="29"/>
      <c r="K64" s="28">
        <f t="shared" si="2"/>
        <v>2262</v>
      </c>
      <c r="L64" s="29">
        <v>964</v>
      </c>
      <c r="M64" s="29">
        <v>1298</v>
      </c>
      <c r="O64" s="30"/>
      <c r="P64" s="31"/>
    </row>
    <row r="65" spans="1:32" ht="16.899999999999999" customHeight="1" x14ac:dyDescent="0.25">
      <c r="A65" s="24" t="s">
        <v>17</v>
      </c>
      <c r="B65" s="29"/>
      <c r="C65" s="28">
        <f t="shared" si="0"/>
        <v>1852</v>
      </c>
      <c r="D65" s="29">
        <f t="shared" si="5"/>
        <v>548</v>
      </c>
      <c r="E65" s="29">
        <f t="shared" si="4"/>
        <v>1304</v>
      </c>
      <c r="F65" s="29"/>
      <c r="G65" s="52">
        <f t="shared" si="3"/>
        <v>605</v>
      </c>
      <c r="H65" s="7">
        <v>200</v>
      </c>
      <c r="I65" s="54">
        <v>405</v>
      </c>
      <c r="J65" s="29"/>
      <c r="K65" s="28">
        <f t="shared" si="2"/>
        <v>1247</v>
      </c>
      <c r="L65" s="29">
        <v>348</v>
      </c>
      <c r="M65" s="29">
        <v>899</v>
      </c>
      <c r="O65" s="30"/>
      <c r="P65" s="31"/>
    </row>
    <row r="66" spans="1:32" ht="16.899999999999999" customHeight="1" x14ac:dyDescent="0.25">
      <c r="A66" s="24" t="s">
        <v>19</v>
      </c>
      <c r="B66" s="29"/>
      <c r="C66" s="28">
        <f>D66+E66</f>
        <v>4178</v>
      </c>
      <c r="D66" s="29">
        <f t="shared" si="5"/>
        <v>1225</v>
      </c>
      <c r="E66" s="29">
        <f t="shared" si="4"/>
        <v>2953</v>
      </c>
      <c r="F66" s="29"/>
      <c r="G66" s="52">
        <f t="shared" si="3"/>
        <v>1288</v>
      </c>
      <c r="H66" s="7">
        <v>296</v>
      </c>
      <c r="I66" s="54">
        <v>992</v>
      </c>
      <c r="J66" s="29"/>
      <c r="K66" s="28">
        <f t="shared" si="2"/>
        <v>2890</v>
      </c>
      <c r="L66" s="29">
        <v>929</v>
      </c>
      <c r="M66" s="29">
        <v>1961</v>
      </c>
      <c r="O66" s="30"/>
      <c r="P66" s="31"/>
    </row>
    <row r="67" spans="1:32" ht="16.899999999999999" customHeight="1" x14ac:dyDescent="0.25">
      <c r="A67" s="24" t="s">
        <v>22</v>
      </c>
      <c r="B67" s="29"/>
      <c r="C67" s="28">
        <f t="shared" si="0"/>
        <v>3065</v>
      </c>
      <c r="D67" s="29">
        <f t="shared" si="5"/>
        <v>1593</v>
      </c>
      <c r="E67" s="29">
        <f t="shared" si="4"/>
        <v>1472</v>
      </c>
      <c r="F67" s="29"/>
      <c r="G67" s="52">
        <f t="shared" si="3"/>
        <v>987</v>
      </c>
      <c r="H67" s="7">
        <v>335</v>
      </c>
      <c r="I67" s="54">
        <v>652</v>
      </c>
      <c r="J67" s="29"/>
      <c r="K67" s="28">
        <f t="shared" si="2"/>
        <v>2078</v>
      </c>
      <c r="L67" s="29">
        <v>1258</v>
      </c>
      <c r="M67" s="29">
        <v>820</v>
      </c>
      <c r="O67" s="30"/>
      <c r="P67" s="31"/>
    </row>
    <row r="68" spans="1:32" ht="16.899999999999999" customHeight="1" x14ac:dyDescent="0.25">
      <c r="A68" s="24" t="s">
        <v>24</v>
      </c>
      <c r="B68" s="29"/>
      <c r="C68" s="28">
        <f t="shared" si="0"/>
        <v>2421</v>
      </c>
      <c r="D68" s="29">
        <f t="shared" si="5"/>
        <v>1429</v>
      </c>
      <c r="E68" s="29">
        <f t="shared" si="4"/>
        <v>992</v>
      </c>
      <c r="F68" s="29"/>
      <c r="G68" s="52">
        <f t="shared" si="3"/>
        <v>798</v>
      </c>
      <c r="H68" s="7">
        <v>341</v>
      </c>
      <c r="I68" s="54">
        <v>457</v>
      </c>
      <c r="J68" s="29"/>
      <c r="K68" s="28">
        <f t="shared" si="2"/>
        <v>1623</v>
      </c>
      <c r="L68" s="29">
        <v>1088</v>
      </c>
      <c r="M68" s="29">
        <v>535</v>
      </c>
      <c r="O68" s="30"/>
      <c r="P68" s="31"/>
    </row>
    <row r="69" spans="1:32" ht="16.899999999999999" customHeight="1" x14ac:dyDescent="0.25">
      <c r="A69" s="24" t="s">
        <v>29</v>
      </c>
      <c r="B69" s="29"/>
      <c r="C69" s="28">
        <f t="shared" si="0"/>
        <v>790</v>
      </c>
      <c r="D69" s="29">
        <f t="shared" si="5"/>
        <v>397</v>
      </c>
      <c r="E69" s="29">
        <f t="shared" si="4"/>
        <v>393</v>
      </c>
      <c r="F69" s="29"/>
      <c r="G69" s="52">
        <f t="shared" si="3"/>
        <v>386</v>
      </c>
      <c r="H69" s="7">
        <v>144</v>
      </c>
      <c r="I69" s="54">
        <v>242</v>
      </c>
      <c r="J69" s="29"/>
      <c r="K69" s="28">
        <f t="shared" si="2"/>
        <v>404</v>
      </c>
      <c r="L69" s="29">
        <v>253</v>
      </c>
      <c r="M69" s="29">
        <v>151</v>
      </c>
      <c r="O69" s="30"/>
      <c r="P69" s="31"/>
      <c r="AD69" s="16"/>
      <c r="AE69" s="20" t="s">
        <v>8</v>
      </c>
      <c r="AF69" s="19" t="s">
        <v>50</v>
      </c>
    </row>
    <row r="70" spans="1:32" ht="16.899999999999999" customHeight="1" x14ac:dyDescent="0.25">
      <c r="A70" s="24" t="s">
        <v>10</v>
      </c>
      <c r="B70" s="29"/>
      <c r="C70" s="28">
        <f t="shared" si="0"/>
        <v>3708</v>
      </c>
      <c r="D70" s="29">
        <f t="shared" si="5"/>
        <v>1956</v>
      </c>
      <c r="E70" s="29">
        <f t="shared" si="4"/>
        <v>1752</v>
      </c>
      <c r="F70" s="29"/>
      <c r="G70" s="52">
        <f t="shared" si="3"/>
        <v>864</v>
      </c>
      <c r="H70" s="7">
        <v>431</v>
      </c>
      <c r="I70" s="54">
        <v>433</v>
      </c>
      <c r="J70" s="29"/>
      <c r="K70" s="28">
        <f t="shared" si="2"/>
        <v>2844</v>
      </c>
      <c r="L70" s="29">
        <v>1525</v>
      </c>
      <c r="M70" s="29">
        <v>1319</v>
      </c>
      <c r="O70" s="30"/>
      <c r="P70" s="31"/>
      <c r="AD70" s="16"/>
      <c r="AE70" s="13" t="s">
        <v>19</v>
      </c>
      <c r="AF70" s="13">
        <v>4631</v>
      </c>
    </row>
    <row r="71" spans="1:32" ht="16.899999999999999" customHeight="1" x14ac:dyDescent="0.25">
      <c r="A71" s="24" t="s">
        <v>11</v>
      </c>
      <c r="B71" s="29"/>
      <c r="C71" s="28">
        <f t="shared" si="0"/>
        <v>1992</v>
      </c>
      <c r="D71" s="29">
        <f t="shared" si="5"/>
        <v>1234</v>
      </c>
      <c r="E71" s="29">
        <f t="shared" si="4"/>
        <v>758</v>
      </c>
      <c r="F71" s="29"/>
      <c r="G71" s="52">
        <f t="shared" si="3"/>
        <v>822</v>
      </c>
      <c r="H71" s="7">
        <v>581</v>
      </c>
      <c r="I71" s="54">
        <v>241</v>
      </c>
      <c r="J71" s="29"/>
      <c r="K71" s="28">
        <f t="shared" si="2"/>
        <v>1170</v>
      </c>
      <c r="L71" s="29">
        <v>653</v>
      </c>
      <c r="M71" s="29">
        <v>517</v>
      </c>
      <c r="O71" s="30"/>
      <c r="P71" s="31"/>
      <c r="AD71" s="16"/>
      <c r="AE71" s="13" t="s">
        <v>10</v>
      </c>
      <c r="AF71" s="13">
        <v>3634</v>
      </c>
    </row>
    <row r="72" spans="1:32" ht="16.899999999999999" customHeight="1" x14ac:dyDescent="0.25">
      <c r="A72" s="24" t="s">
        <v>13</v>
      </c>
      <c r="B72" s="29"/>
      <c r="C72" s="28">
        <f t="shared" si="0"/>
        <v>342</v>
      </c>
      <c r="D72" s="29">
        <f t="shared" si="5"/>
        <v>172</v>
      </c>
      <c r="E72" s="29">
        <f t="shared" si="4"/>
        <v>170</v>
      </c>
      <c r="F72" s="29"/>
      <c r="G72" s="52">
        <f t="shared" si="3"/>
        <v>94</v>
      </c>
      <c r="H72" s="7">
        <v>64</v>
      </c>
      <c r="I72" s="54">
        <v>30</v>
      </c>
      <c r="J72" s="29"/>
      <c r="K72" s="28">
        <f t="shared" si="2"/>
        <v>248</v>
      </c>
      <c r="L72" s="29">
        <v>108</v>
      </c>
      <c r="M72" s="29">
        <v>140</v>
      </c>
      <c r="O72" s="30"/>
      <c r="P72" s="31"/>
      <c r="AD72" s="16"/>
      <c r="AE72" s="13" t="s">
        <v>16</v>
      </c>
      <c r="AF72" s="13">
        <v>3357</v>
      </c>
    </row>
    <row r="73" spans="1:32" ht="16.899999999999999" customHeight="1" x14ac:dyDescent="0.25">
      <c r="A73" s="24" t="s">
        <v>15</v>
      </c>
      <c r="B73" s="29"/>
      <c r="C73" s="28">
        <f t="shared" si="0"/>
        <v>24</v>
      </c>
      <c r="D73" s="29">
        <f t="shared" si="5"/>
        <v>20</v>
      </c>
      <c r="E73" s="29">
        <f t="shared" si="4"/>
        <v>4</v>
      </c>
      <c r="F73" s="29"/>
      <c r="G73" s="52">
        <f t="shared" si="3"/>
        <v>17</v>
      </c>
      <c r="H73" s="7">
        <v>16</v>
      </c>
      <c r="I73" s="54">
        <v>1</v>
      </c>
      <c r="J73" s="29"/>
      <c r="K73" s="28">
        <f t="shared" si="2"/>
        <v>7</v>
      </c>
      <c r="L73" s="29">
        <v>4</v>
      </c>
      <c r="M73" s="29">
        <v>3</v>
      </c>
      <c r="O73" s="30"/>
      <c r="P73" s="31"/>
      <c r="AD73" s="16"/>
      <c r="AE73" s="13" t="s">
        <v>22</v>
      </c>
      <c r="AF73" s="13">
        <v>2684</v>
      </c>
    </row>
    <row r="74" spans="1:32" ht="16.899999999999999" customHeight="1" x14ac:dyDescent="0.25">
      <c r="A74" s="24" t="s">
        <v>69</v>
      </c>
      <c r="B74" s="29"/>
      <c r="C74" s="28">
        <f t="shared" si="0"/>
        <v>1</v>
      </c>
      <c r="D74" s="29">
        <f t="shared" si="5"/>
        <v>0</v>
      </c>
      <c r="E74" s="29">
        <f t="shared" si="4"/>
        <v>1</v>
      </c>
      <c r="F74" s="29"/>
      <c r="G74" s="52">
        <f t="shared" si="3"/>
        <v>0</v>
      </c>
      <c r="H74" s="7">
        <v>0</v>
      </c>
      <c r="I74" s="54">
        <v>0</v>
      </c>
      <c r="J74" s="29"/>
      <c r="K74" s="28">
        <f t="shared" si="2"/>
        <v>1</v>
      </c>
      <c r="L74" s="29">
        <v>0</v>
      </c>
      <c r="M74" s="29">
        <v>1</v>
      </c>
      <c r="O74" s="30"/>
      <c r="P74" s="31"/>
      <c r="AD74" s="16"/>
      <c r="AE74" s="13" t="s">
        <v>11</v>
      </c>
      <c r="AF74" s="13">
        <v>2092</v>
      </c>
    </row>
    <row r="75" spans="1:32" ht="16.899999999999999" customHeight="1" x14ac:dyDescent="0.25">
      <c r="A75" s="25" t="s">
        <v>44</v>
      </c>
      <c r="B75" s="6"/>
      <c r="C75" s="41">
        <f t="shared" si="0"/>
        <v>17</v>
      </c>
      <c r="D75" s="6">
        <f t="shared" si="5"/>
        <v>15</v>
      </c>
      <c r="E75" s="6">
        <f t="shared" si="4"/>
        <v>2</v>
      </c>
      <c r="F75" s="6"/>
      <c r="G75" s="55">
        <f t="shared" si="3"/>
        <v>17</v>
      </c>
      <c r="H75" s="6">
        <v>15</v>
      </c>
      <c r="I75" s="56">
        <v>2</v>
      </c>
      <c r="J75" s="6"/>
      <c r="K75" s="41">
        <f t="shared" si="2"/>
        <v>0</v>
      </c>
      <c r="L75" s="6">
        <v>0</v>
      </c>
      <c r="M75" s="6">
        <v>0</v>
      </c>
      <c r="O75" s="30"/>
      <c r="P75" s="31"/>
      <c r="AD75" s="16"/>
      <c r="AE75" s="13" t="s">
        <v>17</v>
      </c>
      <c r="AF75" s="13">
        <v>1838</v>
      </c>
    </row>
    <row r="76" spans="1:32" s="1" customFormat="1" ht="17.25" x14ac:dyDescent="0.25">
      <c r="A76" s="34" t="s">
        <v>45</v>
      </c>
      <c r="B76" s="12"/>
      <c r="C76" s="42"/>
      <c r="D76" s="12"/>
      <c r="E76" s="12"/>
      <c r="F76" s="12"/>
      <c r="G76" s="12"/>
      <c r="H76" s="12"/>
      <c r="I76" s="5"/>
      <c r="J76" s="5"/>
      <c r="K76" s="5"/>
      <c r="M76" s="2" t="s">
        <v>70</v>
      </c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D76" s="16"/>
      <c r="AE76" s="13" t="s">
        <v>24</v>
      </c>
      <c r="AF76" s="13">
        <v>1829</v>
      </c>
    </row>
    <row r="77" spans="1:32" x14ac:dyDescent="0.25">
      <c r="B77" s="17"/>
      <c r="C77" s="43"/>
      <c r="D77" s="18"/>
      <c r="E77" s="18"/>
      <c r="F77" s="18"/>
      <c r="G77" s="18"/>
      <c r="H77" s="18"/>
      <c r="I77" s="18"/>
      <c r="J77" s="18"/>
      <c r="K77" s="18"/>
      <c r="L77" s="18"/>
      <c r="M77" s="18"/>
      <c r="AE77" s="13" t="s">
        <v>14</v>
      </c>
      <c r="AF77" s="13">
        <v>1004</v>
      </c>
    </row>
    <row r="78" spans="1:32" x14ac:dyDescent="0.25">
      <c r="B78" s="17"/>
      <c r="C78" s="43"/>
      <c r="D78" s="18"/>
      <c r="E78" s="18"/>
      <c r="F78" s="18"/>
      <c r="G78" s="18"/>
      <c r="H78" s="18"/>
      <c r="I78" s="18"/>
      <c r="J78" s="18"/>
      <c r="K78" s="18"/>
      <c r="L78" s="18"/>
      <c r="M78" s="18"/>
      <c r="AD78" s="26"/>
      <c r="AE78" s="13" t="s">
        <v>29</v>
      </c>
      <c r="AF78" s="13">
        <v>890</v>
      </c>
    </row>
    <row r="79" spans="1:32" x14ac:dyDescent="0.25">
      <c r="D79" s="13"/>
      <c r="E79" s="27"/>
      <c r="AD79" s="16"/>
      <c r="AE79" s="13" t="s">
        <v>12</v>
      </c>
      <c r="AF79" s="13">
        <v>585</v>
      </c>
    </row>
    <row r="80" spans="1:32" x14ac:dyDescent="0.25">
      <c r="F80" s="26"/>
      <c r="AC80" s="3"/>
      <c r="AD80" s="27" t="s">
        <v>51</v>
      </c>
      <c r="AE80" s="16"/>
      <c r="AF80" s="16"/>
    </row>
    <row r="81" spans="1:33" x14ac:dyDescent="0.25">
      <c r="F81" s="26"/>
      <c r="AC81" s="3"/>
    </row>
    <row r="82" spans="1:33" x14ac:dyDescent="0.25">
      <c r="F82" s="26"/>
      <c r="AC82" s="3"/>
      <c r="AD82" s="32"/>
      <c r="AE82" s="32"/>
    </row>
    <row r="83" spans="1:33" x14ac:dyDescent="0.25">
      <c r="F83" s="26"/>
      <c r="AC83" s="3"/>
      <c r="AD83" s="32"/>
      <c r="AE83" s="32"/>
    </row>
    <row r="84" spans="1:33" x14ac:dyDescent="0.25">
      <c r="F84" s="26"/>
      <c r="AC84" s="3"/>
      <c r="AD84" s="32"/>
      <c r="AF84" s="24" t="s">
        <v>19</v>
      </c>
      <c r="AG84" s="28">
        <v>4178</v>
      </c>
    </row>
    <row r="85" spans="1:33" x14ac:dyDescent="0.25">
      <c r="F85" s="26"/>
      <c r="AC85" s="3"/>
      <c r="AD85" s="33"/>
      <c r="AF85" s="24" t="s">
        <v>10</v>
      </c>
      <c r="AG85" s="28">
        <v>3708</v>
      </c>
    </row>
    <row r="86" spans="1:33" x14ac:dyDescent="0.25">
      <c r="F86" s="26"/>
      <c r="AF86" s="24" t="s">
        <v>16</v>
      </c>
      <c r="AG86" s="28">
        <v>3550</v>
      </c>
    </row>
    <row r="87" spans="1:33" x14ac:dyDescent="0.25">
      <c r="F87" s="26"/>
      <c r="AF87" s="24" t="s">
        <v>22</v>
      </c>
      <c r="AG87" s="28">
        <v>3065</v>
      </c>
    </row>
    <row r="88" spans="1:33" x14ac:dyDescent="0.25">
      <c r="F88" s="26"/>
      <c r="AF88" s="24" t="s">
        <v>24</v>
      </c>
      <c r="AG88" s="28">
        <v>2421</v>
      </c>
    </row>
    <row r="89" spans="1:33" s="19" customFormat="1" ht="18.600000000000001" customHeight="1" x14ac:dyDescent="0.25">
      <c r="A89" s="20"/>
      <c r="C89" s="45"/>
      <c r="F89" s="26"/>
      <c r="G89" s="26"/>
      <c r="H89" s="26"/>
      <c r="I89" s="26"/>
      <c r="J89" s="26"/>
      <c r="K89" s="26"/>
      <c r="L89" s="26"/>
      <c r="M89" s="26"/>
      <c r="AF89" s="24" t="s">
        <v>11</v>
      </c>
      <c r="AG89" s="28">
        <v>1992</v>
      </c>
    </row>
    <row r="90" spans="1:33" ht="15" customHeight="1" x14ac:dyDescent="0.25">
      <c r="AF90" s="24" t="s">
        <v>17</v>
      </c>
      <c r="AG90" s="28">
        <v>1852</v>
      </c>
    </row>
    <row r="91" spans="1:33" x14ac:dyDescent="0.25">
      <c r="AF91" s="24" t="s">
        <v>14</v>
      </c>
      <c r="AG91" s="28">
        <v>961</v>
      </c>
    </row>
    <row r="92" spans="1:33" x14ac:dyDescent="0.25">
      <c r="AF92" s="24" t="s">
        <v>29</v>
      </c>
      <c r="AG92" s="28">
        <v>790</v>
      </c>
    </row>
    <row r="93" spans="1:33" x14ac:dyDescent="0.25">
      <c r="AF93" s="24" t="s">
        <v>12</v>
      </c>
      <c r="AG93" s="28">
        <v>525</v>
      </c>
    </row>
    <row r="94" spans="1:33" x14ac:dyDescent="0.25">
      <c r="B94" s="17"/>
      <c r="C94" s="43"/>
      <c r="D94" s="18"/>
      <c r="E94" s="18"/>
      <c r="F94" s="18"/>
      <c r="G94" s="18"/>
      <c r="H94" s="18"/>
      <c r="I94" s="18"/>
      <c r="J94" s="18"/>
      <c r="K94" s="18"/>
      <c r="L94" s="18"/>
      <c r="M94" s="18"/>
      <c r="AF94" s="24"/>
      <c r="AG94" s="28"/>
    </row>
    <row r="95" spans="1:33" x14ac:dyDescent="0.25">
      <c r="AF95" s="24"/>
      <c r="AG95" s="28"/>
    </row>
  </sheetData>
  <sortState ref="AF84:AG95">
    <sortCondition descending="1" ref="AG84"/>
  </sortState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62" right="0.59" top="0.26" bottom="0.19" header="0.13" footer="0.14000000000000001"/>
  <pageSetup paperSize="9" scale="52" orientation="portrait" r:id="rId1"/>
  <rowBreaks count="1" manualBreakCount="1">
    <brk id="64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5.9</vt:lpstr>
      <vt:lpstr>'5.9'!Print_Area</vt:lpstr>
      <vt:lpstr>'5.9'!Print_Titles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2015-10-15T03:58:30Z</cp:lastPrinted>
  <dcterms:created xsi:type="dcterms:W3CDTF">2013-03-26T05:45:33Z</dcterms:created>
  <dcterms:modified xsi:type="dcterms:W3CDTF">2015-11-26T07:32:03Z</dcterms:modified>
</cp:coreProperties>
</file>