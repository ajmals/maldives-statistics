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090"/>
  </bookViews>
  <sheets>
    <sheet name="5.17" sheetId="1" r:id="rId1"/>
  </sheets>
  <definedNames>
    <definedName name="_xlnm.Print_Area" localSheetId="0">'5.17'!$A$1:$G$104</definedName>
    <definedName name="_xlnm.Print_Titles" localSheetId="0">'5.17'!$5:$7</definedName>
  </definedNames>
  <calcPr calcId="144525"/>
</workbook>
</file>

<file path=xl/calcChain.xml><?xml version="1.0" encoding="utf-8"?>
<calcChain xmlns="http://schemas.openxmlformats.org/spreadsheetml/2006/main">
  <c r="AI93" i="1" l="1"/>
  <c r="AK85" i="1"/>
  <c r="AK84" i="1"/>
  <c r="AJ83" i="1"/>
  <c r="AK83" i="1" s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E8" i="1"/>
  <c r="C8" i="1" s="1"/>
  <c r="D8" i="1"/>
</calcChain>
</file>

<file path=xl/sharedStrings.xml><?xml version="1.0" encoding="utf-8"?>
<sst xmlns="http://schemas.openxmlformats.org/spreadsheetml/2006/main" count="148" uniqueCount="139">
  <si>
    <t>ތާވަލް 5.17: ސަރުކާރުގެ އެކި އޮފީސްތަކުގެ ޕޮލިޓިކަލް މަގާމުގައި ތިއްބެވި ބޭފުޅުން،  2014</t>
  </si>
  <si>
    <t>TABLE 5.17: EMPLOYMENT IN POLITICAL POSTS CLASSIFIED BY OFFICE,  2014</t>
  </si>
  <si>
    <t>Office</t>
  </si>
  <si>
    <t>2014 (end)</t>
  </si>
  <si>
    <t>އޮފީސް</t>
  </si>
  <si>
    <t>ދެޖިންސު</t>
  </si>
  <si>
    <t>ފިރިހެން</t>
  </si>
  <si>
    <t>އަންހެން</t>
  </si>
  <si>
    <t>Both sexes</t>
  </si>
  <si>
    <t>Male</t>
  </si>
  <si>
    <t>Female</t>
  </si>
  <si>
    <t>TOTAL</t>
  </si>
  <si>
    <t>ޖުމްލަ</t>
  </si>
  <si>
    <t>President's office</t>
  </si>
  <si>
    <t>ރައީސުލްޖުމްހޫރިއްޔާގެ އޮފީސް</t>
  </si>
  <si>
    <t>President's Residence</t>
  </si>
  <si>
    <t>ރައީސުލްޖުމްހޫރިއްޔާގެ ރަސްމީގެ</t>
  </si>
  <si>
    <t>Hilaaleege</t>
  </si>
  <si>
    <t>ހިލާލީގެ</t>
  </si>
  <si>
    <t xml:space="preserve">Ministry of Home Affairs </t>
  </si>
  <si>
    <t>މިނިސްޓްރީ އޮފް ހޯމް އެފެއާޒް</t>
  </si>
  <si>
    <t>Dept. of Immigration and Emigration</t>
  </si>
  <si>
    <t>ޑިޕާޓްމަންޓް އޮފް އިމިގްރޭޝަން އެންޑް އެމިގްރޭޝަން</t>
  </si>
  <si>
    <t>Ministry of Finance and Treasury</t>
  </si>
  <si>
    <t>މިނިސްޓްރީ އޮފް ފިނޭންސް އެންޑް ޓްރެޜަރީ</t>
  </si>
  <si>
    <t>Ministry of  Defense &amp; National Security</t>
  </si>
  <si>
    <t>މިނިސްޓްރީ އޮފް ޑިފެންސް އެންޑް ނޭޝަނަލް ސެކިއުރިޓީ</t>
  </si>
  <si>
    <t>Ministry of Education</t>
  </si>
  <si>
    <t>މިނިސްޓްރީ އޮފް އެޑިއުކޭޝަން</t>
  </si>
  <si>
    <t>Maldives Qualification Authority</t>
  </si>
  <si>
    <t>މޯލްޑިވްސް ކުއަލިފިކޭޝަން އޮތޯރިޓީ</t>
  </si>
  <si>
    <t>Attorney General's Office</t>
  </si>
  <si>
    <t>އެޓާރނީ ޖެނެރަލްގެ އޮފީސް</t>
  </si>
  <si>
    <t>Ministry of Foreign Affairs</t>
  </si>
  <si>
    <t>މިނިސްޓްރީ އޮފް ފޮރިން އެފެއާޒް</t>
  </si>
  <si>
    <t xml:space="preserve">Ministry of Health </t>
  </si>
  <si>
    <t xml:space="preserve">މިނިސްޓްރީ އޮފް ހެލްތް </t>
  </si>
  <si>
    <t>Ministry of Law and Gender</t>
  </si>
  <si>
    <t>މިނިސްޓްރީ އޮފް ލޯ އެންޑް ޖެންޑަރ</t>
  </si>
  <si>
    <t>Ministry of Economic Development</t>
  </si>
  <si>
    <t>މިނިސްޓްރީ އޮފް އިކޮނޮމިކް ޑިވެލޮޕްމެންޓް</t>
  </si>
  <si>
    <t>Ministry of Tourism</t>
  </si>
  <si>
    <t>މިނިސްޓްރީ އޮފް ޓޫރިޒަމް</t>
  </si>
  <si>
    <t xml:space="preserve">Ministry of Youth and Sports </t>
  </si>
  <si>
    <t>މިނިސްޓްރީ އޮފް ޔޫތް އެންޑް ސްޕޯރޓްސް</t>
  </si>
  <si>
    <t>Ministry of Fisheries and Agriculture</t>
  </si>
  <si>
    <t>މިނިސްޓްރީ އޮފް ފިޝަރީސް އެންޑް އެގްރިކަލްޗަރ</t>
  </si>
  <si>
    <t>Ministry of Housing and Infrastructure</t>
  </si>
  <si>
    <t>މިނިސްޓްރީ އޮފް ހައުސިންގ އެންޑް އިންފްރާސްރަކްޗަރ</t>
  </si>
  <si>
    <t>Transport Authority</t>
  </si>
  <si>
    <t>ޓްރާންސްޕޯރޓް އޮތޯރިޓީ</t>
  </si>
  <si>
    <t>Ministry of Islamic Affairs</t>
  </si>
  <si>
    <t>މިނިސްޓްރީ އޮފް އިސްލާމިކް އެފެއާޒް</t>
  </si>
  <si>
    <t>Ministry of Environment and Energy</t>
  </si>
  <si>
    <t>މިނިސްޓްރީ އޮފް އެންވަޔަރަންމަންޓް އެންޑް އެނަރޖީ</t>
  </si>
  <si>
    <t>National Centre for the Arts</t>
  </si>
  <si>
    <t>ނޭޝަނަލް ސެންޓަރ ފޮރ ދި އާޓްސް</t>
  </si>
  <si>
    <t>National Centre for Information Technology</t>
  </si>
  <si>
    <t>ނޭޝަނަލް ސެންޓަރ ފޮރ އިންފޮމޭޝަން ޓެކްނޮލޮޖީ</t>
  </si>
  <si>
    <t>National Disaster Management Centre</t>
  </si>
  <si>
    <t>ނޭޝަނަލް ޑިޒާސްޓަރ މެނޭޖްމަންޓް ސެންޓަރ</t>
  </si>
  <si>
    <t>National Social Protection Agency</t>
  </si>
  <si>
    <t>ނޭޝަނަލް ސޯޝަލް ޕްރޮޓެކްޝަން އޭޖެންސީ</t>
  </si>
  <si>
    <t>Dhivehi Raajjeyge Qawmee Arusheef</t>
  </si>
  <si>
    <t>ދިވެހިރާއްޖޭގެ ޤައުމީ އަރުޝީފް</t>
  </si>
  <si>
    <t>Indhira Gandhi Memorial Hospital</t>
  </si>
  <si>
    <t>އިންދިރާގާނދީ މެމޯރިއަލް ހޮސްޕިޓަލް</t>
  </si>
  <si>
    <t>Atolls</t>
  </si>
  <si>
    <t>އަތޮޅުތައް</t>
  </si>
  <si>
    <t xml:space="preserve">HA. Atholhu Hospital </t>
  </si>
  <si>
    <t>ހއ. އަތޮޅު ހޮސްޕިޓަލް</t>
  </si>
  <si>
    <t xml:space="preserve">N. Atholhu Hospital </t>
  </si>
  <si>
    <t>ނ. އަތޮޅު ހޮސްޕިޓަލް</t>
  </si>
  <si>
    <t xml:space="preserve">ADh. Atholhu Hospital </t>
  </si>
  <si>
    <t>އދ. އަތޮޅު ހޮސްޕިޓަލް</t>
  </si>
  <si>
    <t xml:space="preserve">GA. Atholhu Hospital </t>
  </si>
  <si>
    <t>ގއ. އަތޮޅު ހޮސްޕިޓަލް</t>
  </si>
  <si>
    <t xml:space="preserve">Gn. Atholhu Hospital </t>
  </si>
  <si>
    <t>ޏ. އަތޮޅު ހޮސްޕިޓަލް</t>
  </si>
  <si>
    <t xml:space="preserve">HDh. Kulhuduffushi Regional Hospital </t>
  </si>
  <si>
    <t>ހދ. ކުޅުދުއްފުށީ ރީޖަނަލް ހޮސްޕިޓަލް</t>
  </si>
  <si>
    <t xml:space="preserve">L. Gamu Regional Hospital </t>
  </si>
  <si>
    <t>ލ. ގަމު ރީޖަނަލް ހޮސްޕިޓަލް</t>
  </si>
  <si>
    <t xml:space="preserve">S. Hithadhoo Regional Hospital </t>
  </si>
  <si>
    <t>ސ. ހިތަދޫ ރީޖަނަލް ހޮސްޕިޓަލް</t>
  </si>
  <si>
    <t xml:space="preserve">Dr. Abdul Samad Memorial Hospital </t>
  </si>
  <si>
    <t>ޑޮކްޓަރ ޢަބްދުއްޞަމަދު މެމޯރިއަލް ރީޖަނަލް ހޮސްޕިޓަލް</t>
  </si>
  <si>
    <t>HA.Hoarafushi Sihhee Marukazu</t>
  </si>
  <si>
    <t>ހއ. ހޯރަފުށި ޞިއްޙީ މަރުކަޒު</t>
  </si>
  <si>
    <t>Sh.Milandhoo Sihhee Marukazu</t>
  </si>
  <si>
    <t>ށ. މިލަންދޫ ޞިއްޙީ މަރުކަޒު</t>
  </si>
  <si>
    <t>Dh.Meedhoo Sihhee Marukazu</t>
  </si>
  <si>
    <t>ހއ. މީދޫ ޞިއްޙީ މަރުކަޒު</t>
  </si>
  <si>
    <t>Th.Guraidhoo Sihhee Marukazu</t>
  </si>
  <si>
    <t>ތ. ގުރައިދޫ ޞިއްޙީ މަރުކަޒު</t>
  </si>
  <si>
    <t>Th.Hirilandhoo Sihhee Marukazu</t>
  </si>
  <si>
    <t>ތ. ހިރިލަންދޫ ޞިއްޙީ މަރުކަޒު</t>
  </si>
  <si>
    <t>Th.Kinbidhoo Sihhee Marukazu</t>
  </si>
  <si>
    <t>ތ. ކިނބިދޫޞިއްޙީ މަރުކަޒު</t>
  </si>
  <si>
    <t>Th.Kandoodhoo Sihhee Marukazu</t>
  </si>
  <si>
    <t>ތ. ކަނޑޫދޫޞިއްޙީ މަރުކަޒު</t>
  </si>
  <si>
    <t>Th.Omadhoo Sihhee Marukazu</t>
  </si>
  <si>
    <t>ތ. އޮމަދޫ ޞިއްޙީ މަރުކަޒު</t>
  </si>
  <si>
    <t>Th.Madifushi Sihhee Marukazu</t>
  </si>
  <si>
    <t>ތ. މަޑިފުށިޞިއްޙީ މަރުކަޒު</t>
  </si>
  <si>
    <t>L.Isdhoo Sihhee Marukazu</t>
  </si>
  <si>
    <t>ލ. އިސްދޫ ޞިއްޙީ މަރުކަޒު</t>
  </si>
  <si>
    <t>L.Maabaidhoo Sihhee Marukazu</t>
  </si>
  <si>
    <t>ލ. މާބައިދޫ ޞިއްޙީ މަރުކަޒު</t>
  </si>
  <si>
    <t>L.Dhanbidhoo Sihhee Marukazu</t>
  </si>
  <si>
    <t>ލ. ދަނބިދޫ ޞިއްޙީ މަރުކަޒު</t>
  </si>
  <si>
    <t>GA.Dhaandhoo Sihhee Marukazu</t>
  </si>
  <si>
    <t>ގއ. ދާންދޫ ޞިއްޙީ މަރުކަޒު</t>
  </si>
  <si>
    <t>GA.Maamendhoo Sihhee Marukazu</t>
  </si>
  <si>
    <t>ގއ. މާމެންދޫ ޞިއްޙީ މަރުކަޒު</t>
  </si>
  <si>
    <t>GA.Gemanafushi Sihhee Marukazu</t>
  </si>
  <si>
    <t>ގއ. ގެމަނަފުށި ޞިއްޙީ މަރުކަޒު</t>
  </si>
  <si>
    <t>GA.Kolamaafushi Sihhee Marukazu</t>
  </si>
  <si>
    <t>ގއ. ކޮލަމާފުށިޞިއްޙީ މަރުކަޒު</t>
  </si>
  <si>
    <t>GA.Nilandhoo Sihhee Marukazu</t>
  </si>
  <si>
    <t>ގއ. ނިލަންދޫ ޞިއްޙީ މަރުކަޒު</t>
  </si>
  <si>
    <t>GA.Kanduhulhudhoo Sihhee Marukazu</t>
  </si>
  <si>
    <t>ގއ. ކަނދުހުޅުދޫ ޞިއްޙީ މަރުކަޒު</t>
  </si>
  <si>
    <t>GA.Dhevvadhoo Sihhee Marukazu</t>
  </si>
  <si>
    <t>ގއ. ދެއްވަދޫ ޞިއްޙީ މަރުކަޒު</t>
  </si>
  <si>
    <t>GDh.Gadhdhoo Sihhee Marukazu</t>
  </si>
  <si>
    <t>ގދ. ގައްދޫ ޞިއްޙީ މަރުކަޒު</t>
  </si>
  <si>
    <t>GDh.Vaadhoo Sihhee Marukazu</t>
  </si>
  <si>
    <t>ގދ. ވާދޫ ޞިއްޙީ މަރުކަޒު</t>
  </si>
  <si>
    <t>GDh.Fiyori Sihhee Marukazu</t>
  </si>
  <si>
    <t>ގދ. ފިޔޯރީ ޞިއްޙީ މަރުކަޒު</t>
  </si>
  <si>
    <t>GDh.Rathafandhoo Sihhee Marukazu</t>
  </si>
  <si>
    <t>ގދ. ރަތަފަންދޫ ޞިއްޙީ މަރުކަޒު</t>
  </si>
  <si>
    <t>S.Hulhumeedhoo Sihhee Marukazu</t>
  </si>
  <si>
    <t>ސ. ހުޅުމީދޫ ޞިއްޙީ މަރުކަޒު</t>
  </si>
  <si>
    <t>S.Feydhoo Sihhee Marukazu</t>
  </si>
  <si>
    <t>ސ. ފޭދޫ ޞިއްޙީ މަރުކަޒު</t>
  </si>
  <si>
    <t>Source: Presidents Office</t>
  </si>
  <si>
    <t>މައުލޫމާތު ދެއްވީ: ރައީސުލްޖުމްހޫރިއްޔާގެ އޮފީސް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</si>
</sst>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b/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b/>
      <sz val="12"/>
      <name val="Calibri"/>
      <family val="2"/>
      <scheme val="minor"/>
    </font>
    <font>
      <i/>
      <sz val="9"/>
      <color indexed="8"/>
      <name val="Calibri"/>
      <family val="2"/>
      <scheme val="minor"/>
    </font>
    <font>
      <sz val="9"/>
      <name val="Faruma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5">
    <xf numFmtId="0" fontId="0" fillId="0" borderId="0" xfId="0"/>
    <xf numFmtId="0" fontId="1" fillId="2" borderId="0" xfId="1" applyFill="1" applyBorder="1" applyAlignment="1">
      <alignment vertical="center"/>
    </xf>
    <xf numFmtId="0" fontId="2" fillId="2" borderId="0" xfId="1" applyFont="1" applyFill="1" applyBorder="1" applyAlignment="1">
      <alignment horizontal="center" readingOrder="2"/>
    </xf>
    <xf numFmtId="0" fontId="3" fillId="2" borderId="0" xfId="0" applyFont="1" applyFill="1" applyBorder="1" applyAlignment="1">
      <alignment horizontal="center" vertical="top"/>
    </xf>
    <xf numFmtId="0" fontId="1" fillId="2" borderId="0" xfId="1" applyFill="1" applyBorder="1" applyAlignment="1">
      <alignment horizontal="right" vertical="center"/>
    </xf>
    <xf numFmtId="0" fontId="1" fillId="2" borderId="1" xfId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right" vertical="center" readingOrder="2"/>
    </xf>
    <xf numFmtId="0" fontId="1" fillId="2" borderId="0" xfId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right" vertical="center" readingOrder="2"/>
    </xf>
    <xf numFmtId="0" fontId="5" fillId="2" borderId="0" xfId="1" applyFont="1" applyFill="1" applyBorder="1" applyAlignment="1">
      <alignment horizontal="right" vertical="center" readingOrder="2"/>
    </xf>
    <xf numFmtId="0" fontId="5" fillId="2" borderId="0" xfId="1" applyFont="1" applyFill="1" applyBorder="1" applyAlignment="1">
      <alignment horizontal="right" vertical="center" readingOrder="2"/>
    </xf>
    <xf numFmtId="0" fontId="1" fillId="2" borderId="4" xfId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 readingOrder="2"/>
    </xf>
    <xf numFmtId="0" fontId="1" fillId="2" borderId="0" xfId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6" fillId="2" borderId="0" xfId="1" applyFont="1" applyFill="1" applyBorder="1" applyAlignment="1">
      <alignment horizontal="right" vertical="center"/>
    </xf>
    <xf numFmtId="0" fontId="7" fillId="2" borderId="0" xfId="1" applyNumberFormat="1" applyFont="1" applyFill="1" applyBorder="1" applyAlignment="1">
      <alignment horizontal="center" vertical="center"/>
    </xf>
    <xf numFmtId="0" fontId="9" fillId="2" borderId="0" xfId="2" applyFont="1" applyFill="1" applyBorder="1" applyAlignment="1">
      <alignment horizontal="left" vertical="center" wrapText="1"/>
    </xf>
    <xf numFmtId="0" fontId="10" fillId="2" borderId="0" xfId="1" applyFont="1" applyFill="1" applyBorder="1" applyAlignment="1" applyProtection="1">
      <alignment horizontal="right" vertical="center"/>
      <protection locked="0"/>
    </xf>
    <xf numFmtId="0" fontId="11" fillId="2" borderId="0" xfId="1" applyFont="1" applyFill="1" applyBorder="1" applyAlignment="1">
      <alignment horizontal="right" vertical="center" readingOrder="2"/>
    </xf>
    <xf numFmtId="0" fontId="7" fillId="2" borderId="0" xfId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0" fontId="9" fillId="2" borderId="0" xfId="1" applyFont="1" applyFill="1" applyBorder="1" applyAlignment="1">
      <alignment horizontal="left" vertical="center" wrapText="1"/>
    </xf>
    <xf numFmtId="0" fontId="10" fillId="2" borderId="0" xfId="1" applyFont="1" applyFill="1" applyBorder="1" applyAlignment="1">
      <alignment horizontal="left" vertical="center" wrapText="1"/>
    </xf>
    <xf numFmtId="0" fontId="10" fillId="2" borderId="0" xfId="1" applyFont="1" applyFill="1" applyBorder="1" applyAlignment="1">
      <alignment horizontal="right" vertical="center"/>
    </xf>
    <xf numFmtId="0" fontId="12" fillId="2" borderId="0" xfId="1" applyFont="1" applyFill="1" applyBorder="1" applyAlignment="1">
      <alignment horizontal="left" vertical="center" indent="1"/>
    </xf>
    <xf numFmtId="0" fontId="5" fillId="2" borderId="0" xfId="1" applyFont="1" applyFill="1" applyBorder="1" applyAlignment="1">
      <alignment horizontal="right" vertical="center" indent="1" readingOrder="2"/>
    </xf>
    <xf numFmtId="0" fontId="7" fillId="2" borderId="4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/>
    </xf>
    <xf numFmtId="0" fontId="13" fillId="2" borderId="0" xfId="1" applyFont="1" applyFill="1" applyBorder="1" applyAlignment="1">
      <alignment horizontal="left" vertical="center"/>
    </xf>
    <xf numFmtId="0" fontId="7" fillId="2" borderId="0" xfId="1" applyFont="1" applyFill="1" applyBorder="1" applyAlignment="1">
      <alignment vertical="center"/>
    </xf>
    <xf numFmtId="0" fontId="14" fillId="2" borderId="1" xfId="1" applyFont="1" applyFill="1" applyBorder="1" applyAlignment="1">
      <alignment horizontal="right" vertical="center" readingOrder="2"/>
    </xf>
    <xf numFmtId="0" fontId="15" fillId="2" borderId="0" xfId="1" applyFont="1" applyFill="1" applyBorder="1" applyAlignment="1">
      <alignment horizontal="left" vertical="center"/>
    </xf>
    <xf numFmtId="0" fontId="1" fillId="2" borderId="0" xfId="1" applyFill="1" applyBorder="1" applyAlignment="1">
      <alignment horizontal="center" vertical="center"/>
    </xf>
    <xf numFmtId="1" fontId="1" fillId="2" borderId="0" xfId="1" applyNumberFormat="1" applyFill="1" applyBorder="1" applyAlignment="1">
      <alignment vertical="center"/>
    </xf>
    <xf numFmtId="0" fontId="4" fillId="2" borderId="0" xfId="1" applyFont="1" applyFill="1" applyBorder="1" applyAlignment="1">
      <alignment horizontal="right" vertical="center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059341523677619E-2"/>
          <c:y val="0.17565149949094944"/>
          <c:w val="0.89905357921464957"/>
          <c:h val="0.687479370667840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'[1]5.17'!$N$89</c:f>
              <c:strCache>
                <c:ptCount val="1"/>
                <c:pt idx="0">
                  <c:v>Both sexes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'[1]5.17'!$M$90:$M$93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'[1]5.17'!$N$90:$N$93</c:f>
              <c:numCache>
                <c:formatCode>General</c:formatCode>
                <c:ptCount val="4"/>
                <c:pt idx="0">
                  <c:v>544</c:v>
                </c:pt>
                <c:pt idx="1">
                  <c:v>446</c:v>
                </c:pt>
                <c:pt idx="2">
                  <c:v>473</c:v>
                </c:pt>
                <c:pt idx="3">
                  <c:v>526</c:v>
                </c:pt>
              </c:numCache>
            </c:numRef>
          </c:val>
        </c:ser>
        <c:ser>
          <c:idx val="1"/>
          <c:order val="1"/>
          <c:tx>
            <c:strRef>
              <c:f>'[1]5.17'!$O$89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'[1]5.17'!$M$90:$M$93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'[1]5.17'!$O$90:$O$93</c:f>
              <c:numCache>
                <c:formatCode>General</c:formatCode>
                <c:ptCount val="4"/>
                <c:pt idx="0">
                  <c:v>390</c:v>
                </c:pt>
                <c:pt idx="1">
                  <c:v>301</c:v>
                </c:pt>
                <c:pt idx="2">
                  <c:v>342</c:v>
                </c:pt>
                <c:pt idx="3">
                  <c:v>367</c:v>
                </c:pt>
              </c:numCache>
            </c:numRef>
          </c:val>
        </c:ser>
        <c:ser>
          <c:idx val="2"/>
          <c:order val="2"/>
          <c:tx>
            <c:strRef>
              <c:f>'[1]5.17'!$P$89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'[1]5.17'!$M$90:$M$93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'[1]5.17'!$P$90:$P$93</c:f>
              <c:numCache>
                <c:formatCode>General</c:formatCode>
                <c:ptCount val="4"/>
                <c:pt idx="0">
                  <c:v>154</c:v>
                </c:pt>
                <c:pt idx="1">
                  <c:v>145</c:v>
                </c:pt>
                <c:pt idx="2">
                  <c:v>131</c:v>
                </c:pt>
                <c:pt idx="3">
                  <c:v>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axId val="172353024"/>
        <c:axId val="172354560"/>
      </c:barChart>
      <c:catAx>
        <c:axId val="1723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72354560"/>
        <c:crosses val="autoZero"/>
        <c:auto val="1"/>
        <c:lblAlgn val="ctr"/>
        <c:lblOffset val="100"/>
        <c:noMultiLvlLbl val="0"/>
      </c:catAx>
      <c:valAx>
        <c:axId val="1723545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235302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1668516021613923"/>
          <c:y val="0.18910782231494891"/>
          <c:w val="0.51499634208008571"/>
          <c:h val="9.44770814306518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265579988477073"/>
          <c:y val="0.18884775717826474"/>
          <c:w val="0.40747383961873185"/>
          <c:h val="0.77359560645263481"/>
        </c:manualLayout>
      </c:layout>
      <c:pieChart>
        <c:varyColors val="1"/>
        <c:ser>
          <c:idx val="0"/>
          <c:order val="0"/>
          <c:explosion val="2"/>
          <c:dLbls>
            <c:dLbl>
              <c:idx val="0"/>
              <c:layout>
                <c:manualLayout>
                  <c:x val="-0.12679258668604393"/>
                  <c:y val="-0.236593915693424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3965847246821952"/>
                  <c:y val="0.129204319258750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'[1]5.17'!$N$84:$N$85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'[1]5.17'!$P$84:$P$85</c:f>
              <c:numCache>
                <c:formatCode>0</c:formatCode>
                <c:ptCount val="2"/>
                <c:pt idx="0">
                  <c:v>69.771863117870723</c:v>
                </c:pt>
                <c:pt idx="1">
                  <c:v>30.228136882129274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72</xdr:row>
      <xdr:rowOff>146684</xdr:rowOff>
    </xdr:from>
    <xdr:to>
      <xdr:col>5</xdr:col>
      <xdr:colOff>1737360</xdr:colOff>
      <xdr:row>87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1074420</xdr:colOff>
      <xdr:row>89</xdr:row>
      <xdr:rowOff>31114</xdr:rowOff>
    </xdr:from>
    <xdr:to>
      <xdr:col>5</xdr:col>
      <xdr:colOff>1722120</xdr:colOff>
      <xdr:row>103</xdr:row>
      <xdr:rowOff>60960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1325880</xdr:colOff>
      <xdr:row>73</xdr:row>
      <xdr:rowOff>144780</xdr:rowOff>
    </xdr:from>
    <xdr:to>
      <xdr:col>5</xdr:col>
      <xdr:colOff>1592580</xdr:colOff>
      <xdr:row>75</xdr:row>
      <xdr:rowOff>45720</xdr:rowOff>
    </xdr:to>
    <xdr:sp macro="" textlink="">
      <xdr:nvSpPr>
        <xdr:cNvPr id="4" name="TextBox 3"/>
        <xdr:cNvSpPr txBox="1"/>
      </xdr:nvSpPr>
      <xdr:spPr>
        <a:xfrm>
          <a:off x="1592580" y="18432780"/>
          <a:ext cx="4752975" cy="22479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Figure 5.11: Number of  political posts in  government</a:t>
          </a:r>
          <a:r>
            <a:rPr lang="dv-MV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 </a:t>
          </a: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by sex, </a:t>
          </a:r>
          <a:r>
            <a:rPr lang="dv-MV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  </a:t>
          </a: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2011 - 2014</a:t>
          </a:r>
          <a:endParaRPr lang="en-US" sz="1000">
            <a:latin typeface="+mn-lt"/>
            <a:cs typeface="Consolas" pitchFamily="49" charset="0"/>
          </a:endParaRPr>
        </a:p>
        <a:p>
          <a:pPr algn="ctr"/>
          <a:endParaRPr lang="en-US" sz="1000"/>
        </a:p>
      </xdr:txBody>
    </xdr:sp>
    <xdr:clientData/>
  </xdr:twoCellAnchor>
  <xdr:twoCellAnchor>
    <xdr:from>
      <xdr:col>1</xdr:col>
      <xdr:colOff>1430694</xdr:colOff>
      <xdr:row>75</xdr:row>
      <xdr:rowOff>23326</xdr:rowOff>
    </xdr:from>
    <xdr:to>
      <xdr:col>5</xdr:col>
      <xdr:colOff>1609531</xdr:colOff>
      <xdr:row>75</xdr:row>
      <xdr:rowOff>23326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697394" y="18635176"/>
          <a:ext cx="4665112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1282959</xdr:colOff>
      <xdr:row>90</xdr:row>
      <xdr:rowOff>140893</xdr:rowOff>
    </xdr:from>
    <xdr:to>
      <xdr:col>5</xdr:col>
      <xdr:colOff>1562877</xdr:colOff>
      <xdr:row>90</xdr:row>
      <xdr:rowOff>140893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549659" y="21314968"/>
          <a:ext cx="4766193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0.01733</cdr:x>
      <cdr:y>0.03614</cdr:y>
    </cdr:from>
    <cdr:to>
      <cdr:x>0.984</cdr:x>
      <cdr:y>0.10924</cdr:y>
    </cdr:to>
    <cdr:sp macro="" textlink="">
      <cdr:nvSpPr>
        <cdr:cNvPr id="2" name="TextBox 3"/>
        <cdr:cNvSpPr txBox="1"/>
      </cdr:nvSpPr>
      <cdr:spPr>
        <a:xfrm xmlns:a="http://schemas.openxmlformats.org/drawingml/2006/main">
          <a:off x="90984" y="94935"/>
          <a:ext cx="5075793" cy="19202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/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Figure: 5.12: Percentage of government political posts by sex, 2014</a:t>
          </a:r>
          <a:r>
            <a:rPr lang="dv-MV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endParaRPr lang="en-US" sz="900" b="1">
            <a:latin typeface="+mn-lt"/>
            <a:cs typeface="Consolas" pitchFamily="49" charset="0"/>
          </a:endParaRPr>
        </a:p>
        <a:p xmlns:a="http://schemas.openxmlformats.org/drawingml/2006/main">
          <a:pPr algn="ctr"/>
          <a:endParaRPr lang="en-US" sz="9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104"/>
  <sheetViews>
    <sheetView tabSelected="1" view="pageBreakPreview" zoomScale="60" zoomScaleNormal="100" workbookViewId="0">
      <selection activeCell="U22" sqref="U22"/>
    </sheetView>
  </sheetViews>
  <sheetFormatPr defaultColWidth="9.140625" defaultRowHeight="12.75" x14ac:dyDescent="0.25"/>
  <cols>
    <col min="1" max="1" width="4" style="1" customWidth="1"/>
    <col min="2" max="2" width="37.28515625" style="1" customWidth="1"/>
    <col min="3" max="3" width="10" style="42" customWidth="1"/>
    <col min="4" max="5" width="10" style="1" customWidth="1"/>
    <col min="6" max="6" width="39.28515625" style="4" customWidth="1"/>
    <col min="7" max="7" width="5.140625" style="1" customWidth="1"/>
    <col min="8" max="16384" width="9.140625" style="1"/>
  </cols>
  <sheetData>
    <row r="2" spans="1:6" ht="21.75" x14ac:dyDescent="0.55000000000000004">
      <c r="B2" s="2" t="s">
        <v>0</v>
      </c>
      <c r="C2" s="2"/>
      <c r="D2" s="2"/>
      <c r="E2" s="2"/>
      <c r="F2" s="2"/>
    </row>
    <row r="3" spans="1:6" x14ac:dyDescent="0.25">
      <c r="B3" s="3" t="s">
        <v>1</v>
      </c>
      <c r="C3" s="3"/>
      <c r="D3" s="3"/>
      <c r="E3" s="3"/>
      <c r="F3" s="3"/>
    </row>
    <row r="4" spans="1:6" x14ac:dyDescent="0.25">
      <c r="C4" s="1"/>
    </row>
    <row r="5" spans="1:6" ht="15" x14ac:dyDescent="0.25">
      <c r="A5" s="5"/>
      <c r="B5" s="6" t="s">
        <v>2</v>
      </c>
      <c r="C5" s="7" t="s">
        <v>3</v>
      </c>
      <c r="D5" s="7"/>
      <c r="E5" s="7"/>
      <c r="F5" s="8" t="s">
        <v>4</v>
      </c>
    </row>
    <row r="6" spans="1:6" ht="21" x14ac:dyDescent="0.25">
      <c r="A6" s="9"/>
      <c r="B6" s="10"/>
      <c r="C6" s="11" t="s">
        <v>5</v>
      </c>
      <c r="D6" s="12" t="s">
        <v>6</v>
      </c>
      <c r="E6" s="11" t="s">
        <v>7</v>
      </c>
      <c r="F6" s="13"/>
    </row>
    <row r="7" spans="1:6" ht="15" x14ac:dyDescent="0.25">
      <c r="A7" s="14"/>
      <c r="B7" s="15"/>
      <c r="C7" s="16" t="s">
        <v>8</v>
      </c>
      <c r="D7" s="17" t="s">
        <v>9</v>
      </c>
      <c r="E7" s="16" t="s">
        <v>10</v>
      </c>
      <c r="F7" s="18"/>
    </row>
    <row r="8" spans="1:6" s="19" customFormat="1" ht="21" x14ac:dyDescent="0.25">
      <c r="B8" s="20" t="s">
        <v>11</v>
      </c>
      <c r="C8" s="21">
        <f>SUM(D8:E8)</f>
        <v>526</v>
      </c>
      <c r="D8" s="22">
        <f>SUM(D9:D70)</f>
        <v>367</v>
      </c>
      <c r="E8" s="22">
        <f>SUM(E9:E70)</f>
        <v>159</v>
      </c>
      <c r="F8" s="12" t="s">
        <v>12</v>
      </c>
    </row>
    <row r="9" spans="1:6" s="19" customFormat="1" ht="21" x14ac:dyDescent="0.25">
      <c r="A9" s="23">
        <v>1</v>
      </c>
      <c r="B9" s="24" t="s">
        <v>13</v>
      </c>
      <c r="C9" s="21">
        <f t="shared" ref="C9:C70" si="0">SUM(D9:E9)</f>
        <v>206</v>
      </c>
      <c r="D9" s="25">
        <v>114</v>
      </c>
      <c r="E9" s="25">
        <v>92</v>
      </c>
      <c r="F9" s="26" t="s">
        <v>14</v>
      </c>
    </row>
    <row r="10" spans="1:6" s="19" customFormat="1" ht="21" x14ac:dyDescent="0.25">
      <c r="A10" s="27">
        <v>2</v>
      </c>
      <c r="B10" s="24" t="s">
        <v>15</v>
      </c>
      <c r="C10" s="21">
        <f t="shared" si="0"/>
        <v>40</v>
      </c>
      <c r="D10" s="25">
        <v>34</v>
      </c>
      <c r="E10" s="25">
        <v>6</v>
      </c>
      <c r="F10" s="26" t="s">
        <v>16</v>
      </c>
    </row>
    <row r="11" spans="1:6" s="19" customFormat="1" ht="21" x14ac:dyDescent="0.25">
      <c r="A11" s="27">
        <v>3</v>
      </c>
      <c r="B11" s="24" t="s">
        <v>17</v>
      </c>
      <c r="C11" s="21">
        <f t="shared" si="0"/>
        <v>30</v>
      </c>
      <c r="D11" s="25">
        <v>21</v>
      </c>
      <c r="E11" s="25">
        <v>9</v>
      </c>
      <c r="F11" s="26" t="s">
        <v>18</v>
      </c>
    </row>
    <row r="12" spans="1:6" s="19" customFormat="1" ht="21" x14ac:dyDescent="0.25">
      <c r="A12" s="27">
        <v>4</v>
      </c>
      <c r="B12" s="24" t="s">
        <v>19</v>
      </c>
      <c r="C12" s="21">
        <f t="shared" si="0"/>
        <v>12</v>
      </c>
      <c r="D12" s="25">
        <v>11</v>
      </c>
      <c r="E12" s="25">
        <v>1</v>
      </c>
      <c r="F12" s="26" t="s">
        <v>20</v>
      </c>
    </row>
    <row r="13" spans="1:6" s="19" customFormat="1" ht="21" x14ac:dyDescent="0.25">
      <c r="A13" s="27">
        <v>5</v>
      </c>
      <c r="B13" s="24" t="s">
        <v>21</v>
      </c>
      <c r="C13" s="21">
        <f t="shared" si="0"/>
        <v>6</v>
      </c>
      <c r="D13" s="25">
        <v>6</v>
      </c>
      <c r="E13" s="25">
        <v>0</v>
      </c>
      <c r="F13" s="26" t="s">
        <v>22</v>
      </c>
    </row>
    <row r="14" spans="1:6" s="19" customFormat="1" ht="21" x14ac:dyDescent="0.25">
      <c r="A14" s="27">
        <v>6</v>
      </c>
      <c r="B14" s="24" t="s">
        <v>23</v>
      </c>
      <c r="C14" s="21">
        <f t="shared" si="0"/>
        <v>10</v>
      </c>
      <c r="D14" s="25">
        <v>9</v>
      </c>
      <c r="E14" s="25">
        <v>1</v>
      </c>
      <c r="F14" s="26" t="s">
        <v>24</v>
      </c>
    </row>
    <row r="15" spans="1:6" s="19" customFormat="1" ht="21" x14ac:dyDescent="0.25">
      <c r="A15" s="27">
        <v>7</v>
      </c>
      <c r="B15" s="24" t="s">
        <v>25</v>
      </c>
      <c r="C15" s="21">
        <f t="shared" si="0"/>
        <v>6</v>
      </c>
      <c r="D15" s="25">
        <v>5</v>
      </c>
      <c r="E15" s="25">
        <v>1</v>
      </c>
      <c r="F15" s="26" t="s">
        <v>26</v>
      </c>
    </row>
    <row r="16" spans="1:6" s="19" customFormat="1" ht="21" x14ac:dyDescent="0.25">
      <c r="A16" s="27">
        <v>8</v>
      </c>
      <c r="B16" s="24" t="s">
        <v>27</v>
      </c>
      <c r="C16" s="21">
        <f t="shared" si="0"/>
        <v>15</v>
      </c>
      <c r="D16" s="25">
        <v>11</v>
      </c>
      <c r="E16" s="25">
        <v>4</v>
      </c>
      <c r="F16" s="26" t="s">
        <v>28</v>
      </c>
    </row>
    <row r="17" spans="1:6" s="19" customFormat="1" ht="21" x14ac:dyDescent="0.25">
      <c r="A17" s="27">
        <v>9</v>
      </c>
      <c r="B17" s="24" t="s">
        <v>29</v>
      </c>
      <c r="C17" s="21">
        <f t="shared" si="0"/>
        <v>1</v>
      </c>
      <c r="D17" s="25">
        <v>1</v>
      </c>
      <c r="E17" s="25">
        <v>0</v>
      </c>
      <c r="F17" s="26" t="s">
        <v>30</v>
      </c>
    </row>
    <row r="18" spans="1:6" s="19" customFormat="1" ht="21" x14ac:dyDescent="0.25">
      <c r="A18" s="27">
        <v>10</v>
      </c>
      <c r="B18" s="24" t="s">
        <v>31</v>
      </c>
      <c r="C18" s="21">
        <f t="shared" si="0"/>
        <v>4</v>
      </c>
      <c r="D18" s="25">
        <v>3</v>
      </c>
      <c r="E18" s="25">
        <v>1</v>
      </c>
      <c r="F18" s="26" t="s">
        <v>32</v>
      </c>
    </row>
    <row r="19" spans="1:6" s="19" customFormat="1" ht="21" x14ac:dyDescent="0.25">
      <c r="A19" s="27">
        <v>11</v>
      </c>
      <c r="B19" s="24" t="s">
        <v>33</v>
      </c>
      <c r="C19" s="21">
        <f t="shared" si="0"/>
        <v>50</v>
      </c>
      <c r="D19" s="25">
        <v>31</v>
      </c>
      <c r="E19" s="25">
        <v>19</v>
      </c>
      <c r="F19" s="26" t="s">
        <v>34</v>
      </c>
    </row>
    <row r="20" spans="1:6" s="19" customFormat="1" ht="21" x14ac:dyDescent="0.25">
      <c r="A20" s="27">
        <v>12</v>
      </c>
      <c r="B20" s="24" t="s">
        <v>35</v>
      </c>
      <c r="C20" s="21">
        <f t="shared" si="0"/>
        <v>10</v>
      </c>
      <c r="D20" s="25">
        <v>9</v>
      </c>
      <c r="E20" s="25">
        <v>1</v>
      </c>
      <c r="F20" s="26" t="s">
        <v>36</v>
      </c>
    </row>
    <row r="21" spans="1:6" s="19" customFormat="1" ht="21" x14ac:dyDescent="0.25">
      <c r="A21" s="27">
        <v>13</v>
      </c>
      <c r="B21" s="24" t="s">
        <v>37</v>
      </c>
      <c r="C21" s="21">
        <f t="shared" si="0"/>
        <v>9</v>
      </c>
      <c r="D21" s="25">
        <v>1</v>
      </c>
      <c r="E21" s="25">
        <v>8</v>
      </c>
      <c r="F21" s="26" t="s">
        <v>38</v>
      </c>
    </row>
    <row r="22" spans="1:6" s="19" customFormat="1" ht="21" x14ac:dyDescent="0.25">
      <c r="A22" s="27">
        <v>14</v>
      </c>
      <c r="B22" s="24" t="s">
        <v>39</v>
      </c>
      <c r="C22" s="21">
        <f t="shared" si="0"/>
        <v>12</v>
      </c>
      <c r="D22" s="25">
        <v>8</v>
      </c>
      <c r="E22" s="25">
        <v>4</v>
      </c>
      <c r="F22" s="26" t="s">
        <v>40</v>
      </c>
    </row>
    <row r="23" spans="1:6" s="19" customFormat="1" ht="21" x14ac:dyDescent="0.25">
      <c r="A23" s="27">
        <v>15</v>
      </c>
      <c r="B23" s="24" t="s">
        <v>41</v>
      </c>
      <c r="C23" s="21">
        <f t="shared" si="0"/>
        <v>4</v>
      </c>
      <c r="D23" s="28">
        <v>4</v>
      </c>
      <c r="E23" s="28">
        <v>0</v>
      </c>
      <c r="F23" s="26" t="s">
        <v>42</v>
      </c>
    </row>
    <row r="24" spans="1:6" s="19" customFormat="1" ht="21" x14ac:dyDescent="0.25">
      <c r="A24" s="27">
        <v>16</v>
      </c>
      <c r="B24" s="24" t="s">
        <v>43</v>
      </c>
      <c r="C24" s="21">
        <f t="shared" si="0"/>
        <v>22</v>
      </c>
      <c r="D24" s="25">
        <v>20</v>
      </c>
      <c r="E24" s="25">
        <v>2</v>
      </c>
      <c r="F24" s="26" t="s">
        <v>44</v>
      </c>
    </row>
    <row r="25" spans="1:6" s="19" customFormat="1" ht="21" x14ac:dyDescent="0.25">
      <c r="A25" s="27">
        <v>17</v>
      </c>
      <c r="B25" s="29" t="s">
        <v>45</v>
      </c>
      <c r="C25" s="21">
        <f t="shared" si="0"/>
        <v>7</v>
      </c>
      <c r="D25" s="25">
        <v>6</v>
      </c>
      <c r="E25" s="25">
        <v>1</v>
      </c>
      <c r="F25" s="26" t="s">
        <v>46</v>
      </c>
    </row>
    <row r="26" spans="1:6" s="19" customFormat="1" ht="21" x14ac:dyDescent="0.25">
      <c r="A26" s="27">
        <v>18</v>
      </c>
      <c r="B26" s="30" t="s">
        <v>47</v>
      </c>
      <c r="C26" s="21">
        <f t="shared" si="0"/>
        <v>13</v>
      </c>
      <c r="D26" s="28">
        <v>12</v>
      </c>
      <c r="E26" s="31">
        <v>1</v>
      </c>
      <c r="F26" s="26" t="s">
        <v>48</v>
      </c>
    </row>
    <row r="27" spans="1:6" s="19" customFormat="1" ht="21" x14ac:dyDescent="0.25">
      <c r="A27" s="27">
        <v>19</v>
      </c>
      <c r="B27" s="30" t="s">
        <v>49</v>
      </c>
      <c r="C27" s="21">
        <f t="shared" si="0"/>
        <v>1</v>
      </c>
      <c r="D27" s="25">
        <v>1</v>
      </c>
      <c r="E27" s="25">
        <v>0</v>
      </c>
      <c r="F27" s="26" t="s">
        <v>50</v>
      </c>
    </row>
    <row r="28" spans="1:6" s="19" customFormat="1" ht="21" x14ac:dyDescent="0.25">
      <c r="A28" s="27">
        <v>20</v>
      </c>
      <c r="B28" s="29" t="s">
        <v>51</v>
      </c>
      <c r="C28" s="21">
        <f t="shared" si="0"/>
        <v>12</v>
      </c>
      <c r="D28" s="25">
        <v>11</v>
      </c>
      <c r="E28" s="25">
        <v>1</v>
      </c>
      <c r="F28" s="26" t="s">
        <v>52</v>
      </c>
    </row>
    <row r="29" spans="1:6" s="19" customFormat="1" ht="21" x14ac:dyDescent="0.25">
      <c r="A29" s="27">
        <v>21</v>
      </c>
      <c r="B29" s="29" t="s">
        <v>53</v>
      </c>
      <c r="C29" s="21">
        <f t="shared" si="0"/>
        <v>13</v>
      </c>
      <c r="D29" s="25">
        <v>11</v>
      </c>
      <c r="E29" s="25">
        <v>2</v>
      </c>
      <c r="F29" s="26" t="s">
        <v>54</v>
      </c>
    </row>
    <row r="30" spans="1:6" s="19" customFormat="1" ht="21" x14ac:dyDescent="0.25">
      <c r="A30" s="27">
        <v>22</v>
      </c>
      <c r="B30" s="29" t="s">
        <v>55</v>
      </c>
      <c r="C30" s="21">
        <f t="shared" si="0"/>
        <v>1</v>
      </c>
      <c r="D30" s="25">
        <v>1</v>
      </c>
      <c r="E30" s="25">
        <v>0</v>
      </c>
      <c r="F30" s="26" t="s">
        <v>56</v>
      </c>
    </row>
    <row r="31" spans="1:6" s="19" customFormat="1" ht="30" x14ac:dyDescent="0.25">
      <c r="A31" s="27">
        <v>23</v>
      </c>
      <c r="B31" s="29" t="s">
        <v>57</v>
      </c>
      <c r="C31" s="21">
        <f t="shared" si="0"/>
        <v>1</v>
      </c>
      <c r="D31" s="25">
        <v>1</v>
      </c>
      <c r="E31" s="25">
        <v>0</v>
      </c>
      <c r="F31" s="26" t="s">
        <v>58</v>
      </c>
    </row>
    <row r="32" spans="1:6" s="19" customFormat="1" ht="21" x14ac:dyDescent="0.25">
      <c r="A32" s="27">
        <v>24</v>
      </c>
      <c r="B32" s="29" t="s">
        <v>59</v>
      </c>
      <c r="C32" s="21">
        <f t="shared" si="0"/>
        <v>1</v>
      </c>
      <c r="D32" s="25">
        <v>1</v>
      </c>
      <c r="E32" s="25">
        <v>0</v>
      </c>
      <c r="F32" s="26" t="s">
        <v>60</v>
      </c>
    </row>
    <row r="33" spans="1:6" s="19" customFormat="1" ht="21" x14ac:dyDescent="0.25">
      <c r="A33" s="27">
        <v>25</v>
      </c>
      <c r="B33" s="29" t="s">
        <v>61</v>
      </c>
      <c r="C33" s="21">
        <f t="shared" si="0"/>
        <v>1</v>
      </c>
      <c r="D33" s="25">
        <v>1</v>
      </c>
      <c r="E33" s="25">
        <v>0</v>
      </c>
      <c r="F33" s="26" t="s">
        <v>62</v>
      </c>
    </row>
    <row r="34" spans="1:6" s="19" customFormat="1" ht="21" x14ac:dyDescent="0.25">
      <c r="A34" s="27">
        <v>26</v>
      </c>
      <c r="B34" s="29" t="s">
        <v>63</v>
      </c>
      <c r="C34" s="21">
        <f t="shared" si="0"/>
        <v>1</v>
      </c>
      <c r="D34" s="25">
        <v>1</v>
      </c>
      <c r="E34" s="25">
        <v>0</v>
      </c>
      <c r="F34" s="26" t="s">
        <v>64</v>
      </c>
    </row>
    <row r="35" spans="1:6" s="19" customFormat="1" ht="21" x14ac:dyDescent="0.25">
      <c r="A35" s="27">
        <v>27</v>
      </c>
      <c r="B35" s="29" t="s">
        <v>65</v>
      </c>
      <c r="C35" s="21">
        <f t="shared" si="0"/>
        <v>4</v>
      </c>
      <c r="D35" s="28">
        <v>3</v>
      </c>
      <c r="E35" s="28">
        <v>1</v>
      </c>
      <c r="F35" s="26" t="s">
        <v>66</v>
      </c>
    </row>
    <row r="36" spans="1:6" s="19" customFormat="1" ht="21" x14ac:dyDescent="0.25">
      <c r="A36" s="32" t="s">
        <v>67</v>
      </c>
      <c r="B36" s="32"/>
      <c r="C36" s="21"/>
      <c r="D36" s="28"/>
      <c r="E36" s="28"/>
      <c r="F36" s="33" t="s">
        <v>68</v>
      </c>
    </row>
    <row r="37" spans="1:6" s="19" customFormat="1" ht="21" x14ac:dyDescent="0.25">
      <c r="A37" s="27">
        <v>28</v>
      </c>
      <c r="B37" s="29" t="s">
        <v>69</v>
      </c>
      <c r="C37" s="21">
        <f t="shared" si="0"/>
        <v>1</v>
      </c>
      <c r="D37" s="28">
        <v>1</v>
      </c>
      <c r="E37" s="28">
        <v>0</v>
      </c>
      <c r="F37" s="26" t="s">
        <v>70</v>
      </c>
    </row>
    <row r="38" spans="1:6" s="19" customFormat="1" ht="21" x14ac:dyDescent="0.25">
      <c r="A38" s="27">
        <v>29</v>
      </c>
      <c r="B38" s="29" t="s">
        <v>71</v>
      </c>
      <c r="C38" s="21">
        <f t="shared" si="0"/>
        <v>1</v>
      </c>
      <c r="D38" s="28">
        <v>1</v>
      </c>
      <c r="E38" s="28">
        <v>0</v>
      </c>
      <c r="F38" s="26" t="s">
        <v>72</v>
      </c>
    </row>
    <row r="39" spans="1:6" s="19" customFormat="1" ht="21" x14ac:dyDescent="0.25">
      <c r="A39" s="27">
        <v>30</v>
      </c>
      <c r="B39" s="29" t="s">
        <v>73</v>
      </c>
      <c r="C39" s="21">
        <f t="shared" si="0"/>
        <v>1</v>
      </c>
      <c r="D39" s="28">
        <v>1</v>
      </c>
      <c r="E39" s="28">
        <v>0</v>
      </c>
      <c r="F39" s="26" t="s">
        <v>74</v>
      </c>
    </row>
    <row r="40" spans="1:6" s="19" customFormat="1" ht="21" x14ac:dyDescent="0.25">
      <c r="A40" s="27">
        <v>31</v>
      </c>
      <c r="B40" s="29" t="s">
        <v>75</v>
      </c>
      <c r="C40" s="21">
        <f t="shared" si="0"/>
        <v>1</v>
      </c>
      <c r="D40" s="28">
        <v>1</v>
      </c>
      <c r="E40" s="28">
        <v>0</v>
      </c>
      <c r="F40" s="26" t="s">
        <v>76</v>
      </c>
    </row>
    <row r="41" spans="1:6" s="19" customFormat="1" ht="21" x14ac:dyDescent="0.25">
      <c r="A41" s="27">
        <v>32</v>
      </c>
      <c r="B41" s="29" t="s">
        <v>77</v>
      </c>
      <c r="C41" s="21">
        <f t="shared" si="0"/>
        <v>1</v>
      </c>
      <c r="D41" s="28">
        <v>1</v>
      </c>
      <c r="E41" s="28">
        <v>0</v>
      </c>
      <c r="F41" s="26" t="s">
        <v>78</v>
      </c>
    </row>
    <row r="42" spans="1:6" s="19" customFormat="1" ht="21" x14ac:dyDescent="0.25">
      <c r="A42" s="27">
        <v>33</v>
      </c>
      <c r="B42" s="29" t="s">
        <v>79</v>
      </c>
      <c r="C42" s="21">
        <f t="shared" si="0"/>
        <v>1</v>
      </c>
      <c r="D42" s="28">
        <v>1</v>
      </c>
      <c r="E42" s="28">
        <v>0</v>
      </c>
      <c r="F42" s="26" t="s">
        <v>80</v>
      </c>
    </row>
    <row r="43" spans="1:6" s="19" customFormat="1" ht="21" x14ac:dyDescent="0.25">
      <c r="A43" s="27">
        <v>34</v>
      </c>
      <c r="B43" s="29" t="s">
        <v>81</v>
      </c>
      <c r="C43" s="21">
        <f t="shared" si="0"/>
        <v>1</v>
      </c>
      <c r="D43" s="28">
        <v>1</v>
      </c>
      <c r="E43" s="28">
        <v>0</v>
      </c>
      <c r="F43" s="26" t="s">
        <v>82</v>
      </c>
    </row>
    <row r="44" spans="1:6" s="19" customFormat="1" ht="21" x14ac:dyDescent="0.25">
      <c r="A44" s="27">
        <v>35</v>
      </c>
      <c r="B44" s="29" t="s">
        <v>83</v>
      </c>
      <c r="C44" s="21">
        <f t="shared" si="0"/>
        <v>1</v>
      </c>
      <c r="D44" s="28">
        <v>0</v>
      </c>
      <c r="E44" s="28">
        <v>1</v>
      </c>
      <c r="F44" s="26" t="s">
        <v>84</v>
      </c>
    </row>
    <row r="45" spans="1:6" s="19" customFormat="1" ht="21" x14ac:dyDescent="0.25">
      <c r="A45" s="27">
        <v>36</v>
      </c>
      <c r="B45" s="29" t="s">
        <v>85</v>
      </c>
      <c r="C45" s="21">
        <f t="shared" si="0"/>
        <v>1</v>
      </c>
      <c r="D45" s="28">
        <v>0</v>
      </c>
      <c r="E45" s="28">
        <v>1</v>
      </c>
      <c r="F45" s="26" t="s">
        <v>86</v>
      </c>
    </row>
    <row r="46" spans="1:6" s="19" customFormat="1" ht="21" x14ac:dyDescent="0.25">
      <c r="A46" s="27">
        <v>37</v>
      </c>
      <c r="B46" s="29" t="s">
        <v>87</v>
      </c>
      <c r="C46" s="21">
        <f t="shared" si="0"/>
        <v>1</v>
      </c>
      <c r="D46" s="28">
        <v>1</v>
      </c>
      <c r="E46" s="28">
        <v>0</v>
      </c>
      <c r="F46" s="26" t="s">
        <v>88</v>
      </c>
    </row>
    <row r="47" spans="1:6" s="19" customFormat="1" ht="21" x14ac:dyDescent="0.25">
      <c r="A47" s="27">
        <v>38</v>
      </c>
      <c r="B47" s="29" t="s">
        <v>89</v>
      </c>
      <c r="C47" s="21">
        <f t="shared" si="0"/>
        <v>1</v>
      </c>
      <c r="D47" s="28">
        <v>1</v>
      </c>
      <c r="E47" s="28">
        <v>0</v>
      </c>
      <c r="F47" s="26" t="s">
        <v>90</v>
      </c>
    </row>
    <row r="48" spans="1:6" s="19" customFormat="1" ht="21" x14ac:dyDescent="0.25">
      <c r="A48" s="27">
        <v>39</v>
      </c>
      <c r="B48" s="29" t="s">
        <v>91</v>
      </c>
      <c r="C48" s="21">
        <f t="shared" si="0"/>
        <v>1</v>
      </c>
      <c r="D48" s="28">
        <v>0</v>
      </c>
      <c r="E48" s="28">
        <v>1</v>
      </c>
      <c r="F48" s="26" t="s">
        <v>92</v>
      </c>
    </row>
    <row r="49" spans="1:6" s="19" customFormat="1" ht="21" x14ac:dyDescent="0.25">
      <c r="A49" s="27">
        <v>40</v>
      </c>
      <c r="B49" s="29" t="s">
        <v>93</v>
      </c>
      <c r="C49" s="21">
        <f t="shared" si="0"/>
        <v>1</v>
      </c>
      <c r="D49" s="28">
        <v>1</v>
      </c>
      <c r="E49" s="28">
        <v>0</v>
      </c>
      <c r="F49" s="26" t="s">
        <v>94</v>
      </c>
    </row>
    <row r="50" spans="1:6" s="19" customFormat="1" ht="21" x14ac:dyDescent="0.25">
      <c r="A50" s="27">
        <v>41</v>
      </c>
      <c r="B50" s="29" t="s">
        <v>95</v>
      </c>
      <c r="C50" s="21">
        <f t="shared" si="0"/>
        <v>1</v>
      </c>
      <c r="D50" s="28">
        <v>1</v>
      </c>
      <c r="E50" s="28">
        <v>0</v>
      </c>
      <c r="F50" s="26" t="s">
        <v>96</v>
      </c>
    </row>
    <row r="51" spans="1:6" s="19" customFormat="1" ht="21" x14ac:dyDescent="0.25">
      <c r="A51" s="27">
        <v>42</v>
      </c>
      <c r="B51" s="29" t="s">
        <v>97</v>
      </c>
      <c r="C51" s="21">
        <f t="shared" si="0"/>
        <v>1</v>
      </c>
      <c r="D51" s="28">
        <v>1</v>
      </c>
      <c r="E51" s="28">
        <v>0</v>
      </c>
      <c r="F51" s="26" t="s">
        <v>98</v>
      </c>
    </row>
    <row r="52" spans="1:6" s="19" customFormat="1" ht="21" x14ac:dyDescent="0.25">
      <c r="A52" s="27">
        <v>43</v>
      </c>
      <c r="B52" s="29" t="s">
        <v>99</v>
      </c>
      <c r="C52" s="21">
        <f t="shared" si="0"/>
        <v>1</v>
      </c>
      <c r="D52" s="28">
        <v>1</v>
      </c>
      <c r="E52" s="28">
        <v>0</v>
      </c>
      <c r="F52" s="26" t="s">
        <v>100</v>
      </c>
    </row>
    <row r="53" spans="1:6" s="19" customFormat="1" ht="21" x14ac:dyDescent="0.25">
      <c r="A53" s="27">
        <v>44</v>
      </c>
      <c r="B53" s="29" t="s">
        <v>101</v>
      </c>
      <c r="C53" s="21">
        <f t="shared" si="0"/>
        <v>1</v>
      </c>
      <c r="D53" s="28">
        <v>1</v>
      </c>
      <c r="E53" s="28">
        <v>0</v>
      </c>
      <c r="F53" s="26" t="s">
        <v>102</v>
      </c>
    </row>
    <row r="54" spans="1:6" s="19" customFormat="1" ht="21" x14ac:dyDescent="0.25">
      <c r="A54" s="27">
        <v>45</v>
      </c>
      <c r="B54" s="29" t="s">
        <v>103</v>
      </c>
      <c r="C54" s="21">
        <f t="shared" si="0"/>
        <v>1</v>
      </c>
      <c r="D54" s="28">
        <v>1</v>
      </c>
      <c r="E54" s="28">
        <v>0</v>
      </c>
      <c r="F54" s="26" t="s">
        <v>104</v>
      </c>
    </row>
    <row r="55" spans="1:6" s="19" customFormat="1" ht="21" x14ac:dyDescent="0.25">
      <c r="A55" s="27">
        <v>46</v>
      </c>
      <c r="B55" s="29" t="s">
        <v>105</v>
      </c>
      <c r="C55" s="21">
        <f t="shared" si="0"/>
        <v>1</v>
      </c>
      <c r="D55" s="28">
        <v>1</v>
      </c>
      <c r="E55" s="28">
        <v>0</v>
      </c>
      <c r="F55" s="26" t="s">
        <v>106</v>
      </c>
    </row>
    <row r="56" spans="1:6" s="19" customFormat="1" ht="21" x14ac:dyDescent="0.25">
      <c r="A56" s="27">
        <v>47</v>
      </c>
      <c r="B56" s="29" t="s">
        <v>107</v>
      </c>
      <c r="C56" s="21">
        <f t="shared" si="0"/>
        <v>1</v>
      </c>
      <c r="D56" s="28">
        <v>1</v>
      </c>
      <c r="E56" s="28">
        <v>0</v>
      </c>
      <c r="F56" s="26" t="s">
        <v>108</v>
      </c>
    </row>
    <row r="57" spans="1:6" s="19" customFormat="1" ht="21" x14ac:dyDescent="0.25">
      <c r="A57" s="27">
        <v>48</v>
      </c>
      <c r="B57" s="29" t="s">
        <v>109</v>
      </c>
      <c r="C57" s="21">
        <f t="shared" si="0"/>
        <v>1</v>
      </c>
      <c r="D57" s="28">
        <v>1</v>
      </c>
      <c r="E57" s="28">
        <v>0</v>
      </c>
      <c r="F57" s="26" t="s">
        <v>110</v>
      </c>
    </row>
    <row r="58" spans="1:6" s="19" customFormat="1" ht="21" x14ac:dyDescent="0.25">
      <c r="A58" s="27">
        <v>49</v>
      </c>
      <c r="B58" s="29" t="s">
        <v>111</v>
      </c>
      <c r="C58" s="21">
        <f t="shared" si="0"/>
        <v>1</v>
      </c>
      <c r="D58" s="28">
        <v>1</v>
      </c>
      <c r="E58" s="28">
        <v>0</v>
      </c>
      <c r="F58" s="26" t="s">
        <v>112</v>
      </c>
    </row>
    <row r="59" spans="1:6" s="19" customFormat="1" ht="21" x14ac:dyDescent="0.25">
      <c r="A59" s="27">
        <v>50</v>
      </c>
      <c r="B59" s="29" t="s">
        <v>113</v>
      </c>
      <c r="C59" s="21">
        <f t="shared" si="0"/>
        <v>1</v>
      </c>
      <c r="D59" s="28">
        <v>1</v>
      </c>
      <c r="E59" s="28">
        <v>0</v>
      </c>
      <c r="F59" s="26" t="s">
        <v>114</v>
      </c>
    </row>
    <row r="60" spans="1:6" s="19" customFormat="1" ht="21" x14ac:dyDescent="0.25">
      <c r="A60" s="27">
        <v>51</v>
      </c>
      <c r="B60" s="29" t="s">
        <v>115</v>
      </c>
      <c r="C60" s="21">
        <f t="shared" si="0"/>
        <v>1</v>
      </c>
      <c r="D60" s="28">
        <v>1</v>
      </c>
      <c r="E60" s="28">
        <v>0</v>
      </c>
      <c r="F60" s="26" t="s">
        <v>116</v>
      </c>
    </row>
    <row r="61" spans="1:6" s="19" customFormat="1" ht="21" x14ac:dyDescent="0.25">
      <c r="A61" s="27">
        <v>52</v>
      </c>
      <c r="B61" s="29" t="s">
        <v>117</v>
      </c>
      <c r="C61" s="21">
        <f t="shared" si="0"/>
        <v>1</v>
      </c>
      <c r="D61" s="28">
        <v>1</v>
      </c>
      <c r="E61" s="28">
        <v>0</v>
      </c>
      <c r="F61" s="26" t="s">
        <v>118</v>
      </c>
    </row>
    <row r="62" spans="1:6" s="19" customFormat="1" ht="21" x14ac:dyDescent="0.25">
      <c r="A62" s="27">
        <v>53</v>
      </c>
      <c r="B62" s="29" t="s">
        <v>119</v>
      </c>
      <c r="C62" s="21">
        <f t="shared" si="0"/>
        <v>1</v>
      </c>
      <c r="D62" s="28">
        <v>1</v>
      </c>
      <c r="E62" s="28">
        <v>0</v>
      </c>
      <c r="F62" s="26" t="s">
        <v>120</v>
      </c>
    </row>
    <row r="63" spans="1:6" s="19" customFormat="1" ht="21" x14ac:dyDescent="0.25">
      <c r="A63" s="27">
        <v>54</v>
      </c>
      <c r="B63" s="29" t="s">
        <v>121</v>
      </c>
      <c r="C63" s="21">
        <f t="shared" si="0"/>
        <v>1</v>
      </c>
      <c r="D63" s="28">
        <v>1</v>
      </c>
      <c r="E63" s="28">
        <v>0</v>
      </c>
      <c r="F63" s="26" t="s">
        <v>122</v>
      </c>
    </row>
    <row r="64" spans="1:6" s="19" customFormat="1" ht="21" x14ac:dyDescent="0.25">
      <c r="A64" s="27">
        <v>55</v>
      </c>
      <c r="B64" s="29" t="s">
        <v>123</v>
      </c>
      <c r="C64" s="21">
        <f t="shared" si="0"/>
        <v>1</v>
      </c>
      <c r="D64" s="28">
        <v>1</v>
      </c>
      <c r="E64" s="28">
        <v>0</v>
      </c>
      <c r="F64" s="26" t="s">
        <v>124</v>
      </c>
    </row>
    <row r="65" spans="1:6" s="19" customFormat="1" ht="21" x14ac:dyDescent="0.25">
      <c r="A65" s="27">
        <v>56</v>
      </c>
      <c r="B65" s="29" t="s">
        <v>125</v>
      </c>
      <c r="C65" s="21">
        <f t="shared" si="0"/>
        <v>1</v>
      </c>
      <c r="D65" s="28">
        <v>1</v>
      </c>
      <c r="E65" s="28">
        <v>0</v>
      </c>
      <c r="F65" s="26" t="s">
        <v>126</v>
      </c>
    </row>
    <row r="66" spans="1:6" s="19" customFormat="1" ht="21" x14ac:dyDescent="0.25">
      <c r="A66" s="27">
        <v>57</v>
      </c>
      <c r="B66" s="29" t="s">
        <v>127</v>
      </c>
      <c r="C66" s="21">
        <f t="shared" si="0"/>
        <v>1</v>
      </c>
      <c r="D66" s="28">
        <v>1</v>
      </c>
      <c r="E66" s="28">
        <v>0</v>
      </c>
      <c r="F66" s="26" t="s">
        <v>128</v>
      </c>
    </row>
    <row r="67" spans="1:6" s="19" customFormat="1" ht="21" x14ac:dyDescent="0.25">
      <c r="A67" s="27">
        <v>58</v>
      </c>
      <c r="B67" s="29" t="s">
        <v>129</v>
      </c>
      <c r="C67" s="21">
        <f t="shared" si="0"/>
        <v>1</v>
      </c>
      <c r="D67" s="28">
        <v>1</v>
      </c>
      <c r="E67" s="28">
        <v>0</v>
      </c>
      <c r="F67" s="26" t="s">
        <v>130</v>
      </c>
    </row>
    <row r="68" spans="1:6" s="19" customFormat="1" ht="21" x14ac:dyDescent="0.25">
      <c r="A68" s="27">
        <v>59</v>
      </c>
      <c r="B68" s="29" t="s">
        <v>131</v>
      </c>
      <c r="C68" s="21">
        <f t="shared" si="0"/>
        <v>1</v>
      </c>
      <c r="D68" s="28">
        <v>1</v>
      </c>
      <c r="E68" s="28">
        <v>0</v>
      </c>
      <c r="F68" s="26" t="s">
        <v>132</v>
      </c>
    </row>
    <row r="69" spans="1:6" s="19" customFormat="1" ht="21" x14ac:dyDescent="0.25">
      <c r="A69" s="27">
        <v>60</v>
      </c>
      <c r="B69" s="29" t="s">
        <v>133</v>
      </c>
      <c r="C69" s="21">
        <f t="shared" si="0"/>
        <v>1</v>
      </c>
      <c r="D69" s="28">
        <v>1</v>
      </c>
      <c r="E69" s="28">
        <v>0</v>
      </c>
      <c r="F69" s="26" t="s">
        <v>134</v>
      </c>
    </row>
    <row r="70" spans="1:6" s="19" customFormat="1" ht="21" x14ac:dyDescent="0.25">
      <c r="A70" s="34">
        <v>61</v>
      </c>
      <c r="B70" s="35" t="s">
        <v>135</v>
      </c>
      <c r="C70" s="16">
        <f t="shared" si="0"/>
        <v>1</v>
      </c>
      <c r="D70" s="36">
        <v>0</v>
      </c>
      <c r="E70" s="37">
        <v>1</v>
      </c>
      <c r="F70" s="26" t="s">
        <v>136</v>
      </c>
    </row>
    <row r="71" spans="1:6" ht="17.25" x14ac:dyDescent="0.25">
      <c r="A71" s="38" t="s">
        <v>137</v>
      </c>
      <c r="C71" s="27"/>
      <c r="D71" s="39"/>
      <c r="E71" s="39"/>
      <c r="F71" s="40" t="s">
        <v>138</v>
      </c>
    </row>
    <row r="72" spans="1:6" ht="15" x14ac:dyDescent="0.25">
      <c r="B72" s="41"/>
    </row>
    <row r="75" spans="1:6" x14ac:dyDescent="0.25">
      <c r="C75" s="1"/>
    </row>
    <row r="76" spans="1:6" ht="15" x14ac:dyDescent="0.25">
      <c r="B76" s="21" t="s">
        <v>8</v>
      </c>
      <c r="C76" s="1"/>
    </row>
    <row r="77" spans="1:6" ht="15" x14ac:dyDescent="0.25">
      <c r="B77" s="21" t="s">
        <v>9</v>
      </c>
      <c r="C77" s="1"/>
    </row>
    <row r="78" spans="1:6" ht="15" x14ac:dyDescent="0.25">
      <c r="B78" s="21" t="s">
        <v>10</v>
      </c>
    </row>
    <row r="82" spans="32:40" s="1" customFormat="1" x14ac:dyDescent="0.25">
      <c r="AI82" s="42"/>
      <c r="AJ82" s="1">
        <v>2014</v>
      </c>
    </row>
    <row r="83" spans="32:40" s="1" customFormat="1" ht="15" x14ac:dyDescent="0.25">
      <c r="AI83" s="21" t="s">
        <v>8</v>
      </c>
      <c r="AJ83" s="21">
        <f>SUM(AJ84:AJ85)</f>
        <v>526</v>
      </c>
      <c r="AK83" s="1">
        <f>AJ83/AJ83*100</f>
        <v>100</v>
      </c>
    </row>
    <row r="84" spans="32:40" s="1" customFormat="1" ht="15" x14ac:dyDescent="0.25">
      <c r="AI84" s="21" t="s">
        <v>9</v>
      </c>
      <c r="AJ84" s="22">
        <v>367</v>
      </c>
      <c r="AK84" s="43">
        <f>AJ84/AJ83*100</f>
        <v>69.771863117870723</v>
      </c>
    </row>
    <row r="85" spans="32:40" s="1" customFormat="1" ht="15" x14ac:dyDescent="0.25">
      <c r="AI85" s="21" t="s">
        <v>10</v>
      </c>
      <c r="AJ85" s="22">
        <v>159</v>
      </c>
      <c r="AK85" s="43">
        <f>AJ85/AJ83*100</f>
        <v>30.228136882129274</v>
      </c>
    </row>
    <row r="89" spans="32:40" s="1" customFormat="1" ht="7.9" customHeight="1" x14ac:dyDescent="0.25">
      <c r="AH89" s="16"/>
      <c r="AI89" s="16" t="s">
        <v>8</v>
      </c>
      <c r="AJ89" s="17" t="s">
        <v>9</v>
      </c>
      <c r="AK89" s="16" t="s">
        <v>10</v>
      </c>
      <c r="AL89" s="21"/>
      <c r="AM89" s="21"/>
      <c r="AN89" s="21"/>
    </row>
    <row r="90" spans="32:40" s="1" customFormat="1" ht="15" x14ac:dyDescent="0.25">
      <c r="AH90" s="20">
        <v>2011</v>
      </c>
      <c r="AI90" s="44">
        <v>544</v>
      </c>
      <c r="AJ90" s="44">
        <v>390</v>
      </c>
      <c r="AK90" s="44">
        <v>154</v>
      </c>
    </row>
    <row r="91" spans="32:40" s="1" customFormat="1" ht="15" x14ac:dyDescent="0.25">
      <c r="AH91" s="20">
        <v>2012</v>
      </c>
      <c r="AI91" s="21">
        <v>446</v>
      </c>
      <c r="AJ91" s="22">
        <v>301</v>
      </c>
      <c r="AK91" s="22">
        <v>145</v>
      </c>
    </row>
    <row r="92" spans="32:40" s="1" customFormat="1" ht="15" x14ac:dyDescent="0.25">
      <c r="AH92" s="20">
        <v>2013</v>
      </c>
      <c r="AI92" s="21">
        <v>473</v>
      </c>
      <c r="AJ92" s="22">
        <v>342</v>
      </c>
      <c r="AK92" s="22">
        <v>131</v>
      </c>
    </row>
    <row r="93" spans="32:40" s="1" customFormat="1" ht="15" x14ac:dyDescent="0.25">
      <c r="AH93" s="20">
        <v>2014</v>
      </c>
      <c r="AI93" s="21">
        <f>SUM(AJ93:AK93)</f>
        <v>526</v>
      </c>
      <c r="AJ93" s="22">
        <v>367</v>
      </c>
      <c r="AK93" s="22">
        <v>159</v>
      </c>
    </row>
    <row r="95" spans="32:40" s="1" customFormat="1" ht="15" x14ac:dyDescent="0.25">
      <c r="AF95" s="21"/>
      <c r="AG95" s="44"/>
      <c r="AI95" s="21"/>
      <c r="AJ95" s="21"/>
      <c r="AK95" s="21"/>
    </row>
    <row r="96" spans="32:40" s="1" customFormat="1" ht="15" x14ac:dyDescent="0.25">
      <c r="AF96" s="21"/>
      <c r="AG96" s="44"/>
    </row>
    <row r="97" spans="32:33" s="1" customFormat="1" ht="15" x14ac:dyDescent="0.25">
      <c r="AF97" s="21"/>
      <c r="AG97" s="44"/>
    </row>
    <row r="98" spans="32:33" s="1" customFormat="1" ht="15" x14ac:dyDescent="0.25">
      <c r="AF98" s="21"/>
      <c r="AG98" s="20"/>
    </row>
    <row r="99" spans="32:33" s="1" customFormat="1" ht="15" x14ac:dyDescent="0.25">
      <c r="AF99" s="21"/>
      <c r="AG99" s="21"/>
    </row>
    <row r="100" spans="32:33" s="1" customFormat="1" ht="15" x14ac:dyDescent="0.25">
      <c r="AF100" s="21"/>
      <c r="AG100" s="22"/>
    </row>
    <row r="101" spans="32:33" s="1" customFormat="1" ht="15" x14ac:dyDescent="0.25">
      <c r="AF101" s="21"/>
      <c r="AG101" s="22"/>
    </row>
    <row r="102" spans="32:33" s="1" customFormat="1" ht="15" x14ac:dyDescent="0.25">
      <c r="AF102" s="21"/>
      <c r="AG102" s="21"/>
    </row>
    <row r="103" spans="32:33" s="1" customFormat="1" ht="15" x14ac:dyDescent="0.25">
      <c r="AF103" s="21"/>
      <c r="AG103" s="22"/>
    </row>
    <row r="104" spans="32:33" s="1" customFormat="1" ht="15" x14ac:dyDescent="0.25">
      <c r="AF104" s="21"/>
      <c r="AG104" s="22"/>
    </row>
  </sheetData>
  <mergeCells count="7">
    <mergeCell ref="A36:B36"/>
    <mergeCell ref="B2:F2"/>
    <mergeCell ref="B3:F3"/>
    <mergeCell ref="A5:A7"/>
    <mergeCell ref="B5:B7"/>
    <mergeCell ref="C5:E5"/>
    <mergeCell ref="F5:F7"/>
  </mergeCells>
  <pageMargins left="0.7" right="0.7" top="0.75" bottom="0.75" header="0.3" footer="0.3"/>
  <pageSetup paperSize="9" scale="71" orientation="portrait" horizontalDpi="4294967295" verticalDpi="4294967295" r:id="rId1"/>
  <rowBreaks count="1" manualBreakCount="1">
    <brk id="50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5.17</vt:lpstr>
      <vt:lpstr>'5.17'!Print_Area</vt:lpstr>
      <vt:lpstr>'5.17'!Print_Titles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Fathmath Shifaza</dc:creator>
  <cp:lastModifiedBy>Fathmath Shifaza</cp:lastModifiedBy>
  <cp:lastPrinted>2015-11-29T07:39:07Z</cp:lastPrinted>
  <dcterms:created xsi:type="dcterms:W3CDTF">2015-11-29T07:36:49Z</dcterms:created>
  <dcterms:modified xsi:type="dcterms:W3CDTF">2015-11-29T07:39:37Z</dcterms:modified>
</cp:coreProperties>
</file>