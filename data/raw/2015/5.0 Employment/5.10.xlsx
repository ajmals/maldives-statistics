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0" sheetId="10" r:id="rId1"/>
  </sheets>
  <definedNames>
    <definedName name="_xlnm.Print_Area" localSheetId="0">'5.10'!$A$1:$N$39</definedName>
  </definedNames>
  <calcPr calcId="144525"/>
</workbook>
</file>

<file path=xl/calcChain.xml><?xml version="1.0" encoding="utf-8"?>
<calcChain xmlns="http://schemas.openxmlformats.org/spreadsheetml/2006/main">
  <c r="K21" i="10" l="1"/>
  <c r="G21" i="10"/>
  <c r="E21" i="10"/>
  <c r="D21" i="10"/>
  <c r="C21" i="10" s="1"/>
  <c r="K20" i="10"/>
  <c r="G20" i="10"/>
  <c r="E20" i="10"/>
  <c r="D20" i="10"/>
  <c r="C20" i="10"/>
  <c r="K19" i="10"/>
  <c r="G19" i="10"/>
  <c r="E19" i="10"/>
  <c r="D19" i="10"/>
  <c r="C19" i="10" s="1"/>
  <c r="K18" i="10"/>
  <c r="G18" i="10"/>
  <c r="E18" i="10"/>
  <c r="D18" i="10"/>
  <c r="C18" i="10" s="1"/>
  <c r="K17" i="10"/>
  <c r="G17" i="10"/>
  <c r="E17" i="10"/>
  <c r="D17" i="10"/>
  <c r="C17" i="10" s="1"/>
  <c r="K16" i="10"/>
  <c r="G16" i="10"/>
  <c r="E16" i="10"/>
  <c r="D16" i="10"/>
  <c r="C16" i="10" s="1"/>
  <c r="K15" i="10"/>
  <c r="G15" i="10"/>
  <c r="E15" i="10"/>
  <c r="D15" i="10"/>
  <c r="C15" i="10" s="1"/>
  <c r="K14" i="10"/>
  <c r="G14" i="10"/>
  <c r="E14" i="10"/>
  <c r="D14" i="10"/>
  <c r="C14" i="10"/>
  <c r="K13" i="10"/>
  <c r="G13" i="10"/>
  <c r="E13" i="10"/>
  <c r="D13" i="10"/>
  <c r="C13" i="10" s="1"/>
  <c r="K12" i="10"/>
  <c r="G12" i="10"/>
  <c r="E12" i="10"/>
  <c r="D12" i="10"/>
  <c r="C12" i="10"/>
  <c r="K11" i="10"/>
  <c r="G11" i="10"/>
  <c r="E11" i="10"/>
  <c r="D11" i="10"/>
  <c r="C11" i="10" s="1"/>
  <c r="M10" i="10"/>
  <c r="AQ25" i="10" s="1"/>
  <c r="L10" i="10"/>
  <c r="AP25" i="10" s="1"/>
  <c r="I10" i="10"/>
  <c r="AN25" i="10" s="1"/>
  <c r="H10" i="10"/>
  <c r="AM25" i="10" s="1"/>
  <c r="E10" i="10" l="1"/>
  <c r="AK25" i="10" s="1"/>
  <c r="K10" i="10"/>
  <c r="AO25" i="10" s="1"/>
  <c r="G10" i="10"/>
  <c r="AL25" i="10" s="1"/>
  <c r="D10" i="10"/>
  <c r="AJ25" i="10" s="1"/>
  <c r="C10" i="10"/>
  <c r="AI25" i="10" s="1"/>
</calcChain>
</file>

<file path=xl/sharedStrings.xml><?xml version="1.0" encoding="utf-8"?>
<sst xmlns="http://schemas.openxmlformats.org/spreadsheetml/2006/main" count="68" uniqueCount="30">
  <si>
    <t>Republic</t>
  </si>
  <si>
    <t>Male'</t>
  </si>
  <si>
    <t>Atolls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</si>
  <si>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</si>
  <si>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</si>
  <si>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</si>
  <si>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</si>
  <si>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</si>
  <si>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</si>
  <si>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</si>
  <si>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</si>
  <si>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</si>
  <si>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</si>
  <si>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</si>
  <si>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</si>
  <si>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</si>
  <si>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</si>
  <si>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</si>
  <si>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</si>
  <si>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</si>
  <si>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</si>
  <si>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</si>
  <si>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</si>
  <si>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</si>
  <si>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Source: Civil Service Commision</t>
  </si>
  <si>
    <t>ދެޖިންސް</t>
  </si>
  <si>
    <t>އުމުރުފުރާ</t>
  </si>
  <si>
    <t>މަޢުލޫމާތު ދެއްވި ފަރާތް: ސިވިލް ސަރވިސް ކޮމިޝަން</t>
  </si>
  <si>
    <t>ތާވަލް 5.10: ސިވިލް ސަރވަންޓުން ބެހިފައިވާ ގޮތް، ޖިންސް އަދި އުމުރުފުރާއިން، 2014</t>
  </si>
  <si>
    <t>Table 5.10 :  CIVIL SERVANTS CLASSIFIED BY AGE AND SEX,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</si>
</sst>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5" formatCode="_(* #,##0_);_(* \(#,##0\);_(* &quot;-&quot;??_);_(@_)"/>
    <numFmt numFmtId="166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0"/>
      <color theme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2" fillId="0" borderId="0"/>
    <xf numFmtId="0" fontId="3" fillId="0" borderId="0"/>
    <xf numFmtId="0" fontId="16" fillId="0" borderId="0"/>
  </cellStyleXfs>
  <cellXfs count="46">
    <xf numFmtId="0" fontId="0" fillId="0" borderId="0" xfId="0"/>
    <xf numFmtId="0" fontId="0" fillId="2" borderId="0" xfId="0" applyFill="1"/>
    <xf numFmtId="3" fontId="7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9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11" fillId="2" borderId="4" xfId="8" applyFont="1" applyFill="1" applyBorder="1"/>
    <xf numFmtId="0" fontId="13" fillId="2" borderId="0" xfId="0" applyFont="1" applyFill="1" applyBorder="1" applyAlignment="1">
      <alignment horizontal="center" readingOrder="2"/>
    </xf>
    <xf numFmtId="0" fontId="8" fillId="2" borderId="1" xfId="2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0" xfId="0" applyFont="1" applyFill="1" applyBorder="1"/>
    <xf numFmtId="3" fontId="9" fillId="2" borderId="0" xfId="0" applyNumberFormat="1" applyFont="1" applyFill="1" applyBorder="1" applyProtection="1">
      <protection locked="0"/>
    </xf>
    <xf numFmtId="3" fontId="9" fillId="2" borderId="3" xfId="0" applyNumberFormat="1" applyFont="1" applyFill="1" applyBorder="1" applyProtection="1">
      <protection locked="0"/>
    </xf>
    <xf numFmtId="166" fontId="4" fillId="2" borderId="1" xfId="7" applyNumberFormat="1" applyFont="1" applyFill="1" applyBorder="1" applyAlignment="1" applyProtection="1">
      <alignment horizontal="center" vertical="center"/>
    </xf>
    <xf numFmtId="0" fontId="14" fillId="2" borderId="3" xfId="0" applyFont="1" applyFill="1" applyBorder="1" applyAlignment="1">
      <alignment horizontal="center" readingOrder="2"/>
    </xf>
    <xf numFmtId="0" fontId="6" fillId="2" borderId="0" xfId="8" applyFont="1" applyFill="1" applyBorder="1"/>
    <xf numFmtId="3" fontId="0" fillId="2" borderId="0" xfId="0" applyNumberFormat="1" applyFill="1"/>
    <xf numFmtId="0" fontId="10" fillId="2" borderId="1" xfId="0" applyFont="1" applyFill="1" applyBorder="1"/>
    <xf numFmtId="1" fontId="0" fillId="2" borderId="0" xfId="0" applyNumberFormat="1" applyFill="1"/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7" fillId="2" borderId="0" xfId="4" applyFont="1" applyFill="1" applyBorder="1" applyAlignment="1">
      <alignment vertical="center"/>
    </xf>
    <xf numFmtId="165" fontId="0" fillId="2" borderId="0" xfId="1" applyNumberFormat="1" applyFont="1" applyFill="1"/>
    <xf numFmtId="3" fontId="10" fillId="2" borderId="0" xfId="0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0" fillId="2" borderId="0" xfId="0" applyFill="1"/>
    <xf numFmtId="3" fontId="9" fillId="2" borderId="0" xfId="0" applyNumberFormat="1" applyFont="1" applyFill="1" applyBorder="1" applyAlignment="1" applyProtection="1">
      <alignment horizontal="right" vertical="center"/>
      <protection locked="0"/>
    </xf>
    <xf numFmtId="3" fontId="9" fillId="2" borderId="3" xfId="0" applyNumberFormat="1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5" fillId="2" borderId="0" xfId="5" applyFont="1" applyFill="1" applyBorder="1" applyAlignment="1">
      <alignment horizontal="center"/>
    </xf>
    <xf numFmtId="166" fontId="4" fillId="2" borderId="0" xfId="7" applyNumberFormat="1" applyFont="1" applyFill="1" applyBorder="1" applyAlignment="1" applyProtection="1">
      <alignment horizontal="center" vertical="center"/>
    </xf>
    <xf numFmtId="166" fontId="8" fillId="2" borderId="1" xfId="7" applyNumberFormat="1" applyFont="1" applyFill="1" applyBorder="1" applyAlignment="1" applyProtection="1">
      <alignment horizontal="center" vertical="center"/>
    </xf>
    <xf numFmtId="166" fontId="8" fillId="2" borderId="0" xfId="7" applyNumberFormat="1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</a:defRPr>
            </a:pPr>
            <a:r>
              <a:rPr lang="en-US" sz="1050">
                <a:solidFill>
                  <a:schemeClr val="tx1"/>
                </a:solidFill>
                <a:latin typeface="Candara" pitchFamily="34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andara" pitchFamily="34" charset="0"/>
              </a:rPr>
              <a:t> 5: </a:t>
            </a:r>
            <a:r>
              <a:rPr lang="en-US" sz="1050" baseline="0">
                <a:latin typeface="Candara" pitchFamily="34" charset="0"/>
              </a:rPr>
              <a:t>Number of civil servants by locaity &amp; sex, 2012 - 2013</a:t>
            </a:r>
            <a:endParaRPr lang="en-US" sz="1050"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25025847365238812"/>
          <c:y val="4.69208002428385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23102247073903"/>
          <c:y val="0.14420107547532227"/>
          <c:w val="0.86275252937781122"/>
          <c:h val="0.603101457145443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'5.10'!$AH$23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dLbl>
              <c:idx val="4"/>
              <c:layout>
                <c:manualLayout>
                  <c:x val="0"/>
                  <c:y val="1.6260162601625945E-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"/>
                  <c:y val="2.4390243902438939E-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0">
                    <a:solidFill>
                      <a:sysClr val="windowText" lastClr="000000"/>
                    </a:solidFill>
                    <a:latin typeface="Tahoma" pitchFamily="34" charset="0"/>
                    <a:cs typeface="Rod Transparent" pitchFamily="49" charset="-79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'5.10'!$AI$20:$AQ$21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'5.10'!$AI$23:$AQ$23</c:f>
              <c:numCache>
                <c:formatCode>_(* #,##0_);_(* \(#,##0\);_(* "-"??_);_(@_)</c:formatCode>
                <c:ptCount val="9"/>
                <c:pt idx="0">
                  <c:v>17657</c:v>
                </c:pt>
                <c:pt idx="1">
                  <c:v>8603</c:v>
                </c:pt>
                <c:pt idx="2">
                  <c:v>9054</c:v>
                </c:pt>
                <c:pt idx="3">
                  <c:v>7540</c:v>
                </c:pt>
                <c:pt idx="4">
                  <c:v>3549</c:v>
                </c:pt>
                <c:pt idx="5">
                  <c:v>3991</c:v>
                </c:pt>
                <c:pt idx="6">
                  <c:v>10117</c:v>
                </c:pt>
                <c:pt idx="7">
                  <c:v>5054</c:v>
                </c:pt>
                <c:pt idx="8">
                  <c:v>5063</c:v>
                </c:pt>
              </c:numCache>
            </c:numRef>
          </c:val>
        </c:ser>
        <c:ser>
          <c:idx val="1"/>
          <c:order val="1"/>
          <c:tx>
            <c:strRef>
              <c:f>'5.10'!$AH$24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Lbls>
            <c:dLbl>
              <c:idx val="4"/>
              <c:layout>
                <c:manualLayout>
                  <c:x val="0"/>
                  <c:y val="2.0325203252032437E-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0">
                    <a:latin typeface="Tahoma" pitchFamily="34" charset="0"/>
                    <a:cs typeface="Rod Transparent" pitchFamily="49" charset="-79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'5.10'!$AI$20:$AQ$21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'5.10'!$AI$24:$AQ$24</c:f>
              <c:numCache>
                <c:formatCode>General</c:formatCode>
                <c:ptCount val="9"/>
                <c:pt idx="0">
                  <c:v>24207</c:v>
                </c:pt>
                <c:pt idx="1">
                  <c:v>11219</c:v>
                </c:pt>
                <c:pt idx="2">
                  <c:v>12988</c:v>
                </c:pt>
                <c:pt idx="3">
                  <c:v>8522</c:v>
                </c:pt>
                <c:pt idx="4">
                  <c:v>3837</c:v>
                </c:pt>
                <c:pt idx="5">
                  <c:v>4685</c:v>
                </c:pt>
                <c:pt idx="6">
                  <c:v>15685</c:v>
                </c:pt>
                <c:pt idx="7">
                  <c:v>7382</c:v>
                </c:pt>
                <c:pt idx="8">
                  <c:v>8303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33059712"/>
        <c:axId val="133061248"/>
      </c:barChart>
      <c:catAx>
        <c:axId val="133059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33061248"/>
        <c:crosses val="autoZero"/>
        <c:auto val="1"/>
        <c:lblAlgn val="ctr"/>
        <c:lblOffset val="100"/>
        <c:noMultiLvlLbl val="0"/>
      </c:catAx>
      <c:valAx>
        <c:axId val="133061248"/>
        <c:scaling>
          <c:orientation val="minMax"/>
          <c:max val="2500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18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05971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9018573299663977"/>
          <c:y val="0.18104464009605384"/>
          <c:w val="0.17066777367114822"/>
          <c:h val="5.5389351990825363E-2"/>
        </c:manualLayout>
      </c:layout>
      <c:overlay val="0"/>
      <c:txPr>
        <a:bodyPr/>
        <a:lstStyle/>
        <a:p>
          <a:pPr>
            <a:defRPr sz="9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5.5: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2013 - 2014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992412746585734"/>
          <c:y val="2.41149988701743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113459883904554"/>
          <c:y val="0.14420092316046704"/>
          <c:w val="0.86275252937781122"/>
          <c:h val="0.6031014571454446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'5.10'!$AH$24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multiLvlStrRef>
              <c:f>'5.10'!$AI$20:$AQ$21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'5.10'!$AI$24:$AQ$24</c:f>
              <c:numCache>
                <c:formatCode>General</c:formatCode>
                <c:ptCount val="9"/>
                <c:pt idx="0">
                  <c:v>24207</c:v>
                </c:pt>
                <c:pt idx="1">
                  <c:v>11219</c:v>
                </c:pt>
                <c:pt idx="2">
                  <c:v>12988</c:v>
                </c:pt>
                <c:pt idx="3">
                  <c:v>8522</c:v>
                </c:pt>
                <c:pt idx="4">
                  <c:v>3837</c:v>
                </c:pt>
                <c:pt idx="5">
                  <c:v>4685</c:v>
                </c:pt>
                <c:pt idx="6">
                  <c:v>15685</c:v>
                </c:pt>
                <c:pt idx="7">
                  <c:v>7382</c:v>
                </c:pt>
                <c:pt idx="8">
                  <c:v>8303</c:v>
                </c:pt>
              </c:numCache>
            </c:numRef>
          </c:val>
        </c:ser>
        <c:ser>
          <c:idx val="3"/>
          <c:order val="1"/>
          <c:tx>
            <c:strRef>
              <c:f>'5.10'!$AH$25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'5.10'!$AI$20:$AQ$21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'5.10'!$AI$25:$AQ$25</c:f>
              <c:numCache>
                <c:formatCode>#,##0</c:formatCode>
                <c:ptCount val="9"/>
                <c:pt idx="0">
                  <c:v>24883</c:v>
                </c:pt>
                <c:pt idx="1">
                  <c:v>11547</c:v>
                </c:pt>
                <c:pt idx="2">
                  <c:v>13336</c:v>
                </c:pt>
                <c:pt idx="3">
                  <c:v>8749</c:v>
                </c:pt>
                <c:pt idx="4">
                  <c:v>3839</c:v>
                </c:pt>
                <c:pt idx="5">
                  <c:v>4910</c:v>
                </c:pt>
                <c:pt idx="6">
                  <c:v>16134</c:v>
                </c:pt>
                <c:pt idx="7">
                  <c:v>7708</c:v>
                </c:pt>
                <c:pt idx="8">
                  <c:v>8426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33107712"/>
        <c:axId val="133109248"/>
      </c:barChart>
      <c:catAx>
        <c:axId val="133107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133109248"/>
        <c:crosses val="autoZero"/>
        <c:auto val="1"/>
        <c:lblAlgn val="ctr"/>
        <c:lblOffset val="100"/>
        <c:noMultiLvlLbl val="0"/>
      </c:catAx>
      <c:valAx>
        <c:axId val="133109248"/>
        <c:scaling>
          <c:orientation val="minMax"/>
          <c:max val="2500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6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3310771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9018573299663977"/>
          <c:y val="0.18104464009605398"/>
          <c:w val="0.15832154798077627"/>
          <c:h val="6.7817178025160657E-2"/>
        </c:manualLayout>
      </c:layout>
      <c:overlay val="0"/>
      <c:txPr>
        <a:bodyPr/>
        <a:lstStyle/>
        <a:p>
          <a:pPr>
            <a:defRPr lang="en-GB" sz="9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23</xdr:row>
      <xdr:rowOff>123825</xdr:rowOff>
    </xdr:from>
    <xdr:to>
      <xdr:col>12</xdr:col>
      <xdr:colOff>561975</xdr:colOff>
      <xdr:row>38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23</xdr:row>
      <xdr:rowOff>123825</xdr:rowOff>
    </xdr:from>
    <xdr:to>
      <xdr:col>12</xdr:col>
      <xdr:colOff>561975</xdr:colOff>
      <xdr:row>38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314324</xdr:colOff>
      <xdr:row>25</xdr:row>
      <xdr:rowOff>19050</xdr:rowOff>
    </xdr:from>
    <xdr:to>
      <xdr:col>12</xdr:col>
      <xdr:colOff>200025</xdr:colOff>
      <xdr:row>25</xdr:row>
      <xdr:rowOff>47625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123949" y="4619625"/>
          <a:ext cx="4991101" cy="2857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R38"/>
  <sheetViews>
    <sheetView tabSelected="1" topLeftCell="A7" zoomScaleNormal="100" workbookViewId="0">
      <selection activeCell="R26" sqref="R26"/>
    </sheetView>
  </sheetViews>
  <sheetFormatPr defaultColWidth="9.140625"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14" width="3.28515625" style="1" customWidth="1"/>
    <col min="15" max="15" width="9.140625" style="1"/>
    <col min="16" max="29" width="9.140625" style="31"/>
    <col min="30" max="16384" width="9.140625" style="1"/>
  </cols>
  <sheetData>
    <row r="2" spans="1:29" ht="21" x14ac:dyDescent="0.55000000000000004">
      <c r="A2" s="39" t="s">
        <v>28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29" x14ac:dyDescent="0.25">
      <c r="A3" s="40" t="s">
        <v>29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29" ht="1.1499999999999999" customHeigh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29" ht="13.5" customHeight="1" x14ac:dyDescent="0.25">
      <c r="A5" s="41" t="s">
        <v>26</v>
      </c>
      <c r="B5" s="19"/>
      <c r="C5" s="43" t="s">
        <v>8</v>
      </c>
      <c r="D5" s="43"/>
      <c r="E5" s="43"/>
      <c r="F5" s="13"/>
      <c r="G5" s="43" t="s">
        <v>7</v>
      </c>
      <c r="H5" s="43"/>
      <c r="I5" s="43"/>
      <c r="J5" s="13"/>
      <c r="K5" s="43" t="s">
        <v>9</v>
      </c>
      <c r="L5" s="43"/>
      <c r="M5" s="43"/>
    </row>
    <row r="6" spans="1:29" ht="12" customHeight="1" x14ac:dyDescent="0.25">
      <c r="A6" s="42"/>
      <c r="B6" s="7"/>
      <c r="C6" s="44" t="s">
        <v>0</v>
      </c>
      <c r="D6" s="44"/>
      <c r="E6" s="44"/>
      <c r="F6" s="7"/>
      <c r="G6" s="45" t="s">
        <v>1</v>
      </c>
      <c r="H6" s="45"/>
      <c r="I6" s="45"/>
      <c r="J6" s="7"/>
      <c r="K6" s="45" t="s">
        <v>2</v>
      </c>
      <c r="L6" s="45"/>
      <c r="M6" s="45"/>
    </row>
    <row r="7" spans="1:29" x14ac:dyDescent="0.25">
      <c r="A7" s="37" t="s">
        <v>10</v>
      </c>
      <c r="B7" s="7"/>
      <c r="C7" s="8" t="s">
        <v>11</v>
      </c>
      <c r="D7" s="8" t="s">
        <v>5</v>
      </c>
      <c r="E7" s="8" t="s">
        <v>6</v>
      </c>
      <c r="F7" s="25"/>
      <c r="G7" s="8" t="s">
        <v>11</v>
      </c>
      <c r="H7" s="8" t="s">
        <v>5</v>
      </c>
      <c r="I7" s="8" t="s">
        <v>6</v>
      </c>
      <c r="J7" s="25"/>
      <c r="K7" s="8" t="s">
        <v>11</v>
      </c>
      <c r="L7" s="8" t="s">
        <v>5</v>
      </c>
      <c r="M7" s="8" t="s">
        <v>6</v>
      </c>
    </row>
    <row r="8" spans="1:29" ht="18.75" x14ac:dyDescent="0.5">
      <c r="A8" s="38"/>
      <c r="B8" s="15"/>
      <c r="C8" s="20" t="s">
        <v>25</v>
      </c>
      <c r="D8" s="20" t="s">
        <v>3</v>
      </c>
      <c r="E8" s="20" t="s">
        <v>4</v>
      </c>
      <c r="F8" s="26"/>
      <c r="G8" s="20" t="s">
        <v>25</v>
      </c>
      <c r="H8" s="20" t="s">
        <v>3</v>
      </c>
      <c r="I8" s="20" t="s">
        <v>4</v>
      </c>
      <c r="J8" s="26"/>
      <c r="K8" s="20" t="s">
        <v>25</v>
      </c>
      <c r="L8" s="20" t="s">
        <v>3</v>
      </c>
      <c r="M8" s="20" t="s">
        <v>4</v>
      </c>
    </row>
    <row r="9" spans="1:29" s="3" customFormat="1" ht="9.6" customHeight="1" x14ac:dyDescent="0.55000000000000004">
      <c r="A9" s="25"/>
      <c r="B9" s="7"/>
      <c r="C9" s="12"/>
      <c r="D9" s="12"/>
      <c r="E9" s="12"/>
      <c r="F9" s="14"/>
      <c r="G9" s="12"/>
      <c r="H9" s="12"/>
      <c r="I9" s="12"/>
      <c r="J9" s="14"/>
      <c r="K9" s="12"/>
      <c r="L9" s="12"/>
      <c r="M9" s="12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x14ac:dyDescent="0.25">
      <c r="A10" s="6" t="s">
        <v>12</v>
      </c>
      <c r="B10" s="16"/>
      <c r="C10" s="29">
        <f>SUM(C11:C21)</f>
        <v>24883</v>
      </c>
      <c r="D10" s="29">
        <f>SUM(D11:D21)</f>
        <v>11547</v>
      </c>
      <c r="E10" s="29">
        <f>SUM(E11:E21)</f>
        <v>13336</v>
      </c>
      <c r="F10" s="29"/>
      <c r="G10" s="29">
        <f>SUM(G11:G21)</f>
        <v>8749</v>
      </c>
      <c r="H10" s="29">
        <f>SUM(H11:H21)</f>
        <v>3839</v>
      </c>
      <c r="I10" s="29">
        <f>SUM(I11:I21)</f>
        <v>4910</v>
      </c>
      <c r="J10" s="29"/>
      <c r="K10" s="29">
        <f>SUM(K11:K21)</f>
        <v>16134</v>
      </c>
      <c r="L10" s="29">
        <f>SUM(L11:L21)</f>
        <v>7708</v>
      </c>
      <c r="M10" s="29">
        <f>SUM(M11:M21)</f>
        <v>8426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x14ac:dyDescent="0.25">
      <c r="A11" s="34" t="s">
        <v>13</v>
      </c>
      <c r="B11" s="9"/>
      <c r="C11" s="32">
        <f>D11+E11</f>
        <v>140</v>
      </c>
      <c r="D11" s="32">
        <f>H11+L11</f>
        <v>59</v>
      </c>
      <c r="E11" s="32">
        <f>I11+M11</f>
        <v>81</v>
      </c>
      <c r="F11" s="32"/>
      <c r="G11" s="32">
        <f>H11+I11</f>
        <v>80</v>
      </c>
      <c r="H11" s="32">
        <v>35</v>
      </c>
      <c r="I11" s="32">
        <v>45</v>
      </c>
      <c r="J11" s="32"/>
      <c r="K11" s="32">
        <f>L11+M11</f>
        <v>60</v>
      </c>
      <c r="L11" s="32">
        <v>24</v>
      </c>
      <c r="M11" s="32">
        <v>36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x14ac:dyDescent="0.25">
      <c r="A12" s="34" t="s">
        <v>14</v>
      </c>
      <c r="B12" s="9"/>
      <c r="C12" s="32">
        <f t="shared" ref="C12:C21" si="0">D12+E12</f>
        <v>2202</v>
      </c>
      <c r="D12" s="32">
        <f t="shared" ref="D12:E21" si="1">H12+L12</f>
        <v>808</v>
      </c>
      <c r="E12" s="32">
        <f t="shared" si="1"/>
        <v>1394</v>
      </c>
      <c r="F12" s="32"/>
      <c r="G12" s="32">
        <f t="shared" ref="G12:G21" si="2">H12+I12</f>
        <v>886</v>
      </c>
      <c r="H12" s="32">
        <v>352</v>
      </c>
      <c r="I12" s="32">
        <v>534</v>
      </c>
      <c r="J12" s="32"/>
      <c r="K12" s="32">
        <f t="shared" ref="K12:K21" si="3">L12+M12</f>
        <v>1316</v>
      </c>
      <c r="L12" s="32">
        <v>456</v>
      </c>
      <c r="M12" s="32">
        <v>860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x14ac:dyDescent="0.25">
      <c r="A13" s="34" t="s">
        <v>15</v>
      </c>
      <c r="B13" s="9"/>
      <c r="C13" s="32">
        <f t="shared" si="0"/>
        <v>5281</v>
      </c>
      <c r="D13" s="32">
        <f t="shared" si="1"/>
        <v>1975</v>
      </c>
      <c r="E13" s="32">
        <f t="shared" si="1"/>
        <v>3306</v>
      </c>
      <c r="F13" s="32"/>
      <c r="G13" s="32">
        <f t="shared" si="2"/>
        <v>1824</v>
      </c>
      <c r="H13" s="32">
        <v>695</v>
      </c>
      <c r="I13" s="32">
        <v>1129</v>
      </c>
      <c r="J13" s="32"/>
      <c r="K13" s="32">
        <f t="shared" si="3"/>
        <v>3457</v>
      </c>
      <c r="L13" s="32">
        <v>1280</v>
      </c>
      <c r="M13" s="32">
        <v>2177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x14ac:dyDescent="0.25">
      <c r="A14" s="34" t="s">
        <v>16</v>
      </c>
      <c r="B14" s="9"/>
      <c r="C14" s="32">
        <f t="shared" si="0"/>
        <v>4796</v>
      </c>
      <c r="D14" s="32">
        <f t="shared" si="1"/>
        <v>2123</v>
      </c>
      <c r="E14" s="32">
        <f t="shared" si="1"/>
        <v>2673</v>
      </c>
      <c r="F14" s="32"/>
      <c r="G14" s="32">
        <f t="shared" si="2"/>
        <v>1661</v>
      </c>
      <c r="H14" s="32">
        <v>721</v>
      </c>
      <c r="I14" s="32">
        <v>940</v>
      </c>
      <c r="J14" s="32"/>
      <c r="K14" s="32">
        <f t="shared" si="3"/>
        <v>3135</v>
      </c>
      <c r="L14" s="32">
        <v>1402</v>
      </c>
      <c r="M14" s="32">
        <v>1733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x14ac:dyDescent="0.25">
      <c r="A15" s="34" t="s">
        <v>17</v>
      </c>
      <c r="B15" s="9"/>
      <c r="C15" s="32">
        <f t="shared" si="0"/>
        <v>3710</v>
      </c>
      <c r="D15" s="32">
        <f t="shared" si="1"/>
        <v>1707</v>
      </c>
      <c r="E15" s="32">
        <f t="shared" si="1"/>
        <v>2003</v>
      </c>
      <c r="F15" s="32"/>
      <c r="G15" s="32">
        <f t="shared" si="2"/>
        <v>1344</v>
      </c>
      <c r="H15" s="32">
        <v>589</v>
      </c>
      <c r="I15" s="32">
        <v>755</v>
      </c>
      <c r="J15" s="32"/>
      <c r="K15" s="32">
        <f t="shared" si="3"/>
        <v>2366</v>
      </c>
      <c r="L15" s="32">
        <v>1118</v>
      </c>
      <c r="M15" s="32">
        <v>1248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x14ac:dyDescent="0.25">
      <c r="A16" s="34" t="s">
        <v>18</v>
      </c>
      <c r="B16" s="9"/>
      <c r="C16" s="32">
        <f t="shared" si="0"/>
        <v>2995</v>
      </c>
      <c r="D16" s="32">
        <f t="shared" si="1"/>
        <v>1478</v>
      </c>
      <c r="E16" s="32">
        <f t="shared" si="1"/>
        <v>1517</v>
      </c>
      <c r="F16" s="32"/>
      <c r="G16" s="32">
        <f t="shared" si="2"/>
        <v>1086</v>
      </c>
      <c r="H16" s="32">
        <v>494</v>
      </c>
      <c r="I16" s="32">
        <v>592</v>
      </c>
      <c r="J16" s="32"/>
      <c r="K16" s="32">
        <f t="shared" si="3"/>
        <v>1909</v>
      </c>
      <c r="L16" s="32">
        <v>984</v>
      </c>
      <c r="M16" s="32">
        <v>925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44" x14ac:dyDescent="0.25">
      <c r="A17" s="34" t="s">
        <v>19</v>
      </c>
      <c r="B17" s="9"/>
      <c r="C17" s="32">
        <f t="shared" si="0"/>
        <v>2448</v>
      </c>
      <c r="D17" s="32">
        <f t="shared" si="1"/>
        <v>1269</v>
      </c>
      <c r="E17" s="32">
        <f t="shared" si="1"/>
        <v>1179</v>
      </c>
      <c r="F17" s="32"/>
      <c r="G17" s="32">
        <f t="shared" si="2"/>
        <v>823</v>
      </c>
      <c r="H17" s="32">
        <v>380</v>
      </c>
      <c r="I17" s="32">
        <v>443</v>
      </c>
      <c r="J17" s="32"/>
      <c r="K17" s="32">
        <f t="shared" si="3"/>
        <v>1625</v>
      </c>
      <c r="L17" s="32">
        <v>889</v>
      </c>
      <c r="M17" s="32">
        <v>736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44" x14ac:dyDescent="0.25">
      <c r="A18" s="34" t="s">
        <v>20</v>
      </c>
      <c r="B18" s="9"/>
      <c r="C18" s="32">
        <f t="shared" si="0"/>
        <v>1661</v>
      </c>
      <c r="D18" s="32">
        <f t="shared" si="1"/>
        <v>1015</v>
      </c>
      <c r="E18" s="32">
        <f t="shared" si="1"/>
        <v>646</v>
      </c>
      <c r="F18" s="32"/>
      <c r="G18" s="32">
        <f t="shared" si="2"/>
        <v>568</v>
      </c>
      <c r="H18" s="32">
        <v>305</v>
      </c>
      <c r="I18" s="32">
        <v>263</v>
      </c>
      <c r="J18" s="32"/>
      <c r="K18" s="32">
        <f t="shared" si="3"/>
        <v>1093</v>
      </c>
      <c r="L18" s="32">
        <v>710</v>
      </c>
      <c r="M18" s="32">
        <v>383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44" x14ac:dyDescent="0.25">
      <c r="A19" s="34" t="s">
        <v>21</v>
      </c>
      <c r="B19" s="9"/>
      <c r="C19" s="32">
        <f t="shared" si="0"/>
        <v>1106</v>
      </c>
      <c r="D19" s="32">
        <f t="shared" si="1"/>
        <v>722</v>
      </c>
      <c r="E19" s="32">
        <f t="shared" si="1"/>
        <v>384</v>
      </c>
      <c r="F19" s="32"/>
      <c r="G19" s="32">
        <f t="shared" si="2"/>
        <v>318</v>
      </c>
      <c r="H19" s="32">
        <v>165</v>
      </c>
      <c r="I19" s="32">
        <v>153</v>
      </c>
      <c r="J19" s="32"/>
      <c r="K19" s="32">
        <f t="shared" si="3"/>
        <v>788</v>
      </c>
      <c r="L19" s="32">
        <v>557</v>
      </c>
      <c r="M19" s="32">
        <v>231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44" x14ac:dyDescent="0.25">
      <c r="A20" s="34" t="s">
        <v>22</v>
      </c>
      <c r="B20" s="9"/>
      <c r="C20" s="32">
        <f t="shared" si="0"/>
        <v>517</v>
      </c>
      <c r="D20" s="32">
        <f t="shared" si="1"/>
        <v>370</v>
      </c>
      <c r="E20" s="32">
        <f t="shared" si="1"/>
        <v>147</v>
      </c>
      <c r="F20" s="32"/>
      <c r="G20" s="32">
        <f t="shared" si="2"/>
        <v>149</v>
      </c>
      <c r="H20" s="32">
        <v>96</v>
      </c>
      <c r="I20" s="32">
        <v>53</v>
      </c>
      <c r="J20" s="32"/>
      <c r="K20" s="32">
        <f t="shared" si="3"/>
        <v>368</v>
      </c>
      <c r="L20" s="32">
        <v>274</v>
      </c>
      <c r="M20" s="32">
        <v>94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I20" s="36" t="s">
        <v>0</v>
      </c>
      <c r="AJ20" s="36"/>
      <c r="AK20" s="36"/>
      <c r="AL20" s="36" t="s">
        <v>1</v>
      </c>
      <c r="AM20" s="36"/>
      <c r="AN20" s="36"/>
      <c r="AO20" s="36" t="s">
        <v>2</v>
      </c>
      <c r="AP20" s="36"/>
      <c r="AQ20" s="36"/>
    </row>
    <row r="21" spans="1:44" x14ac:dyDescent="0.25">
      <c r="A21" s="35" t="s">
        <v>23</v>
      </c>
      <c r="B21" s="10"/>
      <c r="C21" s="33">
        <f t="shared" si="0"/>
        <v>27</v>
      </c>
      <c r="D21" s="33">
        <f t="shared" si="1"/>
        <v>21</v>
      </c>
      <c r="E21" s="33">
        <f t="shared" si="1"/>
        <v>6</v>
      </c>
      <c r="F21" s="33"/>
      <c r="G21" s="33">
        <f t="shared" si="2"/>
        <v>10</v>
      </c>
      <c r="H21" s="33">
        <v>7</v>
      </c>
      <c r="I21" s="33">
        <v>3</v>
      </c>
      <c r="J21" s="33"/>
      <c r="K21" s="33">
        <f t="shared" si="3"/>
        <v>17</v>
      </c>
      <c r="L21" s="33">
        <v>14</v>
      </c>
      <c r="M21" s="33">
        <v>3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H21" s="7"/>
      <c r="AI21" s="8" t="s">
        <v>11</v>
      </c>
      <c r="AJ21" s="8" t="s">
        <v>5</v>
      </c>
      <c r="AK21" s="8" t="s">
        <v>6</v>
      </c>
      <c r="AL21" s="8" t="s">
        <v>11</v>
      </c>
      <c r="AM21" s="8" t="s">
        <v>5</v>
      </c>
      <c r="AN21" s="8" t="s">
        <v>6</v>
      </c>
      <c r="AO21" s="8" t="s">
        <v>11</v>
      </c>
      <c r="AP21" s="8" t="s">
        <v>5</v>
      </c>
      <c r="AQ21" s="8" t="s">
        <v>6</v>
      </c>
    </row>
    <row r="22" spans="1:44" s="5" customFormat="1" ht="17.25" x14ac:dyDescent="0.25">
      <c r="A22" s="11" t="s">
        <v>24</v>
      </c>
      <c r="B22" s="21"/>
      <c r="C22" s="4"/>
      <c r="D22" s="4"/>
      <c r="E22" s="4"/>
      <c r="F22" s="4"/>
      <c r="G22" s="4"/>
      <c r="H22" s="4"/>
      <c r="I22" s="4"/>
      <c r="M22" s="2" t="s">
        <v>27</v>
      </c>
      <c r="AH22" s="23">
        <v>2011</v>
      </c>
      <c r="AI22" s="28">
        <v>19125</v>
      </c>
      <c r="AJ22" s="28">
        <v>9728</v>
      </c>
      <c r="AK22" s="28">
        <v>9397</v>
      </c>
      <c r="AL22" s="28">
        <v>6842</v>
      </c>
      <c r="AM22" s="28">
        <v>3309</v>
      </c>
      <c r="AN22" s="28">
        <v>3533</v>
      </c>
      <c r="AO22" s="28">
        <v>12283</v>
      </c>
      <c r="AP22" s="28">
        <v>6419</v>
      </c>
      <c r="AQ22" s="28">
        <v>5864</v>
      </c>
      <c r="AR22" s="1"/>
    </row>
    <row r="23" spans="1:44" x14ac:dyDescent="0.25">
      <c r="AH23" s="1">
        <v>2012</v>
      </c>
      <c r="AI23" s="28">
        <v>17657</v>
      </c>
      <c r="AJ23" s="28">
        <v>8603</v>
      </c>
      <c r="AK23" s="28">
        <v>9054</v>
      </c>
      <c r="AL23" s="28">
        <v>7540</v>
      </c>
      <c r="AM23" s="28">
        <v>3549</v>
      </c>
      <c r="AN23" s="28">
        <v>3991</v>
      </c>
      <c r="AO23" s="28">
        <v>10117</v>
      </c>
      <c r="AP23" s="28">
        <v>5054</v>
      </c>
      <c r="AQ23" s="28">
        <v>5063</v>
      </c>
    </row>
    <row r="24" spans="1:44" x14ac:dyDescent="0.25">
      <c r="AH24" s="1">
        <v>2013</v>
      </c>
      <c r="AI24" s="1">
        <v>24207</v>
      </c>
      <c r="AJ24" s="1">
        <v>11219</v>
      </c>
      <c r="AK24" s="1">
        <v>12988</v>
      </c>
      <c r="AL24" s="1">
        <v>8522</v>
      </c>
      <c r="AM24" s="1">
        <v>3837</v>
      </c>
      <c r="AN24" s="1">
        <v>4685</v>
      </c>
      <c r="AO24" s="1">
        <v>15685</v>
      </c>
      <c r="AP24" s="1">
        <v>7382</v>
      </c>
      <c r="AQ24" s="1">
        <v>8303</v>
      </c>
    </row>
    <row r="25" spans="1:44" x14ac:dyDescent="0.25">
      <c r="AH25" s="1">
        <v>2014</v>
      </c>
      <c r="AI25" s="22">
        <f>C10</f>
        <v>24883</v>
      </c>
      <c r="AJ25" s="22">
        <f t="shared" ref="AJ25:AK25" si="4">D10</f>
        <v>11547</v>
      </c>
      <c r="AK25" s="22">
        <f t="shared" si="4"/>
        <v>13336</v>
      </c>
      <c r="AL25" s="22">
        <f>G10</f>
        <v>8749</v>
      </c>
      <c r="AM25" s="22">
        <f>H10</f>
        <v>3839</v>
      </c>
      <c r="AN25" s="22">
        <f>I10</f>
        <v>4910</v>
      </c>
      <c r="AO25" s="22">
        <f>K10</f>
        <v>16134</v>
      </c>
      <c r="AP25" s="22">
        <f>L10</f>
        <v>7708</v>
      </c>
      <c r="AQ25" s="22">
        <f>M10</f>
        <v>8426</v>
      </c>
    </row>
    <row r="27" spans="1:44" x14ac:dyDescent="0.25">
      <c r="C27" s="7" t="s">
        <v>10</v>
      </c>
      <c r="D27" s="1" t="s">
        <v>5</v>
      </c>
      <c r="E27" s="1" t="s">
        <v>6</v>
      </c>
    </row>
    <row r="28" spans="1:44" x14ac:dyDescent="0.25">
      <c r="C28" s="9" t="s">
        <v>13</v>
      </c>
      <c r="D28" s="17">
        <v>8</v>
      </c>
      <c r="E28" s="17">
        <v>12</v>
      </c>
      <c r="AH28" s="27"/>
    </row>
    <row r="29" spans="1:44" x14ac:dyDescent="0.25">
      <c r="C29" s="9" t="s">
        <v>14</v>
      </c>
      <c r="D29" s="17">
        <v>554</v>
      </c>
      <c r="E29" s="17">
        <v>736</v>
      </c>
      <c r="AO29" s="22"/>
    </row>
    <row r="30" spans="1:44" x14ac:dyDescent="0.25">
      <c r="C30" s="9" t="s">
        <v>15</v>
      </c>
      <c r="D30" s="17">
        <v>1534</v>
      </c>
      <c r="E30" s="17">
        <v>2232</v>
      </c>
    </row>
    <row r="31" spans="1:44" x14ac:dyDescent="0.25">
      <c r="C31" s="9" t="s">
        <v>16</v>
      </c>
      <c r="D31" s="17">
        <v>1451</v>
      </c>
      <c r="E31" s="17">
        <v>1873</v>
      </c>
    </row>
    <row r="32" spans="1:44" x14ac:dyDescent="0.25">
      <c r="C32" s="9" t="s">
        <v>17</v>
      </c>
      <c r="D32" s="17">
        <v>1208</v>
      </c>
      <c r="E32" s="17">
        <v>1440</v>
      </c>
    </row>
    <row r="33" spans="3:5" x14ac:dyDescent="0.25">
      <c r="C33" s="9" t="s">
        <v>18</v>
      </c>
      <c r="D33" s="17">
        <v>1108</v>
      </c>
      <c r="E33" s="17">
        <v>1123</v>
      </c>
    </row>
    <row r="34" spans="3:5" x14ac:dyDescent="0.25">
      <c r="C34" s="9" t="s">
        <v>19</v>
      </c>
      <c r="D34" s="17">
        <v>954</v>
      </c>
      <c r="E34" s="17">
        <v>776</v>
      </c>
    </row>
    <row r="35" spans="3:5" x14ac:dyDescent="0.25">
      <c r="C35" s="9" t="s">
        <v>20</v>
      </c>
      <c r="D35" s="17">
        <v>781</v>
      </c>
      <c r="E35" s="17">
        <v>448</v>
      </c>
    </row>
    <row r="36" spans="3:5" x14ac:dyDescent="0.25">
      <c r="C36" s="9" t="s">
        <v>21</v>
      </c>
      <c r="D36" s="17">
        <v>611</v>
      </c>
      <c r="E36" s="17">
        <v>282</v>
      </c>
    </row>
    <row r="37" spans="3:5" x14ac:dyDescent="0.25">
      <c r="C37" s="9" t="s">
        <v>22</v>
      </c>
      <c r="D37" s="17">
        <v>327</v>
      </c>
      <c r="E37" s="17">
        <v>114</v>
      </c>
    </row>
    <row r="38" spans="3:5" x14ac:dyDescent="0.25">
      <c r="C38" s="10" t="s">
        <v>23</v>
      </c>
      <c r="D38" s="18">
        <v>67</v>
      </c>
      <c r="E38" s="18">
        <v>18</v>
      </c>
    </row>
  </sheetData>
  <mergeCells count="14">
    <mergeCell ref="AI20:AK20"/>
    <mergeCell ref="AL20:AN20"/>
    <mergeCell ref="AO20:AQ20"/>
    <mergeCell ref="A7:A8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28999999999999998" right="0.22" top="0.75" bottom="0.75" header="0.3" footer="0.3"/>
  <pageSetup paperSize="9" scale="97" orientation="portrait" r:id="rId1"/>
  <ignoredErrors>
    <ignoredError sqref="K11:K21 G11:G21 C11:E2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5.10</vt:lpstr>
      <vt:lpstr>'5.10'!Print_Area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2015-11-26T07:53:03Z</cp:lastPrinted>
  <dcterms:created xsi:type="dcterms:W3CDTF">2013-03-26T05:45:33Z</dcterms:created>
  <dcterms:modified xsi:type="dcterms:W3CDTF">2015-11-26T07:53:15Z</dcterms:modified>
</cp:coreProperties>
</file>