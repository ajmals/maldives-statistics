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3" sheetId="3" r:id="rId1"/>
  </sheets>
  <definedNames>
    <definedName name="_xlnm.Print_Titles" localSheetId="0">'13.3'!$5:$7</definedName>
  </definedNames>
  <calcPr calcId="144525"/>
</workbook>
</file>

<file path=xl/calcChain.xml><?xml version="1.0" encoding="utf-8"?>
<calcChain xmlns="http://schemas.openxmlformats.org/spreadsheetml/2006/main">
  <c r="I46" i="3" l="1"/>
  <c r="J46" i="3"/>
  <c r="J23" i="3" s="1"/>
  <c r="K46" i="3"/>
  <c r="H46" i="3"/>
  <c r="H23" i="3" s="1"/>
  <c r="K23" i="3" l="1"/>
  <c r="I23" i="3"/>
  <c r="K11" i="3" l="1"/>
  <c r="K10" i="3" l="1"/>
  <c r="K9" i="3" s="1"/>
  <c r="K8" i="3" s="1"/>
  <c r="G46" i="3" l="1"/>
  <c r="G23" i="3" s="1"/>
  <c r="F46" i="3"/>
  <c r="E46" i="3"/>
  <c r="E23" i="3" s="1"/>
  <c r="D46" i="3"/>
  <c r="D23" i="3" s="1"/>
  <c r="C46" i="3"/>
  <c r="C23" i="3" s="1"/>
  <c r="B46" i="3"/>
  <c r="B23" i="3" s="1"/>
  <c r="J11" i="3"/>
  <c r="I11" i="3"/>
  <c r="H11" i="3"/>
  <c r="G11" i="3"/>
  <c r="F11" i="3"/>
  <c r="E11" i="3"/>
  <c r="D11" i="3"/>
  <c r="C11" i="3"/>
  <c r="B11" i="3"/>
  <c r="B10" i="3" l="1"/>
  <c r="B9" i="3" s="1"/>
  <c r="B8" i="3" s="1"/>
  <c r="C10" i="3"/>
  <c r="C9" i="3" s="1"/>
  <c r="C8" i="3" s="1"/>
  <c r="E10" i="3"/>
  <c r="E9" i="3" s="1"/>
  <c r="E8" i="3" s="1"/>
  <c r="F23" i="3"/>
  <c r="J10" i="3"/>
  <c r="J9" i="3" s="1"/>
  <c r="J8" i="3" s="1"/>
  <c r="D10" i="3"/>
  <c r="D9" i="3" s="1"/>
  <c r="D8" i="3" s="1"/>
  <c r="I10" i="3"/>
  <c r="I9" i="3" s="1"/>
  <c r="I8" i="3" s="1"/>
  <c r="H10" i="3"/>
  <c r="H9" i="3" s="1"/>
  <c r="H8" i="3" s="1"/>
  <c r="G10" i="3"/>
  <c r="G9" i="3" s="1"/>
  <c r="G8" i="3" s="1"/>
  <c r="F10" i="3"/>
  <c r="F9" i="3" s="1"/>
  <c r="F8" i="3" s="1"/>
</calcChain>
</file>

<file path=xl/sharedStrings.xml><?xml version="1.0" encoding="utf-8"?>
<sst xmlns="http://schemas.openxmlformats.org/spreadsheetml/2006/main" count="110" uniqueCount="107">
  <si>
    <t>(cniaWyifur cnwailim)</t>
  </si>
  <si>
    <t>Particulars</t>
  </si>
  <si>
    <t>clIBcfwt</t>
  </si>
  <si>
    <t>Actual</t>
  </si>
  <si>
    <t>Revised</t>
  </si>
  <si>
    <t>MTEF</t>
  </si>
  <si>
    <t>Total Revenue and grants</t>
  </si>
  <si>
    <t>Current Revenue</t>
  </si>
  <si>
    <t>InwdcmWA cTcnwrwk</t>
  </si>
  <si>
    <t>Capital Revenue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</si>
  <si>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</si>
  <si>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</si>
  <si>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</si>
  <si>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</si>
  <si>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</si>
  <si>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</si>
  <si>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</si>
  <si>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</si>
  <si>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</si>
  <si>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</si>
  <si>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</si>
  <si>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</si>
  <si>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</si>
  <si>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</si>
  <si>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</si>
  <si>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</si>
  <si>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</si>
  <si>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</si>
  <si>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</si>
  <si>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</si>
  <si>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</si>
  <si>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Royalties  4_/</t>
  </si>
  <si>
    <t xml:space="preserve">              Other  1/</t>
  </si>
  <si>
    <t xml:space="preserve">                                                            1_/ cnehinehea</t>
  </si>
  <si>
    <t>Nontax Revenue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</si>
  <si>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</si>
  <si>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</si>
  <si>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</si>
  <si>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</si>
  <si>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</si>
  <si>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</si>
  <si>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</si>
  <si>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</si>
  <si>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</si>
  <si>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</si>
  <si>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</si>
  <si>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</si>
  <si>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</si>
  <si>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</si>
  <si>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</si>
  <si>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</si>
  <si>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</si>
  <si>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</si>
  <si>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</si>
  <si>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</si>
  <si>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</si>
  <si>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</si>
  <si>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</si>
  <si>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</si>
  <si>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</si>
  <si>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</si>
  <si>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</si>
  <si>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</si>
  <si>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Inflight Catering Services</t>
  </si>
  <si>
    <t>މޯލްޑިވްސް އިންފްލައިޓް ކޭޓަރިންގ ސަރވިސަސް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</si>
  <si>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</si>
  <si>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</si>
  <si>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</si>
  <si>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</si>
  <si>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</si>
  <si>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 xml:space="preserve">Maldives National Shipping Limited </t>
  </si>
  <si>
    <t>މޯލްޑިވްސް ނެޝަނަލް ޝިޕިންގް ލިމިޓެޑް</t>
  </si>
  <si>
    <t>Thilafushi Corperation Limited</t>
  </si>
  <si>
    <t>ތިލަފުށި ކޯޕަރޭޝަން ލިމިޓެޑް</t>
  </si>
  <si>
    <t>Maldives National Broadcasting Corporation</t>
  </si>
  <si>
    <t>މޯލްޑިވްސް ނެޝަނަލް ބުރޯޑްކާސްޓިންގ ކޯޕަރޭޝަން</t>
  </si>
  <si>
    <t>Kooddoo fisharies pvt ltd</t>
  </si>
  <si>
    <t>ކޫއްޑޫ ފިޝަރީޒް ޕްރައިވެޓް ލިމިޓެޑް</t>
  </si>
  <si>
    <t>މޯލްޑިވްސް ޓޫރިޒަމް ޑިވެލޮޕްމަންޓް ކޯޕަރޭޝަން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</si>
  <si>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</si>
  <si>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</si>
  <si>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</si>
  <si>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</si>
  <si>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</si>
  <si>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</si>
  <si>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</si>
  <si>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</si>
  <si>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</si>
  <si>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</si>
  <si>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</si>
  <si>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1_/  Includes green tax, airport tax, business profit tax, GST, licence fees, company registration fees and stamp duties.</t>
  </si>
  <si>
    <t>.eveaenemih iawgiawbim ITuaiD egcpcmETcs ,IfWkcawd cSwmuruk IrwTcsijwr inufcnuk -If cscnwsiawl 1_/</t>
  </si>
  <si>
    <t>2_/  Includes fines, confiscated properties, penalties and administrative charges (Royalty included up to 2011)</t>
  </si>
  <si>
    <t>Wsiawf Egen cnutog IrWdia iaWaITclenep ,itekwt WrukcTEkcsifcnok ,WnwmirUj  2_/</t>
  </si>
  <si>
    <t>3_/  Excludes grants for direct expenditure by donors.</t>
  </si>
  <si>
    <t>.eveaevuncaeawfinemihIhea EdiawfcSokudwrwKWdIs ctWrwf EdIhea  3_/</t>
  </si>
  <si>
    <t>Source:  Ministry of Finance and Treasury</t>
  </si>
  <si>
    <t>IrwRercT cDcnea cscnEnif cfoa IrcTcsinim :ctWrwf ivcaedutWmUluAwm</t>
  </si>
  <si>
    <t xml:space="preserve">ޓެކްސްގެ ގޮތުގައި ނުހިމެނޭ އާމްދަނީ </t>
  </si>
  <si>
    <t xml:space="preserve">   .eveawgutog egInwdcmWa Ebil iawgutog egcsckeT Inwviawfiveleb ITclwyOr cnegiSef cn 2012  4_/</t>
  </si>
  <si>
    <t xml:space="preserve">                                                            4_/ ITclwyOr</t>
  </si>
  <si>
    <t>(In million MVR)</t>
  </si>
  <si>
    <r>
      <t xml:space="preserve">2017 - 2008 </t>
    </r>
    <r>
      <rPr>
        <b/>
        <sz val="12"/>
        <rFont val="Faruma"/>
      </rPr>
      <t>އާމްދަނީ،</t>
    </r>
    <r>
      <rPr>
        <b/>
        <sz val="12"/>
        <rFont val="A_Randhoo"/>
      </rPr>
      <t xml:space="preserve"> egurWkurws  : 13.2 ulwvWt</t>
    </r>
  </si>
  <si>
    <t>Table  13.3:  GOVERNMENT REVENUE, 2008 - 2017</t>
  </si>
  <si>
    <t>ގްރީން ޓެކްސް</t>
  </si>
  <si>
    <t xml:space="preserve">                Green Tax</t>
  </si>
  <si>
    <t xml:space="preserve"> 4_/ from 2012 royalty is classified as a tax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</si>
</sst>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8" formatCode="#,##0.0_);\(#,##0.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b/>
      <sz val="9"/>
      <name val="A_Randhoo"/>
    </font>
    <font>
      <b/>
      <sz val="9"/>
      <name val="Calibri"/>
      <family val="2"/>
      <scheme val="minor"/>
    </font>
    <font>
      <sz val="10"/>
      <name val="Garamond"/>
      <family val="1"/>
    </font>
    <font>
      <i/>
      <sz val="9"/>
      <name val="Calibri"/>
      <family val="2"/>
      <scheme val="minor"/>
    </font>
    <font>
      <b/>
      <sz val="12"/>
      <name val="Faruma"/>
    </font>
    <font>
      <b/>
      <sz val="9.5"/>
      <name val="Calibri"/>
      <family val="2"/>
      <scheme val="minor"/>
    </font>
    <font>
      <b/>
      <sz val="9.8000000000000007"/>
      <name val="Calibri"/>
      <family val="2"/>
      <scheme val="minor"/>
    </font>
    <font>
      <b/>
      <sz val="9.5"/>
      <name val="A_Randhoo"/>
    </font>
    <font>
      <sz val="9.5"/>
      <name val="Calibri"/>
      <family val="2"/>
      <scheme val="minor"/>
    </font>
    <font>
      <sz val="9.8000000000000007"/>
      <name val="Calibri"/>
      <family val="2"/>
      <scheme val="minor"/>
    </font>
    <font>
      <sz val="9.5"/>
      <name val="A_Randhoo"/>
    </font>
    <font>
      <sz val="9.5"/>
      <name val="Faruma"/>
    </font>
    <font>
      <sz val="8.5"/>
      <name val="Calibri"/>
      <family val="2"/>
      <scheme val="minor"/>
    </font>
    <font>
      <sz val="8.5"/>
      <name val="A_Randhoo"/>
    </font>
    <font>
      <b/>
      <sz val="9.5"/>
      <name val="Farum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8" fillId="0" borderId="0" applyFont="0" applyFill="0" applyBorder="0" applyAlignment="0" applyProtection="0"/>
  </cellStyleXfs>
  <cellXfs count="56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>
      <alignment vertical="center"/>
    </xf>
    <xf numFmtId="164" fontId="7" fillId="2" borderId="0" xfId="2" applyNumberFormat="1" applyFont="1" applyFill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14" fillId="2" borderId="0" xfId="2" applyNumberFormat="1" applyFont="1" applyFill="1" applyAlignment="1" applyProtection="1">
      <alignment horizontal="left" vertical="center"/>
    </xf>
    <xf numFmtId="164" fontId="12" fillId="2" borderId="1" xfId="2" applyNumberFormat="1" applyFont="1" applyFill="1" applyBorder="1" applyAlignment="1" applyProtection="1">
      <alignment horizontal="right" vertical="center"/>
    </xf>
    <xf numFmtId="164" fontId="12" fillId="2" borderId="1" xfId="2" applyNumberFormat="1" applyFont="1" applyFill="1" applyBorder="1" applyAlignment="1">
      <alignment horizontal="right" vertical="center"/>
    </xf>
    <xf numFmtId="164" fontId="6" fillId="2" borderId="1" xfId="2" applyNumberFormat="1" applyFont="1" applyFill="1" applyBorder="1" applyAlignment="1">
      <alignment vertical="center"/>
    </xf>
    <xf numFmtId="164" fontId="6" fillId="2" borderId="0" xfId="2" applyNumberFormat="1" applyFont="1" applyFill="1" applyBorder="1" applyAlignment="1">
      <alignment vertical="center"/>
    </xf>
    <xf numFmtId="164" fontId="16" fillId="2" borderId="0" xfId="2" applyNumberFormat="1" applyFont="1" applyFill="1" applyAlignment="1" applyProtection="1">
      <alignment horizontal="left" vertical="center"/>
    </xf>
    <xf numFmtId="167" fontId="17" fillId="2" borderId="0" xfId="1" applyNumberFormat="1" applyFont="1" applyFill="1" applyAlignment="1" applyProtection="1">
      <alignment horizontal="right" vertical="center"/>
    </xf>
    <xf numFmtId="164" fontId="18" fillId="2" borderId="0" xfId="2" applyNumberFormat="1" applyFont="1" applyFill="1" applyAlignment="1">
      <alignment horizontal="right" vertical="center"/>
    </xf>
    <xf numFmtId="165" fontId="18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 indent="1"/>
    </xf>
    <xf numFmtId="167" fontId="20" fillId="2" borderId="0" xfId="1" applyNumberFormat="1" applyFont="1" applyFill="1" applyAlignment="1" applyProtection="1">
      <alignment horizontal="right" vertical="center"/>
      <protection locked="0"/>
    </xf>
    <xf numFmtId="165" fontId="21" fillId="2" borderId="0" xfId="2" applyNumberFormat="1" applyFont="1" applyFill="1" applyAlignment="1">
      <alignment horizontal="right" vertical="center"/>
    </xf>
    <xf numFmtId="41" fontId="10" fillId="2" borderId="0" xfId="3" applyNumberFormat="1" applyFont="1" applyFill="1" applyAlignment="1" applyProtection="1">
      <alignment horizontal="right" vertical="center"/>
      <protection locked="0"/>
    </xf>
    <xf numFmtId="165" fontId="22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 indent="4"/>
    </xf>
    <xf numFmtId="164" fontId="6" fillId="2" borderId="0" xfId="2" applyNumberFormat="1" applyFont="1" applyFill="1" applyAlignment="1"/>
    <xf numFmtId="167" fontId="17" fillId="2" borderId="0" xfId="1" applyNumberFormat="1" applyFont="1" applyFill="1" applyAlignment="1" applyProtection="1">
      <alignment horizontal="right"/>
    </xf>
    <xf numFmtId="167" fontId="20" fillId="2" borderId="0" xfId="1" applyNumberFormat="1" applyFont="1" applyFill="1" applyAlignment="1">
      <alignment horizontal="right"/>
    </xf>
    <xf numFmtId="164" fontId="22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>
      <alignment horizontal="left" vertical="center" indent="1"/>
    </xf>
    <xf numFmtId="164" fontId="19" fillId="2" borderId="0" xfId="2" applyNumberFormat="1" applyFont="1" applyFill="1" applyBorder="1" applyAlignment="1">
      <alignment horizontal="left" vertical="center" indent="1"/>
    </xf>
    <xf numFmtId="164" fontId="19" fillId="2" borderId="0" xfId="2" applyNumberFormat="1" applyFont="1" applyFill="1" applyBorder="1" applyAlignment="1" applyProtection="1">
      <alignment horizontal="left" vertical="center" indent="1"/>
    </xf>
    <xf numFmtId="164" fontId="22" fillId="2" borderId="0" xfId="2" applyNumberFormat="1" applyFont="1" applyFill="1" applyAlignment="1">
      <alignment horizontal="right" vertical="center" readingOrder="1"/>
    </xf>
    <xf numFmtId="164" fontId="19" fillId="2" borderId="0" xfId="2" applyNumberFormat="1" applyFont="1" applyFill="1" applyAlignment="1" applyProtection="1">
      <alignment horizontal="left" vertical="center"/>
    </xf>
    <xf numFmtId="167" fontId="20" fillId="2" borderId="0" xfId="1" applyNumberFormat="1" applyFont="1" applyFill="1" applyAlignment="1">
      <alignment vertical="center"/>
    </xf>
    <xf numFmtId="164" fontId="21" fillId="2" borderId="0" xfId="2" applyNumberFormat="1" applyFont="1" applyFill="1" applyAlignment="1">
      <alignment horizontal="right" vertical="center"/>
    </xf>
    <xf numFmtId="167" fontId="17" fillId="2" borderId="0" xfId="1" applyNumberFormat="1" applyFont="1" applyFill="1" applyAlignment="1" applyProtection="1">
      <alignment vertical="center"/>
      <protection locked="0"/>
    </xf>
    <xf numFmtId="164" fontId="16" fillId="2" borderId="1" xfId="2" applyNumberFormat="1" applyFont="1" applyFill="1" applyBorder="1" applyAlignment="1" applyProtection="1">
      <alignment horizontal="left" vertical="center"/>
    </xf>
    <xf numFmtId="167" fontId="17" fillId="2" borderId="1" xfId="1" applyNumberFormat="1" applyFont="1" applyFill="1" applyBorder="1" applyAlignment="1" applyProtection="1">
      <alignment vertical="center"/>
      <protection locked="0"/>
    </xf>
    <xf numFmtId="164" fontId="21" fillId="2" borderId="1" xfId="2" applyNumberFormat="1" applyFont="1" applyFill="1" applyBorder="1" applyAlignment="1">
      <alignment horizontal="right" vertical="center"/>
    </xf>
    <xf numFmtId="37" fontId="9" fillId="2" borderId="0" xfId="2" applyNumberFormat="1" applyFont="1" applyFill="1" applyAlignment="1" applyProtection="1">
      <alignment vertical="center"/>
    </xf>
    <xf numFmtId="37" fontId="23" fillId="2" borderId="0" xfId="2" applyNumberFormat="1" applyFont="1" applyFill="1" applyAlignment="1" applyProtection="1">
      <alignment vertical="center"/>
    </xf>
    <xf numFmtId="164" fontId="24" fillId="2" borderId="0" xfId="2" applyNumberFormat="1" applyFont="1" applyFill="1" applyAlignment="1">
      <alignment horizontal="right" vertical="center"/>
    </xf>
    <xf numFmtId="168" fontId="7" fillId="2" borderId="0" xfId="2" applyNumberFormat="1" applyFont="1" applyFill="1" applyAlignment="1" applyProtection="1">
      <alignment vertical="center"/>
    </xf>
    <xf numFmtId="164" fontId="11" fillId="2" borderId="2" xfId="2" applyNumberFormat="1" applyFont="1" applyFill="1" applyBorder="1" applyAlignment="1">
      <alignment horizontal="center" vertical="center"/>
    </xf>
    <xf numFmtId="164" fontId="6" fillId="2" borderId="2" xfId="2" applyNumberFormat="1" applyFont="1" applyFill="1" applyBorder="1" applyAlignment="1">
      <alignment vertical="center"/>
    </xf>
    <xf numFmtId="165" fontId="25" fillId="2" borderId="0" xfId="2" applyNumberFormat="1" applyFont="1" applyFill="1" applyAlignment="1">
      <alignment horizontal="right" vertical="center"/>
    </xf>
    <xf numFmtId="164" fontId="26" fillId="2" borderId="0" xfId="2" applyNumberFormat="1" applyFont="1" applyFill="1" applyAlignment="1">
      <alignment vertical="center"/>
    </xf>
    <xf numFmtId="164" fontId="12" fillId="2" borderId="0" xfId="2" applyNumberFormat="1" applyFont="1" applyFill="1" applyBorder="1" applyAlignment="1">
      <alignment vertical="center"/>
    </xf>
    <xf numFmtId="166" fontId="10" fillId="2" borderId="0" xfId="3" applyNumberFormat="1" applyFont="1" applyFill="1" applyAlignment="1" applyProtection="1">
      <alignment horizontal="right" vertical="center"/>
      <protection locked="0"/>
    </xf>
    <xf numFmtId="167" fontId="17" fillId="2" borderId="0" xfId="1" applyNumberFormat="1" applyFont="1" applyFill="1" applyAlignment="1">
      <alignment vertical="center"/>
    </xf>
    <xf numFmtId="167" fontId="17" fillId="2" borderId="0" xfId="1" applyNumberFormat="1" applyFont="1" applyFill="1" applyAlignment="1">
      <alignment horizontal="right"/>
    </xf>
    <xf numFmtId="164" fontId="11" fillId="2" borderId="2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1" xfId="2" applyNumberFormat="1" applyFont="1" applyFill="1" applyBorder="1" applyAlignment="1" applyProtection="1">
      <alignment horizontal="left" vertical="center"/>
    </xf>
    <xf numFmtId="164" fontId="3" fillId="2" borderId="0" xfId="2" applyNumberFormat="1" applyFont="1" applyFill="1" applyAlignment="1">
      <alignment horizontal="center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164" fontId="11" fillId="2" borderId="0" xfId="2" applyNumberFormat="1" applyFont="1" applyFill="1" applyAlignment="1">
      <alignment horizontal="center" vertical="center" wrapText="1"/>
    </xf>
    <xf numFmtId="164" fontId="5" fillId="2" borderId="1" xfId="2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Comma_13 Public Finance_done" xfId="3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zoomScaleNormal="100" zoomScaleSheetLayoutView="102" workbookViewId="0">
      <selection activeCell="P21" sqref="P21"/>
    </sheetView>
  </sheetViews>
  <sheetFormatPr defaultColWidth="13.28515625" defaultRowHeight="12.75" x14ac:dyDescent="0.25"/>
  <cols>
    <col min="1" max="1" width="55.85546875" style="1" customWidth="1"/>
    <col min="2" max="11" width="9.140625" style="1" customWidth="1"/>
    <col min="12" max="12" width="48.5703125" style="1" customWidth="1"/>
    <col min="13" max="16384" width="13.28515625" style="1"/>
  </cols>
  <sheetData>
    <row r="1" spans="1:12" ht="21.75" x14ac:dyDescent="0.25">
      <c r="A1" s="52" t="s">
        <v>102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5" x14ac:dyDescent="0.25">
      <c r="A2" s="53" t="s">
        <v>103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2" customFormat="1" ht="15" x14ac:dyDescent="0.2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2" customFormat="1" x14ac:dyDescent="0.25">
      <c r="A4" s="55" t="s">
        <v>101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s="3" customFormat="1" ht="15" x14ac:dyDescent="0.25">
      <c r="A5" s="41"/>
      <c r="B5" s="48"/>
      <c r="C5" s="41"/>
      <c r="D5" s="48"/>
      <c r="E5" s="40"/>
      <c r="F5" s="40"/>
      <c r="G5" s="40"/>
      <c r="H5" s="40"/>
      <c r="I5" s="40"/>
      <c r="J5" s="40"/>
      <c r="K5" s="40"/>
      <c r="L5" s="41"/>
    </row>
    <row r="6" spans="1:12" s="3" customFormat="1" ht="15" x14ac:dyDescent="0.25">
      <c r="A6" s="50" t="s">
        <v>1</v>
      </c>
      <c r="B6" s="5"/>
      <c r="C6" s="44"/>
      <c r="D6" s="10"/>
      <c r="E6" s="5"/>
      <c r="F6" s="5" t="s">
        <v>3</v>
      </c>
      <c r="G6" s="5" t="s">
        <v>3</v>
      </c>
      <c r="H6" s="5" t="s">
        <v>4</v>
      </c>
      <c r="I6" s="5" t="s">
        <v>5</v>
      </c>
      <c r="J6" s="5" t="s">
        <v>5</v>
      </c>
      <c r="K6" s="5" t="s">
        <v>5</v>
      </c>
      <c r="L6" s="49" t="s">
        <v>2</v>
      </c>
    </row>
    <row r="7" spans="1:12" s="10" customFormat="1" ht="12" x14ac:dyDescent="0.25">
      <c r="A7" s="51"/>
      <c r="B7" s="7">
        <v>2008</v>
      </c>
      <c r="C7" s="7">
        <v>2009</v>
      </c>
      <c r="D7" s="8">
        <v>2010</v>
      </c>
      <c r="E7" s="8">
        <v>2011</v>
      </c>
      <c r="F7" s="8">
        <v>2012</v>
      </c>
      <c r="G7" s="8">
        <v>2013</v>
      </c>
      <c r="H7" s="8">
        <v>2014</v>
      </c>
      <c r="I7" s="8">
        <v>2015</v>
      </c>
      <c r="J7" s="8">
        <v>2016</v>
      </c>
      <c r="K7" s="8">
        <v>2017</v>
      </c>
      <c r="L7" s="9"/>
    </row>
    <row r="8" spans="1:12" s="3" customFormat="1" ht="21.75" customHeight="1" x14ac:dyDescent="0.25">
      <c r="A8" s="11" t="s">
        <v>6</v>
      </c>
      <c r="B8" s="12">
        <f t="shared" ref="B8:K8" si="0">SUM(B9,B51)</f>
        <v>7456.54</v>
      </c>
      <c r="C8" s="12">
        <f t="shared" si="0"/>
        <v>5734.8352960000002</v>
      </c>
      <c r="D8" s="12">
        <f t="shared" si="0"/>
        <v>6546.9287702799966</v>
      </c>
      <c r="E8" s="12">
        <f t="shared" si="0"/>
        <v>9904.5614829999995</v>
      </c>
      <c r="F8" s="12">
        <f t="shared" si="0"/>
        <v>10138.11294952</v>
      </c>
      <c r="G8" s="12">
        <f t="shared" si="0"/>
        <v>11900.748051729997</v>
      </c>
      <c r="H8" s="12">
        <f t="shared" si="0"/>
        <v>14907.181190525813</v>
      </c>
      <c r="I8" s="12">
        <f t="shared" si="0"/>
        <v>21268.939973996152</v>
      </c>
      <c r="J8" s="12">
        <f t="shared" si="0"/>
        <v>21793.694083182614</v>
      </c>
      <c r="K8" s="12">
        <f t="shared" si="0"/>
        <v>22442.173405238784</v>
      </c>
      <c r="L8" s="13" t="s">
        <v>10</v>
      </c>
    </row>
    <row r="9" spans="1:12" s="3" customFormat="1" ht="21.75" customHeight="1" x14ac:dyDescent="0.25">
      <c r="A9" s="11" t="s">
        <v>11</v>
      </c>
      <c r="B9" s="12">
        <f t="shared" ref="B9:K9" si="1">SUM(B10,B50)</f>
        <v>6939.54</v>
      </c>
      <c r="C9" s="12">
        <f t="shared" si="1"/>
        <v>5313.319469</v>
      </c>
      <c r="D9" s="12">
        <f t="shared" si="1"/>
        <v>6392.3855347199969</v>
      </c>
      <c r="E9" s="12">
        <f t="shared" si="1"/>
        <v>9172.1262260000003</v>
      </c>
      <c r="F9" s="12">
        <f t="shared" si="1"/>
        <v>9771.4430765199995</v>
      </c>
      <c r="G9" s="12">
        <f t="shared" si="1"/>
        <v>11783.092824199997</v>
      </c>
      <c r="H9" s="12">
        <f t="shared" si="1"/>
        <v>14492.597353739146</v>
      </c>
      <c r="I9" s="12">
        <f t="shared" si="1"/>
        <v>19795.865506996153</v>
      </c>
      <c r="J9" s="12">
        <f t="shared" si="1"/>
        <v>20200.068339182613</v>
      </c>
      <c r="K9" s="12">
        <f t="shared" si="1"/>
        <v>21550.352662238784</v>
      </c>
      <c r="L9" s="14" t="s">
        <v>12</v>
      </c>
    </row>
    <row r="10" spans="1:12" s="3" customFormat="1" ht="21.75" customHeight="1" x14ac:dyDescent="0.25">
      <c r="A10" s="11" t="s">
        <v>7</v>
      </c>
      <c r="B10" s="12">
        <f t="shared" ref="B10:K10" si="2">SUM(B11,B23)</f>
        <v>6897.24</v>
      </c>
      <c r="C10" s="12">
        <f t="shared" si="2"/>
        <v>5299.4316959999996</v>
      </c>
      <c r="D10" s="12">
        <f t="shared" si="2"/>
        <v>6343.0314386499977</v>
      </c>
      <c r="E10" s="12">
        <f t="shared" si="2"/>
        <v>8637.6616890000005</v>
      </c>
      <c r="F10" s="12">
        <f t="shared" si="2"/>
        <v>9723.3702617999988</v>
      </c>
      <c r="G10" s="12">
        <f t="shared" si="2"/>
        <v>11514.974798199997</v>
      </c>
      <c r="H10" s="12">
        <f t="shared" si="2"/>
        <v>14366.732694175997</v>
      </c>
      <c r="I10" s="12">
        <f t="shared" si="2"/>
        <v>19298.160240774927</v>
      </c>
      <c r="J10" s="12">
        <f t="shared" si="2"/>
        <v>20140.996759165369</v>
      </c>
      <c r="K10" s="12">
        <f t="shared" si="2"/>
        <v>21539.981833780173</v>
      </c>
      <c r="L10" s="14" t="s">
        <v>8</v>
      </c>
    </row>
    <row r="11" spans="1:12" s="4" customFormat="1" ht="21.75" customHeight="1" x14ac:dyDescent="0.25">
      <c r="A11" s="11" t="s">
        <v>13</v>
      </c>
      <c r="B11" s="12">
        <f t="shared" ref="B11:K11" si="3">SUM(B12:B22)</f>
        <v>3366.8</v>
      </c>
      <c r="C11" s="12">
        <f t="shared" si="3"/>
        <v>2731.9902730000003</v>
      </c>
      <c r="D11" s="12">
        <f t="shared" si="3"/>
        <v>2931.0472653899988</v>
      </c>
      <c r="E11" s="12">
        <f t="shared" si="3"/>
        <v>4892.9547389999998</v>
      </c>
      <c r="F11" s="12">
        <f t="shared" si="3"/>
        <v>6880.0618489999988</v>
      </c>
      <c r="G11" s="12">
        <f t="shared" si="3"/>
        <v>8872.8437029999986</v>
      </c>
      <c r="H11" s="12">
        <f t="shared" si="3"/>
        <v>10436.320741468095</v>
      </c>
      <c r="I11" s="12">
        <f t="shared" si="3"/>
        <v>13002.995674927399</v>
      </c>
      <c r="J11" s="12">
        <f t="shared" si="3"/>
        <v>15827.142892525613</v>
      </c>
      <c r="K11" s="12">
        <f t="shared" si="3"/>
        <v>17301.596210673259</v>
      </c>
      <c r="L11" s="14" t="s">
        <v>14</v>
      </c>
    </row>
    <row r="12" spans="1:12" s="4" customFormat="1" ht="18" customHeight="1" x14ac:dyDescent="0.25">
      <c r="A12" s="15" t="s">
        <v>15</v>
      </c>
      <c r="B12" s="16">
        <v>2448.8000000000002</v>
      </c>
      <c r="C12" s="16">
        <v>1848.7620629999999</v>
      </c>
      <c r="D12" s="16">
        <v>2055.8138285199989</v>
      </c>
      <c r="E12" s="16">
        <v>2586.5219179999999</v>
      </c>
      <c r="F12" s="16">
        <v>1369.0409910000001</v>
      </c>
      <c r="G12" s="16">
        <v>1575.877761</v>
      </c>
      <c r="H12" s="16">
        <v>1716.9503319999999</v>
      </c>
      <c r="I12" s="16">
        <v>2455.281152</v>
      </c>
      <c r="J12" s="16">
        <v>3158.35025745343</v>
      </c>
      <c r="K12" s="16">
        <v>3316.2677702736005</v>
      </c>
      <c r="L12" s="17" t="s">
        <v>16</v>
      </c>
    </row>
    <row r="13" spans="1:12" s="4" customFormat="1" ht="18" customHeight="1" x14ac:dyDescent="0.25">
      <c r="A13" s="15" t="s">
        <v>17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9" t="s">
        <v>18</v>
      </c>
    </row>
    <row r="14" spans="1:12" s="4" customFormat="1" ht="18" customHeight="1" x14ac:dyDescent="0.25">
      <c r="A14" s="15" t="s">
        <v>19</v>
      </c>
      <c r="B14" s="16">
        <v>566.6</v>
      </c>
      <c r="C14" s="16">
        <v>531.41379099999995</v>
      </c>
      <c r="D14" s="16">
        <v>597.28680473999998</v>
      </c>
      <c r="E14" s="16">
        <v>750.80410500000005</v>
      </c>
      <c r="F14" s="16">
        <v>804.72110199999997</v>
      </c>
      <c r="G14" s="16">
        <v>861.64270799999997</v>
      </c>
      <c r="H14" s="16">
        <v>812.32585717799998</v>
      </c>
      <c r="I14" s="16">
        <v>0</v>
      </c>
      <c r="J14" s="16">
        <v>0</v>
      </c>
      <c r="K14" s="16">
        <v>0</v>
      </c>
      <c r="L14" s="17" t="s">
        <v>20</v>
      </c>
    </row>
    <row r="15" spans="1:12" s="4" customFormat="1" ht="18" customHeight="1" x14ac:dyDescent="0.25">
      <c r="A15" s="15" t="s">
        <v>21</v>
      </c>
      <c r="B15" s="16">
        <v>240.8</v>
      </c>
      <c r="C15" s="16">
        <v>245.71401800000001</v>
      </c>
      <c r="D15" s="16">
        <v>203.32941162</v>
      </c>
      <c r="E15" s="16">
        <v>229.856989</v>
      </c>
      <c r="F15" s="16">
        <v>313.15251699999999</v>
      </c>
      <c r="G15" s="16">
        <v>355.03669400000001</v>
      </c>
      <c r="H15" s="16">
        <v>482.38555975000003</v>
      </c>
      <c r="I15" s="16">
        <v>411.2</v>
      </c>
      <c r="J15" s="16">
        <v>469</v>
      </c>
      <c r="K15" s="16">
        <v>555</v>
      </c>
      <c r="L15" s="17" t="s">
        <v>22</v>
      </c>
    </row>
    <row r="16" spans="1:12" s="4" customFormat="1" ht="18" customHeight="1" x14ac:dyDescent="0.25">
      <c r="A16" s="15" t="s">
        <v>23</v>
      </c>
      <c r="B16" s="18">
        <v>0</v>
      </c>
      <c r="C16" s="18">
        <v>0</v>
      </c>
      <c r="D16" s="18">
        <v>0</v>
      </c>
      <c r="E16" s="16">
        <v>665.32438500000001</v>
      </c>
      <c r="F16" s="16">
        <v>1553.5654959999999</v>
      </c>
      <c r="G16" s="16">
        <v>2154.68813</v>
      </c>
      <c r="H16" s="16">
        <v>2977.9175699914722</v>
      </c>
      <c r="I16" s="16">
        <v>4859.7074580580647</v>
      </c>
      <c r="J16" s="16">
        <v>5479.8655918632767</v>
      </c>
      <c r="K16" s="16">
        <v>6148.3450331614813</v>
      </c>
      <c r="L16" s="19" t="s">
        <v>24</v>
      </c>
    </row>
    <row r="17" spans="1:12" s="4" customFormat="1" ht="18" customHeight="1" x14ac:dyDescent="0.25">
      <c r="A17" s="15" t="s">
        <v>25</v>
      </c>
      <c r="B17" s="18">
        <v>0</v>
      </c>
      <c r="C17" s="18">
        <v>0</v>
      </c>
      <c r="D17" s="18">
        <v>0</v>
      </c>
      <c r="E17" s="16">
        <v>242.984275</v>
      </c>
      <c r="F17" s="16">
        <v>1005.650731</v>
      </c>
      <c r="G17" s="16">
        <v>1538.4096460000001</v>
      </c>
      <c r="H17" s="16">
        <v>1478.0026228705528</v>
      </c>
      <c r="I17" s="16">
        <v>1711.9147969813321</v>
      </c>
      <c r="J17" s="16">
        <v>1863.6112402913843</v>
      </c>
      <c r="K17" s="16">
        <v>2037.6180254869237</v>
      </c>
      <c r="L17" s="19" t="s">
        <v>26</v>
      </c>
    </row>
    <row r="18" spans="1:12" s="4" customFormat="1" ht="18" customHeight="1" x14ac:dyDescent="0.25">
      <c r="A18" s="15" t="s">
        <v>27</v>
      </c>
      <c r="B18" s="18">
        <v>0</v>
      </c>
      <c r="C18" s="16">
        <v>1.6042050000000001</v>
      </c>
      <c r="D18" s="16">
        <v>35.501533500000001</v>
      </c>
      <c r="E18" s="16">
        <v>337.49470400000001</v>
      </c>
      <c r="F18" s="16">
        <v>299.92006099999998</v>
      </c>
      <c r="G18" s="16">
        <v>350.25651399999998</v>
      </c>
      <c r="H18" s="16">
        <v>436.4504761387692</v>
      </c>
      <c r="I18" s="16">
        <v>632.69211798870572</v>
      </c>
      <c r="J18" s="16">
        <v>715.52865464044623</v>
      </c>
      <c r="K18" s="16">
        <v>802.42763816076854</v>
      </c>
      <c r="L18" s="19" t="s">
        <v>28</v>
      </c>
    </row>
    <row r="19" spans="1:12" s="4" customFormat="1" ht="18" customHeight="1" x14ac:dyDescent="0.25">
      <c r="A19" s="15" t="s">
        <v>29</v>
      </c>
      <c r="B19" s="18">
        <v>0</v>
      </c>
      <c r="C19" s="18">
        <v>0</v>
      </c>
      <c r="D19" s="18">
        <v>0</v>
      </c>
      <c r="E19" s="16">
        <v>34.870806000000002</v>
      </c>
      <c r="F19" s="16">
        <v>1401.2985719999999</v>
      </c>
      <c r="G19" s="16">
        <v>1880.9622440000001</v>
      </c>
      <c r="H19" s="16">
        <v>2376.3961441324095</v>
      </c>
      <c r="I19" s="16">
        <v>2407.38841404298</v>
      </c>
      <c r="J19" s="16">
        <v>2602.0261647057737</v>
      </c>
      <c r="K19" s="16">
        <v>2808.4951289803757</v>
      </c>
      <c r="L19" s="19" t="s">
        <v>30</v>
      </c>
    </row>
    <row r="20" spans="1:12" s="4" customFormat="1" ht="18" customHeight="1" x14ac:dyDescent="0.25">
      <c r="A20" s="29" t="s">
        <v>105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340.45357799999999</v>
      </c>
      <c r="J20" s="18">
        <v>1341.9462120000001</v>
      </c>
      <c r="K20" s="18">
        <v>1428.166657</v>
      </c>
      <c r="L20" s="19" t="s">
        <v>104</v>
      </c>
    </row>
    <row r="21" spans="1:12" s="4" customFormat="1" ht="18" customHeight="1" x14ac:dyDescent="0.25">
      <c r="A21" s="20" t="s">
        <v>31</v>
      </c>
      <c r="B21" s="18">
        <v>0</v>
      </c>
      <c r="C21" s="18">
        <v>0</v>
      </c>
      <c r="D21" s="18">
        <v>0</v>
      </c>
      <c r="E21" s="18">
        <v>0</v>
      </c>
      <c r="F21" s="45">
        <v>76.585507000000007</v>
      </c>
      <c r="G21" s="45">
        <v>101.369692</v>
      </c>
      <c r="H21" s="45">
        <v>92.937144637533194</v>
      </c>
      <c r="I21" s="45">
        <v>120.6335838080381</v>
      </c>
      <c r="J21" s="45">
        <v>127.11770231589971</v>
      </c>
      <c r="K21" s="45">
        <v>133.14029921983439</v>
      </c>
      <c r="L21" s="17" t="s">
        <v>100</v>
      </c>
    </row>
    <row r="22" spans="1:12" s="21" customFormat="1" ht="18" customHeight="1" x14ac:dyDescent="0.2">
      <c r="A22" s="15" t="s">
        <v>32</v>
      </c>
      <c r="B22" s="16">
        <v>110.60000000000001</v>
      </c>
      <c r="C22" s="16">
        <v>104.496196</v>
      </c>
      <c r="D22" s="16">
        <v>39.115687010000002</v>
      </c>
      <c r="E22" s="16">
        <v>45.097557000000002</v>
      </c>
      <c r="F22" s="16">
        <v>56.126871999999999</v>
      </c>
      <c r="G22" s="16">
        <v>54.600313999999997</v>
      </c>
      <c r="H22" s="16">
        <v>62.955034769358903</v>
      </c>
      <c r="I22" s="16">
        <v>63.724574048277674</v>
      </c>
      <c r="J22" s="16">
        <v>69.697069255401644</v>
      </c>
      <c r="K22" s="16">
        <v>72.135658390274202</v>
      </c>
      <c r="L22" s="17" t="s">
        <v>33</v>
      </c>
    </row>
    <row r="23" spans="1:12" s="3" customFormat="1" ht="18" customHeight="1" x14ac:dyDescent="0.2">
      <c r="A23" s="11" t="s">
        <v>34</v>
      </c>
      <c r="B23" s="22">
        <f t="shared" ref="B23:G23" si="4">SUM(B24:B46,B49)</f>
        <v>3530.4399999999996</v>
      </c>
      <c r="C23" s="22">
        <f t="shared" si="4"/>
        <v>2567.4414229999993</v>
      </c>
      <c r="D23" s="22">
        <f t="shared" si="4"/>
        <v>3411.9841732599989</v>
      </c>
      <c r="E23" s="22">
        <f t="shared" si="4"/>
        <v>3744.7069500000007</v>
      </c>
      <c r="F23" s="22">
        <f t="shared" si="4"/>
        <v>2843.3084128</v>
      </c>
      <c r="G23" s="22">
        <f t="shared" si="4"/>
        <v>2642.1310951999994</v>
      </c>
      <c r="H23" s="22">
        <f t="shared" ref="H23:K23" si="5">SUM(H24:H46,H49)</f>
        <v>3930.4119527079024</v>
      </c>
      <c r="I23" s="22">
        <f t="shared" si="5"/>
        <v>6295.1645658475281</v>
      </c>
      <c r="J23" s="22">
        <f t="shared" si="5"/>
        <v>4313.8538666397562</v>
      </c>
      <c r="K23" s="22">
        <f t="shared" si="5"/>
        <v>4238.3856231069158</v>
      </c>
      <c r="L23" s="42" t="s">
        <v>98</v>
      </c>
    </row>
    <row r="24" spans="1:12" s="4" customFormat="1" ht="18" customHeight="1" x14ac:dyDescent="0.25">
      <c r="A24" s="15" t="s">
        <v>35</v>
      </c>
      <c r="B24" s="16">
        <v>2.5</v>
      </c>
      <c r="C24" s="16">
        <v>137.9</v>
      </c>
      <c r="D24" s="16">
        <v>106.88384000000001</v>
      </c>
      <c r="E24" s="18">
        <v>0</v>
      </c>
      <c r="F24" s="18">
        <v>0</v>
      </c>
      <c r="G24" s="18">
        <v>0</v>
      </c>
      <c r="H24" s="18">
        <v>0</v>
      </c>
      <c r="I24" s="18">
        <v>27.045839999999998</v>
      </c>
      <c r="J24" s="18">
        <v>27.045839999999998</v>
      </c>
      <c r="K24" s="18">
        <v>27.045839999999998</v>
      </c>
      <c r="L24" s="17" t="s">
        <v>36</v>
      </c>
    </row>
    <row r="25" spans="1:12" s="4" customFormat="1" ht="18" customHeight="1" x14ac:dyDescent="0.2">
      <c r="A25" s="15" t="s">
        <v>37</v>
      </c>
      <c r="B25" s="23">
        <v>392.5</v>
      </c>
      <c r="C25" s="23">
        <v>192.02865</v>
      </c>
      <c r="D25" s="23">
        <v>505.718143</v>
      </c>
      <c r="E25" s="23">
        <v>487.06551999999999</v>
      </c>
      <c r="F25" s="23">
        <v>254.47890200000001</v>
      </c>
      <c r="G25" s="23">
        <v>156.94454099999999</v>
      </c>
      <c r="H25" s="23">
        <v>325.49663500000003</v>
      </c>
      <c r="I25" s="23">
        <v>240</v>
      </c>
      <c r="J25" s="23">
        <v>240</v>
      </c>
      <c r="K25" s="23">
        <v>240</v>
      </c>
      <c r="L25" s="24" t="s">
        <v>38</v>
      </c>
    </row>
    <row r="26" spans="1:12" s="4" customFormat="1" ht="18" customHeight="1" x14ac:dyDescent="0.2">
      <c r="A26" s="15" t="s">
        <v>39</v>
      </c>
      <c r="B26" s="23">
        <v>4.3</v>
      </c>
      <c r="C26" s="23">
        <v>0.93521100000000001</v>
      </c>
      <c r="D26" s="18">
        <v>0</v>
      </c>
      <c r="E26" s="18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4" t="s">
        <v>40</v>
      </c>
    </row>
    <row r="27" spans="1:12" s="4" customFormat="1" ht="18" customHeight="1" x14ac:dyDescent="0.2">
      <c r="A27" s="15" t="s">
        <v>41</v>
      </c>
      <c r="B27" s="23">
        <v>237.89999999999998</v>
      </c>
      <c r="C27" s="23">
        <v>146.74612099999999</v>
      </c>
      <c r="D27" s="23">
        <v>304.89391938999898</v>
      </c>
      <c r="E27" s="23">
        <v>132.57864000000001</v>
      </c>
      <c r="F27" s="23">
        <v>205.310123</v>
      </c>
      <c r="G27" s="23">
        <v>188.03864400000001</v>
      </c>
      <c r="H27" s="23">
        <v>226.40812199999999</v>
      </c>
      <c r="I27" s="23">
        <v>170.88749999999999</v>
      </c>
      <c r="J27" s="23">
        <v>179.43187499999999</v>
      </c>
      <c r="K27" s="23">
        <v>188.40346875</v>
      </c>
      <c r="L27" s="24" t="s">
        <v>42</v>
      </c>
    </row>
    <row r="28" spans="1:12" s="4" customFormat="1" ht="18" customHeight="1" x14ac:dyDescent="0.2">
      <c r="A28" s="15" t="s">
        <v>43</v>
      </c>
      <c r="B28" s="23">
        <v>2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24" t="s">
        <v>44</v>
      </c>
    </row>
    <row r="29" spans="1:12" s="4" customFormat="1" ht="18" customHeight="1" x14ac:dyDescent="0.2">
      <c r="A29" s="15" t="s">
        <v>45</v>
      </c>
      <c r="B29" s="23">
        <v>7.98</v>
      </c>
      <c r="C29" s="23">
        <v>8.7629000000000001</v>
      </c>
      <c r="D29" s="23">
        <v>3.43828829</v>
      </c>
      <c r="E29" s="23">
        <v>2.6666660000000002</v>
      </c>
      <c r="F29" s="23">
        <v>9.0000009999999993</v>
      </c>
      <c r="G29" s="23">
        <v>0</v>
      </c>
      <c r="H29" s="23">
        <v>0</v>
      </c>
      <c r="I29" s="23">
        <v>10</v>
      </c>
      <c r="J29" s="23">
        <v>15</v>
      </c>
      <c r="K29" s="23">
        <v>20</v>
      </c>
      <c r="L29" s="24" t="s">
        <v>46</v>
      </c>
    </row>
    <row r="30" spans="1:12" s="4" customFormat="1" ht="18" customHeight="1" x14ac:dyDescent="0.2">
      <c r="A30" s="15" t="s">
        <v>47</v>
      </c>
      <c r="B30" s="23">
        <v>1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/>
      <c r="L30" s="24" t="s">
        <v>48</v>
      </c>
    </row>
    <row r="31" spans="1:12" s="4" customFormat="1" ht="18" customHeight="1" x14ac:dyDescent="0.2">
      <c r="A31" s="25" t="s">
        <v>49</v>
      </c>
      <c r="B31" s="18">
        <v>0</v>
      </c>
      <c r="C31" s="23">
        <v>10.016769999999999</v>
      </c>
      <c r="D31" s="18">
        <v>0</v>
      </c>
      <c r="E31" s="18">
        <v>0</v>
      </c>
      <c r="F31" s="18">
        <v>0</v>
      </c>
      <c r="G31" s="18">
        <v>0</v>
      </c>
      <c r="H31" s="45">
        <v>0</v>
      </c>
      <c r="I31" s="45">
        <v>1.794915</v>
      </c>
      <c r="J31" s="45">
        <v>1.794915</v>
      </c>
      <c r="K31" s="45">
        <v>1.794915</v>
      </c>
      <c r="L31" s="24" t="s">
        <v>50</v>
      </c>
    </row>
    <row r="32" spans="1:12" s="4" customFormat="1" ht="18" customHeight="1" x14ac:dyDescent="0.2">
      <c r="A32" s="26" t="s">
        <v>51</v>
      </c>
      <c r="B32" s="23">
        <v>60</v>
      </c>
      <c r="C32" s="23">
        <v>60</v>
      </c>
      <c r="D32" s="23">
        <v>36.166326929999997</v>
      </c>
      <c r="E32" s="23">
        <v>40</v>
      </c>
      <c r="F32" s="23">
        <v>39.405994</v>
      </c>
      <c r="G32" s="23">
        <v>76.2</v>
      </c>
      <c r="H32" s="23">
        <v>0</v>
      </c>
      <c r="I32" s="23">
        <v>60</v>
      </c>
      <c r="J32" s="23">
        <v>60</v>
      </c>
      <c r="K32" s="23">
        <v>60</v>
      </c>
      <c r="L32" s="17" t="s">
        <v>52</v>
      </c>
    </row>
    <row r="33" spans="1:12" s="4" customFormat="1" ht="18" customHeight="1" x14ac:dyDescent="0.2">
      <c r="A33" s="27" t="s">
        <v>53</v>
      </c>
      <c r="B33" s="23">
        <v>27.4</v>
      </c>
      <c r="C33" s="23">
        <v>24.702947999999999</v>
      </c>
      <c r="D33" s="18">
        <v>0</v>
      </c>
      <c r="E33" s="18">
        <v>0</v>
      </c>
      <c r="F33" s="18">
        <v>0</v>
      </c>
      <c r="G33" s="45">
        <v>3.837278</v>
      </c>
      <c r="H33" s="45">
        <v>17.862296000000001</v>
      </c>
      <c r="I33" s="45">
        <v>49</v>
      </c>
      <c r="J33" s="45">
        <v>52</v>
      </c>
      <c r="K33" s="45">
        <v>56</v>
      </c>
      <c r="L33" s="17" t="s">
        <v>54</v>
      </c>
    </row>
    <row r="34" spans="1:12" s="4" customFormat="1" ht="18" customHeight="1" x14ac:dyDescent="0.2">
      <c r="A34" s="27" t="s">
        <v>55</v>
      </c>
      <c r="B34" s="23">
        <v>171.5</v>
      </c>
      <c r="C34" s="23">
        <v>65.525085000000004</v>
      </c>
      <c r="D34" s="23">
        <v>62.790163999999997</v>
      </c>
      <c r="E34" s="23">
        <v>244.34785600000001</v>
      </c>
      <c r="F34" s="18">
        <v>0</v>
      </c>
      <c r="G34" s="18">
        <v>0</v>
      </c>
      <c r="H34" s="18">
        <v>120</v>
      </c>
      <c r="I34" s="18">
        <v>0</v>
      </c>
      <c r="J34" s="18">
        <v>0</v>
      </c>
      <c r="K34" s="18">
        <v>0</v>
      </c>
      <c r="L34" s="19" t="s">
        <v>56</v>
      </c>
    </row>
    <row r="35" spans="1:12" s="4" customFormat="1" ht="18" customHeight="1" x14ac:dyDescent="0.2">
      <c r="A35" s="27" t="s">
        <v>57</v>
      </c>
      <c r="B35" s="18">
        <v>0</v>
      </c>
      <c r="C35" s="18">
        <v>0</v>
      </c>
      <c r="D35" s="23">
        <v>6.63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9" t="s">
        <v>58</v>
      </c>
    </row>
    <row r="36" spans="1:12" s="4" customFormat="1" ht="18" customHeight="1" x14ac:dyDescent="0.2">
      <c r="A36" s="27" t="s">
        <v>59</v>
      </c>
      <c r="B36" s="18">
        <v>0</v>
      </c>
      <c r="C36" s="18">
        <v>0</v>
      </c>
      <c r="D36" s="18">
        <v>0</v>
      </c>
      <c r="E36" s="18">
        <v>0</v>
      </c>
      <c r="F36" s="23">
        <v>11.05</v>
      </c>
      <c r="G36" s="23">
        <v>0</v>
      </c>
      <c r="H36" s="23">
        <v>11.05</v>
      </c>
      <c r="I36" s="23">
        <v>13.26</v>
      </c>
      <c r="J36" s="23">
        <v>13.26</v>
      </c>
      <c r="K36" s="23">
        <v>22.1</v>
      </c>
      <c r="L36" s="28" t="s">
        <v>60</v>
      </c>
    </row>
    <row r="37" spans="1:12" s="4" customFormat="1" ht="18" customHeight="1" x14ac:dyDescent="0.2">
      <c r="A37" s="27" t="s">
        <v>61</v>
      </c>
      <c r="B37" s="23">
        <v>5.5</v>
      </c>
      <c r="C37" s="18">
        <v>0</v>
      </c>
      <c r="D37" s="18">
        <v>0</v>
      </c>
      <c r="E37" s="18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/>
      <c r="L37" s="19" t="s">
        <v>62</v>
      </c>
    </row>
    <row r="38" spans="1:12" s="4" customFormat="1" ht="18" customHeight="1" x14ac:dyDescent="0.25">
      <c r="A38" s="27" t="s">
        <v>63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/>
      <c r="L38" s="19" t="s">
        <v>64</v>
      </c>
    </row>
    <row r="39" spans="1:12" s="4" customFormat="1" ht="18" customHeight="1" x14ac:dyDescent="0.2">
      <c r="A39" s="27" t="s">
        <v>65</v>
      </c>
      <c r="B39" s="23">
        <v>54.5</v>
      </c>
      <c r="C39" s="23">
        <v>16.276667</v>
      </c>
      <c r="D39" s="23">
        <v>41.804403549999897</v>
      </c>
      <c r="E39" s="23">
        <v>52.75</v>
      </c>
      <c r="F39" s="23">
        <v>95.199361999999994</v>
      </c>
      <c r="G39" s="23">
        <v>43.042678000000002</v>
      </c>
      <c r="H39" s="23">
        <v>40.542678039999998</v>
      </c>
      <c r="I39" s="23">
        <v>81.779120000000006</v>
      </c>
      <c r="J39" s="23">
        <v>86.19426</v>
      </c>
      <c r="K39" s="23">
        <v>89.95187</v>
      </c>
      <c r="L39" s="17" t="s">
        <v>66</v>
      </c>
    </row>
    <row r="40" spans="1:12" s="4" customFormat="1" ht="18" customHeight="1" x14ac:dyDescent="0.2">
      <c r="A40" s="27" t="s">
        <v>67</v>
      </c>
      <c r="B40" s="18">
        <v>0</v>
      </c>
      <c r="C40" s="18">
        <v>0</v>
      </c>
      <c r="D40" s="18">
        <v>0</v>
      </c>
      <c r="E40" s="23">
        <v>14.306495999999999</v>
      </c>
      <c r="F40" s="23">
        <v>18.859279999999998</v>
      </c>
      <c r="G40" s="23">
        <v>7.8092800000000002</v>
      </c>
      <c r="H40" s="23">
        <v>7.8092800000000002</v>
      </c>
      <c r="I40" s="23">
        <v>7.8092800000000002</v>
      </c>
      <c r="J40" s="23">
        <v>7.8092800000000002</v>
      </c>
      <c r="K40" s="23">
        <v>8.1997440000000008</v>
      </c>
      <c r="L40" s="24" t="s">
        <v>68</v>
      </c>
    </row>
    <row r="41" spans="1:12" s="4" customFormat="1" ht="18" customHeight="1" x14ac:dyDescent="0.2">
      <c r="A41" s="25" t="s">
        <v>69</v>
      </c>
      <c r="B41" s="23">
        <v>47.6</v>
      </c>
      <c r="C41" s="23">
        <v>13.870419999999999</v>
      </c>
      <c r="D41" s="23">
        <v>12</v>
      </c>
      <c r="E41" s="18">
        <v>0</v>
      </c>
      <c r="F41" s="23">
        <v>0</v>
      </c>
      <c r="G41" s="23">
        <v>0</v>
      </c>
      <c r="H41" s="23">
        <v>0</v>
      </c>
      <c r="I41" s="23">
        <v>0</v>
      </c>
      <c r="J41" s="23">
        <v>14.4948</v>
      </c>
      <c r="K41" s="23">
        <v>14.4948</v>
      </c>
      <c r="L41" s="19" t="s">
        <v>78</v>
      </c>
    </row>
    <row r="42" spans="1:12" s="4" customFormat="1" ht="18" customHeight="1" x14ac:dyDescent="0.2">
      <c r="A42" s="25" t="s">
        <v>70</v>
      </c>
      <c r="B42" s="18">
        <v>0</v>
      </c>
      <c r="C42" s="18">
        <v>0</v>
      </c>
      <c r="D42" s="18">
        <v>0</v>
      </c>
      <c r="E42" s="18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/>
      <c r="L42" s="28" t="s">
        <v>71</v>
      </c>
    </row>
    <row r="43" spans="1:12" s="4" customFormat="1" ht="18" customHeight="1" x14ac:dyDescent="0.2">
      <c r="A43" s="15" t="s">
        <v>72</v>
      </c>
      <c r="B43" s="18">
        <v>0</v>
      </c>
      <c r="C43" s="18">
        <v>0</v>
      </c>
      <c r="D43" s="18">
        <v>0</v>
      </c>
      <c r="E43" s="18">
        <v>0</v>
      </c>
      <c r="F43" s="23">
        <v>0</v>
      </c>
      <c r="G43" s="23">
        <v>0</v>
      </c>
      <c r="H43" s="23">
        <v>8</v>
      </c>
      <c r="I43" s="23">
        <v>8</v>
      </c>
      <c r="J43" s="23">
        <v>8</v>
      </c>
      <c r="K43" s="23">
        <v>8</v>
      </c>
      <c r="L43" s="28" t="s">
        <v>73</v>
      </c>
    </row>
    <row r="44" spans="1:12" s="4" customFormat="1" ht="18" customHeight="1" x14ac:dyDescent="0.2">
      <c r="A44" s="15" t="s">
        <v>74</v>
      </c>
      <c r="B44" s="18">
        <v>0</v>
      </c>
      <c r="C44" s="18">
        <v>0</v>
      </c>
      <c r="D44" s="18">
        <v>0</v>
      </c>
      <c r="E44" s="18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/>
      <c r="L44" s="28" t="s">
        <v>75</v>
      </c>
    </row>
    <row r="45" spans="1:12" s="4" customFormat="1" ht="18" customHeight="1" x14ac:dyDescent="0.2">
      <c r="A45" s="15" t="s">
        <v>76</v>
      </c>
      <c r="B45" s="18">
        <v>0</v>
      </c>
      <c r="C45" s="18">
        <v>0</v>
      </c>
      <c r="D45" s="18">
        <v>0</v>
      </c>
      <c r="E45" s="18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8" t="s">
        <v>77</v>
      </c>
    </row>
    <row r="46" spans="1:12" s="4" customFormat="1" ht="18" customHeight="1" x14ac:dyDescent="0.2">
      <c r="A46" s="29" t="s">
        <v>79</v>
      </c>
      <c r="B46" s="46">
        <f t="shared" ref="B46:K46" si="6">SUM(B47:B48)</f>
        <v>1517.2</v>
      </c>
      <c r="C46" s="46">
        <f t="shared" si="6"/>
        <v>995.66539599999999</v>
      </c>
      <c r="D46" s="46">
        <f t="shared" si="6"/>
        <v>1218.15239903</v>
      </c>
      <c r="E46" s="46">
        <f>SUM(E47:E48)</f>
        <v>1258.555134</v>
      </c>
      <c r="F46" s="47">
        <f t="shared" si="6"/>
        <v>1131.3926084999998</v>
      </c>
      <c r="G46" s="47">
        <f t="shared" si="6"/>
        <v>1209.1183469999999</v>
      </c>
      <c r="H46" s="47">
        <f t="shared" si="6"/>
        <v>1379.4240337572194</v>
      </c>
      <c r="I46" s="47">
        <f t="shared" si="6"/>
        <v>2019.3130270290524</v>
      </c>
      <c r="J46" s="47">
        <f t="shared" si="6"/>
        <v>2353.458395610598</v>
      </c>
      <c r="K46" s="47">
        <f t="shared" si="6"/>
        <v>2467.0561737925923</v>
      </c>
      <c r="L46" s="17" t="s">
        <v>80</v>
      </c>
    </row>
    <row r="47" spans="1:12" s="4" customFormat="1" ht="18" customHeight="1" x14ac:dyDescent="0.2">
      <c r="A47" s="29" t="s">
        <v>81</v>
      </c>
      <c r="B47" s="30">
        <v>1403.2</v>
      </c>
      <c r="C47" s="30">
        <v>898.39401799999996</v>
      </c>
      <c r="D47" s="30">
        <v>1106.32749016</v>
      </c>
      <c r="E47" s="30">
        <v>1152.1696119999999</v>
      </c>
      <c r="F47" s="23">
        <v>1031.2231979999999</v>
      </c>
      <c r="G47" s="23">
        <v>1106.3326259999999</v>
      </c>
      <c r="H47" s="23">
        <v>1271.094173630692</v>
      </c>
      <c r="I47" s="23">
        <v>1909.7609829999999</v>
      </c>
      <c r="J47" s="23">
        <v>2241.0628794426298</v>
      </c>
      <c r="K47" s="23">
        <v>2351.7759103943099</v>
      </c>
      <c r="L47" s="31" t="s">
        <v>82</v>
      </c>
    </row>
    <row r="48" spans="1:12" s="4" customFormat="1" ht="18" customHeight="1" x14ac:dyDescent="0.2">
      <c r="A48" s="29" t="s">
        <v>83</v>
      </c>
      <c r="B48" s="30">
        <v>114</v>
      </c>
      <c r="C48" s="30">
        <v>97.271377999999999</v>
      </c>
      <c r="D48" s="30">
        <v>111.82490887</v>
      </c>
      <c r="E48" s="30">
        <v>106.38552200000001</v>
      </c>
      <c r="F48" s="23">
        <v>100.1694105</v>
      </c>
      <c r="G48" s="23">
        <v>102.785721</v>
      </c>
      <c r="H48" s="23">
        <v>108.32986012652738</v>
      </c>
      <c r="I48" s="23">
        <v>109.55204402905247</v>
      </c>
      <c r="J48" s="23">
        <v>112.39551616796815</v>
      </c>
      <c r="K48" s="23">
        <v>115.28026339828249</v>
      </c>
      <c r="L48" s="31" t="s">
        <v>84</v>
      </c>
    </row>
    <row r="49" spans="1:12" s="4" customFormat="1" ht="18" customHeight="1" x14ac:dyDescent="0.2">
      <c r="A49" s="29" t="s">
        <v>85</v>
      </c>
      <c r="B49" s="30">
        <v>998.55999999999926</v>
      </c>
      <c r="C49" s="30">
        <v>895.01125499999932</v>
      </c>
      <c r="D49" s="30">
        <v>1113.5066890700002</v>
      </c>
      <c r="E49" s="30">
        <v>1512.4366380000008</v>
      </c>
      <c r="F49" s="23">
        <v>1078.6121423</v>
      </c>
      <c r="G49" s="23">
        <v>957.14032719999977</v>
      </c>
      <c r="H49" s="23">
        <v>1793.8189079106828</v>
      </c>
      <c r="I49" s="23">
        <v>3606.2748838184752</v>
      </c>
      <c r="J49" s="23">
        <v>1255.3645010291584</v>
      </c>
      <c r="K49" s="23">
        <v>1035.3388115643234</v>
      </c>
      <c r="L49" s="31" t="s">
        <v>86</v>
      </c>
    </row>
    <row r="50" spans="1:12" s="4" customFormat="1" ht="18" customHeight="1" x14ac:dyDescent="0.25">
      <c r="A50" s="11" t="s">
        <v>9</v>
      </c>
      <c r="B50" s="32">
        <v>42.3</v>
      </c>
      <c r="C50" s="32">
        <v>13.887772999999999</v>
      </c>
      <c r="D50" s="32">
        <v>49.354096069998995</v>
      </c>
      <c r="E50" s="32">
        <v>534.46453699999995</v>
      </c>
      <c r="F50" s="32">
        <v>48.072814719999997</v>
      </c>
      <c r="G50" s="32">
        <v>268.11802599999999</v>
      </c>
      <c r="H50" s="32">
        <v>125.86465956314856</v>
      </c>
      <c r="I50" s="32">
        <v>497.70526622122503</v>
      </c>
      <c r="J50" s="32">
        <v>59.071580017243072</v>
      </c>
      <c r="K50" s="32">
        <v>10.370828458610479</v>
      </c>
      <c r="L50" s="31" t="s">
        <v>87</v>
      </c>
    </row>
    <row r="51" spans="1:12" s="4" customFormat="1" ht="18" customHeight="1" x14ac:dyDescent="0.25">
      <c r="A51" s="33" t="s">
        <v>88</v>
      </c>
      <c r="B51" s="34">
        <v>517</v>
      </c>
      <c r="C51" s="34">
        <v>421.515827</v>
      </c>
      <c r="D51" s="34">
        <v>154.54323556</v>
      </c>
      <c r="E51" s="34">
        <v>732.43525699999998</v>
      </c>
      <c r="F51" s="34">
        <v>366.669873</v>
      </c>
      <c r="G51" s="34">
        <v>117.65522752999999</v>
      </c>
      <c r="H51" s="34">
        <v>414.58383678666667</v>
      </c>
      <c r="I51" s="34">
        <v>1473.0744669999999</v>
      </c>
      <c r="J51" s="34">
        <v>1593.6257439999999</v>
      </c>
      <c r="K51" s="34">
        <v>891.82074299999999</v>
      </c>
      <c r="L51" s="35" t="s">
        <v>89</v>
      </c>
    </row>
    <row r="52" spans="1:12" s="4" customFormat="1" ht="13.5" x14ac:dyDescent="0.25">
      <c r="A52" s="6" t="s">
        <v>90</v>
      </c>
      <c r="B52" s="36"/>
      <c r="C52" s="36"/>
      <c r="D52" s="36"/>
      <c r="E52" s="37"/>
      <c r="F52" s="37"/>
      <c r="G52" s="37"/>
      <c r="H52" s="37"/>
      <c r="I52" s="37"/>
      <c r="J52" s="37"/>
      <c r="K52" s="37"/>
      <c r="L52" s="38" t="s">
        <v>91</v>
      </c>
    </row>
    <row r="53" spans="1:12" s="4" customFormat="1" ht="13.5" x14ac:dyDescent="0.25">
      <c r="A53" s="6" t="s">
        <v>92</v>
      </c>
      <c r="B53" s="36"/>
      <c r="C53" s="36"/>
      <c r="D53" s="36"/>
      <c r="E53" s="37"/>
      <c r="F53" s="37"/>
      <c r="G53" s="37"/>
      <c r="H53" s="37"/>
      <c r="I53" s="37"/>
      <c r="J53" s="37"/>
      <c r="K53" s="37"/>
      <c r="L53" s="38" t="s">
        <v>93</v>
      </c>
    </row>
    <row r="54" spans="1:12" s="4" customFormat="1" ht="13.5" x14ac:dyDescent="0.25">
      <c r="A54" s="6" t="s">
        <v>94</v>
      </c>
      <c r="B54" s="36"/>
      <c r="C54" s="36"/>
      <c r="D54" s="36"/>
      <c r="E54" s="37"/>
      <c r="F54" s="37"/>
      <c r="G54" s="37"/>
      <c r="H54" s="37"/>
      <c r="I54" s="37"/>
      <c r="J54" s="37"/>
      <c r="K54" s="37"/>
      <c r="L54" s="38" t="s">
        <v>95</v>
      </c>
    </row>
    <row r="55" spans="1:12" s="4" customFormat="1" ht="13.5" x14ac:dyDescent="0.25">
      <c r="A55" s="6" t="s">
        <v>106</v>
      </c>
      <c r="B55" s="36"/>
      <c r="C55" s="36"/>
      <c r="D55" s="36"/>
      <c r="E55" s="37"/>
      <c r="F55" s="37"/>
      <c r="G55" s="37"/>
      <c r="H55" s="37"/>
      <c r="I55" s="37"/>
      <c r="J55" s="37"/>
      <c r="K55" s="37"/>
      <c r="L55" s="38" t="s">
        <v>99</v>
      </c>
    </row>
    <row r="56" spans="1:12" s="3" customFormat="1" ht="13.5" x14ac:dyDescent="0.25">
      <c r="A56" s="6" t="s">
        <v>96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8" t="s">
        <v>97</v>
      </c>
    </row>
    <row r="57" spans="1:12" s="4" customFormat="1" ht="12" x14ac:dyDescent="0.25">
      <c r="B57" s="39"/>
      <c r="C57" s="39"/>
      <c r="D57" s="39"/>
      <c r="E57" s="39"/>
      <c r="F57" s="39"/>
      <c r="G57" s="39"/>
      <c r="H57" s="39"/>
      <c r="I57" s="39"/>
      <c r="J57" s="39"/>
      <c r="K57" s="39"/>
    </row>
    <row r="58" spans="1:12" s="4" customFormat="1" ht="17.25" x14ac:dyDescent="0.25">
      <c r="L58" s="43"/>
    </row>
    <row r="59" spans="1:12" s="4" customFormat="1" ht="12" x14ac:dyDescent="0.25"/>
    <row r="60" spans="1:12" s="4" customFormat="1" ht="1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4">
    <mergeCell ref="A1:L1"/>
    <mergeCell ref="A2:L2"/>
    <mergeCell ref="A3:L3"/>
    <mergeCell ref="A4:L4"/>
  </mergeCells>
  <pageMargins left="0.17" right="0.16" top="0.41" bottom="0.36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13.3</vt:lpstr>
      <vt:lpstr>'13.3'!Print_Titles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2016-01-18T08:18:19Z</dcterms:modified>
</cp:coreProperties>
</file>