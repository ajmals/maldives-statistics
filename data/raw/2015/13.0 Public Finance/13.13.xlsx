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13" sheetId="20" r:id="rId1"/>
  </sheets>
  <definedNames>
    <definedName name="_xlnm.Print_Area" localSheetId="0">'13.13'!$A$1:$N$57</definedName>
    <definedName name="_xlnm.Print_Titles" localSheetId="0">'13.13'!$4:$6</definedName>
  </definedNames>
  <calcPr calcId="144525"/>
</workbook>
</file>

<file path=xl/calcChain.xml><?xml version="1.0" encoding="utf-8"?>
<calcChain xmlns="http://schemas.openxmlformats.org/spreadsheetml/2006/main">
  <c r="L50" i="20" l="1"/>
  <c r="L49" i="20"/>
  <c r="L48" i="20"/>
  <c r="L47" i="20"/>
  <c r="L46" i="20"/>
  <c r="L45" i="20"/>
  <c r="L44" i="20"/>
  <c r="L41" i="20"/>
  <c r="L40" i="20"/>
  <c r="L39" i="20"/>
  <c r="L38" i="20"/>
  <c r="L37" i="20"/>
  <c r="L36" i="20"/>
  <c r="L35" i="20"/>
  <c r="L32" i="20"/>
  <c r="L29" i="20"/>
  <c r="L27" i="20"/>
  <c r="L26" i="20"/>
  <c r="L25" i="20"/>
  <c r="L24" i="20"/>
  <c r="L23" i="20"/>
  <c r="L21" i="20"/>
  <c r="L20" i="20"/>
  <c r="L19" i="20"/>
  <c r="L17" i="20"/>
  <c r="L16" i="20"/>
  <c r="L15" i="20"/>
  <c r="L14" i="20"/>
  <c r="L13" i="20"/>
  <c r="L12" i="20"/>
  <c r="L11" i="20"/>
  <c r="L10" i="20"/>
  <c r="L9" i="20"/>
  <c r="L8" i="20"/>
  <c r="E7" i="20"/>
  <c r="J51" i="20" s="1"/>
  <c r="D7" i="20"/>
  <c r="I51" i="20" s="1"/>
  <c r="C7" i="20"/>
  <c r="H51" i="20" s="1"/>
  <c r="B7" i="20"/>
  <c r="G51" i="20" s="1"/>
  <c r="L7" i="20" l="1"/>
  <c r="G8" i="20"/>
  <c r="H8" i="20"/>
  <c r="I8" i="20"/>
  <c r="J8" i="20"/>
  <c r="G9" i="20"/>
  <c r="H9" i="20"/>
  <c r="I9" i="20"/>
  <c r="J9" i="20"/>
  <c r="G10" i="20"/>
  <c r="H10" i="20"/>
  <c r="I10" i="20"/>
  <c r="J10" i="20"/>
  <c r="G11" i="20"/>
  <c r="H11" i="20"/>
  <c r="I11" i="20"/>
  <c r="J11" i="20"/>
  <c r="G12" i="20"/>
  <c r="H12" i="20"/>
  <c r="I12" i="20"/>
  <c r="J12" i="20"/>
  <c r="G13" i="20"/>
  <c r="H13" i="20"/>
  <c r="I13" i="20"/>
  <c r="J13" i="20"/>
  <c r="G14" i="20"/>
  <c r="H14" i="20"/>
  <c r="I14" i="20"/>
  <c r="J14" i="20"/>
  <c r="G15" i="20"/>
  <c r="H15" i="20"/>
  <c r="I15" i="20"/>
  <c r="J15" i="20"/>
  <c r="G16" i="20"/>
  <c r="H16" i="20"/>
  <c r="I16" i="20"/>
  <c r="J16" i="20"/>
  <c r="G17" i="20"/>
  <c r="H17" i="20"/>
  <c r="I17" i="20"/>
  <c r="J17" i="20"/>
  <c r="G18" i="20"/>
  <c r="H18" i="20"/>
  <c r="I18" i="20"/>
  <c r="J18" i="20"/>
  <c r="G19" i="20"/>
  <c r="H19" i="20"/>
  <c r="I19" i="20"/>
  <c r="J19" i="20"/>
  <c r="G20" i="20"/>
  <c r="H20" i="20"/>
  <c r="I20" i="20"/>
  <c r="J20" i="20"/>
  <c r="G21" i="20"/>
  <c r="H21" i="20"/>
  <c r="I21" i="20"/>
  <c r="J21" i="20"/>
  <c r="G22" i="20"/>
  <c r="H22" i="20"/>
  <c r="I22" i="20"/>
  <c r="J22" i="20"/>
  <c r="G23" i="20"/>
  <c r="H23" i="20"/>
  <c r="I23" i="20"/>
  <c r="J23" i="20"/>
  <c r="G24" i="20"/>
  <c r="H24" i="20"/>
  <c r="I24" i="20"/>
  <c r="J24" i="20"/>
  <c r="G25" i="20"/>
  <c r="H25" i="20"/>
  <c r="I25" i="20"/>
  <c r="J25" i="20"/>
  <c r="G26" i="20"/>
  <c r="H26" i="20"/>
  <c r="I26" i="20"/>
  <c r="J26" i="20"/>
  <c r="G27" i="20"/>
  <c r="H27" i="20"/>
  <c r="I27" i="20"/>
  <c r="J27" i="20"/>
  <c r="G28" i="20"/>
  <c r="H28" i="20"/>
  <c r="I28" i="20"/>
  <c r="J28" i="20"/>
  <c r="G29" i="20"/>
  <c r="H29" i="20"/>
  <c r="I29" i="20"/>
  <c r="J29" i="20"/>
  <c r="G30" i="20"/>
  <c r="H30" i="20"/>
  <c r="I30" i="20"/>
  <c r="J30" i="20"/>
  <c r="G31" i="20"/>
  <c r="H31" i="20"/>
  <c r="I31" i="20"/>
  <c r="J31" i="20"/>
  <c r="G32" i="20"/>
  <c r="H32" i="20"/>
  <c r="I32" i="20"/>
  <c r="J32" i="20"/>
  <c r="G33" i="20"/>
  <c r="H33" i="20"/>
  <c r="I33" i="20"/>
  <c r="J33" i="20"/>
  <c r="G34" i="20"/>
  <c r="H34" i="20"/>
  <c r="I34" i="20"/>
  <c r="J34" i="20"/>
  <c r="G35" i="20"/>
  <c r="H35" i="20"/>
  <c r="I35" i="20"/>
  <c r="J35" i="20"/>
  <c r="G36" i="20"/>
  <c r="H36" i="20"/>
  <c r="I36" i="20"/>
  <c r="J36" i="20"/>
  <c r="G37" i="20"/>
  <c r="H37" i="20"/>
  <c r="I37" i="20"/>
  <c r="J37" i="20"/>
  <c r="G38" i="20"/>
  <c r="H38" i="20"/>
  <c r="I38" i="20"/>
  <c r="J38" i="20"/>
  <c r="G39" i="20"/>
  <c r="H39" i="20"/>
  <c r="I39" i="20"/>
  <c r="J39" i="20"/>
  <c r="G40" i="20"/>
  <c r="H40" i="20"/>
  <c r="I40" i="20"/>
  <c r="J40" i="20"/>
  <c r="G41" i="20"/>
  <c r="H41" i="20"/>
  <c r="I41" i="20"/>
  <c r="J41" i="20"/>
  <c r="G42" i="20"/>
  <c r="H42" i="20"/>
  <c r="I42" i="20"/>
  <c r="J42" i="20"/>
  <c r="G43" i="20"/>
  <c r="H43" i="20"/>
  <c r="I43" i="20"/>
  <c r="J43" i="20"/>
  <c r="G44" i="20"/>
  <c r="H44" i="20"/>
  <c r="I44" i="20"/>
  <c r="J44" i="20"/>
  <c r="G45" i="20"/>
  <c r="H45" i="20"/>
  <c r="I45" i="20"/>
  <c r="J45" i="20"/>
  <c r="G46" i="20"/>
  <c r="H46" i="20"/>
  <c r="I46" i="20"/>
  <c r="J46" i="20"/>
  <c r="G47" i="20"/>
  <c r="H47" i="20"/>
  <c r="I47" i="20"/>
  <c r="J47" i="20"/>
  <c r="G48" i="20"/>
  <c r="H48" i="20"/>
  <c r="I48" i="20"/>
  <c r="J48" i="20"/>
  <c r="G49" i="20"/>
  <c r="H49" i="20"/>
  <c r="I49" i="20"/>
  <c r="J49" i="20"/>
  <c r="G50" i="20"/>
  <c r="H50" i="20"/>
  <c r="I50" i="20"/>
  <c r="J50" i="20"/>
  <c r="J7" i="20" l="1"/>
  <c r="I7" i="20"/>
  <c r="H7" i="20"/>
  <c r="G7" i="20"/>
</calcChain>
</file>

<file path=xl/sharedStrings.xml><?xml version="1.0" encoding="utf-8"?>
<sst xmlns="http://schemas.openxmlformats.org/spreadsheetml/2006/main" count="105" uniqueCount="104">
  <si>
    <t xml:space="preserve">މުދަލާއި ޚިދުމަތުން ނެގޭ ޓެކްސް     </t>
  </si>
  <si>
    <t>ބިޒްނަސް ޕްރޮފިޓް ޓެކްސް</t>
  </si>
  <si>
    <t>Description</t>
  </si>
  <si>
    <t>Revenue collected (MVR)</t>
  </si>
  <si>
    <t>ތަފްސީލު</t>
  </si>
  <si>
    <t>ލިބުނު އާމްދަނީ (ރުފިޔާއިން)</t>
  </si>
  <si>
    <t>2013 އާއި އަޅާބަލާއިރު 2014 ގައި އިތުރުވި މިންވަރު (%)</t>
  </si>
  <si>
    <t>2013*</t>
  </si>
  <si>
    <t>އެއަރޕޯޓް ސަރވިސް ޗާޖް</t>
  </si>
  <si>
    <t>ޖޫރިމަނާ</t>
  </si>
  <si>
    <t>ބިން ވިއްކުމަށް ނެގޭ ޓެކްސް</t>
  </si>
  <si>
    <t>ކުލީގެ މުއްދަތު އިތުރުކުރުން</t>
  </si>
  <si>
    <t>ރެވެނިއު ސްޓޭމްޕް</t>
  </si>
  <si>
    <t>Total</t>
  </si>
  <si>
    <t>ޖުމްލަ</t>
  </si>
  <si>
    <t>* 2013 figures are revised</t>
  </si>
  <si>
    <t>Source: Maldives Inland Revenue Authority</t>
  </si>
  <si>
    <t>މަޢުލޫމާތު ދެއްވި ފަރާތް: މޯލްޑިވްސް އިންލަންޑް ރެވެނިއު އޮތޯރިޓީ</t>
  </si>
  <si>
    <t>ތާވަލު 13.13: ޢާމްދަނީގެ ގޮތުގައި ލިބުނު ފައިސާގެ ތަފްޞީލު،  2011 - 2014</t>
  </si>
  <si>
    <t>Table 13.13: REVENUE COLLECTED BY DETAILED CATEGORIES,  2011 - 2014</t>
  </si>
  <si>
    <t>Percentage  shares</t>
  </si>
  <si>
    <t>Percentage change  over 2013</t>
  </si>
  <si>
    <t xml:space="preserve">ބެހިފައިވާ ގޮތް ސައްތައިން </t>
  </si>
  <si>
    <t>Airport Service Charge</t>
  </si>
  <si>
    <t>Bank Profit Tax</t>
  </si>
  <si>
    <t>ބެންކް ފައިދާގެ ޓެކްސް</t>
  </si>
  <si>
    <t>Business Profit Tax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</si>
  <si>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</si>
  <si>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</si>
  <si>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</si>
  <si>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</si>
  <si>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</si>
  <si>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</si>
  <si>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</si>
  <si>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</si>
  <si>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</si>
  <si>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</si>
  <si>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</si>
  <si>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</si>
  <si>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</si>
  <si>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</si>
  <si>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</si>
  <si>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</si>
  <si>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</si>
  <si>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</si>
  <si>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</si>
  <si>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</si>
  <si>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</si>
  <si>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</si>
  <si>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</si>
  <si>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</si>
  <si>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</si>
  <si>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</si>
  <si>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</si>
  <si>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</si>
  <si>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</si>
  <si>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</si>
  <si>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</si>
  <si>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</si>
  <si>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</si>
  <si>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</si>
  <si>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Other Fees and Charges</t>
  </si>
  <si>
    <t>އެހެނިހެން ފީތައް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</si>
  <si>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</si>
  <si>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</si>
  <si>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</si>
  <si>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</si>
  <si>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</si>
  <si>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</si>
  <si>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Reimbursement from Previous Years' budget</t>
  </si>
  <si>
    <t>ރީއިމްބަރސްމަންޓް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</si>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</sst>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#,##0_);\-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Faruma"/>
    </font>
    <font>
      <b/>
      <sz val="10.5"/>
      <color theme="1"/>
      <name val="Calibri"/>
      <family val="2"/>
      <scheme val="minor"/>
    </font>
    <font>
      <b/>
      <sz val="10.5"/>
      <color theme="1"/>
      <name val="Faruma"/>
    </font>
    <font>
      <sz val="10.5"/>
      <color theme="1"/>
      <name val="Calibri"/>
      <family val="2"/>
      <scheme val="minor"/>
    </font>
    <font>
      <sz val="10.5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5">
    <xf numFmtId="0" fontId="0" fillId="0" borderId="0" xfId="0"/>
    <xf numFmtId="0" fontId="1" fillId="2" borderId="0" xfId="0" applyFont="1" applyFill="1" applyAlignment="1">
      <alignment vertical="top" wrapText="1"/>
    </xf>
    <xf numFmtId="165" fontId="6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165" fontId="12" fillId="2" borderId="0" xfId="0" applyNumberFormat="1" applyFont="1" applyFill="1" applyAlignment="1">
      <alignment horizontal="right" vertical="center" wrapText="1"/>
    </xf>
    <xf numFmtId="1" fontId="12" fillId="2" borderId="3" xfId="0" applyNumberFormat="1" applyFont="1" applyFill="1" applyBorder="1" applyAlignment="1">
      <alignment horizontal="right" vertical="center" wrapText="1"/>
    </xf>
    <xf numFmtId="1" fontId="12" fillId="2" borderId="0" xfId="0" applyNumberFormat="1" applyFont="1" applyFill="1" applyBorder="1" applyAlignment="1">
      <alignment horizontal="right" vertical="center" wrapText="1"/>
    </xf>
    <xf numFmtId="1" fontId="12" fillId="2" borderId="8" xfId="0" applyNumberFormat="1" applyFont="1" applyFill="1" applyBorder="1" applyAlignment="1">
      <alignment horizontal="right" vertical="center" wrapText="1"/>
    </xf>
    <xf numFmtId="3" fontId="12" fillId="2" borderId="0" xfId="1" applyNumberFormat="1" applyFont="1" applyFill="1" applyAlignment="1">
      <alignment horizontal="right" vertical="center" wrapText="1" indent="7"/>
    </xf>
    <xf numFmtId="0" fontId="1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left" vertical="center" wrapText="1"/>
    </xf>
    <xf numFmtId="165" fontId="14" fillId="2" borderId="0" xfId="1" applyNumberFormat="1" applyFont="1" applyFill="1" applyBorder="1" applyAlignment="1">
      <alignment horizontal="right" vertical="center" wrapText="1"/>
    </xf>
    <xf numFmtId="1" fontId="14" fillId="2" borderId="3" xfId="0" applyNumberFormat="1" applyFont="1" applyFill="1" applyBorder="1" applyAlignment="1">
      <alignment horizontal="right" vertical="center" wrapText="1"/>
    </xf>
    <xf numFmtId="1" fontId="14" fillId="2" borderId="0" xfId="0" applyNumberFormat="1" applyFont="1" applyFill="1" applyBorder="1" applyAlignment="1">
      <alignment horizontal="right" vertical="center" wrapText="1"/>
    </xf>
    <xf numFmtId="1" fontId="14" fillId="2" borderId="8" xfId="0" applyNumberFormat="1" applyFont="1" applyFill="1" applyBorder="1" applyAlignment="1">
      <alignment horizontal="right" vertical="center" wrapText="1"/>
    </xf>
    <xf numFmtId="3" fontId="14" fillId="2" borderId="0" xfId="1" applyNumberFormat="1" applyFont="1" applyFill="1" applyAlignment="1">
      <alignment horizontal="right" vertical="center" wrapText="1" indent="7"/>
    </xf>
    <xf numFmtId="0" fontId="15" fillId="2" borderId="0" xfId="0" applyFont="1" applyFill="1" applyAlignment="1">
      <alignment vertical="top" wrapText="1"/>
    </xf>
    <xf numFmtId="0" fontId="15" fillId="2" borderId="0" xfId="0" applyFont="1" applyFill="1" applyAlignment="1">
      <alignment vertical="top"/>
    </xf>
    <xf numFmtId="164" fontId="15" fillId="2" borderId="0" xfId="2" applyNumberFormat="1" applyFont="1" applyFill="1" applyAlignment="1">
      <alignment horizontal="right" vertical="center"/>
    </xf>
    <xf numFmtId="0" fontId="14" fillId="2" borderId="0" xfId="0" applyFont="1" applyFill="1" applyBorder="1" applyAlignment="1">
      <alignment horizontal="left" vertical="center" wrapText="1"/>
    </xf>
    <xf numFmtId="3" fontId="14" fillId="2" borderId="0" xfId="1" applyNumberFormat="1" applyFont="1" applyFill="1" applyBorder="1" applyAlignment="1">
      <alignment horizontal="right" vertical="center" wrapText="1" indent="7"/>
    </xf>
    <xf numFmtId="0" fontId="14" fillId="2" borderId="1" xfId="0" applyFont="1" applyFill="1" applyBorder="1" applyAlignment="1">
      <alignment horizontal="left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1" fontId="14" fillId="2" borderId="4" xfId="0" applyNumberFormat="1" applyFont="1" applyFill="1" applyBorder="1" applyAlignment="1">
      <alignment horizontal="right" vertical="center" wrapText="1"/>
    </xf>
    <xf numFmtId="1" fontId="14" fillId="2" borderId="1" xfId="0" applyNumberFormat="1" applyFont="1" applyFill="1" applyBorder="1" applyAlignment="1">
      <alignment horizontal="right" vertical="center" wrapText="1"/>
    </xf>
    <xf numFmtId="1" fontId="14" fillId="2" borderId="9" xfId="0" applyNumberFormat="1" applyFont="1" applyFill="1" applyBorder="1" applyAlignment="1">
      <alignment horizontal="right" vertical="center" wrapText="1"/>
    </xf>
    <xf numFmtId="3" fontId="14" fillId="2" borderId="4" xfId="1" applyNumberFormat="1" applyFont="1" applyFill="1" applyBorder="1" applyAlignment="1">
      <alignment horizontal="right" vertical="center" wrapText="1" indent="7"/>
    </xf>
    <xf numFmtId="0" fontId="15" fillId="2" borderId="1" xfId="0" applyFont="1" applyFill="1" applyBorder="1" applyAlignment="1">
      <alignment vertical="top" wrapText="1"/>
    </xf>
    <xf numFmtId="0" fontId="9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166" fontId="9" fillId="2" borderId="0" xfId="0" applyNumberFormat="1" applyFont="1" applyFill="1" applyBorder="1" applyAlignment="1">
      <alignment horizontal="left" vertical="center"/>
    </xf>
    <xf numFmtId="165" fontId="1" fillId="2" borderId="0" xfId="1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</cellXfs>
  <cellStyles count="3">
    <cellStyle name="Comma" xfId="1" builtinId="3"/>
    <cellStyle name="Normal" xfId="0" builtinId="0"/>
    <cellStyle name="Normal_13 Public Finance_done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65"/>
  <sheetViews>
    <sheetView tabSelected="1" view="pageBreakPreview" zoomScale="60" zoomScaleNormal="100" workbookViewId="0">
      <selection activeCell="X36" sqref="X36"/>
    </sheetView>
  </sheetViews>
  <sheetFormatPr defaultColWidth="8" defaultRowHeight="14.25" customHeight="1" x14ac:dyDescent="0.25"/>
  <cols>
    <col min="1" max="1" width="35" style="1" customWidth="1"/>
    <col min="2" max="4" width="14" style="1" customWidth="1"/>
    <col min="5" max="5" width="14.7109375" style="1" bestFit="1" customWidth="1"/>
    <col min="6" max="6" width="0.7109375" style="1" customWidth="1"/>
    <col min="7" max="9" width="8.7109375" style="1" customWidth="1"/>
    <col min="10" max="10" width="10.140625" style="1" customWidth="1"/>
    <col min="11" max="11" width="1.28515625" style="1" customWidth="1"/>
    <col min="12" max="12" width="21" style="1" customWidth="1"/>
    <col min="13" max="13" width="32.5703125" style="6" customWidth="1"/>
    <col min="14" max="14" width="0.85546875" style="1" customWidth="1"/>
    <col min="15" max="16384" width="8" style="1"/>
  </cols>
  <sheetData>
    <row r="1" spans="1:13" s="3" customFormat="1" ht="21" x14ac:dyDescent="0.25">
      <c r="A1" s="50" t="s">
        <v>18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5" x14ac:dyDescent="0.25">
      <c r="A2" s="51" t="s">
        <v>19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15.7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3" ht="30" x14ac:dyDescent="0.25">
      <c r="A4" s="52" t="s">
        <v>2</v>
      </c>
      <c r="B4" s="55" t="s">
        <v>3</v>
      </c>
      <c r="C4" s="55"/>
      <c r="D4" s="55"/>
      <c r="E4" s="55"/>
      <c r="F4" s="7"/>
      <c r="G4" s="56" t="s">
        <v>20</v>
      </c>
      <c r="H4" s="55"/>
      <c r="I4" s="55"/>
      <c r="J4" s="55"/>
      <c r="K4" s="8"/>
      <c r="L4" s="9" t="s">
        <v>21</v>
      </c>
      <c r="M4" s="57" t="s">
        <v>4</v>
      </c>
    </row>
    <row r="5" spans="1:13" ht="18.75" x14ac:dyDescent="0.25">
      <c r="A5" s="53"/>
      <c r="B5" s="60" t="s">
        <v>5</v>
      </c>
      <c r="C5" s="60"/>
      <c r="D5" s="60"/>
      <c r="E5" s="60"/>
      <c r="F5" s="10"/>
      <c r="G5" s="61" t="s">
        <v>22</v>
      </c>
      <c r="H5" s="62"/>
      <c r="I5" s="62"/>
      <c r="J5" s="62"/>
      <c r="K5" s="11"/>
      <c r="L5" s="63" t="s">
        <v>6</v>
      </c>
      <c r="M5" s="58"/>
    </row>
    <row r="6" spans="1:13" ht="15" x14ac:dyDescent="0.25">
      <c r="A6" s="54"/>
      <c r="B6" s="12">
        <v>2011</v>
      </c>
      <c r="C6" s="12">
        <v>2012</v>
      </c>
      <c r="D6" s="12" t="s">
        <v>7</v>
      </c>
      <c r="E6" s="12">
        <v>2014</v>
      </c>
      <c r="F6" s="12"/>
      <c r="G6" s="13">
        <v>2011</v>
      </c>
      <c r="H6" s="12">
        <v>2012</v>
      </c>
      <c r="I6" s="14" t="s">
        <v>7</v>
      </c>
      <c r="J6" s="14">
        <v>2014</v>
      </c>
      <c r="K6" s="15"/>
      <c r="L6" s="64"/>
      <c r="M6" s="59"/>
    </row>
    <row r="7" spans="1:13" s="23" customFormat="1" ht="19.5" x14ac:dyDescent="0.25">
      <c r="A7" s="16" t="s">
        <v>13</v>
      </c>
      <c r="B7" s="17">
        <f>SUM(B8:B51)</f>
        <v>4560205196.3689995</v>
      </c>
      <c r="C7" s="17">
        <f>SUM(C8:C51)</f>
        <v>7152172979.8694992</v>
      </c>
      <c r="D7" s="17">
        <f>SUM(D8:D51)</f>
        <v>8982562927.9292011</v>
      </c>
      <c r="E7" s="17">
        <f>SUM(E8:E51)</f>
        <v>11477062302.632301</v>
      </c>
      <c r="F7" s="17"/>
      <c r="G7" s="18">
        <f>SUM(G8:G51)</f>
        <v>100.00000000000003</v>
      </c>
      <c r="H7" s="19">
        <f>SUM(H8:H51)</f>
        <v>100.00000000000004</v>
      </c>
      <c r="I7" s="19">
        <f>SUM(I8:I51)</f>
        <v>100.00000000000001</v>
      </c>
      <c r="J7" s="19">
        <f>SUM(J8:J51)</f>
        <v>100</v>
      </c>
      <c r="K7" s="20"/>
      <c r="L7" s="21">
        <f t="shared" ref="L7:L17" si="0">(E7/D7-1)*100</f>
        <v>27.770463671866196</v>
      </c>
      <c r="M7" s="22" t="s">
        <v>14</v>
      </c>
    </row>
    <row r="8" spans="1:13" ht="19.5" x14ac:dyDescent="0.25">
      <c r="A8" s="24" t="s">
        <v>23</v>
      </c>
      <c r="B8" s="25">
        <v>337494704.2076</v>
      </c>
      <c r="C8" s="25">
        <v>299914418.10500002</v>
      </c>
      <c r="D8" s="25">
        <v>350246279.87499994</v>
      </c>
      <c r="E8" s="25">
        <v>431615644.42190003</v>
      </c>
      <c r="F8" s="25"/>
      <c r="G8" s="26">
        <f t="shared" ref="G8:J51" si="1">B8/B$7*100</f>
        <v>7.400866620570616</v>
      </c>
      <c r="H8" s="27">
        <f t="shared" si="1"/>
        <v>4.1933328367356175</v>
      </c>
      <c r="I8" s="27">
        <f>D8/D$7*100</f>
        <v>3.8991798074243396</v>
      </c>
      <c r="J8" s="27">
        <f>E8/E$7*100</f>
        <v>3.7606805037810727</v>
      </c>
      <c r="K8" s="28"/>
      <c r="L8" s="29">
        <f t="shared" si="0"/>
        <v>23.232042486201475</v>
      </c>
      <c r="M8" s="30" t="s">
        <v>8</v>
      </c>
    </row>
    <row r="9" spans="1:13" ht="19.5" x14ac:dyDescent="0.25">
      <c r="A9" s="24" t="s">
        <v>24</v>
      </c>
      <c r="B9" s="25">
        <v>229856988.79999998</v>
      </c>
      <c r="C9" s="25">
        <v>313152517.39999998</v>
      </c>
      <c r="D9" s="25">
        <v>355036694.05000001</v>
      </c>
      <c r="E9" s="25">
        <v>482197189.75</v>
      </c>
      <c r="F9" s="25"/>
      <c r="G9" s="26">
        <f t="shared" si="1"/>
        <v>5.0404966202621857</v>
      </c>
      <c r="H9" s="27">
        <f t="shared" si="1"/>
        <v>4.3784248267120889</v>
      </c>
      <c r="I9" s="27">
        <f t="shared" si="1"/>
        <v>3.9525099562185702</v>
      </c>
      <c r="J9" s="27">
        <f t="shared" si="1"/>
        <v>4.2013990778755863</v>
      </c>
      <c r="K9" s="28"/>
      <c r="L9" s="29">
        <f t="shared" si="0"/>
        <v>35.816155859679078</v>
      </c>
      <c r="M9" s="30" t="s">
        <v>25</v>
      </c>
    </row>
    <row r="10" spans="1:13" ht="19.5" x14ac:dyDescent="0.25">
      <c r="A10" s="24" t="s">
        <v>26</v>
      </c>
      <c r="B10" s="25">
        <v>35069424.219999999</v>
      </c>
      <c r="C10" s="25">
        <v>1401117904.5887001</v>
      </c>
      <c r="D10" s="25">
        <v>1881814670.0172997</v>
      </c>
      <c r="E10" s="25">
        <v>2468527527.6778002</v>
      </c>
      <c r="F10" s="25"/>
      <c r="G10" s="26">
        <f t="shared" si="1"/>
        <v>0.76903171479922761</v>
      </c>
      <c r="H10" s="27">
        <f t="shared" si="1"/>
        <v>19.590100918032679</v>
      </c>
      <c r="I10" s="27">
        <f>D10/D$7*100</f>
        <v>20.949640822066858</v>
      </c>
      <c r="J10" s="27">
        <f>E10/E$7*100</f>
        <v>21.508356952210981</v>
      </c>
      <c r="K10" s="28"/>
      <c r="L10" s="29">
        <f t="shared" si="0"/>
        <v>31.178036126963924</v>
      </c>
      <c r="M10" s="30" t="s">
        <v>1</v>
      </c>
    </row>
    <row r="11" spans="1:13" ht="19.5" x14ac:dyDescent="0.25">
      <c r="A11" s="24" t="s">
        <v>27</v>
      </c>
      <c r="B11" s="25">
        <v>66177301.209999993</v>
      </c>
      <c r="C11" s="25">
        <v>64518018.390000001</v>
      </c>
      <c r="D11" s="25">
        <v>68042407.709999993</v>
      </c>
      <c r="E11" s="25">
        <v>71886346.530000001</v>
      </c>
      <c r="F11" s="25"/>
      <c r="G11" s="26">
        <f t="shared" si="1"/>
        <v>1.4511913030293626</v>
      </c>
      <c r="H11" s="27">
        <f t="shared" si="1"/>
        <v>0.90207575476141821</v>
      </c>
      <c r="I11" s="27">
        <f t="shared" si="1"/>
        <v>0.75749436164190809</v>
      </c>
      <c r="J11" s="27">
        <f t="shared" si="1"/>
        <v>0.6263479680990548</v>
      </c>
      <c r="K11" s="28"/>
      <c r="L11" s="29">
        <f t="shared" si="0"/>
        <v>5.6493280431566539</v>
      </c>
      <c r="M11" s="30" t="s">
        <v>28</v>
      </c>
    </row>
    <row r="12" spans="1:13" ht="19.5" x14ac:dyDescent="0.25">
      <c r="A12" s="24" t="s">
        <v>29</v>
      </c>
      <c r="B12" s="25">
        <v>9126000</v>
      </c>
      <c r="C12" s="25">
        <v>10083100</v>
      </c>
      <c r="D12" s="25">
        <v>10077300</v>
      </c>
      <c r="E12" s="25">
        <v>9396990</v>
      </c>
      <c r="F12" s="25"/>
      <c r="G12" s="26">
        <f t="shared" si="1"/>
        <v>0.20012257359090885</v>
      </c>
      <c r="H12" s="27">
        <f t="shared" si="1"/>
        <v>0.14097953207199945</v>
      </c>
      <c r="I12" s="27">
        <f t="shared" si="1"/>
        <v>0.11218735767123843</v>
      </c>
      <c r="J12" s="27">
        <f t="shared" si="1"/>
        <v>8.1876265478185731E-2</v>
      </c>
      <c r="K12" s="28"/>
      <c r="L12" s="29">
        <f t="shared" si="0"/>
        <v>-6.750915423774229</v>
      </c>
      <c r="M12" s="30" t="s">
        <v>30</v>
      </c>
    </row>
    <row r="13" spans="1:13" ht="19.5" x14ac:dyDescent="0.25">
      <c r="A13" s="24" t="s">
        <v>31</v>
      </c>
      <c r="B13" s="25">
        <v>2800011</v>
      </c>
      <c r="C13" s="25">
        <v>2774867</v>
      </c>
      <c r="D13" s="25">
        <v>2213224</v>
      </c>
      <c r="E13" s="25">
        <v>2590031</v>
      </c>
      <c r="F13" s="25"/>
      <c r="G13" s="26">
        <f t="shared" si="1"/>
        <v>6.1400987004476694E-2</v>
      </c>
      <c r="H13" s="27">
        <f t="shared" si="1"/>
        <v>3.8797537584872997E-2</v>
      </c>
      <c r="I13" s="27">
        <f t="shared" si="1"/>
        <v>2.4639114891346792E-2</v>
      </c>
      <c r="J13" s="27">
        <f t="shared" si="1"/>
        <v>2.2567020477060301E-2</v>
      </c>
      <c r="K13" s="28"/>
      <c r="L13" s="29">
        <f t="shared" si="0"/>
        <v>17.025253657108365</v>
      </c>
      <c r="M13" s="30" t="s">
        <v>32</v>
      </c>
    </row>
    <row r="14" spans="1:13" ht="19.5" x14ac:dyDescent="0.25">
      <c r="A14" s="24" t="s">
        <v>33</v>
      </c>
      <c r="B14" s="25">
        <v>10200</v>
      </c>
      <c r="C14" s="25">
        <v>9800</v>
      </c>
      <c r="D14" s="25">
        <v>8200</v>
      </c>
      <c r="E14" s="25">
        <v>10800</v>
      </c>
      <c r="F14" s="25"/>
      <c r="G14" s="26">
        <f t="shared" si="1"/>
        <v>2.2367414536787969E-4</v>
      </c>
      <c r="H14" s="27">
        <f t="shared" si="1"/>
        <v>1.370212944734848E-4</v>
      </c>
      <c r="I14" s="27">
        <f t="shared" si="1"/>
        <v>9.1287977226455012E-5</v>
      </c>
      <c r="J14" s="27">
        <f t="shared" si="1"/>
        <v>9.4100735146510314E-5</v>
      </c>
      <c r="K14" s="28"/>
      <c r="L14" s="29">
        <f t="shared" si="0"/>
        <v>31.707317073170739</v>
      </c>
      <c r="M14" s="30" t="s">
        <v>34</v>
      </c>
    </row>
    <row r="15" spans="1:13" ht="19.5" x14ac:dyDescent="0.25">
      <c r="A15" s="24" t="s">
        <v>35</v>
      </c>
      <c r="B15" s="25">
        <v>6600</v>
      </c>
      <c r="C15" s="25">
        <v>3800</v>
      </c>
      <c r="D15" s="25">
        <v>1600</v>
      </c>
      <c r="E15" s="25">
        <v>200</v>
      </c>
      <c r="F15" s="25"/>
      <c r="G15" s="26">
        <f t="shared" si="1"/>
        <v>1.4473032935568688E-4</v>
      </c>
      <c r="H15" s="27">
        <f t="shared" si="1"/>
        <v>5.3130706020330843E-5</v>
      </c>
      <c r="I15" s="27">
        <f t="shared" si="1"/>
        <v>1.7812288239308294E-5</v>
      </c>
      <c r="J15" s="27">
        <f t="shared" si="1"/>
        <v>1.7426062064168576E-6</v>
      </c>
      <c r="K15" s="28"/>
      <c r="L15" s="29">
        <f t="shared" si="0"/>
        <v>-87.5</v>
      </c>
      <c r="M15" s="30" t="s">
        <v>36</v>
      </c>
    </row>
    <row r="16" spans="1:13" ht="19.5" x14ac:dyDescent="0.25">
      <c r="A16" s="24" t="s">
        <v>37</v>
      </c>
      <c r="B16" s="25">
        <v>26368958.637699999</v>
      </c>
      <c r="C16" s="25">
        <v>38326919.319099993</v>
      </c>
      <c r="D16" s="25">
        <v>65871274.453900002</v>
      </c>
      <c r="E16" s="25">
        <v>79335842.493799999</v>
      </c>
      <c r="F16" s="25"/>
      <c r="G16" s="26">
        <f t="shared" si="1"/>
        <v>0.57824061642436442</v>
      </c>
      <c r="H16" s="27">
        <f t="shared" si="1"/>
        <v>0.53587796921264219</v>
      </c>
      <c r="I16" s="27">
        <f t="shared" si="1"/>
        <v>0.73332382953965747</v>
      </c>
      <c r="J16" s="27">
        <f t="shared" si="1"/>
        <v>0.69125565760503072</v>
      </c>
      <c r="K16" s="28"/>
      <c r="L16" s="29">
        <f t="shared" si="0"/>
        <v>20.440727997942677</v>
      </c>
      <c r="M16" s="30" t="s">
        <v>38</v>
      </c>
    </row>
    <row r="17" spans="1:13" ht="19.5" x14ac:dyDescent="0.25">
      <c r="A17" s="24" t="s">
        <v>39</v>
      </c>
      <c r="B17" s="25">
        <v>44654557.465700001</v>
      </c>
      <c r="C17" s="25">
        <v>51539663.522400007</v>
      </c>
      <c r="D17" s="25">
        <v>54796856.450100005</v>
      </c>
      <c r="E17" s="25">
        <v>200991864.42560005</v>
      </c>
      <c r="F17" s="25"/>
      <c r="G17" s="26">
        <f t="shared" si="1"/>
        <v>0.9792225468550313</v>
      </c>
      <c r="H17" s="27">
        <f t="shared" si="1"/>
        <v>0.7206154502619484</v>
      </c>
      <c r="I17" s="27">
        <f t="shared" si="1"/>
        <v>0.61003587606073828</v>
      </c>
      <c r="J17" s="27">
        <f>E17/E$7*100</f>
        <v>1.7512483519367315</v>
      </c>
      <c r="K17" s="28"/>
      <c r="L17" s="29">
        <f t="shared" si="0"/>
        <v>266.79451604788767</v>
      </c>
      <c r="M17" s="30" t="s">
        <v>9</v>
      </c>
    </row>
    <row r="18" spans="1:13" ht="19.5" x14ac:dyDescent="0.25">
      <c r="A18" s="24" t="s">
        <v>40</v>
      </c>
      <c r="B18" s="25">
        <v>543387.33450000011</v>
      </c>
      <c r="C18" s="25">
        <v>0</v>
      </c>
      <c r="D18" s="25">
        <v>0</v>
      </c>
      <c r="E18" s="25">
        <v>0</v>
      </c>
      <c r="F18" s="25"/>
      <c r="G18" s="26">
        <f t="shared" si="1"/>
        <v>1.191585271058997E-2</v>
      </c>
      <c r="H18" s="27">
        <f t="shared" si="1"/>
        <v>0</v>
      </c>
      <c r="I18" s="27">
        <f t="shared" si="1"/>
        <v>0</v>
      </c>
      <c r="J18" s="27">
        <f t="shared" si="1"/>
        <v>0</v>
      </c>
      <c r="K18" s="28"/>
      <c r="L18" s="29">
        <v>0</v>
      </c>
      <c r="M18" s="30" t="s">
        <v>41</v>
      </c>
    </row>
    <row r="19" spans="1:13" ht="19.5" x14ac:dyDescent="0.25">
      <c r="A19" s="24" t="s">
        <v>42</v>
      </c>
      <c r="B19" s="25">
        <v>205312</v>
      </c>
      <c r="C19" s="25">
        <v>144688</v>
      </c>
      <c r="D19" s="25">
        <v>122000</v>
      </c>
      <c r="E19" s="25">
        <v>255200</v>
      </c>
      <c r="F19" s="25"/>
      <c r="G19" s="26">
        <f t="shared" si="1"/>
        <v>4.5022535425264824E-3</v>
      </c>
      <c r="H19" s="27">
        <f t="shared" si="1"/>
        <v>2.0229935770183232E-3</v>
      </c>
      <c r="I19" s="27">
        <f t="shared" si="1"/>
        <v>1.3581869782472574E-3</v>
      </c>
      <c r="J19" s="27">
        <f t="shared" si="1"/>
        <v>2.2235655193879105E-3</v>
      </c>
      <c r="K19" s="28"/>
      <c r="L19" s="29">
        <f>(E19/D19-1)*100</f>
        <v>109.18032786885247</v>
      </c>
      <c r="M19" s="30" t="s">
        <v>43</v>
      </c>
    </row>
    <row r="20" spans="1:13" ht="19.5" x14ac:dyDescent="0.25">
      <c r="A20" s="24" t="s">
        <v>44</v>
      </c>
      <c r="B20" s="25">
        <v>3067500</v>
      </c>
      <c r="C20" s="25">
        <v>2685000</v>
      </c>
      <c r="D20" s="25">
        <v>1820000</v>
      </c>
      <c r="E20" s="25">
        <v>2213340</v>
      </c>
      <c r="F20" s="25"/>
      <c r="G20" s="26">
        <f t="shared" si="1"/>
        <v>6.7266709893722645E-2</v>
      </c>
      <c r="H20" s="27">
        <f t="shared" si="1"/>
        <v>3.7541038332786401E-2</v>
      </c>
      <c r="I20" s="27">
        <f t="shared" si="1"/>
        <v>2.0261477872213187E-2</v>
      </c>
      <c r="J20" s="27">
        <f t="shared" si="1"/>
        <v>1.9284900104553439E-2</v>
      </c>
      <c r="K20" s="28"/>
      <c r="L20" s="29">
        <f>(E20/D20-1)*100</f>
        <v>21.612087912087908</v>
      </c>
      <c r="M20" s="30" t="s">
        <v>45</v>
      </c>
    </row>
    <row r="21" spans="1:13" ht="28.5" x14ac:dyDescent="0.25">
      <c r="A21" s="24" t="s">
        <v>46</v>
      </c>
      <c r="B21" s="25">
        <v>1918832.01</v>
      </c>
      <c r="C21" s="25">
        <v>971033.66999999993</v>
      </c>
      <c r="D21" s="25">
        <v>859560</v>
      </c>
      <c r="E21" s="25">
        <v>1135720</v>
      </c>
      <c r="F21" s="25"/>
      <c r="G21" s="26">
        <f t="shared" si="1"/>
        <v>4.2077755876596158E-2</v>
      </c>
      <c r="H21" s="27">
        <f t="shared" si="1"/>
        <v>1.3576764330687618E-2</v>
      </c>
      <c r="I21" s="27">
        <f t="shared" si="1"/>
        <v>9.5692065493623996E-3</v>
      </c>
      <c r="J21" s="27">
        <f t="shared" si="1"/>
        <v>9.8955636037587683E-3</v>
      </c>
      <c r="K21" s="28"/>
      <c r="L21" s="29">
        <f>(E21/D21-1)*100</f>
        <v>32.128065521894932</v>
      </c>
      <c r="M21" s="31" t="s">
        <v>47</v>
      </c>
    </row>
    <row r="22" spans="1:13" ht="19.5" x14ac:dyDescent="0.25">
      <c r="A22" s="24" t="s">
        <v>48</v>
      </c>
      <c r="B22" s="25">
        <v>13328804.895099999</v>
      </c>
      <c r="C22" s="25">
        <v>3751557.7451999998</v>
      </c>
      <c r="D22" s="25">
        <v>0</v>
      </c>
      <c r="E22" s="25">
        <v>0</v>
      </c>
      <c r="F22" s="25"/>
      <c r="G22" s="26">
        <f t="shared" si="1"/>
        <v>0.29228520036144157</v>
      </c>
      <c r="H22" s="27">
        <f t="shared" si="1"/>
        <v>5.2453397810135902E-2</v>
      </c>
      <c r="I22" s="27">
        <f t="shared" si="1"/>
        <v>0</v>
      </c>
      <c r="J22" s="27">
        <f t="shared" si="1"/>
        <v>0</v>
      </c>
      <c r="K22" s="28"/>
      <c r="L22" s="29">
        <v>0</v>
      </c>
      <c r="M22" s="30" t="s">
        <v>49</v>
      </c>
    </row>
    <row r="23" spans="1:13" ht="19.5" x14ac:dyDescent="0.25">
      <c r="A23" s="24" t="s">
        <v>50</v>
      </c>
      <c r="B23" s="25">
        <v>34441393.530400001</v>
      </c>
      <c r="C23" s="25">
        <v>33094297.160799991</v>
      </c>
      <c r="D23" s="25">
        <v>35600432.367200002</v>
      </c>
      <c r="E23" s="25">
        <v>9569543.5098999999</v>
      </c>
      <c r="F23" s="25"/>
      <c r="G23" s="26">
        <f t="shared" si="1"/>
        <v>0.75525973168539617</v>
      </c>
      <c r="H23" s="27">
        <f t="shared" si="1"/>
        <v>0.46271667721050891</v>
      </c>
      <c r="I23" s="27">
        <f t="shared" si="1"/>
        <v>0.39632822673035434</v>
      </c>
      <c r="J23" s="27">
        <f t="shared" si="1"/>
        <v>8.3379729564639501E-2</v>
      </c>
      <c r="K23" s="28"/>
      <c r="L23" s="29">
        <f>(E23/D23-1)*100</f>
        <v>-73.119586270202788</v>
      </c>
      <c r="M23" s="30" t="s">
        <v>51</v>
      </c>
    </row>
    <row r="24" spans="1:13" ht="19.5" x14ac:dyDescent="0.25">
      <c r="A24" s="24" t="s">
        <v>52</v>
      </c>
      <c r="B24" s="25">
        <v>923334858.34319997</v>
      </c>
      <c r="C24" s="25">
        <v>2572005117.2307997</v>
      </c>
      <c r="D24" s="25">
        <v>3654632712.6659002</v>
      </c>
      <c r="E24" s="25">
        <v>4465389052.8822002</v>
      </c>
      <c r="F24" s="25"/>
      <c r="G24" s="26">
        <f t="shared" si="1"/>
        <v>20.2476603263027</v>
      </c>
      <c r="H24" s="27">
        <f t="shared" si="1"/>
        <v>35.961170464835838</v>
      </c>
      <c r="I24" s="27">
        <f t="shared" si="1"/>
        <v>40.685857054256367</v>
      </c>
      <c r="J24" s="27">
        <f t="shared" si="1"/>
        <v>38.90707338809208</v>
      </c>
      <c r="K24" s="28"/>
      <c r="L24" s="29">
        <f>(E24/D24-1)*100</f>
        <v>22.184345294301465</v>
      </c>
      <c r="M24" s="30" t="s">
        <v>0</v>
      </c>
    </row>
    <row r="25" spans="1:13" ht="19.5" x14ac:dyDescent="0.25">
      <c r="A25" s="24" t="s">
        <v>53</v>
      </c>
      <c r="B25" s="25">
        <v>7052607.3000000007</v>
      </c>
      <c r="C25" s="25">
        <v>6572305.9499999993</v>
      </c>
      <c r="D25" s="25">
        <v>6006803.5</v>
      </c>
      <c r="E25" s="25">
        <v>6061483</v>
      </c>
      <c r="F25" s="25"/>
      <c r="G25" s="26">
        <f t="shared" si="1"/>
        <v>0.15465548141595781</v>
      </c>
      <c r="H25" s="27">
        <f t="shared" si="1"/>
        <v>9.1892435606610839E-2</v>
      </c>
      <c r="I25" s="27">
        <f t="shared" si="1"/>
        <v>6.6871822086803701E-2</v>
      </c>
      <c r="J25" s="27">
        <f t="shared" si="1"/>
        <v>5.281388947945137E-2</v>
      </c>
      <c r="K25" s="28"/>
      <c r="L25" s="29">
        <f>(E25/D25-1)*100</f>
        <v>0.91029280381820232</v>
      </c>
      <c r="M25" s="30" t="s">
        <v>54</v>
      </c>
    </row>
    <row r="26" spans="1:13" ht="19.5" x14ac:dyDescent="0.25">
      <c r="A26" s="24" t="s">
        <v>55</v>
      </c>
      <c r="B26" s="25">
        <v>7483460</v>
      </c>
      <c r="C26" s="25">
        <v>7606520</v>
      </c>
      <c r="D26" s="25">
        <v>7870030</v>
      </c>
      <c r="E26" s="25">
        <v>7717060</v>
      </c>
      <c r="F26" s="25"/>
      <c r="G26" s="26">
        <f t="shared" si="1"/>
        <v>0.16410358038183462</v>
      </c>
      <c r="H26" s="27">
        <f t="shared" si="1"/>
        <v>0.10635257314678079</v>
      </c>
      <c r="I26" s="27">
        <f t="shared" si="1"/>
        <v>8.761452675750217E-2</v>
      </c>
      <c r="J26" s="27">
        <f t="shared" si="1"/>
        <v>6.7238983256456372E-2</v>
      </c>
      <c r="K26" s="28"/>
      <c r="L26" s="29">
        <f>(E26/D26-1)*100</f>
        <v>-1.9437028829623282</v>
      </c>
      <c r="M26" s="30" t="s">
        <v>56</v>
      </c>
    </row>
    <row r="27" spans="1:13" ht="19.5" x14ac:dyDescent="0.25">
      <c r="A27" s="24" t="s">
        <v>57</v>
      </c>
      <c r="B27" s="25">
        <v>7338828.0599999996</v>
      </c>
      <c r="C27" s="25">
        <v>16626055.370000001</v>
      </c>
      <c r="D27" s="25">
        <v>20650873.640000001</v>
      </c>
      <c r="E27" s="25">
        <v>28491864.500000004</v>
      </c>
      <c r="F27" s="25"/>
      <c r="G27" s="26">
        <f t="shared" si="1"/>
        <v>0.16093197003159945</v>
      </c>
      <c r="H27" s="27">
        <f t="shared" si="1"/>
        <v>0.23246159477400344</v>
      </c>
      <c r="I27" s="27">
        <f t="shared" si="1"/>
        <v>0.22989957104325859</v>
      </c>
      <c r="J27" s="27">
        <f t="shared" si="1"/>
        <v>0.24825049955044071</v>
      </c>
      <c r="K27" s="28"/>
      <c r="L27" s="29">
        <f>(E27/D27-1)*100</f>
        <v>37.969293680690996</v>
      </c>
      <c r="M27" s="32" t="s">
        <v>10</v>
      </c>
    </row>
    <row r="28" spans="1:13" ht="19.5" x14ac:dyDescent="0.25">
      <c r="A28" s="24" t="s">
        <v>58</v>
      </c>
      <c r="B28" s="25">
        <v>511255000</v>
      </c>
      <c r="C28" s="25">
        <v>168705000</v>
      </c>
      <c r="D28" s="25">
        <v>0</v>
      </c>
      <c r="E28" s="25">
        <v>705911433.39999998</v>
      </c>
      <c r="F28" s="25"/>
      <c r="G28" s="26">
        <f t="shared" si="1"/>
        <v>11.211227959809348</v>
      </c>
      <c r="H28" s="27">
        <f t="shared" si="1"/>
        <v>2.3587936208315567</v>
      </c>
      <c r="I28" s="27">
        <f t="shared" si="1"/>
        <v>0</v>
      </c>
      <c r="J28" s="27">
        <f t="shared" si="1"/>
        <v>6.1506282251173019</v>
      </c>
      <c r="K28" s="28"/>
      <c r="L28" s="29">
        <v>0</v>
      </c>
      <c r="M28" s="30" t="s">
        <v>11</v>
      </c>
    </row>
    <row r="29" spans="1:13" ht="28.5" x14ac:dyDescent="0.25">
      <c r="A29" s="24" t="s">
        <v>59</v>
      </c>
      <c r="B29" s="25">
        <v>6737481.419999999</v>
      </c>
      <c r="C29" s="25">
        <v>7508921.870000001</v>
      </c>
      <c r="D29" s="25">
        <v>14004293.390000001</v>
      </c>
      <c r="E29" s="25">
        <v>20858806.803199999</v>
      </c>
      <c r="F29" s="25"/>
      <c r="G29" s="26">
        <f t="shared" si="1"/>
        <v>0.14774513711279103</v>
      </c>
      <c r="H29" s="27">
        <f t="shared" si="1"/>
        <v>0.10498797905384288</v>
      </c>
      <c r="I29" s="27">
        <f t="shared" si="1"/>
        <v>0.15590531903157495</v>
      </c>
      <c r="J29" s="27">
        <f t="shared" si="1"/>
        <v>0.18174343096853246</v>
      </c>
      <c r="K29" s="28"/>
      <c r="L29" s="29">
        <f>(E29/D29-1)*100</f>
        <v>48.945799850884143</v>
      </c>
      <c r="M29" s="30" t="s">
        <v>60</v>
      </c>
    </row>
    <row r="30" spans="1:13" ht="19.5" x14ac:dyDescent="0.25">
      <c r="A30" s="24" t="s">
        <v>61</v>
      </c>
      <c r="B30" s="25">
        <v>0</v>
      </c>
      <c r="C30" s="25">
        <v>0</v>
      </c>
      <c r="D30" s="25">
        <v>0</v>
      </c>
      <c r="E30" s="25">
        <v>40000</v>
      </c>
      <c r="F30" s="25"/>
      <c r="G30" s="26">
        <f t="shared" si="1"/>
        <v>0</v>
      </c>
      <c r="H30" s="27">
        <f t="shared" si="1"/>
        <v>0</v>
      </c>
      <c r="I30" s="27">
        <f t="shared" si="1"/>
        <v>0</v>
      </c>
      <c r="J30" s="27">
        <f>E30/E$7*100</f>
        <v>3.485212412833715E-4</v>
      </c>
      <c r="K30" s="28"/>
      <c r="L30" s="29">
        <v>0</v>
      </c>
      <c r="M30" s="30" t="s">
        <v>62</v>
      </c>
    </row>
    <row r="31" spans="1:13" ht="19.5" x14ac:dyDescent="0.25">
      <c r="A31" s="24" t="s">
        <v>63</v>
      </c>
      <c r="B31" s="25">
        <v>70761.650000000009</v>
      </c>
      <c r="C31" s="25">
        <v>61879.78</v>
      </c>
      <c r="D31" s="25">
        <v>0</v>
      </c>
      <c r="E31" s="25">
        <v>4000</v>
      </c>
      <c r="F31" s="25"/>
      <c r="G31" s="26">
        <f t="shared" si="1"/>
        <v>1.5517207439775516E-3</v>
      </c>
      <c r="H31" s="27">
        <f t="shared" si="1"/>
        <v>8.6518852625861798E-4</v>
      </c>
      <c r="I31" s="27">
        <f t="shared" si="1"/>
        <v>0</v>
      </c>
      <c r="J31" s="27">
        <f t="shared" si="1"/>
        <v>3.4852124128337157E-5</v>
      </c>
      <c r="K31" s="28"/>
      <c r="L31" s="29">
        <v>0</v>
      </c>
      <c r="M31" s="30" t="s">
        <v>64</v>
      </c>
    </row>
    <row r="32" spans="1:13" ht="19.5" x14ac:dyDescent="0.25">
      <c r="A32" s="24" t="s">
        <v>65</v>
      </c>
      <c r="B32" s="25">
        <v>22915.07</v>
      </c>
      <c r="C32" s="25">
        <v>52027.4</v>
      </c>
      <c r="D32" s="25">
        <v>78000</v>
      </c>
      <c r="E32" s="25">
        <v>96000</v>
      </c>
      <c r="F32" s="25"/>
      <c r="G32" s="26">
        <f t="shared" si="1"/>
        <v>5.0250085277403326E-4</v>
      </c>
      <c r="H32" s="27">
        <f t="shared" si="1"/>
        <v>7.2743486694793705E-4</v>
      </c>
      <c r="I32" s="27">
        <f t="shared" si="1"/>
        <v>8.6834905166627947E-4</v>
      </c>
      <c r="J32" s="27">
        <f t="shared" si="1"/>
        <v>8.3645097908009172E-4</v>
      </c>
      <c r="K32" s="28"/>
      <c r="L32" s="29">
        <f>(E32/D32-1)*100</f>
        <v>23.076923076923084</v>
      </c>
      <c r="M32" s="30" t="s">
        <v>66</v>
      </c>
    </row>
    <row r="33" spans="1:13" ht="19.5" x14ac:dyDescent="0.25">
      <c r="A33" s="24" t="s">
        <v>67</v>
      </c>
      <c r="B33" s="25">
        <v>183022.32170000003</v>
      </c>
      <c r="C33" s="25">
        <v>0</v>
      </c>
      <c r="D33" s="25">
        <v>0</v>
      </c>
      <c r="E33" s="25">
        <v>0</v>
      </c>
      <c r="F33" s="25"/>
      <c r="G33" s="26">
        <f t="shared" si="1"/>
        <v>4.0134668028914368E-3</v>
      </c>
      <c r="H33" s="27">
        <f t="shared" si="1"/>
        <v>0</v>
      </c>
      <c r="I33" s="27">
        <f t="shared" si="1"/>
        <v>0</v>
      </c>
      <c r="J33" s="27">
        <f t="shared" si="1"/>
        <v>0</v>
      </c>
      <c r="K33" s="28"/>
      <c r="L33" s="29">
        <v>0</v>
      </c>
      <c r="M33" s="30" t="s">
        <v>68</v>
      </c>
    </row>
    <row r="34" spans="1:13" ht="28.5" x14ac:dyDescent="0.25">
      <c r="A34" s="24" t="s">
        <v>69</v>
      </c>
      <c r="B34" s="25">
        <v>0</v>
      </c>
      <c r="C34" s="25">
        <v>0</v>
      </c>
      <c r="D34" s="25">
        <v>30534.559999999998</v>
      </c>
      <c r="E34" s="25">
        <v>0</v>
      </c>
      <c r="F34" s="25"/>
      <c r="G34" s="26">
        <f t="shared" si="1"/>
        <v>0</v>
      </c>
      <c r="H34" s="27">
        <f t="shared" si="1"/>
        <v>0</v>
      </c>
      <c r="I34" s="27">
        <f t="shared" si="1"/>
        <v>3.3993148998778344E-4</v>
      </c>
      <c r="J34" s="27">
        <f t="shared" si="1"/>
        <v>0</v>
      </c>
      <c r="K34" s="28"/>
      <c r="L34" s="29">
        <v>0</v>
      </c>
      <c r="M34" s="30" t="s">
        <v>70</v>
      </c>
    </row>
    <row r="35" spans="1:13" ht="19.5" x14ac:dyDescent="0.25">
      <c r="A35" s="24" t="s">
        <v>71</v>
      </c>
      <c r="B35" s="25">
        <v>84000</v>
      </c>
      <c r="C35" s="25">
        <v>84000</v>
      </c>
      <c r="D35" s="25">
        <v>84000</v>
      </c>
      <c r="E35" s="25">
        <v>84000</v>
      </c>
      <c r="F35" s="25"/>
      <c r="G35" s="26">
        <f t="shared" si="1"/>
        <v>1.8420223736178331E-3</v>
      </c>
      <c r="H35" s="27">
        <f t="shared" si="1"/>
        <v>1.1744682383441555E-3</v>
      </c>
      <c r="I35" s="27">
        <f t="shared" si="1"/>
        <v>9.3514513256368558E-4</v>
      </c>
      <c r="J35" s="27">
        <f t="shared" si="1"/>
        <v>7.3189460669508021E-4</v>
      </c>
      <c r="K35" s="28"/>
      <c r="L35" s="29">
        <f t="shared" ref="L35:L41" si="2">(E35/D35-1)*100</f>
        <v>0</v>
      </c>
      <c r="M35" s="30" t="s">
        <v>72</v>
      </c>
    </row>
    <row r="36" spans="1:13" ht="39" x14ac:dyDescent="0.25">
      <c r="A36" s="24" t="s">
        <v>73</v>
      </c>
      <c r="B36" s="25">
        <v>6570852.9999999991</v>
      </c>
      <c r="C36" s="25">
        <v>6292505.6700000009</v>
      </c>
      <c r="D36" s="25">
        <v>3859126.6630000002</v>
      </c>
      <c r="E36" s="25">
        <v>3746778.1100000003</v>
      </c>
      <c r="F36" s="25"/>
      <c r="G36" s="26">
        <f t="shared" si="1"/>
        <v>0.14409116952087925</v>
      </c>
      <c r="H36" s="27">
        <f t="shared" si="1"/>
        <v>8.7980333916851325E-2</v>
      </c>
      <c r="I36" s="27">
        <f t="shared" si="1"/>
        <v>4.2962422795847485E-2</v>
      </c>
      <c r="J36" s="27">
        <f t="shared" si="1"/>
        <v>3.2645793942764123E-2</v>
      </c>
      <c r="K36" s="28"/>
      <c r="L36" s="29">
        <f t="shared" si="2"/>
        <v>-2.9112429523798666</v>
      </c>
      <c r="M36" s="30" t="s">
        <v>74</v>
      </c>
    </row>
    <row r="37" spans="1:13" ht="19.5" x14ac:dyDescent="0.25">
      <c r="A37" s="24" t="s">
        <v>75</v>
      </c>
      <c r="B37" s="25">
        <v>87861980</v>
      </c>
      <c r="C37" s="25">
        <v>171860080</v>
      </c>
      <c r="D37" s="25">
        <v>177775270</v>
      </c>
      <c r="E37" s="25">
        <v>224951960</v>
      </c>
      <c r="F37" s="25"/>
      <c r="G37" s="26">
        <f t="shared" si="1"/>
        <v>1.9267111065519353</v>
      </c>
      <c r="H37" s="27">
        <f t="shared" si="1"/>
        <v>2.4029072071343527</v>
      </c>
      <c r="I37" s="27">
        <f t="shared" si="1"/>
        <v>1.9791152194130357</v>
      </c>
      <c r="J37" s="27">
        <f t="shared" si="1"/>
        <v>1.9600134082081837</v>
      </c>
      <c r="K37" s="28"/>
      <c r="L37" s="29">
        <f t="shared" si="2"/>
        <v>26.537262466258671</v>
      </c>
      <c r="M37" s="30" t="s">
        <v>76</v>
      </c>
    </row>
    <row r="38" spans="1:13" ht="39" x14ac:dyDescent="0.25">
      <c r="A38" s="24" t="s">
        <v>77</v>
      </c>
      <c r="B38" s="25">
        <v>1595200</v>
      </c>
      <c r="C38" s="25">
        <v>1564800</v>
      </c>
      <c r="D38" s="25">
        <v>1569400</v>
      </c>
      <c r="E38" s="25">
        <v>1632350</v>
      </c>
      <c r="F38" s="25"/>
      <c r="G38" s="26">
        <f t="shared" si="1"/>
        <v>3.4980882028513891E-2</v>
      </c>
      <c r="H38" s="27">
        <f t="shared" si="1"/>
        <v>2.1878665468582553E-2</v>
      </c>
      <c r="I38" s="27">
        <f t="shared" si="1"/>
        <v>1.7471628226731522E-2</v>
      </c>
      <c r="J38" s="27">
        <f t="shared" si="1"/>
        <v>1.4222716205222787E-2</v>
      </c>
      <c r="K38" s="28"/>
      <c r="L38" s="29">
        <f t="shared" si="2"/>
        <v>4.0110870396329767</v>
      </c>
      <c r="M38" s="30" t="s">
        <v>78</v>
      </c>
    </row>
    <row r="39" spans="1:13" ht="19.5" x14ac:dyDescent="0.25">
      <c r="A39" s="24" t="s">
        <v>79</v>
      </c>
      <c r="B39" s="25">
        <v>37072935</v>
      </c>
      <c r="C39" s="25">
        <v>39918623.75</v>
      </c>
      <c r="D39" s="25">
        <v>32890380.349999998</v>
      </c>
      <c r="E39" s="25">
        <v>37985229</v>
      </c>
      <c r="F39" s="25"/>
      <c r="G39" s="26">
        <f t="shared" si="1"/>
        <v>0.81296637768666236</v>
      </c>
      <c r="H39" s="27">
        <f t="shared" si="1"/>
        <v>0.55813280610459126</v>
      </c>
      <c r="I39" s="27">
        <f t="shared" si="1"/>
        <v>0.36615808443417602</v>
      </c>
      <c r="J39" s="27">
        <f t="shared" si="1"/>
        <v>0.33096647903782805</v>
      </c>
      <c r="K39" s="28"/>
      <c r="L39" s="29">
        <f t="shared" si="2"/>
        <v>15.490391402542736</v>
      </c>
      <c r="M39" s="30" t="s">
        <v>12</v>
      </c>
    </row>
    <row r="40" spans="1:13" ht="19.5" x14ac:dyDescent="0.25">
      <c r="A40" s="24" t="s">
        <v>80</v>
      </c>
      <c r="B40" s="25">
        <v>1668748.04</v>
      </c>
      <c r="C40" s="25">
        <v>1297591.8</v>
      </c>
      <c r="D40" s="25">
        <v>898349.8400000002</v>
      </c>
      <c r="E40" s="25">
        <v>1052576.9200000002</v>
      </c>
      <c r="F40" s="25"/>
      <c r="G40" s="26">
        <f t="shared" si="1"/>
        <v>3.6593705066796503E-2</v>
      </c>
      <c r="H40" s="27">
        <f t="shared" si="1"/>
        <v>1.814262327899788E-2</v>
      </c>
      <c r="I40" s="27">
        <f t="shared" si="1"/>
        <v>1.0001041431135307E-2</v>
      </c>
      <c r="J40" s="27">
        <f t="shared" si="1"/>
        <v>9.1711353676157022E-3</v>
      </c>
      <c r="K40" s="28"/>
      <c r="L40" s="29">
        <f t="shared" si="2"/>
        <v>17.167819610231128</v>
      </c>
      <c r="M40" s="30" t="s">
        <v>81</v>
      </c>
    </row>
    <row r="41" spans="1:13" ht="19.5" x14ac:dyDescent="0.25">
      <c r="A41" s="24" t="s">
        <v>82</v>
      </c>
      <c r="B41" s="25">
        <v>137836230.31</v>
      </c>
      <c r="C41" s="25">
        <v>16241056.810000002</v>
      </c>
      <c r="D41" s="25">
        <v>244520646.0862</v>
      </c>
      <c r="E41" s="25">
        <v>91742988.9111</v>
      </c>
      <c r="F41" s="25"/>
      <c r="G41" s="26">
        <f t="shared" si="1"/>
        <v>3.0225883348352438</v>
      </c>
      <c r="H41" s="27">
        <f t="shared" si="1"/>
        <v>0.22707863548200061</v>
      </c>
      <c r="I41" s="27">
        <f t="shared" si="1"/>
        <v>2.7221701428433041</v>
      </c>
      <c r="J41" s="27">
        <f t="shared" si="1"/>
        <v>0.79935950935857913</v>
      </c>
      <c r="K41" s="28"/>
      <c r="L41" s="29">
        <f t="shared" si="2"/>
        <v>-62.480473375341006</v>
      </c>
      <c r="M41" s="30" t="s">
        <v>83</v>
      </c>
    </row>
    <row r="42" spans="1:13" ht="19.5" x14ac:dyDescent="0.25">
      <c r="A42" s="24" t="s">
        <v>84</v>
      </c>
      <c r="B42" s="25">
        <v>6831</v>
      </c>
      <c r="C42" s="25">
        <v>24623.16</v>
      </c>
      <c r="D42" s="25">
        <v>0</v>
      </c>
      <c r="E42" s="25">
        <v>0</v>
      </c>
      <c r="F42" s="25"/>
      <c r="G42" s="26">
        <f t="shared" si="1"/>
        <v>1.4979589088313591E-4</v>
      </c>
      <c r="H42" s="27">
        <f t="shared" si="1"/>
        <v>3.4427523032936041E-4</v>
      </c>
      <c r="I42" s="27">
        <f t="shared" si="1"/>
        <v>0</v>
      </c>
      <c r="J42" s="27">
        <f t="shared" si="1"/>
        <v>0</v>
      </c>
      <c r="K42" s="28"/>
      <c r="L42" s="29">
        <v>0</v>
      </c>
      <c r="M42" s="30" t="s">
        <v>85</v>
      </c>
    </row>
    <row r="43" spans="1:13" ht="19.5" x14ac:dyDescent="0.25">
      <c r="A43" s="24" t="s">
        <v>86</v>
      </c>
      <c r="B43" s="25">
        <v>2548315.2200000002</v>
      </c>
      <c r="C43" s="25">
        <v>0</v>
      </c>
      <c r="D43" s="25">
        <v>0</v>
      </c>
      <c r="E43" s="25">
        <v>0</v>
      </c>
      <c r="F43" s="25"/>
      <c r="G43" s="26">
        <f t="shared" si="1"/>
        <v>5.588159107465298E-2</v>
      </c>
      <c r="H43" s="27">
        <f t="shared" si="1"/>
        <v>0</v>
      </c>
      <c r="I43" s="27">
        <f t="shared" si="1"/>
        <v>0</v>
      </c>
      <c r="J43" s="27">
        <f t="shared" si="1"/>
        <v>0</v>
      </c>
      <c r="K43" s="28"/>
      <c r="L43" s="29">
        <v>0</v>
      </c>
      <c r="M43" s="30" t="s">
        <v>87</v>
      </c>
    </row>
    <row r="44" spans="1:13" ht="19.5" x14ac:dyDescent="0.25">
      <c r="A44" s="24" t="s">
        <v>88</v>
      </c>
      <c r="B44" s="25">
        <v>1202495510.0143998</v>
      </c>
      <c r="C44" s="25">
        <v>1049841778.2217</v>
      </c>
      <c r="D44" s="25">
        <v>1068823153.4752001</v>
      </c>
      <c r="E44" s="25">
        <v>1254095818.3188002</v>
      </c>
      <c r="F44" s="25"/>
      <c r="G44" s="26">
        <f t="shared" si="1"/>
        <v>26.369328971684659</v>
      </c>
      <c r="H44" s="27">
        <f t="shared" si="1"/>
        <v>14.678640759620661</v>
      </c>
      <c r="I44" s="27">
        <f t="shared" si="1"/>
        <v>11.898866304091694</v>
      </c>
      <c r="J44" s="27">
        <f t="shared" si="1"/>
        <v>10.926975782218847</v>
      </c>
      <c r="K44" s="28"/>
      <c r="L44" s="29">
        <f t="shared" ref="L44:L50" si="3">(E44/D44-1)*100</f>
        <v>17.334267529777936</v>
      </c>
      <c r="M44" s="30" t="s">
        <v>89</v>
      </c>
    </row>
    <row r="45" spans="1:13" ht="19.5" x14ac:dyDescent="0.25">
      <c r="A45" s="24" t="s">
        <v>90</v>
      </c>
      <c r="B45" s="25">
        <v>750739844.92149997</v>
      </c>
      <c r="C45" s="25">
        <v>802900158.02600002</v>
      </c>
      <c r="D45" s="25">
        <v>860140725.22539997</v>
      </c>
      <c r="E45" s="25">
        <v>803832383.81799996</v>
      </c>
      <c r="F45" s="25"/>
      <c r="G45" s="26">
        <f t="shared" si="1"/>
        <v>16.4628522751403</v>
      </c>
      <c r="H45" s="27">
        <f t="shared" si="1"/>
        <v>11.225961120988575</v>
      </c>
      <c r="I45" s="27">
        <f t="shared" si="1"/>
        <v>9.5756715775515637</v>
      </c>
      <c r="J45" s="27">
        <f t="shared" si="1"/>
        <v>7.0038165048005228</v>
      </c>
      <c r="K45" s="28"/>
      <c r="L45" s="29">
        <f t="shared" si="3"/>
        <v>-6.5464103438009458</v>
      </c>
      <c r="M45" s="30" t="s">
        <v>91</v>
      </c>
    </row>
    <row r="46" spans="1:13" ht="19.5" x14ac:dyDescent="0.25">
      <c r="A46" s="24" t="s">
        <v>92</v>
      </c>
      <c r="B46" s="25">
        <v>2722950</v>
      </c>
      <c r="C46" s="25">
        <v>2640850</v>
      </c>
      <c r="D46" s="25">
        <v>3091300</v>
      </c>
      <c r="E46" s="25">
        <v>2755700</v>
      </c>
      <c r="F46" s="25"/>
      <c r="G46" s="26">
        <f t="shared" si="1"/>
        <v>5.9711128836222351E-2</v>
      </c>
      <c r="H46" s="27">
        <f t="shared" si="1"/>
        <v>3.6923743419418613E-2</v>
      </c>
      <c r="I46" s="27">
        <f t="shared" si="1"/>
        <v>3.4414454146358582E-2</v>
      </c>
      <c r="J46" s="27">
        <f t="shared" si="1"/>
        <v>2.4010499615114672E-2</v>
      </c>
      <c r="K46" s="28"/>
      <c r="L46" s="29">
        <f t="shared" si="3"/>
        <v>-10.856274059457183</v>
      </c>
      <c r="M46" s="30" t="s">
        <v>93</v>
      </c>
    </row>
    <row r="47" spans="1:13" ht="19.5" x14ac:dyDescent="0.25">
      <c r="A47" s="24" t="s">
        <v>94</v>
      </c>
      <c r="B47" s="25">
        <v>90115</v>
      </c>
      <c r="C47" s="25">
        <v>41400</v>
      </c>
      <c r="D47" s="25">
        <v>13800</v>
      </c>
      <c r="E47" s="25">
        <v>0</v>
      </c>
      <c r="F47" s="25"/>
      <c r="G47" s="26">
        <f t="shared" si="1"/>
        <v>1.9761172166496551E-3</v>
      </c>
      <c r="H47" s="27">
        <f t="shared" si="1"/>
        <v>5.7884506032676239E-4</v>
      </c>
      <c r="I47" s="27">
        <f t="shared" si="1"/>
        <v>1.5363098606403406E-4</v>
      </c>
      <c r="J47" s="27">
        <f t="shared" si="1"/>
        <v>0</v>
      </c>
      <c r="K47" s="28"/>
      <c r="L47" s="29">
        <f t="shared" si="3"/>
        <v>-100</v>
      </c>
      <c r="M47" s="30" t="s">
        <v>95</v>
      </c>
    </row>
    <row r="48" spans="1:13" ht="19.5" x14ac:dyDescent="0.25">
      <c r="A48" s="24" t="s">
        <v>96</v>
      </c>
      <c r="B48" s="25">
        <v>4945838.9999999991</v>
      </c>
      <c r="C48" s="25">
        <v>4574175.1999999993</v>
      </c>
      <c r="D48" s="25">
        <v>3173348.76</v>
      </c>
      <c r="E48" s="25">
        <v>2127801.2000000002</v>
      </c>
      <c r="F48" s="25"/>
      <c r="G48" s="26">
        <f t="shared" si="1"/>
        <v>0.1084565011227577</v>
      </c>
      <c r="H48" s="27">
        <f t="shared" si="1"/>
        <v>6.3955041535970536E-2</v>
      </c>
      <c r="I48" s="27">
        <f t="shared" si="1"/>
        <v>3.5327876748107223E-2</v>
      </c>
      <c r="J48" s="27">
        <f t="shared" si="1"/>
        <v>1.8539597885706187E-2</v>
      </c>
      <c r="K48" s="28"/>
      <c r="L48" s="29">
        <f t="shared" si="3"/>
        <v>-32.947767140476536</v>
      </c>
      <c r="M48" s="30" t="s">
        <v>97</v>
      </c>
    </row>
    <row r="49" spans="1:15" ht="19.5" x14ac:dyDescent="0.25">
      <c r="A49" s="24" t="s">
        <v>98</v>
      </c>
      <c r="B49" s="25">
        <v>47548283.660000004</v>
      </c>
      <c r="C49" s="25">
        <v>45912900.350000001</v>
      </c>
      <c r="D49" s="25">
        <v>49700980.010000005</v>
      </c>
      <c r="E49" s="25">
        <v>52012445.340000004</v>
      </c>
      <c r="F49" s="25"/>
      <c r="G49" s="26">
        <f t="shared" si="1"/>
        <v>1.042678599152943</v>
      </c>
      <c r="H49" s="27">
        <f t="shared" si="1"/>
        <v>0.64194337132541979</v>
      </c>
      <c r="I49" s="27">
        <f t="shared" si="1"/>
        <v>0.55330511357138734</v>
      </c>
      <c r="J49" s="27">
        <f t="shared" si="1"/>
        <v>0.45318605030200781</v>
      </c>
      <c r="K49" s="28"/>
      <c r="L49" s="29">
        <f t="shared" si="3"/>
        <v>4.6507439682978546</v>
      </c>
      <c r="M49" s="30" t="s">
        <v>99</v>
      </c>
    </row>
    <row r="50" spans="1:15" ht="24" customHeight="1" x14ac:dyDescent="0.25">
      <c r="A50" s="33" t="s">
        <v>100</v>
      </c>
      <c r="B50" s="25">
        <v>6802023.7300000004</v>
      </c>
      <c r="C50" s="25">
        <v>6443984.5899999999</v>
      </c>
      <c r="D50" s="25">
        <v>6238700.8399999999</v>
      </c>
      <c r="E50" s="25">
        <v>6654918.6400000006</v>
      </c>
      <c r="F50" s="25"/>
      <c r="G50" s="26">
        <f t="shared" si="1"/>
        <v>0.14916047495880269</v>
      </c>
      <c r="H50" s="27">
        <f t="shared" si="1"/>
        <v>9.009827653969267E-2</v>
      </c>
      <c r="I50" s="27">
        <f t="shared" si="1"/>
        <v>6.9453461000559241E-2</v>
      </c>
      <c r="J50" s="27">
        <f t="shared" si="1"/>
        <v>5.7984512626316174E-2</v>
      </c>
      <c r="K50" s="28"/>
      <c r="L50" s="34">
        <f t="shared" si="3"/>
        <v>6.6715460586181941</v>
      </c>
      <c r="M50" s="30" t="s">
        <v>101</v>
      </c>
    </row>
    <row r="51" spans="1:15" ht="24" customHeight="1" x14ac:dyDescent="0.25">
      <c r="A51" s="35" t="s">
        <v>102</v>
      </c>
      <c r="B51" s="36">
        <v>1066627.9971999999</v>
      </c>
      <c r="C51" s="36">
        <v>1309039.7897999999</v>
      </c>
      <c r="D51" s="36">
        <v>0</v>
      </c>
      <c r="E51" s="36">
        <v>91411.98</v>
      </c>
      <c r="F51" s="36"/>
      <c r="G51" s="37">
        <f t="shared" si="1"/>
        <v>2.3389912323447368E-2</v>
      </c>
      <c r="H51" s="38">
        <f t="shared" si="1"/>
        <v>1.8302686379152493E-2</v>
      </c>
      <c r="I51" s="38">
        <f t="shared" si="1"/>
        <v>0</v>
      </c>
      <c r="J51" s="38">
        <f t="shared" si="1"/>
        <v>7.9647541844426822E-4</v>
      </c>
      <c r="K51" s="39"/>
      <c r="L51" s="40">
        <v>0</v>
      </c>
      <c r="M51" s="41" t="s">
        <v>103</v>
      </c>
    </row>
    <row r="52" spans="1:15" s="43" customFormat="1" ht="15" customHeight="1" x14ac:dyDescent="0.25">
      <c r="A52" s="42" t="s">
        <v>15</v>
      </c>
      <c r="B52" s="2"/>
      <c r="C52" s="2"/>
      <c r="D52" s="2"/>
      <c r="E52" s="2"/>
      <c r="I52" s="44"/>
    </row>
    <row r="53" spans="1:15" s="47" customFormat="1" ht="15.6" customHeight="1" x14ac:dyDescent="0.25">
      <c r="A53" s="45" t="s">
        <v>16</v>
      </c>
      <c r="B53" s="46"/>
      <c r="C53" s="46"/>
      <c r="D53" s="46"/>
      <c r="E53" s="46"/>
      <c r="F53" s="46"/>
      <c r="M53" s="48" t="s">
        <v>17</v>
      </c>
      <c r="N53" s="49"/>
      <c r="O53" s="49"/>
    </row>
    <row r="65" spans="3:5" ht="15.75" x14ac:dyDescent="0.25">
      <c r="C65" s="25"/>
      <c r="D65" s="25"/>
      <c r="E65" s="25"/>
    </row>
  </sheetData>
  <mergeCells count="9">
    <mergeCell ref="A1:M1"/>
    <mergeCell ref="A2:M2"/>
    <mergeCell ref="A4:A6"/>
    <mergeCell ref="B4:E4"/>
    <mergeCell ref="G4:J4"/>
    <mergeCell ref="M4:M6"/>
    <mergeCell ref="B5:E5"/>
    <mergeCell ref="G5:J5"/>
    <mergeCell ref="L5:L6"/>
  </mergeCells>
  <pageMargins left="0.7" right="0.7" top="0.75" bottom="0.75" header="0.3" footer="0.3"/>
  <pageSetup paperSize="9" scale="71" orientation="landscape" verticalDpi="4294967295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13.13</vt:lpstr>
      <vt:lpstr>'13.13'!Print_Area</vt:lpstr>
      <vt:lpstr>'13.13'!Print_Titles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2016-01-18T08:34:53Z</cp:lastPrinted>
  <dcterms:created xsi:type="dcterms:W3CDTF">2014-03-06T08:38:12Z</dcterms:created>
  <dcterms:modified xsi:type="dcterms:W3CDTF">2016-01-18T08:34:58Z</dcterms:modified>
</cp:coreProperties>
</file>