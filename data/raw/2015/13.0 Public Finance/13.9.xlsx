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65" windowWidth="14160" windowHeight="6615" tabRatio="814"/>
  </bookViews>
  <sheets>
    <sheet name="13.9" sheetId="24" r:id="rId1"/>
  </sheets>
  <definedNames>
    <definedName name="_xlnm.Print_Area" localSheetId="0">'13.9'!$A$1:$M$122</definedName>
    <definedName name="_xlnm.Print_Titles" localSheetId="0">'13.9'!$4:$5</definedName>
  </definedNames>
  <calcPr calcId="144525"/>
</workbook>
</file>

<file path=xl/calcChain.xml><?xml version="1.0" encoding="utf-8"?>
<calcChain xmlns="http://schemas.openxmlformats.org/spreadsheetml/2006/main">
  <c r="F97" i="24" l="1"/>
  <c r="E97" i="24"/>
  <c r="D97" i="24"/>
  <c r="C97" i="24"/>
  <c r="B97" i="24"/>
  <c r="G97" i="24"/>
  <c r="B8" i="24"/>
  <c r="C8" i="24"/>
  <c r="D8" i="24"/>
  <c r="B13" i="24"/>
  <c r="B7" i="24" s="1"/>
  <c r="C13" i="24"/>
  <c r="D13" i="24"/>
  <c r="I17" i="24"/>
  <c r="J17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M97" i="24"/>
  <c r="L97" i="24"/>
  <c r="K97" i="24"/>
  <c r="J97" i="24"/>
  <c r="I97" i="24"/>
  <c r="H97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M80" i="24"/>
  <c r="L80" i="24"/>
  <c r="K80" i="24"/>
  <c r="J80" i="24"/>
  <c r="I80" i="24"/>
  <c r="H80" i="24"/>
  <c r="G80" i="24"/>
  <c r="F80" i="24"/>
  <c r="E80" i="24"/>
  <c r="D80" i="24"/>
  <c r="C80" i="24"/>
  <c r="B80" i="24"/>
  <c r="M72" i="24"/>
  <c r="L72" i="24"/>
  <c r="K72" i="24"/>
  <c r="J72" i="24"/>
  <c r="I72" i="24"/>
  <c r="H72" i="24"/>
  <c r="G7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M24" i="24"/>
  <c r="L24" i="24"/>
  <c r="K24" i="24"/>
  <c r="J24" i="24"/>
  <c r="I24" i="24"/>
  <c r="H24" i="24"/>
  <c r="G24" i="24"/>
  <c r="F24" i="24"/>
  <c r="E24" i="24"/>
  <c r="D24" i="24"/>
  <c r="C24" i="24"/>
  <c r="B24" i="24"/>
  <c r="M17" i="24"/>
  <c r="L17" i="24"/>
  <c r="K17" i="24"/>
  <c r="K7" i="24" s="1"/>
  <c r="H17" i="24"/>
  <c r="G17" i="24"/>
  <c r="F17" i="24"/>
  <c r="E17" i="24"/>
  <c r="D17" i="24"/>
  <c r="C17" i="24"/>
  <c r="B17" i="24"/>
  <c r="M13" i="24"/>
  <c r="L13" i="24"/>
  <c r="K13" i="24"/>
  <c r="J13" i="24"/>
  <c r="I13" i="24"/>
  <c r="H13" i="24"/>
  <c r="G13" i="24"/>
  <c r="F13" i="24"/>
  <c r="E13" i="24"/>
  <c r="M8" i="24"/>
  <c r="L8" i="24"/>
  <c r="K8" i="24"/>
  <c r="J8" i="24"/>
  <c r="J7" i="24" s="1"/>
  <c r="I8" i="24"/>
  <c r="I7" i="24" s="1"/>
  <c r="H8" i="24"/>
  <c r="G8" i="24"/>
  <c r="F8" i="24"/>
  <c r="F7" i="24" s="1"/>
  <c r="E8" i="24"/>
  <c r="M7" i="24" l="1"/>
  <c r="L7" i="24"/>
  <c r="G7" i="24"/>
  <c r="H7" i="24"/>
  <c r="E7" i="24"/>
  <c r="C7" i="24"/>
  <c r="D7" i="24"/>
</calcChain>
</file>

<file path=xl/sharedStrings.xml><?xml version="1.0" encoding="utf-8"?>
<sst xmlns="http://schemas.openxmlformats.org/spreadsheetml/2006/main" count="623" uniqueCount="101">
  <si>
    <t>Revised</t>
  </si>
  <si>
    <t>Actuals</t>
  </si>
  <si>
    <t>Approved</t>
  </si>
  <si>
    <t>MTEF</t>
  </si>
  <si>
    <t>Memorandum item:</t>
  </si>
  <si>
    <t xml:space="preserve"> (In million MVR)</t>
  </si>
  <si>
    <t>Major projects</t>
  </si>
  <si>
    <t>Expenditure on major projects</t>
  </si>
  <si>
    <t>Saudhi Fund</t>
  </si>
  <si>
    <t>Reconstruction and Development of Ga. Atoll</t>
  </si>
  <si>
    <t>Reconstruction of fishing Harbours In Maldives</t>
  </si>
  <si>
    <t>Contraction of S.Hithadhoo Hospital</t>
  </si>
  <si>
    <t>AbuDhabi Fund</t>
  </si>
  <si>
    <t>Housing and Infrastructure project in Tsunami affected areas</t>
  </si>
  <si>
    <t>Kuwait Fund</t>
  </si>
  <si>
    <t>Rehabilitation of Tsunami Damage Utilities Project</t>
  </si>
  <si>
    <t xml:space="preserve">Water Supply and Sewerage in Gn.Fuwammulah </t>
  </si>
  <si>
    <t xml:space="preserve"> Coastal Protection in Gn.Fuwammulah</t>
  </si>
  <si>
    <t>Maldives Port Development</t>
  </si>
  <si>
    <t>Regional Port Project</t>
  </si>
  <si>
    <t>Japan</t>
  </si>
  <si>
    <t>Post Tsunami Recovery and Reconstruction</t>
  </si>
  <si>
    <t>Airport Upgrading</t>
  </si>
  <si>
    <t>French Develoment Agency</t>
  </si>
  <si>
    <t>Rehabilitation of Harbors and Creation of Sewerage network</t>
  </si>
  <si>
    <t>International Development Association(IDA)</t>
  </si>
  <si>
    <t>Integrated Human Development Project</t>
  </si>
  <si>
    <t xml:space="preserve">Mobile phone banking </t>
  </si>
  <si>
    <t>Maldives Environment Management Project</t>
  </si>
  <si>
    <t>Pension and Social Protection Administration Project</t>
  </si>
  <si>
    <t>Third Education Training Project</t>
  </si>
  <si>
    <t>International Fund for Agriculture Development (IFAD)</t>
  </si>
  <si>
    <t>Post Tsunami Agriculture and Fisheries Rehabilitation Project</t>
  </si>
  <si>
    <t xml:space="preserve">Fisheries and Agriculture Diversification Project </t>
  </si>
  <si>
    <t>Islamic Development Bank (IDB)</t>
  </si>
  <si>
    <t>Development of water supply and sewerage</t>
  </si>
  <si>
    <t>Micro Finance Loan to BML</t>
  </si>
  <si>
    <t>Construction of Basic housing in Tsunami affected</t>
  </si>
  <si>
    <t>Construction of Harbours for Tsunami Victims</t>
  </si>
  <si>
    <t>Quarentine facility</t>
  </si>
  <si>
    <t xml:space="preserve">SME Co-Finance </t>
  </si>
  <si>
    <t>Trade Finance Loan</t>
  </si>
  <si>
    <t>Trade Finance Loan 2</t>
  </si>
  <si>
    <t>Technical Assistance Loan</t>
  </si>
  <si>
    <t>Health and Education Project</t>
  </si>
  <si>
    <t>Health and Education Project Phase 2</t>
  </si>
  <si>
    <t>Reconstruction of Harbours ( Consessional )</t>
  </si>
  <si>
    <t>Reconstruction of Harbours (Istisna)</t>
  </si>
  <si>
    <t>Sanitation in 5 islands ( Istisna)</t>
  </si>
  <si>
    <t>Sanitation in 5 islands ( Consessional )</t>
  </si>
  <si>
    <t>Asian Development Bank(ADB)</t>
  </si>
  <si>
    <t>Information Technology Development Project</t>
  </si>
  <si>
    <t>Outer Island Electrification</t>
  </si>
  <si>
    <t>Employment Skills Training Project</t>
  </si>
  <si>
    <t>Regional Development Project Phase 2</t>
  </si>
  <si>
    <t>Domestic Maritime transport Project</t>
  </si>
  <si>
    <t>Private Sector Development Porject</t>
  </si>
  <si>
    <t>Micro Small &amp; Medium Enterprises dev project</t>
  </si>
  <si>
    <t>Post Secondary Education Development Project</t>
  </si>
  <si>
    <t>OPEC Fund For International Development (OFID)</t>
  </si>
  <si>
    <t>-</t>
  </si>
  <si>
    <t>Provision of water supply &amp; sewerage project</t>
  </si>
  <si>
    <t>Danish Commercial Loan (DANIDA)</t>
  </si>
  <si>
    <t>Fourth Power Generation Project</t>
  </si>
  <si>
    <t>Supplementary loan for Fourth Power</t>
  </si>
  <si>
    <t>ING Bank / Netherland</t>
  </si>
  <si>
    <t>Dredging &amp; Reclamation Project (4 islands)</t>
  </si>
  <si>
    <t>Ga. Villingili Reclamation Project</t>
  </si>
  <si>
    <t>EXIM Bank / China</t>
  </si>
  <si>
    <t>1000 Housing Units in Hulumale'</t>
  </si>
  <si>
    <t>1500 Housing Units</t>
  </si>
  <si>
    <t>EXIM Bank / India</t>
  </si>
  <si>
    <t>500 Housing Units</t>
  </si>
  <si>
    <t>Bank of Cylon</t>
  </si>
  <si>
    <t>Velaanaage Office building</t>
  </si>
  <si>
    <t xml:space="preserve">Procurement of construction equipment </t>
  </si>
  <si>
    <t xml:space="preserve">Coastal Surveillance Vessel </t>
  </si>
  <si>
    <t>India</t>
  </si>
  <si>
    <t>Standby Credit Facilities</t>
  </si>
  <si>
    <t>Police 9 story Building</t>
  </si>
  <si>
    <t>MNDF 9 story Building</t>
  </si>
  <si>
    <t xml:space="preserve">Hulhumale' Project </t>
  </si>
  <si>
    <t>Other</t>
  </si>
  <si>
    <t>Airports</t>
  </si>
  <si>
    <t>Tsunami Projects</t>
  </si>
  <si>
    <t>Surveillance Radar Communication System</t>
  </si>
  <si>
    <t xml:space="preserve">Procurement of communication equipment </t>
  </si>
  <si>
    <t>Faculty of Health Science Project</t>
  </si>
  <si>
    <t>Construction of S.Hithadhoo Hospital (Funded by Saudhi/OFID)</t>
  </si>
  <si>
    <t>Source: Ministry of Finance and Treasury</t>
  </si>
  <si>
    <t>Small Scale Waste-to-Energy Project</t>
  </si>
  <si>
    <t>Preparing Outer island for sustainable energy (POISED)</t>
  </si>
  <si>
    <t>Outer Island Water Supply and Sewerage</t>
  </si>
  <si>
    <t>Establishment of a regional Solid waste management in Upper North Region</t>
  </si>
  <si>
    <t>Development of  GDh atoll</t>
  </si>
  <si>
    <t>Ibrahim Nasir international Airport Development Project</t>
  </si>
  <si>
    <t>Male-Hulhule Bridge Project</t>
  </si>
  <si>
    <t>European Investment Bank (EIB)</t>
  </si>
  <si>
    <t>Preparing Outer Island for Sustainable Energy (POISED)</t>
  </si>
  <si>
    <t>ތާވަލު 13.9: ބޮޑެތި މަޝްރޫޢުތަކަށް ރާއްޖޭން ބޭރުން ނެގޭ ލޯނުތަކުން ޚަރަދުކުރެވޭ ގޮތް، 2006 - 2017</t>
  </si>
  <si>
    <t>Table  13.9 : EXPENDITURE ON MAJOR PROJECTS FINANCED BY FOREIGN LOANS, 2006- 2017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</si>
</sst>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7" formatCode="_(* #,##0.0_);_(* \(#,##0.0\);_(* &quot;-&quot;??_);_(@_)"/>
    <numFmt numFmtId="169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name val="Faruma"/>
    </font>
    <font>
      <b/>
      <i/>
      <sz val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6">
    <xf numFmtId="0" fontId="0" fillId="0" borderId="0" xfId="0"/>
    <xf numFmtId="164" fontId="4" fillId="2" borderId="0" xfId="2" applyNumberFormat="1" applyFont="1" applyFill="1" applyAlignment="1">
      <alignment vertical="center"/>
    </xf>
    <xf numFmtId="164" fontId="3" fillId="2" borderId="0" xfId="2" applyNumberFormat="1" applyFont="1" applyFill="1" applyAlignment="1">
      <alignment vertical="center"/>
    </xf>
    <xf numFmtId="164" fontId="3" fillId="2" borderId="2" xfId="2" applyNumberFormat="1" applyFont="1" applyFill="1" applyBorder="1" applyAlignment="1">
      <alignment vertical="center"/>
    </xf>
    <xf numFmtId="164" fontId="3" fillId="2" borderId="2" xfId="2" applyNumberFormat="1" applyFont="1" applyFill="1" applyBorder="1" applyAlignment="1" applyProtection="1">
      <alignment horizontal="right" vertical="center"/>
      <protection locked="0"/>
    </xf>
    <xf numFmtId="164" fontId="3" fillId="2" borderId="1" xfId="2" applyNumberFormat="1" applyFont="1" applyFill="1" applyBorder="1" applyAlignment="1" applyProtection="1">
      <alignment horizontal="right"/>
    </xf>
    <xf numFmtId="164" fontId="4" fillId="2" borderId="0" xfId="2" applyNumberFormat="1" applyFont="1" applyFill="1" applyBorder="1" applyAlignment="1">
      <alignment vertical="center"/>
    </xf>
    <xf numFmtId="164" fontId="3" fillId="2" borderId="0" xfId="2" applyNumberFormat="1" applyFont="1" applyFill="1" applyBorder="1" applyAlignment="1" applyProtection="1">
      <alignment horizontal="left" vertical="center"/>
    </xf>
    <xf numFmtId="167" fontId="4" fillId="2" borderId="0" xfId="1" applyNumberFormat="1" applyFont="1" applyFill="1" applyAlignment="1">
      <alignment horizontal="right" vertical="center"/>
    </xf>
    <xf numFmtId="164" fontId="3" fillId="2" borderId="0" xfId="2" applyNumberFormat="1" applyFont="1" applyFill="1" applyAlignment="1" applyProtection="1">
      <alignment horizontal="left" vertical="center"/>
    </xf>
    <xf numFmtId="169" fontId="4" fillId="2" borderId="0" xfId="0" applyNumberFormat="1" applyFont="1" applyFill="1" applyAlignment="1">
      <alignment horizontal="left" indent="1"/>
    </xf>
    <xf numFmtId="0" fontId="4" fillId="2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169" fontId="3" fillId="2" borderId="0" xfId="0" applyNumberFormat="1" applyFont="1" applyFill="1" applyAlignment="1">
      <alignment horizontal="left" indent="1"/>
    </xf>
    <xf numFmtId="0" fontId="4" fillId="2" borderId="3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43" fontId="4" fillId="2" borderId="0" xfId="1" applyNumberFormat="1" applyFont="1" applyFill="1" applyBorder="1" applyAlignment="1">
      <alignment horizontal="right" vertical="center"/>
    </xf>
    <xf numFmtId="164" fontId="4" fillId="2" borderId="0" xfId="2" applyNumberFormat="1" applyFont="1" applyFill="1" applyAlignment="1">
      <alignment horizontal="left" vertical="center"/>
    </xf>
    <xf numFmtId="43" fontId="4" fillId="2" borderId="0" xfId="1" applyNumberFormat="1" applyFont="1" applyFill="1" applyAlignment="1">
      <alignment horizontal="right" vertical="center"/>
    </xf>
    <xf numFmtId="169" fontId="4" fillId="2" borderId="0" xfId="2" applyNumberFormat="1" applyFont="1" applyFill="1" applyAlignment="1">
      <alignment horizontal="left" vertical="center"/>
    </xf>
    <xf numFmtId="164" fontId="4" fillId="2" borderId="0" xfId="2" applyNumberFormat="1" applyFont="1" applyFill="1" applyAlignment="1">
      <alignment horizontal="right" vertical="center"/>
    </xf>
    <xf numFmtId="169" fontId="3" fillId="2" borderId="0" xfId="2" applyNumberFormat="1" applyFont="1" applyFill="1" applyBorder="1" applyAlignment="1" applyProtection="1">
      <alignment horizontal="right"/>
    </xf>
    <xf numFmtId="169" fontId="3" fillId="2" borderId="0" xfId="1" applyNumberFormat="1" applyFont="1" applyFill="1" applyAlignment="1">
      <alignment horizontal="right" vertical="center"/>
    </xf>
    <xf numFmtId="169" fontId="3" fillId="2" borderId="0" xfId="1" applyNumberFormat="1" applyFont="1" applyFill="1" applyBorder="1" applyAlignment="1">
      <alignment horizontal="right" vertical="center"/>
    </xf>
    <xf numFmtId="169" fontId="8" fillId="2" borderId="0" xfId="1" applyNumberFormat="1" applyFont="1" applyFill="1" applyBorder="1" applyAlignment="1">
      <alignment horizontal="right" vertical="center"/>
    </xf>
    <xf numFmtId="169" fontId="4" fillId="2" borderId="0" xfId="1" applyNumberFormat="1" applyFont="1" applyFill="1" applyAlignment="1">
      <alignment horizontal="right" vertical="center"/>
    </xf>
    <xf numFmtId="169" fontId="3" fillId="2" borderId="0" xfId="1" applyNumberFormat="1" applyFont="1" applyFill="1" applyAlignment="1">
      <alignment vertical="center"/>
    </xf>
    <xf numFmtId="169" fontId="4" fillId="2" borderId="3" xfId="1" applyNumberFormat="1" applyFont="1" applyFill="1" applyBorder="1" applyAlignment="1">
      <alignment horizontal="right" vertical="center"/>
    </xf>
    <xf numFmtId="169" fontId="4" fillId="2" borderId="0" xfId="1" applyNumberFormat="1" applyFont="1" applyFill="1" applyBorder="1" applyAlignment="1">
      <alignment horizontal="right" vertical="center"/>
    </xf>
    <xf numFmtId="169" fontId="4" fillId="2" borderId="1" xfId="1" applyNumberFormat="1" applyFont="1" applyFill="1" applyBorder="1" applyAlignment="1">
      <alignment horizontal="right" vertical="center"/>
    </xf>
    <xf numFmtId="164" fontId="6" fillId="2" borderId="0" xfId="2" applyNumberFormat="1" applyFont="1" applyFill="1" applyAlignment="1">
      <alignment horizontal="center" vertical="center"/>
    </xf>
    <xf numFmtId="164" fontId="3" fillId="2" borderId="0" xfId="2" applyNumberFormat="1" applyFont="1" applyFill="1" applyBorder="1" applyAlignment="1" applyProtection="1">
      <alignment horizontal="center" vertical="center"/>
    </xf>
    <xf numFmtId="164" fontId="3" fillId="2" borderId="2" xfId="2" applyNumberFormat="1" applyFont="1" applyFill="1" applyBorder="1" applyAlignment="1" applyProtection="1">
      <alignment horizontal="left" vertical="center"/>
    </xf>
    <xf numFmtId="164" fontId="3" fillId="2" borderId="1" xfId="2" applyNumberFormat="1" applyFont="1" applyFill="1" applyBorder="1" applyAlignment="1" applyProtection="1">
      <alignment horizontal="left" vertical="center"/>
    </xf>
    <xf numFmtId="0" fontId="7" fillId="2" borderId="0" xfId="0" applyFont="1" applyFill="1" applyBorder="1" applyAlignment="1">
      <alignment horizontal="left" vertical="center"/>
    </xf>
  </cellXfs>
  <cellStyles count="3">
    <cellStyle name="Comma" xfId="1" builtinId="3"/>
    <cellStyle name="Normal" xfId="0" builtinId="0"/>
    <cellStyle name="Normal_13 Public Finance_done 2" xfId="2"/>
  </cellStyles>
  <dxfs count="0"/>
  <tableStyles count="0" defaultTableStyle="TableStyleMedium9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53</xdr:row>
      <xdr:rowOff>0</xdr:rowOff>
    </xdr:from>
    <xdr:to>
      <xdr:col>0</xdr:col>
      <xdr:colOff>1743075</xdr:colOff>
      <xdr:row>53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9265920"/>
          <a:ext cx="1743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1743075</xdr:colOff>
      <xdr:row>51</xdr:row>
      <xdr:rowOff>0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0" y="8915400"/>
          <a:ext cx="1743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3"/>
  <sheetViews>
    <sheetView tabSelected="1" zoomScaleNormal="100" workbookViewId="0">
      <selection activeCell="R17" sqref="R17"/>
    </sheetView>
  </sheetViews>
  <sheetFormatPr defaultColWidth="9.140625" defaultRowHeight="12.75" x14ac:dyDescent="0.25"/>
  <cols>
    <col min="1" max="1" width="51.28515625" style="1" customWidth="1"/>
    <col min="2" max="2" width="12.5703125" style="1" customWidth="1"/>
    <col min="3" max="3" width="9.28515625" style="1" customWidth="1"/>
    <col min="4" max="5" width="8.7109375" style="1" customWidth="1"/>
    <col min="6" max="6" width="11.7109375" style="21" customWidth="1"/>
    <col min="7" max="12" width="8.7109375" style="1" customWidth="1"/>
    <col min="13" max="16384" width="9.140625" style="1"/>
  </cols>
  <sheetData>
    <row r="1" spans="1:17" ht="15.75" customHeight="1" x14ac:dyDescent="0.25">
      <c r="A1" s="31" t="s">
        <v>99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7" s="2" customFormat="1" ht="13.5" customHeight="1" x14ac:dyDescent="0.25">
      <c r="A2" s="32" t="s">
        <v>100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7" s="2" customFormat="1" ht="15" customHeight="1" x14ac:dyDescent="0.25">
      <c r="A3" s="32" t="s">
        <v>5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7" s="2" customFormat="1" x14ac:dyDescent="0.25">
      <c r="A4" s="33" t="s">
        <v>6</v>
      </c>
      <c r="B4" s="3"/>
      <c r="C4" s="3"/>
      <c r="D4" s="4"/>
      <c r="E4" s="4"/>
      <c r="F4" s="3"/>
      <c r="G4" s="4" t="s">
        <v>1</v>
      </c>
      <c r="H4" s="4" t="s">
        <v>1</v>
      </c>
      <c r="I4" s="4" t="s">
        <v>1</v>
      </c>
      <c r="J4" s="4" t="s">
        <v>0</v>
      </c>
      <c r="K4" s="4" t="s">
        <v>2</v>
      </c>
      <c r="L4" s="4" t="s">
        <v>3</v>
      </c>
      <c r="M4" s="4" t="s">
        <v>3</v>
      </c>
    </row>
    <row r="5" spans="1:17" s="6" customFormat="1" x14ac:dyDescent="0.2">
      <c r="A5" s="34"/>
      <c r="B5" s="5">
        <v>2006</v>
      </c>
      <c r="C5" s="5">
        <v>2007</v>
      </c>
      <c r="D5" s="5">
        <v>2008</v>
      </c>
      <c r="E5" s="5">
        <v>2009</v>
      </c>
      <c r="F5" s="5">
        <v>2010</v>
      </c>
      <c r="G5" s="5">
        <v>2011</v>
      </c>
      <c r="H5" s="5">
        <v>2012</v>
      </c>
      <c r="I5" s="5">
        <v>2013</v>
      </c>
      <c r="J5" s="5">
        <v>2014</v>
      </c>
      <c r="K5" s="5">
        <v>2015</v>
      </c>
      <c r="L5" s="5">
        <v>2016</v>
      </c>
      <c r="M5" s="5">
        <v>2017</v>
      </c>
    </row>
    <row r="6" spans="1:17" s="6" customFormat="1" x14ac:dyDescent="0.25">
      <c r="A6" s="7"/>
      <c r="G6" s="8"/>
      <c r="H6" s="8"/>
      <c r="I6" s="8"/>
      <c r="J6" s="8"/>
      <c r="K6" s="8"/>
      <c r="L6" s="8"/>
      <c r="M6" s="8"/>
    </row>
    <row r="7" spans="1:17" s="2" customFormat="1" ht="14.25" customHeight="1" x14ac:dyDescent="0.2">
      <c r="A7" s="9" t="s">
        <v>7</v>
      </c>
      <c r="B7" s="22">
        <f>B8+B13+B17+B24+B28+B31+B39+B44+B62+B72+B80+B84+B88+B94+B100+B105+B111</f>
        <v>806.06999999999994</v>
      </c>
      <c r="C7" s="22">
        <f>C8+C13+C17+C24+C28+C31+C39+C44+C62+C72+C80+C84+C88+C94+C100+C105+C111</f>
        <v>816.50812199999996</v>
      </c>
      <c r="D7" s="22">
        <f>D8+D13+D17+D24+D28+D31+D39+D44+D62+D72+D80+D84+D88+D94+D100+D105+D111</f>
        <v>755.14876800000002</v>
      </c>
      <c r="E7" s="22">
        <f>E8+E13+E17+E24+E28+E31+E39+E44+E62+E72+E80+E84+E88+E94+E100+E105+E111</f>
        <v>778.84185679999996</v>
      </c>
      <c r="F7" s="22">
        <f>F8+F13+F17+F24+F28+F31+F39+F44+F62+F72+F80+F84+F88+F94+F100+F105+F111</f>
        <v>1283.0207659999999</v>
      </c>
      <c r="G7" s="22">
        <f>G8+G13+G17+G24+G28+G31+G39+G44+G62+G72+G80+G84+G88+G94+G97+G100+G105+G111</f>
        <v>1398.4178940000002</v>
      </c>
      <c r="H7" s="22">
        <f t="shared" ref="H7:M7" si="0">H8+H13+H17+H24+H28+H31+H39+H44+H62+H72+H80+H84+H88+H94+H97+H100+H105+H111</f>
        <v>1145.8582073</v>
      </c>
      <c r="I7" s="22">
        <f t="shared" si="0"/>
        <v>1187.1923500000003</v>
      </c>
      <c r="J7" s="22">
        <f t="shared" si="0"/>
        <v>388.57995399999999</v>
      </c>
      <c r="K7" s="22">
        <f t="shared" si="0"/>
        <v>1903.123171</v>
      </c>
      <c r="L7" s="22">
        <f t="shared" si="0"/>
        <v>2663.4449690000006</v>
      </c>
      <c r="M7" s="22">
        <f t="shared" si="0"/>
        <v>3112.5118650000004</v>
      </c>
    </row>
    <row r="8" spans="1:17" s="2" customFormat="1" ht="14.25" customHeight="1" x14ac:dyDescent="0.2">
      <c r="A8" s="35" t="s">
        <v>8</v>
      </c>
      <c r="B8" s="23">
        <f>SUM(B9:B11)</f>
        <v>0</v>
      </c>
      <c r="C8" s="23">
        <f t="shared" ref="C8:M8" si="1">SUM(C9:C11)</f>
        <v>0</v>
      </c>
      <c r="D8" s="23">
        <f t="shared" si="1"/>
        <v>0</v>
      </c>
      <c r="E8" s="24">
        <f t="shared" si="1"/>
        <v>40.133375999999998</v>
      </c>
      <c r="F8" s="24">
        <f t="shared" si="1"/>
        <v>22.482177</v>
      </c>
      <c r="G8" s="23">
        <f t="shared" si="1"/>
        <v>181.95449299999999</v>
      </c>
      <c r="H8" s="23">
        <f t="shared" si="1"/>
        <v>153.78399200000001</v>
      </c>
      <c r="I8" s="23">
        <f t="shared" si="1"/>
        <v>37.905923999999999</v>
      </c>
      <c r="J8" s="23">
        <f t="shared" si="1"/>
        <v>62.918917999999998</v>
      </c>
      <c r="K8" s="23">
        <f t="shared" si="1"/>
        <v>85.817891000000003</v>
      </c>
      <c r="L8" s="23">
        <f t="shared" si="1"/>
        <v>77.477096000000003</v>
      </c>
      <c r="M8" s="23">
        <f t="shared" si="1"/>
        <v>56.699958000000002</v>
      </c>
      <c r="N8" s="13"/>
      <c r="O8" s="13"/>
      <c r="P8" s="13"/>
      <c r="Q8" s="13"/>
    </row>
    <row r="9" spans="1:17" s="2" customFormat="1" ht="14.25" customHeight="1" x14ac:dyDescent="0.2">
      <c r="A9" s="11" t="s">
        <v>9</v>
      </c>
      <c r="B9" s="25" t="s">
        <v>60</v>
      </c>
      <c r="C9" s="25" t="s">
        <v>60</v>
      </c>
      <c r="D9" s="25" t="s">
        <v>60</v>
      </c>
      <c r="E9" s="26">
        <v>40.133375999999998</v>
      </c>
      <c r="F9" s="26">
        <v>22.482177</v>
      </c>
      <c r="G9" s="26">
        <v>134.44019499999999</v>
      </c>
      <c r="H9" s="26">
        <v>5.2662300000000002</v>
      </c>
      <c r="I9" s="26">
        <v>14.556865</v>
      </c>
      <c r="J9" s="26">
        <v>48.365276000000001</v>
      </c>
      <c r="K9" s="26">
        <v>27.203237999999999</v>
      </c>
      <c r="L9" s="26" t="s">
        <v>60</v>
      </c>
      <c r="M9" s="26" t="s">
        <v>60</v>
      </c>
      <c r="N9" s="10"/>
      <c r="O9" s="10"/>
      <c r="P9" s="10"/>
      <c r="Q9" s="10"/>
    </row>
    <row r="10" spans="1:17" s="2" customFormat="1" ht="14.25" customHeight="1" x14ac:dyDescent="0.2">
      <c r="A10" s="11" t="s">
        <v>10</v>
      </c>
      <c r="B10" s="25" t="s">
        <v>60</v>
      </c>
      <c r="C10" s="25" t="s">
        <v>60</v>
      </c>
      <c r="D10" s="25" t="s">
        <v>60</v>
      </c>
      <c r="E10" s="26">
        <v>0</v>
      </c>
      <c r="F10" s="26">
        <v>0</v>
      </c>
      <c r="G10" s="26">
        <v>47.514297999999997</v>
      </c>
      <c r="H10" s="26">
        <v>148.517762</v>
      </c>
      <c r="I10" s="26">
        <v>23.349059</v>
      </c>
      <c r="J10" s="26">
        <v>14.441013</v>
      </c>
      <c r="K10" s="26" t="s">
        <v>60</v>
      </c>
      <c r="L10" s="26" t="s">
        <v>60</v>
      </c>
      <c r="M10" s="26" t="s">
        <v>60</v>
      </c>
      <c r="N10" s="10"/>
      <c r="O10" s="10"/>
      <c r="P10" s="10"/>
      <c r="Q10" s="10"/>
    </row>
    <row r="11" spans="1:17" s="2" customFormat="1" ht="14.25" customHeight="1" x14ac:dyDescent="0.2">
      <c r="A11" s="11" t="s">
        <v>11</v>
      </c>
      <c r="B11" s="25" t="s">
        <v>60</v>
      </c>
      <c r="C11" s="25" t="s">
        <v>60</v>
      </c>
      <c r="D11" s="25" t="s">
        <v>60</v>
      </c>
      <c r="E11" s="26">
        <v>0</v>
      </c>
      <c r="F11" s="26">
        <v>0</v>
      </c>
      <c r="G11" s="26" t="s">
        <v>60</v>
      </c>
      <c r="H11" s="26" t="s">
        <v>60</v>
      </c>
      <c r="I11" s="26" t="s">
        <v>60</v>
      </c>
      <c r="J11" s="26">
        <v>0.11262900000000001</v>
      </c>
      <c r="K11" s="26">
        <v>58.614652999999997</v>
      </c>
      <c r="L11" s="26">
        <v>77.477096000000003</v>
      </c>
      <c r="M11" s="26">
        <v>56.699958000000002</v>
      </c>
      <c r="N11" s="10"/>
      <c r="O11" s="10"/>
      <c r="P11" s="10"/>
      <c r="Q11" s="10"/>
    </row>
    <row r="12" spans="1:17" s="2" customFormat="1" ht="9.75" customHeight="1" x14ac:dyDescent="0.2">
      <c r="A12" s="11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10"/>
      <c r="O12" s="10"/>
      <c r="P12" s="10"/>
      <c r="Q12" s="10"/>
    </row>
    <row r="13" spans="1:17" s="2" customFormat="1" ht="14.25" customHeight="1" x14ac:dyDescent="0.2">
      <c r="A13" s="35" t="s">
        <v>12</v>
      </c>
      <c r="B13" s="26">
        <f t="shared" ref="B13:F13" si="2">SUM(B14)</f>
        <v>0</v>
      </c>
      <c r="C13" s="26">
        <f t="shared" si="2"/>
        <v>0</v>
      </c>
      <c r="D13" s="26">
        <f t="shared" si="2"/>
        <v>0</v>
      </c>
      <c r="E13" s="26">
        <f t="shared" si="2"/>
        <v>0</v>
      </c>
      <c r="F13" s="23">
        <f t="shared" si="2"/>
        <v>13.876379999999999</v>
      </c>
      <c r="G13" s="22">
        <f>SUM(G14:G15)</f>
        <v>16.510059999999999</v>
      </c>
      <c r="H13" s="22">
        <f t="shared" ref="H13:M13" si="3">SUM(H14:H15)</f>
        <v>87.622929999999997</v>
      </c>
      <c r="I13" s="22">
        <f t="shared" si="3"/>
        <v>21.216504</v>
      </c>
      <c r="J13" s="22">
        <f t="shared" si="3"/>
        <v>9.7509049999999995</v>
      </c>
      <c r="K13" s="22">
        <f t="shared" si="3"/>
        <v>52.096708</v>
      </c>
      <c r="L13" s="22">
        <f t="shared" si="3"/>
        <v>59.425112999999996</v>
      </c>
      <c r="M13" s="22">
        <f t="shared" si="3"/>
        <v>18.492000000000001</v>
      </c>
      <c r="N13" s="10"/>
      <c r="O13" s="10"/>
      <c r="P13" s="10"/>
      <c r="Q13" s="10"/>
    </row>
    <row r="14" spans="1:17" s="2" customFormat="1" ht="14.25" customHeight="1" x14ac:dyDescent="0.2">
      <c r="A14" s="11" t="s">
        <v>13</v>
      </c>
      <c r="B14" s="25" t="s">
        <v>60</v>
      </c>
      <c r="C14" s="25" t="s">
        <v>60</v>
      </c>
      <c r="D14" s="25" t="s">
        <v>60</v>
      </c>
      <c r="E14" s="25" t="s">
        <v>60</v>
      </c>
      <c r="F14" s="26">
        <v>13.876379999999999</v>
      </c>
      <c r="G14" s="26">
        <v>16.510059999999999</v>
      </c>
      <c r="H14" s="26">
        <v>87.622929999999997</v>
      </c>
      <c r="I14" s="26">
        <v>21.216504</v>
      </c>
      <c r="J14" s="26">
        <v>9.7509049999999995</v>
      </c>
      <c r="K14" s="26">
        <v>38.227708</v>
      </c>
      <c r="L14" s="26">
        <v>40.933112999999999</v>
      </c>
      <c r="M14" s="26" t="s">
        <v>60</v>
      </c>
      <c r="N14" s="10"/>
      <c r="O14" s="10"/>
      <c r="P14" s="10"/>
      <c r="Q14" s="10"/>
    </row>
    <row r="15" spans="1:17" s="2" customFormat="1" ht="14.25" customHeight="1" x14ac:dyDescent="0.2">
      <c r="A15" s="11" t="s">
        <v>90</v>
      </c>
      <c r="B15" s="25" t="s">
        <v>60</v>
      </c>
      <c r="C15" s="25" t="s">
        <v>60</v>
      </c>
      <c r="D15" s="25" t="s">
        <v>60</v>
      </c>
      <c r="E15" s="25" t="s">
        <v>60</v>
      </c>
      <c r="F15" s="25" t="s">
        <v>60</v>
      </c>
      <c r="G15" s="25" t="s">
        <v>60</v>
      </c>
      <c r="H15" s="26" t="s">
        <v>60</v>
      </c>
      <c r="I15" s="26" t="s">
        <v>60</v>
      </c>
      <c r="J15" s="26" t="s">
        <v>60</v>
      </c>
      <c r="K15" s="26">
        <v>13.869</v>
      </c>
      <c r="L15" s="26">
        <v>18.492000000000001</v>
      </c>
      <c r="M15" s="26">
        <v>18.492000000000001</v>
      </c>
      <c r="N15" s="10"/>
      <c r="O15" s="10"/>
      <c r="P15" s="10"/>
      <c r="Q15" s="10"/>
    </row>
    <row r="16" spans="1:17" s="2" customFormat="1" ht="14.25" customHeight="1" x14ac:dyDescent="0.2">
      <c r="A16" s="11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10"/>
      <c r="O16" s="10"/>
      <c r="P16" s="10"/>
      <c r="Q16" s="10"/>
    </row>
    <row r="17" spans="1:17" s="2" customFormat="1" ht="14.25" customHeight="1" x14ac:dyDescent="0.2">
      <c r="A17" s="35" t="s">
        <v>14</v>
      </c>
      <c r="B17" s="23">
        <f>SUM(B18:B22)</f>
        <v>21.2</v>
      </c>
      <c r="C17" s="23">
        <f t="shared" ref="C17:M17" si="4">SUM(C18:C22)</f>
        <v>9.5</v>
      </c>
      <c r="D17" s="23">
        <f t="shared" si="4"/>
        <v>2.7</v>
      </c>
      <c r="E17" s="23">
        <f t="shared" si="4"/>
        <v>4.1224828000000002</v>
      </c>
      <c r="F17" s="23">
        <f t="shared" si="4"/>
        <v>65.438178000000008</v>
      </c>
      <c r="G17" s="22">
        <f t="shared" si="4"/>
        <v>41.59984</v>
      </c>
      <c r="H17" s="23">
        <f t="shared" si="4"/>
        <v>9.1164190000000005</v>
      </c>
      <c r="I17" s="23">
        <f t="shared" si="4"/>
        <v>0</v>
      </c>
      <c r="J17" s="23">
        <f t="shared" si="4"/>
        <v>0</v>
      </c>
      <c r="K17" s="23">
        <f t="shared" si="4"/>
        <v>45.953657</v>
      </c>
      <c r="L17" s="23">
        <f t="shared" si="4"/>
        <v>86.717984999999999</v>
      </c>
      <c r="M17" s="23">
        <f t="shared" si="4"/>
        <v>138.13731300000001</v>
      </c>
      <c r="N17" s="10"/>
      <c r="O17" s="10"/>
      <c r="P17" s="10"/>
      <c r="Q17" s="10"/>
    </row>
    <row r="18" spans="1:17" s="2" customFormat="1" ht="14.25" customHeight="1" x14ac:dyDescent="0.2">
      <c r="A18" s="11" t="s">
        <v>15</v>
      </c>
      <c r="B18" s="25" t="s">
        <v>60</v>
      </c>
      <c r="C18" s="25" t="s">
        <v>60</v>
      </c>
      <c r="D18" s="25" t="s">
        <v>60</v>
      </c>
      <c r="E18" s="26">
        <v>0.77411799999999997</v>
      </c>
      <c r="F18" s="26">
        <v>63.394744000000003</v>
      </c>
      <c r="G18" s="26">
        <v>41.59984</v>
      </c>
      <c r="H18" s="26">
        <v>9.1164190000000005</v>
      </c>
      <c r="I18" s="26" t="s">
        <v>60</v>
      </c>
      <c r="J18" s="26" t="s">
        <v>60</v>
      </c>
      <c r="K18" s="26" t="s">
        <v>60</v>
      </c>
      <c r="L18" s="26" t="s">
        <v>60</v>
      </c>
      <c r="M18" s="26" t="s">
        <v>60</v>
      </c>
      <c r="N18" s="10"/>
      <c r="O18" s="10"/>
      <c r="P18" s="10"/>
      <c r="Q18" s="10"/>
    </row>
    <row r="19" spans="1:17" s="2" customFormat="1" ht="14.25" customHeight="1" x14ac:dyDescent="0.2">
      <c r="A19" s="11" t="s">
        <v>16</v>
      </c>
      <c r="B19" s="25" t="s">
        <v>60</v>
      </c>
      <c r="C19" s="25" t="s">
        <v>60</v>
      </c>
      <c r="D19" s="25" t="s">
        <v>60</v>
      </c>
      <c r="E19" s="26">
        <v>0</v>
      </c>
      <c r="F19" s="26">
        <v>0</v>
      </c>
      <c r="G19" s="26" t="s">
        <v>60</v>
      </c>
      <c r="H19" s="26" t="s">
        <v>60</v>
      </c>
      <c r="I19" s="26" t="s">
        <v>60</v>
      </c>
      <c r="J19" s="26" t="s">
        <v>60</v>
      </c>
      <c r="K19" s="26">
        <v>22.838657000000001</v>
      </c>
      <c r="L19" s="26">
        <v>34.257984999999998</v>
      </c>
      <c r="M19" s="26">
        <v>45.677312999999998</v>
      </c>
      <c r="N19" s="10"/>
      <c r="O19" s="10"/>
      <c r="P19" s="10"/>
      <c r="Q19" s="10"/>
    </row>
    <row r="20" spans="1:17" s="2" customFormat="1" ht="14.25" customHeight="1" x14ac:dyDescent="0.2">
      <c r="A20" s="11" t="s">
        <v>17</v>
      </c>
      <c r="B20" s="25" t="s">
        <v>60</v>
      </c>
      <c r="C20" s="25" t="s">
        <v>60</v>
      </c>
      <c r="D20" s="25" t="s">
        <v>60</v>
      </c>
      <c r="E20" s="26">
        <v>0</v>
      </c>
      <c r="F20" s="26">
        <v>0</v>
      </c>
      <c r="G20" s="26" t="s">
        <v>60</v>
      </c>
      <c r="H20" s="26" t="s">
        <v>60</v>
      </c>
      <c r="I20" s="26" t="s">
        <v>60</v>
      </c>
      <c r="J20" s="26" t="s">
        <v>60</v>
      </c>
      <c r="K20" s="26">
        <v>23.114999999999998</v>
      </c>
      <c r="L20" s="26">
        <v>52.46</v>
      </c>
      <c r="M20" s="26">
        <v>92.46</v>
      </c>
      <c r="N20" s="10"/>
      <c r="O20" s="10"/>
      <c r="P20" s="10"/>
      <c r="Q20" s="10"/>
    </row>
    <row r="21" spans="1:17" s="2" customFormat="1" ht="14.25" customHeight="1" x14ac:dyDescent="0.2">
      <c r="A21" s="11" t="s">
        <v>18</v>
      </c>
      <c r="B21" s="25" t="s">
        <v>60</v>
      </c>
      <c r="C21" s="25" t="s">
        <v>60</v>
      </c>
      <c r="D21" s="25" t="s">
        <v>60</v>
      </c>
      <c r="E21" s="26">
        <v>3.3483648000000001</v>
      </c>
      <c r="F21" s="26">
        <v>2.043434</v>
      </c>
      <c r="G21" s="26" t="s">
        <v>60</v>
      </c>
      <c r="H21" s="26" t="s">
        <v>60</v>
      </c>
      <c r="I21" s="26" t="s">
        <v>60</v>
      </c>
      <c r="J21" s="26" t="s">
        <v>60</v>
      </c>
      <c r="K21" s="26" t="s">
        <v>60</v>
      </c>
      <c r="L21" s="26" t="s">
        <v>60</v>
      </c>
      <c r="M21" s="26" t="s">
        <v>60</v>
      </c>
      <c r="N21" s="10"/>
      <c r="O21" s="10"/>
      <c r="P21" s="10"/>
      <c r="Q21" s="10"/>
    </row>
    <row r="22" spans="1:17" s="2" customFormat="1" ht="14.25" customHeight="1" x14ac:dyDescent="0.2">
      <c r="A22" s="12" t="s">
        <v>19</v>
      </c>
      <c r="B22" s="26">
        <v>21.2</v>
      </c>
      <c r="C22" s="26">
        <v>9.5</v>
      </c>
      <c r="D22" s="26">
        <v>2.7</v>
      </c>
      <c r="E22" s="26">
        <v>0</v>
      </c>
      <c r="F22" s="26">
        <v>0</v>
      </c>
      <c r="G22" s="26" t="s">
        <v>60</v>
      </c>
      <c r="H22" s="26" t="s">
        <v>60</v>
      </c>
      <c r="I22" s="26" t="s">
        <v>60</v>
      </c>
      <c r="J22" s="26" t="s">
        <v>60</v>
      </c>
      <c r="K22" s="26" t="s">
        <v>60</v>
      </c>
      <c r="L22" s="26" t="s">
        <v>60</v>
      </c>
      <c r="M22" s="26" t="s">
        <v>60</v>
      </c>
      <c r="N22" s="10"/>
      <c r="O22" s="10"/>
      <c r="P22" s="10"/>
      <c r="Q22" s="10"/>
    </row>
    <row r="23" spans="1:17" s="2" customFormat="1" ht="14.25" customHeight="1" x14ac:dyDescent="0.2">
      <c r="A23" s="12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10"/>
      <c r="O23" s="10"/>
      <c r="P23" s="10"/>
      <c r="Q23" s="10"/>
    </row>
    <row r="24" spans="1:17" s="2" customFormat="1" ht="14.25" customHeight="1" x14ac:dyDescent="0.2">
      <c r="A24" s="35" t="s">
        <v>20</v>
      </c>
      <c r="B24" s="23">
        <f>SUM(B25:B26)</f>
        <v>0</v>
      </c>
      <c r="C24" s="23">
        <f t="shared" ref="C24:M24" si="5">SUM(C25:C26)</f>
        <v>0</v>
      </c>
      <c r="D24" s="23">
        <f t="shared" si="5"/>
        <v>0</v>
      </c>
      <c r="E24" s="23">
        <f t="shared" si="5"/>
        <v>73.282560000000004</v>
      </c>
      <c r="F24" s="23">
        <f t="shared" si="5"/>
        <v>249.074994</v>
      </c>
      <c r="G24" s="22">
        <f t="shared" si="5"/>
        <v>32.668301999999997</v>
      </c>
      <c r="H24" s="23">
        <f t="shared" si="5"/>
        <v>7.1360210000000004</v>
      </c>
      <c r="I24" s="23">
        <f t="shared" si="5"/>
        <v>0</v>
      </c>
      <c r="J24" s="23">
        <f t="shared" si="5"/>
        <v>0</v>
      </c>
      <c r="K24" s="23">
        <f t="shared" si="5"/>
        <v>308.2</v>
      </c>
      <c r="L24" s="23">
        <f t="shared" si="5"/>
        <v>308.2</v>
      </c>
      <c r="M24" s="23">
        <f t="shared" si="5"/>
        <v>462.3</v>
      </c>
      <c r="N24" s="13"/>
      <c r="O24" s="13"/>
      <c r="P24" s="13"/>
      <c r="Q24" s="13"/>
    </row>
    <row r="25" spans="1:17" s="2" customFormat="1" ht="14.25" customHeight="1" x14ac:dyDescent="0.2">
      <c r="A25" s="11" t="s">
        <v>21</v>
      </c>
      <c r="B25" s="25" t="s">
        <v>60</v>
      </c>
      <c r="C25" s="25" t="s">
        <v>60</v>
      </c>
      <c r="D25" s="25" t="s">
        <v>60</v>
      </c>
      <c r="E25" s="26">
        <v>73.282560000000004</v>
      </c>
      <c r="F25" s="26">
        <v>249.074994</v>
      </c>
      <c r="G25" s="26">
        <v>32.668301999999997</v>
      </c>
      <c r="H25" s="26">
        <v>7.1360210000000004</v>
      </c>
      <c r="I25" s="26" t="s">
        <v>60</v>
      </c>
      <c r="J25" s="26" t="s">
        <v>60</v>
      </c>
      <c r="K25" s="26" t="s">
        <v>60</v>
      </c>
      <c r="L25" s="26" t="s">
        <v>60</v>
      </c>
      <c r="M25" s="26" t="s">
        <v>60</v>
      </c>
      <c r="N25" s="10"/>
      <c r="O25" s="10"/>
      <c r="P25" s="10"/>
      <c r="Q25" s="10"/>
    </row>
    <row r="26" spans="1:17" s="2" customFormat="1" ht="14.25" customHeight="1" x14ac:dyDescent="0.2">
      <c r="A26" s="11" t="s">
        <v>22</v>
      </c>
      <c r="B26" s="25" t="s">
        <v>60</v>
      </c>
      <c r="C26" s="25" t="s">
        <v>60</v>
      </c>
      <c r="D26" s="25" t="s">
        <v>60</v>
      </c>
      <c r="E26" s="25" t="s">
        <v>60</v>
      </c>
      <c r="F26" s="25" t="s">
        <v>60</v>
      </c>
      <c r="G26" s="25" t="s">
        <v>60</v>
      </c>
      <c r="H26" s="26">
        <v>0</v>
      </c>
      <c r="I26" s="26" t="s">
        <v>60</v>
      </c>
      <c r="J26" s="26" t="s">
        <v>60</v>
      </c>
      <c r="K26" s="26">
        <v>308.2</v>
      </c>
      <c r="L26" s="26">
        <v>308.2</v>
      </c>
      <c r="M26" s="26">
        <v>462.3</v>
      </c>
      <c r="N26" s="10"/>
      <c r="O26" s="10"/>
      <c r="P26" s="10"/>
      <c r="Q26" s="10"/>
    </row>
    <row r="27" spans="1:17" s="2" customFormat="1" ht="14.25" customHeight="1" x14ac:dyDescent="0.2">
      <c r="A27" s="11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10"/>
      <c r="O27" s="10"/>
      <c r="P27" s="10"/>
      <c r="Q27" s="10"/>
    </row>
    <row r="28" spans="1:17" s="2" customFormat="1" ht="14.25" customHeight="1" x14ac:dyDescent="0.2">
      <c r="A28" s="35" t="s">
        <v>23</v>
      </c>
      <c r="B28" s="23">
        <f>SUM(B29)</f>
        <v>0</v>
      </c>
      <c r="C28" s="23">
        <f t="shared" ref="C28:M28" si="6">SUM(C29)</f>
        <v>0</v>
      </c>
      <c r="D28" s="23">
        <f t="shared" si="6"/>
        <v>0</v>
      </c>
      <c r="E28" s="23">
        <f t="shared" si="6"/>
        <v>0.52935699999999997</v>
      </c>
      <c r="F28" s="23">
        <f t="shared" si="6"/>
        <v>3.4447350000000001</v>
      </c>
      <c r="G28" s="22">
        <f t="shared" si="6"/>
        <v>0.482072</v>
      </c>
      <c r="H28" s="23">
        <f t="shared" si="6"/>
        <v>49.063294999999997</v>
      </c>
      <c r="I28" s="23">
        <f t="shared" si="6"/>
        <v>66.525672</v>
      </c>
      <c r="J28" s="23">
        <f t="shared" si="6"/>
        <v>93.785722000000007</v>
      </c>
      <c r="K28" s="23">
        <f t="shared" si="6"/>
        <v>58.484983999999997</v>
      </c>
      <c r="L28" s="23">
        <f t="shared" si="6"/>
        <v>0</v>
      </c>
      <c r="M28" s="23">
        <f t="shared" si="6"/>
        <v>0</v>
      </c>
      <c r="N28" s="13"/>
      <c r="O28" s="13"/>
      <c r="P28" s="13"/>
      <c r="Q28" s="13"/>
    </row>
    <row r="29" spans="1:17" s="2" customFormat="1" ht="14.25" customHeight="1" x14ac:dyDescent="0.2">
      <c r="A29" s="11" t="s">
        <v>24</v>
      </c>
      <c r="B29" s="25" t="s">
        <v>60</v>
      </c>
      <c r="C29" s="25" t="s">
        <v>60</v>
      </c>
      <c r="D29" s="25" t="s">
        <v>60</v>
      </c>
      <c r="E29" s="26">
        <v>0.52935699999999997</v>
      </c>
      <c r="F29" s="26">
        <v>3.4447350000000001</v>
      </c>
      <c r="G29" s="26">
        <v>0.482072</v>
      </c>
      <c r="H29" s="26">
        <v>49.063294999999997</v>
      </c>
      <c r="I29" s="26">
        <v>66.525672</v>
      </c>
      <c r="J29" s="26">
        <v>93.785722000000007</v>
      </c>
      <c r="K29" s="26">
        <v>58.484983999999997</v>
      </c>
      <c r="L29" s="26" t="s">
        <v>60</v>
      </c>
      <c r="M29" s="26" t="s">
        <v>60</v>
      </c>
      <c r="N29" s="10"/>
      <c r="O29" s="10"/>
      <c r="P29" s="10"/>
      <c r="Q29" s="10"/>
    </row>
    <row r="30" spans="1:17" s="2" customFormat="1" ht="14.25" customHeight="1" x14ac:dyDescent="0.2">
      <c r="A30" s="11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10"/>
      <c r="O30" s="10"/>
      <c r="P30" s="10"/>
      <c r="Q30" s="10"/>
    </row>
    <row r="31" spans="1:17" s="2" customFormat="1" ht="14.25" customHeight="1" x14ac:dyDescent="0.2">
      <c r="A31" s="35" t="s">
        <v>25</v>
      </c>
      <c r="B31" s="23">
        <f>SUM(B32:B37)</f>
        <v>5.3</v>
      </c>
      <c r="C31" s="23">
        <f t="shared" ref="C31:M31" si="7">SUM(C32:C37)</f>
        <v>35.1</v>
      </c>
      <c r="D31" s="23">
        <f t="shared" si="7"/>
        <v>43.17801</v>
      </c>
      <c r="E31" s="23">
        <f t="shared" si="7"/>
        <v>73.612108800000001</v>
      </c>
      <c r="F31" s="23">
        <f t="shared" si="7"/>
        <v>56.078963999999999</v>
      </c>
      <c r="G31" s="22">
        <f t="shared" si="7"/>
        <v>114.40424900000001</v>
      </c>
      <c r="H31" s="23">
        <f t="shared" si="7"/>
        <v>86.079061999999993</v>
      </c>
      <c r="I31" s="23">
        <f t="shared" si="7"/>
        <v>59.978202999999993</v>
      </c>
      <c r="J31" s="23">
        <f t="shared" si="7"/>
        <v>6.4983189999999995</v>
      </c>
      <c r="K31" s="23">
        <f t="shared" si="7"/>
        <v>0.98324699999999998</v>
      </c>
      <c r="L31" s="23">
        <f t="shared" si="7"/>
        <v>0</v>
      </c>
      <c r="M31" s="23">
        <f t="shared" si="7"/>
        <v>0</v>
      </c>
      <c r="N31" s="10"/>
      <c r="O31" s="10"/>
      <c r="P31" s="10"/>
      <c r="Q31" s="10"/>
    </row>
    <row r="32" spans="1:17" s="2" customFormat="1" ht="14.25" customHeight="1" x14ac:dyDescent="0.2">
      <c r="A32" s="11" t="s">
        <v>26</v>
      </c>
      <c r="B32" s="26">
        <v>5.3</v>
      </c>
      <c r="C32" s="26">
        <v>26</v>
      </c>
      <c r="D32" s="26">
        <v>39.338009999999997</v>
      </c>
      <c r="E32" s="26">
        <v>15.217036800000001</v>
      </c>
      <c r="F32" s="26">
        <v>1.2089019999999999</v>
      </c>
      <c r="G32" s="26">
        <v>47.196472</v>
      </c>
      <c r="H32" s="26">
        <v>0</v>
      </c>
      <c r="I32" s="26">
        <v>0</v>
      </c>
      <c r="J32" s="26">
        <v>0</v>
      </c>
      <c r="K32" s="26">
        <v>0</v>
      </c>
      <c r="L32" s="26">
        <v>0</v>
      </c>
      <c r="M32" s="26">
        <v>0</v>
      </c>
      <c r="N32" s="10"/>
      <c r="O32" s="10"/>
      <c r="P32" s="10"/>
      <c r="Q32" s="10"/>
    </row>
    <row r="33" spans="1:17" s="2" customFormat="1" ht="14.25" customHeight="1" x14ac:dyDescent="0.2">
      <c r="A33" s="11" t="s">
        <v>27</v>
      </c>
      <c r="B33" s="26">
        <v>0</v>
      </c>
      <c r="C33" s="26">
        <v>0</v>
      </c>
      <c r="D33" s="26">
        <v>3.84</v>
      </c>
      <c r="E33" s="26">
        <v>29.44</v>
      </c>
      <c r="F33" s="26">
        <v>24.441600000000001</v>
      </c>
      <c r="G33" s="26">
        <v>27.064851000000001</v>
      </c>
      <c r="H33" s="26">
        <v>18.497710999999999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10"/>
      <c r="O33" s="10"/>
      <c r="P33" s="10"/>
      <c r="Q33" s="10"/>
    </row>
    <row r="34" spans="1:17" s="2" customFormat="1" ht="14.25" customHeight="1" x14ac:dyDescent="0.2">
      <c r="A34" s="11" t="s">
        <v>28</v>
      </c>
      <c r="B34" s="26">
        <v>0</v>
      </c>
      <c r="C34" s="26">
        <v>0</v>
      </c>
      <c r="D34" s="26">
        <v>0</v>
      </c>
      <c r="E34" s="26">
        <v>15.268672</v>
      </c>
      <c r="F34" s="26">
        <v>26.117453000000001</v>
      </c>
      <c r="G34" s="26">
        <v>16.562859</v>
      </c>
      <c r="H34" s="26">
        <v>56.438654999999997</v>
      </c>
      <c r="I34" s="26">
        <v>49.712792999999998</v>
      </c>
      <c r="J34" s="26">
        <v>6.4735279999999999</v>
      </c>
      <c r="K34" s="26">
        <v>0.98324699999999998</v>
      </c>
      <c r="L34" s="26" t="s">
        <v>60</v>
      </c>
      <c r="M34" s="26" t="s">
        <v>60</v>
      </c>
      <c r="N34" s="10"/>
      <c r="O34" s="10"/>
      <c r="P34" s="10"/>
      <c r="Q34" s="10"/>
    </row>
    <row r="35" spans="1:17" s="2" customFormat="1" ht="14.25" customHeight="1" x14ac:dyDescent="0.2">
      <c r="A35" s="11" t="s">
        <v>29</v>
      </c>
      <c r="B35" s="26">
        <v>0</v>
      </c>
      <c r="C35" s="26">
        <v>0</v>
      </c>
      <c r="D35" s="26">
        <v>0</v>
      </c>
      <c r="E35" s="26">
        <v>10.133760000000001</v>
      </c>
      <c r="F35" s="26">
        <v>4.3110090000000003</v>
      </c>
      <c r="G35" s="26">
        <v>23.580067</v>
      </c>
      <c r="H35" s="26">
        <v>11.142696000000001</v>
      </c>
      <c r="I35" s="26">
        <v>10.265409999999999</v>
      </c>
      <c r="J35" s="26">
        <v>2.4791000000000001E-2</v>
      </c>
      <c r="K35" s="26" t="s">
        <v>60</v>
      </c>
      <c r="L35" s="26" t="s">
        <v>60</v>
      </c>
      <c r="M35" s="26" t="s">
        <v>60</v>
      </c>
      <c r="N35" s="10"/>
      <c r="O35" s="10"/>
      <c r="P35" s="10"/>
      <c r="Q35" s="10"/>
    </row>
    <row r="36" spans="1:17" s="2" customFormat="1" ht="14.25" customHeight="1" x14ac:dyDescent="0.2">
      <c r="A36" s="11" t="s">
        <v>21</v>
      </c>
      <c r="B36" s="26">
        <v>0</v>
      </c>
      <c r="C36" s="26">
        <v>0</v>
      </c>
      <c r="D36" s="26">
        <v>0</v>
      </c>
      <c r="E36" s="26">
        <v>3.5526399999999998</v>
      </c>
      <c r="F36" s="26">
        <v>0</v>
      </c>
      <c r="G36" s="26">
        <v>0</v>
      </c>
      <c r="H36" s="26" t="s">
        <v>60</v>
      </c>
      <c r="I36" s="26" t="s">
        <v>60</v>
      </c>
      <c r="J36" s="26" t="s">
        <v>60</v>
      </c>
      <c r="K36" s="26" t="s">
        <v>60</v>
      </c>
      <c r="L36" s="26" t="s">
        <v>60</v>
      </c>
      <c r="M36" s="26" t="s">
        <v>60</v>
      </c>
      <c r="N36" s="10"/>
      <c r="O36" s="10"/>
      <c r="P36" s="10"/>
      <c r="Q36" s="10"/>
    </row>
    <row r="37" spans="1:17" s="2" customFormat="1" ht="14.25" customHeight="1" x14ac:dyDescent="0.2">
      <c r="A37" s="11" t="s">
        <v>30</v>
      </c>
      <c r="B37" s="26">
        <v>0</v>
      </c>
      <c r="C37" s="26">
        <v>9.1</v>
      </c>
      <c r="D37" s="26">
        <v>0</v>
      </c>
      <c r="E37" s="26">
        <v>0</v>
      </c>
      <c r="F37" s="26">
        <v>0</v>
      </c>
      <c r="G37" s="26">
        <v>0</v>
      </c>
      <c r="H37" s="26" t="s">
        <v>60</v>
      </c>
      <c r="I37" s="26" t="s">
        <v>60</v>
      </c>
      <c r="J37" s="26" t="s">
        <v>60</v>
      </c>
      <c r="K37" s="26" t="s">
        <v>60</v>
      </c>
      <c r="L37" s="26" t="s">
        <v>60</v>
      </c>
      <c r="M37" s="26" t="s">
        <v>60</v>
      </c>
      <c r="N37" s="10"/>
      <c r="O37" s="10"/>
      <c r="P37" s="10"/>
      <c r="Q37" s="10"/>
    </row>
    <row r="38" spans="1:17" s="2" customFormat="1" ht="14.25" customHeight="1" x14ac:dyDescent="0.2">
      <c r="A38" s="11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10"/>
      <c r="O38" s="10"/>
      <c r="P38" s="10"/>
      <c r="Q38" s="10"/>
    </row>
    <row r="39" spans="1:17" s="2" customFormat="1" ht="14.25" customHeight="1" x14ac:dyDescent="0.2">
      <c r="A39" s="35" t="s">
        <v>31</v>
      </c>
      <c r="B39" s="23">
        <f t="shared" ref="B39:M39" si="8">SUM(B40:B42)</f>
        <v>0</v>
      </c>
      <c r="C39" s="23">
        <f t="shared" si="8"/>
        <v>0</v>
      </c>
      <c r="D39" s="23">
        <f t="shared" si="8"/>
        <v>0</v>
      </c>
      <c r="E39" s="23">
        <f t="shared" si="8"/>
        <v>0.97870100000000004</v>
      </c>
      <c r="F39" s="23">
        <f t="shared" si="8"/>
        <v>16.572000000000003</v>
      </c>
      <c r="G39" s="22">
        <f t="shared" si="8"/>
        <v>26.341757999999999</v>
      </c>
      <c r="H39" s="23">
        <f t="shared" si="8"/>
        <v>18.887602999999999</v>
      </c>
      <c r="I39" s="23">
        <f t="shared" si="8"/>
        <v>2.7029269999999999</v>
      </c>
      <c r="J39" s="23">
        <f t="shared" si="8"/>
        <v>10.548725000000001</v>
      </c>
      <c r="K39" s="23">
        <f t="shared" si="8"/>
        <v>36.516497999999999</v>
      </c>
      <c r="L39" s="23">
        <f t="shared" si="8"/>
        <v>0</v>
      </c>
      <c r="M39" s="23">
        <f t="shared" si="8"/>
        <v>0</v>
      </c>
      <c r="N39" s="10"/>
      <c r="O39" s="10"/>
      <c r="P39" s="10"/>
      <c r="Q39" s="10"/>
    </row>
    <row r="40" spans="1:17" s="2" customFormat="1" ht="14.25" customHeight="1" x14ac:dyDescent="0.2">
      <c r="A40" s="11" t="s">
        <v>32</v>
      </c>
      <c r="B40" s="26">
        <v>0</v>
      </c>
      <c r="C40" s="26">
        <v>0</v>
      </c>
      <c r="D40" s="26">
        <v>0</v>
      </c>
      <c r="E40" s="26">
        <v>0</v>
      </c>
      <c r="F40" s="26">
        <v>10.172000000000001</v>
      </c>
      <c r="G40" s="26">
        <v>12.119864</v>
      </c>
      <c r="H40" s="26">
        <v>5.4513499999999999E-2</v>
      </c>
      <c r="I40" s="26" t="s">
        <v>60</v>
      </c>
      <c r="J40" s="26" t="s">
        <v>60</v>
      </c>
      <c r="K40" s="26" t="s">
        <v>60</v>
      </c>
      <c r="L40" s="26" t="s">
        <v>60</v>
      </c>
      <c r="M40" s="26" t="s">
        <v>60</v>
      </c>
      <c r="N40" s="10"/>
      <c r="O40" s="10"/>
      <c r="P40" s="10"/>
      <c r="Q40" s="10"/>
    </row>
    <row r="41" spans="1:17" s="2" customFormat="1" ht="14.25" customHeight="1" x14ac:dyDescent="0.2">
      <c r="A41" s="12" t="s">
        <v>32</v>
      </c>
      <c r="B41" s="26">
        <v>0</v>
      </c>
      <c r="C41" s="26">
        <v>0</v>
      </c>
      <c r="D41" s="26">
        <v>0</v>
      </c>
      <c r="E41" s="26">
        <v>0</v>
      </c>
      <c r="F41" s="26">
        <v>0</v>
      </c>
      <c r="G41" s="26">
        <v>14.221894000000001</v>
      </c>
      <c r="H41" s="26">
        <v>14.6449775</v>
      </c>
      <c r="I41" s="26">
        <v>0</v>
      </c>
      <c r="J41" s="26">
        <v>6.539091</v>
      </c>
      <c r="K41" s="26" t="s">
        <v>60</v>
      </c>
      <c r="L41" s="26" t="s">
        <v>60</v>
      </c>
      <c r="M41" s="26" t="s">
        <v>60</v>
      </c>
      <c r="N41" s="10"/>
      <c r="O41" s="10"/>
      <c r="P41" s="10"/>
      <c r="Q41" s="10"/>
    </row>
    <row r="42" spans="1:17" s="2" customFormat="1" ht="14.25" customHeight="1" x14ac:dyDescent="0.2">
      <c r="A42" s="11" t="s">
        <v>33</v>
      </c>
      <c r="B42" s="26">
        <v>0</v>
      </c>
      <c r="C42" s="26">
        <v>0</v>
      </c>
      <c r="D42" s="26">
        <v>0</v>
      </c>
      <c r="E42" s="26">
        <v>0.97870100000000004</v>
      </c>
      <c r="F42" s="26">
        <v>6.4</v>
      </c>
      <c r="G42" s="26">
        <v>0</v>
      </c>
      <c r="H42" s="26">
        <v>4.1881120000000003</v>
      </c>
      <c r="I42" s="26">
        <v>2.7029269999999999</v>
      </c>
      <c r="J42" s="26">
        <v>4.0096340000000001</v>
      </c>
      <c r="K42" s="26">
        <v>36.516497999999999</v>
      </c>
      <c r="L42" s="26" t="s">
        <v>60</v>
      </c>
      <c r="M42" s="26" t="s">
        <v>60</v>
      </c>
      <c r="N42" s="10"/>
      <c r="O42" s="10"/>
      <c r="P42" s="10"/>
      <c r="Q42" s="10"/>
    </row>
    <row r="43" spans="1:17" s="2" customFormat="1" ht="14.25" customHeight="1" x14ac:dyDescent="0.2">
      <c r="A43" s="11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10"/>
      <c r="O43" s="10"/>
      <c r="P43" s="10"/>
      <c r="Q43" s="10"/>
    </row>
    <row r="44" spans="1:17" s="2" customFormat="1" ht="14.25" customHeight="1" x14ac:dyDescent="0.2">
      <c r="A44" s="35" t="s">
        <v>34</v>
      </c>
      <c r="B44" s="23">
        <f>SUM(B45:B59)</f>
        <v>144.19999999999999</v>
      </c>
      <c r="C44" s="23">
        <f>SUM(C45:C59)</f>
        <v>18</v>
      </c>
      <c r="D44" s="23">
        <f>SUM(D45:D59)</f>
        <v>68.600000000000009</v>
      </c>
      <c r="E44" s="23">
        <f>SUM(E45:E59)</f>
        <v>60.392844799999999</v>
      </c>
      <c r="F44" s="23">
        <f>SUM(F45:F59)</f>
        <v>27.212074000000001</v>
      </c>
      <c r="G44" s="23">
        <f t="shared" ref="G44:M44" si="9">SUM(G45:G60)</f>
        <v>86.673029999999997</v>
      </c>
      <c r="H44" s="23">
        <f t="shared" si="9"/>
        <v>82.244337999999999</v>
      </c>
      <c r="I44" s="23">
        <f t="shared" si="9"/>
        <v>30.346392999999999</v>
      </c>
      <c r="J44" s="23">
        <f t="shared" si="9"/>
        <v>41.409409999999994</v>
      </c>
      <c r="K44" s="23">
        <f t="shared" si="9"/>
        <v>129.13102900000001</v>
      </c>
      <c r="L44" s="23">
        <f t="shared" si="9"/>
        <v>255.66126100000002</v>
      </c>
      <c r="M44" s="23">
        <f t="shared" si="9"/>
        <v>250.67343500000001</v>
      </c>
      <c r="N44" s="10"/>
      <c r="O44" s="10"/>
      <c r="P44" s="10"/>
      <c r="Q44" s="10"/>
    </row>
    <row r="45" spans="1:17" s="2" customFormat="1" ht="14.25" customHeight="1" x14ac:dyDescent="0.2">
      <c r="A45" s="11" t="s">
        <v>35</v>
      </c>
      <c r="B45" s="25" t="s">
        <v>60</v>
      </c>
      <c r="C45" s="25" t="s">
        <v>60</v>
      </c>
      <c r="D45" s="26">
        <v>1.4</v>
      </c>
      <c r="E45" s="25" t="s">
        <v>60</v>
      </c>
      <c r="F45" s="26">
        <v>0.383718</v>
      </c>
      <c r="G45" s="26" t="s">
        <v>60</v>
      </c>
      <c r="H45" s="26" t="s">
        <v>60</v>
      </c>
      <c r="I45" s="26" t="s">
        <v>60</v>
      </c>
      <c r="J45" s="26" t="s">
        <v>60</v>
      </c>
      <c r="K45" s="26" t="s">
        <v>60</v>
      </c>
      <c r="L45" s="26" t="s">
        <v>60</v>
      </c>
      <c r="M45" s="26" t="s">
        <v>60</v>
      </c>
      <c r="N45" s="10"/>
      <c r="O45" s="10"/>
      <c r="P45" s="10"/>
      <c r="Q45" s="10"/>
    </row>
    <row r="46" spans="1:17" ht="14.25" customHeight="1" x14ac:dyDescent="0.2">
      <c r="A46" s="11" t="s">
        <v>36</v>
      </c>
      <c r="B46" s="25" t="s">
        <v>60</v>
      </c>
      <c r="C46" s="25" t="s">
        <v>60</v>
      </c>
      <c r="D46" s="25" t="s">
        <v>60</v>
      </c>
      <c r="E46" s="25" t="s">
        <v>60</v>
      </c>
      <c r="F46" s="26">
        <v>0</v>
      </c>
      <c r="G46" s="26">
        <v>20.308920000000001</v>
      </c>
      <c r="H46" s="26" t="s">
        <v>60</v>
      </c>
      <c r="I46" s="26" t="s">
        <v>60</v>
      </c>
      <c r="J46" s="26" t="s">
        <v>60</v>
      </c>
      <c r="K46" s="26" t="s">
        <v>60</v>
      </c>
      <c r="L46" s="26" t="s">
        <v>60</v>
      </c>
      <c r="M46" s="26" t="s">
        <v>60</v>
      </c>
      <c r="N46" s="10"/>
      <c r="O46" s="10"/>
      <c r="P46" s="10"/>
      <c r="Q46" s="10"/>
    </row>
    <row r="47" spans="1:17" ht="14.25" customHeight="1" x14ac:dyDescent="0.2">
      <c r="A47" s="11" t="s">
        <v>37</v>
      </c>
      <c r="B47" s="25" t="s">
        <v>60</v>
      </c>
      <c r="C47" s="25" t="s">
        <v>60</v>
      </c>
      <c r="D47" s="25" t="s">
        <v>60</v>
      </c>
      <c r="E47" s="26">
        <v>12.635954999999999</v>
      </c>
      <c r="F47" s="26">
        <v>23.015940000000001</v>
      </c>
      <c r="G47" s="26">
        <v>35.039594999999998</v>
      </c>
      <c r="H47" s="26">
        <v>22.579273000000001</v>
      </c>
      <c r="I47" s="26">
        <v>0.46817999999999999</v>
      </c>
      <c r="J47" s="26" t="s">
        <v>60</v>
      </c>
      <c r="K47" s="26" t="s">
        <v>60</v>
      </c>
      <c r="L47" s="26" t="s">
        <v>60</v>
      </c>
      <c r="M47" s="26" t="s">
        <v>60</v>
      </c>
      <c r="N47" s="10"/>
      <c r="O47" s="10"/>
      <c r="P47" s="10"/>
      <c r="Q47" s="10"/>
    </row>
    <row r="48" spans="1:17" ht="14.25" customHeight="1" x14ac:dyDescent="0.2">
      <c r="A48" s="12" t="s">
        <v>38</v>
      </c>
      <c r="B48" s="25" t="s">
        <v>60</v>
      </c>
      <c r="C48" s="25" t="s">
        <v>60</v>
      </c>
      <c r="D48" s="25" t="s">
        <v>60</v>
      </c>
      <c r="E48" s="26">
        <v>1.758157</v>
      </c>
      <c r="F48" s="26">
        <v>3.8124159999999998</v>
      </c>
      <c r="G48" s="26">
        <v>31.324515000000002</v>
      </c>
      <c r="H48" s="26">
        <v>59.665064999999998</v>
      </c>
      <c r="I48" s="26">
        <v>29.878212999999999</v>
      </c>
      <c r="J48" s="26" t="s">
        <v>60</v>
      </c>
      <c r="K48" s="26" t="s">
        <v>60</v>
      </c>
      <c r="L48" s="26" t="s">
        <v>60</v>
      </c>
      <c r="M48" s="26" t="s">
        <v>60</v>
      </c>
      <c r="N48" s="10"/>
      <c r="O48" s="10"/>
      <c r="P48" s="10"/>
      <c r="Q48" s="10"/>
    </row>
    <row r="49" spans="1:17" ht="14.25" customHeight="1" x14ac:dyDescent="0.2">
      <c r="A49" s="11" t="s">
        <v>39</v>
      </c>
      <c r="B49" s="25" t="s">
        <v>60</v>
      </c>
      <c r="C49" s="25" t="s">
        <v>60</v>
      </c>
      <c r="D49" s="25" t="s">
        <v>60</v>
      </c>
      <c r="E49" s="25" t="s">
        <v>60</v>
      </c>
      <c r="F49" s="25" t="s">
        <v>60</v>
      </c>
      <c r="G49" s="25" t="s">
        <v>60</v>
      </c>
      <c r="H49" s="25" t="s">
        <v>60</v>
      </c>
      <c r="I49" s="25" t="s">
        <v>60</v>
      </c>
      <c r="J49" s="26">
        <v>1.1032090000000001</v>
      </c>
      <c r="K49" s="26">
        <v>17.639976999999998</v>
      </c>
      <c r="L49" s="26">
        <v>21.559971999999998</v>
      </c>
      <c r="M49" s="26">
        <v>22.001190999999999</v>
      </c>
      <c r="N49" s="10"/>
      <c r="O49" s="10"/>
      <c r="P49" s="10"/>
      <c r="Q49" s="10"/>
    </row>
    <row r="50" spans="1:17" ht="14.25" customHeight="1" x14ac:dyDescent="0.2">
      <c r="A50" s="12" t="s">
        <v>40</v>
      </c>
      <c r="B50" s="25" t="s">
        <v>60</v>
      </c>
      <c r="C50" s="25" t="s">
        <v>60</v>
      </c>
      <c r="D50" s="25" t="s">
        <v>60</v>
      </c>
      <c r="E50" s="25" t="s">
        <v>60</v>
      </c>
      <c r="F50" s="25" t="s">
        <v>60</v>
      </c>
      <c r="G50" s="25" t="s">
        <v>60</v>
      </c>
      <c r="H50" s="25" t="s">
        <v>60</v>
      </c>
      <c r="I50" s="25" t="s">
        <v>60</v>
      </c>
      <c r="J50" s="26">
        <v>11.315166</v>
      </c>
      <c r="K50" s="26">
        <v>35</v>
      </c>
      <c r="L50" s="26">
        <v>62.975639000000001</v>
      </c>
      <c r="M50" s="26">
        <v>47.231727999999997</v>
      </c>
      <c r="N50" s="10"/>
      <c r="O50" s="10"/>
      <c r="P50" s="10"/>
      <c r="Q50" s="10"/>
    </row>
    <row r="51" spans="1:17" ht="14.25" customHeight="1" x14ac:dyDescent="0.2">
      <c r="A51" s="11" t="s">
        <v>41</v>
      </c>
      <c r="B51" s="26">
        <v>137.1</v>
      </c>
      <c r="C51" s="26">
        <v>10</v>
      </c>
      <c r="D51" s="25" t="s">
        <v>60</v>
      </c>
      <c r="E51" s="25" t="s">
        <v>60</v>
      </c>
      <c r="F51" s="25" t="s">
        <v>60</v>
      </c>
      <c r="G51" s="25" t="s">
        <v>60</v>
      </c>
      <c r="H51" s="25" t="s">
        <v>60</v>
      </c>
      <c r="I51" s="25" t="s">
        <v>60</v>
      </c>
      <c r="J51" s="26" t="s">
        <v>60</v>
      </c>
      <c r="K51" s="26" t="s">
        <v>60</v>
      </c>
      <c r="L51" s="26" t="s">
        <v>60</v>
      </c>
      <c r="M51" s="26" t="s">
        <v>60</v>
      </c>
      <c r="N51" s="10"/>
      <c r="O51" s="10"/>
      <c r="P51" s="10"/>
      <c r="Q51" s="10"/>
    </row>
    <row r="52" spans="1:17" ht="14.25" customHeight="1" x14ac:dyDescent="0.2">
      <c r="A52" s="11" t="s">
        <v>42</v>
      </c>
      <c r="B52" s="25" t="s">
        <v>60</v>
      </c>
      <c r="C52" s="25" t="s">
        <v>60</v>
      </c>
      <c r="D52" s="26">
        <v>67.2</v>
      </c>
      <c r="E52" s="26">
        <v>38.764032</v>
      </c>
      <c r="F52" s="25" t="s">
        <v>60</v>
      </c>
      <c r="G52" s="25" t="s">
        <v>60</v>
      </c>
      <c r="H52" s="25" t="s">
        <v>60</v>
      </c>
      <c r="I52" s="25" t="s">
        <v>60</v>
      </c>
      <c r="J52" s="26" t="s">
        <v>60</v>
      </c>
      <c r="K52" s="26" t="s">
        <v>60</v>
      </c>
      <c r="L52" s="26" t="s">
        <v>60</v>
      </c>
      <c r="M52" s="26" t="s">
        <v>60</v>
      </c>
      <c r="N52" s="10"/>
      <c r="O52" s="10"/>
      <c r="P52" s="10"/>
      <c r="Q52" s="10"/>
    </row>
    <row r="53" spans="1:17" ht="14.25" customHeight="1" x14ac:dyDescent="0.2">
      <c r="A53" s="11" t="s">
        <v>43</v>
      </c>
      <c r="B53" s="25" t="s">
        <v>60</v>
      </c>
      <c r="C53" s="25" t="s">
        <v>60</v>
      </c>
      <c r="D53" s="25" t="s">
        <v>60</v>
      </c>
      <c r="E53" s="26">
        <v>6.4</v>
      </c>
      <c r="F53" s="25" t="s">
        <v>60</v>
      </c>
      <c r="G53" s="25" t="s">
        <v>60</v>
      </c>
      <c r="H53" s="25" t="s">
        <v>60</v>
      </c>
      <c r="I53" s="25" t="s">
        <v>60</v>
      </c>
      <c r="J53" s="26" t="s">
        <v>60</v>
      </c>
      <c r="K53" s="26" t="s">
        <v>60</v>
      </c>
      <c r="L53" s="26" t="s">
        <v>60</v>
      </c>
      <c r="M53" s="26" t="s">
        <v>60</v>
      </c>
      <c r="N53" s="10"/>
      <c r="O53" s="10"/>
      <c r="P53" s="10"/>
      <c r="Q53" s="10"/>
    </row>
    <row r="54" spans="1:17" ht="14.25" customHeight="1" x14ac:dyDescent="0.2">
      <c r="A54" s="12" t="s">
        <v>44</v>
      </c>
      <c r="B54" s="26">
        <v>7</v>
      </c>
      <c r="C54" s="26">
        <v>3.8</v>
      </c>
      <c r="D54" s="25" t="s">
        <v>60</v>
      </c>
      <c r="E54" s="25" t="s">
        <v>60</v>
      </c>
      <c r="F54" s="25" t="s">
        <v>60</v>
      </c>
      <c r="G54" s="25" t="s">
        <v>60</v>
      </c>
      <c r="H54" s="25" t="s">
        <v>60</v>
      </c>
      <c r="I54" s="25" t="s">
        <v>60</v>
      </c>
      <c r="J54" s="26" t="s">
        <v>60</v>
      </c>
      <c r="K54" s="26" t="s">
        <v>60</v>
      </c>
      <c r="L54" s="26" t="s">
        <v>60</v>
      </c>
      <c r="M54" s="26" t="s">
        <v>60</v>
      </c>
      <c r="N54" s="10"/>
      <c r="O54" s="10"/>
      <c r="P54" s="10"/>
      <c r="Q54" s="10"/>
    </row>
    <row r="55" spans="1:17" ht="14.25" customHeight="1" x14ac:dyDescent="0.2">
      <c r="A55" s="11" t="s">
        <v>45</v>
      </c>
      <c r="B55" s="26">
        <v>0.1</v>
      </c>
      <c r="C55" s="26">
        <v>4.2</v>
      </c>
      <c r="D55" s="26">
        <v>0</v>
      </c>
      <c r="E55" s="26">
        <v>0.83470080000000002</v>
      </c>
      <c r="F55" s="25" t="s">
        <v>60</v>
      </c>
      <c r="G55" s="25" t="s">
        <v>60</v>
      </c>
      <c r="H55" s="25" t="s">
        <v>60</v>
      </c>
      <c r="I55" s="25" t="s">
        <v>60</v>
      </c>
      <c r="J55" s="26" t="s">
        <v>60</v>
      </c>
      <c r="K55" s="26" t="s">
        <v>60</v>
      </c>
      <c r="L55" s="26" t="s">
        <v>60</v>
      </c>
      <c r="M55" s="26" t="s">
        <v>60</v>
      </c>
      <c r="N55" s="10"/>
      <c r="O55" s="10"/>
      <c r="P55" s="10"/>
      <c r="Q55" s="10"/>
    </row>
    <row r="56" spans="1:17" ht="14.25" customHeight="1" x14ac:dyDescent="0.2">
      <c r="A56" s="11" t="s">
        <v>46</v>
      </c>
      <c r="B56" s="25" t="s">
        <v>60</v>
      </c>
      <c r="C56" s="25" t="s">
        <v>60</v>
      </c>
      <c r="D56" s="25" t="s">
        <v>60</v>
      </c>
      <c r="E56" s="25" t="s">
        <v>60</v>
      </c>
      <c r="F56" s="25" t="s">
        <v>60</v>
      </c>
      <c r="G56" s="25" t="s">
        <v>60</v>
      </c>
      <c r="H56" s="25" t="s">
        <v>60</v>
      </c>
      <c r="I56" s="25" t="s">
        <v>60</v>
      </c>
      <c r="J56" s="26">
        <v>9.2148699999999995</v>
      </c>
      <c r="K56" s="26">
        <v>35</v>
      </c>
      <c r="L56" s="26">
        <v>30.944600000000001</v>
      </c>
      <c r="M56" s="26">
        <v>41.259467000000001</v>
      </c>
      <c r="N56" s="10"/>
      <c r="O56" s="10"/>
      <c r="P56" s="10"/>
      <c r="Q56" s="10"/>
    </row>
    <row r="57" spans="1:17" ht="14.25" customHeight="1" x14ac:dyDescent="0.2">
      <c r="A57" s="11" t="s">
        <v>47</v>
      </c>
      <c r="B57" s="25" t="s">
        <v>60</v>
      </c>
      <c r="C57" s="25" t="s">
        <v>60</v>
      </c>
      <c r="D57" s="25" t="s">
        <v>60</v>
      </c>
      <c r="E57" s="25" t="s">
        <v>60</v>
      </c>
      <c r="F57" s="25" t="s">
        <v>60</v>
      </c>
      <c r="G57" s="25" t="s">
        <v>60</v>
      </c>
      <c r="H57" s="25" t="s">
        <v>60</v>
      </c>
      <c r="I57" s="25" t="s">
        <v>60</v>
      </c>
      <c r="J57" s="26">
        <v>9.2460000000000004</v>
      </c>
      <c r="K57" s="26">
        <v>20</v>
      </c>
      <c r="L57" s="26">
        <v>46.23</v>
      </c>
      <c r="M57" s="26">
        <v>46.23</v>
      </c>
      <c r="N57" s="10"/>
      <c r="O57" s="10"/>
      <c r="P57" s="10"/>
      <c r="Q57" s="10"/>
    </row>
    <row r="58" spans="1:17" ht="14.25" customHeight="1" x14ac:dyDescent="0.2">
      <c r="A58" s="11" t="s">
        <v>48</v>
      </c>
      <c r="B58" s="25" t="s">
        <v>60</v>
      </c>
      <c r="C58" s="25" t="s">
        <v>60</v>
      </c>
      <c r="D58" s="25" t="s">
        <v>60</v>
      </c>
      <c r="E58" s="25" t="s">
        <v>60</v>
      </c>
      <c r="F58" s="25" t="s">
        <v>60</v>
      </c>
      <c r="G58" s="25" t="s">
        <v>60</v>
      </c>
      <c r="H58" s="25" t="s">
        <v>60</v>
      </c>
      <c r="I58" s="25" t="s">
        <v>60</v>
      </c>
      <c r="J58" s="26">
        <v>5.136666</v>
      </c>
      <c r="K58" s="26">
        <v>20</v>
      </c>
      <c r="L58" s="26">
        <v>36.983998999999997</v>
      </c>
      <c r="M58" s="26">
        <v>24.655998</v>
      </c>
      <c r="N58" s="10"/>
      <c r="O58" s="10"/>
      <c r="P58" s="10"/>
      <c r="Q58" s="10"/>
    </row>
    <row r="59" spans="1:17" ht="14.25" customHeight="1" x14ac:dyDescent="0.2">
      <c r="A59" s="11" t="s">
        <v>49</v>
      </c>
      <c r="B59" s="25" t="s">
        <v>60</v>
      </c>
      <c r="C59" s="25" t="s">
        <v>60</v>
      </c>
      <c r="D59" s="25" t="s">
        <v>60</v>
      </c>
      <c r="E59" s="25" t="s">
        <v>60</v>
      </c>
      <c r="F59" s="25" t="s">
        <v>60</v>
      </c>
      <c r="G59" s="25" t="s">
        <v>60</v>
      </c>
      <c r="H59" s="25" t="s">
        <v>60</v>
      </c>
      <c r="I59" s="25" t="s">
        <v>60</v>
      </c>
      <c r="J59" s="26">
        <v>5.3934990000000003</v>
      </c>
      <c r="K59" s="26">
        <v>1.491052</v>
      </c>
      <c r="L59" s="26">
        <v>33.852051000000003</v>
      </c>
      <c r="M59" s="26">
        <v>23.065051</v>
      </c>
      <c r="N59" s="10"/>
      <c r="O59" s="10"/>
      <c r="P59" s="10"/>
      <c r="Q59" s="10"/>
    </row>
    <row r="60" spans="1:17" ht="13.5" customHeight="1" x14ac:dyDescent="0.2">
      <c r="A60" s="11" t="s">
        <v>91</v>
      </c>
      <c r="B60" s="25" t="s">
        <v>60</v>
      </c>
      <c r="C60" s="25" t="s">
        <v>60</v>
      </c>
      <c r="D60" s="25" t="s">
        <v>60</v>
      </c>
      <c r="E60" s="25" t="s">
        <v>60</v>
      </c>
      <c r="F60" s="25" t="s">
        <v>60</v>
      </c>
      <c r="G60" s="25" t="s">
        <v>60</v>
      </c>
      <c r="H60" s="25" t="s">
        <v>60</v>
      </c>
      <c r="I60" s="25" t="s">
        <v>60</v>
      </c>
      <c r="J60" s="26">
        <v>0</v>
      </c>
      <c r="K60" s="26">
        <v>0</v>
      </c>
      <c r="L60" s="26">
        <v>23.114999999999998</v>
      </c>
      <c r="M60" s="26">
        <v>46.23</v>
      </c>
      <c r="N60" s="10"/>
      <c r="O60" s="10"/>
      <c r="P60" s="10"/>
      <c r="Q60" s="10"/>
    </row>
    <row r="61" spans="1:17" ht="13.5" customHeight="1" x14ac:dyDescent="0.2">
      <c r="A61" s="11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10"/>
      <c r="O61" s="10"/>
      <c r="P61" s="10"/>
      <c r="Q61" s="10"/>
    </row>
    <row r="62" spans="1:17" ht="14.25" customHeight="1" x14ac:dyDescent="0.2">
      <c r="A62" s="35" t="s">
        <v>50</v>
      </c>
      <c r="B62" s="23">
        <f t="shared" ref="B62:M62" si="10">SUM(B63:B70)</f>
        <v>64.87</v>
      </c>
      <c r="C62" s="23">
        <f t="shared" si="10"/>
        <v>77.8</v>
      </c>
      <c r="D62" s="23">
        <f t="shared" si="10"/>
        <v>34.9</v>
      </c>
      <c r="E62" s="23">
        <f t="shared" si="10"/>
        <v>81.389620000000008</v>
      </c>
      <c r="F62" s="23">
        <f t="shared" si="10"/>
        <v>125.39468100000001</v>
      </c>
      <c r="G62" s="22">
        <f t="shared" si="10"/>
        <v>110.975019</v>
      </c>
      <c r="H62" s="23">
        <f t="shared" si="10"/>
        <v>43.581213299999995</v>
      </c>
      <c r="I62" s="23">
        <f t="shared" si="10"/>
        <v>37.78454</v>
      </c>
      <c r="J62" s="23">
        <f t="shared" si="10"/>
        <v>11.569822</v>
      </c>
      <c r="K62" s="23">
        <f t="shared" si="10"/>
        <v>16.588994</v>
      </c>
      <c r="L62" s="23">
        <f t="shared" si="10"/>
        <v>16.681978999999998</v>
      </c>
      <c r="M62" s="23">
        <f t="shared" si="10"/>
        <v>0</v>
      </c>
      <c r="N62" s="10"/>
      <c r="O62" s="10"/>
      <c r="P62" s="10"/>
      <c r="Q62" s="10"/>
    </row>
    <row r="63" spans="1:17" ht="14.25" customHeight="1" x14ac:dyDescent="0.2">
      <c r="A63" s="11" t="s">
        <v>51</v>
      </c>
      <c r="B63" s="26">
        <v>18.8</v>
      </c>
      <c r="C63" s="26">
        <v>27.9</v>
      </c>
      <c r="D63" s="26">
        <v>16.5</v>
      </c>
      <c r="E63" s="26">
        <v>28.826278400000003</v>
      </c>
      <c r="F63" s="26">
        <v>26.077563999999999</v>
      </c>
      <c r="G63" s="26" t="s">
        <v>60</v>
      </c>
      <c r="H63" s="26" t="s">
        <v>60</v>
      </c>
      <c r="I63" s="26" t="s">
        <v>60</v>
      </c>
      <c r="J63" s="26" t="s">
        <v>60</v>
      </c>
      <c r="K63" s="26" t="s">
        <v>60</v>
      </c>
      <c r="L63" s="26" t="s">
        <v>60</v>
      </c>
      <c r="M63" s="26" t="s">
        <v>60</v>
      </c>
      <c r="N63" s="10"/>
      <c r="O63" s="10"/>
      <c r="P63" s="10"/>
      <c r="Q63" s="10"/>
    </row>
    <row r="64" spans="1:17" ht="14.25" customHeight="1" x14ac:dyDescent="0.2">
      <c r="A64" s="12" t="s">
        <v>52</v>
      </c>
      <c r="B64" s="26">
        <v>30</v>
      </c>
      <c r="C64" s="26">
        <v>4.2</v>
      </c>
      <c r="D64" s="26">
        <v>12.2</v>
      </c>
      <c r="E64" s="26">
        <v>26.0098816</v>
      </c>
      <c r="F64" s="26">
        <v>31.063718000000001</v>
      </c>
      <c r="G64" s="26" t="s">
        <v>60</v>
      </c>
      <c r="H64" s="26" t="s">
        <v>60</v>
      </c>
      <c r="I64" s="26" t="s">
        <v>60</v>
      </c>
      <c r="J64" s="26" t="s">
        <v>60</v>
      </c>
      <c r="K64" s="26" t="s">
        <v>60</v>
      </c>
      <c r="L64" s="26" t="s">
        <v>60</v>
      </c>
      <c r="M64" s="26" t="s">
        <v>60</v>
      </c>
      <c r="N64" s="10"/>
      <c r="O64" s="10"/>
      <c r="P64" s="10"/>
      <c r="Q64" s="10"/>
    </row>
    <row r="65" spans="1:17" ht="14.25" customHeight="1" x14ac:dyDescent="0.2">
      <c r="A65" s="11" t="s">
        <v>53</v>
      </c>
      <c r="B65" s="26">
        <v>3.7</v>
      </c>
      <c r="C65" s="26">
        <v>14.4</v>
      </c>
      <c r="D65" s="26">
        <v>0.2</v>
      </c>
      <c r="E65" s="26">
        <v>15.06729</v>
      </c>
      <c r="F65" s="26">
        <v>21.153192000000001</v>
      </c>
      <c r="G65" s="26">
        <v>2.4465000000000001E-2</v>
      </c>
      <c r="H65" s="26">
        <v>3.0701839999999998</v>
      </c>
      <c r="I65" s="26">
        <v>11.101946999999999</v>
      </c>
      <c r="J65" s="26" t="s">
        <v>60</v>
      </c>
      <c r="K65" s="26" t="s">
        <v>60</v>
      </c>
      <c r="L65" s="26" t="s">
        <v>60</v>
      </c>
      <c r="M65" s="26" t="s">
        <v>60</v>
      </c>
      <c r="N65" s="10"/>
      <c r="O65" s="10"/>
      <c r="P65" s="10"/>
      <c r="Q65" s="10"/>
    </row>
    <row r="66" spans="1:17" ht="14.25" customHeight="1" x14ac:dyDescent="0.2">
      <c r="A66" s="11" t="s">
        <v>54</v>
      </c>
      <c r="B66" s="26">
        <v>5.4</v>
      </c>
      <c r="C66" s="26">
        <v>3.9</v>
      </c>
      <c r="D66" s="26">
        <v>3.6</v>
      </c>
      <c r="E66" s="26">
        <v>5.09504</v>
      </c>
      <c r="F66" s="26">
        <v>5.163119</v>
      </c>
      <c r="G66" s="26">
        <v>44.064557000000001</v>
      </c>
      <c r="H66" s="26">
        <v>1.8353710000000001</v>
      </c>
      <c r="I66" s="26" t="s">
        <v>60</v>
      </c>
      <c r="J66" s="26" t="s">
        <v>60</v>
      </c>
      <c r="K66" s="26" t="s">
        <v>60</v>
      </c>
      <c r="L66" s="26" t="s">
        <v>60</v>
      </c>
      <c r="M66" s="26" t="s">
        <v>60</v>
      </c>
      <c r="N66" s="10"/>
      <c r="O66" s="10"/>
      <c r="P66" s="10"/>
      <c r="Q66" s="10"/>
    </row>
    <row r="67" spans="1:17" ht="14.25" customHeight="1" x14ac:dyDescent="0.2">
      <c r="A67" s="11" t="s">
        <v>55</v>
      </c>
      <c r="B67" s="26">
        <v>0</v>
      </c>
      <c r="C67" s="26">
        <v>0</v>
      </c>
      <c r="D67" s="26">
        <v>2.4</v>
      </c>
      <c r="E67" s="26">
        <v>6.3911300000000004</v>
      </c>
      <c r="F67" s="26">
        <v>29.665980000000001</v>
      </c>
      <c r="G67" s="26">
        <v>24.122235</v>
      </c>
      <c r="H67" s="26">
        <v>0</v>
      </c>
      <c r="I67" s="26" t="s">
        <v>60</v>
      </c>
      <c r="J67" s="26" t="s">
        <v>60</v>
      </c>
      <c r="K67" s="26" t="s">
        <v>60</v>
      </c>
      <c r="L67" s="26" t="s">
        <v>60</v>
      </c>
      <c r="M67" s="26" t="s">
        <v>60</v>
      </c>
      <c r="N67" s="10"/>
      <c r="O67" s="10"/>
      <c r="P67" s="10"/>
      <c r="Q67" s="10"/>
    </row>
    <row r="68" spans="1:17" ht="14.25" customHeight="1" x14ac:dyDescent="0.2">
      <c r="A68" s="11" t="s">
        <v>56</v>
      </c>
      <c r="B68" s="26">
        <v>0</v>
      </c>
      <c r="C68" s="26">
        <v>0</v>
      </c>
      <c r="D68" s="25" t="s">
        <v>60</v>
      </c>
      <c r="E68" s="25" t="s">
        <v>60</v>
      </c>
      <c r="F68" s="26">
        <v>12.271108</v>
      </c>
      <c r="G68" s="26">
        <v>42.763762</v>
      </c>
      <c r="H68" s="26">
        <v>38.675658299999995</v>
      </c>
      <c r="I68" s="26">
        <v>26.682593000000001</v>
      </c>
      <c r="J68" s="25" t="s">
        <v>60</v>
      </c>
      <c r="K68" s="25" t="s">
        <v>60</v>
      </c>
      <c r="L68" s="25" t="s">
        <v>60</v>
      </c>
      <c r="M68" s="25" t="s">
        <v>60</v>
      </c>
      <c r="N68" s="10"/>
      <c r="O68" s="10"/>
      <c r="P68" s="10"/>
      <c r="Q68" s="10"/>
    </row>
    <row r="69" spans="1:17" ht="14.25" customHeight="1" x14ac:dyDescent="0.2">
      <c r="A69" s="11" t="s">
        <v>57</v>
      </c>
      <c r="B69" s="26">
        <v>0</v>
      </c>
      <c r="C69" s="26">
        <v>12.8</v>
      </c>
      <c r="D69" s="25" t="s">
        <v>60</v>
      </c>
      <c r="E69" s="25" t="s">
        <v>60</v>
      </c>
      <c r="F69" s="25" t="s">
        <v>60</v>
      </c>
      <c r="G69" s="26">
        <v>0</v>
      </c>
      <c r="H69" s="26">
        <v>0</v>
      </c>
      <c r="I69" s="26" t="s">
        <v>60</v>
      </c>
      <c r="J69" s="26">
        <v>11.569822</v>
      </c>
      <c r="K69" s="26">
        <v>16.588994</v>
      </c>
      <c r="L69" s="26">
        <v>16.681978999999998</v>
      </c>
      <c r="M69" s="25" t="s">
        <v>60</v>
      </c>
      <c r="N69" s="10"/>
      <c r="O69" s="10"/>
      <c r="P69" s="10"/>
      <c r="Q69" s="10"/>
    </row>
    <row r="70" spans="1:17" ht="14.25" customHeight="1" x14ac:dyDescent="0.2">
      <c r="A70" s="11" t="s">
        <v>58</v>
      </c>
      <c r="B70" s="26">
        <v>6.97</v>
      </c>
      <c r="C70" s="26">
        <v>14.6</v>
      </c>
      <c r="D70" s="25" t="s">
        <v>60</v>
      </c>
      <c r="E70" s="25" t="s">
        <v>60</v>
      </c>
      <c r="F70" s="26">
        <v>0</v>
      </c>
      <c r="G70" s="26">
        <v>0</v>
      </c>
      <c r="H70" s="25" t="s">
        <v>60</v>
      </c>
      <c r="I70" s="25" t="s">
        <v>60</v>
      </c>
      <c r="J70" s="25" t="s">
        <v>60</v>
      </c>
      <c r="K70" s="25" t="s">
        <v>60</v>
      </c>
      <c r="L70" s="25" t="s">
        <v>60</v>
      </c>
      <c r="M70" s="25" t="s">
        <v>60</v>
      </c>
      <c r="N70" s="10"/>
      <c r="O70" s="10"/>
      <c r="P70" s="10"/>
      <c r="Q70" s="10"/>
    </row>
    <row r="71" spans="1:17" ht="14.25" customHeight="1" x14ac:dyDescent="0.2">
      <c r="A71" s="11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10"/>
      <c r="O71" s="10"/>
      <c r="P71" s="10"/>
      <c r="Q71" s="10"/>
    </row>
    <row r="72" spans="1:17" ht="14.25" customHeight="1" x14ac:dyDescent="0.2">
      <c r="A72" s="35" t="s">
        <v>59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2">
        <f>SUM(G73:G78)</f>
        <v>10.230764000000001</v>
      </c>
      <c r="H72" s="22">
        <f t="shared" ref="H72:M72" si="11">SUM(H73:H78)</f>
        <v>14.050041999999999</v>
      </c>
      <c r="I72" s="22">
        <f t="shared" si="11"/>
        <v>14.039686</v>
      </c>
      <c r="J72" s="22">
        <f t="shared" si="11"/>
        <v>39.594774999999998</v>
      </c>
      <c r="K72" s="22">
        <f t="shared" si="11"/>
        <v>121.397468</v>
      </c>
      <c r="L72" s="22">
        <f t="shared" si="11"/>
        <v>262.50038499999999</v>
      </c>
      <c r="M72" s="22">
        <f t="shared" si="11"/>
        <v>257.11585000000002</v>
      </c>
      <c r="N72" s="10"/>
      <c r="O72" s="10"/>
      <c r="P72" s="10"/>
      <c r="Q72" s="10"/>
    </row>
    <row r="73" spans="1:17" ht="14.25" customHeight="1" x14ac:dyDescent="0.2">
      <c r="A73" s="11" t="s">
        <v>38</v>
      </c>
      <c r="B73" s="26">
        <v>0</v>
      </c>
      <c r="C73" s="26">
        <v>0</v>
      </c>
      <c r="D73" s="26">
        <v>0</v>
      </c>
      <c r="E73" s="26">
        <v>0</v>
      </c>
      <c r="F73" s="26">
        <v>0</v>
      </c>
      <c r="G73" s="26">
        <v>10.230764000000001</v>
      </c>
      <c r="H73" s="26">
        <v>14.050041999999999</v>
      </c>
      <c r="I73" s="26">
        <v>14.039686</v>
      </c>
      <c r="J73" s="26">
        <v>39.594774999999998</v>
      </c>
      <c r="K73" s="26">
        <v>13.198257999999999</v>
      </c>
      <c r="L73" s="26" t="s">
        <v>60</v>
      </c>
      <c r="M73" s="26" t="s">
        <v>60</v>
      </c>
      <c r="N73" s="10"/>
      <c r="O73" s="10"/>
      <c r="P73" s="10"/>
      <c r="Q73" s="10"/>
    </row>
    <row r="74" spans="1:17" ht="14.25" customHeight="1" x14ac:dyDescent="0.2">
      <c r="A74" s="11" t="s">
        <v>11</v>
      </c>
      <c r="B74" s="26">
        <v>0</v>
      </c>
      <c r="C74" s="26">
        <v>0</v>
      </c>
      <c r="D74" s="26">
        <v>0</v>
      </c>
      <c r="E74" s="26">
        <v>0</v>
      </c>
      <c r="F74" s="26">
        <v>0</v>
      </c>
      <c r="G74" s="26" t="s">
        <v>60</v>
      </c>
      <c r="H74" s="26">
        <v>0</v>
      </c>
      <c r="I74" s="25" t="s">
        <v>60</v>
      </c>
      <c r="J74" s="26" t="s">
        <v>60</v>
      </c>
      <c r="K74" s="26">
        <v>20</v>
      </c>
      <c r="L74" s="26">
        <v>51.7776</v>
      </c>
      <c r="M74" s="26" t="s">
        <v>60</v>
      </c>
      <c r="N74" s="10"/>
      <c r="O74" s="10"/>
      <c r="P74" s="10"/>
      <c r="Q74" s="10"/>
    </row>
    <row r="75" spans="1:17" ht="14.25" customHeight="1" x14ac:dyDescent="0.2">
      <c r="A75" s="11" t="s">
        <v>92</v>
      </c>
      <c r="B75" s="25" t="s">
        <v>60</v>
      </c>
      <c r="C75" s="25" t="s">
        <v>60</v>
      </c>
      <c r="D75" s="25" t="s">
        <v>60</v>
      </c>
      <c r="E75" s="25" t="s">
        <v>60</v>
      </c>
      <c r="F75" s="25" t="s">
        <v>60</v>
      </c>
      <c r="G75" s="25" t="s">
        <v>60</v>
      </c>
      <c r="H75" s="25" t="s">
        <v>60</v>
      </c>
      <c r="I75" s="25" t="s">
        <v>60</v>
      </c>
      <c r="J75" s="25" t="s">
        <v>60</v>
      </c>
      <c r="K75" s="26">
        <v>50</v>
      </c>
      <c r="L75" s="26">
        <v>73.372985</v>
      </c>
      <c r="M75" s="26">
        <v>92.46</v>
      </c>
      <c r="N75" s="10"/>
      <c r="O75" s="10"/>
      <c r="P75" s="10"/>
      <c r="Q75" s="10"/>
    </row>
    <row r="76" spans="1:17" ht="14.25" customHeight="1" x14ac:dyDescent="0.2">
      <c r="A76" s="11" t="s">
        <v>93</v>
      </c>
      <c r="B76" s="25" t="s">
        <v>60</v>
      </c>
      <c r="C76" s="25" t="s">
        <v>60</v>
      </c>
      <c r="D76" s="25" t="s">
        <v>60</v>
      </c>
      <c r="E76" s="25" t="s">
        <v>60</v>
      </c>
      <c r="F76" s="25" t="s">
        <v>60</v>
      </c>
      <c r="G76" s="25" t="s">
        <v>60</v>
      </c>
      <c r="H76" s="25" t="s">
        <v>60</v>
      </c>
      <c r="I76" s="25" t="s">
        <v>60</v>
      </c>
      <c r="J76" s="25" t="s">
        <v>60</v>
      </c>
      <c r="K76" s="26">
        <v>5.7787499999999996</v>
      </c>
      <c r="L76" s="26">
        <v>34.672499999999999</v>
      </c>
      <c r="M76" s="26">
        <v>40.451250000000002</v>
      </c>
      <c r="N76" s="10"/>
      <c r="O76" s="10"/>
      <c r="P76" s="10"/>
      <c r="Q76" s="10"/>
    </row>
    <row r="77" spans="1:17" ht="14.25" customHeight="1" x14ac:dyDescent="0.2">
      <c r="A77" s="11" t="s">
        <v>61</v>
      </c>
      <c r="B77" s="26">
        <v>0</v>
      </c>
      <c r="C77" s="26">
        <v>0</v>
      </c>
      <c r="D77" s="26">
        <v>0</v>
      </c>
      <c r="E77" s="26">
        <v>0</v>
      </c>
      <c r="F77" s="26">
        <v>0</v>
      </c>
      <c r="G77" s="26" t="s">
        <v>60</v>
      </c>
      <c r="H77" s="26">
        <v>0</v>
      </c>
      <c r="I77" s="26">
        <v>0</v>
      </c>
      <c r="J77" s="26" t="s">
        <v>60</v>
      </c>
      <c r="K77" s="26">
        <v>12.42046</v>
      </c>
      <c r="L77" s="26">
        <v>62.1023</v>
      </c>
      <c r="M77" s="26">
        <v>124.2046</v>
      </c>
      <c r="N77" s="10"/>
      <c r="O77" s="10"/>
      <c r="P77" s="10"/>
      <c r="Q77" s="10"/>
    </row>
    <row r="78" spans="1:17" ht="14.25" customHeight="1" x14ac:dyDescent="0.2">
      <c r="A78" s="11" t="s">
        <v>94</v>
      </c>
      <c r="B78" s="25" t="s">
        <v>60</v>
      </c>
      <c r="C78" s="25" t="s">
        <v>60</v>
      </c>
      <c r="D78" s="25" t="s">
        <v>60</v>
      </c>
      <c r="E78" s="25" t="s">
        <v>60</v>
      </c>
      <c r="F78" s="25" t="s">
        <v>60</v>
      </c>
      <c r="G78" s="25" t="s">
        <v>60</v>
      </c>
      <c r="H78" s="25" t="s">
        <v>60</v>
      </c>
      <c r="I78" s="25" t="s">
        <v>60</v>
      </c>
      <c r="J78" s="25" t="s">
        <v>60</v>
      </c>
      <c r="K78" s="26">
        <v>20</v>
      </c>
      <c r="L78" s="26">
        <v>40.575000000000003</v>
      </c>
      <c r="M78" s="26" t="s">
        <v>60</v>
      </c>
      <c r="N78" s="10"/>
      <c r="O78" s="10"/>
      <c r="P78" s="10"/>
      <c r="Q78" s="10"/>
    </row>
    <row r="79" spans="1:17" ht="14.25" customHeight="1" x14ac:dyDescent="0.2">
      <c r="A79" s="11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10"/>
      <c r="O79" s="10"/>
      <c r="P79" s="10"/>
      <c r="Q79" s="10"/>
    </row>
    <row r="80" spans="1:17" ht="14.25" customHeight="1" x14ac:dyDescent="0.2">
      <c r="A80" s="35" t="s">
        <v>62</v>
      </c>
      <c r="B80" s="23">
        <f t="shared" ref="B80:M80" si="12">SUM(B81:B82)</f>
        <v>0</v>
      </c>
      <c r="C80" s="23">
        <f t="shared" si="12"/>
        <v>0</v>
      </c>
      <c r="D80" s="23">
        <f t="shared" si="12"/>
        <v>0</v>
      </c>
      <c r="E80" s="23">
        <f t="shared" si="12"/>
        <v>0</v>
      </c>
      <c r="F80" s="23">
        <f t="shared" si="12"/>
        <v>0</v>
      </c>
      <c r="G80" s="22">
        <f t="shared" si="12"/>
        <v>277.13603499999999</v>
      </c>
      <c r="H80" s="23">
        <f t="shared" si="12"/>
        <v>19.486806000000001</v>
      </c>
      <c r="I80" s="23">
        <f t="shared" si="12"/>
        <v>100.155069</v>
      </c>
      <c r="J80" s="23">
        <f t="shared" si="12"/>
        <v>38.351658</v>
      </c>
      <c r="K80" s="23">
        <f t="shared" si="12"/>
        <v>0</v>
      </c>
      <c r="L80" s="23">
        <f t="shared" si="12"/>
        <v>0</v>
      </c>
      <c r="M80" s="23">
        <f t="shared" si="12"/>
        <v>0</v>
      </c>
      <c r="N80" s="10"/>
      <c r="O80" s="10"/>
      <c r="P80" s="10"/>
      <c r="Q80" s="10"/>
    </row>
    <row r="81" spans="1:17" ht="14.25" customHeight="1" x14ac:dyDescent="0.2">
      <c r="A81" s="11" t="s">
        <v>63</v>
      </c>
      <c r="B81" s="26">
        <v>0</v>
      </c>
      <c r="C81" s="26">
        <v>0</v>
      </c>
      <c r="D81" s="26">
        <v>0</v>
      </c>
      <c r="E81" s="26">
        <v>0</v>
      </c>
      <c r="F81" s="26">
        <v>0</v>
      </c>
      <c r="G81" s="26">
        <v>277.13603499999999</v>
      </c>
      <c r="H81" s="26">
        <v>19.486806000000001</v>
      </c>
      <c r="I81" s="26">
        <v>100.155069</v>
      </c>
      <c r="J81" s="26">
        <v>1.3112269999999999</v>
      </c>
      <c r="K81" s="26" t="s">
        <v>60</v>
      </c>
      <c r="L81" s="26" t="s">
        <v>60</v>
      </c>
      <c r="M81" s="26" t="s">
        <v>60</v>
      </c>
      <c r="N81" s="10"/>
      <c r="O81" s="10"/>
      <c r="P81" s="10"/>
      <c r="Q81" s="10"/>
    </row>
    <row r="82" spans="1:17" ht="14.25" customHeight="1" x14ac:dyDescent="0.2">
      <c r="A82" s="11" t="s">
        <v>64</v>
      </c>
      <c r="B82" s="26">
        <v>0</v>
      </c>
      <c r="C82" s="26">
        <v>0</v>
      </c>
      <c r="D82" s="26">
        <v>0</v>
      </c>
      <c r="E82" s="26">
        <v>0</v>
      </c>
      <c r="F82" s="26">
        <v>0</v>
      </c>
      <c r="G82" s="26">
        <v>0</v>
      </c>
      <c r="H82" s="26">
        <v>0</v>
      </c>
      <c r="I82" s="26">
        <v>0</v>
      </c>
      <c r="J82" s="26">
        <v>37.040430999999998</v>
      </c>
      <c r="K82" s="26" t="s">
        <v>60</v>
      </c>
      <c r="L82" s="26" t="s">
        <v>60</v>
      </c>
      <c r="M82" s="26" t="s">
        <v>60</v>
      </c>
      <c r="N82" s="10"/>
      <c r="O82" s="10"/>
      <c r="P82" s="10"/>
      <c r="Q82" s="10"/>
    </row>
    <row r="83" spans="1:17" ht="14.25" customHeight="1" x14ac:dyDescent="0.2">
      <c r="A83" s="11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10"/>
      <c r="O83" s="10"/>
      <c r="P83" s="10"/>
      <c r="Q83" s="10"/>
    </row>
    <row r="84" spans="1:17" ht="14.25" customHeight="1" x14ac:dyDescent="0.2">
      <c r="A84" s="35" t="s">
        <v>65</v>
      </c>
      <c r="B84" s="23">
        <f>SUM(B85:B86)</f>
        <v>0</v>
      </c>
      <c r="C84" s="23">
        <f t="shared" ref="C84:M84" si="13">SUM(C85:C86)</f>
        <v>35.9</v>
      </c>
      <c r="D84" s="23">
        <f t="shared" si="13"/>
        <v>129.30000000000001</v>
      </c>
      <c r="E84" s="23">
        <f t="shared" si="13"/>
        <v>0</v>
      </c>
      <c r="F84" s="23">
        <f t="shared" si="13"/>
        <v>386.53935100000001</v>
      </c>
      <c r="G84" s="22">
        <f t="shared" si="13"/>
        <v>233.78553700000001</v>
      </c>
      <c r="H84" s="23">
        <f t="shared" si="13"/>
        <v>0</v>
      </c>
      <c r="I84" s="23">
        <f t="shared" si="13"/>
        <v>0</v>
      </c>
      <c r="J84" s="23">
        <f t="shared" si="13"/>
        <v>0</v>
      </c>
      <c r="K84" s="23">
        <f t="shared" si="13"/>
        <v>0</v>
      </c>
      <c r="L84" s="23">
        <f t="shared" si="13"/>
        <v>0</v>
      </c>
      <c r="M84" s="23">
        <f t="shared" si="13"/>
        <v>0</v>
      </c>
      <c r="N84" s="10"/>
      <c r="O84" s="10"/>
      <c r="P84" s="10"/>
      <c r="Q84" s="10"/>
    </row>
    <row r="85" spans="1:17" ht="14.25" customHeight="1" x14ac:dyDescent="0.2">
      <c r="A85" s="11" t="s">
        <v>66</v>
      </c>
      <c r="B85" s="26">
        <v>0</v>
      </c>
      <c r="C85" s="26">
        <v>0</v>
      </c>
      <c r="D85" s="26">
        <v>0</v>
      </c>
      <c r="E85" s="26">
        <v>0</v>
      </c>
      <c r="F85" s="26">
        <v>386.53935100000001</v>
      </c>
      <c r="G85" s="26">
        <v>233.78553700000001</v>
      </c>
      <c r="H85" s="26" t="s">
        <v>60</v>
      </c>
      <c r="I85" s="26" t="s">
        <v>60</v>
      </c>
      <c r="J85" s="26" t="s">
        <v>60</v>
      </c>
      <c r="K85" s="26" t="s">
        <v>60</v>
      </c>
      <c r="L85" s="26" t="s">
        <v>60</v>
      </c>
      <c r="M85" s="26" t="s">
        <v>60</v>
      </c>
      <c r="N85" s="10"/>
      <c r="O85" s="10"/>
      <c r="P85" s="10"/>
      <c r="Q85" s="10"/>
    </row>
    <row r="86" spans="1:17" ht="14.25" customHeight="1" x14ac:dyDescent="0.2">
      <c r="A86" s="11" t="s">
        <v>67</v>
      </c>
      <c r="B86" s="26">
        <v>0</v>
      </c>
      <c r="C86" s="26">
        <v>35.9</v>
      </c>
      <c r="D86" s="26">
        <v>129.30000000000001</v>
      </c>
      <c r="E86" s="26">
        <v>0</v>
      </c>
      <c r="F86" s="26">
        <v>0</v>
      </c>
      <c r="G86" s="26">
        <v>0</v>
      </c>
      <c r="H86" s="26" t="s">
        <v>60</v>
      </c>
      <c r="I86" s="26" t="s">
        <v>60</v>
      </c>
      <c r="J86" s="26" t="s">
        <v>60</v>
      </c>
      <c r="K86" s="26" t="s">
        <v>60</v>
      </c>
      <c r="L86" s="26" t="s">
        <v>60</v>
      </c>
      <c r="M86" s="26" t="s">
        <v>60</v>
      </c>
      <c r="N86" s="10"/>
      <c r="O86" s="10"/>
      <c r="P86" s="10"/>
      <c r="Q86" s="10"/>
    </row>
    <row r="87" spans="1:17" ht="14.25" customHeight="1" x14ac:dyDescent="0.2">
      <c r="A87" s="11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10"/>
      <c r="O87" s="10"/>
      <c r="P87" s="10"/>
      <c r="Q87" s="10"/>
    </row>
    <row r="88" spans="1:17" ht="14.25" customHeight="1" x14ac:dyDescent="0.2">
      <c r="A88" s="35" t="s">
        <v>68</v>
      </c>
      <c r="B88" s="23">
        <f t="shared" ref="B88:M88" si="14">SUM(B89:B92)</f>
        <v>0</v>
      </c>
      <c r="C88" s="23">
        <f t="shared" si="14"/>
        <v>0</v>
      </c>
      <c r="D88" s="23">
        <f t="shared" si="14"/>
        <v>0</v>
      </c>
      <c r="E88" s="23">
        <f t="shared" si="14"/>
        <v>0</v>
      </c>
      <c r="F88" s="23">
        <f t="shared" si="14"/>
        <v>270.71978799999999</v>
      </c>
      <c r="G88" s="22">
        <f t="shared" si="14"/>
        <v>265.65673500000003</v>
      </c>
      <c r="H88" s="23">
        <f t="shared" si="14"/>
        <v>471.93762600000002</v>
      </c>
      <c r="I88" s="23">
        <f t="shared" si="14"/>
        <v>816.53743200000008</v>
      </c>
      <c r="J88" s="23">
        <f t="shared" si="14"/>
        <v>0</v>
      </c>
      <c r="K88" s="23">
        <f t="shared" si="14"/>
        <v>857.62999999999988</v>
      </c>
      <c r="L88" s="23">
        <f t="shared" si="14"/>
        <v>1402.5375819999999</v>
      </c>
      <c r="M88" s="23">
        <f t="shared" si="14"/>
        <v>1777.8916019999999</v>
      </c>
    </row>
    <row r="89" spans="1:17" ht="14.25" customHeight="1" x14ac:dyDescent="0.25">
      <c r="A89" s="11" t="s">
        <v>69</v>
      </c>
      <c r="B89" s="26">
        <v>0</v>
      </c>
      <c r="C89" s="26">
        <v>0</v>
      </c>
      <c r="D89" s="26">
        <v>0</v>
      </c>
      <c r="E89" s="26">
        <v>0</v>
      </c>
      <c r="F89" s="26">
        <v>270.71978799999999</v>
      </c>
      <c r="G89" s="26">
        <v>265.65673500000003</v>
      </c>
      <c r="H89" s="26">
        <v>471.93762600000002</v>
      </c>
      <c r="I89" s="26">
        <v>94.399932000000007</v>
      </c>
      <c r="J89" s="26" t="s">
        <v>60</v>
      </c>
      <c r="K89" s="26" t="s">
        <v>60</v>
      </c>
      <c r="L89" s="26" t="s">
        <v>60</v>
      </c>
      <c r="M89" s="26" t="s">
        <v>60</v>
      </c>
    </row>
    <row r="90" spans="1:17" ht="14.25" customHeight="1" x14ac:dyDescent="0.25">
      <c r="A90" s="11" t="s">
        <v>70</v>
      </c>
      <c r="B90" s="26">
        <v>0</v>
      </c>
      <c r="C90" s="26">
        <v>0</v>
      </c>
      <c r="D90" s="26">
        <v>0</v>
      </c>
      <c r="E90" s="26">
        <v>0</v>
      </c>
      <c r="F90" s="26">
        <v>0</v>
      </c>
      <c r="G90" s="26" t="s">
        <v>60</v>
      </c>
      <c r="H90" s="26" t="s">
        <v>60</v>
      </c>
      <c r="I90" s="26">
        <v>722.13750000000005</v>
      </c>
      <c r="J90" s="26" t="s">
        <v>60</v>
      </c>
      <c r="K90" s="26">
        <v>300</v>
      </c>
      <c r="L90" s="26">
        <v>477.52783199999999</v>
      </c>
      <c r="M90" s="26">
        <v>364.31933600000002</v>
      </c>
    </row>
    <row r="91" spans="1:17" ht="14.25" customHeight="1" x14ac:dyDescent="0.25">
      <c r="A91" s="11" t="s">
        <v>95</v>
      </c>
      <c r="B91" s="26" t="s">
        <v>60</v>
      </c>
      <c r="C91" s="26" t="s">
        <v>60</v>
      </c>
      <c r="D91" s="26" t="s">
        <v>60</v>
      </c>
      <c r="E91" s="26" t="s">
        <v>60</v>
      </c>
      <c r="F91" s="26" t="s">
        <v>60</v>
      </c>
      <c r="G91" s="26" t="s">
        <v>60</v>
      </c>
      <c r="H91" s="26" t="s">
        <v>60</v>
      </c>
      <c r="I91" s="26" t="s">
        <v>60</v>
      </c>
      <c r="J91" s="26" t="s">
        <v>60</v>
      </c>
      <c r="K91" s="26">
        <v>480.58</v>
      </c>
      <c r="L91" s="26">
        <v>562.70974999999999</v>
      </c>
      <c r="M91" s="26">
        <v>951.27226599999995</v>
      </c>
    </row>
    <row r="92" spans="1:17" ht="14.25" customHeight="1" x14ac:dyDescent="0.25">
      <c r="A92" s="11" t="s">
        <v>96</v>
      </c>
      <c r="B92" s="26" t="s">
        <v>60</v>
      </c>
      <c r="C92" s="26" t="s">
        <v>60</v>
      </c>
      <c r="D92" s="26" t="s">
        <v>60</v>
      </c>
      <c r="E92" s="26" t="s">
        <v>60</v>
      </c>
      <c r="F92" s="26" t="s">
        <v>60</v>
      </c>
      <c r="G92" s="26" t="s">
        <v>60</v>
      </c>
      <c r="H92" s="26" t="s">
        <v>60</v>
      </c>
      <c r="I92" s="26" t="s">
        <v>60</v>
      </c>
      <c r="J92" s="26" t="s">
        <v>60</v>
      </c>
      <c r="K92" s="26">
        <v>77.05</v>
      </c>
      <c r="L92" s="26">
        <v>362.3</v>
      </c>
      <c r="M92" s="26">
        <v>462.3</v>
      </c>
    </row>
    <row r="93" spans="1:17" ht="14.25" customHeight="1" x14ac:dyDescent="0.25">
      <c r="A93" s="11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</row>
    <row r="94" spans="1:17" ht="14.25" customHeight="1" x14ac:dyDescent="0.25">
      <c r="A94" s="35" t="s">
        <v>71</v>
      </c>
      <c r="B94" s="23">
        <f>SUM(B95)</f>
        <v>0</v>
      </c>
      <c r="C94" s="23">
        <f t="shared" ref="C94:M94" si="15">SUM(C95)</f>
        <v>0</v>
      </c>
      <c r="D94" s="23">
        <f t="shared" si="15"/>
        <v>0</v>
      </c>
      <c r="E94" s="23">
        <f t="shared" si="15"/>
        <v>0</v>
      </c>
      <c r="F94" s="23">
        <f t="shared" si="15"/>
        <v>0</v>
      </c>
      <c r="G94" s="23">
        <f t="shared" si="15"/>
        <v>0</v>
      </c>
      <c r="H94" s="23">
        <f t="shared" si="15"/>
        <v>102.86886</v>
      </c>
      <c r="I94" s="23">
        <f t="shared" si="15"/>
        <v>0</v>
      </c>
      <c r="J94" s="23">
        <f t="shared" si="15"/>
        <v>74.151700000000005</v>
      </c>
      <c r="K94" s="23">
        <f t="shared" si="15"/>
        <v>190.32269500000001</v>
      </c>
      <c r="L94" s="23">
        <f t="shared" si="15"/>
        <v>155.718568</v>
      </c>
      <c r="M94" s="23">
        <f t="shared" si="15"/>
        <v>74.151707000000002</v>
      </c>
    </row>
    <row r="95" spans="1:17" ht="14.25" customHeight="1" x14ac:dyDescent="0.25">
      <c r="A95" s="11" t="s">
        <v>72</v>
      </c>
      <c r="B95" s="26" t="s">
        <v>60</v>
      </c>
      <c r="C95" s="26" t="s">
        <v>60</v>
      </c>
      <c r="D95" s="26" t="s">
        <v>60</v>
      </c>
      <c r="E95" s="26" t="s">
        <v>60</v>
      </c>
      <c r="F95" s="26" t="s">
        <v>60</v>
      </c>
      <c r="G95" s="26" t="s">
        <v>60</v>
      </c>
      <c r="H95" s="26">
        <v>102.86886</v>
      </c>
      <c r="I95" s="26" t="s">
        <v>60</v>
      </c>
      <c r="J95" s="26">
        <v>74.151700000000005</v>
      </c>
      <c r="K95" s="26">
        <v>190.32269500000001</v>
      </c>
      <c r="L95" s="26">
        <v>155.718568</v>
      </c>
      <c r="M95" s="26">
        <v>74.151707000000002</v>
      </c>
    </row>
    <row r="96" spans="1:17" ht="14.25" customHeight="1" x14ac:dyDescent="0.25">
      <c r="A96" s="11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</row>
    <row r="97" spans="1:13" ht="14.25" customHeight="1" x14ac:dyDescent="0.25">
      <c r="A97" s="35" t="s">
        <v>97</v>
      </c>
      <c r="B97" s="23">
        <f t="shared" ref="B97:E97" si="16">SUM(B98)</f>
        <v>0</v>
      </c>
      <c r="C97" s="23">
        <f t="shared" si="16"/>
        <v>0</v>
      </c>
      <c r="D97" s="23">
        <f t="shared" si="16"/>
        <v>0</v>
      </c>
      <c r="E97" s="23">
        <f t="shared" si="16"/>
        <v>0</v>
      </c>
      <c r="F97" s="23">
        <f>SUM(F98)</f>
        <v>0</v>
      </c>
      <c r="G97" s="23">
        <f>SUM(G98)</f>
        <v>0</v>
      </c>
      <c r="H97" s="23">
        <f t="shared" ref="H97:M97" si="17">SUM(H98)</f>
        <v>0</v>
      </c>
      <c r="I97" s="23">
        <f t="shared" si="17"/>
        <v>0</v>
      </c>
      <c r="J97" s="23">
        <f t="shared" si="17"/>
        <v>0</v>
      </c>
      <c r="K97" s="23">
        <f t="shared" si="17"/>
        <v>0</v>
      </c>
      <c r="L97" s="23">
        <f t="shared" si="17"/>
        <v>38.524999999999999</v>
      </c>
      <c r="M97" s="23">
        <f t="shared" si="17"/>
        <v>77.05</v>
      </c>
    </row>
    <row r="98" spans="1:13" ht="14.25" customHeight="1" x14ac:dyDescent="0.25">
      <c r="A98" s="11" t="s">
        <v>98</v>
      </c>
      <c r="B98" s="26" t="s">
        <v>60</v>
      </c>
      <c r="C98" s="26" t="s">
        <v>60</v>
      </c>
      <c r="D98" s="26" t="s">
        <v>60</v>
      </c>
      <c r="E98" s="26" t="s">
        <v>60</v>
      </c>
      <c r="F98" s="26" t="s">
        <v>60</v>
      </c>
      <c r="G98" s="26" t="s">
        <v>60</v>
      </c>
      <c r="H98" s="26" t="s">
        <v>60</v>
      </c>
      <c r="I98" s="26" t="s">
        <v>60</v>
      </c>
      <c r="J98" s="26" t="s">
        <v>60</v>
      </c>
      <c r="K98" s="26" t="s">
        <v>60</v>
      </c>
      <c r="L98" s="26">
        <v>38.524999999999999</v>
      </c>
      <c r="M98" s="26">
        <v>77.05</v>
      </c>
    </row>
    <row r="99" spans="1:13" ht="14.25" customHeight="1" x14ac:dyDescent="0.25">
      <c r="A99" s="11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</row>
    <row r="100" spans="1:13" ht="14.25" customHeight="1" x14ac:dyDescent="0.2">
      <c r="A100" s="35" t="s">
        <v>73</v>
      </c>
      <c r="B100" s="23">
        <f t="shared" ref="B100:M100" si="18">SUM(B101:B103)</f>
        <v>66.2</v>
      </c>
      <c r="C100" s="23">
        <f t="shared" si="18"/>
        <v>117.8</v>
      </c>
      <c r="D100" s="23">
        <f t="shared" si="18"/>
        <v>25</v>
      </c>
      <c r="E100" s="23">
        <f t="shared" si="18"/>
        <v>30.742463999999998</v>
      </c>
      <c r="F100" s="23">
        <f t="shared" si="18"/>
        <v>46.187443999999999</v>
      </c>
      <c r="G100" s="22">
        <f t="shared" si="18"/>
        <v>0</v>
      </c>
      <c r="H100" s="23">
        <f t="shared" si="18"/>
        <v>0</v>
      </c>
      <c r="I100" s="23">
        <f t="shared" si="18"/>
        <v>0</v>
      </c>
      <c r="J100" s="23">
        <f t="shared" si="18"/>
        <v>0</v>
      </c>
      <c r="K100" s="23">
        <f t="shared" si="18"/>
        <v>0</v>
      </c>
      <c r="L100" s="23">
        <f t="shared" si="18"/>
        <v>0</v>
      </c>
      <c r="M100" s="23">
        <f t="shared" si="18"/>
        <v>0</v>
      </c>
    </row>
    <row r="101" spans="1:13" ht="14.25" customHeight="1" x14ac:dyDescent="0.25">
      <c r="A101" s="11" t="s">
        <v>74</v>
      </c>
      <c r="B101" s="26">
        <v>45.5</v>
      </c>
      <c r="C101" s="26">
        <v>21.3</v>
      </c>
      <c r="D101" s="26">
        <v>19.399999999999999</v>
      </c>
      <c r="E101" s="26">
        <v>30.742463999999998</v>
      </c>
      <c r="F101" s="26">
        <v>46.187443999999999</v>
      </c>
      <c r="G101" s="26" t="s">
        <v>60</v>
      </c>
      <c r="H101" s="26" t="s">
        <v>60</v>
      </c>
      <c r="I101" s="26" t="s">
        <v>60</v>
      </c>
      <c r="J101" s="26" t="s">
        <v>60</v>
      </c>
      <c r="K101" s="26" t="s">
        <v>60</v>
      </c>
      <c r="L101" s="26" t="s">
        <v>60</v>
      </c>
      <c r="M101" s="26" t="s">
        <v>60</v>
      </c>
    </row>
    <row r="102" spans="1:13" ht="14.25" customHeight="1" x14ac:dyDescent="0.25">
      <c r="A102" s="11" t="s">
        <v>75</v>
      </c>
      <c r="B102" s="26">
        <v>0</v>
      </c>
      <c r="C102" s="26">
        <v>29.7</v>
      </c>
      <c r="D102" s="26">
        <v>0</v>
      </c>
      <c r="E102" s="26">
        <v>0</v>
      </c>
      <c r="F102" s="26">
        <v>0</v>
      </c>
      <c r="G102" s="26" t="s">
        <v>60</v>
      </c>
      <c r="H102" s="26" t="s">
        <v>60</v>
      </c>
      <c r="I102" s="26" t="s">
        <v>60</v>
      </c>
      <c r="J102" s="26" t="s">
        <v>60</v>
      </c>
      <c r="K102" s="26" t="s">
        <v>60</v>
      </c>
      <c r="L102" s="26" t="s">
        <v>60</v>
      </c>
      <c r="M102" s="26" t="s">
        <v>60</v>
      </c>
    </row>
    <row r="103" spans="1:13" ht="14.25" customHeight="1" x14ac:dyDescent="0.25">
      <c r="A103" s="11" t="s">
        <v>76</v>
      </c>
      <c r="B103" s="26">
        <v>20.7</v>
      </c>
      <c r="C103" s="26">
        <v>66.8</v>
      </c>
      <c r="D103" s="26">
        <v>5.6</v>
      </c>
      <c r="E103" s="26">
        <v>0</v>
      </c>
      <c r="F103" s="26">
        <v>0</v>
      </c>
      <c r="G103" s="26" t="s">
        <v>60</v>
      </c>
      <c r="H103" s="26" t="s">
        <v>60</v>
      </c>
      <c r="I103" s="26" t="s">
        <v>60</v>
      </c>
      <c r="J103" s="26" t="s">
        <v>60</v>
      </c>
      <c r="K103" s="26" t="s">
        <v>60</v>
      </c>
      <c r="L103" s="26" t="s">
        <v>60</v>
      </c>
      <c r="M103" s="26" t="s">
        <v>60</v>
      </c>
    </row>
    <row r="104" spans="1:13" ht="14.25" customHeight="1" x14ac:dyDescent="0.25">
      <c r="A104" s="11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</row>
    <row r="105" spans="1:13" ht="14.25" customHeight="1" x14ac:dyDescent="0.2">
      <c r="A105" s="35" t="s">
        <v>77</v>
      </c>
      <c r="B105" s="23">
        <f>SUM(B106:B109)</f>
        <v>8.5</v>
      </c>
      <c r="C105" s="23">
        <f t="shared" ref="C105:M105" si="19">SUM(C106:C109)</f>
        <v>98.7</v>
      </c>
      <c r="D105" s="23">
        <f t="shared" si="19"/>
        <v>80.370757999999995</v>
      </c>
      <c r="E105" s="23">
        <f t="shared" si="19"/>
        <v>413.65834240000004</v>
      </c>
      <c r="F105" s="23">
        <f t="shared" si="19"/>
        <v>0</v>
      </c>
      <c r="G105" s="22">
        <f t="shared" si="19"/>
        <v>0</v>
      </c>
      <c r="H105" s="23">
        <f t="shared" si="19"/>
        <v>0</v>
      </c>
      <c r="I105" s="23">
        <f t="shared" si="19"/>
        <v>0</v>
      </c>
      <c r="J105" s="23">
        <f t="shared" si="19"/>
        <v>0</v>
      </c>
      <c r="K105" s="23">
        <f t="shared" si="19"/>
        <v>0</v>
      </c>
      <c r="L105" s="23">
        <f t="shared" si="19"/>
        <v>0</v>
      </c>
      <c r="M105" s="23">
        <f t="shared" si="19"/>
        <v>0</v>
      </c>
    </row>
    <row r="106" spans="1:13" ht="14.25" customHeight="1" x14ac:dyDescent="0.25">
      <c r="A106" s="11" t="s">
        <v>78</v>
      </c>
      <c r="B106" s="26">
        <v>0</v>
      </c>
      <c r="C106" s="26">
        <v>0</v>
      </c>
      <c r="D106" s="26">
        <v>0</v>
      </c>
      <c r="E106" s="26">
        <v>413.65834240000004</v>
      </c>
      <c r="F106" s="26" t="s">
        <v>60</v>
      </c>
      <c r="G106" s="26" t="s">
        <v>60</v>
      </c>
      <c r="H106" s="26" t="s">
        <v>60</v>
      </c>
      <c r="I106" s="26" t="s">
        <v>60</v>
      </c>
      <c r="J106" s="26" t="s">
        <v>60</v>
      </c>
      <c r="K106" s="26" t="s">
        <v>60</v>
      </c>
      <c r="L106" s="26" t="s">
        <v>60</v>
      </c>
      <c r="M106" s="26" t="s">
        <v>60</v>
      </c>
    </row>
    <row r="107" spans="1:13" ht="14.25" customHeight="1" x14ac:dyDescent="0.25">
      <c r="A107" s="11" t="s">
        <v>79</v>
      </c>
      <c r="B107" s="26">
        <v>0</v>
      </c>
      <c r="C107" s="26">
        <v>17.5</v>
      </c>
      <c r="D107" s="26">
        <v>9.9</v>
      </c>
      <c r="E107" s="26">
        <v>0</v>
      </c>
      <c r="F107" s="26" t="s">
        <v>60</v>
      </c>
      <c r="G107" s="26" t="s">
        <v>60</v>
      </c>
      <c r="H107" s="26" t="s">
        <v>60</v>
      </c>
      <c r="I107" s="26" t="s">
        <v>60</v>
      </c>
      <c r="J107" s="26" t="s">
        <v>60</v>
      </c>
      <c r="K107" s="26" t="s">
        <v>60</v>
      </c>
      <c r="L107" s="26" t="s">
        <v>60</v>
      </c>
      <c r="M107" s="26" t="s">
        <v>60</v>
      </c>
    </row>
    <row r="108" spans="1:13" ht="14.25" customHeight="1" x14ac:dyDescent="0.25">
      <c r="A108" s="11" t="s">
        <v>80</v>
      </c>
      <c r="B108" s="26">
        <v>8.5</v>
      </c>
      <c r="C108" s="26">
        <v>12.5</v>
      </c>
      <c r="D108" s="26">
        <v>11.2</v>
      </c>
      <c r="E108" s="26">
        <v>0</v>
      </c>
      <c r="F108" s="26" t="s">
        <v>60</v>
      </c>
      <c r="G108" s="26" t="s">
        <v>60</v>
      </c>
      <c r="H108" s="26" t="s">
        <v>60</v>
      </c>
      <c r="I108" s="26" t="s">
        <v>60</v>
      </c>
      <c r="J108" s="26" t="s">
        <v>60</v>
      </c>
      <c r="K108" s="26" t="s">
        <v>60</v>
      </c>
      <c r="L108" s="26" t="s">
        <v>60</v>
      </c>
      <c r="M108" s="26" t="s">
        <v>60</v>
      </c>
    </row>
    <row r="109" spans="1:13" ht="14.25" customHeight="1" x14ac:dyDescent="0.25">
      <c r="A109" s="11" t="s">
        <v>81</v>
      </c>
      <c r="B109" s="26">
        <v>0</v>
      </c>
      <c r="C109" s="26">
        <v>68.7</v>
      </c>
      <c r="D109" s="26">
        <v>59.270758000000001</v>
      </c>
      <c r="E109" s="26">
        <v>0</v>
      </c>
      <c r="F109" s="26" t="s">
        <v>60</v>
      </c>
      <c r="G109" s="26" t="s">
        <v>60</v>
      </c>
      <c r="H109" s="26" t="s">
        <v>60</v>
      </c>
      <c r="I109" s="26" t="s">
        <v>60</v>
      </c>
      <c r="J109" s="26" t="s">
        <v>60</v>
      </c>
      <c r="K109" s="26" t="s">
        <v>60</v>
      </c>
      <c r="L109" s="26" t="s">
        <v>60</v>
      </c>
      <c r="M109" s="26" t="s">
        <v>60</v>
      </c>
    </row>
    <row r="110" spans="1:13" ht="14.25" customHeight="1" x14ac:dyDescent="0.25">
      <c r="A110" s="11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</row>
    <row r="111" spans="1:13" ht="14.25" customHeight="1" x14ac:dyDescent="0.25">
      <c r="A111" s="35" t="s">
        <v>82</v>
      </c>
      <c r="B111" s="23">
        <f t="shared" ref="B111:M111" si="20">SUM(B112:B116)</f>
        <v>495.79999999999995</v>
      </c>
      <c r="C111" s="23">
        <f t="shared" si="20"/>
        <v>423.70812199999995</v>
      </c>
      <c r="D111" s="23">
        <f t="shared" si="20"/>
        <v>371.1</v>
      </c>
      <c r="E111" s="27">
        <f t="shared" si="20"/>
        <v>0</v>
      </c>
      <c r="F111" s="27">
        <f t="shared" si="20"/>
        <v>0</v>
      </c>
      <c r="G111" s="27">
        <f t="shared" si="20"/>
        <v>0</v>
      </c>
      <c r="H111" s="27">
        <f t="shared" si="20"/>
        <v>0</v>
      </c>
      <c r="I111" s="27">
        <f t="shared" si="20"/>
        <v>0</v>
      </c>
      <c r="J111" s="27">
        <f t="shared" si="20"/>
        <v>0</v>
      </c>
      <c r="K111" s="27">
        <f t="shared" si="20"/>
        <v>0</v>
      </c>
      <c r="L111" s="27">
        <f t="shared" si="20"/>
        <v>0</v>
      </c>
      <c r="M111" s="27">
        <f t="shared" si="20"/>
        <v>0</v>
      </c>
    </row>
    <row r="112" spans="1:13" ht="14.25" customHeight="1" x14ac:dyDescent="0.25">
      <c r="A112" s="11" t="s">
        <v>83</v>
      </c>
      <c r="B112" s="26">
        <v>40.799999999999997</v>
      </c>
      <c r="C112" s="26">
        <v>14.9</v>
      </c>
      <c r="D112" s="26">
        <v>12.6</v>
      </c>
      <c r="E112" s="26" t="s">
        <v>60</v>
      </c>
      <c r="F112" s="26" t="s">
        <v>60</v>
      </c>
      <c r="G112" s="26" t="s">
        <v>60</v>
      </c>
      <c r="H112" s="26" t="s">
        <v>60</v>
      </c>
      <c r="I112" s="26" t="s">
        <v>60</v>
      </c>
      <c r="J112" s="26" t="s">
        <v>60</v>
      </c>
      <c r="K112" s="26" t="s">
        <v>60</v>
      </c>
      <c r="L112" s="26" t="s">
        <v>60</v>
      </c>
      <c r="M112" s="26" t="s">
        <v>60</v>
      </c>
    </row>
    <row r="113" spans="1:13" ht="14.25" customHeight="1" x14ac:dyDescent="0.25">
      <c r="A113" s="11" t="s">
        <v>84</v>
      </c>
      <c r="B113" s="26">
        <v>437.7</v>
      </c>
      <c r="C113" s="26">
        <v>380.8</v>
      </c>
      <c r="D113" s="26">
        <v>358.5</v>
      </c>
      <c r="E113" s="26" t="s">
        <v>60</v>
      </c>
      <c r="F113" s="26" t="s">
        <v>60</v>
      </c>
      <c r="G113" s="26" t="s">
        <v>60</v>
      </c>
      <c r="H113" s="26" t="s">
        <v>60</v>
      </c>
      <c r="I113" s="26" t="s">
        <v>60</v>
      </c>
      <c r="J113" s="26" t="s">
        <v>60</v>
      </c>
      <c r="K113" s="26" t="s">
        <v>60</v>
      </c>
      <c r="L113" s="26" t="s">
        <v>60</v>
      </c>
      <c r="M113" s="26" t="s">
        <v>60</v>
      </c>
    </row>
    <row r="114" spans="1:13" ht="14.25" customHeight="1" x14ac:dyDescent="0.25">
      <c r="A114" s="11" t="s">
        <v>85</v>
      </c>
      <c r="B114" s="26">
        <v>15.4</v>
      </c>
      <c r="C114" s="26">
        <v>8.1081219999999998</v>
      </c>
      <c r="D114" s="26" t="s">
        <v>60</v>
      </c>
      <c r="E114" s="26" t="s">
        <v>60</v>
      </c>
      <c r="F114" s="26" t="s">
        <v>60</v>
      </c>
      <c r="G114" s="26" t="s">
        <v>60</v>
      </c>
      <c r="H114" s="26" t="s">
        <v>60</v>
      </c>
      <c r="I114" s="26" t="s">
        <v>60</v>
      </c>
      <c r="J114" s="26" t="s">
        <v>60</v>
      </c>
      <c r="K114" s="26" t="s">
        <v>60</v>
      </c>
      <c r="L114" s="26" t="s">
        <v>60</v>
      </c>
      <c r="M114" s="26" t="s">
        <v>60</v>
      </c>
    </row>
    <row r="115" spans="1:13" ht="14.25" customHeight="1" x14ac:dyDescent="0.25">
      <c r="A115" s="11" t="s">
        <v>86</v>
      </c>
      <c r="B115" s="26" t="s">
        <v>60</v>
      </c>
      <c r="C115" s="26">
        <v>19.899999999999999</v>
      </c>
      <c r="D115" s="26" t="s">
        <v>60</v>
      </c>
      <c r="E115" s="26" t="s">
        <v>60</v>
      </c>
      <c r="F115" s="26" t="s">
        <v>60</v>
      </c>
      <c r="G115" s="26" t="s">
        <v>60</v>
      </c>
      <c r="H115" s="26" t="s">
        <v>60</v>
      </c>
      <c r="I115" s="26" t="s">
        <v>60</v>
      </c>
      <c r="J115" s="26" t="s">
        <v>60</v>
      </c>
      <c r="K115" s="26" t="s">
        <v>60</v>
      </c>
      <c r="L115" s="26" t="s">
        <v>60</v>
      </c>
      <c r="M115" s="26" t="s">
        <v>60</v>
      </c>
    </row>
    <row r="116" spans="1:13" ht="14.25" customHeight="1" x14ac:dyDescent="0.25">
      <c r="A116" s="11" t="s">
        <v>87</v>
      </c>
      <c r="B116" s="26">
        <v>1.9</v>
      </c>
      <c r="C116" s="26" t="s">
        <v>60</v>
      </c>
      <c r="D116" s="26" t="s">
        <v>60</v>
      </c>
      <c r="E116" s="26" t="s">
        <v>60</v>
      </c>
      <c r="F116" s="26" t="s">
        <v>60</v>
      </c>
      <c r="G116" s="26" t="s">
        <v>60</v>
      </c>
      <c r="H116" s="26" t="s">
        <v>60</v>
      </c>
      <c r="I116" s="26" t="s">
        <v>60</v>
      </c>
      <c r="J116" s="26" t="s">
        <v>60</v>
      </c>
      <c r="K116" s="26" t="s">
        <v>60</v>
      </c>
      <c r="L116" s="26" t="s">
        <v>60</v>
      </c>
      <c r="M116" s="26" t="s">
        <v>60</v>
      </c>
    </row>
    <row r="117" spans="1:13" ht="13.5" customHeight="1" x14ac:dyDescent="0.25">
      <c r="A117" s="12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</row>
    <row r="118" spans="1:13" ht="14.25" customHeight="1" thickBot="1" x14ac:dyDescent="0.3">
      <c r="A118" s="14" t="s">
        <v>4</v>
      </c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spans="1:13" ht="14.25" customHeight="1" x14ac:dyDescent="0.25">
      <c r="A119" s="12" t="s">
        <v>88</v>
      </c>
      <c r="B119" s="29">
        <v>0</v>
      </c>
      <c r="C119" s="29">
        <v>0</v>
      </c>
      <c r="D119" s="29">
        <v>0</v>
      </c>
      <c r="E119" s="29">
        <v>0</v>
      </c>
      <c r="F119" s="29">
        <v>0</v>
      </c>
      <c r="G119" s="29">
        <v>0</v>
      </c>
      <c r="H119" s="26" t="s">
        <v>60</v>
      </c>
      <c r="I119" s="26" t="s">
        <v>60</v>
      </c>
      <c r="J119" s="26" t="s">
        <v>60</v>
      </c>
      <c r="K119" s="26" t="s">
        <v>60</v>
      </c>
      <c r="L119" s="26" t="s">
        <v>60</v>
      </c>
      <c r="M119" s="26" t="s">
        <v>60</v>
      </c>
    </row>
    <row r="120" spans="1:13" ht="14.25" customHeight="1" x14ac:dyDescent="0.25">
      <c r="A120" s="15" t="s">
        <v>84</v>
      </c>
      <c r="B120" s="30">
        <v>437.7</v>
      </c>
      <c r="C120" s="30">
        <v>380.8</v>
      </c>
      <c r="D120" s="30">
        <v>358.5</v>
      </c>
      <c r="E120" s="30">
        <v>92.003429999999994</v>
      </c>
      <c r="F120" s="30">
        <v>363.346474</v>
      </c>
      <c r="G120" s="30">
        <v>193.714834</v>
      </c>
      <c r="H120" s="30" t="s">
        <v>60</v>
      </c>
      <c r="I120" s="30" t="s">
        <v>60</v>
      </c>
      <c r="J120" s="30" t="s">
        <v>60</v>
      </c>
      <c r="K120" s="30" t="s">
        <v>60</v>
      </c>
      <c r="L120" s="30" t="s">
        <v>60</v>
      </c>
      <c r="M120" s="30" t="s">
        <v>60</v>
      </c>
    </row>
    <row r="121" spans="1:13" x14ac:dyDescent="0.25">
      <c r="A121" s="16" t="s">
        <v>89</v>
      </c>
      <c r="B121" s="17"/>
      <c r="C121" s="17"/>
      <c r="D121" s="17"/>
      <c r="E121" s="17"/>
      <c r="F121" s="17"/>
      <c r="G121" s="8"/>
      <c r="H121" s="8"/>
      <c r="I121" s="8"/>
      <c r="J121" s="8"/>
      <c r="K121" s="8"/>
      <c r="L121" s="8"/>
      <c r="M121" s="8"/>
    </row>
    <row r="122" spans="1:13" x14ac:dyDescent="0.25">
      <c r="A122" s="18"/>
      <c r="B122" s="19"/>
      <c r="C122" s="19"/>
      <c r="D122" s="19"/>
      <c r="E122" s="19"/>
      <c r="F122" s="19"/>
      <c r="G122" s="8"/>
      <c r="H122" s="8"/>
      <c r="I122" s="8"/>
      <c r="J122" s="8"/>
      <c r="K122" s="8"/>
      <c r="L122" s="8"/>
      <c r="M122" s="8"/>
    </row>
    <row r="123" spans="1:13" x14ac:dyDescent="0.25">
      <c r="A123" s="20"/>
      <c r="B123" s="19"/>
      <c r="C123" s="19"/>
      <c r="D123" s="19"/>
      <c r="E123" s="19"/>
      <c r="F123" s="19"/>
      <c r="G123" s="8"/>
      <c r="H123" s="8"/>
      <c r="I123" s="8"/>
      <c r="J123" s="8"/>
      <c r="K123" s="8"/>
      <c r="L123" s="8"/>
      <c r="M123" s="8"/>
    </row>
    <row r="124" spans="1:13" x14ac:dyDescent="0.25">
      <c r="A124" s="20"/>
      <c r="B124" s="19"/>
      <c r="C124" s="19"/>
      <c r="D124" s="19"/>
      <c r="E124" s="19"/>
      <c r="F124" s="19"/>
      <c r="G124" s="8"/>
      <c r="H124" s="8"/>
      <c r="I124" s="8"/>
      <c r="J124" s="8"/>
      <c r="K124" s="8"/>
      <c r="L124" s="8"/>
      <c r="M124" s="8"/>
    </row>
    <row r="125" spans="1:13" x14ac:dyDescent="0.25">
      <c r="A125" s="20"/>
      <c r="B125" s="19"/>
      <c r="C125" s="19"/>
      <c r="D125" s="19"/>
      <c r="E125" s="19"/>
      <c r="F125" s="19"/>
      <c r="G125" s="8"/>
      <c r="H125" s="8"/>
      <c r="I125" s="8"/>
      <c r="J125" s="8"/>
      <c r="K125" s="8"/>
      <c r="L125" s="8"/>
      <c r="M125" s="8"/>
    </row>
    <row r="126" spans="1:13" x14ac:dyDescent="0.25">
      <c r="A126" s="18"/>
      <c r="B126" s="19"/>
      <c r="C126" s="19"/>
      <c r="D126" s="19"/>
      <c r="E126" s="19"/>
      <c r="F126" s="19"/>
      <c r="G126" s="19"/>
      <c r="H126" s="8"/>
      <c r="I126" s="8"/>
      <c r="J126" s="8"/>
      <c r="K126" s="8"/>
      <c r="L126" s="8"/>
      <c r="M126" s="8"/>
    </row>
    <row r="127" spans="1:13" x14ac:dyDescent="0.25">
      <c r="A127" s="20"/>
      <c r="B127" s="19"/>
      <c r="C127" s="19"/>
      <c r="D127" s="19"/>
      <c r="E127" s="19"/>
      <c r="F127" s="19"/>
      <c r="G127" s="19"/>
      <c r="H127" s="8"/>
      <c r="I127" s="8"/>
      <c r="J127" s="8"/>
      <c r="K127" s="8"/>
      <c r="L127" s="8"/>
      <c r="M127" s="8"/>
    </row>
    <row r="128" spans="1:13" x14ac:dyDescent="0.25">
      <c r="A128" s="18"/>
      <c r="B128" s="19"/>
      <c r="C128" s="19"/>
      <c r="D128" s="19"/>
      <c r="E128" s="19"/>
      <c r="F128" s="19"/>
      <c r="G128" s="19"/>
      <c r="H128" s="8"/>
      <c r="I128" s="8"/>
      <c r="J128" s="8"/>
      <c r="K128" s="8"/>
      <c r="L128" s="8"/>
      <c r="M128" s="8"/>
    </row>
    <row r="129" spans="1:13" x14ac:dyDescent="0.25">
      <c r="A129" s="18"/>
      <c r="B129" s="19"/>
      <c r="C129" s="19"/>
      <c r="D129" s="19"/>
      <c r="E129" s="19"/>
      <c r="F129" s="19"/>
      <c r="G129" s="19"/>
      <c r="H129" s="8"/>
      <c r="I129" s="8"/>
      <c r="J129" s="8"/>
      <c r="K129" s="8"/>
      <c r="L129" s="8"/>
      <c r="M129" s="8"/>
    </row>
    <row r="130" spans="1:13" x14ac:dyDescent="0.25">
      <c r="A130" s="18"/>
      <c r="B130" s="19"/>
      <c r="C130" s="19"/>
      <c r="D130" s="19"/>
      <c r="E130" s="19"/>
      <c r="F130" s="19"/>
      <c r="G130" s="19"/>
      <c r="H130" s="8"/>
      <c r="I130" s="8"/>
      <c r="J130" s="8"/>
      <c r="K130" s="8"/>
      <c r="L130" s="8"/>
      <c r="M130" s="8"/>
    </row>
    <row r="131" spans="1:13" x14ac:dyDescent="0.25">
      <c r="A131" s="18"/>
      <c r="B131" s="19"/>
      <c r="C131" s="19"/>
      <c r="D131" s="19"/>
      <c r="E131" s="19"/>
      <c r="F131" s="19"/>
      <c r="G131" s="19"/>
      <c r="H131" s="8"/>
      <c r="I131" s="8"/>
      <c r="J131" s="8"/>
      <c r="K131" s="8"/>
      <c r="L131" s="8"/>
      <c r="M131" s="8"/>
    </row>
    <row r="132" spans="1:13" x14ac:dyDescent="0.25">
      <c r="A132" s="18"/>
      <c r="B132" s="19"/>
      <c r="C132" s="19"/>
      <c r="D132" s="19"/>
      <c r="E132" s="19"/>
      <c r="F132" s="19"/>
      <c r="G132" s="19"/>
      <c r="H132" s="8"/>
      <c r="I132" s="8"/>
      <c r="J132" s="8"/>
      <c r="K132" s="8"/>
      <c r="L132" s="8"/>
      <c r="M132" s="8"/>
    </row>
    <row r="133" spans="1:13" x14ac:dyDescent="0.25">
      <c r="A133" s="18"/>
      <c r="B133" s="19"/>
      <c r="C133" s="19"/>
      <c r="D133" s="19"/>
      <c r="E133" s="19"/>
      <c r="F133" s="19"/>
      <c r="G133" s="19"/>
      <c r="H133" s="8"/>
      <c r="I133" s="8"/>
      <c r="J133" s="8"/>
      <c r="K133" s="8"/>
      <c r="L133" s="8"/>
      <c r="M133" s="8"/>
    </row>
    <row r="134" spans="1:13" x14ac:dyDescent="0.25">
      <c r="A134" s="18"/>
      <c r="B134" s="19"/>
      <c r="C134" s="19"/>
      <c r="D134" s="19"/>
      <c r="E134" s="19"/>
      <c r="F134" s="19"/>
      <c r="G134" s="19"/>
      <c r="H134" s="8"/>
      <c r="I134" s="8"/>
      <c r="J134" s="8"/>
      <c r="K134" s="8"/>
      <c r="L134" s="8"/>
      <c r="M134" s="8"/>
    </row>
    <row r="135" spans="1:13" x14ac:dyDescent="0.25">
      <c r="A135" s="18"/>
      <c r="B135" s="19"/>
      <c r="C135" s="19"/>
      <c r="D135" s="19"/>
      <c r="E135" s="19"/>
      <c r="F135" s="19"/>
      <c r="G135" s="19"/>
      <c r="H135" s="8"/>
      <c r="I135" s="8"/>
      <c r="J135" s="8"/>
      <c r="K135" s="8"/>
      <c r="L135" s="8"/>
      <c r="M135" s="8"/>
    </row>
    <row r="136" spans="1:13" x14ac:dyDescent="0.25">
      <c r="A136" s="18"/>
      <c r="B136" s="19"/>
      <c r="C136" s="19"/>
      <c r="D136" s="19"/>
      <c r="E136" s="19"/>
      <c r="F136" s="19"/>
      <c r="G136" s="19"/>
      <c r="H136" s="8"/>
      <c r="I136" s="8"/>
      <c r="J136" s="8"/>
      <c r="K136" s="8"/>
      <c r="L136" s="8"/>
      <c r="M136" s="8"/>
    </row>
    <row r="137" spans="1:13" x14ac:dyDescent="0.25">
      <c r="A137" s="18"/>
      <c r="B137" s="19"/>
      <c r="C137" s="19"/>
      <c r="D137" s="19"/>
      <c r="E137" s="19"/>
      <c r="F137" s="19"/>
      <c r="G137" s="19"/>
      <c r="H137" s="8"/>
      <c r="I137" s="8"/>
      <c r="J137" s="8"/>
      <c r="K137" s="8"/>
      <c r="L137" s="8"/>
      <c r="M137" s="8"/>
    </row>
    <row r="138" spans="1:13" x14ac:dyDescent="0.25">
      <c r="A138" s="18"/>
      <c r="B138" s="19"/>
      <c r="C138" s="19"/>
      <c r="D138" s="19"/>
      <c r="E138" s="19"/>
      <c r="F138" s="19"/>
      <c r="G138" s="19"/>
      <c r="H138" s="8"/>
      <c r="I138" s="8"/>
      <c r="J138" s="8"/>
      <c r="K138" s="8"/>
      <c r="L138" s="8"/>
      <c r="M138" s="8"/>
    </row>
    <row r="139" spans="1:13" x14ac:dyDescent="0.25">
      <c r="A139" s="18"/>
      <c r="B139" s="19"/>
      <c r="C139" s="19"/>
      <c r="D139" s="19"/>
      <c r="E139" s="19"/>
      <c r="F139" s="19"/>
      <c r="G139" s="19"/>
      <c r="H139" s="8"/>
      <c r="I139" s="8"/>
      <c r="J139" s="8"/>
      <c r="K139" s="8"/>
      <c r="L139" s="8"/>
      <c r="M139" s="8"/>
    </row>
    <row r="140" spans="1:13" x14ac:dyDescent="0.25">
      <c r="A140" s="18"/>
      <c r="B140" s="19"/>
      <c r="C140" s="19"/>
      <c r="D140" s="19"/>
      <c r="E140" s="19"/>
      <c r="F140" s="19"/>
      <c r="G140" s="19"/>
      <c r="H140" s="8"/>
      <c r="I140" s="8"/>
      <c r="J140" s="8"/>
      <c r="K140" s="8"/>
      <c r="L140" s="8"/>
      <c r="M140" s="8"/>
    </row>
    <row r="141" spans="1:13" x14ac:dyDescent="0.25">
      <c r="A141" s="18"/>
      <c r="B141" s="19"/>
      <c r="C141" s="19"/>
      <c r="D141" s="19"/>
      <c r="E141" s="19"/>
      <c r="F141" s="19"/>
      <c r="G141" s="19"/>
      <c r="H141" s="8"/>
      <c r="I141" s="8"/>
      <c r="J141" s="8"/>
      <c r="K141" s="8"/>
      <c r="L141" s="8"/>
      <c r="M141" s="8"/>
    </row>
    <row r="142" spans="1:13" x14ac:dyDescent="0.25">
      <c r="A142" s="18"/>
      <c r="B142" s="19"/>
      <c r="C142" s="19"/>
      <c r="D142" s="19"/>
      <c r="E142" s="19"/>
      <c r="F142" s="19"/>
      <c r="G142" s="19"/>
      <c r="H142" s="8"/>
      <c r="I142" s="8"/>
      <c r="J142" s="8"/>
      <c r="K142" s="8"/>
      <c r="L142" s="8"/>
      <c r="M142" s="8"/>
    </row>
    <row r="143" spans="1:13" x14ac:dyDescent="0.25">
      <c r="A143" s="18"/>
      <c r="B143" s="19"/>
      <c r="C143" s="19"/>
      <c r="D143" s="19"/>
      <c r="E143" s="19"/>
      <c r="F143" s="19"/>
      <c r="G143" s="19"/>
      <c r="H143" s="8"/>
      <c r="I143" s="8"/>
      <c r="J143" s="8"/>
      <c r="K143" s="8"/>
      <c r="L143" s="8"/>
      <c r="M143" s="8"/>
    </row>
    <row r="144" spans="1:13" x14ac:dyDescent="0.25">
      <c r="A144" s="18"/>
      <c r="B144" s="19"/>
      <c r="C144" s="19"/>
      <c r="D144" s="19"/>
      <c r="E144" s="19"/>
      <c r="F144" s="19"/>
      <c r="G144" s="19"/>
      <c r="H144" s="8"/>
      <c r="I144" s="8"/>
      <c r="J144" s="8"/>
      <c r="K144" s="8"/>
      <c r="L144" s="8"/>
      <c r="M144" s="8"/>
    </row>
    <row r="145" spans="1:13" x14ac:dyDescent="0.25">
      <c r="A145" s="18"/>
      <c r="B145" s="19"/>
      <c r="C145" s="19"/>
      <c r="D145" s="19"/>
      <c r="E145" s="19"/>
      <c r="F145" s="19"/>
      <c r="G145" s="19"/>
      <c r="H145" s="8"/>
      <c r="I145" s="8"/>
      <c r="J145" s="8"/>
      <c r="K145" s="8"/>
      <c r="L145" s="8"/>
      <c r="M145" s="8"/>
    </row>
    <row r="146" spans="1:13" x14ac:dyDescent="0.25">
      <c r="A146" s="18"/>
      <c r="B146" s="19"/>
      <c r="C146" s="19"/>
      <c r="D146" s="19"/>
      <c r="E146" s="19"/>
      <c r="F146" s="19"/>
      <c r="G146" s="19"/>
      <c r="H146" s="8"/>
      <c r="I146" s="8"/>
      <c r="J146" s="8"/>
      <c r="K146" s="8"/>
      <c r="L146" s="8"/>
      <c r="M146" s="8"/>
    </row>
    <row r="147" spans="1:13" x14ac:dyDescent="0.25">
      <c r="A147" s="18"/>
      <c r="B147" s="19"/>
      <c r="C147" s="19"/>
      <c r="D147" s="19"/>
      <c r="E147" s="19"/>
      <c r="F147" s="19"/>
      <c r="G147" s="19"/>
      <c r="H147" s="8"/>
      <c r="I147" s="8"/>
      <c r="J147" s="8"/>
      <c r="K147" s="8"/>
      <c r="L147" s="8"/>
      <c r="M147" s="8"/>
    </row>
    <row r="148" spans="1:13" x14ac:dyDescent="0.25">
      <c r="A148" s="18"/>
      <c r="B148" s="19"/>
      <c r="C148" s="19"/>
      <c r="D148" s="19"/>
      <c r="E148" s="19"/>
      <c r="F148" s="19"/>
      <c r="G148" s="19"/>
      <c r="H148" s="8"/>
      <c r="I148" s="8"/>
      <c r="J148" s="8"/>
      <c r="K148" s="8"/>
      <c r="L148" s="8"/>
      <c r="M148" s="8"/>
    </row>
    <row r="149" spans="1:13" x14ac:dyDescent="0.25">
      <c r="A149" s="18"/>
      <c r="B149" s="19"/>
      <c r="C149" s="19"/>
      <c r="D149" s="19"/>
      <c r="E149" s="19"/>
      <c r="F149" s="19"/>
      <c r="G149" s="19"/>
      <c r="H149" s="8"/>
      <c r="I149" s="8"/>
      <c r="J149" s="8"/>
      <c r="K149" s="8"/>
      <c r="L149" s="8"/>
      <c r="M149" s="8"/>
    </row>
    <row r="150" spans="1:13" x14ac:dyDescent="0.25">
      <c r="A150" s="18"/>
      <c r="B150" s="19"/>
      <c r="C150" s="19"/>
      <c r="D150" s="19"/>
      <c r="E150" s="19"/>
      <c r="F150" s="19"/>
      <c r="G150" s="19"/>
      <c r="H150" s="8"/>
      <c r="I150" s="8"/>
      <c r="J150" s="8"/>
      <c r="K150" s="8"/>
      <c r="L150" s="8"/>
      <c r="M150" s="8"/>
    </row>
    <row r="151" spans="1:13" x14ac:dyDescent="0.25">
      <c r="A151" s="18"/>
      <c r="B151" s="19"/>
      <c r="C151" s="19"/>
      <c r="D151" s="19"/>
      <c r="E151" s="19"/>
      <c r="F151" s="19"/>
      <c r="G151" s="19"/>
      <c r="H151" s="8"/>
      <c r="I151" s="8"/>
      <c r="J151" s="8"/>
      <c r="K151" s="8"/>
      <c r="L151" s="8"/>
      <c r="M151" s="8"/>
    </row>
    <row r="152" spans="1:13" x14ac:dyDescent="0.25">
      <c r="A152" s="18"/>
      <c r="B152" s="19"/>
      <c r="C152" s="19"/>
      <c r="D152" s="19"/>
      <c r="E152" s="19"/>
      <c r="F152" s="19"/>
      <c r="G152" s="19"/>
      <c r="H152" s="8"/>
      <c r="I152" s="8"/>
      <c r="J152" s="8"/>
      <c r="K152" s="8"/>
      <c r="L152" s="8"/>
      <c r="M152" s="8"/>
    </row>
    <row r="153" spans="1:13" x14ac:dyDescent="0.25">
      <c r="A153" s="18"/>
      <c r="B153" s="19"/>
      <c r="C153" s="19"/>
      <c r="D153" s="19"/>
      <c r="E153" s="19"/>
      <c r="F153" s="19"/>
      <c r="G153" s="19"/>
      <c r="H153" s="8"/>
      <c r="I153" s="8"/>
      <c r="J153" s="8"/>
      <c r="K153" s="8"/>
      <c r="L153" s="8"/>
      <c r="M153" s="8"/>
    </row>
    <row r="154" spans="1:13" x14ac:dyDescent="0.25">
      <c r="A154" s="18"/>
      <c r="B154" s="19"/>
      <c r="C154" s="19"/>
      <c r="D154" s="19"/>
      <c r="E154" s="19"/>
      <c r="F154" s="19"/>
      <c r="G154" s="19"/>
      <c r="H154" s="8"/>
      <c r="I154" s="8"/>
      <c r="J154" s="8"/>
      <c r="K154" s="8"/>
      <c r="L154" s="8"/>
      <c r="M154" s="8"/>
    </row>
    <row r="155" spans="1:13" x14ac:dyDescent="0.25">
      <c r="A155" s="18"/>
      <c r="B155" s="19"/>
      <c r="C155" s="19"/>
      <c r="D155" s="19"/>
      <c r="E155" s="19"/>
      <c r="F155" s="19"/>
      <c r="G155" s="19"/>
      <c r="H155" s="8"/>
      <c r="I155" s="8"/>
      <c r="J155" s="8"/>
      <c r="K155" s="8"/>
      <c r="L155" s="8"/>
      <c r="M155" s="8"/>
    </row>
    <row r="156" spans="1:13" x14ac:dyDescent="0.25">
      <c r="A156" s="18"/>
      <c r="B156" s="19"/>
      <c r="C156" s="19"/>
      <c r="D156" s="19"/>
      <c r="E156" s="19"/>
      <c r="F156" s="19"/>
      <c r="G156" s="19"/>
      <c r="H156" s="8"/>
      <c r="I156" s="8"/>
      <c r="J156" s="8"/>
      <c r="K156" s="8"/>
      <c r="L156" s="8"/>
      <c r="M156" s="8"/>
    </row>
    <row r="157" spans="1:13" x14ac:dyDescent="0.25">
      <c r="A157" s="18"/>
      <c r="B157" s="19"/>
      <c r="C157" s="19"/>
      <c r="D157" s="19"/>
      <c r="E157" s="19"/>
      <c r="F157" s="19"/>
      <c r="G157" s="19"/>
      <c r="H157" s="8"/>
      <c r="I157" s="8"/>
      <c r="J157" s="8"/>
      <c r="K157" s="8"/>
      <c r="L157" s="8"/>
      <c r="M157" s="8"/>
    </row>
    <row r="158" spans="1:13" x14ac:dyDescent="0.25">
      <c r="A158" s="18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</row>
    <row r="159" spans="1:13" x14ac:dyDescent="0.25">
      <c r="A159" s="18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</row>
    <row r="160" spans="1:13" x14ac:dyDescent="0.25">
      <c r="A160" s="18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</row>
    <row r="161" spans="1:13" x14ac:dyDescent="0.25">
      <c r="A161" s="18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</row>
    <row r="162" spans="1:13" x14ac:dyDescent="0.25">
      <c r="A162" s="18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</row>
    <row r="163" spans="1:13" x14ac:dyDescent="0.25">
      <c r="A163" s="18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</row>
    <row r="164" spans="1:13" x14ac:dyDescent="0.25">
      <c r="A164" s="18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</row>
    <row r="165" spans="1:13" x14ac:dyDescent="0.25">
      <c r="A165" s="18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</row>
    <row r="166" spans="1:13" x14ac:dyDescent="0.25">
      <c r="A166" s="18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</row>
    <row r="167" spans="1:13" x14ac:dyDescent="0.25">
      <c r="A167" s="18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</row>
    <row r="168" spans="1:13" x14ac:dyDescent="0.25">
      <c r="A168" s="18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</row>
    <row r="169" spans="1:13" x14ac:dyDescent="0.25">
      <c r="A169" s="18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</row>
    <row r="170" spans="1:13" x14ac:dyDescent="0.25">
      <c r="A170" s="18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</row>
    <row r="171" spans="1:13" x14ac:dyDescent="0.25">
      <c r="A171" s="18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</row>
    <row r="172" spans="1:13" x14ac:dyDescent="0.25">
      <c r="A172" s="18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</row>
    <row r="173" spans="1:13" x14ac:dyDescent="0.25">
      <c r="A173" s="18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</row>
    <row r="174" spans="1:13" x14ac:dyDescent="0.25">
      <c r="A174" s="18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</row>
    <row r="175" spans="1:13" x14ac:dyDescent="0.25">
      <c r="A175" s="18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</row>
    <row r="176" spans="1:13" x14ac:dyDescent="0.25">
      <c r="A176" s="18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</row>
    <row r="177" spans="1:13" x14ac:dyDescent="0.25">
      <c r="A177" s="18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</row>
    <row r="178" spans="1:13" x14ac:dyDescent="0.25">
      <c r="A178" s="18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</row>
    <row r="179" spans="1:13" x14ac:dyDescent="0.25">
      <c r="A179" s="18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</row>
    <row r="180" spans="1:13" x14ac:dyDescent="0.25">
      <c r="A180" s="18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</row>
    <row r="181" spans="1:13" x14ac:dyDescent="0.25">
      <c r="A181" s="18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</row>
    <row r="182" spans="1:13" x14ac:dyDescent="0.25">
      <c r="A182" s="18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</row>
    <row r="183" spans="1:13" x14ac:dyDescent="0.25">
      <c r="A183" s="18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</row>
    <row r="184" spans="1:13" x14ac:dyDescent="0.25">
      <c r="A184" s="18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</row>
    <row r="185" spans="1:13" x14ac:dyDescent="0.25">
      <c r="A185" s="18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</row>
    <row r="186" spans="1:13" x14ac:dyDescent="0.25">
      <c r="A186" s="18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</row>
    <row r="187" spans="1:13" x14ac:dyDescent="0.25">
      <c r="A187" s="18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</row>
    <row r="188" spans="1:13" x14ac:dyDescent="0.25">
      <c r="A188" s="18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</row>
    <row r="189" spans="1:13" x14ac:dyDescent="0.25">
      <c r="A189" s="18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</row>
    <row r="190" spans="1:13" x14ac:dyDescent="0.25">
      <c r="A190" s="18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</row>
    <row r="191" spans="1:13" x14ac:dyDescent="0.25">
      <c r="A191" s="18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</row>
    <row r="192" spans="1:13" x14ac:dyDescent="0.25">
      <c r="A192" s="18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</row>
    <row r="193" spans="1:13" x14ac:dyDescent="0.25">
      <c r="A193" s="18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</row>
    <row r="194" spans="1:13" x14ac:dyDescent="0.25">
      <c r="A194" s="18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</row>
    <row r="195" spans="1:13" x14ac:dyDescent="0.25">
      <c r="A195" s="18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</row>
    <row r="196" spans="1:13" x14ac:dyDescent="0.25">
      <c r="A196" s="18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</row>
    <row r="197" spans="1:13" x14ac:dyDescent="0.25">
      <c r="A197" s="18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</row>
    <row r="198" spans="1:13" x14ac:dyDescent="0.25">
      <c r="A198" s="18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</row>
    <row r="199" spans="1:13" x14ac:dyDescent="0.25">
      <c r="A199" s="18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</row>
    <row r="200" spans="1:13" x14ac:dyDescent="0.25">
      <c r="A200" s="18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</row>
    <row r="201" spans="1:13" x14ac:dyDescent="0.25">
      <c r="A201" s="18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</row>
    <row r="202" spans="1:13" x14ac:dyDescent="0.25">
      <c r="A202" s="18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</row>
    <row r="203" spans="1:13" x14ac:dyDescent="0.25">
      <c r="A203" s="18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</row>
    <row r="204" spans="1:13" x14ac:dyDescent="0.25">
      <c r="A204" s="18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</row>
    <row r="205" spans="1:13" x14ac:dyDescent="0.25">
      <c r="A205" s="18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</row>
    <row r="206" spans="1:13" x14ac:dyDescent="0.25">
      <c r="A206" s="18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</row>
    <row r="207" spans="1:13" x14ac:dyDescent="0.25">
      <c r="A207" s="18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</row>
    <row r="208" spans="1:13" x14ac:dyDescent="0.25">
      <c r="A208" s="18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</row>
    <row r="209" spans="1:13" x14ac:dyDescent="0.25">
      <c r="A209" s="18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</row>
    <row r="210" spans="1:13" x14ac:dyDescent="0.25">
      <c r="A210" s="18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</row>
    <row r="211" spans="1:13" x14ac:dyDescent="0.25">
      <c r="A211" s="18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</row>
    <row r="212" spans="1:13" x14ac:dyDescent="0.25">
      <c r="A212" s="18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</row>
    <row r="213" spans="1:13" x14ac:dyDescent="0.25">
      <c r="A213" s="18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</row>
    <row r="214" spans="1:13" x14ac:dyDescent="0.25">
      <c r="A214" s="18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</row>
    <row r="215" spans="1:13" x14ac:dyDescent="0.25">
      <c r="A215" s="18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</row>
    <row r="216" spans="1:13" x14ac:dyDescent="0.25">
      <c r="A216" s="18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</row>
    <row r="217" spans="1:13" x14ac:dyDescent="0.25">
      <c r="A217" s="18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</row>
    <row r="218" spans="1:13" x14ac:dyDescent="0.25">
      <c r="A218" s="18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</row>
    <row r="219" spans="1:13" x14ac:dyDescent="0.25">
      <c r="A219" s="18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</row>
    <row r="220" spans="1:13" x14ac:dyDescent="0.25">
      <c r="A220" s="18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</row>
    <row r="221" spans="1:13" x14ac:dyDescent="0.25">
      <c r="A221" s="18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</row>
    <row r="222" spans="1:13" x14ac:dyDescent="0.25">
      <c r="A222" s="18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</row>
    <row r="223" spans="1:13" x14ac:dyDescent="0.25">
      <c r="A223" s="18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</row>
    <row r="224" spans="1:13" x14ac:dyDescent="0.25">
      <c r="A224" s="18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</row>
    <row r="225" spans="1:12" x14ac:dyDescent="0.25">
      <c r="A225" s="18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</row>
    <row r="226" spans="1:12" x14ac:dyDescent="0.25">
      <c r="A226" s="18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</row>
    <row r="227" spans="1:12" x14ac:dyDescent="0.25"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</row>
    <row r="228" spans="1:12" x14ac:dyDescent="0.25"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</row>
    <row r="229" spans="1:12" x14ac:dyDescent="0.25"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</row>
    <row r="230" spans="1:12" x14ac:dyDescent="0.25"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</row>
    <row r="231" spans="1:12" x14ac:dyDescent="0.25"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</row>
    <row r="232" spans="1:12" x14ac:dyDescent="0.25"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</row>
    <row r="233" spans="1:12" x14ac:dyDescent="0.25"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</row>
    <row r="234" spans="1:12" x14ac:dyDescent="0.25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</row>
    <row r="235" spans="1:12" x14ac:dyDescent="0.25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</row>
    <row r="236" spans="1:12" x14ac:dyDescent="0.25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</row>
    <row r="237" spans="1:12" x14ac:dyDescent="0.25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</row>
    <row r="238" spans="1:12" x14ac:dyDescent="0.25"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</row>
    <row r="239" spans="1:12" x14ac:dyDescent="0.25"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</row>
    <row r="240" spans="1:12" x14ac:dyDescent="0.25"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</row>
    <row r="241" spans="2:12" x14ac:dyDescent="0.25"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</row>
    <row r="242" spans="2:12" x14ac:dyDescent="0.25"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</row>
    <row r="243" spans="2:12" x14ac:dyDescent="0.25"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</row>
    <row r="244" spans="2:12" x14ac:dyDescent="0.25"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</row>
    <row r="245" spans="2:12" x14ac:dyDescent="0.25"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</row>
    <row r="246" spans="2:12" x14ac:dyDescent="0.25"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</row>
    <row r="247" spans="2:12" x14ac:dyDescent="0.25"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</row>
    <row r="248" spans="2:12" x14ac:dyDescent="0.25"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</row>
    <row r="249" spans="2:12" x14ac:dyDescent="0.25"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</row>
    <row r="250" spans="2:12" x14ac:dyDescent="0.25"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</row>
    <row r="251" spans="2:12" x14ac:dyDescent="0.25"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</row>
    <row r="252" spans="2:12" x14ac:dyDescent="0.25"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</row>
    <row r="253" spans="2:12" x14ac:dyDescent="0.25"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</row>
  </sheetData>
  <mergeCells count="4">
    <mergeCell ref="A1:M1"/>
    <mergeCell ref="A2:M2"/>
    <mergeCell ref="A4:A5"/>
    <mergeCell ref="A3:L3"/>
  </mergeCells>
  <pageMargins left="0.18" right="0.22" top="0.42" bottom="0.3" header="0.3" footer="0.17"/>
  <pageSetup paperSize="9" scale="87" orientation="landscape" r:id="rId1"/>
  <rowBreaks count="1" manualBreakCount="1">
    <brk id="83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13.9</vt:lpstr>
      <vt:lpstr>'13.9'!Print_Area</vt:lpstr>
      <vt:lpstr>'13.9'!Print_Titles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2015-10-18T16:14:36Z</cp:lastPrinted>
  <dcterms:created xsi:type="dcterms:W3CDTF">2014-03-06T08:38:12Z</dcterms:created>
  <dcterms:modified xsi:type="dcterms:W3CDTF">2016-01-18T08:22:35Z</dcterms:modified>
</cp:coreProperties>
</file>