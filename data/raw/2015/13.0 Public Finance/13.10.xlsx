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65" windowWidth="14160" windowHeight="6615" tabRatio="814"/>
  </bookViews>
  <sheets>
    <sheet name="13.10" sheetId="22" r:id="rId1"/>
  </sheets>
  <definedNames>
    <definedName name="_xlnm.Print_Area" localSheetId="0">'13.10'!$A$1:$M$34</definedName>
  </definedNames>
  <calcPr calcId="144525"/>
</workbook>
</file>

<file path=xl/calcChain.xml><?xml version="1.0" encoding="utf-8"?>
<calcChain xmlns="http://schemas.openxmlformats.org/spreadsheetml/2006/main">
  <c r="M14" i="22" l="1"/>
  <c r="L14" i="22"/>
  <c r="K14" i="22"/>
  <c r="J14" i="22"/>
  <c r="I14" i="22"/>
  <c r="H14" i="22"/>
  <c r="G14" i="22"/>
  <c r="F14" i="22"/>
  <c r="E14" i="22"/>
  <c r="D14" i="22"/>
  <c r="C14" i="22"/>
  <c r="B14" i="22"/>
  <c r="M8" i="22"/>
  <c r="L8" i="22"/>
  <c r="K8" i="22"/>
  <c r="K6" i="22" s="1"/>
  <c r="J8" i="22"/>
  <c r="J6" i="22" s="1"/>
  <c r="I8" i="22"/>
  <c r="I6" i="22" s="1"/>
  <c r="H8" i="22"/>
  <c r="G8" i="22"/>
  <c r="F8" i="22"/>
  <c r="E8" i="22"/>
  <c r="D8" i="22"/>
  <c r="C8" i="22"/>
  <c r="C6" i="22" s="1"/>
  <c r="B8" i="22"/>
  <c r="B6" i="22" s="1"/>
  <c r="M6" i="22"/>
  <c r="L6" i="22"/>
  <c r="H6" i="22"/>
  <c r="G6" i="22"/>
  <c r="F6" i="22"/>
  <c r="E6" i="22"/>
  <c r="D6" i="22"/>
</calcChain>
</file>

<file path=xl/sharedStrings.xml><?xml version="1.0" encoding="utf-8"?>
<sst xmlns="http://schemas.openxmlformats.org/spreadsheetml/2006/main" count="170" uniqueCount="35">
  <si>
    <t>Particulars</t>
  </si>
  <si>
    <t>Revised</t>
  </si>
  <si>
    <t>Actuals</t>
  </si>
  <si>
    <t>Approved</t>
  </si>
  <si>
    <t>MTEF</t>
  </si>
  <si>
    <t>Kuwait Fund</t>
  </si>
  <si>
    <t>Japan</t>
  </si>
  <si>
    <t>-</t>
  </si>
  <si>
    <t>Source: Ministry of Finance and Treasury</t>
  </si>
  <si>
    <t>Total disbursements</t>
  </si>
  <si>
    <t>Bilateral</t>
  </si>
  <si>
    <t>Saudi Arabia</t>
  </si>
  <si>
    <t>AbuDabi Fund</t>
  </si>
  <si>
    <t xml:space="preserve">India </t>
  </si>
  <si>
    <t>Multilateral</t>
  </si>
  <si>
    <t>OPEC Fund (OFID)</t>
  </si>
  <si>
    <t>IDA</t>
  </si>
  <si>
    <t>ADB</t>
  </si>
  <si>
    <t>IDB</t>
  </si>
  <si>
    <t>IFAD</t>
  </si>
  <si>
    <t>Bank of Ceylon</t>
  </si>
  <si>
    <t>ING Bank (Netherland)</t>
  </si>
  <si>
    <t>Exim Bank of China</t>
  </si>
  <si>
    <t>Exim Bank of India</t>
  </si>
  <si>
    <t>Exim Bank of Thailand</t>
  </si>
  <si>
    <t>French Development Agency</t>
  </si>
  <si>
    <t>DANIDA</t>
  </si>
  <si>
    <t>State Bank of India</t>
  </si>
  <si>
    <t>Rabo Bank</t>
  </si>
  <si>
    <t>EU Investment Bank</t>
  </si>
  <si>
    <t>Society General Italy</t>
  </si>
  <si>
    <t>SBI</t>
  </si>
  <si>
    <t>others</t>
  </si>
  <si>
    <t>ތާވަލު 13.10: އެޖެންސީތަކުން ލިބޭ ބޭރުގެ އެހީ، 2006 - 2017</t>
  </si>
  <si>
    <t>Table  13.10 : FOREIGN LOANS BY LENDING AGENCY, 2006 - 2017 (In million MVR)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</si>
</sst>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#,##0.0"/>
    <numFmt numFmtId="166" formatCode="_(* #,##0.0_);_(* \(#,##0.0\);_(* &quot;-&quot;??_);_(@_)"/>
    <numFmt numFmtId="167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Faruma"/>
    </font>
    <font>
      <b/>
      <sz val="14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5">
    <xf numFmtId="0" fontId="0" fillId="0" borderId="0" xfId="0"/>
    <xf numFmtId="164" fontId="5" fillId="2" borderId="0" xfId="2" applyNumberFormat="1" applyFont="1" applyFill="1" applyAlignment="1">
      <alignment vertical="center"/>
    </xf>
    <xf numFmtId="164" fontId="4" fillId="2" borderId="0" xfId="2" applyNumberFormat="1" applyFont="1" applyFill="1" applyAlignment="1">
      <alignment vertical="center"/>
    </xf>
    <xf numFmtId="164" fontId="4" fillId="2" borderId="2" xfId="2" applyNumberFormat="1" applyFont="1" applyFill="1" applyBorder="1" applyAlignment="1">
      <alignment vertical="center"/>
    </xf>
    <xf numFmtId="164" fontId="4" fillId="2" borderId="2" xfId="2" applyNumberFormat="1" applyFont="1" applyFill="1" applyBorder="1" applyAlignment="1" applyProtection="1">
      <alignment horizontal="right" vertical="center"/>
      <protection locked="0"/>
    </xf>
    <xf numFmtId="164" fontId="4" fillId="2" borderId="1" xfId="2" applyNumberFormat="1" applyFont="1" applyFill="1" applyBorder="1" applyAlignment="1" applyProtection="1">
      <alignment horizontal="right"/>
    </xf>
    <xf numFmtId="164" fontId="5" fillId="2" borderId="0" xfId="2" applyNumberFormat="1" applyFont="1" applyFill="1" applyBorder="1" applyAlignment="1">
      <alignment vertical="center"/>
    </xf>
    <xf numFmtId="166" fontId="5" fillId="2" borderId="0" xfId="1" applyNumberFormat="1" applyFont="1" applyFill="1" applyAlignment="1">
      <alignment horizontal="right" vertical="center"/>
    </xf>
    <xf numFmtId="166" fontId="4" fillId="2" borderId="0" xfId="1" applyNumberFormat="1" applyFont="1" applyFill="1" applyAlignment="1">
      <alignment horizontal="right" vertical="center"/>
    </xf>
    <xf numFmtId="166" fontId="5" fillId="2" borderId="0" xfId="1" applyNumberFormat="1" applyFont="1" applyFill="1" applyBorder="1" applyAlignment="1">
      <alignment horizontal="right" vertical="center"/>
    </xf>
    <xf numFmtId="164" fontId="5" fillId="2" borderId="0" xfId="2" applyNumberFormat="1" applyFont="1" applyFill="1" applyAlignment="1">
      <alignment horizontal="right" vertical="center"/>
    </xf>
    <xf numFmtId="165" fontId="4" fillId="2" borderId="2" xfId="2" applyNumberFormat="1" applyFont="1" applyFill="1" applyBorder="1" applyAlignment="1" applyProtection="1">
      <alignment horizontal="right" vertical="center"/>
    </xf>
    <xf numFmtId="2" fontId="4" fillId="2" borderId="0" xfId="2" applyNumberFormat="1" applyFont="1" applyFill="1" applyAlignment="1">
      <alignment horizontal="left"/>
    </xf>
    <xf numFmtId="166" fontId="4" fillId="2" borderId="0" xfId="1" applyNumberFormat="1" applyFont="1" applyFill="1" applyBorder="1" applyAlignment="1" applyProtection="1">
      <alignment horizontal="right" vertical="center"/>
    </xf>
    <xf numFmtId="2" fontId="5" fillId="2" borderId="0" xfId="2" applyNumberFormat="1" applyFont="1" applyFill="1" applyAlignment="1">
      <alignment horizontal="left"/>
    </xf>
    <xf numFmtId="166" fontId="5" fillId="2" borderId="0" xfId="1" applyNumberFormat="1" applyFont="1" applyFill="1" applyBorder="1" applyAlignment="1" applyProtection="1">
      <alignment horizontal="right" vertical="center"/>
    </xf>
    <xf numFmtId="166" fontId="5" fillId="2" borderId="0" xfId="1" applyNumberFormat="1" applyFont="1" applyFill="1" applyAlignment="1" applyProtection="1">
      <alignment horizontal="right" vertical="center"/>
    </xf>
    <xf numFmtId="166" fontId="5" fillId="2" borderId="0" xfId="1" applyNumberFormat="1" applyFont="1" applyFill="1" applyAlignment="1">
      <alignment horizontal="left"/>
    </xf>
    <xf numFmtId="166" fontId="5" fillId="2" borderId="0" xfId="1" applyNumberFormat="1" applyFont="1" applyFill="1" applyBorder="1" applyAlignment="1">
      <alignment horizontal="left"/>
    </xf>
    <xf numFmtId="166" fontId="5" fillId="2" borderId="1" xfId="1" applyNumberFormat="1" applyFont="1" applyFill="1" applyBorder="1" applyAlignment="1">
      <alignment horizontal="left"/>
    </xf>
    <xf numFmtId="166" fontId="5" fillId="2" borderId="0" xfId="1" applyNumberFormat="1" applyFont="1" applyFill="1" applyAlignment="1">
      <alignment horizontal="left" indent="1"/>
    </xf>
    <xf numFmtId="166" fontId="5" fillId="2" borderId="0" xfId="1" applyNumberFormat="1" applyFont="1" applyFill="1" applyAlignment="1">
      <alignment vertical="center"/>
    </xf>
    <xf numFmtId="167" fontId="5" fillId="2" borderId="0" xfId="2" applyNumberFormat="1" applyFont="1" applyFill="1" applyAlignment="1">
      <alignment horizontal="left" indent="1"/>
    </xf>
    <xf numFmtId="164" fontId="5" fillId="2" borderId="0" xfId="2" applyNumberFormat="1" applyFont="1" applyFill="1" applyAlignment="1">
      <alignment horizontal="left" indent="1"/>
    </xf>
    <xf numFmtId="0" fontId="8" fillId="2" borderId="0" xfId="0" applyFont="1" applyFill="1"/>
    <xf numFmtId="164" fontId="8" fillId="2" borderId="0" xfId="2" applyNumberFormat="1" applyFont="1" applyFill="1" applyAlignment="1">
      <alignment vertical="center"/>
    </xf>
    <xf numFmtId="164" fontId="8" fillId="2" borderId="0" xfId="2" applyNumberFormat="1" applyFont="1" applyFill="1" applyAlignment="1">
      <alignment horizontal="right" vertical="center"/>
    </xf>
    <xf numFmtId="166" fontId="9" fillId="2" borderId="0" xfId="1" applyNumberFormat="1" applyFont="1" applyFill="1" applyBorder="1" applyAlignment="1">
      <alignment horizontal="right" vertical="center"/>
    </xf>
    <xf numFmtId="166" fontId="9" fillId="2" borderId="1" xfId="1" applyNumberFormat="1" applyFont="1" applyFill="1" applyBorder="1" applyAlignment="1">
      <alignment horizontal="right" vertical="center"/>
    </xf>
    <xf numFmtId="164" fontId="4" fillId="2" borderId="0" xfId="2" applyNumberFormat="1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/>
    <xf numFmtId="164" fontId="7" fillId="2" borderId="0" xfId="2" applyNumberFormat="1" applyFont="1" applyFill="1" applyAlignment="1">
      <alignment horizontal="center" vertical="center"/>
    </xf>
    <xf numFmtId="164" fontId="3" fillId="2" borderId="0" xfId="2" applyNumberFormat="1" applyFont="1" applyFill="1" applyBorder="1" applyAlignment="1" applyProtection="1">
      <alignment horizontal="center" vertical="center"/>
    </xf>
    <xf numFmtId="164" fontId="4" fillId="2" borderId="2" xfId="2" applyNumberFormat="1" applyFont="1" applyFill="1" applyBorder="1" applyAlignment="1" applyProtection="1">
      <alignment horizontal="left" vertical="center"/>
    </xf>
    <xf numFmtId="164" fontId="4" fillId="2" borderId="1" xfId="2" applyNumberFormat="1" applyFont="1" applyFill="1" applyBorder="1" applyAlignment="1" applyProtection="1">
      <alignment horizontal="left" vertical="center"/>
    </xf>
  </cellXfs>
  <cellStyles count="3">
    <cellStyle name="Comma" xfId="1" builtinId="3"/>
    <cellStyle name="Normal" xfId="0" builtinId="0"/>
    <cellStyle name="Normal_13 Public Finance_done 2" xfId="2"/>
  </cellStyles>
  <dxfs count="0"/>
  <tableStyles count="0" defaultTableStyle="TableStyleMedium9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6"/>
  <sheetViews>
    <sheetView tabSelected="1" zoomScaleNormal="100" workbookViewId="0">
      <selection activeCell="H17" sqref="H17"/>
    </sheetView>
  </sheetViews>
  <sheetFormatPr defaultColWidth="9.140625" defaultRowHeight="12.75" x14ac:dyDescent="0.25"/>
  <cols>
    <col min="1" max="1" width="24.42578125" style="1" customWidth="1"/>
    <col min="2" max="5" width="9.140625" style="1" customWidth="1"/>
    <col min="6" max="6" width="9.140625" style="10" customWidth="1"/>
    <col min="7" max="16384" width="9.140625" style="1"/>
  </cols>
  <sheetData>
    <row r="1" spans="1:13" ht="21" x14ac:dyDescent="0.25">
      <c r="A1" s="31" t="s">
        <v>33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s="2" customFormat="1" ht="15" x14ac:dyDescent="0.25">
      <c r="A2" s="32" t="s">
        <v>34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s="2" customForma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3" s="2" customFormat="1" x14ac:dyDescent="0.25">
      <c r="A4" s="33" t="s">
        <v>0</v>
      </c>
      <c r="B4" s="11"/>
      <c r="C4" s="11"/>
      <c r="D4" s="4"/>
      <c r="E4" s="4"/>
      <c r="F4" s="3"/>
      <c r="G4" s="4" t="s">
        <v>2</v>
      </c>
      <c r="H4" s="4" t="s">
        <v>2</v>
      </c>
      <c r="I4" s="4" t="s">
        <v>2</v>
      </c>
      <c r="J4" s="4" t="s">
        <v>1</v>
      </c>
      <c r="K4" s="4" t="s">
        <v>3</v>
      </c>
      <c r="L4" s="4" t="s">
        <v>4</v>
      </c>
      <c r="M4" s="4" t="s">
        <v>4</v>
      </c>
    </row>
    <row r="5" spans="1:13" s="6" customFormat="1" x14ac:dyDescent="0.2">
      <c r="A5" s="34"/>
      <c r="B5" s="5">
        <v>2006</v>
      </c>
      <c r="C5" s="5">
        <v>2007</v>
      </c>
      <c r="D5" s="5">
        <v>2008</v>
      </c>
      <c r="E5" s="5">
        <v>2009</v>
      </c>
      <c r="F5" s="5">
        <v>2010</v>
      </c>
      <c r="G5" s="5">
        <v>2011</v>
      </c>
      <c r="H5" s="5">
        <v>2012</v>
      </c>
      <c r="I5" s="5">
        <v>2013</v>
      </c>
      <c r="J5" s="5">
        <v>2014</v>
      </c>
      <c r="K5" s="5">
        <v>2015</v>
      </c>
      <c r="L5" s="5">
        <v>2016</v>
      </c>
      <c r="M5" s="5">
        <v>2017</v>
      </c>
    </row>
    <row r="6" spans="1:13" s="2" customFormat="1" x14ac:dyDescent="0.2">
      <c r="A6" s="12" t="s">
        <v>9</v>
      </c>
      <c r="B6" s="13">
        <f t="shared" ref="B6:M6" si="0">B8+B14</f>
        <v>806.09999999999991</v>
      </c>
      <c r="C6" s="13">
        <f t="shared" si="0"/>
        <v>816.49044500000002</v>
      </c>
      <c r="D6" s="13">
        <f t="shared" si="0"/>
        <v>755.10795499999995</v>
      </c>
      <c r="E6" s="13">
        <f t="shared" si="0"/>
        <v>778.84185600000001</v>
      </c>
      <c r="F6" s="13">
        <f t="shared" si="0"/>
        <v>1283.0210480000001</v>
      </c>
      <c r="G6" s="13">
        <f t="shared" si="0"/>
        <v>1398.4178940000002</v>
      </c>
      <c r="H6" s="13">
        <f t="shared" si="0"/>
        <v>1145.8582073000002</v>
      </c>
      <c r="I6" s="13">
        <f t="shared" si="0"/>
        <v>1187.1923499999998</v>
      </c>
      <c r="J6" s="13">
        <f t="shared" si="0"/>
        <v>388.57995400000004</v>
      </c>
      <c r="K6" s="13">
        <f t="shared" si="0"/>
        <v>1903.1231710000002</v>
      </c>
      <c r="L6" s="13">
        <f t="shared" si="0"/>
        <v>2663.4449689999997</v>
      </c>
      <c r="M6" s="13">
        <f t="shared" si="0"/>
        <v>3112.5118650000004</v>
      </c>
    </row>
    <row r="7" spans="1:13" s="2" customFormat="1" x14ac:dyDescent="0.2">
      <c r="A7" s="14"/>
      <c r="B7" s="15"/>
      <c r="C7" s="15"/>
      <c r="D7" s="16"/>
      <c r="E7" s="7"/>
      <c r="F7" s="8"/>
      <c r="G7" s="8"/>
      <c r="H7" s="15"/>
      <c r="I7" s="15"/>
      <c r="J7" s="15"/>
      <c r="K7" s="15"/>
      <c r="L7" s="15"/>
      <c r="M7" s="15"/>
    </row>
    <row r="8" spans="1:13" s="2" customFormat="1" x14ac:dyDescent="0.2">
      <c r="A8" s="12" t="s">
        <v>10</v>
      </c>
      <c r="B8" s="13">
        <f t="shared" ref="B8:L8" si="1">SUM(B9:B13)</f>
        <v>120.4</v>
      </c>
      <c r="C8" s="13">
        <f t="shared" si="1"/>
        <v>24.2</v>
      </c>
      <c r="D8" s="13">
        <f t="shared" si="1"/>
        <v>28.072474</v>
      </c>
      <c r="E8" s="13">
        <f t="shared" si="1"/>
        <v>531.19676100000004</v>
      </c>
      <c r="F8" s="13">
        <f t="shared" si="1"/>
        <v>350.87172900000002</v>
      </c>
      <c r="G8" s="13">
        <f t="shared" si="1"/>
        <v>272.73269500000004</v>
      </c>
      <c r="H8" s="13">
        <f t="shared" si="1"/>
        <v>257.65936199999999</v>
      </c>
      <c r="I8" s="13">
        <f t="shared" si="1"/>
        <v>59.122427999999999</v>
      </c>
      <c r="J8" s="13">
        <f t="shared" si="1"/>
        <v>72.669822999999994</v>
      </c>
      <c r="K8" s="13">
        <f t="shared" si="1"/>
        <v>492.06825599999996</v>
      </c>
      <c r="L8" s="13">
        <f t="shared" si="1"/>
        <v>531.82019400000001</v>
      </c>
      <c r="M8" s="13">
        <f t="shared" ref="M8" si="2">SUM(M9:M13)</f>
        <v>675.62927100000002</v>
      </c>
    </row>
    <row r="9" spans="1:13" s="2" customFormat="1" x14ac:dyDescent="0.2">
      <c r="A9" s="14" t="s">
        <v>11</v>
      </c>
      <c r="B9" s="15">
        <v>77.900000000000006</v>
      </c>
      <c r="C9" s="15">
        <v>11.6</v>
      </c>
      <c r="D9" s="15">
        <v>1.8260099999999999</v>
      </c>
      <c r="E9" s="15">
        <v>40.133375999999998</v>
      </c>
      <c r="F9" s="15">
        <v>22.482177</v>
      </c>
      <c r="G9" s="15">
        <v>181.95449300000001</v>
      </c>
      <c r="H9" s="15">
        <v>153.78399200000001</v>
      </c>
      <c r="I9" s="15">
        <v>37.905923999999999</v>
      </c>
      <c r="J9" s="15">
        <v>62.918917999999998</v>
      </c>
      <c r="K9" s="15">
        <v>85.817891000000003</v>
      </c>
      <c r="L9" s="15">
        <v>77.477096000000003</v>
      </c>
      <c r="M9" s="15">
        <v>56.699958000000002</v>
      </c>
    </row>
    <row r="10" spans="1:13" s="2" customFormat="1" ht="15" x14ac:dyDescent="0.2">
      <c r="A10" s="14" t="s">
        <v>5</v>
      </c>
      <c r="B10" s="15">
        <v>42.5</v>
      </c>
      <c r="C10" s="15">
        <v>12.6</v>
      </c>
      <c r="D10" s="15">
        <v>4.2685310000000003</v>
      </c>
      <c r="E10" s="15">
        <v>4.1224829999999999</v>
      </c>
      <c r="F10" s="15">
        <v>65.438177999999994</v>
      </c>
      <c r="G10" s="15">
        <v>41.59984</v>
      </c>
      <c r="H10" s="15">
        <v>9.1164190000000005</v>
      </c>
      <c r="I10" s="27" t="s">
        <v>7</v>
      </c>
      <c r="J10" s="27" t="s">
        <v>7</v>
      </c>
      <c r="K10" s="15">
        <v>45.953657</v>
      </c>
      <c r="L10" s="15">
        <v>86.717984999999999</v>
      </c>
      <c r="M10" s="15">
        <v>138.13731300000001</v>
      </c>
    </row>
    <row r="11" spans="1:13" s="2" customFormat="1" ht="15" x14ac:dyDescent="0.2">
      <c r="A11" s="14" t="s">
        <v>6</v>
      </c>
      <c r="B11" s="27" t="s">
        <v>7</v>
      </c>
      <c r="C11" s="27" t="s">
        <v>7</v>
      </c>
      <c r="D11" s="15">
        <v>21.977933</v>
      </c>
      <c r="E11" s="15">
        <v>73.282560000000004</v>
      </c>
      <c r="F11" s="15">
        <v>249.074994</v>
      </c>
      <c r="G11" s="15">
        <v>32.668301999999997</v>
      </c>
      <c r="H11" s="15">
        <v>7.1360210000000004</v>
      </c>
      <c r="I11" s="27" t="s">
        <v>7</v>
      </c>
      <c r="J11" s="27" t="s">
        <v>7</v>
      </c>
      <c r="K11" s="15">
        <v>308.2</v>
      </c>
      <c r="L11" s="15">
        <v>308.2</v>
      </c>
      <c r="M11" s="15">
        <v>462.3</v>
      </c>
    </row>
    <row r="12" spans="1:13" s="2" customFormat="1" ht="15" x14ac:dyDescent="0.2">
      <c r="A12" s="14" t="s">
        <v>12</v>
      </c>
      <c r="B12" s="27" t="s">
        <v>7</v>
      </c>
      <c r="C12" s="27" t="s">
        <v>7</v>
      </c>
      <c r="D12" s="27" t="s">
        <v>7</v>
      </c>
      <c r="E12" s="27" t="s">
        <v>7</v>
      </c>
      <c r="F12" s="15">
        <v>13.876379999999999</v>
      </c>
      <c r="G12" s="15">
        <v>16.510059999999999</v>
      </c>
      <c r="H12" s="15">
        <v>87.622929999999997</v>
      </c>
      <c r="I12" s="15">
        <v>21.216504</v>
      </c>
      <c r="J12" s="15">
        <v>9.7509049999999995</v>
      </c>
      <c r="K12" s="15">
        <v>52.096708</v>
      </c>
      <c r="L12" s="15">
        <v>59.425113000000003</v>
      </c>
      <c r="M12" s="15">
        <v>18.492000000000001</v>
      </c>
    </row>
    <row r="13" spans="1:13" s="2" customFormat="1" ht="15" x14ac:dyDescent="0.2">
      <c r="A13" s="14" t="s">
        <v>13</v>
      </c>
      <c r="B13" s="27" t="s">
        <v>7</v>
      </c>
      <c r="C13" s="27" t="s">
        <v>7</v>
      </c>
      <c r="D13" s="27" t="s">
        <v>7</v>
      </c>
      <c r="E13" s="15">
        <v>413.658342</v>
      </c>
      <c r="F13" s="27" t="s">
        <v>7</v>
      </c>
      <c r="G13" s="27" t="s">
        <v>7</v>
      </c>
      <c r="H13" s="27" t="s">
        <v>7</v>
      </c>
      <c r="I13" s="27" t="s">
        <v>7</v>
      </c>
      <c r="J13" s="27" t="s">
        <v>7</v>
      </c>
      <c r="K13" s="27" t="s">
        <v>7</v>
      </c>
      <c r="L13" s="27" t="s">
        <v>7</v>
      </c>
      <c r="M13" s="27" t="s">
        <v>7</v>
      </c>
    </row>
    <row r="14" spans="1:13" s="2" customFormat="1" x14ac:dyDescent="0.2">
      <c r="A14" s="12" t="s">
        <v>14</v>
      </c>
      <c r="B14" s="13">
        <f t="shared" ref="B14:I14" si="3">SUM(B15:B31)</f>
        <v>685.69999999999993</v>
      </c>
      <c r="C14" s="13">
        <f t="shared" si="3"/>
        <v>792.29044499999998</v>
      </c>
      <c r="D14" s="13">
        <f t="shared" si="3"/>
        <v>727.035481</v>
      </c>
      <c r="E14" s="13">
        <f t="shared" si="3"/>
        <v>247.64509500000003</v>
      </c>
      <c r="F14" s="13">
        <f t="shared" si="3"/>
        <v>932.14931899999999</v>
      </c>
      <c r="G14" s="13">
        <f t="shared" si="3"/>
        <v>1125.685199</v>
      </c>
      <c r="H14" s="13">
        <f t="shared" si="3"/>
        <v>888.19884530000013</v>
      </c>
      <c r="I14" s="13">
        <f t="shared" si="3"/>
        <v>1128.0699219999999</v>
      </c>
      <c r="J14" s="13">
        <f>SUM(J15:J32)</f>
        <v>315.91013100000004</v>
      </c>
      <c r="K14" s="13">
        <f t="shared" ref="K14:M14" si="4">SUM(K15:K32)</f>
        <v>1411.0549150000002</v>
      </c>
      <c r="L14" s="13">
        <f t="shared" si="4"/>
        <v>2131.6247749999998</v>
      </c>
      <c r="M14" s="13">
        <f t="shared" si="4"/>
        <v>2436.8825940000002</v>
      </c>
    </row>
    <row r="15" spans="1:13" s="2" customFormat="1" x14ac:dyDescent="0.2">
      <c r="A15" s="17" t="s">
        <v>15</v>
      </c>
      <c r="B15" s="15">
        <v>3.2</v>
      </c>
      <c r="C15" s="15">
        <v>9.0444999999999998E-2</v>
      </c>
      <c r="D15" s="15">
        <v>7.4265999999999999E-2</v>
      </c>
      <c r="E15" s="15">
        <v>0</v>
      </c>
      <c r="F15" s="15">
        <v>0</v>
      </c>
      <c r="G15" s="15">
        <v>10.230764000000001</v>
      </c>
      <c r="H15" s="15">
        <v>14.050041999999999</v>
      </c>
      <c r="I15" s="15">
        <v>14.039686</v>
      </c>
      <c r="J15" s="15">
        <v>39.594774999999998</v>
      </c>
      <c r="K15" s="15">
        <v>121.397468</v>
      </c>
      <c r="L15" s="15">
        <v>262.50038499999999</v>
      </c>
      <c r="M15" s="15">
        <v>257.11585000000002</v>
      </c>
    </row>
    <row r="16" spans="1:13" s="2" customFormat="1" ht="15" x14ac:dyDescent="0.2">
      <c r="A16" s="17" t="s">
        <v>16</v>
      </c>
      <c r="B16" s="15">
        <v>43.699999999999996</v>
      </c>
      <c r="C16" s="15">
        <v>66.400000000000006</v>
      </c>
      <c r="D16" s="15">
        <v>53.807986999999997</v>
      </c>
      <c r="E16" s="15">
        <v>73.612109000000004</v>
      </c>
      <c r="F16" s="15">
        <v>56.078963999999999</v>
      </c>
      <c r="G16" s="15">
        <v>114.40424899999999</v>
      </c>
      <c r="H16" s="15">
        <v>86.079061999999993</v>
      </c>
      <c r="I16" s="15">
        <v>59.978203000000001</v>
      </c>
      <c r="J16" s="15">
        <v>6.4983190000000004</v>
      </c>
      <c r="K16" s="15">
        <v>0.98324699999999998</v>
      </c>
      <c r="L16" s="27" t="s">
        <v>7</v>
      </c>
      <c r="M16" s="27" t="s">
        <v>7</v>
      </c>
    </row>
    <row r="17" spans="1:18" s="2" customFormat="1" ht="14.25" customHeight="1" x14ac:dyDescent="0.2">
      <c r="A17" s="17" t="s">
        <v>17</v>
      </c>
      <c r="B17" s="15">
        <v>64.900000000000006</v>
      </c>
      <c r="C17" s="15">
        <v>65.099999999999994</v>
      </c>
      <c r="D17" s="15">
        <v>34.857382000000001</v>
      </c>
      <c r="E17" s="15">
        <v>81.389618999999996</v>
      </c>
      <c r="F17" s="15">
        <v>125.39468100000001</v>
      </c>
      <c r="G17" s="15">
        <v>110.975019</v>
      </c>
      <c r="H17" s="15">
        <v>43.581213299999995</v>
      </c>
      <c r="I17" s="15">
        <v>37.78454</v>
      </c>
      <c r="J17" s="15">
        <v>11.569822</v>
      </c>
      <c r="K17" s="15">
        <v>16.588994</v>
      </c>
      <c r="L17" s="15">
        <v>16.681978999999998</v>
      </c>
      <c r="M17" s="27" t="s">
        <v>7</v>
      </c>
    </row>
    <row r="18" spans="1:18" s="2" customFormat="1" ht="14.25" customHeight="1" x14ac:dyDescent="0.2">
      <c r="A18" s="17" t="s">
        <v>18</v>
      </c>
      <c r="B18" s="15">
        <v>146.1</v>
      </c>
      <c r="C18" s="15">
        <v>30.8</v>
      </c>
      <c r="D18" s="15">
        <v>68.596787000000006</v>
      </c>
      <c r="E18" s="15">
        <v>60.392845000000001</v>
      </c>
      <c r="F18" s="15">
        <v>27.212074000000001</v>
      </c>
      <c r="G18" s="15">
        <v>86.673029999999997</v>
      </c>
      <c r="H18" s="15">
        <v>82.244337999999999</v>
      </c>
      <c r="I18" s="15">
        <v>30.346392999999999</v>
      </c>
      <c r="J18" s="15">
        <v>41.409410000000001</v>
      </c>
      <c r="K18" s="15">
        <v>129.13102900000001</v>
      </c>
      <c r="L18" s="15">
        <v>255.661261</v>
      </c>
      <c r="M18" s="15">
        <v>250.67343500000001</v>
      </c>
    </row>
    <row r="19" spans="1:18" s="2" customFormat="1" ht="14.25" customHeight="1" x14ac:dyDescent="0.2">
      <c r="A19" s="17" t="s">
        <v>19</v>
      </c>
      <c r="B19" s="15">
        <v>5.0999999999999996</v>
      </c>
      <c r="C19" s="15">
        <v>5.0999999999999996</v>
      </c>
      <c r="D19" s="15">
        <v>0</v>
      </c>
      <c r="E19" s="15">
        <v>0.97870100000000004</v>
      </c>
      <c r="F19" s="15">
        <v>16.572282000000001</v>
      </c>
      <c r="G19" s="15">
        <v>26.341757999999999</v>
      </c>
      <c r="H19" s="15">
        <v>18.887602999999999</v>
      </c>
      <c r="I19" s="15">
        <v>2.7029269999999999</v>
      </c>
      <c r="J19" s="15">
        <v>10.548724999999999</v>
      </c>
      <c r="K19" s="15">
        <v>36.516497999999999</v>
      </c>
      <c r="L19" s="27" t="s">
        <v>7</v>
      </c>
      <c r="M19" s="27" t="s">
        <v>7</v>
      </c>
      <c r="N19" s="1"/>
      <c r="O19" s="1"/>
      <c r="P19" s="1"/>
      <c r="Q19" s="1"/>
      <c r="R19" s="1"/>
    </row>
    <row r="20" spans="1:18" s="2" customFormat="1" ht="14.25" customHeight="1" x14ac:dyDescent="0.2">
      <c r="A20" s="17" t="s">
        <v>20</v>
      </c>
      <c r="B20" s="15">
        <v>4.5999999999999996</v>
      </c>
      <c r="C20" s="15">
        <v>117.8</v>
      </c>
      <c r="D20" s="15">
        <v>35.050213999999997</v>
      </c>
      <c r="E20" s="15">
        <v>30.742463999999998</v>
      </c>
      <c r="F20" s="15">
        <v>46.187443999999999</v>
      </c>
      <c r="G20" s="27" t="s">
        <v>7</v>
      </c>
      <c r="H20" s="27" t="s">
        <v>7</v>
      </c>
      <c r="I20" s="27" t="s">
        <v>7</v>
      </c>
      <c r="J20" s="27" t="s">
        <v>7</v>
      </c>
      <c r="K20" s="27" t="s">
        <v>7</v>
      </c>
      <c r="L20" s="27" t="s">
        <v>7</v>
      </c>
      <c r="M20" s="27" t="s">
        <v>7</v>
      </c>
      <c r="N20" s="1"/>
      <c r="O20" s="1"/>
      <c r="P20" s="1"/>
      <c r="Q20" s="1"/>
      <c r="R20" s="1"/>
    </row>
    <row r="21" spans="1:18" s="2" customFormat="1" ht="14.25" customHeight="1" x14ac:dyDescent="0.2">
      <c r="A21" s="17" t="s">
        <v>21</v>
      </c>
      <c r="B21" s="27" t="s">
        <v>7</v>
      </c>
      <c r="C21" s="15">
        <v>35.9</v>
      </c>
      <c r="D21" s="15">
        <v>129.32033300000001</v>
      </c>
      <c r="E21" s="27" t="s">
        <v>7</v>
      </c>
      <c r="F21" s="15">
        <v>386.53935100000001</v>
      </c>
      <c r="G21" s="15">
        <v>233.78553700000001</v>
      </c>
      <c r="H21" s="27" t="s">
        <v>7</v>
      </c>
      <c r="I21" s="27" t="s">
        <v>7</v>
      </c>
      <c r="J21" s="27" t="s">
        <v>7</v>
      </c>
      <c r="K21" s="27" t="s">
        <v>7</v>
      </c>
      <c r="L21" s="27" t="s">
        <v>7</v>
      </c>
      <c r="M21" s="27" t="s">
        <v>7</v>
      </c>
      <c r="N21" s="1"/>
      <c r="O21" s="1"/>
      <c r="P21" s="1"/>
      <c r="Q21" s="1"/>
      <c r="R21" s="1"/>
    </row>
    <row r="22" spans="1:18" s="2" customFormat="1" ht="14.25" customHeight="1" x14ac:dyDescent="0.2">
      <c r="A22" s="17" t="s">
        <v>22</v>
      </c>
      <c r="B22" s="27" t="s">
        <v>7</v>
      </c>
      <c r="C22" s="27" t="s">
        <v>7</v>
      </c>
      <c r="D22" s="27" t="s">
        <v>7</v>
      </c>
      <c r="E22" s="27" t="s">
        <v>7</v>
      </c>
      <c r="F22" s="16">
        <v>270.71978799999999</v>
      </c>
      <c r="G22" s="16">
        <v>265.65673500000003</v>
      </c>
      <c r="H22" s="16">
        <v>471.93762600000002</v>
      </c>
      <c r="I22" s="16">
        <v>816.53743199999997</v>
      </c>
      <c r="J22" s="16">
        <v>0</v>
      </c>
      <c r="K22" s="16">
        <v>857.63</v>
      </c>
      <c r="L22" s="16">
        <v>1402.5375819999999</v>
      </c>
      <c r="M22" s="16">
        <v>1777.8916019999999</v>
      </c>
      <c r="N22" s="1"/>
      <c r="O22" s="1"/>
      <c r="P22" s="1"/>
      <c r="Q22" s="1"/>
      <c r="R22" s="1"/>
    </row>
    <row r="23" spans="1:18" ht="14.25" customHeight="1" x14ac:dyDescent="0.2">
      <c r="A23" s="17" t="s">
        <v>23</v>
      </c>
      <c r="B23" s="27" t="s">
        <v>7</v>
      </c>
      <c r="C23" s="27" t="s">
        <v>7</v>
      </c>
      <c r="D23" s="27" t="s">
        <v>7</v>
      </c>
      <c r="E23" s="27" t="s">
        <v>7</v>
      </c>
      <c r="F23" s="27" t="s">
        <v>7</v>
      </c>
      <c r="G23" s="27" t="s">
        <v>7</v>
      </c>
      <c r="H23" s="16">
        <v>102.86886</v>
      </c>
      <c r="I23" s="16">
        <v>0</v>
      </c>
      <c r="J23" s="16">
        <v>74.151700000000005</v>
      </c>
      <c r="K23" s="16">
        <v>190.32269500000001</v>
      </c>
      <c r="L23" s="16">
        <v>155.718568</v>
      </c>
      <c r="M23" s="16">
        <v>74.151707000000002</v>
      </c>
    </row>
    <row r="24" spans="1:18" ht="14.25" customHeight="1" x14ac:dyDescent="0.2">
      <c r="A24" s="17" t="s">
        <v>24</v>
      </c>
      <c r="B24" s="27" t="s">
        <v>7</v>
      </c>
      <c r="C24" s="27" t="s">
        <v>7</v>
      </c>
      <c r="D24" s="27" t="s">
        <v>7</v>
      </c>
      <c r="E24" s="27" t="s">
        <v>7</v>
      </c>
      <c r="F24" s="27" t="s">
        <v>7</v>
      </c>
      <c r="G24" s="27" t="s">
        <v>7</v>
      </c>
      <c r="H24" s="27" t="s">
        <v>7</v>
      </c>
      <c r="I24" s="27" t="s">
        <v>7</v>
      </c>
      <c r="J24" s="27" t="s">
        <v>7</v>
      </c>
      <c r="K24" s="27" t="s">
        <v>7</v>
      </c>
      <c r="L24" s="27" t="s">
        <v>7</v>
      </c>
      <c r="M24" s="27" t="s">
        <v>7</v>
      </c>
    </row>
    <row r="25" spans="1:18" ht="14.25" customHeight="1" x14ac:dyDescent="0.2">
      <c r="A25" s="17" t="s">
        <v>25</v>
      </c>
      <c r="B25" s="15">
        <v>32</v>
      </c>
      <c r="C25" s="27" t="s">
        <v>7</v>
      </c>
      <c r="D25" s="27" t="s">
        <v>7</v>
      </c>
      <c r="E25" s="16">
        <v>0.52935699999999997</v>
      </c>
      <c r="F25" s="16">
        <v>3.4447350000000001</v>
      </c>
      <c r="G25" s="16">
        <v>0.482072</v>
      </c>
      <c r="H25" s="16">
        <v>49.063294999999997</v>
      </c>
      <c r="I25" s="16">
        <v>66.525672</v>
      </c>
      <c r="J25" s="16">
        <v>93.785722000000007</v>
      </c>
      <c r="K25" s="16">
        <v>58.484983999999997</v>
      </c>
      <c r="L25" s="27" t="s">
        <v>7</v>
      </c>
      <c r="M25" s="27" t="s">
        <v>7</v>
      </c>
    </row>
    <row r="26" spans="1:18" ht="14.25" customHeight="1" x14ac:dyDescent="0.2">
      <c r="A26" s="18" t="s">
        <v>26</v>
      </c>
      <c r="B26" s="27" t="s">
        <v>7</v>
      </c>
      <c r="C26" s="27" t="s">
        <v>7</v>
      </c>
      <c r="D26" s="27" t="s">
        <v>7</v>
      </c>
      <c r="E26" s="27" t="s">
        <v>7</v>
      </c>
      <c r="F26" s="27" t="s">
        <v>7</v>
      </c>
      <c r="G26" s="15">
        <v>277.13603499999999</v>
      </c>
      <c r="H26" s="15">
        <v>19.486806000000001</v>
      </c>
      <c r="I26" s="15">
        <v>100.155069</v>
      </c>
      <c r="J26" s="15">
        <v>38.351658</v>
      </c>
      <c r="K26" s="15">
        <v>0</v>
      </c>
      <c r="L26" s="27" t="s">
        <v>7</v>
      </c>
      <c r="M26" s="27" t="s">
        <v>7</v>
      </c>
    </row>
    <row r="27" spans="1:18" ht="14.25" customHeight="1" x14ac:dyDescent="0.2">
      <c r="A27" s="18" t="s">
        <v>27</v>
      </c>
      <c r="B27" s="27" t="s">
        <v>7</v>
      </c>
      <c r="C27" s="27" t="s">
        <v>7</v>
      </c>
      <c r="D27" s="15">
        <v>80.306944000000001</v>
      </c>
      <c r="E27" s="27" t="s">
        <v>7</v>
      </c>
      <c r="F27" s="27" t="s">
        <v>7</v>
      </c>
      <c r="G27" s="27" t="s">
        <v>7</v>
      </c>
      <c r="H27" s="27" t="s">
        <v>7</v>
      </c>
      <c r="I27" s="27" t="s">
        <v>7</v>
      </c>
      <c r="J27" s="27" t="s">
        <v>7</v>
      </c>
      <c r="K27" s="27" t="s">
        <v>7</v>
      </c>
      <c r="L27" s="27" t="s">
        <v>7</v>
      </c>
      <c r="M27" s="27" t="s">
        <v>7</v>
      </c>
    </row>
    <row r="28" spans="1:18" ht="14.25" customHeight="1" x14ac:dyDescent="0.2">
      <c r="A28" s="18" t="s">
        <v>28</v>
      </c>
      <c r="B28" s="9">
        <v>106.2</v>
      </c>
      <c r="C28" s="9">
        <v>24.4</v>
      </c>
      <c r="D28" s="27" t="s">
        <v>7</v>
      </c>
      <c r="E28" s="27" t="s">
        <v>7</v>
      </c>
      <c r="F28" s="27" t="s">
        <v>7</v>
      </c>
      <c r="G28" s="27" t="s">
        <v>7</v>
      </c>
      <c r="H28" s="27" t="s">
        <v>7</v>
      </c>
      <c r="I28" s="27" t="s">
        <v>7</v>
      </c>
      <c r="J28" s="27" t="s">
        <v>7</v>
      </c>
      <c r="K28" s="27" t="s">
        <v>7</v>
      </c>
      <c r="L28" s="27" t="s">
        <v>7</v>
      </c>
      <c r="M28" s="27" t="s">
        <v>7</v>
      </c>
    </row>
    <row r="29" spans="1:18" ht="14.25" customHeight="1" x14ac:dyDescent="0.2">
      <c r="A29" s="18" t="s">
        <v>29</v>
      </c>
      <c r="B29" s="9">
        <v>256</v>
      </c>
      <c r="C29" s="9">
        <v>320</v>
      </c>
      <c r="D29" s="9">
        <v>325.021568</v>
      </c>
      <c r="E29" s="27" t="s">
        <v>7</v>
      </c>
      <c r="F29" s="27" t="s">
        <v>7</v>
      </c>
      <c r="G29" s="27" t="s">
        <v>7</v>
      </c>
      <c r="H29" s="27" t="s">
        <v>7</v>
      </c>
      <c r="I29" s="27" t="s">
        <v>7</v>
      </c>
      <c r="J29" s="27" t="s">
        <v>7</v>
      </c>
      <c r="K29" s="27" t="s">
        <v>7</v>
      </c>
      <c r="L29" s="9">
        <v>38.524999999999999</v>
      </c>
      <c r="M29" s="9">
        <v>77.05</v>
      </c>
    </row>
    <row r="30" spans="1:18" ht="14.25" customHeight="1" x14ac:dyDescent="0.2">
      <c r="A30" s="18" t="s">
        <v>30</v>
      </c>
      <c r="B30" s="9">
        <v>15.4</v>
      </c>
      <c r="C30" s="9">
        <v>28</v>
      </c>
      <c r="D30" s="9">
        <v>0</v>
      </c>
      <c r="E30" s="27" t="s">
        <v>7</v>
      </c>
      <c r="F30" s="27" t="s">
        <v>7</v>
      </c>
      <c r="G30" s="27" t="s">
        <v>7</v>
      </c>
      <c r="H30" s="27" t="s">
        <v>7</v>
      </c>
      <c r="I30" s="27" t="s">
        <v>7</v>
      </c>
      <c r="J30" s="27" t="s">
        <v>7</v>
      </c>
      <c r="K30" s="27" t="s">
        <v>7</v>
      </c>
      <c r="L30" s="27" t="s">
        <v>7</v>
      </c>
      <c r="M30" s="27" t="s">
        <v>7</v>
      </c>
    </row>
    <row r="31" spans="1:18" ht="14.25" customHeight="1" x14ac:dyDescent="0.2">
      <c r="A31" s="18" t="s">
        <v>31</v>
      </c>
      <c r="B31" s="9">
        <v>8.5</v>
      </c>
      <c r="C31" s="9">
        <v>98.7</v>
      </c>
      <c r="D31" s="27" t="s">
        <v>7</v>
      </c>
      <c r="E31" s="27" t="s">
        <v>7</v>
      </c>
      <c r="F31" s="27" t="s">
        <v>7</v>
      </c>
      <c r="G31" s="27" t="s">
        <v>7</v>
      </c>
      <c r="H31" s="27" t="s">
        <v>7</v>
      </c>
      <c r="I31" s="27" t="s">
        <v>7</v>
      </c>
      <c r="J31" s="27" t="s">
        <v>7</v>
      </c>
      <c r="K31" s="27" t="s">
        <v>7</v>
      </c>
      <c r="L31" s="27" t="s">
        <v>7</v>
      </c>
      <c r="M31" s="27" t="s">
        <v>7</v>
      </c>
    </row>
    <row r="32" spans="1:18" ht="14.25" customHeight="1" x14ac:dyDescent="0.2">
      <c r="A32" s="19" t="s">
        <v>32</v>
      </c>
      <c r="B32" s="28" t="s">
        <v>7</v>
      </c>
      <c r="C32" s="28" t="s">
        <v>7</v>
      </c>
      <c r="D32" s="28" t="s">
        <v>7</v>
      </c>
      <c r="E32" s="28" t="s">
        <v>7</v>
      </c>
      <c r="F32" s="28" t="s">
        <v>7</v>
      </c>
      <c r="G32" s="28" t="s">
        <v>7</v>
      </c>
      <c r="H32" s="28" t="s">
        <v>7</v>
      </c>
      <c r="I32" s="28" t="s">
        <v>7</v>
      </c>
      <c r="J32" s="28" t="s">
        <v>7</v>
      </c>
      <c r="K32" s="28" t="s">
        <v>7</v>
      </c>
      <c r="L32" s="28" t="s">
        <v>7</v>
      </c>
      <c r="M32" s="28" t="s">
        <v>7</v>
      </c>
    </row>
    <row r="33" spans="1:12" x14ac:dyDescent="0.2">
      <c r="A33" s="30" t="s">
        <v>8</v>
      </c>
      <c r="B33" s="20"/>
      <c r="C33" s="21"/>
      <c r="D33" s="21"/>
      <c r="E33" s="21"/>
      <c r="F33" s="7"/>
      <c r="G33" s="21"/>
      <c r="H33" s="21"/>
      <c r="I33" s="21"/>
      <c r="J33" s="21"/>
      <c r="K33" s="21"/>
      <c r="L33" s="21"/>
    </row>
    <row r="34" spans="1:12" x14ac:dyDescent="0.2">
      <c r="A34" s="22"/>
      <c r="B34" s="23"/>
    </row>
    <row r="35" spans="1:12" x14ac:dyDescent="0.2">
      <c r="A35" s="22"/>
      <c r="B35" s="23"/>
    </row>
    <row r="36" spans="1:12" ht="18.75" x14ac:dyDescent="0.3">
      <c r="A36" s="22"/>
      <c r="B36" s="24"/>
      <c r="C36" s="25"/>
      <c r="D36" s="25"/>
      <c r="E36" s="25"/>
      <c r="F36" s="26"/>
      <c r="G36" s="25"/>
      <c r="H36" s="25"/>
      <c r="I36" s="25"/>
      <c r="J36" s="25"/>
      <c r="K36" s="25"/>
      <c r="L36" s="25"/>
    </row>
    <row r="37" spans="1:12" x14ac:dyDescent="0.2">
      <c r="A37" s="22"/>
    </row>
    <row r="38" spans="1:12" x14ac:dyDescent="0.2">
      <c r="A38" s="22"/>
    </row>
    <row r="39" spans="1:12" x14ac:dyDescent="0.2">
      <c r="A39" s="22"/>
    </row>
    <row r="40" spans="1:12" x14ac:dyDescent="0.2">
      <c r="A40" s="22"/>
    </row>
    <row r="42" spans="1:12" x14ac:dyDescent="0.2">
      <c r="A42" s="22"/>
    </row>
    <row r="43" spans="1:12" x14ac:dyDescent="0.2">
      <c r="A43" s="22"/>
    </row>
    <row r="44" spans="1:12" x14ac:dyDescent="0.2">
      <c r="A44" s="22"/>
    </row>
    <row r="45" spans="1:12" x14ac:dyDescent="0.2">
      <c r="A45" s="22"/>
    </row>
    <row r="47" spans="1:12" x14ac:dyDescent="0.2">
      <c r="A47" s="22"/>
    </row>
    <row r="48" spans="1:12" x14ac:dyDescent="0.2">
      <c r="A48" s="22"/>
    </row>
    <row r="49" spans="1:1" x14ac:dyDescent="0.2">
      <c r="A49" s="22"/>
    </row>
    <row r="50" spans="1:1" x14ac:dyDescent="0.2">
      <c r="A50" s="22"/>
    </row>
    <row r="51" spans="1:1" x14ac:dyDescent="0.2">
      <c r="A51" s="22"/>
    </row>
    <row r="52" spans="1:1" x14ac:dyDescent="0.2">
      <c r="A52" s="22"/>
    </row>
    <row r="53" spans="1:1" x14ac:dyDescent="0.2">
      <c r="A53" s="22"/>
    </row>
    <row r="54" spans="1:1" x14ac:dyDescent="0.2">
      <c r="A54" s="22"/>
    </row>
    <row r="55" spans="1:1" x14ac:dyDescent="0.2">
      <c r="A55" s="22"/>
    </row>
    <row r="56" spans="1:1" x14ac:dyDescent="0.2">
      <c r="A56" s="22"/>
    </row>
    <row r="60" spans="1:1" x14ac:dyDescent="0.2">
      <c r="A60" s="22"/>
    </row>
    <row r="62" spans="1:1" x14ac:dyDescent="0.2">
      <c r="A62" s="22"/>
    </row>
    <row r="63" spans="1:1" x14ac:dyDescent="0.2">
      <c r="A63" s="22"/>
    </row>
    <row r="64" spans="1:1" x14ac:dyDescent="0.2">
      <c r="A64" s="22"/>
    </row>
    <row r="66" spans="1:1" x14ac:dyDescent="0.2">
      <c r="A66" s="22"/>
    </row>
  </sheetData>
  <mergeCells count="3">
    <mergeCell ref="A1:M1"/>
    <mergeCell ref="A2:M2"/>
    <mergeCell ref="A4:A5"/>
  </mergeCells>
  <pageMargins left="0.32" right="0.7" top="0.5699999999999999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13.10</vt:lpstr>
      <vt:lpstr>'13.10'!Print_Area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2016-01-18T08:31:54Z</cp:lastPrinted>
  <dcterms:created xsi:type="dcterms:W3CDTF">2014-03-06T08:38:12Z</dcterms:created>
  <dcterms:modified xsi:type="dcterms:W3CDTF">2016-01-18T08:33:24Z</dcterms:modified>
</cp:coreProperties>
</file>