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1" sheetId="1" r:id="rId1"/>
  </sheets>
  <definedNames>
    <definedName name="_xlnm.Print_Area" localSheetId="0">'13.1'!$A$1:$M$39</definedName>
  </definedNames>
  <calcPr calcId="144525"/>
</workbook>
</file>

<file path=xl/calcChain.xml><?xml version="1.0" encoding="utf-8"?>
<calcChain xmlns="http://schemas.openxmlformats.org/spreadsheetml/2006/main">
  <c r="K8" i="1" l="1"/>
  <c r="K24" i="1"/>
  <c r="K23" i="1" s="1"/>
  <c r="K21" i="1" l="1"/>
  <c r="E8" i="1" l="1"/>
  <c r="D8" i="1"/>
  <c r="C8" i="1"/>
  <c r="B8" i="1"/>
  <c r="I24" i="1" l="1"/>
  <c r="I23" i="1" s="1"/>
  <c r="J24" i="1"/>
  <c r="J23" i="1" s="1"/>
  <c r="G24" i="1"/>
  <c r="G23" i="1" s="1"/>
  <c r="H24" i="1"/>
  <c r="H23" i="1" s="1"/>
  <c r="E24" i="1"/>
  <c r="E23" i="1" s="1"/>
  <c r="E21" i="1" s="1"/>
  <c r="D24" i="1"/>
  <c r="D23" i="1" s="1"/>
  <c r="D21" i="1" s="1"/>
  <c r="C24" i="1"/>
  <c r="B24" i="1"/>
  <c r="G8" i="1"/>
  <c r="C21" i="1"/>
  <c r="F24" i="1" l="1"/>
  <c r="F23" i="1" s="1"/>
  <c r="G21" i="1"/>
  <c r="H8" i="1"/>
  <c r="H21" i="1" s="1"/>
  <c r="F8" i="1"/>
  <c r="I8" i="1"/>
  <c r="I21" i="1" s="1"/>
  <c r="J8" i="1"/>
  <c r="J21" i="1" s="1"/>
  <c r="B21" i="1"/>
  <c r="F21" i="1" l="1"/>
</calcChain>
</file>

<file path=xl/sharedStrings.xml><?xml version="1.0" encoding="utf-8"?>
<sst xmlns="http://schemas.openxmlformats.org/spreadsheetml/2006/main" count="76" uniqueCount="72">
  <si>
    <t>(cniaWyifur cnwailim)</t>
  </si>
  <si>
    <t>Particulars</t>
  </si>
  <si>
    <t>(iawfiverukuhWlcsia)</t>
  </si>
  <si>
    <t>clIBcfwt</t>
  </si>
  <si>
    <t>Actual</t>
  </si>
  <si>
    <t>(MTEF)</t>
  </si>
  <si>
    <t>Revised</t>
  </si>
  <si>
    <t>Total Revenue 1_/</t>
  </si>
  <si>
    <t>1_/ InwdcmWa wlcmuj</t>
  </si>
  <si>
    <t>Revenue</t>
  </si>
  <si>
    <t xml:space="preserve">                                                Wsiawf Ebiliawgutog egInwdcmWA   </t>
  </si>
  <si>
    <t xml:space="preserve">Fund accounts </t>
  </si>
  <si>
    <t xml:space="preserve">                             Ebil cSwkwtuTcnuawkea uDcnwf wncnuh iawgukwtcsIfoa ikeaikea   </t>
  </si>
  <si>
    <t>Loan accounts</t>
  </si>
  <si>
    <t xml:space="preserve">                             Ebil cSwkwtcTcnuawwkea WrukUd cnOl cnurWkurws  </t>
  </si>
  <si>
    <t>Monetary grants</t>
  </si>
  <si>
    <t xml:space="preserve">                                        cniaWsiawf Ebil iawgutog egIheaElih egurEb   </t>
  </si>
  <si>
    <t>Cash Loan</t>
  </si>
  <si>
    <t>ބޭރު ފައިސާގެ ގޮތުގައި ލިބޭ ލޯނު</t>
  </si>
  <si>
    <t>Foreign Budget Support Loan</t>
  </si>
  <si>
    <t>ބޭރުގެ ލޯނުއެހީ</t>
  </si>
  <si>
    <t>Domestic Budget Support Loan</t>
  </si>
  <si>
    <t>އެތެރޭގެ ލޯނުއެހީ</t>
  </si>
  <si>
    <t>Privatization</t>
  </si>
  <si>
    <t xml:space="preserve">                                   ޕްރައިވެޓައިޒޭޝަން އިން ލިބޭނެ ކަމަށް ލަފާކުރާ   </t>
  </si>
  <si>
    <t>Grants for development projects</t>
  </si>
  <si>
    <t xml:space="preserve">                                       Ebiliawgutog egIhea Elih cSwkwtuTejorcp egIqcawrwt   </t>
  </si>
  <si>
    <t>Foreign Loan disbursement for development projects</t>
  </si>
  <si>
    <t xml:space="preserve"> ތަރައްޤީގެ މަޝްރޫޢުތަކަށް ބޭރުގެ ލޯނު އެހީގެ ގޮތުގައި ލިބޭ ފައިސާ</t>
  </si>
  <si>
    <t>Domestic Loan disbursement for development projects</t>
  </si>
  <si>
    <t xml:space="preserve"> ތަރައްޤީގެ މަޝްރޫޢުތަކަށް އެތެރޭގެ ލޯނު އެހީގެ ގޮތުގައި ލިބޭ ފައިސާ</t>
  </si>
  <si>
    <t>Trade Credit</t>
  </si>
  <si>
    <t>Overall Surplus / deficit (-) 2_/</t>
  </si>
  <si>
    <t>2_/ (-) urwvcnim ivurutia udwrwK eruvcSwaInwdcmWA iawguTejwbiLum</t>
  </si>
  <si>
    <r>
      <t xml:space="preserve">       </t>
    </r>
    <r>
      <rPr>
        <sz val="10"/>
        <rFont val="Calibri"/>
        <family val="2"/>
      </rPr>
      <t>(Including grants &amp; loans)</t>
    </r>
  </si>
  <si>
    <t xml:space="preserve">                                            (iawfinemih Ihea unOl iaWaIhea Elih egurEb)     </t>
  </si>
  <si>
    <t>Total Expenditure 3_/</t>
  </si>
  <si>
    <t>3_/ udwrwK wlcmuj</t>
  </si>
  <si>
    <t xml:space="preserve"> Total Budget</t>
  </si>
  <si>
    <t>wlcmuj eguTejwb</t>
  </si>
  <si>
    <t>General budget</t>
  </si>
  <si>
    <t xml:space="preserve">                                                       uTejwb umcaWA egukwtcsIfoa   </t>
  </si>
  <si>
    <t>Expenditure from fund accounts</t>
  </si>
  <si>
    <t xml:space="preserve">                           udwrwK Everuk cnukwtcTcnuawkeauDcnwf wncnuh iawgukwtcsIfoa ikeaikea   </t>
  </si>
  <si>
    <t>Expenditure from Loan accounts</t>
  </si>
  <si>
    <t xml:space="preserve">udwrwK Wruk cnukwtcTcnuawwkea WrukUd cnOl cnurWkurws  </t>
  </si>
  <si>
    <t xml:space="preserve">                                           udwrwK Everuk cniaWsiawf egIheaElih egurEb   </t>
  </si>
  <si>
    <t>ފައިސާގެ ގޮތުގައި ދެވޭ ލޯނު</t>
  </si>
  <si>
    <t xml:space="preserve">Development expenditure of projects financed from foreign grants </t>
  </si>
  <si>
    <t xml:space="preserve">                                udwrwK Everuk cnIhea Elih Ebil cSwkwtuTckejorcp egIqcawrwt   </t>
  </si>
  <si>
    <t xml:space="preserve">Development expenditure of projects financed from foreign loans </t>
  </si>
  <si>
    <t xml:space="preserve">                                udwrwK Everuk cnIhea unOl Ebil cSwkwtuTckejorcp egIqcawrwt   </t>
  </si>
  <si>
    <t xml:space="preserve">Development expenditure of projects financed from Domestic loans </t>
  </si>
  <si>
    <r>
      <t xml:space="preserve">                                udwrwK Everuk cnIhea unOl </t>
    </r>
    <r>
      <rPr>
        <sz val="10"/>
        <rFont val="Faruma"/>
      </rPr>
      <t>އެތެރޭގެ</t>
    </r>
    <r>
      <rPr>
        <sz val="10"/>
        <rFont val="A_Randhoo"/>
      </rPr>
      <t xml:space="preserve">  Ebil cSwkwtuTckejorcp egIqcawrwt                     </t>
    </r>
  </si>
  <si>
    <t xml:space="preserve">     Gov. Contribution to Political Parties</t>
  </si>
  <si>
    <t xml:space="preserve">Wsiawf Ed cnurWkurws cSwkwtITWpIsWyis  </t>
  </si>
  <si>
    <t xml:space="preserve">ޖުމްލަ އާމްދަނީ: ހިލޭ އެހީއާއި ޕްރޮޖެކްޓްތަކަށް ނެގުނު ލޯނުގެ ބައި ހިމަނައިގެންނެވެ. </t>
  </si>
  <si>
    <t xml:space="preserve">  1_/</t>
  </si>
  <si>
    <t>2_/  Overall deficit/surplus in this table is difference of Government total Income and Expenditure</t>
  </si>
  <si>
    <t xml:space="preserve">ޖުމްލަ އަރަނި / ދަރަނި މިބައިގައި ހިމެނެނީ (ޖުމްލަ އާމްދަނީ އާއި ޖުމްލަ ޚަރަދު ތަފާތު) ހިލޭއެހީއާއި ލޯނަށް ނެގުނު ފައިސާ ހިމަނައިގެންނެވެ. </t>
  </si>
  <si>
    <t xml:space="preserve">  2_/</t>
  </si>
  <si>
    <t xml:space="preserve">       (including grants) plus loan disbursements</t>
  </si>
  <si>
    <t xml:space="preserve">ޖުމްލަ ޚަރަދުގެ ތެރޭގައި ލޯނު އަނބުރާ ދެއްކި ޚަރަދުތައް ހިމެނެއެވެ. </t>
  </si>
  <si>
    <t xml:space="preserve">  3_/</t>
  </si>
  <si>
    <t>3_/  Total expenditure in this table include loan repayments</t>
  </si>
  <si>
    <t>IrwRercT cDcnea cscnEnif cfoa IrcTcsinim :ctWrwfivcaed utWmUluAwm</t>
  </si>
  <si>
    <t>Source:  Ministry of Finance and Treasury.</t>
  </si>
  <si>
    <t>Approved</t>
  </si>
  <si>
    <t>(In million MVR)</t>
  </si>
  <si>
    <t>Table 13.1 :   TOTAL REVENUE AND EXPENDITURE OF  GOVERNMENT BUDGET BY SOURCE,2008 - 2017</t>
  </si>
  <si>
    <t>2017 - 2008,ctogEverukudwrwK iaWtogEbilWsiawf cSwTejwb egutwluawd : 13.1 ulwvWt</t>
  </si>
  <si>
    <t>1_/  Revenue includes New revenue Measures approved by the parliament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</si>
</sst>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_);_(@_)"/>
    <numFmt numFmtId="167" formatCode="_(* #,##0.0_);_(* \(#,##0.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_Randhoo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9"/>
      <name val="A_Randhoo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0"/>
      <name val="A_Randhoo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MS Sans Serif"/>
      <family val="2"/>
    </font>
    <font>
      <sz val="10"/>
      <name val="Faruma"/>
    </font>
    <font>
      <sz val="10"/>
      <name val="Calibri"/>
      <family val="2"/>
    </font>
    <font>
      <sz val="9"/>
      <name val="Calibri"/>
      <family val="2"/>
      <scheme val="minor"/>
    </font>
    <font>
      <sz val="9.3000000000000007"/>
      <name val="Calibri"/>
      <family val="2"/>
      <scheme val="minor"/>
    </font>
    <font>
      <i/>
      <sz val="9.5"/>
      <name val="Calibri"/>
      <family val="2"/>
      <scheme val="minor"/>
    </font>
    <font>
      <sz val="7"/>
      <name val="A_Randhoo"/>
    </font>
    <font>
      <sz val="8"/>
      <name val="A_Randhoo"/>
    </font>
    <font>
      <b/>
      <sz val="9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13" fillId="0" borderId="0" applyFont="0" applyFill="0" applyBorder="0" applyAlignment="0" applyProtection="0"/>
  </cellStyleXfs>
  <cellXfs count="62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5" fillId="2" borderId="0" xfId="2" applyNumberFormat="1" applyFont="1" applyFill="1" applyAlignment="1">
      <alignment vertical="center"/>
    </xf>
    <xf numFmtId="164" fontId="5" fillId="2" borderId="0" xfId="2" applyNumberFormat="1" applyFont="1" applyFill="1" applyBorder="1" applyAlignment="1">
      <alignment vertical="center"/>
    </xf>
    <xf numFmtId="164" fontId="5" fillId="2" borderId="1" xfId="2" applyNumberFormat="1" applyFont="1" applyFill="1" applyBorder="1" applyAlignment="1">
      <alignment vertical="center"/>
    </xf>
    <xf numFmtId="164" fontId="9" fillId="2" borderId="1" xfId="2" applyNumberFormat="1" applyFont="1" applyFill="1" applyBorder="1" applyAlignment="1">
      <alignment vertical="center"/>
    </xf>
    <xf numFmtId="164" fontId="7" fillId="2" borderId="0" xfId="2" applyNumberFormat="1" applyFont="1" applyFill="1" applyAlignment="1">
      <alignment vertical="center"/>
    </xf>
    <xf numFmtId="164" fontId="8" fillId="2" borderId="0" xfId="2" applyNumberFormat="1" applyFont="1" applyFill="1" applyBorder="1" applyAlignment="1" applyProtection="1">
      <alignment horizontal="center" vertical="center"/>
      <protection locked="0"/>
    </xf>
    <xf numFmtId="164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7" fillId="2" borderId="0" xfId="2" applyNumberFormat="1" applyFont="1" applyFill="1" applyAlignment="1">
      <alignment horizontal="center" vertical="center"/>
    </xf>
    <xf numFmtId="164" fontId="8" fillId="2" borderId="2" xfId="2" applyNumberFormat="1" applyFont="1" applyFill="1" applyBorder="1" applyAlignment="1" applyProtection="1">
      <alignment horizontal="right" vertical="center"/>
    </xf>
    <xf numFmtId="164" fontId="10" fillId="2" borderId="0" xfId="2" applyNumberFormat="1" applyFont="1" applyFill="1" applyBorder="1" applyAlignment="1">
      <alignment vertical="center"/>
    </xf>
    <xf numFmtId="164" fontId="8" fillId="2" borderId="0" xfId="2" applyNumberFormat="1" applyFont="1" applyFill="1" applyAlignment="1" applyProtection="1">
      <alignment horizontal="left" vertical="center"/>
    </xf>
    <xf numFmtId="165" fontId="8" fillId="2" borderId="0" xfId="2" applyNumberFormat="1" applyFont="1" applyFill="1" applyAlignment="1" applyProtection="1">
      <alignment horizontal="right" vertical="center"/>
    </xf>
    <xf numFmtId="164" fontId="9" fillId="2" borderId="0" xfId="2" applyNumberFormat="1" applyFont="1" applyFill="1" applyAlignment="1">
      <alignment horizontal="right" vertical="center"/>
    </xf>
    <xf numFmtId="164" fontId="11" fillId="2" borderId="0" xfId="2" applyNumberFormat="1" applyFont="1" applyFill="1" applyAlignment="1" applyProtection="1">
      <alignment horizontal="left" vertical="center" indent="2"/>
    </xf>
    <xf numFmtId="165" fontId="11" fillId="2" borderId="0" xfId="2" applyNumberFormat="1" applyFont="1" applyFill="1" applyAlignment="1" applyProtection="1">
      <alignment horizontal="right" vertical="center"/>
      <protection locked="0"/>
    </xf>
    <xf numFmtId="164" fontId="12" fillId="2" borderId="0" xfId="2" applyNumberFormat="1" applyFont="1" applyFill="1" applyAlignment="1">
      <alignment horizontal="right" vertical="center"/>
    </xf>
    <xf numFmtId="164" fontId="10" fillId="2" borderId="0" xfId="2" applyNumberFormat="1" applyFont="1" applyFill="1" applyAlignment="1">
      <alignment vertical="center"/>
    </xf>
    <xf numFmtId="41" fontId="11" fillId="2" borderId="0" xfId="3" applyNumberFormat="1" applyFont="1" applyFill="1" applyAlignment="1" applyProtection="1">
      <alignment horizontal="right" vertical="center"/>
      <protection locked="0"/>
    </xf>
    <xf numFmtId="164" fontId="14" fillId="2" borderId="0" xfId="2" applyNumberFormat="1" applyFont="1" applyFill="1" applyAlignment="1">
      <alignment horizontal="right" vertical="center"/>
    </xf>
    <xf numFmtId="164" fontId="14" fillId="2" borderId="0" xfId="2" applyNumberFormat="1" applyFont="1" applyFill="1" applyAlignment="1">
      <alignment horizontal="right" vertical="center" indent="1"/>
    </xf>
    <xf numFmtId="164" fontId="14" fillId="2" borderId="0" xfId="2" applyNumberFormat="1" applyFont="1" applyFill="1" applyAlignment="1">
      <alignment horizontal="right" vertical="center" readingOrder="1"/>
    </xf>
    <xf numFmtId="164" fontId="10" fillId="2" borderId="0" xfId="2" applyNumberFormat="1" applyFont="1" applyFill="1" applyAlignment="1" applyProtection="1">
      <alignment horizontal="left" vertical="center"/>
    </xf>
    <xf numFmtId="165" fontId="11" fillId="2" borderId="0" xfId="2" applyNumberFormat="1" applyFont="1" applyFill="1" applyBorder="1" applyAlignment="1" applyProtection="1">
      <alignment horizontal="right" vertical="center"/>
      <protection locked="0"/>
    </xf>
    <xf numFmtId="165" fontId="8" fillId="2" borderId="0" xfId="2" applyNumberFormat="1" applyFont="1" applyFill="1" applyAlignment="1" applyProtection="1">
      <alignment horizontal="right" vertical="center"/>
      <protection locked="0"/>
    </xf>
    <xf numFmtId="165" fontId="11" fillId="2" borderId="0" xfId="2" applyNumberFormat="1" applyFont="1" applyFill="1" applyAlignment="1" applyProtection="1">
      <alignment horizontal="right" vertical="center"/>
    </xf>
    <xf numFmtId="165" fontId="11" fillId="2" borderId="0" xfId="2" applyNumberFormat="1" applyFont="1" applyFill="1" applyBorder="1" applyAlignment="1" applyProtection="1">
      <alignment horizontal="right" vertical="center"/>
    </xf>
    <xf numFmtId="165" fontId="8" fillId="2" borderId="0" xfId="2" applyNumberFormat="1" applyFont="1" applyFill="1" applyBorder="1" applyAlignment="1" applyProtection="1">
      <alignment horizontal="right" vertical="center"/>
    </xf>
    <xf numFmtId="164" fontId="11" fillId="2" borderId="0" xfId="2" applyNumberFormat="1" applyFont="1" applyFill="1" applyBorder="1" applyAlignment="1" applyProtection="1">
      <alignment horizontal="left" vertical="center" indent="2"/>
    </xf>
    <xf numFmtId="164" fontId="12" fillId="2" borderId="0" xfId="2" applyNumberFormat="1" applyFont="1" applyFill="1" applyBorder="1" applyAlignment="1">
      <alignment horizontal="right" vertical="center"/>
    </xf>
    <xf numFmtId="164" fontId="11" fillId="2" borderId="3" xfId="2" applyNumberFormat="1" applyFont="1" applyFill="1" applyBorder="1" applyAlignment="1" applyProtection="1">
      <alignment horizontal="left" vertical="center" indent="2"/>
    </xf>
    <xf numFmtId="164" fontId="12" fillId="2" borderId="3" xfId="2" applyNumberFormat="1" applyFont="1" applyFill="1" applyBorder="1" applyAlignment="1">
      <alignment horizontal="right" vertical="center" indent="2"/>
    </xf>
    <xf numFmtId="164" fontId="10" fillId="2" borderId="3" xfId="2" applyNumberFormat="1" applyFont="1" applyFill="1" applyBorder="1" applyAlignment="1">
      <alignment vertical="center"/>
    </xf>
    <xf numFmtId="164" fontId="16" fillId="2" borderId="3" xfId="2" applyNumberFormat="1" applyFont="1" applyFill="1" applyBorder="1" applyAlignment="1" applyProtection="1">
      <alignment horizontal="left" vertical="center"/>
    </xf>
    <xf numFmtId="41" fontId="17" fillId="2" borderId="3" xfId="3" applyNumberFormat="1" applyFont="1" applyFill="1" applyBorder="1" applyAlignment="1" applyProtection="1">
      <alignment horizontal="right" vertical="center"/>
      <protection locked="0"/>
    </xf>
    <xf numFmtId="166" fontId="17" fillId="2" borderId="3" xfId="3" applyNumberFormat="1" applyFont="1" applyFill="1" applyBorder="1" applyAlignment="1" applyProtection="1">
      <alignment horizontal="right" vertical="center"/>
      <protection locked="0"/>
    </xf>
    <xf numFmtId="164" fontId="6" fillId="2" borderId="3" xfId="2" applyNumberFormat="1" applyFont="1" applyFill="1" applyBorder="1" applyAlignment="1">
      <alignment horizontal="right" vertical="center"/>
    </xf>
    <xf numFmtId="164" fontId="18" fillId="2" borderId="0" xfId="2" applyNumberFormat="1" applyFont="1" applyFill="1" applyAlignment="1" applyProtection="1">
      <alignment horizontal="left" vertical="center"/>
    </xf>
    <xf numFmtId="164" fontId="16" fillId="2" borderId="0" xfId="2" applyNumberFormat="1" applyFont="1" applyFill="1" applyAlignment="1">
      <alignment vertical="center"/>
    </xf>
    <xf numFmtId="164" fontId="19" fillId="2" borderId="0" xfId="2" applyNumberFormat="1" applyFont="1" applyFill="1" applyAlignment="1">
      <alignment horizontal="right" vertical="center"/>
    </xf>
    <xf numFmtId="164" fontId="6" fillId="2" borderId="0" xfId="2" applyNumberFormat="1" applyFont="1" applyFill="1" applyAlignment="1">
      <alignment vertical="center"/>
    </xf>
    <xf numFmtId="165" fontId="20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Alignment="1">
      <alignment horizontal="right" vertical="center"/>
    </xf>
    <xf numFmtId="43" fontId="11" fillId="2" borderId="0" xfId="1" applyFont="1" applyFill="1" applyAlignment="1" applyProtection="1">
      <alignment horizontal="right" vertical="center"/>
      <protection locked="0"/>
    </xf>
    <xf numFmtId="167" fontId="11" fillId="2" borderId="0" xfId="1" applyNumberFormat="1" applyFont="1" applyFill="1" applyAlignment="1" applyProtection="1">
      <alignment horizontal="right" vertical="center"/>
      <protection locked="0"/>
    </xf>
    <xf numFmtId="167" fontId="11" fillId="2" borderId="0" xfId="1" applyNumberFormat="1" applyFont="1" applyFill="1" applyBorder="1" applyAlignment="1" applyProtection="1">
      <alignment horizontal="right" vertical="center"/>
      <protection locked="0"/>
    </xf>
    <xf numFmtId="167" fontId="11" fillId="2" borderId="3" xfId="1" applyNumberFormat="1" applyFont="1" applyFill="1" applyBorder="1" applyAlignment="1" applyProtection="1">
      <alignment horizontal="right" vertical="center"/>
      <protection locked="0"/>
    </xf>
    <xf numFmtId="164" fontId="9" fillId="2" borderId="1" xfId="2" applyNumberFormat="1" applyFont="1" applyFill="1" applyBorder="1" applyAlignment="1">
      <alignment horizontal="right" vertical="center"/>
    </xf>
    <xf numFmtId="164" fontId="21" fillId="2" borderId="4" xfId="2" applyNumberFormat="1" applyFont="1" applyFill="1" applyBorder="1" applyAlignment="1">
      <alignment horizontal="right" vertical="center"/>
    </xf>
    <xf numFmtId="166" fontId="11" fillId="2" borderId="0" xfId="3" applyNumberFormat="1" applyFont="1" applyFill="1" applyAlignment="1" applyProtection="1">
      <alignment horizontal="right" vertical="center"/>
      <protection locked="0"/>
    </xf>
    <xf numFmtId="41" fontId="11" fillId="2" borderId="3" xfId="3" applyNumberFormat="1" applyFont="1" applyFill="1" applyBorder="1" applyAlignment="1" applyProtection="1">
      <alignment horizontal="right" vertical="center"/>
      <protection locked="0"/>
    </xf>
    <xf numFmtId="164" fontId="3" fillId="2" borderId="0" xfId="2" applyNumberFormat="1" applyFont="1" applyFill="1" applyAlignment="1">
      <alignment horizontal="center" vertical="center"/>
    </xf>
    <xf numFmtId="164" fontId="4" fillId="2" borderId="0" xfId="2" applyNumberFormat="1" applyFont="1" applyFill="1" applyBorder="1" applyAlignment="1" applyProtection="1">
      <alignment horizontal="center" vertical="center"/>
    </xf>
    <xf numFmtId="164" fontId="21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Border="1" applyAlignment="1" applyProtection="1">
      <alignment horizontal="center" vertical="center"/>
    </xf>
    <xf numFmtId="164" fontId="8" fillId="2" borderId="1" xfId="2" applyNumberFormat="1" applyFont="1" applyFill="1" applyBorder="1" applyAlignment="1" applyProtection="1">
      <alignment horizontal="lef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8" fillId="2" borderId="2" xfId="2" applyNumberFormat="1" applyFont="1" applyFill="1" applyBorder="1" applyAlignment="1" applyProtection="1">
      <alignment horizontal="left" vertical="center"/>
    </xf>
    <xf numFmtId="164" fontId="9" fillId="2" borderId="1" xfId="2" applyNumberFormat="1" applyFont="1" applyFill="1" applyBorder="1" applyAlignment="1">
      <alignment horizontal="right" vertical="center"/>
    </xf>
    <xf numFmtId="164" fontId="9" fillId="2" borderId="0" xfId="2" applyNumberFormat="1" applyFont="1" applyFill="1" applyBorder="1" applyAlignment="1">
      <alignment horizontal="right" vertical="center"/>
    </xf>
    <xf numFmtId="164" fontId="9" fillId="2" borderId="2" xfId="2" applyNumberFormat="1" applyFont="1" applyFill="1" applyBorder="1" applyAlignment="1">
      <alignment horizontal="right" vertical="center"/>
    </xf>
  </cellXfs>
  <cellStyles count="4">
    <cellStyle name="Comma" xfId="1" builtinId="3"/>
    <cellStyle name="Comma_13 Public Finance_done" xfId="3"/>
    <cellStyle name="Normal" xfId="0" builtinId="0"/>
    <cellStyle name="Normal_13 Public Finance_done" xfId="2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38</xdr:row>
      <xdr:rowOff>0</xdr:rowOff>
    </xdr:from>
    <xdr:to>
      <xdr:col>1</xdr:col>
      <xdr:colOff>0</xdr:colOff>
      <xdr:row>38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9525" y="729615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35</xdr:row>
      <xdr:rowOff>0</xdr:rowOff>
    </xdr:from>
    <xdr:to>
      <xdr:col>1</xdr:col>
      <xdr:colOff>0</xdr:colOff>
      <xdr:row>35</xdr:row>
      <xdr:rowOff>0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9525" y="678180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39"/>
  <sheetViews>
    <sheetView tabSelected="1" zoomScaleNormal="100" zoomScaleSheetLayoutView="100" workbookViewId="0">
      <selection activeCell="P20" sqref="P20:Q20"/>
    </sheetView>
  </sheetViews>
  <sheetFormatPr defaultColWidth="9.140625" defaultRowHeight="12.75" x14ac:dyDescent="0.25"/>
  <cols>
    <col min="1" max="1" width="49.85546875" style="1" customWidth="1"/>
    <col min="2" max="2" width="7.85546875" style="1" customWidth="1"/>
    <col min="3" max="4" width="10.42578125" style="1" customWidth="1"/>
    <col min="5" max="5" width="11" style="1" bestFit="1" customWidth="1"/>
    <col min="6" max="6" width="10.140625" style="1" customWidth="1"/>
    <col min="7" max="11" width="10.42578125" style="1" customWidth="1"/>
    <col min="12" max="12" width="52" style="1" customWidth="1"/>
    <col min="13" max="13" width="2.5703125" style="1" customWidth="1"/>
    <col min="14" max="16384" width="9.140625" style="1"/>
  </cols>
  <sheetData>
    <row r="1" spans="1:252" ht="19.5" x14ac:dyDescent="0.25">
      <c r="A1" s="52" t="s">
        <v>70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252" s="2" customFormat="1" ht="15" x14ac:dyDescent="0.25">
      <c r="A2" s="53" t="s">
        <v>69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252" s="2" customFormat="1" ht="15" x14ac:dyDescent="0.2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252" s="2" customFormat="1" x14ac:dyDescent="0.25">
      <c r="A4" s="55" t="s">
        <v>68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3"/>
    </row>
    <row r="5" spans="1:252" s="6" customFormat="1" ht="15.75" x14ac:dyDescent="0.25">
      <c r="A5" s="56" t="s">
        <v>1</v>
      </c>
      <c r="B5" s="48"/>
      <c r="C5" s="48"/>
      <c r="D5" s="48"/>
      <c r="E5" s="5"/>
      <c r="F5" s="5"/>
      <c r="G5" s="49" t="s">
        <v>2</v>
      </c>
      <c r="H5" s="4"/>
      <c r="I5" s="4"/>
      <c r="J5" s="4"/>
      <c r="K5" s="4"/>
      <c r="L5" s="59" t="s">
        <v>3</v>
      </c>
      <c r="M5" s="59"/>
    </row>
    <row r="6" spans="1:252" s="9" customFormat="1" ht="15" customHeight="1" x14ac:dyDescent="0.25">
      <c r="A6" s="57"/>
      <c r="B6" s="7"/>
      <c r="C6" s="8"/>
      <c r="D6" s="8"/>
      <c r="E6" s="8"/>
      <c r="F6" s="8" t="s">
        <v>4</v>
      </c>
      <c r="G6" s="8" t="s">
        <v>4</v>
      </c>
      <c r="H6" s="8" t="s">
        <v>6</v>
      </c>
      <c r="I6" s="8" t="s">
        <v>67</v>
      </c>
      <c r="J6" s="8" t="s">
        <v>5</v>
      </c>
      <c r="K6" s="8" t="s">
        <v>5</v>
      </c>
      <c r="L6" s="60"/>
      <c r="M6" s="60"/>
    </row>
    <row r="7" spans="1:252" s="11" customFormat="1" ht="15" customHeight="1" x14ac:dyDescent="0.25">
      <c r="A7" s="58"/>
      <c r="B7" s="10">
        <v>2008</v>
      </c>
      <c r="C7" s="10">
        <v>2009</v>
      </c>
      <c r="D7" s="10">
        <v>2010</v>
      </c>
      <c r="E7" s="10">
        <v>2011</v>
      </c>
      <c r="F7" s="10">
        <v>2012</v>
      </c>
      <c r="G7" s="10">
        <v>2013</v>
      </c>
      <c r="H7" s="10">
        <v>2014</v>
      </c>
      <c r="I7" s="10">
        <v>2015</v>
      </c>
      <c r="J7" s="10">
        <v>2016</v>
      </c>
      <c r="K7" s="10">
        <v>2017</v>
      </c>
      <c r="L7" s="61"/>
      <c r="M7" s="61"/>
    </row>
    <row r="8" spans="1:252" s="6" customFormat="1" ht="15.75" x14ac:dyDescent="0.25">
      <c r="A8" s="12" t="s">
        <v>7</v>
      </c>
      <c r="B8" s="13">
        <f t="shared" ref="B8:K8" si="0">SUM(B9:B20)</f>
        <v>8797.2808289999994</v>
      </c>
      <c r="C8" s="13">
        <f t="shared" si="0"/>
        <v>7838.2088169999997</v>
      </c>
      <c r="D8" s="13">
        <f t="shared" si="0"/>
        <v>9492.8144190000003</v>
      </c>
      <c r="E8" s="13">
        <f t="shared" si="0"/>
        <v>12196.840858</v>
      </c>
      <c r="F8" s="13">
        <f t="shared" si="0"/>
        <v>12287.820168999997</v>
      </c>
      <c r="G8" s="13">
        <f t="shared" si="0"/>
        <v>13223.42540853</v>
      </c>
      <c r="H8" s="13">
        <f t="shared" si="0"/>
        <v>16628.241952811528</v>
      </c>
      <c r="I8" s="13">
        <f t="shared" si="0"/>
        <v>23443.617672130847</v>
      </c>
      <c r="J8" s="13">
        <f t="shared" si="0"/>
        <v>24574.810175142095</v>
      </c>
      <c r="K8" s="13">
        <f t="shared" si="0"/>
        <v>25639.277102638545</v>
      </c>
      <c r="L8" s="14" t="s">
        <v>8</v>
      </c>
    </row>
    <row r="9" spans="1:252" s="18" customFormat="1" ht="15.75" x14ac:dyDescent="0.25">
      <c r="A9" s="15" t="s">
        <v>9</v>
      </c>
      <c r="B9" s="16">
        <v>7054.4330769999997</v>
      </c>
      <c r="C9" s="16">
        <v>5467.9178659999998</v>
      </c>
      <c r="D9" s="16">
        <v>6573.7138210000003</v>
      </c>
      <c r="E9" s="16">
        <v>9508.1181149999993</v>
      </c>
      <c r="F9" s="16">
        <v>9817.0309849999994</v>
      </c>
      <c r="G9" s="16">
        <v>11799.703769</v>
      </c>
      <c r="H9" s="16">
        <v>14479.874800279196</v>
      </c>
      <c r="I9" s="16">
        <v>19813.320033790067</v>
      </c>
      <c r="J9" s="16">
        <v>20217.73946180131</v>
      </c>
      <c r="K9" s="16">
        <v>21534.944494297761</v>
      </c>
      <c r="L9" s="17" t="s">
        <v>10</v>
      </c>
    </row>
    <row r="10" spans="1:252" s="18" customFormat="1" ht="15.75" x14ac:dyDescent="0.25">
      <c r="A10" s="15" t="s">
        <v>11</v>
      </c>
      <c r="B10" s="16">
        <v>81.193549000000004</v>
      </c>
      <c r="C10" s="44">
        <v>0</v>
      </c>
      <c r="D10" s="19">
        <v>0</v>
      </c>
      <c r="E10" s="16">
        <v>71.725728000000004</v>
      </c>
      <c r="F10" s="16">
        <v>91.006381000000005</v>
      </c>
      <c r="G10" s="16">
        <v>118.874062</v>
      </c>
      <c r="H10" s="16">
        <v>121.35536174566654</v>
      </c>
      <c r="I10" s="16">
        <v>100.00000034078232</v>
      </c>
      <c r="J10" s="16">
        <v>100.00000034078232</v>
      </c>
      <c r="K10" s="16">
        <v>100.00000034078232</v>
      </c>
      <c r="L10" s="17" t="s">
        <v>12</v>
      </c>
    </row>
    <row r="11" spans="1:252" s="18" customFormat="1" ht="15.75" x14ac:dyDescent="0.25">
      <c r="A11" s="15" t="s">
        <v>13</v>
      </c>
      <c r="B11" s="16">
        <v>7.0724070000000001</v>
      </c>
      <c r="C11" s="16">
        <v>22.433268000000002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7" t="s">
        <v>14</v>
      </c>
    </row>
    <row r="12" spans="1:252" s="18" customFormat="1" ht="15.75" x14ac:dyDescent="0.25">
      <c r="A12" s="15" t="s">
        <v>15</v>
      </c>
      <c r="B12" s="16">
        <v>55.550635999999997</v>
      </c>
      <c r="C12" s="16">
        <v>52.923622000000002</v>
      </c>
      <c r="D12" s="16">
        <v>47.642878000000003</v>
      </c>
      <c r="E12" s="16">
        <v>318.363</v>
      </c>
      <c r="F12" s="16">
        <v>144.28058300000001</v>
      </c>
      <c r="G12" s="16">
        <v>43.25014952999998</v>
      </c>
      <c r="H12" s="16">
        <v>37.453480786666638</v>
      </c>
      <c r="I12" s="16">
        <v>45</v>
      </c>
      <c r="J12" s="16">
        <v>45</v>
      </c>
      <c r="K12" s="16">
        <v>45</v>
      </c>
      <c r="L12" s="17" t="s">
        <v>16</v>
      </c>
    </row>
    <row r="13" spans="1:252" s="18" customFormat="1" ht="18.75" x14ac:dyDescent="0.25">
      <c r="A13" s="15" t="s">
        <v>17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20" t="s">
        <v>18</v>
      </c>
    </row>
    <row r="14" spans="1:252" s="18" customFormat="1" ht="18.75" x14ac:dyDescent="0.25">
      <c r="A14" s="15" t="s">
        <v>19</v>
      </c>
      <c r="B14" s="50">
        <v>382.49900000000002</v>
      </c>
      <c r="C14" s="16">
        <v>637.5</v>
      </c>
      <c r="D14" s="50">
        <v>534.62186399999996</v>
      </c>
      <c r="E14" s="16">
        <v>486.14478600000001</v>
      </c>
      <c r="F14" s="16">
        <v>567.25472300000001</v>
      </c>
      <c r="G14" s="19">
        <v>0</v>
      </c>
      <c r="H14" s="16">
        <v>1223.848</v>
      </c>
      <c r="I14" s="16">
        <v>154.1</v>
      </c>
      <c r="J14" s="19">
        <v>0</v>
      </c>
      <c r="K14" s="19">
        <v>0</v>
      </c>
      <c r="L14" s="21" t="s">
        <v>20</v>
      </c>
    </row>
    <row r="15" spans="1:252" s="18" customFormat="1" ht="18.75" x14ac:dyDescent="0.25">
      <c r="A15" s="15" t="s">
        <v>21</v>
      </c>
      <c r="B15" s="19">
        <v>0</v>
      </c>
      <c r="C15" s="19">
        <v>0</v>
      </c>
      <c r="D15" s="19">
        <v>0</v>
      </c>
      <c r="E15" s="19">
        <v>0</v>
      </c>
      <c r="F15" s="16">
        <v>300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21" t="s">
        <v>22</v>
      </c>
    </row>
    <row r="16" spans="1:252" s="18" customFormat="1" ht="18.75" x14ac:dyDescent="0.25">
      <c r="A16" s="15" t="s">
        <v>23</v>
      </c>
      <c r="B16" s="19">
        <v>0</v>
      </c>
      <c r="C16" s="50">
        <v>510</v>
      </c>
      <c r="D16" s="19">
        <v>946.91444999999999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22" t="s">
        <v>24</v>
      </c>
      <c r="N16" s="23"/>
      <c r="P16" s="23"/>
      <c r="Q16" s="23"/>
      <c r="R16" s="23"/>
      <c r="S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</row>
    <row r="17" spans="1:252" s="18" customFormat="1" ht="15.75" x14ac:dyDescent="0.25">
      <c r="A17" s="15" t="s">
        <v>25</v>
      </c>
      <c r="B17" s="16">
        <v>461.42420499999997</v>
      </c>
      <c r="C17" s="24">
        <v>368.59220499999998</v>
      </c>
      <c r="D17" s="16">
        <v>106.900358</v>
      </c>
      <c r="E17" s="16">
        <v>414.07133499999998</v>
      </c>
      <c r="F17" s="16">
        <v>222.38928999999999</v>
      </c>
      <c r="G17" s="16">
        <v>74.405078000000003</v>
      </c>
      <c r="H17" s="16">
        <v>377.13035600000001</v>
      </c>
      <c r="I17" s="16">
        <v>1428.0744669999999</v>
      </c>
      <c r="J17" s="16">
        <v>1548.6257439999999</v>
      </c>
      <c r="K17" s="16">
        <v>846.82074299999999</v>
      </c>
      <c r="L17" s="17" t="s">
        <v>26</v>
      </c>
      <c r="N17" s="23"/>
      <c r="P17" s="23"/>
      <c r="Q17" s="23"/>
      <c r="R17" s="23"/>
      <c r="S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</row>
    <row r="18" spans="1:252" s="18" customFormat="1" ht="18.75" x14ac:dyDescent="0.25">
      <c r="A18" s="15" t="s">
        <v>27</v>
      </c>
      <c r="B18" s="16">
        <v>755.10795499999995</v>
      </c>
      <c r="C18" s="24">
        <v>778.84185600000001</v>
      </c>
      <c r="D18" s="16">
        <v>1283.0210480000001</v>
      </c>
      <c r="E18" s="16">
        <v>1398.4178939999999</v>
      </c>
      <c r="F18" s="16">
        <v>1145.858207</v>
      </c>
      <c r="G18" s="16">
        <v>1187.19235</v>
      </c>
      <c r="H18" s="16">
        <v>388.57995399999999</v>
      </c>
      <c r="I18" s="16">
        <v>1903.123171</v>
      </c>
      <c r="J18" s="16">
        <v>2663.4449690000001</v>
      </c>
      <c r="K18" s="16">
        <v>3112.5118650000004</v>
      </c>
      <c r="L18" s="21" t="s">
        <v>28</v>
      </c>
      <c r="N18" s="23"/>
      <c r="P18" s="23"/>
      <c r="Q18" s="23"/>
      <c r="R18" s="23"/>
      <c r="S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</row>
    <row r="19" spans="1:252" s="18" customFormat="1" ht="18.75" x14ac:dyDescent="0.25">
      <c r="A19" s="15" t="s">
        <v>29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21" t="s">
        <v>30</v>
      </c>
      <c r="N19" s="23"/>
      <c r="P19" s="23"/>
      <c r="Q19" s="23"/>
      <c r="R19" s="23"/>
      <c r="S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</row>
    <row r="20" spans="1:252" s="18" customFormat="1" ht="15" customHeight="1" x14ac:dyDescent="0.25">
      <c r="A20" s="15" t="s">
        <v>31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7"/>
      <c r="N20" s="23"/>
      <c r="P20" s="23"/>
      <c r="Q20" s="23"/>
      <c r="R20" s="23"/>
      <c r="S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</row>
    <row r="21" spans="1:252" s="6" customFormat="1" ht="15.75" x14ac:dyDescent="0.25">
      <c r="A21" s="12" t="s">
        <v>32</v>
      </c>
      <c r="B21" s="25">
        <f t="shared" ref="B21:K21" si="1">+B8-B23</f>
        <v>-1943.5229260000015</v>
      </c>
      <c r="C21" s="25">
        <f t="shared" si="1"/>
        <v>-3876.7454459999999</v>
      </c>
      <c r="D21" s="25">
        <f t="shared" si="1"/>
        <v>-2380.6923200000019</v>
      </c>
      <c r="E21" s="25">
        <f t="shared" si="1"/>
        <v>-1463.2154230000015</v>
      </c>
      <c r="F21" s="25">
        <f t="shared" si="1"/>
        <v>-2764.8567550000025</v>
      </c>
      <c r="G21" s="25">
        <f t="shared" si="1"/>
        <v>-2075.0381229599971</v>
      </c>
      <c r="H21" s="25">
        <f t="shared" si="1"/>
        <v>-1261.5657776156986</v>
      </c>
      <c r="I21" s="25">
        <f t="shared" si="1"/>
        <v>-898.28839985777086</v>
      </c>
      <c r="J21" s="25">
        <f t="shared" si="1"/>
        <v>-681.98872409066462</v>
      </c>
      <c r="K21" s="25">
        <f t="shared" si="1"/>
        <v>1799.8127337698315</v>
      </c>
      <c r="L21" s="14" t="s">
        <v>33</v>
      </c>
    </row>
    <row r="22" spans="1:252" s="6" customFormat="1" ht="15.75" x14ac:dyDescent="0.25">
      <c r="A22" s="12" t="s">
        <v>34</v>
      </c>
      <c r="B22" s="26"/>
      <c r="C22" s="27"/>
      <c r="D22" s="26"/>
      <c r="E22" s="26"/>
      <c r="F22" s="16"/>
      <c r="G22" s="16"/>
      <c r="H22" s="16"/>
      <c r="I22" s="16"/>
      <c r="J22" s="16"/>
      <c r="K22" s="16"/>
      <c r="L22" s="17" t="s">
        <v>35</v>
      </c>
    </row>
    <row r="23" spans="1:252" s="6" customFormat="1" ht="15.75" x14ac:dyDescent="0.25">
      <c r="A23" s="12" t="s">
        <v>36</v>
      </c>
      <c r="B23" s="13">
        <v>10740.803755000001</v>
      </c>
      <c r="C23" s="28">
        <v>11714.954263</v>
      </c>
      <c r="D23" s="13">
        <f t="shared" ref="D23:K23" si="2">D24</f>
        <v>11873.506739000002</v>
      </c>
      <c r="E23" s="13">
        <f t="shared" si="2"/>
        <v>13660.056281000001</v>
      </c>
      <c r="F23" s="25">
        <f t="shared" si="2"/>
        <v>15052.676923999999</v>
      </c>
      <c r="G23" s="25">
        <f t="shared" si="2"/>
        <v>15298.463531489997</v>
      </c>
      <c r="H23" s="25">
        <f t="shared" si="2"/>
        <v>17889.807730427226</v>
      </c>
      <c r="I23" s="25">
        <f t="shared" si="2"/>
        <v>24341.906071988618</v>
      </c>
      <c r="J23" s="25">
        <f t="shared" si="2"/>
        <v>25256.798899232759</v>
      </c>
      <c r="K23" s="25">
        <f t="shared" si="2"/>
        <v>23839.464368868714</v>
      </c>
      <c r="L23" s="14" t="s">
        <v>37</v>
      </c>
    </row>
    <row r="24" spans="1:252" s="6" customFormat="1" ht="15.75" x14ac:dyDescent="0.25">
      <c r="A24" s="12" t="s">
        <v>38</v>
      </c>
      <c r="B24" s="13">
        <f>SUM(B25:B32)</f>
        <v>10740.803754999997</v>
      </c>
      <c r="C24" s="13">
        <f>SUM(C25:C32)</f>
        <v>11714.954263000003</v>
      </c>
      <c r="D24" s="13">
        <f t="shared" ref="D24:J24" si="3">SUM(D25:D32)</f>
        <v>11873.506739000002</v>
      </c>
      <c r="E24" s="13">
        <f t="shared" si="3"/>
        <v>13660.056281000001</v>
      </c>
      <c r="F24" s="25">
        <f t="shared" si="3"/>
        <v>15052.676923999999</v>
      </c>
      <c r="G24" s="25">
        <f t="shared" si="3"/>
        <v>15298.463531489997</v>
      </c>
      <c r="H24" s="25">
        <f t="shared" si="3"/>
        <v>17889.807730427226</v>
      </c>
      <c r="I24" s="25">
        <f t="shared" si="3"/>
        <v>24341.906071988618</v>
      </c>
      <c r="J24" s="25">
        <f t="shared" si="3"/>
        <v>25256.798899232759</v>
      </c>
      <c r="K24" s="25">
        <f t="shared" ref="K24" si="4">SUM(K25:K32)</f>
        <v>23839.464368868714</v>
      </c>
      <c r="L24" s="14" t="s">
        <v>39</v>
      </c>
    </row>
    <row r="25" spans="1:252" s="18" customFormat="1" ht="15.75" x14ac:dyDescent="0.25">
      <c r="A25" s="15" t="s">
        <v>40</v>
      </c>
      <c r="B25" s="45">
        <v>9028.3429649999998</v>
      </c>
      <c r="C25" s="46">
        <v>10432.388282</v>
      </c>
      <c r="D25" s="45">
        <v>10483.585333000001</v>
      </c>
      <c r="E25" s="45">
        <v>11488.839484</v>
      </c>
      <c r="F25" s="45">
        <v>13526.464507000001</v>
      </c>
      <c r="G25" s="45">
        <v>13892.434722999998</v>
      </c>
      <c r="H25" s="45">
        <v>16989.998308227227</v>
      </c>
      <c r="I25" s="45">
        <v>20890.708433935288</v>
      </c>
      <c r="J25" s="45">
        <v>20921.728186079425</v>
      </c>
      <c r="K25" s="45">
        <v>19755.13176099538</v>
      </c>
      <c r="L25" s="17" t="s">
        <v>41</v>
      </c>
    </row>
    <row r="26" spans="1:252" s="18" customFormat="1" ht="15.75" x14ac:dyDescent="0.25">
      <c r="A26" s="15" t="s">
        <v>42</v>
      </c>
      <c r="B26" s="45">
        <v>58.229534999999998</v>
      </c>
      <c r="C26" s="46">
        <v>57.178566000000004</v>
      </c>
      <c r="D26" s="45">
        <v>0</v>
      </c>
      <c r="E26" s="45">
        <v>60.209864000000003</v>
      </c>
      <c r="F26" s="45">
        <v>89.611200999999994</v>
      </c>
      <c r="G26" s="45">
        <v>103.50774728999973</v>
      </c>
      <c r="H26" s="45">
        <v>100.77286119999994</v>
      </c>
      <c r="I26" s="45">
        <v>94.999999999999986</v>
      </c>
      <c r="J26" s="45">
        <v>98.000000100000022</v>
      </c>
      <c r="K26" s="45">
        <v>99.999999819999999</v>
      </c>
      <c r="L26" s="17" t="s">
        <v>43</v>
      </c>
    </row>
    <row r="27" spans="1:252" s="18" customFormat="1" ht="15.75" x14ac:dyDescent="0.25">
      <c r="A27" s="15" t="s">
        <v>44</v>
      </c>
      <c r="B27" s="45">
        <v>7.9</v>
      </c>
      <c r="C27" s="46">
        <v>25.029731999999999</v>
      </c>
      <c r="D27" s="45">
        <v>0</v>
      </c>
      <c r="E27" s="45">
        <v>0</v>
      </c>
      <c r="F27" s="45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7" t="s">
        <v>45</v>
      </c>
    </row>
    <row r="28" spans="1:252" s="18" customFormat="1" ht="15.75" x14ac:dyDescent="0.25">
      <c r="A28" s="15" t="s">
        <v>15</v>
      </c>
      <c r="B28" s="45">
        <v>47.299860000000002</v>
      </c>
      <c r="C28" s="46">
        <v>52.923622000000002</v>
      </c>
      <c r="D28" s="45">
        <v>0</v>
      </c>
      <c r="E28" s="45">
        <v>298.51770399999998</v>
      </c>
      <c r="F28" s="45">
        <v>68.353718999999998</v>
      </c>
      <c r="G28" s="45">
        <v>40.923633199999962</v>
      </c>
      <c r="H28" s="45">
        <v>33.326250999999999</v>
      </c>
      <c r="I28" s="45">
        <v>25.000000053333331</v>
      </c>
      <c r="J28" s="45">
        <v>25.000000053333331</v>
      </c>
      <c r="K28" s="45">
        <v>25.000000053333331</v>
      </c>
      <c r="L28" s="17" t="s">
        <v>46</v>
      </c>
    </row>
    <row r="29" spans="1:252" s="18" customFormat="1" ht="18.75" x14ac:dyDescent="0.25">
      <c r="A29" s="15" t="s">
        <v>17</v>
      </c>
      <c r="B29" s="45">
        <v>382.499235</v>
      </c>
      <c r="C29" s="46">
        <v>0</v>
      </c>
      <c r="D29" s="45">
        <v>0</v>
      </c>
      <c r="E29" s="45">
        <v>0</v>
      </c>
      <c r="F29" s="45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20" t="s">
        <v>47</v>
      </c>
    </row>
    <row r="30" spans="1:252" s="11" customFormat="1" ht="15.75" x14ac:dyDescent="0.25">
      <c r="A30" s="29" t="s">
        <v>48</v>
      </c>
      <c r="B30" s="46">
        <v>461.42420499999997</v>
      </c>
      <c r="C30" s="46">
        <v>368.59220499999998</v>
      </c>
      <c r="D30" s="46">
        <v>106.900358</v>
      </c>
      <c r="E30" s="46">
        <v>414.07133499999998</v>
      </c>
      <c r="F30" s="45">
        <v>222.38928999999999</v>
      </c>
      <c r="G30" s="45">
        <v>74.405078000000003</v>
      </c>
      <c r="H30" s="45">
        <v>377.13035599999995</v>
      </c>
      <c r="I30" s="45">
        <v>1428.0744669999999</v>
      </c>
      <c r="J30" s="45">
        <v>1548.6257439999999</v>
      </c>
      <c r="K30" s="45">
        <v>846.82074299999999</v>
      </c>
      <c r="L30" s="30" t="s">
        <v>49</v>
      </c>
    </row>
    <row r="31" spans="1:252" s="18" customFormat="1" ht="15.75" x14ac:dyDescent="0.25">
      <c r="A31" s="29" t="s">
        <v>50</v>
      </c>
      <c r="B31" s="46">
        <v>755.10795499999995</v>
      </c>
      <c r="C31" s="46">
        <v>778.84185600000001</v>
      </c>
      <c r="D31" s="46">
        <v>1283.0210480000001</v>
      </c>
      <c r="E31" s="46">
        <v>1398.4178939999999</v>
      </c>
      <c r="F31" s="46">
        <v>1145.858207</v>
      </c>
      <c r="G31" s="46">
        <v>1187.19235</v>
      </c>
      <c r="H31" s="46">
        <v>388.57995399999999</v>
      </c>
      <c r="I31" s="46">
        <v>1903.123171</v>
      </c>
      <c r="J31" s="46">
        <v>2663.4449690000001</v>
      </c>
      <c r="K31" s="46">
        <v>3112.5118650000004</v>
      </c>
      <c r="L31" s="17" t="s">
        <v>51</v>
      </c>
    </row>
    <row r="32" spans="1:252" s="18" customFormat="1" ht="18.75" x14ac:dyDescent="0.25">
      <c r="A32" s="31" t="s">
        <v>52</v>
      </c>
      <c r="B32" s="47">
        <v>0</v>
      </c>
      <c r="C32" s="47">
        <v>0</v>
      </c>
      <c r="D32" s="47">
        <v>0</v>
      </c>
      <c r="E32" s="47">
        <v>0</v>
      </c>
      <c r="F32" s="47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32" t="s">
        <v>53</v>
      </c>
      <c r="M32" s="33"/>
    </row>
    <row r="33" spans="1:13" s="11" customFormat="1" ht="15" hidden="1" x14ac:dyDescent="0.25">
      <c r="A33" s="34" t="s">
        <v>54</v>
      </c>
      <c r="B33" s="35">
        <v>0</v>
      </c>
      <c r="C33" s="35">
        <v>0</v>
      </c>
      <c r="D33" s="36">
        <v>0</v>
      </c>
      <c r="E33" s="36">
        <v>0</v>
      </c>
      <c r="F33" s="36"/>
      <c r="G33" s="36"/>
      <c r="H33" s="36"/>
      <c r="I33" s="36"/>
      <c r="J33" s="36"/>
      <c r="K33" s="36"/>
      <c r="L33" s="37" t="s">
        <v>55</v>
      </c>
    </row>
    <row r="34" spans="1:13" s="18" customFormat="1" ht="18.75" x14ac:dyDescent="0.25">
      <c r="A34" s="38" t="s">
        <v>71</v>
      </c>
      <c r="B34" s="39"/>
      <c r="C34" s="39"/>
      <c r="L34" s="20" t="s">
        <v>56</v>
      </c>
      <c r="M34" s="40" t="s">
        <v>57</v>
      </c>
    </row>
    <row r="35" spans="1:13" s="18" customFormat="1" ht="18.75" x14ac:dyDescent="0.25">
      <c r="A35" s="38" t="s">
        <v>58</v>
      </c>
      <c r="B35" s="39"/>
      <c r="C35" s="39"/>
      <c r="L35" s="20" t="s">
        <v>59</v>
      </c>
      <c r="M35" s="40" t="s">
        <v>60</v>
      </c>
    </row>
    <row r="36" spans="1:13" s="18" customFormat="1" ht="18.75" x14ac:dyDescent="0.25">
      <c r="A36" s="38" t="s">
        <v>61</v>
      </c>
      <c r="B36" s="39"/>
      <c r="C36" s="39"/>
      <c r="D36" s="41"/>
      <c r="E36" s="41"/>
      <c r="F36" s="41"/>
      <c r="G36" s="41"/>
      <c r="H36" s="41"/>
      <c r="I36" s="41"/>
      <c r="J36" s="41"/>
      <c r="K36" s="41"/>
      <c r="L36" s="20" t="s">
        <v>62</v>
      </c>
      <c r="M36" s="40" t="s">
        <v>63</v>
      </c>
    </row>
    <row r="37" spans="1:13" s="18" customFormat="1" ht="15.75" x14ac:dyDescent="0.25">
      <c r="A37" s="38" t="s">
        <v>64</v>
      </c>
      <c r="B37" s="39"/>
      <c r="C37" s="39"/>
      <c r="L37" s="17"/>
      <c r="M37" s="42" t="s">
        <v>65</v>
      </c>
    </row>
    <row r="38" spans="1:13" s="18" customFormat="1" ht="15" x14ac:dyDescent="0.25">
      <c r="A38" s="38" t="s">
        <v>66</v>
      </c>
      <c r="B38" s="39"/>
      <c r="C38" s="39"/>
      <c r="L38" s="43"/>
    </row>
    <row r="39" spans="1:13" s="18" customFormat="1" ht="12" x14ac:dyDescent="0.25"/>
  </sheetData>
  <mergeCells count="6">
    <mergeCell ref="A1:M1"/>
    <mergeCell ref="A2:M2"/>
    <mergeCell ref="A3:L3"/>
    <mergeCell ref="A4:L4"/>
    <mergeCell ref="A5:A7"/>
    <mergeCell ref="L5:M7"/>
  </mergeCells>
  <pageMargins left="0.18" right="0.16" top="0.75" bottom="0.75" header="0.3" footer="0.3"/>
  <pageSetup paperSize="9" scale="69" orientation="landscape" r:id="rId1"/>
  <colBreaks count="1" manualBreakCount="1">
    <brk id="13" max="1048575" man="1"/>
  </colBreaks>
  <ignoredErrors>
    <ignoredError sqref="K21:K24 G21:J23 F21:F23 B21:E23 H24:J24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</vt:lpstr>
      <vt:lpstr>'13.1'!Print_Area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2016-01-18T08:26:51Z</cp:lastPrinted>
  <dcterms:created xsi:type="dcterms:W3CDTF">2014-03-06T08:38:12Z</dcterms:created>
  <dcterms:modified xsi:type="dcterms:W3CDTF">2016-01-18T08:26:53Z</dcterms:modified>
</cp:coreProperties>
</file>