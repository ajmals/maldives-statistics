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5" sheetId="14" r:id="rId1"/>
  </sheets>
  <definedNames>
    <definedName name="_xlnm.Print_Area" localSheetId="0">'13.5'!$A$1:$Q$34</definedName>
  </definedNames>
  <calcPr calcId="144525"/>
</workbook>
</file>

<file path=xl/calcChain.xml><?xml version="1.0" encoding="utf-8"?>
<calcChain xmlns="http://schemas.openxmlformats.org/spreadsheetml/2006/main">
  <c r="P22" i="14" l="1"/>
  <c r="O11" i="14"/>
  <c r="G17" i="14" l="1"/>
  <c r="H17" i="14"/>
  <c r="I17" i="14"/>
  <c r="J17" i="14"/>
  <c r="K17" i="14"/>
  <c r="L17" i="14"/>
  <c r="F17" i="14"/>
  <c r="O21" i="14"/>
  <c r="P21" i="14"/>
  <c r="L12" i="14"/>
  <c r="G12" i="14"/>
  <c r="H12" i="14"/>
  <c r="I12" i="14"/>
  <c r="J12" i="14"/>
  <c r="K12" i="14"/>
  <c r="F12" i="14"/>
  <c r="P12" i="14" l="1"/>
  <c r="P33" i="14" l="1"/>
  <c r="P31" i="14"/>
  <c r="P30" i="14"/>
  <c r="P29" i="14"/>
  <c r="P28" i="14"/>
  <c r="P27" i="14"/>
  <c r="P26" i="14"/>
  <c r="P25" i="14"/>
  <c r="P24" i="14"/>
  <c r="P20" i="14"/>
  <c r="P19" i="14"/>
  <c r="P18" i="14"/>
  <c r="P16" i="14"/>
  <c r="P15" i="14"/>
  <c r="P14" i="14"/>
  <c r="P13" i="14"/>
  <c r="P11" i="14"/>
  <c r="K23" i="14"/>
  <c r="K10" i="14"/>
  <c r="K9" i="14" l="1"/>
  <c r="K8" i="14" s="1"/>
  <c r="O29" i="14"/>
  <c r="O24" i="14"/>
  <c r="O14" i="14"/>
  <c r="O13" i="14" l="1"/>
  <c r="O12" i="14" l="1"/>
  <c r="O15" i="14"/>
  <c r="O16" i="14"/>
  <c r="O18" i="14"/>
  <c r="O19" i="14"/>
  <c r="O20" i="14"/>
  <c r="O25" i="14"/>
  <c r="O26" i="14"/>
  <c r="O27" i="14"/>
  <c r="O28" i="14"/>
  <c r="O30" i="14"/>
  <c r="O31" i="14"/>
  <c r="O33" i="14"/>
  <c r="L23" i="14"/>
  <c r="J23" i="14"/>
  <c r="J9" i="14" s="1"/>
  <c r="I23" i="14"/>
  <c r="H23" i="14"/>
  <c r="G23" i="14"/>
  <c r="F23" i="14"/>
  <c r="E23" i="14"/>
  <c r="D23" i="14"/>
  <c r="C23" i="14"/>
  <c r="B23" i="14"/>
  <c r="E17" i="14"/>
  <c r="D17" i="14"/>
  <c r="C17" i="14"/>
  <c r="B17" i="14"/>
  <c r="L10" i="14"/>
  <c r="L9" i="14" s="1"/>
  <c r="L8" i="14" s="1"/>
  <c r="J10" i="14"/>
  <c r="I10" i="14"/>
  <c r="H10" i="14"/>
  <c r="G10" i="14"/>
  <c r="G9" i="14" s="1"/>
  <c r="F10" i="14"/>
  <c r="E10" i="14"/>
  <c r="D10" i="14"/>
  <c r="D9" i="14" s="1"/>
  <c r="D8" i="14" s="1"/>
  <c r="C10" i="14"/>
  <c r="C9" i="14" s="1"/>
  <c r="C8" i="14" s="1"/>
  <c r="B10" i="14"/>
  <c r="F9" i="14"/>
  <c r="F8" i="14" s="1"/>
  <c r="E9" i="14" l="1"/>
  <c r="E8" i="14" s="1"/>
  <c r="B9" i="14"/>
  <c r="B8" i="14" s="1"/>
  <c r="J8" i="14"/>
  <c r="O10" i="14"/>
  <c r="P10" i="14"/>
  <c r="P23" i="14"/>
  <c r="H9" i="14"/>
  <c r="G8" i="14"/>
  <c r="I9" i="14"/>
  <c r="P17" i="14"/>
  <c r="O23" i="14"/>
  <c r="M14" i="14"/>
  <c r="O17" i="14"/>
  <c r="M13" i="14"/>
  <c r="M33" i="14"/>
  <c r="M19" i="14"/>
  <c r="M20" i="14"/>
  <c r="M24" i="14"/>
  <c r="M27" i="14"/>
  <c r="M28" i="14"/>
  <c r="M29" i="14"/>
  <c r="N21" i="14" l="1"/>
  <c r="N22" i="14"/>
  <c r="M18" i="14"/>
  <c r="M22" i="14"/>
  <c r="M26" i="14"/>
  <c r="M25" i="14"/>
  <c r="M21" i="14"/>
  <c r="M31" i="14"/>
  <c r="M16" i="14"/>
  <c r="M15" i="14"/>
  <c r="M12" i="14"/>
  <c r="M30" i="14"/>
  <c r="O9" i="14"/>
  <c r="M11" i="14"/>
  <c r="M23" i="14"/>
  <c r="M17" i="14"/>
  <c r="M10" i="14"/>
  <c r="N14" i="14"/>
  <c r="N18" i="14"/>
  <c r="N27" i="14"/>
  <c r="N31" i="14"/>
  <c r="N12" i="14"/>
  <c r="N16" i="14"/>
  <c r="N25" i="14"/>
  <c r="N29" i="14"/>
  <c r="N11" i="14"/>
  <c r="N26" i="14"/>
  <c r="N9" i="14"/>
  <c r="N15" i="14"/>
  <c r="N19" i="14"/>
  <c r="N24" i="14"/>
  <c r="N28" i="14"/>
  <c r="N20" i="14"/>
  <c r="N33" i="14"/>
  <c r="P9" i="14"/>
  <c r="N13" i="14"/>
  <c r="N30" i="14"/>
  <c r="I8" i="14"/>
  <c r="N23" i="14"/>
  <c r="N17" i="14"/>
  <c r="M9" i="14"/>
  <c r="H8" i="14"/>
  <c r="O8" i="14" s="1"/>
  <c r="N10" i="14"/>
  <c r="P8" i="14" l="1"/>
</calcChain>
</file>

<file path=xl/sharedStrings.xml><?xml version="1.0" encoding="utf-8"?>
<sst xmlns="http://schemas.openxmlformats.org/spreadsheetml/2006/main" count="73" uniqueCount="70">
  <si>
    <t>Particulars</t>
  </si>
  <si>
    <t>clIBcfwt</t>
  </si>
  <si>
    <t>Actual</t>
  </si>
  <si>
    <t>Revised</t>
  </si>
  <si>
    <t>(cTejwbWtcsWrudem)</t>
  </si>
  <si>
    <t>Approved</t>
  </si>
  <si>
    <t>MTEF</t>
  </si>
  <si>
    <t>Total Expenditure</t>
  </si>
  <si>
    <t>udwrwK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</si>
  <si>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</si>
  <si>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</si>
  <si>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</si>
  <si>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</si>
  <si>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</si>
  <si>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Memorandum item:</t>
  </si>
  <si>
    <t>caeacmwTiawa Wviawfiveruk cDrOker iawkwTcSwnWdwh</t>
  </si>
  <si>
    <t>urwvcnimivurutia</t>
  </si>
  <si>
    <t>% change</t>
  </si>
  <si>
    <t>Total Expenditure and Net Lending</t>
  </si>
  <si>
    <t>IkWbufWs egInwrwd EverukUd iaWdwrwK</t>
  </si>
  <si>
    <t>Public services</t>
  </si>
  <si>
    <t>ctwmcdiK umcaWA EvedcSwncnutiycawr</t>
  </si>
  <si>
    <t xml:space="preserve">  General administration</t>
  </si>
  <si>
    <t>EhebWmugcnih</t>
  </si>
  <si>
    <t xml:space="preserve">  Defence</t>
  </si>
  <si>
    <t xml:space="preserve"> cnuTcaeheleb cSwtcawtcnwkIaWfid</t>
  </si>
  <si>
    <t xml:space="preserve">        Military Defence</t>
  </si>
  <si>
    <t xml:space="preserve">        Civil Defence</t>
  </si>
  <si>
    <t xml:space="preserve">  Public order and Internal security</t>
  </si>
  <si>
    <t>cnuTcaeleb cSokiretWkcawrcnwmwa iaWmurukcmiaWq ufWscniauludwa</t>
  </si>
  <si>
    <t xml:space="preserve"> Environmental Protection</t>
  </si>
  <si>
    <t>cnuTcaeleb iaWmurukiretWkcawr iSevWmit</t>
  </si>
  <si>
    <t>Social services</t>
  </si>
  <si>
    <t>Ihea EvediaWdwrwK Everuk cSwaIqcawrwt eguAwmwtcjum</t>
  </si>
  <si>
    <t xml:space="preserve">  Education</t>
  </si>
  <si>
    <t>cmIluAwt</t>
  </si>
  <si>
    <t xml:space="preserve">  Health </t>
  </si>
  <si>
    <t>utwHcaiB</t>
  </si>
  <si>
    <t xml:space="preserve">  Social security and welfare services</t>
  </si>
  <si>
    <t>ctwmcdiK egrwaefcleviaWmuTcaeheleb cSokiretWkcawr uAwmwtcjum</t>
  </si>
  <si>
    <t xml:space="preserve">  Community programmes</t>
  </si>
  <si>
    <t>udwrwK Everuk iawkwTcSwaWdiawf egutwAWmwj</t>
  </si>
  <si>
    <t>Economic services</t>
  </si>
  <si>
    <t>ctwmcdiK IdWBitcqia</t>
  </si>
  <si>
    <t xml:space="preserve">  Fisheries and Agriculture</t>
  </si>
  <si>
    <t>cnwkirevcswm iaWmwkirevuDnwd</t>
  </si>
  <si>
    <t xml:space="preserve">  Transportation</t>
  </si>
  <si>
    <t>udwrwK EhebWrutwfurutwd</t>
  </si>
  <si>
    <t xml:space="preserve">  Communication</t>
  </si>
  <si>
    <t>ctwmcdiK ugetWlwBWvum</t>
  </si>
  <si>
    <t xml:space="preserve">  Tourism</t>
  </si>
  <si>
    <t>cmwzirUT</t>
  </si>
  <si>
    <t xml:space="preserve">  Trade and Industries</t>
  </si>
  <si>
    <t>cnwkiretctwkcawswm iaWairWfwyiv</t>
  </si>
  <si>
    <t xml:space="preserve">  Electricity</t>
  </si>
  <si>
    <t>cTcnwrwk</t>
  </si>
  <si>
    <t>Interest on public debt</t>
  </si>
  <si>
    <t>udwrwK egutwmcdiK EvedcSwaWsiawf WviawfigencSwNcnwrwd</t>
  </si>
  <si>
    <t>Loans disbursements</t>
  </si>
  <si>
    <t>ލޯނުން ޚަރަދު ކުރެވުނު</t>
  </si>
  <si>
    <t>2012 - 2013</t>
  </si>
  <si>
    <t xml:space="preserve"> cniawfis</t>
  </si>
  <si>
    <t>cnuhuluf</t>
  </si>
  <si>
    <t xml:space="preserve"> (In million MVR)</t>
  </si>
  <si>
    <t>2013 - 2014</t>
  </si>
  <si>
    <t>Table  13.5 :  FUNCTIONAL CLASSIFICATION OF CENTRAL GOVERNMENT EXPENDITURE,2007- 2017</t>
  </si>
  <si>
    <t>2017 -2007 ,ctogWviawfiverukudwrwK cnuTejwb egurWkurws cnutogegukwtiawb WviawfiLeawDnwk cSwmugcnihudwrwK : 13.5 ulwvWt</t>
  </si>
  <si>
    <t xml:space="preserve">  Religion, Culture and Entertainment</t>
  </si>
  <si>
    <r>
      <rPr>
        <b/>
        <sz val="8"/>
        <rFont val="Faruma"/>
      </rPr>
      <t>ބެހިފައިވާ ގޮތް އިން ސައްތައިން</t>
    </r>
    <r>
      <rPr>
        <b/>
        <sz val="8"/>
        <rFont val="Arial"/>
        <family val="2"/>
      </rPr>
      <t xml:space="preserve"> % share</t>
    </r>
  </si>
  <si>
    <t>ދީނީ، ސަޤާފީ، މުނިފޫހިފިލުވުން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</si>
</sst>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9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_Randhoo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MS Sans Serif"/>
      <family val="2"/>
    </font>
    <font>
      <sz val="9"/>
      <name val="Calibri"/>
      <family val="2"/>
      <scheme val="minor"/>
    </font>
    <font>
      <sz val="9.3000000000000007"/>
      <name val="Calibri"/>
      <family val="2"/>
      <scheme val="minor"/>
    </font>
    <font>
      <b/>
      <sz val="9"/>
      <name val="A_Randhoo"/>
    </font>
    <font>
      <b/>
      <sz val="8"/>
      <name val="A_Randhoo"/>
    </font>
    <font>
      <b/>
      <sz val="8"/>
      <name val="Arial"/>
      <family val="2"/>
    </font>
    <font>
      <b/>
      <sz val="9"/>
      <name val="Calibri"/>
      <family val="2"/>
      <scheme val="minor"/>
    </font>
    <font>
      <sz val="10"/>
      <name val="Garamond"/>
      <family val="1"/>
    </font>
    <font>
      <i/>
      <sz val="9"/>
      <name val="Calibri"/>
      <family val="2"/>
      <scheme val="minor"/>
    </font>
    <font>
      <sz val="9"/>
      <name val="A_Utheem"/>
    </font>
    <font>
      <b/>
      <sz val="9"/>
      <name val="Win Ahamedey PRB"/>
      <family val="2"/>
    </font>
    <font>
      <sz val="9"/>
      <name val="Faruma"/>
    </font>
    <font>
      <b/>
      <sz val="9"/>
      <name val="A_Utheem"/>
    </font>
    <font>
      <b/>
      <sz val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auto="1"/>
      </top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40" fontId="9" fillId="0" borderId="0" applyFont="0" applyFill="0" applyBorder="0" applyAlignment="0" applyProtection="0"/>
  </cellStyleXfs>
  <cellXfs count="90">
    <xf numFmtId="0" fontId="0" fillId="0" borderId="0" xfId="0"/>
    <xf numFmtId="164" fontId="1" fillId="2" borderId="0" xfId="1" applyNumberFormat="1" applyFont="1" applyFill="1" applyAlignment="1">
      <alignment vertical="center"/>
    </xf>
    <xf numFmtId="164" fontId="3" fillId="2" borderId="0" xfId="1" applyNumberFormat="1" applyFont="1" applyFill="1" applyAlignment="1">
      <alignment vertical="center"/>
    </xf>
    <xf numFmtId="164" fontId="5" fillId="2" borderId="0" xfId="1" applyNumberFormat="1" applyFont="1" applyFill="1" applyAlignment="1">
      <alignment vertical="center"/>
    </xf>
    <xf numFmtId="164" fontId="6" fillId="2" borderId="0" xfId="1" applyNumberFormat="1" applyFont="1" applyFill="1" applyAlignment="1" applyProtection="1">
      <alignment horizontal="left" vertical="center"/>
    </xf>
    <xf numFmtId="164" fontId="7" fillId="2" borderId="0" xfId="1" applyNumberFormat="1" applyFont="1" applyFill="1" applyAlignment="1">
      <alignment vertical="center"/>
    </xf>
    <xf numFmtId="165" fontId="8" fillId="2" borderId="0" xfId="1" applyNumberFormat="1" applyFont="1" applyFill="1" applyBorder="1" applyAlignment="1" applyProtection="1">
      <alignment horizontal="right" vertical="center"/>
      <protection locked="0"/>
    </xf>
    <xf numFmtId="165" fontId="8" fillId="2" borderId="0" xfId="1" applyNumberFormat="1" applyFont="1" applyFill="1" applyBorder="1" applyAlignment="1" applyProtection="1">
      <alignment horizontal="right" vertical="center"/>
    </xf>
    <xf numFmtId="164" fontId="4" fillId="2" borderId="0" xfId="1" applyNumberFormat="1" applyFont="1" applyFill="1" applyAlignment="1">
      <alignment horizontal="right" vertical="center"/>
    </xf>
    <xf numFmtId="165" fontId="5" fillId="2" borderId="0" xfId="1" applyNumberFormat="1" applyFont="1" applyFill="1" applyAlignment="1" applyProtection="1">
      <alignment horizontal="right" vertical="center"/>
    </xf>
    <xf numFmtId="164" fontId="12" fillId="2" borderId="0" xfId="1" applyNumberFormat="1" applyFont="1" applyFill="1" applyAlignment="1">
      <alignment horizontal="right" vertical="center"/>
    </xf>
    <xf numFmtId="165" fontId="6" fillId="2" borderId="0" xfId="1" applyNumberFormat="1" applyFont="1" applyFill="1" applyBorder="1" applyAlignment="1" applyProtection="1">
      <alignment horizontal="right" vertical="center"/>
      <protection locked="0"/>
    </xf>
    <xf numFmtId="164" fontId="17" fillId="2" borderId="0" xfId="1" applyNumberFormat="1" applyFont="1" applyFill="1" applyAlignment="1" applyProtection="1">
      <alignment horizontal="left" vertical="center"/>
    </xf>
    <xf numFmtId="164" fontId="1" fillId="2" borderId="0" xfId="1" applyNumberFormat="1" applyFont="1" applyFill="1" applyAlignment="1">
      <alignment horizontal="center" vertical="center"/>
    </xf>
    <xf numFmtId="164" fontId="15" fillId="2" borderId="1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>
      <alignment vertical="center"/>
    </xf>
    <xf numFmtId="164" fontId="18" fillId="2" borderId="0" xfId="1" applyNumberFormat="1" applyFont="1" applyFill="1" applyAlignment="1">
      <alignment vertical="center" wrapText="1"/>
    </xf>
    <xf numFmtId="169" fontId="1" fillId="2" borderId="0" xfId="1" applyNumberFormat="1" applyFont="1" applyFill="1" applyAlignment="1">
      <alignment horizontal="center" vertical="center"/>
    </xf>
    <xf numFmtId="164" fontId="19" fillId="2" borderId="1" xfId="1" applyNumberFormat="1" applyFont="1" applyFill="1" applyBorder="1" applyAlignment="1">
      <alignment horizontal="right" vertical="center"/>
    </xf>
    <xf numFmtId="164" fontId="5" fillId="2" borderId="0" xfId="1" applyNumberFormat="1" applyFont="1" applyFill="1" applyBorder="1" applyAlignment="1" applyProtection="1">
      <alignment horizontal="right" vertical="center"/>
      <protection locked="0"/>
    </xf>
    <xf numFmtId="165" fontId="5" fillId="2" borderId="0" xfId="1" applyNumberFormat="1" applyFont="1" applyFill="1" applyAlignment="1" applyProtection="1">
      <alignment horizontal="right" vertical="center"/>
      <protection locked="0"/>
    </xf>
    <xf numFmtId="164" fontId="4" fillId="2" borderId="0" xfId="1" applyNumberFormat="1" applyFont="1" applyFill="1" applyAlignment="1">
      <alignment horizontal="right" vertical="center" indent="3"/>
    </xf>
    <xf numFmtId="164" fontId="20" fillId="2" borderId="1" xfId="1" applyNumberFormat="1" applyFont="1" applyFill="1" applyBorder="1" applyAlignment="1">
      <alignment horizontal="right" vertical="center"/>
    </xf>
    <xf numFmtId="164" fontId="15" fillId="2" borderId="4" xfId="1" applyNumberFormat="1" applyFont="1" applyFill="1" applyBorder="1" applyAlignment="1">
      <alignment horizontal="right" vertical="center"/>
    </xf>
    <xf numFmtId="37" fontId="10" fillId="2" borderId="0" xfId="1" applyNumberFormat="1" applyFont="1" applyFill="1" applyAlignment="1" applyProtection="1">
      <alignment horizontal="center" vertical="center"/>
    </xf>
    <xf numFmtId="169" fontId="10" fillId="2" borderId="0" xfId="1" applyNumberFormat="1" applyFont="1" applyFill="1" applyAlignment="1" applyProtection="1">
      <alignment horizontal="center" vertical="center"/>
    </xf>
    <xf numFmtId="3" fontId="6" fillId="2" borderId="0" xfId="1" applyNumberFormat="1" applyFont="1" applyFill="1" applyBorder="1" applyAlignment="1" applyProtection="1">
      <alignment horizontal="right" vertical="center"/>
    </xf>
    <xf numFmtId="3" fontId="6" fillId="2" borderId="2" xfId="1" applyNumberFormat="1" applyFont="1" applyFill="1" applyBorder="1" applyAlignment="1" applyProtection="1">
      <alignment horizontal="right" vertical="center"/>
    </xf>
    <xf numFmtId="3" fontId="6" fillId="2" borderId="0" xfId="1" applyNumberFormat="1" applyFont="1" applyFill="1" applyBorder="1" applyAlignment="1" applyProtection="1">
      <alignment horizontal="right" vertical="center"/>
      <protection locked="0"/>
    </xf>
    <xf numFmtId="164" fontId="8" fillId="2" borderId="0" xfId="1" applyNumberFormat="1" applyFont="1" applyFill="1" applyAlignment="1" applyProtection="1">
      <alignment horizontal="left" vertical="center"/>
    </xf>
    <xf numFmtId="3" fontId="8" fillId="2" borderId="0" xfId="1" applyNumberFormat="1" applyFont="1" applyFill="1" applyBorder="1" applyAlignment="1" applyProtection="1">
      <alignment horizontal="right" vertical="center"/>
      <protection locked="0"/>
    </xf>
    <xf numFmtId="3" fontId="8" fillId="2" borderId="0" xfId="1" applyNumberFormat="1" applyFont="1" applyFill="1" applyBorder="1" applyAlignment="1">
      <alignment vertical="center"/>
    </xf>
    <xf numFmtId="3" fontId="8" fillId="2" borderId="0" xfId="1" applyNumberFormat="1" applyFont="1" applyFill="1" applyBorder="1" applyAlignment="1" applyProtection="1">
      <alignment horizontal="right" vertical="center"/>
    </xf>
    <xf numFmtId="164" fontId="8" fillId="2" borderId="1" xfId="1" applyNumberFormat="1" applyFont="1" applyFill="1" applyBorder="1" applyAlignment="1" applyProtection="1">
      <alignment horizontal="left" vertical="center"/>
    </xf>
    <xf numFmtId="3" fontId="8" fillId="2" borderId="1" xfId="1" applyNumberFormat="1" applyFont="1" applyFill="1" applyBorder="1" applyAlignment="1" applyProtection="1">
      <alignment horizontal="center" vertical="center"/>
      <protection locked="0"/>
    </xf>
    <xf numFmtId="3" fontId="8" fillId="2" borderId="1" xfId="1" applyNumberFormat="1" applyFont="1" applyFill="1" applyBorder="1" applyAlignment="1" applyProtection="1">
      <alignment horizontal="right" vertical="center"/>
      <protection locked="0"/>
    </xf>
    <xf numFmtId="164" fontId="14" fillId="2" borderId="0" xfId="1" applyNumberFormat="1" applyFont="1" applyFill="1" applyBorder="1" applyAlignment="1" applyProtection="1">
      <alignment horizontal="center" vertical="center"/>
      <protection locked="0"/>
    </xf>
    <xf numFmtId="164" fontId="14" fillId="2" borderId="3" xfId="1" applyNumberFormat="1" applyFont="1" applyFill="1" applyBorder="1" applyAlignment="1" applyProtection="1">
      <alignment horizontal="center" vertical="center"/>
      <protection locked="0"/>
    </xf>
    <xf numFmtId="164" fontId="14" fillId="2" borderId="2" xfId="1" applyNumberFormat="1" applyFont="1" applyFill="1" applyBorder="1" applyAlignment="1">
      <alignment vertical="center"/>
    </xf>
    <xf numFmtId="164" fontId="13" fillId="2" borderId="0" xfId="1" applyNumberFormat="1" applyFont="1" applyFill="1" applyBorder="1" applyAlignment="1"/>
    <xf numFmtId="164" fontId="13" fillId="2" borderId="0" xfId="1" applyNumberFormat="1" applyFont="1" applyFill="1" applyBorder="1" applyAlignment="1">
      <alignment horizontal="center"/>
    </xf>
    <xf numFmtId="164" fontId="14" fillId="2" borderId="0" xfId="1" applyNumberFormat="1" applyFont="1" applyFill="1" applyBorder="1" applyAlignment="1">
      <alignment vertical="center"/>
    </xf>
    <xf numFmtId="165" fontId="6" fillId="2" borderId="2" xfId="1" applyNumberFormat="1" applyFont="1" applyFill="1" applyBorder="1" applyAlignment="1" applyProtection="1">
      <alignment horizontal="right" vertical="center"/>
    </xf>
    <xf numFmtId="165" fontId="6" fillId="2" borderId="5" xfId="1" applyNumberFormat="1" applyFont="1" applyFill="1" applyBorder="1" applyAlignment="1" applyProtection="1">
      <alignment horizontal="right" vertical="center"/>
    </xf>
    <xf numFmtId="165" fontId="6" fillId="2" borderId="3" xfId="1" applyNumberFormat="1" applyFont="1" applyFill="1" applyBorder="1" applyAlignment="1" applyProtection="1">
      <alignment horizontal="right" vertical="center"/>
      <protection locked="0"/>
    </xf>
    <xf numFmtId="165" fontId="8" fillId="2" borderId="1" xfId="1" applyNumberFormat="1" applyFont="1" applyFill="1" applyBorder="1" applyAlignment="1" applyProtection="1">
      <alignment horizontal="right" vertical="center"/>
      <protection locked="0"/>
    </xf>
    <xf numFmtId="164" fontId="14" fillId="2" borderId="14" xfId="1" applyNumberFormat="1" applyFont="1" applyFill="1" applyBorder="1" applyAlignment="1" applyProtection="1">
      <alignment horizontal="center" vertical="center"/>
      <protection locked="0"/>
    </xf>
    <xf numFmtId="164" fontId="15" fillId="2" borderId="7" xfId="1" applyNumberFormat="1" applyFont="1" applyFill="1" applyBorder="1" applyAlignment="1">
      <alignment horizontal="right" vertical="center"/>
    </xf>
    <xf numFmtId="165" fontId="6" fillId="2" borderId="8" xfId="1" applyNumberFormat="1" applyFont="1" applyFill="1" applyBorder="1" applyAlignment="1" applyProtection="1">
      <alignment horizontal="right" vertical="center"/>
    </xf>
    <xf numFmtId="165" fontId="6" fillId="2" borderId="6" xfId="1" applyNumberFormat="1" applyFont="1" applyFill="1" applyBorder="1" applyAlignment="1" applyProtection="1">
      <alignment horizontal="right" vertical="center"/>
      <protection locked="0"/>
    </xf>
    <xf numFmtId="164" fontId="12" fillId="2" borderId="0" xfId="1" applyNumberFormat="1" applyFont="1" applyFill="1" applyBorder="1" applyAlignment="1">
      <alignment horizontal="right" vertical="center"/>
    </xf>
    <xf numFmtId="165" fontId="8" fillId="2" borderId="3" xfId="1" applyNumberFormat="1" applyFont="1" applyFill="1" applyBorder="1" applyAlignment="1" applyProtection="1">
      <alignment horizontal="right" vertical="center"/>
      <protection locked="0"/>
    </xf>
    <xf numFmtId="165" fontId="8" fillId="2" borderId="6" xfId="1" applyNumberFormat="1" applyFont="1" applyFill="1" applyBorder="1" applyAlignment="1" applyProtection="1">
      <alignment horizontal="right" vertical="center"/>
      <protection locked="0"/>
    </xf>
    <xf numFmtId="165" fontId="8" fillId="2" borderId="4" xfId="1" applyNumberFormat="1" applyFont="1" applyFill="1" applyBorder="1" applyAlignment="1" applyProtection="1">
      <alignment horizontal="right" vertical="center"/>
      <protection locked="0"/>
    </xf>
    <xf numFmtId="165" fontId="8" fillId="2" borderId="7" xfId="1" applyNumberFormat="1" applyFont="1" applyFill="1" applyBorder="1" applyAlignment="1" applyProtection="1">
      <alignment horizontal="right" vertical="center"/>
      <protection locked="0"/>
    </xf>
    <xf numFmtId="164" fontId="14" fillId="2" borderId="15" xfId="1" applyNumberFormat="1" applyFont="1" applyFill="1" applyBorder="1" applyAlignment="1" applyProtection="1">
      <alignment horizontal="center" vertical="center"/>
      <protection locked="0"/>
    </xf>
    <xf numFmtId="169" fontId="6" fillId="2" borderId="0" xfId="1" applyNumberFormat="1" applyFont="1" applyFill="1" applyBorder="1" applyAlignment="1" applyProtection="1">
      <alignment horizontal="right" vertical="center"/>
      <protection locked="0"/>
    </xf>
    <xf numFmtId="169" fontId="8" fillId="2" borderId="0" xfId="1" applyNumberFormat="1" applyFont="1" applyFill="1" applyBorder="1" applyAlignment="1" applyProtection="1">
      <alignment horizontal="right" vertical="center"/>
      <protection locked="0"/>
    </xf>
    <xf numFmtId="169" fontId="8" fillId="2" borderId="1" xfId="1" applyNumberFormat="1" applyFont="1" applyFill="1" applyBorder="1" applyAlignment="1" applyProtection="1">
      <alignment horizontal="right" vertical="center"/>
      <protection locked="0"/>
    </xf>
    <xf numFmtId="169" fontId="6" fillId="2" borderId="2" xfId="1" applyNumberFormat="1" applyFont="1" applyFill="1" applyBorder="1" applyAlignment="1" applyProtection="1">
      <alignment horizontal="right" vertical="center"/>
    </xf>
    <xf numFmtId="169" fontId="6" fillId="2" borderId="8" xfId="1" applyNumberFormat="1" applyFont="1" applyFill="1" applyBorder="1" applyAlignment="1" applyProtection="1">
      <alignment horizontal="right" vertical="center"/>
    </xf>
    <xf numFmtId="169" fontId="15" fillId="2" borderId="4" xfId="1" applyNumberFormat="1" applyFont="1" applyFill="1" applyBorder="1" applyAlignment="1">
      <alignment horizontal="right" vertical="center"/>
    </xf>
    <xf numFmtId="169" fontId="15" fillId="2" borderId="1" xfId="1" applyNumberFormat="1" applyFont="1" applyFill="1" applyBorder="1" applyAlignment="1">
      <alignment horizontal="right" vertical="center"/>
    </xf>
    <xf numFmtId="41" fontId="11" fillId="2" borderId="0" xfId="2" applyNumberFormat="1" applyFont="1" applyFill="1" applyBorder="1" applyAlignment="1" applyProtection="1">
      <alignment horizontal="right" vertical="center"/>
      <protection locked="0"/>
    </xf>
    <xf numFmtId="164" fontId="20" fillId="2" borderId="0" xfId="1" applyNumberFormat="1" applyFont="1" applyFill="1" applyAlignment="1">
      <alignment horizontal="right" vertical="center"/>
    </xf>
    <xf numFmtId="164" fontId="14" fillId="2" borderId="0" xfId="1" applyNumberFormat="1" applyFont="1" applyFill="1" applyBorder="1" applyAlignment="1" applyProtection="1">
      <alignment horizontal="right" vertical="center"/>
      <protection locked="0"/>
    </xf>
    <xf numFmtId="169" fontId="6" fillId="2" borderId="0" xfId="1" applyNumberFormat="1" applyFont="1" applyFill="1" applyBorder="1" applyAlignment="1" applyProtection="1">
      <alignment horizontal="right" vertical="center" indent="3"/>
      <protection locked="0"/>
    </xf>
    <xf numFmtId="169" fontId="6" fillId="2" borderId="6" xfId="1" applyNumberFormat="1" applyFont="1" applyFill="1" applyBorder="1" applyAlignment="1" applyProtection="1">
      <alignment horizontal="right" vertical="center" indent="3"/>
      <protection locked="0"/>
    </xf>
    <xf numFmtId="169" fontId="8" fillId="2" borderId="0" xfId="1" applyNumberFormat="1" applyFont="1" applyFill="1" applyBorder="1" applyAlignment="1" applyProtection="1">
      <alignment horizontal="right" vertical="center" indent="3"/>
      <protection locked="0"/>
    </xf>
    <xf numFmtId="169" fontId="8" fillId="2" borderId="6" xfId="1" applyNumberFormat="1" applyFont="1" applyFill="1" applyBorder="1" applyAlignment="1" applyProtection="1">
      <alignment horizontal="right" vertical="center" indent="3"/>
      <protection locked="0"/>
    </xf>
    <xf numFmtId="169" fontId="6" fillId="2" borderId="3" xfId="1" applyNumberFormat="1" applyFont="1" applyFill="1" applyBorder="1" applyAlignment="1" applyProtection="1">
      <alignment horizontal="right" vertical="center" indent="3"/>
      <protection locked="0"/>
    </xf>
    <xf numFmtId="169" fontId="8" fillId="2" borderId="3" xfId="1" applyNumberFormat="1" applyFont="1" applyFill="1" applyBorder="1" applyAlignment="1" applyProtection="1">
      <alignment horizontal="right" vertical="center" indent="3"/>
      <protection locked="0"/>
    </xf>
    <xf numFmtId="169" fontId="8" fillId="2" borderId="1" xfId="1" applyNumberFormat="1" applyFont="1" applyFill="1" applyBorder="1" applyAlignment="1" applyProtection="1">
      <alignment horizontal="right" vertical="center" indent="3"/>
      <protection locked="0"/>
    </xf>
    <xf numFmtId="169" fontId="8" fillId="2" borderId="7" xfId="1" applyNumberFormat="1" applyFont="1" applyFill="1" applyBorder="1" applyAlignment="1" applyProtection="1">
      <alignment horizontal="right" vertical="center" indent="3"/>
      <protection locked="0"/>
    </xf>
    <xf numFmtId="164" fontId="2" fillId="2" borderId="0" xfId="1" applyNumberFormat="1" applyFont="1" applyFill="1" applyAlignment="1">
      <alignment horizontal="center" vertical="center"/>
    </xf>
    <xf numFmtId="164" fontId="3" fillId="2" borderId="0" xfId="1" applyNumberFormat="1" applyFont="1" applyFill="1" applyBorder="1" applyAlignment="1" applyProtection="1">
      <alignment horizontal="center" vertical="center" wrapText="1"/>
    </xf>
    <xf numFmtId="164" fontId="21" fillId="2" borderId="0" xfId="1" applyNumberFormat="1" applyFont="1" applyFill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13" fillId="2" borderId="10" xfId="1" applyNumberFormat="1" applyFont="1" applyFill="1" applyBorder="1" applyAlignment="1">
      <alignment horizontal="center" vertical="center"/>
    </xf>
    <xf numFmtId="164" fontId="13" fillId="2" borderId="9" xfId="1" applyNumberFormat="1" applyFont="1" applyFill="1" applyBorder="1" applyAlignment="1">
      <alignment horizontal="center" vertical="center"/>
    </xf>
    <xf numFmtId="164" fontId="13" fillId="2" borderId="11" xfId="1" applyNumberFormat="1" applyFont="1" applyFill="1" applyBorder="1" applyAlignment="1">
      <alignment horizontal="center" vertical="center"/>
    </xf>
    <xf numFmtId="164" fontId="15" fillId="2" borderId="2" xfId="1" applyNumberFormat="1" applyFont="1" applyFill="1" applyBorder="1" applyAlignment="1" applyProtection="1">
      <alignment horizontal="left" vertical="center"/>
    </xf>
    <xf numFmtId="164" fontId="15" fillId="2" borderId="0" xfId="1" applyNumberFormat="1" applyFont="1" applyFill="1" applyBorder="1" applyAlignment="1" applyProtection="1">
      <alignment horizontal="left" vertical="center"/>
    </xf>
    <xf numFmtId="164" fontId="15" fillId="2" borderId="1" xfId="1" applyNumberFormat="1" applyFont="1" applyFill="1" applyBorder="1" applyAlignment="1" applyProtection="1">
      <alignment horizontal="left" vertical="center"/>
    </xf>
    <xf numFmtId="164" fontId="14" fillId="2" borderId="5" xfId="1" applyNumberFormat="1" applyFont="1" applyFill="1" applyBorder="1" applyAlignment="1">
      <alignment horizontal="center" vertical="center"/>
    </xf>
    <xf numFmtId="164" fontId="14" fillId="2" borderId="2" xfId="1" applyNumberFormat="1" applyFont="1" applyFill="1" applyBorder="1" applyAlignment="1">
      <alignment horizontal="center" vertical="center"/>
    </xf>
    <xf numFmtId="169" fontId="13" fillId="2" borderId="5" xfId="1" applyNumberFormat="1" applyFont="1" applyFill="1" applyBorder="1" applyAlignment="1" applyProtection="1">
      <alignment horizontal="center" vertical="center"/>
      <protection hidden="1"/>
    </xf>
    <xf numFmtId="169" fontId="13" fillId="2" borderId="2" xfId="1" applyNumberFormat="1" applyFont="1" applyFill="1" applyBorder="1" applyAlignment="1" applyProtection="1">
      <alignment horizontal="center" vertical="center"/>
      <protection hidden="1"/>
    </xf>
    <xf numFmtId="169" fontId="14" fillId="2" borderId="12" xfId="1" applyNumberFormat="1" applyFont="1" applyFill="1" applyBorder="1" applyAlignment="1" applyProtection="1">
      <alignment horizontal="center" vertical="center"/>
      <protection locked="0"/>
    </xf>
    <xf numFmtId="169" fontId="14" fillId="2" borderId="13" xfId="1" applyNumberFormat="1" applyFont="1" applyFill="1" applyBorder="1" applyAlignment="1" applyProtection="1">
      <alignment horizontal="center" vertical="center"/>
      <protection locked="0"/>
    </xf>
  </cellXfs>
  <cellStyles count="3">
    <cellStyle name="Comma_13 Public Finance_done" xfId="2"/>
    <cellStyle name="Normal" xfId="0" builtinId="0"/>
    <cellStyle name="Normal_13 Public Finance_done" xfId="1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3" name="Text Box 658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927687</xdr:colOff>
      <xdr:row>19</xdr:row>
      <xdr:rowOff>0</xdr:rowOff>
    </xdr:to>
    <xdr:sp macro="" textlink="">
      <xdr:nvSpPr>
        <xdr:cNvPr id="4" name="Text Box 659"/>
        <xdr:cNvSpPr txBox="1">
          <a:spLocks noChangeArrowheads="1"/>
        </xdr:cNvSpPr>
      </xdr:nvSpPr>
      <xdr:spPr bwMode="auto">
        <a:xfrm>
          <a:off x="0" y="389382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927687</xdr:colOff>
      <xdr:row>22</xdr:row>
      <xdr:rowOff>0</xdr:rowOff>
    </xdr:to>
    <xdr:sp macro="" textlink="">
      <xdr:nvSpPr>
        <xdr:cNvPr id="5" name="Text Box 660"/>
        <xdr:cNvSpPr txBox="1">
          <a:spLocks noChangeArrowheads="1"/>
        </xdr:cNvSpPr>
      </xdr:nvSpPr>
      <xdr:spPr bwMode="auto">
        <a:xfrm>
          <a:off x="0" y="4259580"/>
          <a:ext cx="927687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tabSelected="1" workbookViewId="0">
      <selection activeCell="V20" sqref="V20"/>
    </sheetView>
  </sheetViews>
  <sheetFormatPr defaultColWidth="8.85546875" defaultRowHeight="12.75"/>
  <cols>
    <col min="1" max="1" width="32.7109375" style="1" customWidth="1"/>
    <col min="2" max="6" width="8.85546875" style="13" hidden="1" customWidth="1"/>
    <col min="7" max="7" width="8.85546875" style="13" customWidth="1"/>
    <col min="8" max="8" width="8.85546875" style="13"/>
    <col min="9" max="12" width="10.7109375" style="13" customWidth="1"/>
    <col min="13" max="14" width="13.28515625" style="13" customWidth="1"/>
    <col min="15" max="16" width="10.7109375" style="17" bestFit="1" customWidth="1"/>
    <col min="17" max="17" width="39" style="1" customWidth="1"/>
    <col min="18" max="16384" width="8.85546875" style="1"/>
  </cols>
  <sheetData>
    <row r="1" spans="1:18" ht="19.5">
      <c r="A1" s="74" t="s">
        <v>66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8">
      <c r="A2" s="75" t="s">
        <v>65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8" ht="14.25">
      <c r="A3" s="76" t="s">
        <v>13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16"/>
    </row>
    <row r="4" spans="1:18" s="2" customFormat="1">
      <c r="A4" s="77" t="s">
        <v>63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</row>
    <row r="5" spans="1:18" s="41" customFormat="1" ht="26.45" customHeight="1">
      <c r="A5" s="81" t="s">
        <v>0</v>
      </c>
      <c r="B5" s="38"/>
      <c r="C5" s="39"/>
      <c r="D5" s="39"/>
      <c r="E5" s="39"/>
      <c r="F5" s="39"/>
      <c r="G5" s="40"/>
      <c r="H5" s="40"/>
      <c r="I5" s="78" t="s">
        <v>4</v>
      </c>
      <c r="J5" s="79"/>
      <c r="K5" s="79"/>
      <c r="L5" s="80"/>
      <c r="M5" s="84" t="s">
        <v>68</v>
      </c>
      <c r="N5" s="85"/>
      <c r="O5" s="86" t="s">
        <v>16</v>
      </c>
      <c r="P5" s="87"/>
    </row>
    <row r="6" spans="1:18" s="15" customFormat="1" ht="15">
      <c r="A6" s="82"/>
      <c r="C6" s="19"/>
      <c r="D6" s="19"/>
      <c r="E6" s="19"/>
      <c r="F6" s="19"/>
      <c r="G6" s="36"/>
      <c r="H6" s="36" t="s">
        <v>2</v>
      </c>
      <c r="I6" s="37" t="s">
        <v>3</v>
      </c>
      <c r="J6" s="55" t="s">
        <v>5</v>
      </c>
      <c r="K6" s="36" t="s">
        <v>6</v>
      </c>
      <c r="L6" s="46" t="s">
        <v>6</v>
      </c>
      <c r="M6" s="65" t="s">
        <v>2</v>
      </c>
      <c r="N6" s="65" t="s">
        <v>3</v>
      </c>
      <c r="O6" s="88" t="s">
        <v>17</v>
      </c>
      <c r="P6" s="89"/>
      <c r="Q6" s="50" t="s">
        <v>1</v>
      </c>
    </row>
    <row r="7" spans="1:18" s="3" customFormat="1" ht="12">
      <c r="A7" s="83"/>
      <c r="B7" s="14">
        <v>2007</v>
      </c>
      <c r="C7" s="14">
        <v>2008</v>
      </c>
      <c r="D7" s="14">
        <v>2009</v>
      </c>
      <c r="E7" s="14">
        <v>2010</v>
      </c>
      <c r="F7" s="14">
        <v>2011</v>
      </c>
      <c r="G7" s="14">
        <v>2012</v>
      </c>
      <c r="H7" s="14">
        <v>2013</v>
      </c>
      <c r="I7" s="23">
        <v>2014</v>
      </c>
      <c r="J7" s="14">
        <v>2015</v>
      </c>
      <c r="K7" s="14">
        <v>2016</v>
      </c>
      <c r="L7" s="47">
        <v>2017</v>
      </c>
      <c r="M7" s="14">
        <v>2013</v>
      </c>
      <c r="N7" s="14">
        <v>2014</v>
      </c>
      <c r="O7" s="61" t="s">
        <v>60</v>
      </c>
      <c r="P7" s="62" t="s">
        <v>64</v>
      </c>
      <c r="Q7" s="18"/>
    </row>
    <row r="8" spans="1:18" s="3" customFormat="1" ht="15">
      <c r="A8" s="4" t="s">
        <v>18</v>
      </c>
      <c r="B8" s="26">
        <f t="shared" ref="B8:L8" si="0">SUM(B9,B31)</f>
        <v>8200.9</v>
      </c>
      <c r="C8" s="27">
        <f t="shared" si="0"/>
        <v>10175.996671999999</v>
      </c>
      <c r="D8" s="27">
        <f t="shared" si="0"/>
        <v>10953.434156000003</v>
      </c>
      <c r="E8" s="27">
        <f t="shared" si="0"/>
        <v>10815.062102899999</v>
      </c>
      <c r="F8" s="42">
        <f t="shared" si="0"/>
        <v>12264.741933000001</v>
      </c>
      <c r="G8" s="42">
        <f t="shared" si="0"/>
        <v>13110.002924999997</v>
      </c>
      <c r="H8" s="42">
        <f t="shared" si="0"/>
        <v>13530.77100239</v>
      </c>
      <c r="I8" s="43">
        <f t="shared" si="0"/>
        <v>16385.774964435554</v>
      </c>
      <c r="J8" s="42">
        <f t="shared" si="0"/>
        <v>22868.097446666819</v>
      </c>
      <c r="K8" s="42">
        <f t="shared" si="0"/>
        <v>23694.920478055952</v>
      </c>
      <c r="L8" s="48">
        <f t="shared" si="0"/>
        <v>22336.238545856024</v>
      </c>
      <c r="M8" s="59"/>
      <c r="N8" s="60"/>
      <c r="O8" s="56">
        <f t="shared" ref="O8:P10" si="1">+((H8/G8)-1)*100</f>
        <v>3.2095193250309961</v>
      </c>
      <c r="P8" s="56">
        <f t="shared" si="1"/>
        <v>21.100083369537927</v>
      </c>
      <c r="Q8" s="10" t="s">
        <v>19</v>
      </c>
    </row>
    <row r="9" spans="1:18" s="3" customFormat="1" ht="15">
      <c r="A9" s="4" t="s">
        <v>7</v>
      </c>
      <c r="B9" s="28">
        <f t="shared" ref="B9:L9" si="2">SUM(B10,B17,B23,B30)</f>
        <v>8325.4</v>
      </c>
      <c r="C9" s="28">
        <f t="shared" si="2"/>
        <v>10342.396671999999</v>
      </c>
      <c r="D9" s="28">
        <f t="shared" si="2"/>
        <v>11104.270489000002</v>
      </c>
      <c r="E9" s="28">
        <f t="shared" si="2"/>
        <v>10996.362102899999</v>
      </c>
      <c r="F9" s="11">
        <f t="shared" si="2"/>
        <v>12663.741933000001</v>
      </c>
      <c r="G9" s="11">
        <f t="shared" si="2"/>
        <v>13200.234560999997</v>
      </c>
      <c r="H9" s="11">
        <f t="shared" si="2"/>
        <v>13666.256009389999</v>
      </c>
      <c r="I9" s="44">
        <f t="shared" si="2"/>
        <v>16488.255191324442</v>
      </c>
      <c r="J9" s="11">
        <f t="shared" si="2"/>
        <v>22844.966155601531</v>
      </c>
      <c r="K9" s="11">
        <f t="shared" si="2"/>
        <v>23756.407063900264</v>
      </c>
      <c r="L9" s="49">
        <f t="shared" si="2"/>
        <v>22364.645839700337</v>
      </c>
      <c r="M9" s="66">
        <f>+(H9/$H$9)*100</f>
        <v>100</v>
      </c>
      <c r="N9" s="67">
        <f>+(I9/$I$9)*100</f>
        <v>100</v>
      </c>
      <c r="O9" s="56">
        <f t="shared" si="1"/>
        <v>3.5304027836509766</v>
      </c>
      <c r="P9" s="56">
        <f t="shared" si="1"/>
        <v>20.649394976908564</v>
      </c>
      <c r="Q9" s="10" t="s">
        <v>8</v>
      </c>
    </row>
    <row r="10" spans="1:18" s="3" customFormat="1" ht="15">
      <c r="A10" s="4" t="s">
        <v>20</v>
      </c>
      <c r="B10" s="28">
        <f>SUM(B11,B12,B15,B16)</f>
        <v>3050.7999999999997</v>
      </c>
      <c r="C10" s="28">
        <f t="shared" ref="C10:L10" si="3">SUM(C11,C12,C15,C16)</f>
        <v>3708.5</v>
      </c>
      <c r="D10" s="28">
        <f t="shared" si="3"/>
        <v>4216.3047380000016</v>
      </c>
      <c r="E10" s="28">
        <f t="shared" si="3"/>
        <v>4614.6055389999992</v>
      </c>
      <c r="F10" s="11">
        <f>SUM(F11,F12,F15,F16)</f>
        <v>5881.7756770000005</v>
      </c>
      <c r="G10" s="11">
        <f t="shared" si="3"/>
        <v>5914.3218849999994</v>
      </c>
      <c r="H10" s="11">
        <f t="shared" si="3"/>
        <v>5246.6271609999994</v>
      </c>
      <c r="I10" s="44">
        <f t="shared" si="3"/>
        <v>5810.3801859177765</v>
      </c>
      <c r="J10" s="11">
        <f t="shared" si="3"/>
        <v>7677.9119039999996</v>
      </c>
      <c r="K10" s="11">
        <f t="shared" ref="K10" si="4">SUM(K11,K12,K15,K16)</f>
        <v>7109.5686815999998</v>
      </c>
      <c r="L10" s="49">
        <f t="shared" si="3"/>
        <v>7001.4473474643119</v>
      </c>
      <c r="M10" s="66">
        <f>+(H10/$H$9)*100</f>
        <v>38.391108416197348</v>
      </c>
      <c r="N10" s="67">
        <f>+(I10/$I$9)*100</f>
        <v>35.239509083865954</v>
      </c>
      <c r="O10" s="56">
        <f t="shared" si="1"/>
        <v>-11.289455274550042</v>
      </c>
      <c r="P10" s="56">
        <f t="shared" si="1"/>
        <v>10.745055968686867</v>
      </c>
      <c r="Q10" s="10" t="s">
        <v>21</v>
      </c>
    </row>
    <row r="11" spans="1:18" s="5" customFormat="1" ht="15">
      <c r="A11" s="29" t="s">
        <v>22</v>
      </c>
      <c r="B11" s="30">
        <v>1607.3</v>
      </c>
      <c r="C11" s="30">
        <v>2043.9</v>
      </c>
      <c r="D11" s="30">
        <v>2197.6652670000008</v>
      </c>
      <c r="E11" s="30">
        <v>2684.2828549999995</v>
      </c>
      <c r="F11" s="6">
        <v>3414.360107</v>
      </c>
      <c r="G11" s="6">
        <v>3431.8828060000001</v>
      </c>
      <c r="H11" s="6">
        <v>2539.0598371399997</v>
      </c>
      <c r="I11" s="51">
        <v>2837.1548233377757</v>
      </c>
      <c r="J11" s="6">
        <v>3272.134638</v>
      </c>
      <c r="K11" s="6">
        <v>2608.1183916</v>
      </c>
      <c r="L11" s="52">
        <v>2566.8487314643121</v>
      </c>
      <c r="M11" s="68">
        <f t="shared" ref="M11:M31" si="5">+(H11/$H$9)*100</f>
        <v>18.579044878095562</v>
      </c>
      <c r="N11" s="69">
        <f>+(I11/$I$9)*100</f>
        <v>17.207125862720694</v>
      </c>
      <c r="O11" s="57">
        <f>+((H11/G11)-1)*100</f>
        <v>-26.01554363392211</v>
      </c>
      <c r="P11" s="57">
        <f t="shared" ref="O11:P31" si="6">+((I11/H11)-1)*100</f>
        <v>11.740368692277482</v>
      </c>
      <c r="Q11" s="8" t="s">
        <v>23</v>
      </c>
    </row>
    <row r="12" spans="1:18" s="5" customFormat="1" ht="15">
      <c r="A12" s="29" t="s">
        <v>24</v>
      </c>
      <c r="B12" s="30">
        <v>475.70000000000005</v>
      </c>
      <c r="C12" s="30">
        <v>586.4</v>
      </c>
      <c r="D12" s="30">
        <v>752.52470600000004</v>
      </c>
      <c r="E12" s="30">
        <v>669.42846799999995</v>
      </c>
      <c r="F12" s="11">
        <f>SUM(F13:F14)</f>
        <v>910.58722000000012</v>
      </c>
      <c r="G12" s="11">
        <f t="shared" ref="G12:L12" si="7">SUM(G13:G14)</f>
        <v>812.66227900000001</v>
      </c>
      <c r="H12" s="11">
        <f t="shared" si="7"/>
        <v>796.60127067999997</v>
      </c>
      <c r="I12" s="44">
        <f t="shared" si="7"/>
        <v>897.90788121777757</v>
      </c>
      <c r="J12" s="11">
        <f t="shared" si="7"/>
        <v>1042.0146649999999</v>
      </c>
      <c r="K12" s="11">
        <f t="shared" si="7"/>
        <v>952.49704499999996</v>
      </c>
      <c r="L12" s="11">
        <f t="shared" si="7"/>
        <v>951.59809000000007</v>
      </c>
      <c r="M12" s="70">
        <f t="shared" si="5"/>
        <v>5.8289649347462849</v>
      </c>
      <c r="N12" s="67">
        <f>+(I12/$I$9)*100</f>
        <v>5.4457422619843125</v>
      </c>
      <c r="O12" s="56">
        <f t="shared" si="6"/>
        <v>-1.976344754153414</v>
      </c>
      <c r="P12" s="56">
        <f>+((I12/H12)-1)*100</f>
        <v>12.717354875833875</v>
      </c>
      <c r="Q12" s="8" t="s">
        <v>25</v>
      </c>
    </row>
    <row r="13" spans="1:18" s="5" customFormat="1" ht="15">
      <c r="A13" s="29" t="s">
        <v>26</v>
      </c>
      <c r="B13" s="30">
        <v>0</v>
      </c>
      <c r="C13" s="30">
        <v>0</v>
      </c>
      <c r="D13" s="30">
        <v>0</v>
      </c>
      <c r="E13" s="30">
        <v>0</v>
      </c>
      <c r="F13" s="6">
        <v>777.54432100000008</v>
      </c>
      <c r="G13" s="6">
        <v>800.809574</v>
      </c>
      <c r="H13" s="6">
        <v>787.97938867999994</v>
      </c>
      <c r="I13" s="51">
        <v>889.61008899555532</v>
      </c>
      <c r="J13" s="6">
        <v>1036.2845649999999</v>
      </c>
      <c r="K13" s="6">
        <v>946.87163099999998</v>
      </c>
      <c r="L13" s="52">
        <v>945.83869500000003</v>
      </c>
      <c r="M13" s="68">
        <f>+(H13/$G$9)*100</f>
        <v>5.9694347478345549</v>
      </c>
      <c r="N13" s="69">
        <f t="shared" ref="N13:N33" si="8">+(I13/$I$9)*100</f>
        <v>5.3954167901503478</v>
      </c>
      <c r="O13" s="57">
        <f t="shared" si="6"/>
        <v>-1.6021518394084611</v>
      </c>
      <c r="P13" s="57">
        <f t="shared" si="6"/>
        <v>12.897634351300002</v>
      </c>
      <c r="Q13" s="21" t="s">
        <v>61</v>
      </c>
    </row>
    <row r="14" spans="1:18" s="5" customFormat="1" ht="15">
      <c r="A14" s="29" t="s">
        <v>27</v>
      </c>
      <c r="B14" s="30">
        <v>0</v>
      </c>
      <c r="C14" s="30">
        <v>0</v>
      </c>
      <c r="D14" s="30">
        <v>0</v>
      </c>
      <c r="E14" s="30">
        <v>0</v>
      </c>
      <c r="F14" s="6">
        <v>133.04289900000001</v>
      </c>
      <c r="G14" s="6">
        <v>11.852705</v>
      </c>
      <c r="H14" s="6">
        <v>8.6218819999999994</v>
      </c>
      <c r="I14" s="51">
        <v>8.2977922222222222</v>
      </c>
      <c r="J14" s="6">
        <v>5.7301000000000002</v>
      </c>
      <c r="K14" s="6">
        <v>5.6254140000000001</v>
      </c>
      <c r="L14" s="52">
        <v>5.7593950000000005</v>
      </c>
      <c r="M14" s="68">
        <f>+(H14/$G$9)*100</f>
        <v>6.5316127226051651E-2</v>
      </c>
      <c r="N14" s="69">
        <f t="shared" si="8"/>
        <v>5.0325471833964804E-2</v>
      </c>
      <c r="O14" s="57">
        <f>+((H14/G14)-1)*100</f>
        <v>-27.25810690471079</v>
      </c>
      <c r="P14" s="57">
        <f>+((I14/H14)-1)*100</f>
        <v>-3.758921518269176</v>
      </c>
      <c r="Q14" s="21" t="s">
        <v>62</v>
      </c>
    </row>
    <row r="15" spans="1:18" s="5" customFormat="1" ht="15">
      <c r="A15" s="29" t="s">
        <v>28</v>
      </c>
      <c r="B15" s="30">
        <v>825.69999999999993</v>
      </c>
      <c r="C15" s="31">
        <v>982.5</v>
      </c>
      <c r="D15" s="30">
        <v>1170.997198</v>
      </c>
      <c r="E15" s="30">
        <v>1192.3427610000001</v>
      </c>
      <c r="F15" s="6">
        <v>1364.5149330000002</v>
      </c>
      <c r="G15" s="6">
        <v>1525.6040499999999</v>
      </c>
      <c r="H15" s="6">
        <v>1725.97350061</v>
      </c>
      <c r="I15" s="51">
        <v>1863.0182802355557</v>
      </c>
      <c r="J15" s="6">
        <v>2333.4038150000001</v>
      </c>
      <c r="K15" s="6">
        <v>2422.7320920000002</v>
      </c>
      <c r="L15" s="52">
        <v>2439.4171700000002</v>
      </c>
      <c r="M15" s="68">
        <f t="shared" si="5"/>
        <v>12.629453885717451</v>
      </c>
      <c r="N15" s="69">
        <f t="shared" si="8"/>
        <v>11.2990626274138</v>
      </c>
      <c r="O15" s="57">
        <f t="shared" si="6"/>
        <v>13.133778099894267</v>
      </c>
      <c r="P15" s="57">
        <f t="shared" si="6"/>
        <v>7.9401439000726715</v>
      </c>
      <c r="Q15" s="8" t="s">
        <v>29</v>
      </c>
    </row>
    <row r="16" spans="1:18" s="5" customFormat="1" ht="15">
      <c r="A16" s="29" t="s">
        <v>30</v>
      </c>
      <c r="B16" s="30">
        <v>142.1</v>
      </c>
      <c r="C16" s="30">
        <v>95.7</v>
      </c>
      <c r="D16" s="30">
        <v>95.117567000000008</v>
      </c>
      <c r="E16" s="30">
        <v>68.551455000000004</v>
      </c>
      <c r="F16" s="6">
        <v>192.31341699999999</v>
      </c>
      <c r="G16" s="6">
        <v>144.17275000000001</v>
      </c>
      <c r="H16" s="6">
        <v>184.99255256999999</v>
      </c>
      <c r="I16" s="51">
        <v>212.29920112666665</v>
      </c>
      <c r="J16" s="6">
        <v>1030.358786</v>
      </c>
      <c r="K16" s="6">
        <v>1126.221153</v>
      </c>
      <c r="L16" s="6">
        <v>1043.5833560000001</v>
      </c>
      <c r="M16" s="71">
        <f t="shared" si="5"/>
        <v>1.3536447176380477</v>
      </c>
      <c r="N16" s="69">
        <f t="shared" si="8"/>
        <v>1.287578331747141</v>
      </c>
      <c r="O16" s="57">
        <f t="shared" si="6"/>
        <v>28.313119205952564</v>
      </c>
      <c r="P16" s="57">
        <f t="shared" si="6"/>
        <v>14.760944793349996</v>
      </c>
      <c r="Q16" s="8" t="s">
        <v>31</v>
      </c>
    </row>
    <row r="17" spans="1:17" s="3" customFormat="1" ht="15">
      <c r="A17" s="4" t="s">
        <v>32</v>
      </c>
      <c r="B17" s="28">
        <f>SUM(B18:B21)</f>
        <v>4444.1000000000004</v>
      </c>
      <c r="C17" s="28">
        <f>SUM(C18:C21)</f>
        <v>5122.8</v>
      </c>
      <c r="D17" s="28">
        <f>SUM(D18:D21)</f>
        <v>5432.5708530000002</v>
      </c>
      <c r="E17" s="28">
        <f>SUM(E18:E21)</f>
        <v>5279.2611290000004</v>
      </c>
      <c r="F17" s="11">
        <f>SUM(F18:F22)</f>
        <v>4927.7102970000005</v>
      </c>
      <c r="G17" s="11">
        <f t="shared" ref="G17:L17" si="9">SUM(G18:G22)</f>
        <v>5307.4933679999995</v>
      </c>
      <c r="H17" s="11">
        <f t="shared" si="9"/>
        <v>6639.8532862999991</v>
      </c>
      <c r="I17" s="44">
        <f t="shared" si="9"/>
        <v>7767.8017230166661</v>
      </c>
      <c r="J17" s="11">
        <f t="shared" si="9"/>
        <v>9824.9601476033295</v>
      </c>
      <c r="K17" s="11">
        <f t="shared" si="9"/>
        <v>9964.9343741533303</v>
      </c>
      <c r="L17" s="11">
        <f t="shared" si="9"/>
        <v>9459.0246376731302</v>
      </c>
      <c r="M17" s="70">
        <f t="shared" si="5"/>
        <v>48.585752248002649</v>
      </c>
      <c r="N17" s="67">
        <f t="shared" si="8"/>
        <v>47.111120205756023</v>
      </c>
      <c r="O17" s="56">
        <f t="shared" si="6"/>
        <v>25.103374152723013</v>
      </c>
      <c r="P17" s="56">
        <f t="shared" si="6"/>
        <v>16.987550599106793</v>
      </c>
      <c r="Q17" s="10" t="s">
        <v>33</v>
      </c>
    </row>
    <row r="18" spans="1:17" s="5" customFormat="1" ht="15">
      <c r="A18" s="29" t="s">
        <v>34</v>
      </c>
      <c r="B18" s="30">
        <v>1313.8000000000002</v>
      </c>
      <c r="C18" s="30">
        <v>1630.5</v>
      </c>
      <c r="D18" s="30">
        <v>1935.0878400000001</v>
      </c>
      <c r="E18" s="30">
        <v>1643.137213</v>
      </c>
      <c r="F18" s="6">
        <v>1796.661055</v>
      </c>
      <c r="G18" s="6">
        <v>2203.168764</v>
      </c>
      <c r="H18" s="6">
        <v>2002.2797697200001</v>
      </c>
      <c r="I18" s="51">
        <v>2186.0913106844441</v>
      </c>
      <c r="J18" s="6">
        <v>2932.56930255</v>
      </c>
      <c r="K18" s="6">
        <v>2953.9494305499998</v>
      </c>
      <c r="L18" s="6">
        <v>2868.7251766198001</v>
      </c>
      <c r="M18" s="71">
        <f t="shared" si="5"/>
        <v>14.651267825981353</v>
      </c>
      <c r="N18" s="69">
        <f t="shared" si="8"/>
        <v>13.25847571691328</v>
      </c>
      <c r="O18" s="57">
        <f t="shared" si="6"/>
        <v>-9.11818456954121</v>
      </c>
      <c r="P18" s="57">
        <f t="shared" si="6"/>
        <v>9.1801127766550028</v>
      </c>
      <c r="Q18" s="8" t="s">
        <v>35</v>
      </c>
    </row>
    <row r="19" spans="1:17" s="5" customFormat="1" ht="15">
      <c r="A19" s="29" t="s">
        <v>36</v>
      </c>
      <c r="B19" s="30">
        <v>782.19999999999993</v>
      </c>
      <c r="C19" s="30">
        <v>1326.4</v>
      </c>
      <c r="D19" s="30">
        <v>1396.1558639999998</v>
      </c>
      <c r="E19" s="30">
        <v>990.87232799999992</v>
      </c>
      <c r="F19" s="6">
        <v>368.31382600000001</v>
      </c>
      <c r="G19" s="6">
        <v>296.66393599999998</v>
      </c>
      <c r="H19" s="6">
        <v>1391.70545487</v>
      </c>
      <c r="I19" s="51">
        <v>1758.8003442388888</v>
      </c>
      <c r="J19" s="6">
        <v>2146.6520860000001</v>
      </c>
      <c r="K19" s="6">
        <v>1990.7132200000001</v>
      </c>
      <c r="L19" s="6">
        <v>1955.04558</v>
      </c>
      <c r="M19" s="71">
        <f t="shared" si="5"/>
        <v>10.183516640649552</v>
      </c>
      <c r="N19" s="69">
        <f t="shared" si="8"/>
        <v>10.666988858616827</v>
      </c>
      <c r="O19" s="57">
        <f t="shared" si="6"/>
        <v>369.1185162695341</v>
      </c>
      <c r="P19" s="57">
        <f t="shared" si="6"/>
        <v>26.377340699809171</v>
      </c>
      <c r="Q19" s="8" t="s">
        <v>37</v>
      </c>
    </row>
    <row r="20" spans="1:17" s="5" customFormat="1" ht="15">
      <c r="A20" s="29" t="s">
        <v>38</v>
      </c>
      <c r="B20" s="30">
        <v>235.5</v>
      </c>
      <c r="C20" s="30">
        <v>640.6</v>
      </c>
      <c r="D20" s="30">
        <v>464.54098499999998</v>
      </c>
      <c r="E20" s="30">
        <v>578.16290700000002</v>
      </c>
      <c r="F20" s="6">
        <v>1135.3461150000001</v>
      </c>
      <c r="G20" s="6">
        <v>1578.1540559999999</v>
      </c>
      <c r="H20" s="6">
        <v>1959.2764668599998</v>
      </c>
      <c r="I20" s="51">
        <v>3159.2217626444444</v>
      </c>
      <c r="J20" s="6">
        <v>3170.3194830533298</v>
      </c>
      <c r="K20" s="6">
        <v>3146.93547305333</v>
      </c>
      <c r="L20" s="6">
        <v>3273.6233000533298</v>
      </c>
      <c r="M20" s="71">
        <f t="shared" si="5"/>
        <v>14.336600057205084</v>
      </c>
      <c r="N20" s="69">
        <f t="shared" si="8"/>
        <v>19.160437086798119</v>
      </c>
      <c r="O20" s="57">
        <f t="shared" si="6"/>
        <v>24.149886344175762</v>
      </c>
      <c r="P20" s="57">
        <f t="shared" si="6"/>
        <v>61.244307073596204</v>
      </c>
      <c r="Q20" s="8" t="s">
        <v>39</v>
      </c>
    </row>
    <row r="21" spans="1:17" s="5" customFormat="1" ht="15">
      <c r="A21" s="29" t="s">
        <v>40</v>
      </c>
      <c r="B21" s="30">
        <v>2112.6</v>
      </c>
      <c r="C21" s="30">
        <v>1525.3000000000002</v>
      </c>
      <c r="D21" s="30">
        <v>1636.7861640000001</v>
      </c>
      <c r="E21" s="30">
        <v>2067.0886810000002</v>
      </c>
      <c r="F21" s="6">
        <v>1627.3893010000002</v>
      </c>
      <c r="G21" s="6">
        <v>1229.5066119999999</v>
      </c>
      <c r="H21" s="6">
        <v>979.91802029999997</v>
      </c>
      <c r="I21" s="51">
        <v>188.06711222222219</v>
      </c>
      <c r="J21" s="6">
        <v>910.66421600000001</v>
      </c>
      <c r="K21" s="6">
        <v>1163.799992</v>
      </c>
      <c r="L21" s="6">
        <v>939.81123200000002</v>
      </c>
      <c r="M21" s="71">
        <f>+(H21/$H$9)*100</f>
        <v>7.1703473111194782</v>
      </c>
      <c r="N21" s="69">
        <f>+(I21/$I$9)*100</f>
        <v>1.1406125756785757</v>
      </c>
      <c r="O21" s="57">
        <f>+((H21/G21)-1)*100</f>
        <v>-20.299898289607565</v>
      </c>
      <c r="P21" s="57">
        <f>+((I21/H21)-1)*100</f>
        <v>-80.807872870360541</v>
      </c>
      <c r="Q21" s="8" t="s">
        <v>41</v>
      </c>
    </row>
    <row r="22" spans="1:17" s="5" customFormat="1" ht="17.25">
      <c r="A22" s="29" t="s">
        <v>67</v>
      </c>
      <c r="B22" s="30"/>
      <c r="C22" s="30"/>
      <c r="D22" s="30"/>
      <c r="E22" s="30"/>
      <c r="F22" s="6"/>
      <c r="G22" s="63">
        <v>0</v>
      </c>
      <c r="H22" s="6">
        <v>306.67357454999978</v>
      </c>
      <c r="I22" s="51">
        <v>475.62119322666661</v>
      </c>
      <c r="J22" s="6">
        <v>664.75505999999996</v>
      </c>
      <c r="K22" s="6">
        <v>709.53625854999996</v>
      </c>
      <c r="L22" s="52">
        <v>421.81934899999999</v>
      </c>
      <c r="M22" s="71">
        <f>+(H22/$H$9)*100</f>
        <v>2.2440204130471892</v>
      </c>
      <c r="N22" s="69">
        <f>+(I22/$I$9)*100</f>
        <v>2.8846059677492271</v>
      </c>
      <c r="O22" s="63">
        <v>0</v>
      </c>
      <c r="P22" s="57">
        <f>+((I22/H22)-1)*100</f>
        <v>55.090373836276441</v>
      </c>
      <c r="Q22" s="64" t="s">
        <v>69</v>
      </c>
    </row>
    <row r="23" spans="1:17" s="3" customFormat="1" ht="15">
      <c r="A23" s="4" t="s">
        <v>42</v>
      </c>
      <c r="B23" s="28">
        <f t="shared" ref="B23:L23" si="10">SUM(B24:B29)</f>
        <v>596.20000000000005</v>
      </c>
      <c r="C23" s="28">
        <f t="shared" si="10"/>
        <v>1231.0999999999999</v>
      </c>
      <c r="D23" s="28">
        <f t="shared" si="10"/>
        <v>837.51612</v>
      </c>
      <c r="E23" s="28">
        <f t="shared" si="10"/>
        <v>440.44009790000001</v>
      </c>
      <c r="F23" s="11">
        <f t="shared" si="10"/>
        <v>1128.4559589999999</v>
      </c>
      <c r="G23" s="11">
        <f t="shared" si="10"/>
        <v>871.33807899999999</v>
      </c>
      <c r="H23" s="11">
        <f t="shared" si="10"/>
        <v>823.04936508999992</v>
      </c>
      <c r="I23" s="44">
        <f t="shared" si="10"/>
        <v>2070.0765692788891</v>
      </c>
      <c r="J23" s="11">
        <f t="shared" si="10"/>
        <v>3963.36285</v>
      </c>
      <c r="K23" s="11">
        <f t="shared" ref="K23" si="11">SUM(K24:K29)</f>
        <v>4919.8581390000008</v>
      </c>
      <c r="L23" s="49">
        <f t="shared" si="10"/>
        <v>4630.216299499999</v>
      </c>
      <c r="M23" s="66">
        <f t="shared" si="5"/>
        <v>6.0224933919318344</v>
      </c>
      <c r="N23" s="67">
        <f t="shared" si="8"/>
        <v>12.554855230334455</v>
      </c>
      <c r="O23" s="56">
        <f t="shared" si="6"/>
        <v>-5.5419033178739419</v>
      </c>
      <c r="P23" s="56">
        <f t="shared" si="6"/>
        <v>151.51305098844557</v>
      </c>
      <c r="Q23" s="10" t="s">
        <v>43</v>
      </c>
    </row>
    <row r="24" spans="1:17" s="5" customFormat="1" ht="15">
      <c r="A24" s="29" t="s">
        <v>44</v>
      </c>
      <c r="B24" s="30">
        <v>179.9</v>
      </c>
      <c r="C24" s="30">
        <v>159.79999999999998</v>
      </c>
      <c r="D24" s="30">
        <v>58.986502000000002</v>
      </c>
      <c r="E24" s="30">
        <v>146.70229599999999</v>
      </c>
      <c r="F24" s="6">
        <v>93.345458000000008</v>
      </c>
      <c r="G24" s="6">
        <v>70.257467000000005</v>
      </c>
      <c r="H24" s="6">
        <v>70.500645059999997</v>
      </c>
      <c r="I24" s="51">
        <v>89.042788919999992</v>
      </c>
      <c r="J24" s="6">
        <v>234.76894699999997</v>
      </c>
      <c r="K24" s="6">
        <v>181.212211</v>
      </c>
      <c r="L24" s="52">
        <v>180.82562249999998</v>
      </c>
      <c r="M24" s="68">
        <f t="shared" si="5"/>
        <v>0.51587387951432673</v>
      </c>
      <c r="N24" s="69">
        <f t="shared" si="8"/>
        <v>0.5400376685511955</v>
      </c>
      <c r="O24" s="57">
        <f>+((H24/G24)-1)*100</f>
        <v>0.34612414933774538</v>
      </c>
      <c r="P24" s="57">
        <f>+((I24/H24)-1)*100</f>
        <v>26.30067263103706</v>
      </c>
      <c r="Q24" s="8" t="s">
        <v>45</v>
      </c>
    </row>
    <row r="25" spans="1:17" s="5" customFormat="1" ht="15">
      <c r="A25" s="29" t="s">
        <v>46</v>
      </c>
      <c r="B25" s="30">
        <v>172.2</v>
      </c>
      <c r="C25" s="30">
        <v>837.8</v>
      </c>
      <c r="D25" s="30">
        <v>106.089237</v>
      </c>
      <c r="E25" s="30">
        <v>120.04688899999999</v>
      </c>
      <c r="F25" s="6">
        <v>471.08129199999996</v>
      </c>
      <c r="G25" s="6">
        <v>607.73237199999994</v>
      </c>
      <c r="H25" s="6">
        <v>404.45810542000004</v>
      </c>
      <c r="I25" s="51">
        <v>1588.0582606755559</v>
      </c>
      <c r="J25" s="6">
        <v>2877.7351349999999</v>
      </c>
      <c r="K25" s="6">
        <v>3830.7198450000001</v>
      </c>
      <c r="L25" s="52">
        <v>3597.5615979999998</v>
      </c>
      <c r="M25" s="68">
        <f t="shared" si="5"/>
        <v>2.9595384803423808</v>
      </c>
      <c r="N25" s="69">
        <f t="shared" si="8"/>
        <v>9.6314512496818825</v>
      </c>
      <c r="O25" s="57">
        <f t="shared" si="6"/>
        <v>-33.44799058688286</v>
      </c>
      <c r="P25" s="57">
        <f t="shared" si="6"/>
        <v>292.63850554471492</v>
      </c>
      <c r="Q25" s="8" t="s">
        <v>47</v>
      </c>
    </row>
    <row r="26" spans="1:17" s="5" customFormat="1" ht="15">
      <c r="A26" s="29" t="s">
        <v>48</v>
      </c>
      <c r="B26" s="30">
        <v>88.9</v>
      </c>
      <c r="C26" s="30">
        <v>35.700000000000003</v>
      </c>
      <c r="D26" s="30">
        <v>62.029623999999998</v>
      </c>
      <c r="E26" s="30">
        <v>43.271078000000003</v>
      </c>
      <c r="F26" s="6">
        <v>59.675843</v>
      </c>
      <c r="G26" s="6">
        <v>66.77496099999999</v>
      </c>
      <c r="H26" s="6">
        <v>31.982870659999989</v>
      </c>
      <c r="I26" s="51">
        <v>58.199749715555555</v>
      </c>
      <c r="J26" s="6">
        <v>78.715172999999993</v>
      </c>
      <c r="K26" s="6">
        <v>67.059368000000006</v>
      </c>
      <c r="L26" s="52">
        <v>61.126096000000004</v>
      </c>
      <c r="M26" s="68">
        <f t="shared" si="5"/>
        <v>0.23402803692558338</v>
      </c>
      <c r="N26" s="69">
        <f t="shared" si="8"/>
        <v>0.35297700721043113</v>
      </c>
      <c r="O26" s="57">
        <f t="shared" si="6"/>
        <v>-52.103497806610477</v>
      </c>
      <c r="P26" s="57">
        <f t="shared" si="6"/>
        <v>81.971625793879184</v>
      </c>
      <c r="Q26" s="8" t="s">
        <v>49</v>
      </c>
    </row>
    <row r="27" spans="1:17" s="3" customFormat="1" ht="15">
      <c r="A27" s="29" t="s">
        <v>50</v>
      </c>
      <c r="B27" s="30">
        <v>108.2</v>
      </c>
      <c r="C27" s="30">
        <v>93.3</v>
      </c>
      <c r="D27" s="30">
        <v>78.466514000000004</v>
      </c>
      <c r="E27" s="30">
        <v>46.860301</v>
      </c>
      <c r="F27" s="6">
        <v>33.749803</v>
      </c>
      <c r="G27" s="6">
        <v>52.519985999999996</v>
      </c>
      <c r="H27" s="6">
        <v>33.124519409999998</v>
      </c>
      <c r="I27" s="51">
        <v>52.806656635555555</v>
      </c>
      <c r="J27" s="6">
        <v>101.239501</v>
      </c>
      <c r="K27" s="6">
        <v>158.721564</v>
      </c>
      <c r="L27" s="52">
        <v>158.73398900000001</v>
      </c>
      <c r="M27" s="68">
        <f t="shared" si="5"/>
        <v>0.24238181537972323</v>
      </c>
      <c r="N27" s="69">
        <f t="shared" si="8"/>
        <v>0.3202683123399292</v>
      </c>
      <c r="O27" s="57">
        <f t="shared" si="6"/>
        <v>-36.929687281333244</v>
      </c>
      <c r="P27" s="57">
        <f t="shared" si="6"/>
        <v>59.418634824370287</v>
      </c>
      <c r="Q27" s="8" t="s">
        <v>51</v>
      </c>
    </row>
    <row r="28" spans="1:17" s="3" customFormat="1" ht="15">
      <c r="A28" s="29" t="s">
        <v>52</v>
      </c>
      <c r="B28" s="30">
        <v>42.8</v>
      </c>
      <c r="C28" s="30">
        <v>92.3</v>
      </c>
      <c r="D28" s="30">
        <v>505.93436100000002</v>
      </c>
      <c r="E28" s="30">
        <v>52.495815900000004</v>
      </c>
      <c r="F28" s="6">
        <v>80.384180000000001</v>
      </c>
      <c r="G28" s="6">
        <v>54.566487000000002</v>
      </c>
      <c r="H28" s="6">
        <v>168.21187463999996</v>
      </c>
      <c r="I28" s="51">
        <v>162.82781599888892</v>
      </c>
      <c r="J28" s="6">
        <v>326.38645099999997</v>
      </c>
      <c r="K28" s="6">
        <v>357.87274400000001</v>
      </c>
      <c r="L28" s="52">
        <v>245.59036799999998</v>
      </c>
      <c r="M28" s="68">
        <f t="shared" si="5"/>
        <v>1.2308555797902705</v>
      </c>
      <c r="N28" s="69">
        <f t="shared" si="8"/>
        <v>0.98753818466227627</v>
      </c>
      <c r="O28" s="57">
        <f t="shared" si="6"/>
        <v>208.26956963529639</v>
      </c>
      <c r="P28" s="57">
        <f t="shared" si="6"/>
        <v>-3.2007601440943279</v>
      </c>
      <c r="Q28" s="8" t="s">
        <v>53</v>
      </c>
    </row>
    <row r="29" spans="1:17" s="5" customFormat="1" ht="15">
      <c r="A29" s="29" t="s">
        <v>54</v>
      </c>
      <c r="B29" s="30">
        <v>4.2</v>
      </c>
      <c r="C29" s="30">
        <v>12.2</v>
      </c>
      <c r="D29" s="30">
        <v>26.009882000000001</v>
      </c>
      <c r="E29" s="30">
        <v>31.063718000000001</v>
      </c>
      <c r="F29" s="6">
        <v>390.21938299999999</v>
      </c>
      <c r="G29" s="6">
        <v>19.486806000000001</v>
      </c>
      <c r="H29" s="6">
        <v>114.7713499</v>
      </c>
      <c r="I29" s="51">
        <v>119.14129733333333</v>
      </c>
      <c r="J29" s="6">
        <v>344.51764299999996</v>
      </c>
      <c r="K29" s="6">
        <v>324.27240700000004</v>
      </c>
      <c r="L29" s="52">
        <v>386.378626</v>
      </c>
      <c r="M29" s="68">
        <f t="shared" si="5"/>
        <v>0.83981559997955058</v>
      </c>
      <c r="N29" s="69">
        <f t="shared" si="8"/>
        <v>0.72258280788874141</v>
      </c>
      <c r="O29" s="57">
        <f>+((H29/G29)-1)*100</f>
        <v>488.96953097393174</v>
      </c>
      <c r="P29" s="57">
        <f>+((I29/H29)-1)*100</f>
        <v>3.8075246454283729</v>
      </c>
      <c r="Q29" s="8" t="s">
        <v>55</v>
      </c>
    </row>
    <row r="30" spans="1:17" s="3" customFormat="1" ht="15">
      <c r="A30" s="4" t="s">
        <v>56</v>
      </c>
      <c r="B30" s="28">
        <v>234.3</v>
      </c>
      <c r="C30" s="28">
        <v>279.99667199999999</v>
      </c>
      <c r="D30" s="28">
        <v>617.87877800000001</v>
      </c>
      <c r="E30" s="28">
        <v>662.05533700000001</v>
      </c>
      <c r="F30" s="11">
        <v>725.8</v>
      </c>
      <c r="G30" s="11">
        <v>1107.0812289999999</v>
      </c>
      <c r="H30" s="11">
        <v>956.72619699999996</v>
      </c>
      <c r="I30" s="44">
        <v>839.99671311111115</v>
      </c>
      <c r="J30" s="11">
        <v>1378.7312539981999</v>
      </c>
      <c r="K30" s="11">
        <v>1762.045869146933</v>
      </c>
      <c r="L30" s="49">
        <v>1273.9575550628945</v>
      </c>
      <c r="M30" s="66">
        <f t="shared" si="5"/>
        <v>7.0006459438681627</v>
      </c>
      <c r="N30" s="67">
        <f t="shared" si="8"/>
        <v>5.0945154800435688</v>
      </c>
      <c r="O30" s="56">
        <f t="shared" si="6"/>
        <v>-13.581210489478901</v>
      </c>
      <c r="P30" s="56">
        <f t="shared" si="6"/>
        <v>-12.200928986257164</v>
      </c>
      <c r="Q30" s="10" t="s">
        <v>57</v>
      </c>
    </row>
    <row r="31" spans="1:17" s="3" customFormat="1" ht="15">
      <c r="A31" s="4" t="s">
        <v>9</v>
      </c>
      <c r="B31" s="28">
        <v>-124.5</v>
      </c>
      <c r="C31" s="28">
        <v>-166.4</v>
      </c>
      <c r="D31" s="28">
        <v>-150.836333</v>
      </c>
      <c r="E31" s="28">
        <v>-181.3</v>
      </c>
      <c r="F31" s="11">
        <v>-399</v>
      </c>
      <c r="G31" s="11">
        <v>-90.231635999999995</v>
      </c>
      <c r="H31" s="11">
        <v>-135.485007</v>
      </c>
      <c r="I31" s="44">
        <v>-102.48022688888889</v>
      </c>
      <c r="J31" s="11">
        <v>23.131291065288011</v>
      </c>
      <c r="K31" s="11">
        <v>-61.486585844311989</v>
      </c>
      <c r="L31" s="49">
        <v>-28.407293844311994</v>
      </c>
      <c r="M31" s="66">
        <f t="shared" si="5"/>
        <v>-0.9913834989400836</v>
      </c>
      <c r="N31" s="67">
        <f t="shared" si="8"/>
        <v>-0.62153469666584549</v>
      </c>
      <c r="O31" s="56">
        <f t="shared" si="6"/>
        <v>50.152444315650001</v>
      </c>
      <c r="P31" s="56">
        <f t="shared" si="6"/>
        <v>-24.360466771877643</v>
      </c>
      <c r="Q31" s="10" t="s">
        <v>10</v>
      </c>
    </row>
    <row r="32" spans="1:17" s="5" customFormat="1" ht="15">
      <c r="A32" s="29" t="s">
        <v>14</v>
      </c>
      <c r="B32" s="32"/>
      <c r="C32" s="32"/>
      <c r="D32" s="32"/>
      <c r="E32" s="32"/>
      <c r="F32" s="7"/>
      <c r="G32" s="11"/>
      <c r="H32" s="11"/>
      <c r="I32" s="44"/>
      <c r="J32" s="11"/>
      <c r="K32" s="11"/>
      <c r="L32" s="49"/>
      <c r="M32" s="66"/>
      <c r="N32" s="69"/>
      <c r="O32" s="57"/>
      <c r="P32" s="57"/>
      <c r="Q32" s="8" t="s">
        <v>15</v>
      </c>
    </row>
    <row r="33" spans="1:17" ht="17.25">
      <c r="A33" s="33" t="s">
        <v>58</v>
      </c>
      <c r="B33" s="34">
        <v>1007.8</v>
      </c>
      <c r="C33" s="34">
        <v>390.30930799999999</v>
      </c>
      <c r="D33" s="35">
        <v>584.5</v>
      </c>
      <c r="E33" s="35">
        <v>877.1</v>
      </c>
      <c r="F33" s="45">
        <v>987.6</v>
      </c>
      <c r="G33" s="45">
        <v>1145.8582073000002</v>
      </c>
      <c r="H33" s="45">
        <v>1187.19235</v>
      </c>
      <c r="I33" s="53">
        <v>388.57995399999999</v>
      </c>
      <c r="J33" s="45">
        <v>1903.123171</v>
      </c>
      <c r="K33" s="45">
        <v>2663.4449690000001</v>
      </c>
      <c r="L33" s="54">
        <v>3112.5118649999999</v>
      </c>
      <c r="M33" s="72">
        <f>+(H33/$D$9)*100</f>
        <v>10.691313321087092</v>
      </c>
      <c r="N33" s="73">
        <f t="shared" si="8"/>
        <v>2.3567075441945944</v>
      </c>
      <c r="O33" s="58">
        <f>+((H33/G33)-1)*100</f>
        <v>3.6072650557171348</v>
      </c>
      <c r="P33" s="58">
        <f>+((I33/H33)-1)*100</f>
        <v>-67.268997816571172</v>
      </c>
      <c r="Q33" s="22" t="s">
        <v>59</v>
      </c>
    </row>
    <row r="34" spans="1:17" ht="15">
      <c r="A34" s="12" t="s">
        <v>11</v>
      </c>
      <c r="B34" s="24"/>
      <c r="C34" s="24"/>
      <c r="D34" s="24"/>
      <c r="E34" s="24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8" t="s">
        <v>12</v>
      </c>
    </row>
    <row r="35" spans="1:17" ht="15">
      <c r="G35" s="17"/>
      <c r="H35" s="17"/>
      <c r="I35" s="17"/>
      <c r="J35" s="17"/>
      <c r="K35" s="17"/>
      <c r="L35" s="17"/>
      <c r="M35" s="17"/>
      <c r="N35" s="17"/>
      <c r="Q35" s="8"/>
    </row>
    <row r="36" spans="1:17">
      <c r="G36" s="17"/>
      <c r="H36" s="17"/>
      <c r="I36" s="17"/>
      <c r="J36" s="17"/>
      <c r="K36" s="17"/>
      <c r="L36" s="17"/>
      <c r="M36" s="17"/>
      <c r="N36" s="17"/>
    </row>
    <row r="37" spans="1:17">
      <c r="B37" s="9"/>
      <c r="C37" s="9"/>
      <c r="G37" s="17"/>
      <c r="H37" s="17"/>
      <c r="I37" s="17"/>
      <c r="J37" s="17"/>
      <c r="K37" s="17"/>
      <c r="L37" s="17"/>
      <c r="M37" s="17"/>
      <c r="N37" s="17"/>
    </row>
    <row r="38" spans="1:17">
      <c r="B38" s="20"/>
      <c r="C38" s="20"/>
      <c r="G38" s="17"/>
      <c r="H38" s="17"/>
      <c r="I38" s="17"/>
      <c r="J38" s="17"/>
      <c r="K38" s="17"/>
      <c r="L38" s="17"/>
      <c r="M38" s="17"/>
      <c r="N38" s="17"/>
    </row>
    <row r="39" spans="1:17">
      <c r="G39" s="17"/>
      <c r="H39" s="17"/>
      <c r="I39" s="17"/>
      <c r="J39" s="17"/>
      <c r="K39" s="17"/>
      <c r="L39" s="17"/>
      <c r="M39" s="17"/>
      <c r="N39" s="17"/>
    </row>
    <row r="40" spans="1:17">
      <c r="M40" s="17"/>
      <c r="N40" s="17"/>
    </row>
    <row r="41" spans="1:17">
      <c r="M41" s="17"/>
      <c r="N41" s="17"/>
    </row>
    <row r="42" spans="1:17">
      <c r="G42" s="17"/>
      <c r="H42" s="17"/>
      <c r="I42" s="17"/>
      <c r="J42" s="17"/>
      <c r="K42" s="17"/>
      <c r="L42" s="17"/>
      <c r="M42" s="17"/>
      <c r="N42" s="17"/>
    </row>
    <row r="43" spans="1:17">
      <c r="G43" s="17"/>
      <c r="H43" s="17"/>
      <c r="I43" s="17"/>
      <c r="J43" s="17"/>
      <c r="K43" s="17"/>
      <c r="L43" s="17"/>
      <c r="M43" s="17"/>
      <c r="N43" s="17"/>
    </row>
    <row r="44" spans="1:17">
      <c r="G44" s="17"/>
      <c r="H44" s="17"/>
      <c r="I44" s="17"/>
      <c r="J44" s="17"/>
      <c r="K44" s="17"/>
      <c r="L44" s="17"/>
      <c r="M44" s="17"/>
      <c r="N44" s="17"/>
    </row>
    <row r="45" spans="1:17">
      <c r="G45" s="17"/>
      <c r="H45" s="17"/>
      <c r="I45" s="17"/>
      <c r="J45" s="17"/>
      <c r="K45" s="17"/>
      <c r="L45" s="17"/>
      <c r="M45" s="17"/>
      <c r="N45" s="17"/>
    </row>
    <row r="46" spans="1:17">
      <c r="G46" s="17"/>
      <c r="H46" s="17"/>
      <c r="I46" s="17"/>
      <c r="J46" s="17"/>
      <c r="K46" s="17"/>
      <c r="L46" s="17"/>
      <c r="M46" s="17"/>
      <c r="N46" s="17"/>
    </row>
    <row r="47" spans="1:17">
      <c r="G47" s="17"/>
      <c r="H47" s="17"/>
      <c r="I47" s="17"/>
      <c r="J47" s="17"/>
      <c r="K47" s="17"/>
      <c r="L47" s="17"/>
      <c r="M47" s="17"/>
      <c r="N47" s="17"/>
    </row>
    <row r="48" spans="1:17">
      <c r="G48" s="17"/>
      <c r="H48" s="17"/>
      <c r="I48" s="17"/>
      <c r="J48" s="17"/>
      <c r="K48" s="17"/>
      <c r="L48" s="17"/>
      <c r="M48" s="17"/>
      <c r="N48" s="17"/>
    </row>
    <row r="49" spans="7:14">
      <c r="G49" s="17"/>
      <c r="H49" s="17"/>
      <c r="I49" s="17"/>
      <c r="J49" s="17"/>
      <c r="K49" s="17"/>
      <c r="L49" s="17"/>
      <c r="M49" s="17"/>
      <c r="N49" s="17"/>
    </row>
    <row r="50" spans="7:14">
      <c r="G50" s="17"/>
      <c r="H50" s="17"/>
      <c r="I50" s="17"/>
      <c r="J50" s="17"/>
      <c r="K50" s="17"/>
      <c r="L50" s="17"/>
      <c r="M50" s="17"/>
      <c r="N50" s="17"/>
    </row>
    <row r="51" spans="7:14">
      <c r="G51" s="17"/>
      <c r="H51" s="17"/>
      <c r="I51" s="17"/>
      <c r="J51" s="17"/>
      <c r="K51" s="17"/>
      <c r="L51" s="17"/>
      <c r="M51" s="17"/>
      <c r="N51" s="17"/>
    </row>
    <row r="52" spans="7:14">
      <c r="G52" s="17"/>
      <c r="H52" s="17"/>
      <c r="I52" s="17"/>
      <c r="J52" s="17"/>
      <c r="K52" s="17"/>
      <c r="L52" s="17"/>
      <c r="M52" s="17"/>
      <c r="N52" s="17"/>
    </row>
    <row r="53" spans="7:14">
      <c r="G53" s="17"/>
      <c r="H53" s="17"/>
      <c r="I53" s="17"/>
      <c r="J53" s="17"/>
      <c r="K53" s="17"/>
      <c r="L53" s="17"/>
      <c r="M53" s="17"/>
      <c r="N53" s="17"/>
    </row>
    <row r="54" spans="7:14">
      <c r="G54" s="17"/>
      <c r="H54" s="17"/>
      <c r="I54" s="17"/>
      <c r="J54" s="17"/>
      <c r="K54" s="17"/>
      <c r="L54" s="17"/>
      <c r="M54" s="17"/>
      <c r="N54" s="17"/>
    </row>
    <row r="55" spans="7:14">
      <c r="G55" s="17"/>
      <c r="H55" s="17"/>
      <c r="I55" s="17"/>
      <c r="J55" s="17"/>
      <c r="K55" s="17"/>
      <c r="L55" s="17"/>
      <c r="M55" s="17"/>
      <c r="N55" s="17"/>
    </row>
    <row r="56" spans="7:14">
      <c r="G56" s="17"/>
      <c r="H56" s="17"/>
      <c r="I56" s="17"/>
      <c r="J56" s="17"/>
      <c r="K56" s="17"/>
      <c r="L56" s="17"/>
      <c r="M56" s="17"/>
      <c r="N56" s="17"/>
    </row>
    <row r="57" spans="7:14">
      <c r="G57" s="17"/>
      <c r="H57" s="17"/>
      <c r="I57" s="17"/>
      <c r="J57" s="17"/>
      <c r="K57" s="17"/>
      <c r="L57" s="17"/>
      <c r="M57" s="17"/>
      <c r="N57" s="17"/>
    </row>
    <row r="58" spans="7:14">
      <c r="G58" s="17"/>
      <c r="H58" s="17"/>
      <c r="I58" s="17"/>
      <c r="J58" s="17"/>
      <c r="K58" s="17"/>
      <c r="L58" s="17"/>
      <c r="M58" s="17"/>
      <c r="N58" s="17"/>
    </row>
    <row r="59" spans="7:14">
      <c r="G59" s="17"/>
      <c r="H59" s="17"/>
      <c r="I59" s="17"/>
      <c r="J59" s="17"/>
      <c r="K59" s="17"/>
      <c r="L59" s="17"/>
      <c r="M59" s="17"/>
      <c r="N59" s="17"/>
    </row>
    <row r="60" spans="7:14">
      <c r="G60" s="17"/>
      <c r="H60" s="17"/>
      <c r="I60" s="17"/>
      <c r="J60" s="17"/>
      <c r="K60" s="17"/>
      <c r="L60" s="17"/>
      <c r="M60" s="17"/>
      <c r="N60" s="17"/>
    </row>
    <row r="61" spans="7:14">
      <c r="G61" s="17"/>
      <c r="H61" s="17"/>
      <c r="I61" s="17"/>
      <c r="J61" s="17"/>
      <c r="K61" s="17"/>
      <c r="L61" s="17"/>
      <c r="M61" s="17"/>
      <c r="N61" s="17"/>
    </row>
    <row r="62" spans="7:14">
      <c r="G62" s="17"/>
      <c r="H62" s="17"/>
      <c r="I62" s="17"/>
      <c r="J62" s="17"/>
      <c r="K62" s="17"/>
      <c r="L62" s="17"/>
      <c r="M62" s="17"/>
      <c r="N62" s="17"/>
    </row>
    <row r="63" spans="7:14">
      <c r="G63" s="17"/>
      <c r="H63" s="17"/>
      <c r="I63" s="17"/>
      <c r="J63" s="17"/>
      <c r="K63" s="17"/>
      <c r="L63" s="17"/>
      <c r="M63" s="17"/>
      <c r="N63" s="17"/>
    </row>
    <row r="64" spans="7:14">
      <c r="G64" s="17"/>
      <c r="H64" s="17"/>
      <c r="I64" s="17"/>
      <c r="J64" s="17"/>
      <c r="K64" s="17"/>
      <c r="L64" s="17"/>
      <c r="M64" s="17"/>
      <c r="N64" s="17"/>
    </row>
    <row r="65" spans="7:14">
      <c r="G65" s="17"/>
      <c r="H65" s="17"/>
      <c r="I65" s="17"/>
      <c r="J65" s="17"/>
      <c r="K65" s="17"/>
      <c r="L65" s="17"/>
      <c r="M65" s="17"/>
      <c r="N65" s="17"/>
    </row>
    <row r="66" spans="7:14">
      <c r="G66" s="17"/>
      <c r="H66" s="17"/>
      <c r="I66" s="17"/>
      <c r="J66" s="17"/>
      <c r="K66" s="17"/>
      <c r="L66" s="17"/>
      <c r="M66" s="17"/>
      <c r="N66" s="17"/>
    </row>
    <row r="67" spans="7:14">
      <c r="G67" s="17"/>
      <c r="H67" s="17"/>
      <c r="I67" s="17"/>
      <c r="J67" s="17"/>
      <c r="K67" s="17"/>
      <c r="L67" s="17"/>
      <c r="M67" s="17"/>
      <c r="N67" s="17"/>
    </row>
    <row r="68" spans="7:14">
      <c r="G68" s="17"/>
      <c r="H68" s="17"/>
      <c r="I68" s="17"/>
      <c r="J68" s="17"/>
      <c r="K68" s="17"/>
      <c r="L68" s="17"/>
      <c r="M68" s="17"/>
      <c r="N68" s="17"/>
    </row>
  </sheetData>
  <mergeCells count="9">
    <mergeCell ref="A1:Q1"/>
    <mergeCell ref="A2:Q2"/>
    <mergeCell ref="A3:Q3"/>
    <mergeCell ref="A4:Q4"/>
    <mergeCell ref="I5:L5"/>
    <mergeCell ref="A5:A7"/>
    <mergeCell ref="M5:N5"/>
    <mergeCell ref="O5:P5"/>
    <mergeCell ref="O6:P6"/>
  </mergeCells>
  <pageMargins left="0.17" right="0.16" top="0.75" bottom="0.75" header="0.3" footer="0.3"/>
  <pageSetup paperSize="9" scale="80" orientation="landscape" r:id="rId1"/>
  <ignoredErrors>
    <ignoredError sqref="O23:O29 O30:O33 M23:M31 M9:M21 O8:O11 M32:M33 O12:O21 N9:N21 P8:P21 N23:N33 P23:P33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13.5</vt:lpstr>
      <vt:lpstr>'13.5'!Print_Area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2015-10-18T16:14:36Z</cp:lastPrinted>
  <dcterms:created xsi:type="dcterms:W3CDTF">2014-03-06T08:38:12Z</dcterms:created>
  <dcterms:modified xsi:type="dcterms:W3CDTF">2016-01-18T08:19:24Z</dcterms:modified>
</cp:coreProperties>
</file>