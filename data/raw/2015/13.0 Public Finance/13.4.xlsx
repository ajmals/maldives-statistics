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4" sheetId="4" r:id="rId1"/>
  </sheets>
  <definedNames>
    <definedName name="_xlnm.Print_Area" localSheetId="0">'13.4'!$A$1:$Q$40</definedName>
  </definedNames>
  <calcPr calcId="144525"/>
</workbook>
</file>

<file path=xl/calcChain.xml><?xml version="1.0" encoding="utf-8"?>
<calcChain xmlns="http://schemas.openxmlformats.org/spreadsheetml/2006/main">
  <c r="P12" i="4" l="1"/>
  <c r="H24" i="4" l="1"/>
  <c r="I24" i="4"/>
  <c r="J24" i="4"/>
  <c r="K24" i="4"/>
  <c r="L24" i="4"/>
  <c r="P11" i="4" l="1"/>
  <c r="P13" i="4"/>
  <c r="P14" i="4"/>
  <c r="P15" i="4"/>
  <c r="P16" i="4"/>
  <c r="P17" i="4"/>
  <c r="P18" i="4"/>
  <c r="P20" i="4"/>
  <c r="P22" i="4"/>
  <c r="P23" i="4"/>
  <c r="P25" i="4"/>
  <c r="P26" i="4"/>
  <c r="P29" i="4"/>
  <c r="P31" i="4"/>
  <c r="P32" i="4"/>
  <c r="P33" i="4"/>
  <c r="P34" i="4"/>
  <c r="L28" i="4"/>
  <c r="L27" i="4" s="1"/>
  <c r="L10" i="4"/>
  <c r="L9" i="4" s="1"/>
  <c r="L8" i="4" l="1"/>
  <c r="O31" i="4" l="1"/>
  <c r="O34" i="4"/>
  <c r="O15" i="4" l="1"/>
  <c r="O18" i="4"/>
  <c r="O20" i="4"/>
  <c r="O33" i="4" l="1"/>
  <c r="O37" i="4"/>
  <c r="O32" i="4"/>
  <c r="O23" i="4"/>
  <c r="O25" i="4"/>
  <c r="O26" i="4"/>
  <c r="O29" i="4"/>
  <c r="O22" i="4"/>
  <c r="O17" i="4"/>
  <c r="O16" i="4"/>
  <c r="O14" i="4"/>
  <c r="O11" i="4"/>
  <c r="O12" i="4"/>
  <c r="O13" i="4"/>
  <c r="K28" i="4"/>
  <c r="K27" i="4" s="1"/>
  <c r="J28" i="4"/>
  <c r="I28" i="4"/>
  <c r="I27" i="4" s="1"/>
  <c r="H28" i="4"/>
  <c r="H27" i="4" s="1"/>
  <c r="G28" i="4"/>
  <c r="G27" i="4" s="1"/>
  <c r="F28" i="4"/>
  <c r="F27" i="4" s="1"/>
  <c r="E28" i="4"/>
  <c r="D28" i="4"/>
  <c r="D27" i="4" s="1"/>
  <c r="C28" i="4"/>
  <c r="C27" i="4" s="1"/>
  <c r="B28" i="4"/>
  <c r="B27" i="4" s="1"/>
  <c r="E27" i="4"/>
  <c r="G24" i="4"/>
  <c r="F24" i="4"/>
  <c r="E24" i="4"/>
  <c r="D24" i="4"/>
  <c r="D9" i="4" s="1"/>
  <c r="C24" i="4"/>
  <c r="B24" i="4"/>
  <c r="K10" i="4"/>
  <c r="K9" i="4" s="1"/>
  <c r="J10" i="4"/>
  <c r="I10" i="4"/>
  <c r="I9" i="4" s="1"/>
  <c r="H10" i="4"/>
  <c r="H9" i="4" s="1"/>
  <c r="G10" i="4"/>
  <c r="F10" i="4"/>
  <c r="F9" i="4" s="1"/>
  <c r="E10" i="4"/>
  <c r="E9" i="4" s="1"/>
  <c r="E8" i="4" s="1"/>
  <c r="D10" i="4"/>
  <c r="C10" i="4"/>
  <c r="C9" i="4" s="1"/>
  <c r="B10" i="4"/>
  <c r="B9" i="4" s="1"/>
  <c r="G9" i="4"/>
  <c r="G8" i="4" s="1"/>
  <c r="J27" i="4" l="1"/>
  <c r="J9" i="4"/>
  <c r="J8" i="4" s="1"/>
  <c r="B8" i="4"/>
  <c r="F8" i="4"/>
  <c r="H8" i="4"/>
  <c r="M11" i="4" s="1"/>
  <c r="C8" i="4"/>
  <c r="K8" i="4"/>
  <c r="P9" i="4"/>
  <c r="I8" i="4"/>
  <c r="D8" i="4"/>
  <c r="P27" i="4"/>
  <c r="P24" i="4"/>
  <c r="P28" i="4"/>
  <c r="P10" i="4"/>
  <c r="M13" i="4"/>
  <c r="M15" i="4"/>
  <c r="M23" i="4"/>
  <c r="M26" i="4"/>
  <c r="M37" i="4"/>
  <c r="O9" i="4"/>
  <c r="O10" i="4"/>
  <c r="O24" i="4"/>
  <c r="O27" i="4"/>
  <c r="O28" i="4"/>
  <c r="M32" i="4" l="1"/>
  <c r="O8" i="4"/>
  <c r="M8" i="4"/>
  <c r="M27" i="4"/>
  <c r="M30" i="4"/>
  <c r="N11" i="4"/>
  <c r="N14" i="4"/>
  <c r="P8" i="4"/>
  <c r="M20" i="4"/>
  <c r="M9" i="4"/>
  <c r="M10" i="4"/>
  <c r="M17" i="4"/>
  <c r="M28" i="4"/>
  <c r="M24" i="4"/>
  <c r="M33" i="4"/>
  <c r="M31" i="4"/>
  <c r="M29" i="4"/>
  <c r="M25" i="4"/>
  <c r="M22" i="4"/>
  <c r="M18" i="4"/>
  <c r="M16" i="4"/>
  <c r="M14" i="4"/>
  <c r="M12" i="4"/>
  <c r="N8" i="4"/>
  <c r="N37" i="4"/>
  <c r="N30" i="4"/>
  <c r="N26" i="4"/>
  <c r="N22" i="4"/>
  <c r="N16" i="4"/>
  <c r="N12" i="4"/>
  <c r="N18" i="4"/>
  <c r="N31" i="4"/>
  <c r="N23" i="4"/>
  <c r="N13" i="4"/>
  <c r="N33" i="4"/>
  <c r="N29" i="4"/>
  <c r="N25" i="4"/>
  <c r="N20" i="4"/>
  <c r="N15" i="4"/>
  <c r="N32" i="4"/>
  <c r="N17" i="4"/>
  <c r="N28" i="4"/>
  <c r="N9" i="4"/>
  <c r="N10" i="4"/>
  <c r="N24" i="4"/>
  <c r="N27" i="4"/>
</calcChain>
</file>

<file path=xl/sharedStrings.xml><?xml version="1.0" encoding="utf-8"?>
<sst xmlns="http://schemas.openxmlformats.org/spreadsheetml/2006/main" count="82" uniqueCount="77">
  <si>
    <t>Particulars</t>
  </si>
  <si>
    <t>clIBcfwt</t>
  </si>
  <si>
    <t>Actual</t>
  </si>
  <si>
    <t>Revised</t>
  </si>
  <si>
    <t>MTEF</t>
  </si>
  <si>
    <t>Expenditure and net lending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</si>
  <si>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</si>
  <si>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</si>
  <si>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</si>
  <si>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</si>
  <si>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</si>
  <si>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</si>
  <si>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</si>
  <si>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ikWbufWs egInwrwd EverukUd iaWdwrwK wlcmuj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</si>
  <si>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</si>
  <si>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</si>
  <si>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</si>
  <si>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</si>
  <si>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</si>
  <si>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</si>
  <si>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</si>
  <si>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</si>
  <si>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</si>
  <si>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</si>
  <si>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</si>
  <si>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</si>
  <si>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</si>
  <si>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</si>
  <si>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 xml:space="preserve">  Transportation, communication,</t>
  </si>
  <si>
    <t>EverukcnunEb iaWtWlwBWvum iaWmulufua itekwt</t>
  </si>
  <si>
    <t xml:space="preserve">  utilities, and other services </t>
  </si>
  <si>
    <t>udwrwK egutwmcdiK</t>
  </si>
  <si>
    <t xml:space="preserve">  Subscriptions, membership fees, etc,</t>
  </si>
  <si>
    <t>egWtcnwt iaWkwtctwAWmwj ikeaikea egurEb</t>
  </si>
  <si>
    <t xml:space="preserve">  to international organizations </t>
  </si>
  <si>
    <t>Wsiawf Eved cSwaWdcnwC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</si>
  <si>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</si>
  <si>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</si>
  <si>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</si>
  <si>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</si>
  <si>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</si>
  <si>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</si>
  <si>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</si>
  <si>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</si>
  <si>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</si>
  <si>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</si>
  <si>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</si>
  <si>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</si>
  <si>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</si>
  <si>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</si>
  <si>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</si>
  <si>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</si>
  <si>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>Other 1_/</t>
  </si>
  <si>
    <t>1_/ cnutogctog cnehinehea</t>
  </si>
  <si>
    <t>Memorandum item:</t>
  </si>
  <si>
    <t>caeacmwTiawa Wviawfiveruk cDrOker iawkwTcSwnWdwh</t>
  </si>
  <si>
    <t>Capital contributions to</t>
  </si>
  <si>
    <t>Wtcnwt iaWkwtctwAWmwj ikeaikea egurEb</t>
  </si>
  <si>
    <t xml:space="preserve">      foreign organizations </t>
  </si>
  <si>
    <t>cSwmukcaed cSwlWmcsuawr</t>
  </si>
  <si>
    <t xml:space="preserve"> 1_/  Comprises development expenditure financed from domestic sources   and by foreign grants. </t>
  </si>
  <si>
    <t>Wsiawf EverukudwrwK cSwaIqcawrwt  cnegibil iawgutog egIhea Elih egurEb iaWncnEjcaWr Inenemih iawgiawbim 1_/</t>
  </si>
  <si>
    <t>ބެހިފައިވާ ގޮތް އިން ސައްތައިން</t>
  </si>
  <si>
    <t>Percentage Share</t>
  </si>
  <si>
    <t>Percentage Change</t>
  </si>
  <si>
    <t>އިތުރުވި މިންވަރު</t>
  </si>
  <si>
    <t>2012-2013</t>
  </si>
  <si>
    <t>(In million MVR)</t>
  </si>
  <si>
    <t>cawtunOl egEretea</t>
  </si>
  <si>
    <t xml:space="preserve">  Training expenses</t>
  </si>
  <si>
    <t>unIrcmwt</t>
  </si>
  <si>
    <t>2013-2014</t>
  </si>
  <si>
    <t xml:space="preserve">Table  13.4 :  ECONOMIC CLASSIFICATION OF CENTRAL GOVERNMENT EXPENDITURE AND NET LENDING, 2008 - 2017 </t>
  </si>
  <si>
    <t>2017 - 2008 ,IkWbufWs egInwrwd iaWdwrwK EverukcnurWkurws cnutogegukwtiawb IdWBitcqia : 13.4 ulwvWt</t>
  </si>
  <si>
    <t xml:space="preserve">  Domestic Loan</t>
  </si>
  <si>
    <t xml:space="preserve">  Grant Financed</t>
  </si>
  <si>
    <t xml:space="preserve">  Domestic PSIP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</si>
</sst>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9" formatCode="0.0"/>
    <numFmt numFmtId="170" formatCode="0.0_);\(0.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b/>
      <sz val="11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9.3000000000000007"/>
      <name val="Calibri"/>
      <family val="2"/>
      <scheme val="minor"/>
    </font>
    <font>
      <b/>
      <sz val="9"/>
      <name val="A_Randhoo"/>
    </font>
    <font>
      <b/>
      <sz val="9"/>
      <name val="Calibri"/>
      <family val="2"/>
      <scheme val="minor"/>
    </font>
    <font>
      <sz val="10"/>
      <name val="Garamond"/>
      <family val="1"/>
    </font>
    <font>
      <sz val="9"/>
      <name val="Akuru"/>
      <family val="2"/>
      <charset val="2"/>
    </font>
    <font>
      <b/>
      <sz val="9"/>
      <name val="Faruma"/>
    </font>
    <font>
      <i/>
      <sz val="9"/>
      <name val="Calibri"/>
      <family val="2"/>
      <scheme val="minor"/>
    </font>
    <font>
      <b/>
      <sz val="9"/>
      <name val="Akuru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8" fillId="0" borderId="0" applyFont="0" applyFill="0" applyBorder="0" applyAlignment="0" applyProtection="0"/>
  </cellStyleXfs>
  <cellXfs count="83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6" fillId="2" borderId="0" xfId="2" applyNumberFormat="1" applyFont="1" applyFill="1" applyAlignment="1">
      <alignment vertical="center"/>
    </xf>
    <xf numFmtId="164" fontId="7" fillId="2" borderId="0" xfId="2" applyNumberFormat="1" applyFont="1" applyFill="1" applyAlignment="1">
      <alignment vertical="center"/>
    </xf>
    <xf numFmtId="164" fontId="9" fillId="2" borderId="1" xfId="2" applyNumberFormat="1" applyFont="1" applyFill="1" applyBorder="1" applyAlignment="1" applyProtection="1">
      <alignment horizontal="left" vertical="center"/>
    </xf>
    <xf numFmtId="164" fontId="5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Alignment="1">
      <alignment horizontal="right" vertical="center"/>
    </xf>
    <xf numFmtId="165" fontId="5" fillId="2" borderId="0" xfId="2" applyNumberFormat="1" applyFont="1" applyFill="1" applyAlignment="1">
      <alignment horizontal="right" vertical="center"/>
    </xf>
    <xf numFmtId="165" fontId="5" fillId="2" borderId="1" xfId="2" applyNumberFormat="1" applyFont="1" applyFill="1" applyBorder="1" applyAlignment="1">
      <alignment horizontal="right" vertical="center"/>
    </xf>
    <xf numFmtId="164" fontId="16" fillId="2" borderId="0" xfId="2" applyNumberFormat="1" applyFont="1" applyFill="1" applyAlignment="1" applyProtection="1">
      <alignment horizontal="left" vertical="center"/>
    </xf>
    <xf numFmtId="165" fontId="5" fillId="2" borderId="0" xfId="2" applyNumberFormat="1" applyFont="1" applyFill="1" applyBorder="1" applyAlignment="1">
      <alignment horizontal="right" vertical="center"/>
    </xf>
    <xf numFmtId="164" fontId="12" fillId="2" borderId="1" xfId="2" applyNumberFormat="1" applyFont="1" applyFill="1" applyBorder="1" applyAlignment="1" applyProtection="1">
      <alignment horizontal="right" vertical="center"/>
    </xf>
    <xf numFmtId="164" fontId="6" fillId="2" borderId="0" xfId="2" applyNumberFormat="1" applyFont="1" applyFill="1" applyBorder="1" applyAlignment="1">
      <alignment vertical="center"/>
    </xf>
    <xf numFmtId="41" fontId="10" fillId="2" borderId="0" xfId="3" applyNumberFormat="1" applyFont="1" applyFill="1" applyAlignment="1" applyProtection="1">
      <alignment horizontal="right" vertical="center"/>
      <protection locked="0"/>
    </xf>
    <xf numFmtId="37" fontId="9" fillId="2" borderId="0" xfId="2" applyNumberFormat="1" applyFont="1" applyFill="1" applyAlignment="1" applyProtection="1">
      <alignment vertical="center"/>
    </xf>
    <xf numFmtId="164" fontId="2" fillId="2" borderId="0" xfId="2" applyNumberFormat="1" applyFont="1" applyFill="1" applyBorder="1" applyAlignment="1">
      <alignment vertical="center"/>
    </xf>
    <xf numFmtId="164" fontId="6" fillId="2" borderId="2" xfId="2" applyNumberFormat="1" applyFont="1" applyFill="1" applyBorder="1" applyAlignment="1" applyProtection="1">
      <alignment horizontal="center" vertical="center"/>
    </xf>
    <xf numFmtId="1" fontId="6" fillId="2" borderId="1" xfId="2" applyNumberFormat="1" applyFont="1" applyFill="1" applyBorder="1" applyAlignment="1">
      <alignment vertical="center"/>
    </xf>
    <xf numFmtId="164" fontId="12" fillId="2" borderId="0" xfId="2" applyNumberFormat="1" applyFont="1" applyFill="1" applyAlignment="1" applyProtection="1">
      <alignment horizontal="left" vertical="center"/>
    </xf>
    <xf numFmtId="165" fontId="12" fillId="2" borderId="0" xfId="2" applyNumberFormat="1" applyFont="1" applyFill="1" applyAlignment="1" applyProtection="1">
      <alignment horizontal="right" vertical="center"/>
    </xf>
    <xf numFmtId="165" fontId="12" fillId="2" borderId="0" xfId="2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Alignment="1" applyProtection="1">
      <alignment horizontal="left" vertical="center"/>
    </xf>
    <xf numFmtId="164" fontId="9" fillId="2" borderId="0" xfId="2" applyNumberFormat="1" applyFont="1" applyFill="1" applyAlignment="1" applyProtection="1">
      <alignment vertical="center"/>
    </xf>
    <xf numFmtId="164" fontId="14" fillId="2" borderId="0" xfId="2" applyNumberFormat="1" applyFont="1" applyFill="1" applyAlignment="1">
      <alignment horizontal="right" vertical="center"/>
    </xf>
    <xf numFmtId="170" fontId="12" fillId="2" borderId="0" xfId="2" applyNumberFormat="1" applyFont="1" applyFill="1" applyAlignment="1" applyProtection="1">
      <alignment horizontal="right" vertical="center"/>
      <protection locked="0"/>
    </xf>
    <xf numFmtId="164" fontId="17" fillId="2" borderId="0" xfId="2" applyNumberFormat="1" applyFont="1" applyFill="1" applyAlignment="1">
      <alignment horizontal="right" vertical="center"/>
    </xf>
    <xf numFmtId="164" fontId="9" fillId="2" borderId="0" xfId="2" applyNumberFormat="1" applyFont="1" applyFill="1" applyBorder="1" applyAlignment="1" applyProtection="1">
      <alignment horizontal="left" vertical="center"/>
    </xf>
    <xf numFmtId="165" fontId="9" fillId="2" borderId="1" xfId="2" applyNumberFormat="1" applyFont="1" applyFill="1" applyBorder="1" applyAlignment="1" applyProtection="1">
      <alignment horizontal="right" vertical="center"/>
      <protection locked="0"/>
    </xf>
    <xf numFmtId="164" fontId="16" fillId="2" borderId="0" xfId="2" applyNumberFormat="1" applyFont="1" applyFill="1" applyAlignment="1" applyProtection="1">
      <alignment horizontal="left"/>
    </xf>
    <xf numFmtId="169" fontId="9" fillId="2" borderId="0" xfId="2" applyNumberFormat="1" applyFont="1" applyFill="1" applyAlignment="1" applyProtection="1">
      <alignment horizontal="right" vertical="center"/>
    </xf>
    <xf numFmtId="169" fontId="7" fillId="2" borderId="0" xfId="2" applyNumberFormat="1" applyFont="1" applyFill="1" applyAlignment="1">
      <alignment horizontal="right" vertical="center"/>
    </xf>
    <xf numFmtId="1" fontId="7" fillId="2" borderId="0" xfId="2" applyNumberFormat="1" applyFont="1" applyFill="1" applyAlignment="1">
      <alignment vertical="center"/>
    </xf>
    <xf numFmtId="169" fontId="2" fillId="2" borderId="0" xfId="2" applyNumberFormat="1" applyFont="1" applyFill="1" applyAlignment="1">
      <alignment horizontal="right" vertical="center"/>
    </xf>
    <xf numFmtId="1" fontId="2" fillId="2" borderId="0" xfId="2" applyNumberFormat="1" applyFont="1" applyFill="1" applyAlignment="1">
      <alignment vertical="center"/>
    </xf>
    <xf numFmtId="165" fontId="9" fillId="2" borderId="0" xfId="2" applyNumberFormat="1" applyFont="1" applyFill="1" applyBorder="1" applyAlignment="1" applyProtection="1">
      <alignment horizontal="right" vertical="center"/>
    </xf>
    <xf numFmtId="164" fontId="12" fillId="2" borderId="0" xfId="2" applyNumberFormat="1" applyFont="1" applyFill="1" applyAlignment="1">
      <alignment horizontal="right" vertical="center"/>
    </xf>
    <xf numFmtId="165" fontId="12" fillId="2" borderId="3" xfId="2" applyNumberFormat="1" applyFont="1" applyFill="1" applyBorder="1" applyAlignment="1" applyProtection="1">
      <alignment horizontal="right" vertical="center"/>
      <protection locked="0"/>
    </xf>
    <xf numFmtId="165" fontId="12" fillId="2" borderId="4" xfId="2" applyNumberFormat="1" applyFont="1" applyFill="1" applyBorder="1" applyAlignment="1" applyProtection="1">
      <alignment horizontal="right" vertical="center"/>
      <protection locked="0"/>
    </xf>
    <xf numFmtId="41" fontId="10" fillId="2" borderId="3" xfId="3" applyNumberFormat="1" applyFont="1" applyFill="1" applyBorder="1" applyAlignment="1" applyProtection="1">
      <alignment horizontal="right" vertical="center"/>
      <protection locked="0"/>
    </xf>
    <xf numFmtId="169" fontId="12" fillId="2" borderId="0" xfId="1" applyNumberFormat="1" applyFont="1" applyFill="1" applyBorder="1" applyAlignment="1" applyProtection="1">
      <alignment horizontal="right" vertical="center" indent="2"/>
    </xf>
    <xf numFmtId="165" fontId="12" fillId="2" borderId="8" xfId="2" applyNumberFormat="1" applyFont="1" applyFill="1" applyBorder="1" applyAlignment="1" applyProtection="1">
      <alignment horizontal="right" vertical="center"/>
      <protection locked="0"/>
    </xf>
    <xf numFmtId="41" fontId="10" fillId="2" borderId="8" xfId="3" applyNumberFormat="1" applyFont="1" applyFill="1" applyBorder="1" applyAlignment="1" applyProtection="1">
      <alignment horizontal="right" vertical="center"/>
      <protection locked="0"/>
    </xf>
    <xf numFmtId="165" fontId="12" fillId="2" borderId="9" xfId="2" applyNumberFormat="1" applyFont="1" applyFill="1" applyBorder="1" applyAlignment="1" applyProtection="1">
      <alignment horizontal="right" vertical="center"/>
      <protection locked="0"/>
    </xf>
    <xf numFmtId="164" fontId="6" fillId="2" borderId="0" xfId="2" applyNumberFormat="1" applyFont="1" applyFill="1" applyBorder="1" applyAlignment="1" applyProtection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9" fillId="2" borderId="0" xfId="2" applyNumberFormat="1" applyFont="1" applyFill="1" applyAlignment="1">
      <alignment horizontal="right" vertical="center"/>
    </xf>
    <xf numFmtId="165" fontId="9" fillId="2" borderId="0" xfId="2" applyNumberFormat="1" applyFont="1" applyFill="1" applyAlignment="1" applyProtection="1">
      <alignment horizontal="right" vertical="center"/>
      <protection locked="0"/>
    </xf>
    <xf numFmtId="165" fontId="9" fillId="2" borderId="3" xfId="2" applyNumberFormat="1" applyFont="1" applyFill="1" applyBorder="1" applyAlignment="1" applyProtection="1">
      <alignment horizontal="right" vertical="center"/>
      <protection locked="0"/>
    </xf>
    <xf numFmtId="165" fontId="9" fillId="2" borderId="0" xfId="2" applyNumberFormat="1" applyFont="1" applyFill="1" applyBorder="1" applyAlignment="1" applyProtection="1">
      <alignment horizontal="right" vertical="center"/>
      <protection locked="0"/>
    </xf>
    <xf numFmtId="165" fontId="9" fillId="2" borderId="8" xfId="2" applyNumberFormat="1" applyFont="1" applyFill="1" applyBorder="1" applyAlignment="1" applyProtection="1">
      <alignment horizontal="right" vertical="center"/>
      <protection locked="0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1" xfId="2" applyNumberFormat="1" applyFont="1" applyFill="1" applyBorder="1" applyAlignment="1" applyProtection="1">
      <alignment horizontal="left" vertical="center"/>
    </xf>
    <xf numFmtId="165" fontId="12" fillId="2" borderId="10" xfId="2" applyNumberFormat="1" applyFont="1" applyFill="1" applyBorder="1" applyAlignment="1" applyProtection="1">
      <alignment horizontal="right" vertical="center"/>
      <protection locked="0"/>
    </xf>
    <xf numFmtId="164" fontId="12" fillId="2" borderId="4" xfId="2" applyNumberFormat="1" applyFont="1" applyFill="1" applyBorder="1" applyAlignment="1" applyProtection="1">
      <alignment horizontal="right" vertical="center"/>
    </xf>
    <xf numFmtId="164" fontId="12" fillId="2" borderId="9" xfId="2" applyNumberFormat="1" applyFont="1" applyFill="1" applyBorder="1" applyAlignment="1" applyProtection="1">
      <alignment horizontal="right" vertical="center"/>
    </xf>
    <xf numFmtId="169" fontId="12" fillId="2" borderId="1" xfId="2" applyNumberFormat="1" applyFont="1" applyFill="1" applyBorder="1" applyAlignment="1" applyProtection="1">
      <alignment horizontal="right" vertical="center"/>
      <protection locked="0"/>
    </xf>
    <xf numFmtId="169" fontId="9" fillId="2" borderId="0" xfId="1" applyNumberFormat="1" applyFont="1" applyFill="1" applyBorder="1" applyAlignment="1" applyProtection="1">
      <alignment horizontal="right" vertical="center" indent="2"/>
    </xf>
    <xf numFmtId="169" fontId="9" fillId="2" borderId="1" xfId="1" applyNumberFormat="1" applyFont="1" applyFill="1" applyBorder="1" applyAlignment="1" applyProtection="1">
      <alignment horizontal="right" vertical="center" indent="2"/>
    </xf>
    <xf numFmtId="165" fontId="12" fillId="2" borderId="1" xfId="2" applyNumberFormat="1" applyFont="1" applyFill="1" applyBorder="1" applyAlignment="1" applyProtection="1">
      <alignment horizontal="right" vertical="center" indent="2"/>
      <protection locked="0"/>
    </xf>
    <xf numFmtId="164" fontId="3" fillId="2" borderId="0" xfId="2" applyNumberFormat="1" applyFont="1" applyFill="1" applyAlignment="1">
      <alignment horizontal="center" vertical="center"/>
    </xf>
    <xf numFmtId="164" fontId="4" fillId="2" borderId="0" xfId="2" applyNumberFormat="1" applyFont="1" applyFill="1" applyBorder="1" applyAlignment="1" applyProtection="1">
      <alignment horizontal="center" vertical="center"/>
    </xf>
    <xf numFmtId="165" fontId="9" fillId="2" borderId="0" xfId="2" applyNumberFormat="1" applyFont="1" applyFill="1" applyAlignment="1" applyProtection="1">
      <alignment horizontal="center" vertical="center"/>
      <protection locked="0"/>
    </xf>
    <xf numFmtId="167" fontId="9" fillId="2" borderId="0" xfId="1" applyNumberFormat="1" applyFont="1" applyFill="1" applyAlignment="1" applyProtection="1">
      <alignment horizontal="center" vertical="center"/>
      <protection locked="0"/>
    </xf>
    <xf numFmtId="169" fontId="9" fillId="2" borderId="0" xfId="1" applyNumberFormat="1" applyFont="1" applyFill="1" applyBorder="1" applyAlignment="1" applyProtection="1">
      <alignment horizontal="right" vertical="center" indent="2"/>
    </xf>
    <xf numFmtId="165" fontId="9" fillId="2" borderId="0" xfId="2" applyNumberFormat="1" applyFont="1" applyFill="1" applyBorder="1" applyAlignment="1" applyProtection="1">
      <alignment horizontal="center" vertical="center"/>
      <protection locked="0"/>
    </xf>
    <xf numFmtId="165" fontId="9" fillId="2" borderId="8" xfId="2" applyNumberFormat="1" applyFont="1" applyFill="1" applyBorder="1" applyAlignment="1" applyProtection="1">
      <alignment horizontal="right" vertical="center"/>
      <protection locked="0"/>
    </xf>
    <xf numFmtId="165" fontId="9" fillId="2" borderId="8" xfId="2" applyNumberFormat="1" applyFont="1" applyFill="1" applyBorder="1" applyAlignment="1" applyProtection="1">
      <alignment vertical="center"/>
      <protection locked="0"/>
    </xf>
    <xf numFmtId="167" fontId="9" fillId="2" borderId="0" xfId="1" applyNumberFormat="1" applyFont="1" applyFill="1" applyBorder="1" applyAlignment="1" applyProtection="1">
      <alignment horizontal="center" vertical="center"/>
      <protection locked="0"/>
    </xf>
    <xf numFmtId="167" fontId="9" fillId="2" borderId="0" xfId="1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Alignment="1">
      <alignment horizontal="right" vertical="center"/>
    </xf>
    <xf numFmtId="165" fontId="9" fillId="2" borderId="0" xfId="2" applyNumberFormat="1" applyFont="1" applyFill="1" applyAlignment="1" applyProtection="1">
      <alignment horizontal="right" vertical="center"/>
      <protection locked="0"/>
    </xf>
    <xf numFmtId="165" fontId="9" fillId="2" borderId="3" xfId="2" applyNumberFormat="1" applyFont="1" applyFill="1" applyBorder="1" applyAlignment="1" applyProtection="1">
      <alignment vertical="center"/>
      <protection locked="0"/>
    </xf>
    <xf numFmtId="165" fontId="9" fillId="2" borderId="3" xfId="2" applyNumberFormat="1" applyFont="1" applyFill="1" applyBorder="1" applyAlignment="1" applyProtection="1">
      <alignment horizontal="right" vertical="center"/>
      <protection locked="0"/>
    </xf>
    <xf numFmtId="164" fontId="15" fillId="2" borderId="5" xfId="2" applyNumberFormat="1" applyFont="1" applyFill="1" applyBorder="1" applyAlignment="1" applyProtection="1">
      <alignment horizontal="center" vertical="center"/>
    </xf>
    <xf numFmtId="164" fontId="15" fillId="2" borderId="10" xfId="2" applyNumberFormat="1" applyFont="1" applyFill="1" applyBorder="1" applyAlignment="1" applyProtection="1">
      <alignment horizontal="center" vertical="center"/>
    </xf>
    <xf numFmtId="164" fontId="12" fillId="2" borderId="7" xfId="2" applyNumberFormat="1" applyFont="1" applyFill="1" applyBorder="1" applyAlignment="1" applyProtection="1">
      <alignment horizontal="center" vertical="center"/>
      <protection locked="0"/>
    </xf>
    <xf numFmtId="164" fontId="12" fillId="2" borderId="11" xfId="2" applyNumberFormat="1" applyFont="1" applyFill="1" applyBorder="1" applyAlignment="1" applyProtection="1">
      <alignment horizontal="center" vertical="center"/>
      <protection locked="0"/>
    </xf>
    <xf numFmtId="169" fontId="15" fillId="2" borderId="2" xfId="2" applyNumberFormat="1" applyFont="1" applyFill="1" applyBorder="1" applyAlignment="1" applyProtection="1">
      <alignment horizontal="center" vertical="center"/>
      <protection hidden="1"/>
    </xf>
    <xf numFmtId="164" fontId="12" fillId="2" borderId="6" xfId="2" applyNumberFormat="1" applyFont="1" applyFill="1" applyBorder="1" applyAlignment="1" applyProtection="1">
      <alignment horizontal="center" vertical="center"/>
      <protection locked="0"/>
    </xf>
    <xf numFmtId="164" fontId="5" fillId="2" borderId="0" xfId="2" applyNumberFormat="1" applyFont="1" applyFill="1" applyAlignment="1">
      <alignment horizontal="center" vertical="center" wrapText="1"/>
    </xf>
    <xf numFmtId="164" fontId="12" fillId="2" borderId="1" xfId="2" applyNumberFormat="1" applyFont="1" applyFill="1" applyBorder="1" applyAlignment="1" applyProtection="1">
      <alignment horizontal="center" vertical="center"/>
    </xf>
  </cellXfs>
  <cellStyles count="4">
    <cellStyle name="Comma" xfId="1" builtinId="3"/>
    <cellStyle name="Comma_13 Public Finance_done" xfId="3"/>
    <cellStyle name="Normal" xfId="0" builtinId="0"/>
    <cellStyle name="Normal_13 Public Finance_done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tabSelected="1" zoomScaleNormal="100" zoomScaleSheetLayoutView="89" workbookViewId="0">
      <selection activeCell="Q12" sqref="Q12:R12"/>
    </sheetView>
  </sheetViews>
  <sheetFormatPr defaultColWidth="9.140625" defaultRowHeight="12.75"/>
  <cols>
    <col min="1" max="1" width="35.5703125" style="1" customWidth="1"/>
    <col min="2" max="3" width="9.140625" style="1" customWidth="1"/>
    <col min="4" max="4" width="10.28515625" style="1" customWidth="1"/>
    <col min="5" max="5" width="9.140625" style="1" customWidth="1"/>
    <col min="6" max="6" width="10.85546875" style="1" hidden="1" customWidth="1"/>
    <col min="7" max="9" width="9.140625" style="1"/>
    <col min="10" max="12" width="9.28515625" style="1" bestFit="1" customWidth="1"/>
    <col min="13" max="14" width="11" style="1" customWidth="1"/>
    <col min="15" max="15" width="9.85546875" style="34" customWidth="1"/>
    <col min="16" max="16" width="12.140625" style="34" customWidth="1"/>
    <col min="17" max="17" width="42.28515625" style="35" bestFit="1" customWidth="1"/>
    <col min="18" max="16384" width="9.140625" style="1"/>
  </cols>
  <sheetData>
    <row r="1" spans="1:18" ht="19.5">
      <c r="A1" s="61" t="s">
        <v>73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8" ht="15">
      <c r="A2" s="62" t="s">
        <v>72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8" ht="15">
      <c r="A3" s="81" t="s">
        <v>12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</row>
    <row r="4" spans="1:18">
      <c r="A4" s="82" t="s">
        <v>67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17"/>
    </row>
    <row r="5" spans="1:18" ht="17.25">
      <c r="A5" s="45"/>
      <c r="B5" s="18"/>
      <c r="C5" s="18"/>
      <c r="D5" s="18"/>
      <c r="E5" s="45"/>
      <c r="F5" s="45"/>
      <c r="G5" s="45"/>
      <c r="H5" s="45"/>
      <c r="I5" s="45"/>
      <c r="J5" s="45"/>
      <c r="K5" s="45"/>
      <c r="L5" s="45"/>
      <c r="M5" s="75" t="s">
        <v>62</v>
      </c>
      <c r="N5" s="76"/>
      <c r="O5" s="79" t="s">
        <v>65</v>
      </c>
      <c r="P5" s="79"/>
      <c r="Q5" s="18"/>
      <c r="R5" s="17"/>
    </row>
    <row r="6" spans="1:18" s="14" customFormat="1" ht="15">
      <c r="A6" s="52" t="s">
        <v>0</v>
      </c>
      <c r="B6" s="6"/>
      <c r="C6" s="6"/>
      <c r="D6" s="6"/>
      <c r="E6" s="6" t="s">
        <v>2</v>
      </c>
      <c r="F6" s="6" t="s">
        <v>3</v>
      </c>
      <c r="G6" s="6" t="s">
        <v>2</v>
      </c>
      <c r="H6" s="6" t="s">
        <v>2</v>
      </c>
      <c r="I6" s="6" t="s">
        <v>3</v>
      </c>
      <c r="J6" s="6" t="s">
        <v>4</v>
      </c>
      <c r="K6" s="6" t="s">
        <v>4</v>
      </c>
      <c r="L6" s="6" t="s">
        <v>4</v>
      </c>
      <c r="M6" s="77" t="s">
        <v>63</v>
      </c>
      <c r="N6" s="78"/>
      <c r="O6" s="80" t="s">
        <v>64</v>
      </c>
      <c r="P6" s="80"/>
      <c r="Q6" s="46" t="s">
        <v>1</v>
      </c>
    </row>
    <row r="7" spans="1:18" s="2" customFormat="1" ht="12">
      <c r="A7" s="53"/>
      <c r="B7" s="13">
        <v>2008</v>
      </c>
      <c r="C7" s="13">
        <v>2009</v>
      </c>
      <c r="D7" s="13">
        <v>2010</v>
      </c>
      <c r="E7" s="13">
        <v>2011</v>
      </c>
      <c r="F7" s="13">
        <v>2012</v>
      </c>
      <c r="G7" s="13">
        <v>2012</v>
      </c>
      <c r="H7" s="13">
        <v>2013</v>
      </c>
      <c r="I7" s="13">
        <v>2014</v>
      </c>
      <c r="J7" s="13">
        <v>2015</v>
      </c>
      <c r="K7" s="13">
        <v>2016</v>
      </c>
      <c r="L7" s="13">
        <v>2017</v>
      </c>
      <c r="M7" s="55">
        <v>2013</v>
      </c>
      <c r="N7" s="56">
        <v>2014</v>
      </c>
      <c r="O7" s="57" t="s">
        <v>66</v>
      </c>
      <c r="P7" s="57" t="s">
        <v>71</v>
      </c>
      <c r="Q7" s="19"/>
    </row>
    <row r="8" spans="1:18" s="2" customFormat="1" ht="21" customHeight="1">
      <c r="A8" s="20" t="s">
        <v>5</v>
      </c>
      <c r="B8" s="21">
        <f t="shared" ref="B8:K8" si="0">+B9+B27</f>
        <v>10176</v>
      </c>
      <c r="C8" s="21">
        <f t="shared" si="0"/>
        <v>10953.434156000001</v>
      </c>
      <c r="D8" s="21">
        <f t="shared" si="0"/>
        <v>10815.062102899999</v>
      </c>
      <c r="E8" s="21">
        <f t="shared" si="0"/>
        <v>12264.726665999999</v>
      </c>
      <c r="F8" s="21">
        <f t="shared" si="0"/>
        <v>14145.628022305787</v>
      </c>
      <c r="G8" s="22">
        <f t="shared" si="0"/>
        <v>13110.002924999999</v>
      </c>
      <c r="H8" s="22">
        <f t="shared" si="0"/>
        <v>13530.771002489999</v>
      </c>
      <c r="I8" s="22">
        <f t="shared" si="0"/>
        <v>16385.697186644444</v>
      </c>
      <c r="J8" s="22">
        <f t="shared" si="0"/>
        <v>22868.097447116819</v>
      </c>
      <c r="K8" s="22">
        <f t="shared" si="0"/>
        <v>23694.920478055952</v>
      </c>
      <c r="L8" s="22">
        <f t="shared" ref="L8" si="1">+L9+L27</f>
        <v>22336.238546691915</v>
      </c>
      <c r="M8" s="38">
        <f>H8/H8*100</f>
        <v>100</v>
      </c>
      <c r="N8" s="54">
        <f>I8/I8*100</f>
        <v>100</v>
      </c>
      <c r="O8" s="41">
        <f>+(H8-G8)/G8*100</f>
        <v>3.2095193257937438</v>
      </c>
      <c r="P8" s="41">
        <f>+(I8-H8)/H8*100</f>
        <v>21.099508547067032</v>
      </c>
      <c r="Q8" s="7" t="s">
        <v>13</v>
      </c>
    </row>
    <row r="9" spans="1:18" s="2" customFormat="1" ht="21" customHeight="1">
      <c r="A9" s="20" t="s">
        <v>6</v>
      </c>
      <c r="B9" s="21">
        <f t="shared" ref="B9:K9" si="2">+B10+B23+B24</f>
        <v>7463.2000000000007</v>
      </c>
      <c r="C9" s="21">
        <f t="shared" si="2"/>
        <v>8764.9308290000008</v>
      </c>
      <c r="D9" s="21">
        <f t="shared" si="2"/>
        <v>8428.0733739999996</v>
      </c>
      <c r="E9" s="21">
        <f t="shared" si="2"/>
        <v>9075.7434510000003</v>
      </c>
      <c r="F9" s="21">
        <f t="shared" si="2"/>
        <v>10522.12938529569</v>
      </c>
      <c r="G9" s="22">
        <f t="shared" si="2"/>
        <v>10316.485255</v>
      </c>
      <c r="H9" s="22">
        <f t="shared" si="2"/>
        <v>11573.214585849999</v>
      </c>
      <c r="I9" s="22">
        <f t="shared" si="2"/>
        <v>13549.702520606666</v>
      </c>
      <c r="J9" s="22">
        <f t="shared" si="2"/>
        <v>15782.473491601531</v>
      </c>
      <c r="K9" s="22">
        <f t="shared" si="2"/>
        <v>15489.598857350265</v>
      </c>
      <c r="L9" s="22">
        <f t="shared" ref="L9" si="3">+L10+L23+L24</f>
        <v>15259.319711336229</v>
      </c>
      <c r="M9" s="38">
        <f t="shared" ref="M9:M18" si="4">H9/H$8*100</f>
        <v>85.532558223919679</v>
      </c>
      <c r="N9" s="42">
        <f t="shared" ref="N9:N18" si="5">I9/I$8*100</f>
        <v>82.692255118999</v>
      </c>
      <c r="O9" s="41">
        <f t="shared" ref="O9:P18" si="6">+(H9-G9)/G9*100</f>
        <v>12.18175861048133</v>
      </c>
      <c r="P9" s="41">
        <f>+(I9-H9)/H9*100</f>
        <v>17.078123974070454</v>
      </c>
      <c r="Q9" s="8" t="s">
        <v>7</v>
      </c>
    </row>
    <row r="10" spans="1:18" s="3" customFormat="1" ht="21" customHeight="1">
      <c r="A10" s="20" t="s">
        <v>14</v>
      </c>
      <c r="B10" s="22">
        <f t="shared" ref="B10:H10" si="7">SUM(B11:B22)</f>
        <v>6704.0000000000009</v>
      </c>
      <c r="C10" s="22">
        <f t="shared" si="7"/>
        <v>7725.4148610000011</v>
      </c>
      <c r="D10" s="22">
        <f t="shared" si="7"/>
        <v>7113.477116</v>
      </c>
      <c r="E10" s="22">
        <f t="shared" si="7"/>
        <v>7352.3074530000004</v>
      </c>
      <c r="F10" s="22">
        <f t="shared" si="7"/>
        <v>8817.3874749850675</v>
      </c>
      <c r="G10" s="22">
        <f t="shared" si="7"/>
        <v>8519.2447279999997</v>
      </c>
      <c r="H10" s="22">
        <f t="shared" si="7"/>
        <v>8842.2643139699994</v>
      </c>
      <c r="I10" s="22">
        <f>SUM(I11:I22)</f>
        <v>10325.711428932222</v>
      </c>
      <c r="J10" s="22">
        <f>SUM(J11:J22)</f>
        <v>13018.395689603332</v>
      </c>
      <c r="K10" s="22">
        <f>SUM(K11:K22)</f>
        <v>12285.856223203333</v>
      </c>
      <c r="L10" s="22">
        <f>SUM(L11:L22)</f>
        <v>12491.346024273334</v>
      </c>
      <c r="M10" s="38">
        <f t="shared" si="4"/>
        <v>65.349301324682855</v>
      </c>
      <c r="N10" s="42">
        <f t="shared" si="5"/>
        <v>63.016613277514011</v>
      </c>
      <c r="O10" s="41">
        <f t="shared" si="6"/>
        <v>3.7916458123140768</v>
      </c>
      <c r="P10" s="41">
        <f t="shared" si="6"/>
        <v>16.776778687994049</v>
      </c>
      <c r="Q10" s="9" t="s">
        <v>15</v>
      </c>
    </row>
    <row r="11" spans="1:18" s="3" customFormat="1" ht="15">
      <c r="A11" s="23" t="s">
        <v>16</v>
      </c>
      <c r="B11" s="47">
        <v>2588.9</v>
      </c>
      <c r="C11" s="48">
        <v>2944.8222249999999</v>
      </c>
      <c r="D11" s="48">
        <v>2486.4620610000002</v>
      </c>
      <c r="E11" s="48">
        <v>2596.3040620000002</v>
      </c>
      <c r="F11" s="48">
        <v>2527.3335364730301</v>
      </c>
      <c r="G11" s="48">
        <v>2722.7159489999999</v>
      </c>
      <c r="H11" s="48">
        <v>3283.7425111899997</v>
      </c>
      <c r="I11" s="48">
        <v>3369.247596910001</v>
      </c>
      <c r="J11" s="48">
        <v>3717.9825930000002</v>
      </c>
      <c r="K11" s="48">
        <v>3557.974295</v>
      </c>
      <c r="L11" s="48">
        <v>3560.1258905</v>
      </c>
      <c r="M11" s="49">
        <f t="shared" si="4"/>
        <v>24.268702135197685</v>
      </c>
      <c r="N11" s="51">
        <f t="shared" si="5"/>
        <v>20.562125361722096</v>
      </c>
      <c r="O11" s="58">
        <f t="shared" si="6"/>
        <v>20.605401837678066</v>
      </c>
      <c r="P11" s="58">
        <f>+(I11-H11)/H11*100</f>
        <v>2.6038913047727048</v>
      </c>
      <c r="Q11" s="9" t="s">
        <v>17</v>
      </c>
    </row>
    <row r="12" spans="1:18" s="3" customFormat="1" ht="15">
      <c r="A12" s="23" t="s">
        <v>18</v>
      </c>
      <c r="B12" s="47">
        <v>977.2</v>
      </c>
      <c r="C12" s="48">
        <v>1797.9487119999999</v>
      </c>
      <c r="D12" s="48">
        <v>1691.8551520000001</v>
      </c>
      <c r="E12" s="48">
        <v>1684.651282</v>
      </c>
      <c r="F12" s="48">
        <v>1693.9412848249981</v>
      </c>
      <c r="G12" s="48">
        <v>1836.5324539999999</v>
      </c>
      <c r="H12" s="48">
        <v>2321.9727118199999</v>
      </c>
      <c r="I12" s="48">
        <v>2460.1336383655553</v>
      </c>
      <c r="J12" s="48">
        <v>2634.2943049999999</v>
      </c>
      <c r="K12" s="48">
        <v>2636.018341</v>
      </c>
      <c r="L12" s="48">
        <v>2642.2087414000002</v>
      </c>
      <c r="M12" s="49">
        <f t="shared" si="4"/>
        <v>17.160682945507681</v>
      </c>
      <c r="N12" s="51">
        <f t="shared" si="5"/>
        <v>15.013908839782211</v>
      </c>
      <c r="O12" s="58">
        <f t="shared" si="6"/>
        <v>26.432435580580272</v>
      </c>
      <c r="P12" s="58">
        <f>+(I12-H12)/H12*100</f>
        <v>5.9501528955205778</v>
      </c>
      <c r="Q12" s="9" t="s">
        <v>19</v>
      </c>
    </row>
    <row r="13" spans="1:18" s="3" customFormat="1" ht="15">
      <c r="A13" s="23" t="s">
        <v>20</v>
      </c>
      <c r="B13" s="47">
        <v>126.3</v>
      </c>
      <c r="C13" s="48">
        <v>286.51753100000002</v>
      </c>
      <c r="D13" s="48">
        <v>155.387157</v>
      </c>
      <c r="E13" s="48">
        <v>146.63359800000001</v>
      </c>
      <c r="F13" s="48">
        <v>159.16254198666658</v>
      </c>
      <c r="G13" s="48">
        <v>157.925938</v>
      </c>
      <c r="H13" s="48">
        <v>321.28531844000003</v>
      </c>
      <c r="I13" s="48">
        <v>376.41442767999996</v>
      </c>
      <c r="J13" s="48">
        <v>1165.3936080000001</v>
      </c>
      <c r="K13" s="48">
        <v>1125.2839355999999</v>
      </c>
      <c r="L13" s="48">
        <v>1206.3425354999999</v>
      </c>
      <c r="M13" s="49">
        <f t="shared" si="4"/>
        <v>2.37447901809051</v>
      </c>
      <c r="N13" s="51">
        <f t="shared" si="5"/>
        <v>2.2972133769614977</v>
      </c>
      <c r="O13" s="58">
        <f t="shared" si="6"/>
        <v>103.44050034390173</v>
      </c>
      <c r="P13" s="58">
        <f t="shared" si="6"/>
        <v>17.158925751005111</v>
      </c>
      <c r="Q13" s="9" t="s">
        <v>21</v>
      </c>
    </row>
    <row r="14" spans="1:18" s="3" customFormat="1" ht="15">
      <c r="A14" s="23" t="s">
        <v>22</v>
      </c>
      <c r="B14" s="47">
        <v>173.5</v>
      </c>
      <c r="C14" s="48">
        <v>133.39837399999999</v>
      </c>
      <c r="D14" s="48">
        <v>103.018094</v>
      </c>
      <c r="E14" s="48">
        <v>136.514331</v>
      </c>
      <c r="F14" s="48">
        <v>138.30028738441143</v>
      </c>
      <c r="G14" s="48">
        <v>139.60034300000001</v>
      </c>
      <c r="H14" s="48">
        <v>118.49545676999999</v>
      </c>
      <c r="I14" s="48">
        <v>109.11615370333331</v>
      </c>
      <c r="J14" s="48">
        <v>151.334563</v>
      </c>
      <c r="K14" s="48">
        <v>169.786272</v>
      </c>
      <c r="L14" s="48">
        <v>175.62505380000002</v>
      </c>
      <c r="M14" s="49">
        <f t="shared" si="4"/>
        <v>0.87574800244711748</v>
      </c>
      <c r="N14" s="51">
        <f t="shared" si="5"/>
        <v>0.66592316738448609</v>
      </c>
      <c r="O14" s="58">
        <f t="shared" si="6"/>
        <v>-15.118076199855768</v>
      </c>
      <c r="P14" s="58">
        <f t="shared" si="6"/>
        <v>-7.915327154586131</v>
      </c>
      <c r="Q14" s="9" t="s">
        <v>23</v>
      </c>
    </row>
    <row r="15" spans="1:18" s="3" customFormat="1" ht="15">
      <c r="A15" s="23" t="s">
        <v>69</v>
      </c>
      <c r="B15" s="47">
        <v>0</v>
      </c>
      <c r="C15" s="47">
        <v>0</v>
      </c>
      <c r="D15" s="47">
        <v>0</v>
      </c>
      <c r="E15" s="47">
        <v>0</v>
      </c>
      <c r="F15" s="48"/>
      <c r="G15" s="48">
        <v>308.01030900000001</v>
      </c>
      <c r="H15" s="48">
        <v>274.06769034999996</v>
      </c>
      <c r="I15" s="48">
        <v>305.57618130666668</v>
      </c>
      <c r="J15" s="48">
        <v>570.78561875000003</v>
      </c>
      <c r="K15" s="48">
        <v>515.38150674999997</v>
      </c>
      <c r="L15" s="48">
        <v>550.22560974999999</v>
      </c>
      <c r="M15" s="49">
        <f t="shared" si="4"/>
        <v>2.0255142171836673</v>
      </c>
      <c r="N15" s="51">
        <f t="shared" si="5"/>
        <v>1.8648958163082245</v>
      </c>
      <c r="O15" s="58">
        <f t="shared" si="6"/>
        <v>-11.019961883808261</v>
      </c>
      <c r="P15" s="58">
        <f t="shared" si="6"/>
        <v>11.496609073630164</v>
      </c>
      <c r="Q15" s="9" t="s">
        <v>70</v>
      </c>
    </row>
    <row r="16" spans="1:18" s="3" customFormat="1" ht="15">
      <c r="A16" s="23" t="s">
        <v>24</v>
      </c>
      <c r="B16" s="47">
        <v>435.7</v>
      </c>
      <c r="C16" s="48">
        <v>345.66474499999998</v>
      </c>
      <c r="D16" s="48">
        <v>315.84864700000003</v>
      </c>
      <c r="E16" s="48">
        <v>353.68075299999998</v>
      </c>
      <c r="F16" s="48">
        <v>387.57731545110539</v>
      </c>
      <c r="G16" s="48">
        <v>496.65301599999998</v>
      </c>
      <c r="H16" s="48">
        <v>537.30073173999995</v>
      </c>
      <c r="I16" s="48">
        <v>676.63078384888911</v>
      </c>
      <c r="J16" s="48">
        <v>948.33292099999994</v>
      </c>
      <c r="K16" s="48">
        <v>871.68669399999999</v>
      </c>
      <c r="L16" s="48">
        <v>890.45485669999994</v>
      </c>
      <c r="M16" s="49">
        <f t="shared" si="4"/>
        <v>3.9709542910830669</v>
      </c>
      <c r="N16" s="51">
        <f t="shared" si="5"/>
        <v>4.1293988051994104</v>
      </c>
      <c r="O16" s="58">
        <f t="shared" si="6"/>
        <v>8.1843287829747045</v>
      </c>
      <c r="P16" s="58">
        <f t="shared" si="6"/>
        <v>25.931483781472132</v>
      </c>
      <c r="Q16" s="9" t="s">
        <v>25</v>
      </c>
    </row>
    <row r="17" spans="1:17" s="3" customFormat="1" ht="15">
      <c r="A17" s="23" t="s">
        <v>26</v>
      </c>
      <c r="B17" s="47">
        <v>181.1</v>
      </c>
      <c r="C17" s="48">
        <v>138.21754999999999</v>
      </c>
      <c r="D17" s="48">
        <v>121.898888</v>
      </c>
      <c r="E17" s="48">
        <v>127.86300199999999</v>
      </c>
      <c r="F17" s="48">
        <v>121.2473748227352</v>
      </c>
      <c r="G17" s="48">
        <v>195.09169399999999</v>
      </c>
      <c r="H17" s="48">
        <v>99.355695399999988</v>
      </c>
      <c r="I17" s="48">
        <v>169.0953721911111</v>
      </c>
      <c r="J17" s="48">
        <v>344.44665800000001</v>
      </c>
      <c r="K17" s="48">
        <v>278.09959900000001</v>
      </c>
      <c r="L17" s="48">
        <v>277.55236020000001</v>
      </c>
      <c r="M17" s="49">
        <f t="shared" si="4"/>
        <v>0.73429441220841052</v>
      </c>
      <c r="N17" s="51">
        <f t="shared" si="5"/>
        <v>1.0319693465892703</v>
      </c>
      <c r="O17" s="58">
        <f t="shared" si="6"/>
        <v>-49.072308839555213</v>
      </c>
      <c r="P17" s="58">
        <f t="shared" si="6"/>
        <v>70.191926603043157</v>
      </c>
      <c r="Q17" s="9" t="s">
        <v>27</v>
      </c>
    </row>
    <row r="18" spans="1:17" s="3" customFormat="1" ht="15">
      <c r="A18" s="23" t="s">
        <v>28</v>
      </c>
      <c r="B18" s="71">
        <v>1044.5999999999999</v>
      </c>
      <c r="C18" s="72">
        <v>883.85667899999999</v>
      </c>
      <c r="D18" s="72">
        <v>864.94494099999997</v>
      </c>
      <c r="E18" s="70">
        <v>990.785977</v>
      </c>
      <c r="F18" s="70">
        <v>1009.8796036041454</v>
      </c>
      <c r="G18" s="70">
        <v>1035.3256839999999</v>
      </c>
      <c r="H18" s="64">
        <v>1038.28734955</v>
      </c>
      <c r="I18" s="64">
        <v>1332.818698806667</v>
      </c>
      <c r="J18" s="64">
        <v>1814.6585278533332</v>
      </c>
      <c r="K18" s="64">
        <v>1600.0124988533335</v>
      </c>
      <c r="L18" s="69">
        <v>1639.7787972233334</v>
      </c>
      <c r="M18" s="74">
        <f t="shared" si="4"/>
        <v>7.6735268770636145</v>
      </c>
      <c r="N18" s="67">
        <f t="shared" si="5"/>
        <v>8.1340371643936713</v>
      </c>
      <c r="O18" s="65">
        <f t="shared" si="6"/>
        <v>0.28606124582534115</v>
      </c>
      <c r="P18" s="65">
        <f t="shared" si="6"/>
        <v>28.367036291477373</v>
      </c>
      <c r="Q18" s="9" t="s">
        <v>29</v>
      </c>
    </row>
    <row r="19" spans="1:17" s="3" customFormat="1" ht="15">
      <c r="A19" s="23" t="s">
        <v>30</v>
      </c>
      <c r="B19" s="71"/>
      <c r="C19" s="72"/>
      <c r="D19" s="72"/>
      <c r="E19" s="70"/>
      <c r="F19" s="70"/>
      <c r="G19" s="70"/>
      <c r="H19" s="64"/>
      <c r="I19" s="64"/>
      <c r="J19" s="64"/>
      <c r="K19" s="64"/>
      <c r="L19" s="69"/>
      <c r="M19" s="74"/>
      <c r="N19" s="67"/>
      <c r="O19" s="65"/>
      <c r="P19" s="65"/>
      <c r="Q19" s="9" t="s">
        <v>31</v>
      </c>
    </row>
    <row r="20" spans="1:17" s="3" customFormat="1" ht="15">
      <c r="A20" s="23" t="s">
        <v>32</v>
      </c>
      <c r="B20" s="71">
        <v>21.2</v>
      </c>
      <c r="C20" s="72">
        <v>16.188054000000001</v>
      </c>
      <c r="D20" s="72">
        <v>13.388978</v>
      </c>
      <c r="E20" s="72">
        <v>17.164441</v>
      </c>
      <c r="F20" s="72">
        <v>23.852456573333328</v>
      </c>
      <c r="G20" s="72">
        <v>32.124121000000002</v>
      </c>
      <c r="H20" s="63">
        <v>24.469034969999999</v>
      </c>
      <c r="I20" s="63">
        <v>30.045311320000003</v>
      </c>
      <c r="J20" s="63">
        <v>39.038969000000002</v>
      </c>
      <c r="K20" s="63">
        <v>40.502512000000003</v>
      </c>
      <c r="L20" s="66">
        <v>42.917976000000003</v>
      </c>
      <c r="M20" s="73">
        <f>H20/H$8*100</f>
        <v>0.18083991640607242</v>
      </c>
      <c r="N20" s="68">
        <f>I20/I$8*100</f>
        <v>0.18336303288021921</v>
      </c>
      <c r="O20" s="65">
        <f>+(H20-G20)/G20*100</f>
        <v>-23.829713597455328</v>
      </c>
      <c r="P20" s="65">
        <f>+(I20-H20)/H20*100</f>
        <v>22.78911431054285</v>
      </c>
      <c r="Q20" s="9" t="s">
        <v>33</v>
      </c>
    </row>
    <row r="21" spans="1:17" s="2" customFormat="1" ht="15">
      <c r="A21" s="23" t="s">
        <v>34</v>
      </c>
      <c r="B21" s="71"/>
      <c r="C21" s="72"/>
      <c r="D21" s="72"/>
      <c r="E21" s="72"/>
      <c r="F21" s="72"/>
      <c r="G21" s="72"/>
      <c r="H21" s="63"/>
      <c r="I21" s="63"/>
      <c r="J21" s="63"/>
      <c r="K21" s="63"/>
      <c r="L21" s="66"/>
      <c r="M21" s="73"/>
      <c r="N21" s="68"/>
      <c r="O21" s="65"/>
      <c r="P21" s="65"/>
      <c r="Q21" s="9" t="s">
        <v>35</v>
      </c>
    </row>
    <row r="22" spans="1:17" s="2" customFormat="1" ht="15">
      <c r="A22" s="23" t="s">
        <v>36</v>
      </c>
      <c r="B22" s="47">
        <v>1155.5</v>
      </c>
      <c r="C22" s="48">
        <v>1178.8009910000001</v>
      </c>
      <c r="D22" s="48">
        <v>1360.673198</v>
      </c>
      <c r="E22" s="48">
        <v>1298.7100069999999</v>
      </c>
      <c r="F22" s="48">
        <v>2756.0930738646425</v>
      </c>
      <c r="G22" s="48">
        <v>1595.26522</v>
      </c>
      <c r="H22" s="48">
        <v>823.28781374000005</v>
      </c>
      <c r="I22" s="48">
        <v>1496.6332647999996</v>
      </c>
      <c r="J22" s="48">
        <v>1632.1279259999999</v>
      </c>
      <c r="K22" s="48">
        <v>1491.1105689999999</v>
      </c>
      <c r="L22" s="48">
        <v>1506.1142031999998</v>
      </c>
      <c r="M22" s="49">
        <f t="shared" ref="M22:M33" si="8">H22/H$8*100</f>
        <v>6.0845595094950209</v>
      </c>
      <c r="N22" s="51">
        <f t="shared" ref="N22:N33" si="9">I22/I$8*100</f>
        <v>9.1337783662929297</v>
      </c>
      <c r="O22" s="58">
        <f>+(H22-G22)/G22*100</f>
        <v>-48.391790692960754</v>
      </c>
      <c r="P22" s="58">
        <f>+(I22-H22)/H22*100</f>
        <v>81.787370081569875</v>
      </c>
      <c r="Q22" s="9" t="s">
        <v>37</v>
      </c>
    </row>
    <row r="23" spans="1:17" s="3" customFormat="1" ht="15">
      <c r="A23" s="20" t="s">
        <v>38</v>
      </c>
      <c r="B23" s="37">
        <v>280</v>
      </c>
      <c r="C23" s="22">
        <v>617.87877800000001</v>
      </c>
      <c r="D23" s="22">
        <v>675.78201999999999</v>
      </c>
      <c r="E23" s="22">
        <v>725.78473299999996</v>
      </c>
      <c r="F23" s="22">
        <v>924.91904556651195</v>
      </c>
      <c r="G23" s="22">
        <v>1107.0812289999999</v>
      </c>
      <c r="H23" s="22">
        <v>956.72619699999996</v>
      </c>
      <c r="I23" s="22">
        <v>839.99671311111115</v>
      </c>
      <c r="J23" s="22">
        <v>1378.7312539981999</v>
      </c>
      <c r="K23" s="22">
        <v>1762.045869146933</v>
      </c>
      <c r="L23" s="22">
        <v>1273.9575550628945</v>
      </c>
      <c r="M23" s="38">
        <f t="shared" si="8"/>
        <v>7.0707441344173105</v>
      </c>
      <c r="N23" s="42">
        <f t="shared" si="9"/>
        <v>5.1264020294221639</v>
      </c>
      <c r="O23" s="41">
        <f t="shared" ref="O23:P37" si="10">+(H23-G23)/G23*100</f>
        <v>-13.581210489478904</v>
      </c>
      <c r="P23" s="41">
        <f t="shared" si="10"/>
        <v>-12.200928986257162</v>
      </c>
      <c r="Q23" s="8" t="s">
        <v>39</v>
      </c>
    </row>
    <row r="24" spans="1:17" s="3" customFormat="1" ht="15">
      <c r="A24" s="20" t="s">
        <v>40</v>
      </c>
      <c r="B24" s="22">
        <f t="shared" ref="B24:L24" si="11">SUM(B25:B26)</f>
        <v>479.2</v>
      </c>
      <c r="C24" s="22">
        <f t="shared" si="11"/>
        <v>421.63718999999998</v>
      </c>
      <c r="D24" s="22">
        <f t="shared" si="11"/>
        <v>638.81423799999993</v>
      </c>
      <c r="E24" s="22">
        <f t="shared" si="11"/>
        <v>997.65126500000008</v>
      </c>
      <c r="F24" s="22">
        <f t="shared" si="11"/>
        <v>779.82286474411012</v>
      </c>
      <c r="G24" s="22">
        <f t="shared" si="11"/>
        <v>690.15929800000004</v>
      </c>
      <c r="H24" s="22">
        <f t="shared" si="11"/>
        <v>1774.22407488</v>
      </c>
      <c r="I24" s="22">
        <f t="shared" si="11"/>
        <v>2383.9943785633332</v>
      </c>
      <c r="J24" s="22">
        <f t="shared" si="11"/>
        <v>1385.346548</v>
      </c>
      <c r="K24" s="22">
        <f t="shared" si="11"/>
        <v>1441.6967650000001</v>
      </c>
      <c r="L24" s="22">
        <f t="shared" si="11"/>
        <v>1494.016132</v>
      </c>
      <c r="M24" s="38">
        <f t="shared" si="8"/>
        <v>13.112512764819526</v>
      </c>
      <c r="N24" s="42">
        <f t="shared" si="9"/>
        <v>14.549239812062833</v>
      </c>
      <c r="O24" s="41">
        <f t="shared" si="10"/>
        <v>157.07457394568056</v>
      </c>
      <c r="P24" s="41">
        <f t="shared" si="10"/>
        <v>34.368280326969135</v>
      </c>
      <c r="Q24" s="8" t="s">
        <v>41</v>
      </c>
    </row>
    <row r="25" spans="1:17" s="2" customFormat="1" ht="15">
      <c r="A25" s="24" t="s">
        <v>42</v>
      </c>
      <c r="B25" s="47">
        <v>409.5</v>
      </c>
      <c r="C25" s="48">
        <v>326.71006599999998</v>
      </c>
      <c r="D25" s="48">
        <v>389.53778699999998</v>
      </c>
      <c r="E25" s="48">
        <v>748.89331000000004</v>
      </c>
      <c r="F25" s="48">
        <v>524.65218775999983</v>
      </c>
      <c r="G25" s="48">
        <v>442.056106</v>
      </c>
      <c r="H25" s="48">
        <v>1308.5437119999999</v>
      </c>
      <c r="I25" s="48">
        <v>1353.0250530000001</v>
      </c>
      <c r="J25" s="48">
        <v>842.4</v>
      </c>
      <c r="K25" s="48">
        <v>864.1</v>
      </c>
      <c r="L25" s="48">
        <v>876.38499999999999</v>
      </c>
      <c r="M25" s="49">
        <f t="shared" si="8"/>
        <v>9.6708732396638393</v>
      </c>
      <c r="N25" s="51">
        <f t="shared" si="9"/>
        <v>8.2573541887666266</v>
      </c>
      <c r="O25" s="58">
        <f t="shared" si="10"/>
        <v>196.01303867070664</v>
      </c>
      <c r="P25" s="58">
        <f t="shared" si="10"/>
        <v>3.3993011155901041</v>
      </c>
      <c r="Q25" s="9" t="s">
        <v>43</v>
      </c>
    </row>
    <row r="26" spans="1:17" s="3" customFormat="1" ht="15">
      <c r="A26" s="23" t="s">
        <v>44</v>
      </c>
      <c r="B26" s="47">
        <v>69.7</v>
      </c>
      <c r="C26" s="48">
        <v>94.927124000000006</v>
      </c>
      <c r="D26" s="48">
        <v>249.27645100000001</v>
      </c>
      <c r="E26" s="48">
        <v>248.75795500000001</v>
      </c>
      <c r="F26" s="48">
        <v>255.17067698411032</v>
      </c>
      <c r="G26" s="48">
        <v>248.10319200000001</v>
      </c>
      <c r="H26" s="48">
        <v>465.68036288000002</v>
      </c>
      <c r="I26" s="48">
        <v>1030.9693255633333</v>
      </c>
      <c r="J26" s="48">
        <v>542.94654800000001</v>
      </c>
      <c r="K26" s="48">
        <v>577.596765</v>
      </c>
      <c r="L26" s="48">
        <v>617.63113199999998</v>
      </c>
      <c r="M26" s="49">
        <f t="shared" si="8"/>
        <v>3.4416395251556855</v>
      </c>
      <c r="N26" s="51">
        <f t="shared" si="9"/>
        <v>6.2918856232962099</v>
      </c>
      <c r="O26" s="58">
        <f t="shared" si="10"/>
        <v>87.696240070945962</v>
      </c>
      <c r="P26" s="58">
        <f t="shared" si="10"/>
        <v>121.38990770134774</v>
      </c>
      <c r="Q26" s="9" t="s">
        <v>45</v>
      </c>
    </row>
    <row r="27" spans="1:17" s="2" customFormat="1" ht="15">
      <c r="A27" s="20" t="s">
        <v>46</v>
      </c>
      <c r="B27" s="21">
        <f t="shared" ref="B27:K27" si="12">+B28+B34</f>
        <v>2712.7999999999997</v>
      </c>
      <c r="C27" s="21">
        <f t="shared" si="12"/>
        <v>2188.5033270000004</v>
      </c>
      <c r="D27" s="21">
        <f t="shared" si="12"/>
        <v>2386.9887288999994</v>
      </c>
      <c r="E27" s="21">
        <f t="shared" si="12"/>
        <v>3188.9832149999993</v>
      </c>
      <c r="F27" s="21">
        <f t="shared" si="12"/>
        <v>3623.4986370100969</v>
      </c>
      <c r="G27" s="22">
        <f t="shared" si="12"/>
        <v>2793.5176699999997</v>
      </c>
      <c r="H27" s="22">
        <f t="shared" si="12"/>
        <v>1957.5564166399993</v>
      </c>
      <c r="I27" s="22">
        <f t="shared" si="12"/>
        <v>2835.9946660377768</v>
      </c>
      <c r="J27" s="22">
        <f t="shared" si="12"/>
        <v>7085.623955515287</v>
      </c>
      <c r="K27" s="22">
        <f t="shared" si="12"/>
        <v>8205.3216207056885</v>
      </c>
      <c r="L27" s="22">
        <f t="shared" ref="L27" si="13">+L28+L34</f>
        <v>7076.9188353556874</v>
      </c>
      <c r="M27" s="38">
        <f t="shared" si="8"/>
        <v>14.467441776080314</v>
      </c>
      <c r="N27" s="42">
        <f t="shared" si="9"/>
        <v>17.307744881000989</v>
      </c>
      <c r="O27" s="41">
        <f t="shared" si="10"/>
        <v>-29.925039040830569</v>
      </c>
      <c r="P27" s="41">
        <f t="shared" si="10"/>
        <v>44.874223901324477</v>
      </c>
      <c r="Q27" s="8" t="s">
        <v>47</v>
      </c>
    </row>
    <row r="28" spans="1:17" s="3" customFormat="1" ht="15">
      <c r="A28" s="20" t="s">
        <v>48</v>
      </c>
      <c r="B28" s="22">
        <f t="shared" ref="B28:K28" si="14">SUM(B29:B33)</f>
        <v>2879.2</v>
      </c>
      <c r="C28" s="22">
        <f t="shared" si="14"/>
        <v>2339.3396600000005</v>
      </c>
      <c r="D28" s="22">
        <f t="shared" si="14"/>
        <v>2568.2887288999996</v>
      </c>
      <c r="E28" s="22">
        <f t="shared" si="14"/>
        <v>3587.9832149999993</v>
      </c>
      <c r="F28" s="22">
        <f t="shared" si="14"/>
        <v>3693.7986370100971</v>
      </c>
      <c r="G28" s="22">
        <f t="shared" si="14"/>
        <v>2883.7493059999997</v>
      </c>
      <c r="H28" s="22">
        <f t="shared" si="14"/>
        <v>2093.0414236399993</v>
      </c>
      <c r="I28" s="22">
        <f t="shared" si="14"/>
        <v>2938.4748929266657</v>
      </c>
      <c r="J28" s="22">
        <f t="shared" si="14"/>
        <v>7062.4926644499992</v>
      </c>
      <c r="K28" s="22">
        <f t="shared" si="14"/>
        <v>8266.8082065500002</v>
      </c>
      <c r="L28" s="22">
        <f t="shared" ref="L28" si="15">SUM(L29:L33)</f>
        <v>7105.3261291999997</v>
      </c>
      <c r="M28" s="38">
        <f t="shared" si="8"/>
        <v>15.468752100340973</v>
      </c>
      <c r="N28" s="42">
        <f t="shared" si="9"/>
        <v>17.933169760525907</v>
      </c>
      <c r="O28" s="41">
        <f t="shared" si="10"/>
        <v>-27.419439016936536</v>
      </c>
      <c r="P28" s="41">
        <f t="shared" si="10"/>
        <v>40.392581806449712</v>
      </c>
      <c r="Q28" s="8" t="s">
        <v>49</v>
      </c>
    </row>
    <row r="29" spans="1:17" s="2" customFormat="1" ht="15">
      <c r="A29" s="23" t="s">
        <v>50</v>
      </c>
      <c r="B29" s="48">
        <v>1098</v>
      </c>
      <c r="C29" s="48">
        <v>738.42376899999999</v>
      </c>
      <c r="D29" s="48">
        <v>1256.347945</v>
      </c>
      <c r="E29" s="48">
        <v>1327.61689</v>
      </c>
      <c r="F29" s="48">
        <v>1891.8309750000001</v>
      </c>
      <c r="G29" s="48">
        <v>1131.645327</v>
      </c>
      <c r="H29" s="48">
        <v>1176.9269400000001</v>
      </c>
      <c r="I29" s="48">
        <v>388.55516299999999</v>
      </c>
      <c r="J29" s="48">
        <v>1903.123171</v>
      </c>
      <c r="K29" s="48">
        <v>2663.4449690000001</v>
      </c>
      <c r="L29" s="48">
        <v>3112.5118649999999</v>
      </c>
      <c r="M29" s="49">
        <f t="shared" si="8"/>
        <v>8.6981513454289949</v>
      </c>
      <c r="N29" s="51">
        <f t="shared" si="9"/>
        <v>2.3713068694855486</v>
      </c>
      <c r="O29" s="58">
        <f t="shared" si="10"/>
        <v>4.0013961900980046</v>
      </c>
      <c r="P29" s="58">
        <f t="shared" si="10"/>
        <v>-66.98561739099965</v>
      </c>
      <c r="Q29" s="9" t="s">
        <v>51</v>
      </c>
    </row>
    <row r="30" spans="1:17" s="2" customFormat="1" ht="15">
      <c r="A30" s="23" t="s">
        <v>74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9">
        <f t="shared" si="8"/>
        <v>0</v>
      </c>
      <c r="N30" s="51">
        <f t="shared" si="9"/>
        <v>0</v>
      </c>
      <c r="O30" s="58">
        <v>0</v>
      </c>
      <c r="P30" s="58">
        <v>1</v>
      </c>
      <c r="Q30" s="9" t="s">
        <v>68</v>
      </c>
    </row>
    <row r="31" spans="1:17" s="2" customFormat="1" ht="15">
      <c r="A31" s="23" t="s">
        <v>75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48">
        <v>154.819729</v>
      </c>
      <c r="H31" s="48">
        <v>36.444533999999997</v>
      </c>
      <c r="I31" s="48">
        <v>330.24794000000003</v>
      </c>
      <c r="J31" s="48">
        <v>1324.2914619999999</v>
      </c>
      <c r="K31" s="48">
        <v>1499.07925</v>
      </c>
      <c r="L31" s="48">
        <v>799.68397200000004</v>
      </c>
      <c r="M31" s="49">
        <f t="shared" si="8"/>
        <v>0.26934558269660536</v>
      </c>
      <c r="N31" s="51">
        <f t="shared" si="9"/>
        <v>2.0154646838535286</v>
      </c>
      <c r="O31" s="58">
        <f>+(H31-G31)/G31*100</f>
        <v>-76.460019510820871</v>
      </c>
      <c r="P31" s="58">
        <f>+(I31-H31)/H31*100</f>
        <v>806.16590131184034</v>
      </c>
      <c r="Q31" s="9"/>
    </row>
    <row r="32" spans="1:17" s="2" customFormat="1" ht="17.25" customHeight="1">
      <c r="A32" s="23" t="s">
        <v>76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48">
        <v>522.60649899999999</v>
      </c>
      <c r="H32" s="48">
        <v>645.19940499999996</v>
      </c>
      <c r="I32" s="48">
        <v>1761.34894133333</v>
      </c>
      <c r="J32" s="48">
        <v>3185.508409</v>
      </c>
      <c r="K32" s="48">
        <v>3610.1533497199998</v>
      </c>
      <c r="L32" s="48">
        <v>2720.0231370000001</v>
      </c>
      <c r="M32" s="49">
        <f t="shared" si="8"/>
        <v>4.7683861095666105</v>
      </c>
      <c r="N32" s="51">
        <f t="shared" si="9"/>
        <v>10.749307284702905</v>
      </c>
      <c r="O32" s="58">
        <f t="shared" si="10"/>
        <v>23.457975787629838</v>
      </c>
      <c r="P32" s="58">
        <f t="shared" si="10"/>
        <v>172.99295809693598</v>
      </c>
      <c r="Q32" s="9"/>
    </row>
    <row r="33" spans="1:21" s="3" customFormat="1" ht="17.25" customHeight="1">
      <c r="A33" s="23" t="s">
        <v>52</v>
      </c>
      <c r="B33" s="48">
        <v>1781.2</v>
      </c>
      <c r="C33" s="48">
        <v>1600.9158910000006</v>
      </c>
      <c r="D33" s="48">
        <v>1311.9407838999996</v>
      </c>
      <c r="E33" s="48">
        <v>2260.3663249999995</v>
      </c>
      <c r="F33" s="48">
        <v>1801.9676620100972</v>
      </c>
      <c r="G33" s="48">
        <v>1074.6777509999999</v>
      </c>
      <c r="H33" s="48">
        <v>234.47054463999962</v>
      </c>
      <c r="I33" s="48">
        <v>458.32284859333561</v>
      </c>
      <c r="J33" s="48">
        <v>649.56962244999875</v>
      </c>
      <c r="K33" s="48">
        <v>494.13063783000081</v>
      </c>
      <c r="L33" s="48">
        <v>473.10715519999968</v>
      </c>
      <c r="M33" s="49">
        <f t="shared" si="8"/>
        <v>1.7328690626487671</v>
      </c>
      <c r="N33" s="51">
        <f t="shared" si="9"/>
        <v>2.7970909224839251</v>
      </c>
      <c r="O33" s="58">
        <f t="shared" si="10"/>
        <v>-78.182246313202057</v>
      </c>
      <c r="P33" s="58">
        <f t="shared" si="10"/>
        <v>95.471396757760502</v>
      </c>
      <c r="Q33" s="9" t="s">
        <v>53</v>
      </c>
      <c r="R33" s="5"/>
      <c r="U33" s="25"/>
    </row>
    <row r="34" spans="1:21" s="2" customFormat="1" ht="17.25" customHeight="1">
      <c r="A34" s="20" t="s">
        <v>8</v>
      </c>
      <c r="B34" s="26">
        <v>-166.4</v>
      </c>
      <c r="C34" s="26">
        <v>-150.836333</v>
      </c>
      <c r="D34" s="26">
        <v>-181.3</v>
      </c>
      <c r="E34" s="26">
        <v>-399</v>
      </c>
      <c r="F34" s="26">
        <v>-70.3</v>
      </c>
      <c r="G34" s="26">
        <v>-90.231635999999995</v>
      </c>
      <c r="H34" s="26">
        <v>-135.485007</v>
      </c>
      <c r="I34" s="26">
        <v>-102.48022688888889</v>
      </c>
      <c r="J34" s="26">
        <v>23.131291065288011</v>
      </c>
      <c r="K34" s="26">
        <v>-61.486585844311989</v>
      </c>
      <c r="L34" s="26">
        <v>-28.407293844311994</v>
      </c>
      <c r="M34" s="40">
        <v>0</v>
      </c>
      <c r="N34" s="43">
        <v>0</v>
      </c>
      <c r="O34" s="41">
        <f>+(H34-G34)/G34*100</f>
        <v>50.152444315650001</v>
      </c>
      <c r="P34" s="41">
        <f>+(I34-H34)/H34*100</f>
        <v>-24.360466771877647</v>
      </c>
      <c r="Q34" s="8" t="s">
        <v>9</v>
      </c>
      <c r="R34" s="7"/>
      <c r="U34" s="27"/>
    </row>
    <row r="35" spans="1:21" s="3" customFormat="1" ht="17.25" customHeight="1">
      <c r="A35" s="28" t="s">
        <v>54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8"/>
      <c r="N35" s="42"/>
      <c r="O35" s="58"/>
      <c r="P35" s="58"/>
      <c r="Q35" s="12" t="s">
        <v>55</v>
      </c>
    </row>
    <row r="36" spans="1:21" s="3" customFormat="1" ht="17.25" customHeight="1">
      <c r="A36" s="28" t="s">
        <v>56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38"/>
      <c r="N36" s="42"/>
      <c r="O36" s="58"/>
      <c r="P36" s="58"/>
      <c r="Q36" s="12" t="s">
        <v>57</v>
      </c>
    </row>
    <row r="37" spans="1:21" s="3" customFormat="1" ht="17.25" customHeight="1">
      <c r="A37" s="4" t="s">
        <v>58</v>
      </c>
      <c r="B37" s="29">
        <v>0.2</v>
      </c>
      <c r="C37" s="29">
        <v>1.1656</v>
      </c>
      <c r="D37" s="29">
        <v>0</v>
      </c>
      <c r="E37" s="29">
        <v>8.7040279999999992</v>
      </c>
      <c r="F37" s="29">
        <v>61.816024759999998</v>
      </c>
      <c r="G37" s="29">
        <v>46.362653000000002</v>
      </c>
      <c r="H37" s="29">
        <v>0</v>
      </c>
      <c r="I37" s="29">
        <v>6.1525811111111111</v>
      </c>
      <c r="J37" s="29">
        <v>140.58581806528801</v>
      </c>
      <c r="K37" s="29">
        <v>56.184537155688005</v>
      </c>
      <c r="L37" s="29">
        <v>56.184537155688005</v>
      </c>
      <c r="M37" s="39">
        <f>H37/H$8*100</f>
        <v>0</v>
      </c>
      <c r="N37" s="44">
        <f>I37/I$8*100</f>
        <v>3.7548485371290276E-2</v>
      </c>
      <c r="O37" s="59">
        <f t="shared" si="10"/>
        <v>-100</v>
      </c>
      <c r="P37" s="60">
        <v>0</v>
      </c>
      <c r="Q37" s="10" t="s">
        <v>59</v>
      </c>
    </row>
    <row r="38" spans="1:21" s="3" customFormat="1" ht="17.25" customHeight="1">
      <c r="A38" s="30" t="s">
        <v>60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31"/>
      <c r="P38" s="31"/>
      <c r="Q38" s="5" t="s">
        <v>61</v>
      </c>
    </row>
    <row r="39" spans="1:21" s="3" customFormat="1" ht="17.25" customHeight="1">
      <c r="A39" s="11" t="s">
        <v>10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31"/>
      <c r="P39" s="31"/>
      <c r="Q39" s="5" t="s">
        <v>11</v>
      </c>
    </row>
    <row r="40" spans="1:21" s="3" customFormat="1" ht="12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31"/>
      <c r="P40" s="31"/>
    </row>
    <row r="41" spans="1:21" s="3" customFormat="1" ht="12">
      <c r="O41" s="32"/>
      <c r="P41" s="32"/>
      <c r="Q41" s="33"/>
    </row>
    <row r="42" spans="1:21" s="3" customFormat="1" ht="12">
      <c r="O42" s="32"/>
      <c r="P42" s="32"/>
      <c r="Q42" s="33"/>
    </row>
    <row r="43" spans="1:21" s="3" customFormat="1" ht="12">
      <c r="O43" s="32"/>
      <c r="P43" s="32"/>
      <c r="Q43" s="33"/>
    </row>
    <row r="44" spans="1:21" s="3" customFormat="1" ht="12">
      <c r="O44" s="32"/>
      <c r="P44" s="32"/>
      <c r="Q44" s="33"/>
    </row>
    <row r="45" spans="1:21" s="3" customFormat="1" ht="12">
      <c r="O45" s="32"/>
      <c r="P45" s="32"/>
      <c r="Q45" s="33"/>
    </row>
    <row r="46" spans="1:21" s="3" customFormat="1" ht="12">
      <c r="O46" s="32"/>
      <c r="P46" s="32"/>
      <c r="Q46" s="33"/>
    </row>
    <row r="47" spans="1:21" s="3" customFormat="1" ht="12">
      <c r="O47" s="32"/>
      <c r="P47" s="32"/>
      <c r="Q47" s="33"/>
    </row>
    <row r="48" spans="1:21" s="3" customFormat="1" ht="12">
      <c r="O48" s="32"/>
      <c r="P48" s="32"/>
      <c r="Q48" s="33"/>
    </row>
    <row r="49" spans="15:17" s="3" customFormat="1" ht="12">
      <c r="O49" s="32"/>
      <c r="P49" s="32"/>
      <c r="Q49" s="33"/>
    </row>
    <row r="50" spans="15:17" s="3" customFormat="1" ht="12">
      <c r="O50" s="32"/>
      <c r="P50" s="32"/>
      <c r="Q50" s="33"/>
    </row>
    <row r="51" spans="15:17" s="3" customFormat="1" ht="12">
      <c r="O51" s="32"/>
      <c r="P51" s="32"/>
      <c r="Q51" s="33"/>
    </row>
  </sheetData>
  <mergeCells count="38">
    <mergeCell ref="M5:N5"/>
    <mergeCell ref="M6:N6"/>
    <mergeCell ref="O5:P5"/>
    <mergeCell ref="O6:P6"/>
    <mergeCell ref="A1:Q1"/>
    <mergeCell ref="A2:Q2"/>
    <mergeCell ref="A3:Q3"/>
    <mergeCell ref="A4:Q4"/>
    <mergeCell ref="B18:B19"/>
    <mergeCell ref="C18:C19"/>
    <mergeCell ref="D18:D19"/>
    <mergeCell ref="E18:E19"/>
    <mergeCell ref="F18:F19"/>
    <mergeCell ref="G18:G19"/>
    <mergeCell ref="H18:H19"/>
    <mergeCell ref="I18:I19"/>
    <mergeCell ref="P18:P19"/>
    <mergeCell ref="B20:B21"/>
    <mergeCell ref="C20:C21"/>
    <mergeCell ref="D20:D21"/>
    <mergeCell ref="E20:E21"/>
    <mergeCell ref="F20:F21"/>
    <mergeCell ref="G20:G21"/>
    <mergeCell ref="O20:O21"/>
    <mergeCell ref="O18:O19"/>
    <mergeCell ref="M20:M21"/>
    <mergeCell ref="M18:M19"/>
    <mergeCell ref="H20:H21"/>
    <mergeCell ref="I20:I21"/>
    <mergeCell ref="J20:J21"/>
    <mergeCell ref="K20:K21"/>
    <mergeCell ref="J18:J19"/>
    <mergeCell ref="K18:K19"/>
    <mergeCell ref="P20:P21"/>
    <mergeCell ref="L20:L21"/>
    <mergeCell ref="N18:N19"/>
    <mergeCell ref="N20:N21"/>
    <mergeCell ref="L18:L19"/>
  </mergeCells>
  <pageMargins left="0.17" right="0.16" top="0.35" bottom="0.27" header="0.17" footer="0.17"/>
  <pageSetup paperSize="9" scale="67" orientation="landscape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2015-10-18T16:14:36Z</cp:lastPrinted>
  <dcterms:created xsi:type="dcterms:W3CDTF">2014-03-06T08:38:12Z</dcterms:created>
  <dcterms:modified xsi:type="dcterms:W3CDTF">2016-01-18T08:18:54Z</dcterms:modified>
</cp:coreProperties>
</file>