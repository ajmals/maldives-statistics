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6" sheetId="16" r:id="rId1"/>
  </sheets>
  <definedNames>
    <definedName name="_xlnm.Print_Area" localSheetId="0">'13.6'!$A$1:$U$37</definedName>
  </definedNames>
  <calcPr calcId="144525"/>
</workbook>
</file>

<file path=xl/calcChain.xml><?xml version="1.0" encoding="utf-8"?>
<calcChain xmlns="http://schemas.openxmlformats.org/spreadsheetml/2006/main">
  <c r="T26" i="16" l="1"/>
  <c r="T25" i="16"/>
  <c r="S25" i="16"/>
  <c r="T19" i="16"/>
  <c r="K20" i="16" l="1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T17" i="16" l="1"/>
  <c r="T15" i="16"/>
  <c r="T12" i="16"/>
  <c r="T27" i="16"/>
  <c r="T24" i="16"/>
  <c r="T23" i="16"/>
  <c r="T22" i="16"/>
  <c r="T21" i="16"/>
  <c r="T18" i="16"/>
  <c r="T16" i="16"/>
  <c r="T13" i="16"/>
  <c r="T11" i="16"/>
  <c r="T10" i="16"/>
  <c r="P9" i="16"/>
  <c r="P8" i="16" s="1"/>
  <c r="S18" i="16" l="1"/>
  <c r="S16" i="16"/>
  <c r="S13" i="16"/>
  <c r="S11" i="16"/>
  <c r="S10" i="16"/>
  <c r="S12" i="16"/>
  <c r="S15" i="16"/>
  <c r="S17" i="16"/>
  <c r="S21" i="16"/>
  <c r="S22" i="16"/>
  <c r="S23" i="16"/>
  <c r="S24" i="16"/>
  <c r="S27" i="16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O8" i="16" s="1"/>
  <c r="N9" i="16"/>
  <c r="M9" i="16"/>
  <c r="L9" i="16"/>
  <c r="L8" i="16" s="1"/>
  <c r="K9" i="16"/>
  <c r="J9" i="16"/>
  <c r="I9" i="16"/>
  <c r="H9" i="16"/>
  <c r="H8" i="16" s="1"/>
  <c r="G9" i="16"/>
  <c r="F9" i="16"/>
  <c r="E9" i="16"/>
  <c r="D9" i="16"/>
  <c r="D8" i="16" s="1"/>
  <c r="C9" i="16"/>
  <c r="B9" i="16"/>
  <c r="N8" i="16"/>
  <c r="K8" i="16"/>
  <c r="J8" i="16"/>
  <c r="F8" i="16"/>
  <c r="B8" i="16"/>
  <c r="Q26" i="16" l="1"/>
  <c r="Q19" i="16"/>
  <c r="Q18" i="16"/>
  <c r="C8" i="16"/>
  <c r="G8" i="16"/>
  <c r="E8" i="16"/>
  <c r="I8" i="16"/>
  <c r="Q27" i="16"/>
  <c r="S8" i="16"/>
  <c r="T14" i="16"/>
  <c r="T9" i="16"/>
  <c r="M8" i="16"/>
  <c r="R19" i="16" s="1"/>
  <c r="T20" i="16"/>
  <c r="S9" i="16"/>
  <c r="Q14" i="16"/>
  <c r="S20" i="16"/>
  <c r="S14" i="16"/>
  <c r="Q8" i="16"/>
  <c r="Q9" i="16"/>
  <c r="Q23" i="16"/>
  <c r="Q10" i="16"/>
  <c r="Q11" i="16"/>
  <c r="Q12" i="16"/>
  <c r="Q13" i="16"/>
  <c r="Q15" i="16"/>
  <c r="Q16" i="16"/>
  <c r="Q17" i="16"/>
  <c r="Q20" i="16"/>
  <c r="Q21" i="16"/>
  <c r="Q22" i="16"/>
  <c r="Q24" i="16"/>
  <c r="Q25" i="16"/>
  <c r="R9" i="16" l="1"/>
  <c r="R26" i="16"/>
  <c r="R10" i="16"/>
  <c r="R13" i="16"/>
  <c r="R17" i="16"/>
  <c r="R22" i="16"/>
  <c r="R27" i="16"/>
  <c r="R15" i="16"/>
  <c r="R24" i="16"/>
  <c r="R12" i="16"/>
  <c r="R16" i="16"/>
  <c r="R21" i="16"/>
  <c r="R18" i="16"/>
  <c r="R23" i="16"/>
  <c r="R8" i="16"/>
  <c r="T8" i="16"/>
  <c r="R11" i="16"/>
  <c r="R25" i="16"/>
  <c r="R14" i="16"/>
  <c r="R20" i="16"/>
</calcChain>
</file>

<file path=xl/sharedStrings.xml><?xml version="1.0" encoding="utf-8"?>
<sst xmlns="http://schemas.openxmlformats.org/spreadsheetml/2006/main" count="67" uniqueCount="62">
  <si>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</si>
  <si>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</si>
  <si>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</si>
  <si>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</si>
  <si>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</si>
  <si>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</si>
  <si>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</si>
  <si>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Approved</t>
  </si>
  <si>
    <t>Current expenditure</t>
  </si>
  <si>
    <t>udwrwK Wditenivua</t>
  </si>
  <si>
    <t>Source:  Ministry of Finance and Treasury</t>
  </si>
  <si>
    <t>IrwRercT cDcnea cscnEnif cfoa IrcTcsinim :ctWrwf ivcaedutWmUluAwm</t>
  </si>
  <si>
    <t>(cniaWyifur cnwyilim)</t>
  </si>
  <si>
    <t>% change</t>
  </si>
  <si>
    <t>ctwmcdiK IdWBitcqia</t>
  </si>
  <si>
    <t>2012 - 2013</t>
  </si>
  <si>
    <t>އިތުރުވި މިންވަރު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</si>
  <si>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</si>
  <si>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</si>
  <si>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</si>
  <si>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</si>
  <si>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</si>
  <si>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</si>
  <si>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</si>
  <si>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</si>
  <si>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</si>
  <si>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</si>
  <si>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</si>
  <si>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</si>
  <si>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</si>
  <si>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</si>
  <si>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</si>
  <si>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</si>
  <si>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</si>
  <si>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</si>
  <si>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</si>
  <si>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</si>
  <si>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</si>
  <si>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</si>
  <si>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</si>
  <si>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</si>
  <si>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</si>
  <si>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</si>
  <si>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</si>
  <si>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</si>
  <si>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</si>
  <si>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</si>
  <si>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</si>
  <si>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</si>
  <si>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</si>
  <si>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</si>
  <si>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</si>
  <si>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</si>
  <si>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</si>
  <si>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</si>
  <si>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</si>
  <si>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2013 - 2014</t>
  </si>
  <si>
    <t>Table  13.6 :  FUNCTIONAL CLASSIFICATION OF CENTRAL GOVERNMENT  CURRENT EXPENDITURE, 2007- 2017</t>
  </si>
  <si>
    <t>2017-2007 ,ctogEverukudwrwK Wditenivua cnurWkurws cnutog egukwtiawb WviawfiLeawDnwk cSwmugcnihudwrwK : 13.6 ulwvWt</t>
  </si>
  <si>
    <t xml:space="preserve">      Religion, Culture and Entertainment</t>
  </si>
  <si>
    <t xml:space="preserve">      Electricity</t>
  </si>
  <si>
    <t>ދީނީ، ސަޤާފީ، މުނިފޫހިފިލުވުން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</si>
</sst>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General_)"/>
    <numFmt numFmtId="165" formatCode="#,##0.0"/>
    <numFmt numFmtId="166" formatCode="0.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b/>
      <sz val="9"/>
      <name val="A_Randhoo"/>
    </font>
    <font>
      <b/>
      <sz val="9"/>
      <name val="Calibri"/>
      <family val="2"/>
      <scheme val="minor"/>
    </font>
    <font>
      <b/>
      <sz val="9"/>
      <name val="Faruma"/>
    </font>
    <font>
      <i/>
      <sz val="9"/>
      <name val="Calibri"/>
      <family val="2"/>
      <scheme val="minor"/>
    </font>
    <font>
      <sz val="10"/>
      <name val="Courier"/>
      <family val="3"/>
    </font>
    <font>
      <sz val="9"/>
      <name val="A_Utheem"/>
    </font>
    <font>
      <b/>
      <sz val="9"/>
      <name val="Win Ahamedey PRB"/>
      <family val="2"/>
    </font>
    <font>
      <sz val="9"/>
      <name val="Faruma"/>
    </font>
    <font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0" fontId="8" fillId="0" borderId="0" applyFont="0" applyFill="0" applyBorder="0" applyAlignment="0" applyProtection="0"/>
  </cellStyleXfs>
  <cellXfs count="74">
    <xf numFmtId="0" fontId="0" fillId="0" borderId="0" xfId="0"/>
    <xf numFmtId="164" fontId="3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164" fontId="12" fillId="2" borderId="0" xfId="1" applyNumberFormat="1" applyFont="1" applyFill="1" applyBorder="1" applyAlignment="1" applyProtection="1">
      <alignment horizontal="right" vertical="center"/>
      <protection locked="0"/>
    </xf>
    <xf numFmtId="164" fontId="11" fillId="2" borderId="0" xfId="1" applyNumberFormat="1" applyFont="1" applyFill="1" applyAlignment="1">
      <alignment horizontal="right" vertical="center"/>
    </xf>
    <xf numFmtId="164" fontId="14" fillId="2" borderId="0" xfId="1" applyNumberFormat="1" applyFont="1" applyFill="1" applyAlignment="1" applyProtection="1">
      <alignment horizontal="left" vertical="center"/>
    </xf>
    <xf numFmtId="164" fontId="12" fillId="2" borderId="1" xfId="1" applyNumberFormat="1" applyFont="1" applyFill="1" applyBorder="1" applyAlignment="1" applyProtection="1">
      <alignment horizontal="right" vertical="center"/>
    </xf>
    <xf numFmtId="164" fontId="5" fillId="2" borderId="0" xfId="1" applyNumberFormat="1" applyFont="1" applyFill="1" applyBorder="1" applyAlignment="1">
      <alignment vertical="center"/>
    </xf>
    <xf numFmtId="164" fontId="12" fillId="2" borderId="0" xfId="1" applyNumberFormat="1" applyFont="1" applyFill="1" applyAlignment="1" applyProtection="1">
      <alignment horizontal="left" vertical="center"/>
    </xf>
    <xf numFmtId="164" fontId="9" fillId="2" borderId="0" xfId="1" applyNumberFormat="1" applyFont="1" applyFill="1" applyAlignment="1" applyProtection="1">
      <alignment horizontal="left" vertical="center"/>
    </xf>
    <xf numFmtId="164" fontId="9" fillId="2" borderId="0" xfId="1" applyNumberFormat="1" applyFont="1" applyFill="1" applyBorder="1" applyAlignment="1" applyProtection="1">
      <alignment horizontal="left" vertical="center"/>
    </xf>
    <xf numFmtId="165" fontId="9" fillId="2" borderId="0" xfId="1" applyNumberFormat="1" applyFont="1" applyFill="1" applyBorder="1" applyAlignment="1" applyProtection="1">
      <alignment horizontal="right" vertical="center"/>
    </xf>
    <xf numFmtId="164" fontId="12" fillId="2" borderId="0" xfId="1" applyNumberFormat="1" applyFont="1" applyFill="1" applyBorder="1" applyAlignment="1">
      <alignment horizontal="right"/>
    </xf>
    <xf numFmtId="37" fontId="9" fillId="2" borderId="0" xfId="1" applyNumberFormat="1" applyFont="1" applyFill="1" applyAlignment="1" applyProtection="1">
      <alignment horizontal="center" vertical="center"/>
    </xf>
    <xf numFmtId="166" fontId="9" fillId="2" borderId="0" xfId="1" applyNumberFormat="1" applyFont="1" applyFill="1" applyAlignment="1" applyProtection="1">
      <alignment horizontal="center" vertical="center"/>
    </xf>
    <xf numFmtId="164" fontId="15" fillId="2" borderId="0" xfId="1" applyNumberFormat="1" applyFont="1" applyFill="1"/>
    <xf numFmtId="164" fontId="3" fillId="2" borderId="0" xfId="1" applyNumberFormat="1" applyFont="1" applyFill="1" applyBorder="1" applyAlignment="1">
      <alignment horizontal="center" vertical="center"/>
    </xf>
    <xf numFmtId="164" fontId="17" fillId="2" borderId="1" xfId="1" applyNumberFormat="1" applyFont="1" applyFill="1" applyBorder="1" applyAlignment="1">
      <alignment vertical="center"/>
    </xf>
    <xf numFmtId="164" fontId="4" fillId="2" borderId="0" xfId="1" applyNumberFormat="1" applyFont="1" applyFill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right" vertical="center"/>
    </xf>
    <xf numFmtId="164" fontId="19" fillId="2" borderId="0" xfId="1" applyNumberFormat="1" applyFont="1" applyFill="1"/>
    <xf numFmtId="164" fontId="19" fillId="2" borderId="0" xfId="1" applyNumberFormat="1" applyFont="1" applyFill="1" applyAlignment="1">
      <alignment horizontal="center"/>
    </xf>
    <xf numFmtId="166" fontId="19" fillId="2" borderId="0" xfId="1" applyNumberFormat="1" applyFont="1" applyFill="1" applyAlignment="1">
      <alignment horizontal="center"/>
    </xf>
    <xf numFmtId="164" fontId="15" fillId="2" borderId="0" xfId="1" applyNumberFormat="1" applyFont="1" applyFill="1" applyAlignment="1">
      <alignment horizontal="center"/>
    </xf>
    <xf numFmtId="166" fontId="15" fillId="2" borderId="0" xfId="1" applyNumberFormat="1" applyFont="1" applyFill="1" applyAlignment="1">
      <alignment horizontal="center"/>
    </xf>
    <xf numFmtId="165" fontId="12" fillId="2" borderId="0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horizontal="right" vertical="center"/>
    </xf>
    <xf numFmtId="165" fontId="12" fillId="2" borderId="1" xfId="1" applyNumberFormat="1" applyFont="1" applyFill="1" applyBorder="1" applyAlignment="1" applyProtection="1">
      <alignment horizontal="right" vertical="center"/>
      <protection locked="0"/>
    </xf>
    <xf numFmtId="165" fontId="12" fillId="2" borderId="1" xfId="1" applyNumberFormat="1" applyFont="1" applyFill="1" applyBorder="1" applyAlignment="1" applyProtection="1">
      <alignment horizontal="right" vertical="center"/>
    </xf>
    <xf numFmtId="164" fontId="9" fillId="2" borderId="0" xfId="1" applyNumberFormat="1" applyFont="1" applyFill="1" applyAlignment="1">
      <alignment horizontal="center" vertical="center"/>
    </xf>
    <xf numFmtId="166" fontId="9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/>
    <xf numFmtId="164" fontId="9" fillId="2" borderId="0" xfId="1" applyNumberFormat="1" applyFont="1" applyFill="1" applyAlignment="1">
      <alignment horizontal="center"/>
    </xf>
    <xf numFmtId="166" fontId="9" fillId="2" borderId="0" xfId="1" applyNumberFormat="1" applyFont="1" applyFill="1" applyAlignment="1">
      <alignment horizontal="center"/>
    </xf>
    <xf numFmtId="165" fontId="9" fillId="2" borderId="11" xfId="1" applyNumberFormat="1" applyFont="1" applyFill="1" applyBorder="1" applyAlignment="1" applyProtection="1">
      <alignment horizontal="right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Alignment="1">
      <alignment horizontal="right" vertical="center"/>
    </xf>
    <xf numFmtId="164" fontId="12" fillId="2" borderId="2" xfId="1" applyNumberFormat="1" applyFont="1" applyFill="1" applyBorder="1" applyAlignment="1">
      <alignment horizontal="right"/>
    </xf>
    <xf numFmtId="164" fontId="12" fillId="2" borderId="0" xfId="1" applyNumberFormat="1" applyFont="1" applyFill="1" applyBorder="1" applyAlignment="1">
      <alignment horizontal="right" vertical="center"/>
    </xf>
    <xf numFmtId="165" fontId="9" fillId="2" borderId="0" xfId="1" applyNumberFormat="1" applyFont="1" applyFill="1" applyBorder="1" applyAlignment="1" applyProtection="1">
      <alignment horizontal="right"/>
    </xf>
    <xf numFmtId="164" fontId="5" fillId="2" borderId="0" xfId="1" applyNumberFormat="1" applyFont="1" applyFill="1" applyBorder="1" applyAlignment="1">
      <alignment horizontal="right"/>
    </xf>
    <xf numFmtId="164" fontId="12" fillId="2" borderId="5" xfId="1" applyNumberFormat="1" applyFont="1" applyFill="1" applyBorder="1" applyAlignment="1" applyProtection="1">
      <alignment horizontal="right" vertical="center"/>
    </xf>
    <xf numFmtId="165" fontId="12" fillId="2" borderId="11" xfId="1" applyNumberFormat="1" applyFont="1" applyFill="1" applyBorder="1" applyAlignment="1" applyProtection="1">
      <alignment horizontal="right" vertical="center"/>
    </xf>
    <xf numFmtId="165" fontId="12" fillId="2" borderId="5" xfId="1" applyNumberFormat="1" applyFont="1" applyFill="1" applyBorder="1" applyAlignment="1" applyProtection="1">
      <alignment horizontal="right" vertical="center"/>
    </xf>
    <xf numFmtId="165" fontId="12" fillId="2" borderId="4" xfId="1" applyNumberFormat="1" applyFont="1" applyFill="1" applyBorder="1" applyAlignment="1" applyProtection="1">
      <alignment horizontal="right" vertical="center"/>
    </xf>
    <xf numFmtId="165" fontId="9" fillId="2" borderId="4" xfId="1" applyNumberFormat="1" applyFont="1" applyFill="1" applyBorder="1" applyAlignment="1" applyProtection="1">
      <alignment horizontal="right" vertical="center"/>
    </xf>
    <xf numFmtId="165" fontId="12" fillId="2" borderId="6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164" fontId="12" fillId="2" borderId="0" xfId="1" applyNumberFormat="1" applyFont="1" applyFill="1" applyBorder="1" applyAlignment="1" applyProtection="1">
      <alignment horizontal="left" vertical="center"/>
    </xf>
    <xf numFmtId="164" fontId="12" fillId="2" borderId="1" xfId="1" applyNumberFormat="1" applyFont="1" applyFill="1" applyBorder="1" applyAlignment="1" applyProtection="1">
      <alignment horizontal="left" vertical="center"/>
    </xf>
    <xf numFmtId="164" fontId="12" fillId="2" borderId="6" xfId="1" applyNumberFormat="1" applyFont="1" applyFill="1" applyBorder="1" applyAlignment="1" applyProtection="1">
      <alignment horizontal="right" vertical="center"/>
    </xf>
    <xf numFmtId="166" fontId="12" fillId="2" borderId="1" xfId="1" applyNumberFormat="1" applyFont="1" applyFill="1" applyBorder="1" applyAlignment="1">
      <alignment horizontal="right" vertical="center"/>
    </xf>
    <xf numFmtId="166" fontId="12" fillId="2" borderId="0" xfId="1" applyNumberFormat="1" applyFont="1" applyFill="1" applyBorder="1" applyAlignment="1" applyProtection="1">
      <alignment horizontal="right" vertical="center"/>
    </xf>
    <xf numFmtId="166" fontId="9" fillId="2" borderId="0" xfId="1" applyNumberFormat="1" applyFont="1" applyFill="1" applyBorder="1" applyAlignment="1" applyProtection="1">
      <alignment horizontal="right" vertical="center"/>
    </xf>
    <xf numFmtId="166" fontId="12" fillId="2" borderId="1" xfId="1" applyNumberFormat="1" applyFont="1" applyFill="1" applyBorder="1" applyAlignment="1" applyProtection="1">
      <alignment horizontal="right" vertical="center"/>
    </xf>
    <xf numFmtId="41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18" fillId="2" borderId="0" xfId="1" applyNumberFormat="1" applyFont="1" applyFill="1" applyAlignment="1">
      <alignment horizontal="right" vertical="center" indent="4"/>
    </xf>
    <xf numFmtId="164" fontId="12" fillId="2" borderId="10" xfId="1" applyNumberFormat="1" applyFont="1" applyFill="1" applyBorder="1" applyAlignment="1" applyProtection="1">
      <alignment horizontal="center" vertical="center"/>
      <protection locked="0"/>
    </xf>
    <xf numFmtId="164" fontId="12" fillId="2" borderId="12" xfId="1" applyNumberFormat="1" applyFont="1" applyFill="1" applyBorder="1" applyAlignment="1" applyProtection="1">
      <alignment horizontal="center" vertical="center"/>
      <protection locked="0"/>
    </xf>
    <xf numFmtId="0" fontId="13" fillId="2" borderId="2" xfId="1" applyFont="1" applyFill="1" applyBorder="1" applyAlignment="1" applyProtection="1">
      <alignment horizontal="center" vertical="center"/>
    </xf>
    <xf numFmtId="166" fontId="12" fillId="2" borderId="8" xfId="1" applyNumberFormat="1" applyFont="1" applyFill="1" applyBorder="1" applyAlignment="1" applyProtection="1">
      <alignment horizontal="center" vertical="center"/>
      <protection locked="0"/>
    </xf>
    <xf numFmtId="164" fontId="2" fillId="2" borderId="0" xfId="1" applyNumberFormat="1" applyFont="1" applyFill="1" applyAlignment="1">
      <alignment horizontal="center" vertical="center"/>
    </xf>
    <xf numFmtId="164" fontId="3" fillId="2" borderId="0" xfId="1" applyNumberFormat="1" applyFont="1" applyFill="1" applyBorder="1" applyAlignment="1" applyProtection="1">
      <alignment horizontal="center" vertical="center"/>
    </xf>
    <xf numFmtId="164" fontId="16" fillId="2" borderId="0" xfId="1" applyNumberFormat="1" applyFont="1" applyFill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12" fillId="2" borderId="9" xfId="1" applyNumberFormat="1" applyFont="1" applyFill="1" applyBorder="1" applyAlignment="1">
      <alignment horizontal="right"/>
    </xf>
    <xf numFmtId="0" fontId="13" fillId="2" borderId="7" xfId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/>
    </xf>
  </cellXfs>
  <cellStyles count="3">
    <cellStyle name="Comma_13 Public Finance_done" xfId="2"/>
    <cellStyle name="Normal" xfId="0" builtinId="0"/>
    <cellStyle name="Normal_13 Public Finance_done" xfId="1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zoomScaleNormal="100" workbookViewId="0">
      <selection activeCell="X14" sqref="X14"/>
    </sheetView>
  </sheetViews>
  <sheetFormatPr defaultColWidth="8.85546875" defaultRowHeight="12"/>
  <cols>
    <col min="1" max="1" width="32.42578125" style="17" customWidth="1"/>
    <col min="2" max="3" width="0" style="26" hidden="1" customWidth="1"/>
    <col min="4" max="4" width="12.7109375" style="26" hidden="1" customWidth="1"/>
    <col min="5" max="7" width="8.85546875" style="26" hidden="1" customWidth="1"/>
    <col min="8" max="9" width="0" style="26" hidden="1" customWidth="1"/>
    <col min="10" max="14" width="8.85546875" style="26"/>
    <col min="15" max="16" width="9.28515625" style="26" customWidth="1"/>
    <col min="17" max="18" width="11.28515625" style="26" customWidth="1"/>
    <col min="19" max="20" width="11" style="27" customWidth="1"/>
    <col min="21" max="21" width="45.28515625" style="17" customWidth="1"/>
    <col min="22" max="22" width="17.28515625" style="17" customWidth="1"/>
    <col min="23" max="16384" width="8.85546875" style="17"/>
  </cols>
  <sheetData>
    <row r="1" spans="1:23" ht="19.5">
      <c r="A1" s="67" t="s">
        <v>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3" ht="12.75">
      <c r="A2" s="68" t="s">
        <v>57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23" s="1" customFormat="1" ht="14.25">
      <c r="A3" s="69" t="s">
        <v>12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</row>
    <row r="4" spans="1:23" s="1" customFormat="1" ht="12.75">
      <c r="A4" s="70" t="s">
        <v>17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</row>
    <row r="5" spans="1:23" s="1" customFormat="1" ht="17.25">
      <c r="A5" s="52"/>
      <c r="B5" s="39"/>
      <c r="C5" s="40"/>
      <c r="D5" s="14" t="s">
        <v>1</v>
      </c>
      <c r="E5" s="71" t="s">
        <v>6</v>
      </c>
      <c r="F5" s="71"/>
      <c r="G5" s="71"/>
      <c r="H5" s="41"/>
      <c r="I5" s="41"/>
      <c r="J5" s="41"/>
      <c r="K5" s="41"/>
      <c r="L5" s="41"/>
      <c r="M5" s="41"/>
      <c r="N5" s="41"/>
      <c r="O5" s="41"/>
      <c r="P5" s="41"/>
      <c r="Q5" s="72" t="s">
        <v>55</v>
      </c>
      <c r="R5" s="73"/>
      <c r="S5" s="65" t="s">
        <v>16</v>
      </c>
      <c r="T5" s="65"/>
      <c r="U5" s="18"/>
    </row>
    <row r="6" spans="1:23" s="2" customFormat="1" ht="15" customHeight="1">
      <c r="A6" s="54" t="s">
        <v>0</v>
      </c>
      <c r="B6" s="42"/>
      <c r="C6" s="5"/>
      <c r="D6" s="5" t="s">
        <v>18</v>
      </c>
      <c r="E6" s="5" t="s">
        <v>4</v>
      </c>
      <c r="F6" s="5" t="s">
        <v>4</v>
      </c>
      <c r="G6" s="5" t="s">
        <v>4</v>
      </c>
      <c r="H6" s="5"/>
      <c r="I6" s="5"/>
      <c r="J6" s="5"/>
      <c r="K6" s="5" t="s">
        <v>3</v>
      </c>
      <c r="L6" s="5" t="s">
        <v>3</v>
      </c>
      <c r="M6" s="5" t="s">
        <v>5</v>
      </c>
      <c r="N6" s="44" t="s">
        <v>7</v>
      </c>
      <c r="O6" s="5" t="s">
        <v>4</v>
      </c>
      <c r="P6" s="5" t="s">
        <v>4</v>
      </c>
      <c r="Q6" s="63" t="s">
        <v>19</v>
      </c>
      <c r="R6" s="64"/>
      <c r="S6" s="66" t="s">
        <v>13</v>
      </c>
      <c r="T6" s="66"/>
      <c r="U6" s="51" t="s">
        <v>2</v>
      </c>
    </row>
    <row r="7" spans="1:23" s="2" customFormat="1">
      <c r="A7" s="55"/>
      <c r="B7" s="8">
        <v>2007</v>
      </c>
      <c r="C7" s="8">
        <v>2008</v>
      </c>
      <c r="D7" s="8">
        <v>2009</v>
      </c>
      <c r="E7" s="8">
        <v>2010</v>
      </c>
      <c r="F7" s="8">
        <v>2011</v>
      </c>
      <c r="G7" s="8">
        <v>2012</v>
      </c>
      <c r="H7" s="8">
        <v>2009</v>
      </c>
      <c r="I7" s="8">
        <v>2010</v>
      </c>
      <c r="J7" s="8">
        <v>2011</v>
      </c>
      <c r="K7" s="8">
        <v>2012</v>
      </c>
      <c r="L7" s="8">
        <v>2013</v>
      </c>
      <c r="M7" s="8">
        <v>2014</v>
      </c>
      <c r="N7" s="8">
        <v>2015</v>
      </c>
      <c r="O7" s="8">
        <v>2016</v>
      </c>
      <c r="P7" s="8">
        <v>2017</v>
      </c>
      <c r="Q7" s="45">
        <v>2013</v>
      </c>
      <c r="R7" s="56">
        <v>2014</v>
      </c>
      <c r="S7" s="57" t="s">
        <v>15</v>
      </c>
      <c r="T7" s="57" t="s">
        <v>56</v>
      </c>
      <c r="U7" s="19"/>
      <c r="V7" s="9"/>
      <c r="W7" s="9"/>
    </row>
    <row r="8" spans="1:23" s="2" customFormat="1" ht="15">
      <c r="A8" s="10" t="s">
        <v>8</v>
      </c>
      <c r="B8" s="28">
        <f t="shared" ref="B8:O8" si="0">SUM(B9,B14,B20,B27)</f>
        <v>6560.1</v>
      </c>
      <c r="C8" s="28">
        <f t="shared" si="0"/>
        <v>7463.2</v>
      </c>
      <c r="D8" s="28">
        <f t="shared" si="0"/>
        <v>7942.4</v>
      </c>
      <c r="E8" s="28">
        <f t="shared" si="0"/>
        <v>9115.1999999999989</v>
      </c>
      <c r="F8" s="28">
        <f t="shared" si="0"/>
        <v>8659.1</v>
      </c>
      <c r="G8" s="28">
        <f t="shared" si="0"/>
        <v>8744.8993789999986</v>
      </c>
      <c r="H8" s="28">
        <f t="shared" si="0"/>
        <v>8738.7354969999997</v>
      </c>
      <c r="I8" s="28">
        <f t="shared" si="0"/>
        <v>8369.1443089999993</v>
      </c>
      <c r="J8" s="28">
        <f t="shared" si="0"/>
        <v>9075.7587179999991</v>
      </c>
      <c r="K8" s="28">
        <f t="shared" si="0"/>
        <v>10316.485255000001</v>
      </c>
      <c r="L8" s="28">
        <f t="shared" si="0"/>
        <v>11573.21458545</v>
      </c>
      <c r="M8" s="28">
        <f t="shared" si="0"/>
        <v>13544.342896615553</v>
      </c>
      <c r="N8" s="28">
        <f t="shared" si="0"/>
        <v>15641.887673536241</v>
      </c>
      <c r="O8" s="28">
        <f t="shared" si="0"/>
        <v>15433.414320194574</v>
      </c>
      <c r="P8" s="28">
        <f t="shared" ref="P8" si="1">SUM(P9,P14,P20,P27)</f>
        <v>15203.135174200335</v>
      </c>
      <c r="Q8" s="46">
        <f t="shared" ref="Q8:Q27" si="2">+(L8/$L$8)*100</f>
        <v>100</v>
      </c>
      <c r="R8" s="48">
        <f>+(M8/$M$8)*100</f>
        <v>100</v>
      </c>
      <c r="S8" s="58">
        <f t="shared" ref="S8:S18" si="3">+((L8/K8)-1)*100</f>
        <v>12.181758606604021</v>
      </c>
      <c r="T8" s="58">
        <f t="shared" ref="T8:T18" si="4">+((M8/L8)-1)*100</f>
        <v>17.031813387817785</v>
      </c>
      <c r="U8" s="6" t="s">
        <v>9</v>
      </c>
    </row>
    <row r="9" spans="1:23" s="2" customFormat="1" ht="15">
      <c r="A9" s="10" t="s">
        <v>20</v>
      </c>
      <c r="B9" s="28">
        <f t="shared" ref="B9:O9" si="5">SUM(B10:B13)</f>
        <v>2241.8999999999996</v>
      </c>
      <c r="C9" s="28">
        <f t="shared" si="5"/>
        <v>3209.7</v>
      </c>
      <c r="D9" s="28">
        <f t="shared" si="5"/>
        <v>3276.6</v>
      </c>
      <c r="E9" s="28">
        <f t="shared" si="5"/>
        <v>4021.9</v>
      </c>
      <c r="F9" s="28">
        <f t="shared" si="5"/>
        <v>3529.1</v>
      </c>
      <c r="G9" s="28">
        <f t="shared" si="5"/>
        <v>3593.374147</v>
      </c>
      <c r="H9" s="28">
        <f t="shared" si="5"/>
        <v>3519.7833220000007</v>
      </c>
      <c r="I9" s="28">
        <f t="shared" si="5"/>
        <v>3978.9039029999999</v>
      </c>
      <c r="J9" s="28">
        <f t="shared" si="5"/>
        <v>4596.1388089999991</v>
      </c>
      <c r="K9" s="28">
        <f t="shared" si="5"/>
        <v>4774.492886</v>
      </c>
      <c r="L9" s="28">
        <f t="shared" si="5"/>
        <v>4784.0412950399996</v>
      </c>
      <c r="M9" s="28">
        <f t="shared" si="5"/>
        <v>5079.2822390288866</v>
      </c>
      <c r="N9" s="28">
        <f t="shared" si="5"/>
        <v>5760.302524934712</v>
      </c>
      <c r="O9" s="28">
        <f t="shared" si="5"/>
        <v>5299.1233524443123</v>
      </c>
      <c r="P9" s="28">
        <f t="shared" ref="P9" si="6">SUM(P10:P13)</f>
        <v>5326.7259714643114</v>
      </c>
      <c r="Q9" s="46">
        <f t="shared" si="2"/>
        <v>41.337186481053941</v>
      </c>
      <c r="R9" s="48">
        <f>+(M9/$M$8)*100</f>
        <v>37.501134442617314</v>
      </c>
      <c r="S9" s="58">
        <f t="shared" si="3"/>
        <v>0.19998792056006298</v>
      </c>
      <c r="T9" s="58">
        <f t="shared" si="4"/>
        <v>6.1713711437856311</v>
      </c>
      <c r="U9" s="6" t="s">
        <v>21</v>
      </c>
    </row>
    <row r="10" spans="1:23" s="2" customFormat="1" ht="15">
      <c r="A10" s="11" t="s">
        <v>22</v>
      </c>
      <c r="B10" s="53">
        <v>1141.8</v>
      </c>
      <c r="C10" s="13">
        <v>1743.5</v>
      </c>
      <c r="D10" s="13">
        <v>1620.1</v>
      </c>
      <c r="E10" s="13">
        <v>2323.1</v>
      </c>
      <c r="F10" s="13">
        <v>1785</v>
      </c>
      <c r="G10" s="13">
        <v>1807.6922320000001</v>
      </c>
      <c r="H10" s="13">
        <v>1640.2071530000007</v>
      </c>
      <c r="I10" s="13">
        <v>2160.2136339999997</v>
      </c>
      <c r="J10" s="13">
        <v>2490.5053929999999</v>
      </c>
      <c r="K10" s="13">
        <v>2464.698202</v>
      </c>
      <c r="L10" s="13">
        <v>2284.8721354499999</v>
      </c>
      <c r="M10" s="13">
        <v>2463.7461746711092</v>
      </c>
      <c r="N10" s="13">
        <v>2771.8717939347121</v>
      </c>
      <c r="O10" s="13">
        <v>2337.2650154443122</v>
      </c>
      <c r="P10" s="13">
        <v>2344.360072464312</v>
      </c>
      <c r="Q10" s="38">
        <f t="shared" si="2"/>
        <v>19.742761344134859</v>
      </c>
      <c r="R10" s="49">
        <f>+(M10/$M$8)*100</f>
        <v>18.1902229844369</v>
      </c>
      <c r="S10" s="59">
        <f t="shared" si="3"/>
        <v>-7.2960683950707983</v>
      </c>
      <c r="T10" s="59">
        <f t="shared" si="4"/>
        <v>7.8286235998007214</v>
      </c>
      <c r="U10" s="4" t="s">
        <v>23</v>
      </c>
    </row>
    <row r="11" spans="1:23" s="2" customFormat="1" ht="15">
      <c r="A11" s="11" t="s">
        <v>24</v>
      </c>
      <c r="B11" s="53">
        <v>404.6</v>
      </c>
      <c r="C11" s="13">
        <v>549.1</v>
      </c>
      <c r="D11" s="13">
        <v>593.9</v>
      </c>
      <c r="E11" s="13">
        <v>551.20000000000005</v>
      </c>
      <c r="F11" s="13">
        <v>611.5</v>
      </c>
      <c r="G11" s="13">
        <v>637.60149200000001</v>
      </c>
      <c r="H11" s="13">
        <v>712.88716299999999</v>
      </c>
      <c r="I11" s="13">
        <v>651.41233499999998</v>
      </c>
      <c r="J11" s="13">
        <v>774.11099200000001</v>
      </c>
      <c r="K11" s="13">
        <v>800.63111700000002</v>
      </c>
      <c r="L11" s="13">
        <v>794.20175268000003</v>
      </c>
      <c r="M11" s="13">
        <v>792.16820121777755</v>
      </c>
      <c r="N11" s="13">
        <v>923.19758000000002</v>
      </c>
      <c r="O11" s="13">
        <v>916.16908999999998</v>
      </c>
      <c r="P11" s="13">
        <v>931.42994700000008</v>
      </c>
      <c r="Q11" s="38">
        <f t="shared" si="2"/>
        <v>6.862412744670622</v>
      </c>
      <c r="R11" s="49">
        <f t="shared" ref="R11:R27" si="7">+(M11/$M$8)*100</f>
        <v>5.8487016111776358</v>
      </c>
      <c r="S11" s="59">
        <f t="shared" si="3"/>
        <v>-0.8030370271007059</v>
      </c>
      <c r="T11" s="59">
        <f t="shared" si="4"/>
        <v>-0.25604973237094431</v>
      </c>
      <c r="U11" s="4" t="s">
        <v>25</v>
      </c>
    </row>
    <row r="12" spans="1:23" s="3" customFormat="1" ht="15">
      <c r="A12" s="11" t="s">
        <v>26</v>
      </c>
      <c r="B12" s="29">
        <v>600.29999999999995</v>
      </c>
      <c r="C12" s="13">
        <v>833.4</v>
      </c>
      <c r="D12" s="13">
        <v>968.9</v>
      </c>
      <c r="E12" s="13">
        <v>1055.0999999999999</v>
      </c>
      <c r="F12" s="13">
        <v>1052.7</v>
      </c>
      <c r="G12" s="13">
        <v>1066.94895</v>
      </c>
      <c r="H12" s="13">
        <v>1097.180717</v>
      </c>
      <c r="I12" s="13">
        <v>1132.7824310000001</v>
      </c>
      <c r="J12" s="13">
        <v>1296.9194520000001</v>
      </c>
      <c r="K12" s="13">
        <v>1470.4859779999999</v>
      </c>
      <c r="L12" s="13">
        <v>1659.45558701</v>
      </c>
      <c r="M12" s="13">
        <v>1782.2915162355557</v>
      </c>
      <c r="N12" s="13">
        <v>1967.8267350000001</v>
      </c>
      <c r="O12" s="13">
        <v>1977.384736</v>
      </c>
      <c r="P12" s="13">
        <v>1982.6039270000001</v>
      </c>
      <c r="Q12" s="38">
        <f t="shared" si="2"/>
        <v>14.338761065540856</v>
      </c>
      <c r="R12" s="49">
        <f t="shared" si="7"/>
        <v>13.158936759352963</v>
      </c>
      <c r="S12" s="59">
        <f t="shared" si="3"/>
        <v>12.850826994421038</v>
      </c>
      <c r="T12" s="59">
        <f t="shared" si="4"/>
        <v>7.402182389640255</v>
      </c>
      <c r="U12" s="4" t="s">
        <v>27</v>
      </c>
    </row>
    <row r="13" spans="1:23" s="3" customFormat="1" ht="15">
      <c r="A13" s="11" t="s">
        <v>28</v>
      </c>
      <c r="B13" s="30">
        <v>95.2</v>
      </c>
      <c r="C13" s="13">
        <v>83.7</v>
      </c>
      <c r="D13" s="13">
        <v>93.7</v>
      </c>
      <c r="E13" s="13">
        <v>92.5</v>
      </c>
      <c r="F13" s="13">
        <v>79.900000000000006</v>
      </c>
      <c r="G13" s="13">
        <v>81.131473</v>
      </c>
      <c r="H13" s="13">
        <v>69.508289000000005</v>
      </c>
      <c r="I13" s="13">
        <v>34.495502999999999</v>
      </c>
      <c r="J13" s="13">
        <v>34.602972000000001</v>
      </c>
      <c r="K13" s="13">
        <v>38.677588999999998</v>
      </c>
      <c r="L13" s="13">
        <v>45.511819899999999</v>
      </c>
      <c r="M13" s="13">
        <v>41.076346904444442</v>
      </c>
      <c r="N13" s="13">
        <v>97.406415999999993</v>
      </c>
      <c r="O13" s="13">
        <v>68.304511000000005</v>
      </c>
      <c r="P13" s="13">
        <v>68.332025000000002</v>
      </c>
      <c r="Q13" s="38">
        <f t="shared" si="2"/>
        <v>0.39325132670760354</v>
      </c>
      <c r="R13" s="49">
        <f t="shared" si="7"/>
        <v>0.30327308764981548</v>
      </c>
      <c r="S13" s="59">
        <f t="shared" si="3"/>
        <v>17.66974384054809</v>
      </c>
      <c r="T13" s="59">
        <f t="shared" si="4"/>
        <v>-9.7457605635224436</v>
      </c>
      <c r="U13" s="4" t="s">
        <v>29</v>
      </c>
    </row>
    <row r="14" spans="1:23" s="2" customFormat="1" ht="15">
      <c r="A14" s="10" t="s">
        <v>30</v>
      </c>
      <c r="B14" s="28">
        <f t="shared" ref="B14:I14" si="8">SUM(B15:B18)</f>
        <v>3817.6</v>
      </c>
      <c r="C14" s="28">
        <f t="shared" si="8"/>
        <v>3679.5</v>
      </c>
      <c r="D14" s="28">
        <f t="shared" si="8"/>
        <v>4016.4</v>
      </c>
      <c r="E14" s="28">
        <f t="shared" si="8"/>
        <v>4170.5</v>
      </c>
      <c r="F14" s="28">
        <f t="shared" si="8"/>
        <v>4282.6000000000004</v>
      </c>
      <c r="G14" s="28">
        <f t="shared" si="8"/>
        <v>4413.3455789999998</v>
      </c>
      <c r="H14" s="28">
        <f t="shared" si="8"/>
        <v>4345.2921539999998</v>
      </c>
      <c r="I14" s="28">
        <f t="shared" si="8"/>
        <v>3462.622922</v>
      </c>
      <c r="J14" s="28">
        <f>SUM(J15:J19)</f>
        <v>3544.46576</v>
      </c>
      <c r="K14" s="28">
        <f t="shared" ref="K14:P14" si="9">SUM(K15:K19)</f>
        <v>4225.7286190000004</v>
      </c>
      <c r="L14" s="28">
        <f t="shared" si="9"/>
        <v>5531.6275246499999</v>
      </c>
      <c r="M14" s="28">
        <f t="shared" si="9"/>
        <v>7276.6014605499995</v>
      </c>
      <c r="N14" s="28">
        <f t="shared" si="9"/>
        <v>7961.1807956033299</v>
      </c>
      <c r="O14" s="28">
        <f t="shared" si="9"/>
        <v>7827.901173603329</v>
      </c>
      <c r="P14" s="28">
        <f t="shared" si="9"/>
        <v>8055.9948486731291</v>
      </c>
      <c r="Q14" s="46">
        <f t="shared" si="2"/>
        <v>47.796811195434294</v>
      </c>
      <c r="R14" s="48">
        <f t="shared" si="7"/>
        <v>53.724285600952037</v>
      </c>
      <c r="S14" s="58">
        <f t="shared" si="3"/>
        <v>30.90352039594617</v>
      </c>
      <c r="T14" s="58">
        <f t="shared" si="4"/>
        <v>31.545398314041549</v>
      </c>
      <c r="U14" s="6" t="s">
        <v>31</v>
      </c>
    </row>
    <row r="15" spans="1:23" s="2" customFormat="1" ht="15">
      <c r="A15" s="11" t="s">
        <v>32</v>
      </c>
      <c r="B15" s="53">
        <v>1149.4000000000001</v>
      </c>
      <c r="C15" s="13">
        <v>1467.1</v>
      </c>
      <c r="D15" s="13">
        <v>1958.3</v>
      </c>
      <c r="E15" s="13">
        <v>1632</v>
      </c>
      <c r="F15" s="13">
        <v>1703.1</v>
      </c>
      <c r="G15" s="13">
        <v>1731.0649900000001</v>
      </c>
      <c r="H15" s="13">
        <v>1801.544161</v>
      </c>
      <c r="I15" s="13">
        <v>1588.6194419999999</v>
      </c>
      <c r="J15" s="13">
        <v>1701.1680309999999</v>
      </c>
      <c r="K15" s="43">
        <v>2095.118363</v>
      </c>
      <c r="L15" s="13">
        <v>1927.3062449400002</v>
      </c>
      <c r="M15" s="13">
        <v>2117.1798410888887</v>
      </c>
      <c r="N15" s="13">
        <v>2649.6223735499998</v>
      </c>
      <c r="O15" s="13">
        <v>2624.4602695499998</v>
      </c>
      <c r="P15" s="13">
        <v>2707.8639576198002</v>
      </c>
      <c r="Q15" s="38">
        <f t="shared" si="2"/>
        <v>16.653162617092018</v>
      </c>
      <c r="R15" s="49">
        <f t="shared" si="7"/>
        <v>15.631469590288704</v>
      </c>
      <c r="S15" s="59">
        <f t="shared" si="3"/>
        <v>-8.0096724377762492</v>
      </c>
      <c r="T15" s="59">
        <f t="shared" si="4"/>
        <v>9.8517605412937073</v>
      </c>
      <c r="U15" s="4" t="s">
        <v>33</v>
      </c>
    </row>
    <row r="16" spans="1:23" s="3" customFormat="1" ht="15">
      <c r="A16" s="11" t="s">
        <v>34</v>
      </c>
      <c r="B16" s="53">
        <v>682.3</v>
      </c>
      <c r="C16" s="13">
        <v>1037.3</v>
      </c>
      <c r="D16" s="13">
        <v>798.5</v>
      </c>
      <c r="E16" s="13">
        <v>875.1</v>
      </c>
      <c r="F16" s="13">
        <v>922.4</v>
      </c>
      <c r="G16" s="13">
        <v>966.45820000000003</v>
      </c>
      <c r="H16" s="13">
        <v>1327.7892979999999</v>
      </c>
      <c r="I16" s="13">
        <v>946.95926599999996</v>
      </c>
      <c r="J16" s="13">
        <v>356.75031100000001</v>
      </c>
      <c r="K16" s="13">
        <v>288.929912</v>
      </c>
      <c r="L16" s="13">
        <v>1369.90178399</v>
      </c>
      <c r="M16" s="13">
        <v>1656.3665681277778</v>
      </c>
      <c r="N16" s="13">
        <v>1789.464545</v>
      </c>
      <c r="O16" s="13">
        <v>1717.442886</v>
      </c>
      <c r="P16" s="13">
        <v>1741.522667</v>
      </c>
      <c r="Q16" s="38">
        <f t="shared" si="2"/>
        <v>11.836830414535465</v>
      </c>
      <c r="R16" s="49">
        <f t="shared" si="7"/>
        <v>12.229213190856743</v>
      </c>
      <c r="S16" s="59">
        <f t="shared" si="3"/>
        <v>374.12944354131116</v>
      </c>
      <c r="T16" s="59">
        <f t="shared" si="4"/>
        <v>20.911337402847629</v>
      </c>
      <c r="U16" s="4" t="s">
        <v>35</v>
      </c>
    </row>
    <row r="17" spans="1:21" s="3" customFormat="1" ht="15">
      <c r="A17" s="11" t="s">
        <v>36</v>
      </c>
      <c r="B17" s="53">
        <v>231.4</v>
      </c>
      <c r="C17" s="13">
        <v>638.4</v>
      </c>
      <c r="D17" s="13">
        <v>772.2</v>
      </c>
      <c r="E17" s="13">
        <v>1202</v>
      </c>
      <c r="F17" s="13">
        <v>1115.4000000000001</v>
      </c>
      <c r="G17" s="13">
        <v>1165.9169099999999</v>
      </c>
      <c r="H17" s="13">
        <v>463.99557299999998</v>
      </c>
      <c r="I17" s="13">
        <v>577.73113499999999</v>
      </c>
      <c r="J17" s="13">
        <v>1132.764089</v>
      </c>
      <c r="K17" s="13">
        <v>1577.597278</v>
      </c>
      <c r="L17" s="13">
        <v>1958.0622446499999</v>
      </c>
      <c r="M17" s="13">
        <v>3158.5445937555555</v>
      </c>
      <c r="N17" s="13">
        <v>3162.6142560533299</v>
      </c>
      <c r="O17" s="13">
        <v>3136.3870830533301</v>
      </c>
      <c r="P17" s="13">
        <v>3255.9814500533298</v>
      </c>
      <c r="Q17" s="38">
        <f t="shared" si="2"/>
        <v>16.918914189249563</v>
      </c>
      <c r="R17" s="49">
        <f t="shared" si="7"/>
        <v>23.320028279443587</v>
      </c>
      <c r="S17" s="59">
        <f t="shared" si="3"/>
        <v>24.116735744646746</v>
      </c>
      <c r="T17" s="59">
        <f t="shared" si="4"/>
        <v>61.309713334477763</v>
      </c>
      <c r="U17" s="4" t="s">
        <v>37</v>
      </c>
    </row>
    <row r="18" spans="1:21" s="3" customFormat="1" ht="15">
      <c r="A18" s="11" t="s">
        <v>38</v>
      </c>
      <c r="B18" s="53">
        <v>1754.5</v>
      </c>
      <c r="C18" s="13">
        <v>536.70000000000005</v>
      </c>
      <c r="D18" s="13">
        <v>487.4</v>
      </c>
      <c r="E18" s="13">
        <v>461.4</v>
      </c>
      <c r="F18" s="13">
        <v>541.70000000000005</v>
      </c>
      <c r="G18" s="13">
        <v>549.90547900000001</v>
      </c>
      <c r="H18" s="13">
        <v>751.963122</v>
      </c>
      <c r="I18" s="13">
        <v>349.31307900000002</v>
      </c>
      <c r="J18" s="13">
        <v>353.78332899999998</v>
      </c>
      <c r="K18" s="13">
        <v>264.08306599999997</v>
      </c>
      <c r="L18" s="13">
        <v>4.6041600000000003</v>
      </c>
      <c r="M18" s="13">
        <v>3.6844979999999996</v>
      </c>
      <c r="N18" s="13">
        <v>36.014051000000002</v>
      </c>
      <c r="O18" s="13">
        <v>26.777090999999999</v>
      </c>
      <c r="P18" s="13">
        <v>26.277227</v>
      </c>
      <c r="Q18" s="38">
        <f>+(L18/$L$8)*100</f>
        <v>3.9782896670631271E-2</v>
      </c>
      <c r="R18" s="49">
        <f>+(M18/$M$8)*100</f>
        <v>2.7203224461488477E-2</v>
      </c>
      <c r="S18" s="59">
        <f t="shared" si="3"/>
        <v>-98.256548566427199</v>
      </c>
      <c r="T18" s="59">
        <f t="shared" si="4"/>
        <v>-19.974588198498765</v>
      </c>
      <c r="U18" s="4" t="s">
        <v>39</v>
      </c>
    </row>
    <row r="19" spans="1:21" s="3" customFormat="1" ht="17.25">
      <c r="A19" s="11" t="s">
        <v>59</v>
      </c>
      <c r="B19" s="53"/>
      <c r="C19" s="13"/>
      <c r="D19" s="13"/>
      <c r="E19" s="13"/>
      <c r="F19" s="13"/>
      <c r="G19" s="13"/>
      <c r="H19" s="13"/>
      <c r="I19" s="13"/>
      <c r="J19" s="61">
        <v>0</v>
      </c>
      <c r="K19" s="61">
        <v>0</v>
      </c>
      <c r="L19" s="13">
        <v>271.75309106999975</v>
      </c>
      <c r="M19" s="13">
        <v>340.82595957777772</v>
      </c>
      <c r="N19" s="13">
        <v>323.46557000000001</v>
      </c>
      <c r="O19" s="13">
        <v>322.833844</v>
      </c>
      <c r="P19" s="13">
        <v>324.34954699999997</v>
      </c>
      <c r="Q19" s="38">
        <f>+(L19/$L$8)*100</f>
        <v>2.3481210778866175</v>
      </c>
      <c r="R19" s="49">
        <f>+(M19/$M$8)*100</f>
        <v>2.516371315901512</v>
      </c>
      <c r="S19" s="61">
        <v>0</v>
      </c>
      <c r="T19" s="59">
        <f>+((M19/L19)-1)*100</f>
        <v>25.417509782799776</v>
      </c>
      <c r="U19" s="62" t="s">
        <v>61</v>
      </c>
    </row>
    <row r="20" spans="1:21" s="2" customFormat="1" ht="15">
      <c r="A20" s="10" t="s">
        <v>40</v>
      </c>
      <c r="B20" s="28">
        <f t="shared" ref="B20:I20" si="10">SUM(B21:B25)</f>
        <v>266.3</v>
      </c>
      <c r="C20" s="28">
        <f t="shared" si="10"/>
        <v>293.99999999999994</v>
      </c>
      <c r="D20" s="28">
        <f t="shared" si="10"/>
        <v>309.5</v>
      </c>
      <c r="E20" s="28">
        <f t="shared" si="10"/>
        <v>330.00000000000006</v>
      </c>
      <c r="F20" s="28">
        <f t="shared" si="10"/>
        <v>292.89999999999998</v>
      </c>
      <c r="G20" s="28">
        <f t="shared" si="10"/>
        <v>304.13394399999993</v>
      </c>
      <c r="H20" s="28">
        <f t="shared" si="10"/>
        <v>255.78124300000002</v>
      </c>
      <c r="I20" s="28">
        <f t="shared" si="10"/>
        <v>265.56214700000004</v>
      </c>
      <c r="J20" s="28">
        <f>SUM(J21:J26)</f>
        <v>209.35414899999998</v>
      </c>
      <c r="K20" s="28">
        <f t="shared" ref="K20:P20" si="11">SUM(K21:K26)</f>
        <v>209.18252100000001</v>
      </c>
      <c r="L20" s="28">
        <f t="shared" si="11"/>
        <v>300.81956875999992</v>
      </c>
      <c r="M20" s="28">
        <f t="shared" si="11"/>
        <v>348.4624839255556</v>
      </c>
      <c r="N20" s="28">
        <f t="shared" si="11"/>
        <v>541.67309899999998</v>
      </c>
      <c r="O20" s="28">
        <f t="shared" si="11"/>
        <v>544.3439249999999</v>
      </c>
      <c r="P20" s="28">
        <f t="shared" si="11"/>
        <v>546.45679900000005</v>
      </c>
      <c r="Q20" s="46">
        <f t="shared" si="2"/>
        <v>2.599274095705391</v>
      </c>
      <c r="R20" s="48">
        <f t="shared" si="7"/>
        <v>2.5727529684192287</v>
      </c>
      <c r="S20" s="58">
        <f t="shared" ref="S20:T24" si="12">+((L20/K20)-1)*100</f>
        <v>43.807220279174231</v>
      </c>
      <c r="T20" s="58">
        <f t="shared" si="12"/>
        <v>15.837704761675987</v>
      </c>
      <c r="U20" s="6" t="s">
        <v>14</v>
      </c>
    </row>
    <row r="21" spans="1:21" s="2" customFormat="1" ht="15">
      <c r="A21" s="11" t="s">
        <v>41</v>
      </c>
      <c r="B21" s="53">
        <v>25.8</v>
      </c>
      <c r="C21" s="13">
        <v>30.1</v>
      </c>
      <c r="D21" s="13">
        <v>36.9</v>
      </c>
      <c r="E21" s="13">
        <v>61.7</v>
      </c>
      <c r="F21" s="13">
        <v>63.7</v>
      </c>
      <c r="G21" s="13">
        <v>56.472088999999997</v>
      </c>
      <c r="H21" s="13">
        <v>35.399478999999999</v>
      </c>
      <c r="I21" s="13">
        <v>108.925563</v>
      </c>
      <c r="J21" s="13">
        <v>59.694450000000003</v>
      </c>
      <c r="K21" s="13">
        <v>45.578457</v>
      </c>
      <c r="L21" s="13">
        <v>62.856177169999995</v>
      </c>
      <c r="M21" s="13">
        <v>70.877030364444437</v>
      </c>
      <c r="N21" s="13">
        <v>158.89125999999999</v>
      </c>
      <c r="O21" s="13">
        <v>157.70155299999999</v>
      </c>
      <c r="P21" s="13">
        <v>158.90369999999999</v>
      </c>
      <c r="Q21" s="38">
        <f t="shared" si="2"/>
        <v>0.54311770257006753</v>
      </c>
      <c r="R21" s="49">
        <f t="shared" si="7"/>
        <v>0.52329619019136853</v>
      </c>
      <c r="S21" s="59">
        <f t="shared" si="12"/>
        <v>37.907646083762756</v>
      </c>
      <c r="T21" s="59">
        <f t="shared" si="12"/>
        <v>12.760644308277524</v>
      </c>
      <c r="U21" s="20" t="s">
        <v>42</v>
      </c>
    </row>
    <row r="22" spans="1:21" s="2" customFormat="1" ht="15">
      <c r="A22" s="11" t="s">
        <v>43</v>
      </c>
      <c r="B22" s="53">
        <v>97.5</v>
      </c>
      <c r="C22" s="13">
        <v>145</v>
      </c>
      <c r="D22" s="13">
        <v>134</v>
      </c>
      <c r="E22" s="13">
        <v>176.9</v>
      </c>
      <c r="F22" s="13">
        <v>139.5</v>
      </c>
      <c r="G22" s="13">
        <v>154.75196</v>
      </c>
      <c r="H22" s="13">
        <v>95.280591000000001</v>
      </c>
      <c r="I22" s="13">
        <v>81.075993999999994</v>
      </c>
      <c r="J22" s="13">
        <v>78.940620999999993</v>
      </c>
      <c r="K22" s="13">
        <v>67.993539999999996</v>
      </c>
      <c r="L22" s="13">
        <v>35.804027499999997</v>
      </c>
      <c r="M22" s="13">
        <v>56.224432942222222</v>
      </c>
      <c r="N22" s="13">
        <v>84.499178999999998</v>
      </c>
      <c r="O22" s="13">
        <v>50.751102000000003</v>
      </c>
      <c r="P22" s="13">
        <v>55.633187999999997</v>
      </c>
      <c r="Q22" s="38">
        <f t="shared" si="2"/>
        <v>0.30936977134264232</v>
      </c>
      <c r="R22" s="49">
        <f t="shared" si="7"/>
        <v>0.41511377385662263</v>
      </c>
      <c r="S22" s="59">
        <f t="shared" si="12"/>
        <v>-47.342015873860966</v>
      </c>
      <c r="T22" s="59">
        <f t="shared" si="12"/>
        <v>57.03382236040968</v>
      </c>
      <c r="U22" s="20" t="s">
        <v>44</v>
      </c>
    </row>
    <row r="23" spans="1:21" s="3" customFormat="1" ht="15">
      <c r="A23" s="11" t="s">
        <v>45</v>
      </c>
      <c r="B23" s="53">
        <v>16.899999999999999</v>
      </c>
      <c r="C23" s="13">
        <v>18.600000000000001</v>
      </c>
      <c r="D23" s="13">
        <v>32.700000000000003</v>
      </c>
      <c r="E23" s="13">
        <v>28.6</v>
      </c>
      <c r="F23" s="13">
        <v>33.5</v>
      </c>
      <c r="G23" s="13">
        <v>33.484577000000002</v>
      </c>
      <c r="H23" s="13">
        <v>29.27197</v>
      </c>
      <c r="I23" s="13">
        <v>17.173514000000001</v>
      </c>
      <c r="J23" s="13">
        <v>20.235569000000002</v>
      </c>
      <c r="K23" s="13">
        <v>27.574041999999999</v>
      </c>
      <c r="L23" s="13">
        <v>26.957459039999989</v>
      </c>
      <c r="M23" s="13">
        <v>31.61605386222222</v>
      </c>
      <c r="N23" s="13">
        <v>38.262112999999999</v>
      </c>
      <c r="O23" s="13">
        <v>35.153820000000003</v>
      </c>
      <c r="P23" s="13">
        <v>35.688074</v>
      </c>
      <c r="Q23" s="38">
        <f t="shared" si="2"/>
        <v>0.23292974342574851</v>
      </c>
      <c r="R23" s="49">
        <f t="shared" si="7"/>
        <v>0.23342626588494306</v>
      </c>
      <c r="S23" s="59">
        <f t="shared" si="12"/>
        <v>-2.2360992994788664</v>
      </c>
      <c r="T23" s="59">
        <f t="shared" si="12"/>
        <v>17.281283133212668</v>
      </c>
      <c r="U23" s="20" t="s">
        <v>46</v>
      </c>
    </row>
    <row r="24" spans="1:21" s="3" customFormat="1" ht="15">
      <c r="A24" s="12" t="s">
        <v>47</v>
      </c>
      <c r="B24" s="53">
        <v>107.8</v>
      </c>
      <c r="C24" s="13">
        <v>80.099999999999994</v>
      </c>
      <c r="D24" s="13">
        <v>87.7</v>
      </c>
      <c r="E24" s="13">
        <v>48.5</v>
      </c>
      <c r="F24" s="13">
        <v>38.9</v>
      </c>
      <c r="G24" s="13">
        <v>42.022793999999998</v>
      </c>
      <c r="H24" s="13">
        <v>78.335824000000002</v>
      </c>
      <c r="I24" s="13">
        <v>43.838565000000003</v>
      </c>
      <c r="J24" s="13">
        <v>33.652334000000003</v>
      </c>
      <c r="K24" s="13">
        <v>52.352131999999997</v>
      </c>
      <c r="L24" s="13">
        <v>33.053981409999999</v>
      </c>
      <c r="M24" s="13">
        <v>52.312334413333332</v>
      </c>
      <c r="N24" s="13">
        <v>101.026751</v>
      </c>
      <c r="O24" s="13">
        <v>158.57401400000001</v>
      </c>
      <c r="P24" s="13">
        <v>158.570989</v>
      </c>
      <c r="Q24" s="38">
        <f t="shared" si="2"/>
        <v>0.28560760855117906</v>
      </c>
      <c r="R24" s="49">
        <f t="shared" si="7"/>
        <v>0.38623013912624055</v>
      </c>
      <c r="S24" s="59">
        <f t="shared" si="12"/>
        <v>-36.862205707305293</v>
      </c>
      <c r="T24" s="59">
        <f t="shared" si="12"/>
        <v>58.263338278235381</v>
      </c>
      <c r="U24" s="20" t="s">
        <v>48</v>
      </c>
    </row>
    <row r="25" spans="1:21" s="3" customFormat="1" ht="15">
      <c r="A25" s="12" t="s">
        <v>49</v>
      </c>
      <c r="B25" s="53">
        <v>18.3</v>
      </c>
      <c r="C25" s="13">
        <v>20.2</v>
      </c>
      <c r="D25" s="13">
        <v>18.2</v>
      </c>
      <c r="E25" s="13">
        <v>14.3</v>
      </c>
      <c r="F25" s="13">
        <v>17.3</v>
      </c>
      <c r="G25" s="13">
        <v>17.402524</v>
      </c>
      <c r="H25" s="13">
        <v>17.493379000000001</v>
      </c>
      <c r="I25" s="13">
        <v>14.548511</v>
      </c>
      <c r="J25" s="13">
        <v>16.831175000000002</v>
      </c>
      <c r="K25" s="13">
        <v>15.68435</v>
      </c>
      <c r="L25" s="13">
        <v>140.28595263999998</v>
      </c>
      <c r="M25" s="13">
        <v>135.86649745444447</v>
      </c>
      <c r="N25" s="13">
        <v>156.014636</v>
      </c>
      <c r="O25" s="13">
        <v>139.842501</v>
      </c>
      <c r="P25" s="13">
        <v>135.31491299999999</v>
      </c>
      <c r="Q25" s="38">
        <f t="shared" si="2"/>
        <v>1.212160645637465</v>
      </c>
      <c r="R25" s="49">
        <f t="shared" si="7"/>
        <v>1.0031235807563219</v>
      </c>
      <c r="S25" s="59">
        <f>+((L25/K25)-1)*100</f>
        <v>794.43268378989239</v>
      </c>
      <c r="T25" s="59">
        <f>+((M25/L25)-1)*100</f>
        <v>-3.1503191177641665</v>
      </c>
      <c r="U25" s="21" t="s">
        <v>50</v>
      </c>
    </row>
    <row r="26" spans="1:21" s="3" customFormat="1" ht="15">
      <c r="A26" s="12" t="s">
        <v>60</v>
      </c>
      <c r="B26" s="53"/>
      <c r="C26" s="13"/>
      <c r="D26" s="13"/>
      <c r="E26" s="13"/>
      <c r="F26" s="13"/>
      <c r="G26" s="13"/>
      <c r="H26" s="13"/>
      <c r="I26" s="13"/>
      <c r="J26" s="13">
        <v>0</v>
      </c>
      <c r="K26" s="13">
        <v>0</v>
      </c>
      <c r="L26" s="13">
        <v>1.861971</v>
      </c>
      <c r="M26" s="13">
        <v>1.5661348888888893</v>
      </c>
      <c r="N26" s="13">
        <v>2.9791599999999998</v>
      </c>
      <c r="O26" s="13">
        <v>2.320935</v>
      </c>
      <c r="P26" s="13">
        <v>2.3459349999999999</v>
      </c>
      <c r="Q26" s="38">
        <f t="shared" si="2"/>
        <v>1.6088624178289195E-2</v>
      </c>
      <c r="R26" s="49">
        <f t="shared" si="7"/>
        <v>1.1563018603731845E-2</v>
      </c>
      <c r="S26" s="61">
        <v>0</v>
      </c>
      <c r="T26" s="59">
        <f>+((M26/L26)-1)*100</f>
        <v>-15.888330758701974</v>
      </c>
      <c r="U26" s="21"/>
    </row>
    <row r="27" spans="1:21" s="2" customFormat="1" ht="15">
      <c r="A27" s="55" t="s">
        <v>51</v>
      </c>
      <c r="B27" s="31">
        <v>234.3</v>
      </c>
      <c r="C27" s="32">
        <v>280</v>
      </c>
      <c r="D27" s="32">
        <v>339.9</v>
      </c>
      <c r="E27" s="32">
        <v>592.79999999999995</v>
      </c>
      <c r="F27" s="32">
        <v>554.5</v>
      </c>
      <c r="G27" s="32">
        <v>434.04570899999999</v>
      </c>
      <c r="H27" s="32">
        <v>617.87877800000001</v>
      </c>
      <c r="I27" s="32">
        <v>662.05533700000001</v>
      </c>
      <c r="J27" s="32">
        <v>725.8</v>
      </c>
      <c r="K27" s="32">
        <v>1107.0812289999999</v>
      </c>
      <c r="L27" s="32">
        <v>956.72619699999996</v>
      </c>
      <c r="M27" s="32">
        <v>839.99671311111115</v>
      </c>
      <c r="N27" s="32">
        <v>1378.7312539981999</v>
      </c>
      <c r="O27" s="32">
        <v>1762.045869146933</v>
      </c>
      <c r="P27" s="32">
        <v>1273.9575550628945</v>
      </c>
      <c r="Q27" s="47">
        <f t="shared" si="2"/>
        <v>8.2667282278063769</v>
      </c>
      <c r="R27" s="50">
        <f t="shared" si="7"/>
        <v>6.2018269880114207</v>
      </c>
      <c r="S27" s="60">
        <f>+((L27/K27)-1)*100</f>
        <v>-13.581210489478901</v>
      </c>
      <c r="T27" s="60">
        <f>+((M27/L27)-1)*100</f>
        <v>-12.200928986257164</v>
      </c>
      <c r="U27" s="22" t="s">
        <v>52</v>
      </c>
    </row>
    <row r="28" spans="1:21" s="3" customFormat="1" ht="15">
      <c r="A28" s="7" t="s">
        <v>10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6"/>
      <c r="U28" s="4" t="s">
        <v>11</v>
      </c>
    </row>
    <row r="29" spans="1:21" s="3" customFormat="1" ht="15">
      <c r="A29" s="7" t="s">
        <v>53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6"/>
      <c r="U29" s="4" t="s">
        <v>54</v>
      </c>
    </row>
    <row r="30" spans="1:21" s="3" customFormat="1">
      <c r="A30" s="7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4"/>
      <c r="T30" s="34"/>
    </row>
    <row r="31" spans="1:21" s="23" customFormat="1" ht="12.75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7"/>
      <c r="T31" s="37"/>
    </row>
    <row r="32" spans="1:21" s="23" customFormat="1" ht="12.7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7"/>
      <c r="T32" s="37"/>
    </row>
    <row r="33" spans="1:20" s="23" customFormat="1" ht="12.7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7"/>
      <c r="T33" s="37"/>
    </row>
    <row r="34" spans="1:20" s="23" customFormat="1" ht="12.75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7"/>
      <c r="T34" s="37"/>
    </row>
    <row r="35" spans="1:20" s="23" customFormat="1" ht="12.7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/>
      <c r="T35" s="37"/>
    </row>
    <row r="36" spans="1:20" s="23" customFormat="1" ht="12.7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7"/>
      <c r="T36" s="37"/>
    </row>
    <row r="37" spans="1:20" s="23" customFormat="1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5"/>
      <c r="T37" s="25"/>
    </row>
  </sheetData>
  <mergeCells count="9">
    <mergeCell ref="Q6:R6"/>
    <mergeCell ref="S5:T5"/>
    <mergeCell ref="S6:T6"/>
    <mergeCell ref="A1:U1"/>
    <mergeCell ref="A2:U2"/>
    <mergeCell ref="A3:U3"/>
    <mergeCell ref="A4:U4"/>
    <mergeCell ref="E5:G5"/>
    <mergeCell ref="Q5:R5"/>
  </mergeCells>
  <pageMargins left="0.17" right="0.16" top="0.75" bottom="0.75" header="0.3" footer="0.3"/>
  <pageSetup paperSize="9" scale="77" orientation="landscape" r:id="rId1"/>
  <colBreaks count="1" manualBreakCount="1">
    <brk id="2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2016-01-18T08:29:15Z</cp:lastPrinted>
  <dcterms:created xsi:type="dcterms:W3CDTF">2014-03-06T08:38:12Z</dcterms:created>
  <dcterms:modified xsi:type="dcterms:W3CDTF">2016-01-18T08:33:34Z</dcterms:modified>
</cp:coreProperties>
</file>