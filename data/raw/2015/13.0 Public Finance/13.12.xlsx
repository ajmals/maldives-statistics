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12" sheetId="18" r:id="rId1"/>
  </sheets>
  <definedNames>
    <definedName name="_xlnm.Print_Area" localSheetId="0">'13.12'!$A$1:$L$40</definedName>
  </definedNames>
  <calcPr calcId="144525"/>
</workbook>
</file>

<file path=xl/calcChain.xml><?xml version="1.0" encoding="utf-8"?>
<calcChain xmlns="http://schemas.openxmlformats.org/spreadsheetml/2006/main">
  <c r="E26" i="18" l="1"/>
  <c r="J26" i="18" s="1"/>
  <c r="D26" i="18"/>
  <c r="H26" i="18" s="1"/>
  <c r="C26" i="18"/>
  <c r="G26" i="18" s="1"/>
  <c r="B26" i="18"/>
  <c r="F26" i="18" s="1"/>
  <c r="J25" i="18"/>
  <c r="I25" i="18"/>
  <c r="G25" i="18"/>
  <c r="F25" i="18"/>
  <c r="J24" i="18"/>
  <c r="G24" i="18"/>
  <c r="F24" i="18"/>
  <c r="J23" i="18"/>
  <c r="H23" i="18"/>
  <c r="G23" i="18"/>
  <c r="F23" i="18"/>
  <c r="J22" i="18"/>
  <c r="I22" i="18"/>
  <c r="H22" i="18"/>
  <c r="G22" i="18"/>
  <c r="F22" i="18"/>
  <c r="J21" i="18"/>
  <c r="I21" i="18"/>
  <c r="G21" i="18"/>
  <c r="F21" i="18"/>
  <c r="J20" i="18"/>
  <c r="G20" i="18"/>
  <c r="F20" i="18"/>
  <c r="J19" i="18"/>
  <c r="H19" i="18"/>
  <c r="G19" i="18"/>
  <c r="F19" i="18"/>
  <c r="J18" i="18"/>
  <c r="I18" i="18"/>
  <c r="H18" i="18"/>
  <c r="G18" i="18"/>
  <c r="F18" i="18"/>
  <c r="J17" i="18"/>
  <c r="I17" i="18"/>
  <c r="G17" i="18"/>
  <c r="F17" i="18"/>
  <c r="I16" i="18"/>
  <c r="G16" i="18"/>
  <c r="F16" i="18"/>
  <c r="J15" i="18"/>
  <c r="H15" i="18"/>
  <c r="G15" i="18"/>
  <c r="F15" i="18"/>
  <c r="J14" i="18"/>
  <c r="H14" i="18"/>
  <c r="G14" i="18"/>
  <c r="F14" i="18"/>
  <c r="J13" i="18"/>
  <c r="I13" i="18"/>
  <c r="H13" i="18"/>
  <c r="G13" i="18"/>
  <c r="F13" i="18"/>
  <c r="J12" i="18"/>
  <c r="I12" i="18"/>
  <c r="G12" i="18"/>
  <c r="F12" i="18"/>
  <c r="J11" i="18"/>
  <c r="H11" i="18"/>
  <c r="G11" i="18"/>
  <c r="F11" i="18"/>
  <c r="J10" i="18"/>
  <c r="I10" i="18"/>
  <c r="H10" i="18"/>
  <c r="G10" i="18"/>
  <c r="F10" i="18"/>
  <c r="J9" i="18"/>
  <c r="I9" i="18"/>
  <c r="H9" i="18"/>
  <c r="G9" i="18"/>
  <c r="F9" i="18"/>
  <c r="J8" i="18"/>
  <c r="I8" i="18"/>
  <c r="H8" i="18"/>
  <c r="G8" i="18"/>
  <c r="F8" i="18"/>
  <c r="I11" i="18" l="1"/>
  <c r="H16" i="18"/>
  <c r="H21" i="18"/>
  <c r="I24" i="18"/>
  <c r="H20" i="18"/>
  <c r="I23" i="18"/>
  <c r="H12" i="18"/>
  <c r="I15" i="18"/>
  <c r="H17" i="18"/>
  <c r="I20" i="18"/>
  <c r="H25" i="18"/>
  <c r="I14" i="18"/>
  <c r="I19" i="18"/>
  <c r="H24" i="18"/>
  <c r="I26" i="18"/>
</calcChain>
</file>

<file path=xl/sharedStrings.xml><?xml version="1.0" encoding="utf-8"?>
<sst xmlns="http://schemas.openxmlformats.org/spreadsheetml/2006/main" count="64" uniqueCount="63">
  <si>
    <t>ތާވަލު 13.12: ޢާމްދަނީގެ ގޮތުގައި ލިބުނު ފައިސާ އެކި ބައިތަކަށް، 2011 - 2014</t>
  </si>
  <si>
    <t>Table 13.12: REVENUE COLLECTED BY MAJOR CATEGORIES, 2011 - 2014</t>
  </si>
  <si>
    <t>Description</t>
  </si>
  <si>
    <t>Revenue collected (MVR)</t>
  </si>
  <si>
    <t>Percentage shares</t>
  </si>
  <si>
    <t>Percentage change over 2013</t>
  </si>
  <si>
    <t>ތަފްސީލު</t>
  </si>
  <si>
    <t>ލިބުނު އާމްދަނީ (ރުފިޔާއިން)</t>
  </si>
  <si>
    <t>cniawtcaws ctogWviawfiheb</t>
  </si>
  <si>
    <t>2013 އާއި އަޅާބަލާއިރު 2014 ގައި އިތުރުވި މިންވަރު (%)</t>
  </si>
  <si>
    <t>2013*</t>
  </si>
  <si>
    <t xml:space="preserve">Airport Service Charge
</t>
  </si>
  <si>
    <t>އެއަރޕޯޓް ސަރވިސް ޗާޖް</t>
  </si>
  <si>
    <t xml:space="preserve">Bank Profit Tax
</t>
  </si>
  <si>
    <t>ބެންކް ޕްރޮފިޓް ޓެކްސް</t>
  </si>
  <si>
    <r>
      <t>Business Permits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
</t>
    </r>
  </si>
  <si>
    <r>
      <t>ބިމުގެ ކުލި</t>
    </r>
    <r>
      <rPr>
        <vertAlign val="superscript"/>
        <sz val="10"/>
        <color theme="1"/>
        <rFont val="Faruma"/>
      </rPr>
      <t>1</t>
    </r>
  </si>
  <si>
    <t xml:space="preserve">Business Profit Tax
</t>
  </si>
  <si>
    <t>ވިޔަފާރި ފައިދާއިން ނެގޭ ޓެކްސް</t>
  </si>
  <si>
    <t xml:space="preserve">Fines
</t>
  </si>
  <si>
    <t>ޖޫރިމަނާ</t>
  </si>
  <si>
    <t xml:space="preserve">Goods and Services Tax
</t>
  </si>
  <si>
    <t>މުދަލާއި ޙިދުމަތުގެ އަގުން ނެގޭ ޓެކްސް</t>
  </si>
  <si>
    <r>
      <t>Land Rent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
</t>
    </r>
  </si>
  <si>
    <r>
      <t>ބިމުގެ ކުލި</t>
    </r>
    <r>
      <rPr>
        <vertAlign val="superscript"/>
        <sz val="9.5"/>
        <color theme="1"/>
        <rFont val="Faruma"/>
      </rPr>
      <t>2</t>
    </r>
  </si>
  <si>
    <t xml:space="preserve">Land Sales Tax
</t>
  </si>
  <si>
    <t>ބިން ވިއްކުމަށް ނެގޭ ޓެކްސް</t>
  </si>
  <si>
    <t xml:space="preserve">Lease  Period Extension
</t>
  </si>
  <si>
    <t>ކުލީގެ މުއްދަތު އިތުރުކުރުން</t>
  </si>
  <si>
    <t xml:space="preserve">Resident Permit
</t>
  </si>
  <si>
    <t>ރެސިޑެންޓް ޕަރމިޓް</t>
  </si>
  <si>
    <t xml:space="preserve">Revenue Stamp
</t>
  </si>
  <si>
    <t>ރެވެނިއު ސްޓޭމްޕް</t>
  </si>
  <si>
    <r>
      <t>Royalties</t>
    </r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
</t>
    </r>
  </si>
  <si>
    <r>
      <t>ރޯޔަލްޓީ</t>
    </r>
    <r>
      <rPr>
        <vertAlign val="superscript"/>
        <sz val="9.5"/>
        <color theme="1"/>
        <rFont val="Faruma"/>
      </rPr>
      <t>3</t>
    </r>
  </si>
  <si>
    <r>
      <t>Sale of Capital Assets</t>
    </r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
</t>
    </r>
  </si>
  <si>
    <r>
      <t>ހަރުމުދާ ވިއްކައިގެން ލިބޭ ފައިސާ</t>
    </r>
    <r>
      <rPr>
        <vertAlign val="superscript"/>
        <sz val="9.5"/>
        <color theme="1"/>
        <rFont val="Faruma"/>
      </rPr>
      <t>4</t>
    </r>
  </si>
  <si>
    <t xml:space="preserve">Tourism Land Rent
</t>
  </si>
  <si>
    <t>ޓޫރިޒަމް ލޭންޑް ރެންޓް</t>
  </si>
  <si>
    <t xml:space="preserve">Tourism Tax
</t>
  </si>
  <si>
    <t>ޓޫރިޒަމް ޓެކްސް</t>
  </si>
  <si>
    <t xml:space="preserve">Vehicle Fee
</t>
  </si>
  <si>
    <t xml:space="preserve"> އުޅަނދުފަހަރުގެ ފީ</t>
  </si>
  <si>
    <t xml:space="preserve">Vessels Fee
</t>
  </si>
  <si>
    <t xml:space="preserve"> ކަނޑުގައި ދުއްވާ އުޅަނދުފަހަރުގެ ފީ</t>
  </si>
  <si>
    <r>
      <t>Others</t>
    </r>
    <r>
      <rPr>
        <vertAlign val="superscript"/>
        <sz val="10"/>
        <color theme="1"/>
        <rFont val="Calibri"/>
        <family val="2"/>
        <scheme val="minor"/>
      </rPr>
      <t>5</t>
    </r>
  </si>
  <si>
    <t>އެހެނިހެން</t>
  </si>
  <si>
    <t>Total</t>
  </si>
  <si>
    <t>ޖުމްލަ</t>
  </si>
  <si>
    <t>Note:</t>
  </si>
  <si>
    <t>* 2013 figures are revised</t>
  </si>
  <si>
    <r>
      <rPr>
        <vertAlign val="superscript"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>Business Permits: Company Annual Fee, Restaurant, Café, Canteen Fee, Flat Maintanance Fee, Partnership Fees, Import Trade Fee, Co-operative Society Fees, Trade Registry Fee, Foreign Investment Administration Annual Fee, Company Registration Fee, Foreign Business Fee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</si>
  <si>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Land Rent: Uninhabited Islands Rent, Government Buildings Rent, Commercial Land Rent, Rent from Land for Industry, Longterm Agricultural Leased Islands Rent, Rent from Floating Jetty, Uninhabited Islands Administration Fee</t>
    </r>
  </si>
  <si>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Royalties: Duty Free Royalty, Foreign Investment Royalty, Fishing Royalty, Fuel re-export Royalty, Re-Export Royalty, Yellowfin Tuna Export Royalty, Skipjack Industry Royalty</t>
    </r>
  </si>
  <si>
    <r>
      <rPr>
        <vertAlign val="super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Sale of Capital Assets: Sale of Items At Auction, Sale of Government Buildings, Sale of Government Lands</t>
    </r>
  </si>
  <si>
    <r>
      <rPr>
        <vertAlign val="superscript"/>
        <sz val="10"/>
        <color theme="1"/>
        <rFont val="Calibri"/>
        <family val="2"/>
        <scheme val="minor"/>
      </rPr>
      <t>5</t>
    </r>
    <r>
      <rPr>
        <sz val="10"/>
        <color theme="1"/>
        <rFont val="Calibri"/>
        <family val="2"/>
        <scheme val="minor"/>
      </rPr>
      <t xml:space="preserve"> Others: Reimbursements from Previous Year's Budget</t>
    </r>
  </si>
  <si>
    <t>Source: Maldives Inland Revenue Authority</t>
  </si>
  <si>
    <t>ވިޔަފާރި ހުއްދަ: ކުންފުނިތަކުގެ އަހަރީ ފީ، ރެސްޓޯރަންޓް، ކެފޭ އަދި ކެންޓީންތަކުގެ ވިޔަފާރި ފީ، ފްލެޓް ބެލެހެއްޓުމުގެ އަގު ، ޕާޓްނާޝިޕް އަހަރީ ފީ، އިމްޕޯޓް ވިޔަފާރި ފީ، ކޯޕަރޭޓިވް ސޮސައިޓީ ރެޖިސްޓްރޭޝަން ފީ، ޓްރޭޑް ރަޖިސްޓްރީ ފީ، ފޮރިން އިންވެސްޓްމަންޓް އެޑްމިނިސްޓްރޭޝަން ފީ، ކުންފުނި ރަޖިސްޓްރީ ކުރުމުގެ ފީ، ބިދޭސީން ވިޔަފާރި ކުރުމުގެ ހުއްދަ</t>
  </si>
  <si>
    <r>
      <rPr>
        <sz val="10"/>
        <color theme="1"/>
        <rFont val="Faruma"/>
      </rPr>
      <t xml:space="preserve">ބިމުގެ ކުލި: ގޮއިފާލައްބަ، ހިންނަ ފަދަ ތަންތަނުގެ ވަރުވާ، ސަރުކާރު އިމާރާތްތަކުގެ ކުލި، ވިޔަފާރިކުރުމަށް ދޫކުރެވިފައިވާ ބިންބިމުގެ ކުލި، ސިނާޢީ މަސައްކަތްތަކަށް ދޫކުރެވިފައިވާ ބިމުގެ ކުލި، ދަނޑުވެރިކަމަށް ދޫކުރެވިފައިވާ ރަށްރަށުގެ ކުލި، ފްލޯޓިންގ ޖެޓީގެ ކުލި، ފަޅުރަށްރަށް ބެލެހެއްޓުމުގެ ފީ   </t>
    </r>
    <r>
      <rPr>
        <sz val="10"/>
        <color theme="1"/>
        <rFont val="Calibri"/>
        <family val="2"/>
        <scheme val="minor"/>
      </rPr>
      <t xml:space="preserve"> </t>
    </r>
  </si>
  <si>
    <t>ރޯޔަލްޓީ: ޑިއުޓީ ފްރީ ޝޮޕްގެ ރޯޔަލްޓީ، ބިދޭސީން ކުރާ ވިޔަފާރިގެ ރޯޔަލްޓީ، ބިދޭސީން ކުރާ މަސްވެރިކަމުގެ ރޯޔަލްޓީ، ގާމެންޓް އިންޑަސްޓްރީގެ ރޯޔަލްޓީ، ބުލިއަން ރޯޔަލްޓީ، ފިއުލް ރީއެކްސްޕޯޓް ރޯޔަލްޓީ، ރީއެކްސްޕޯޓް ރޯޔަލްޓީ، ބޮޑު ކަންނެލީގެ އެކްސްޕޯޓް ރޯޔަލްޓީ، މަސް އެކްސްޕޯޓް ކުރުމުގެ ރޯޔަލްޓީ</t>
  </si>
  <si>
    <t>ހަރުމުދާ ވިއްކައިގެން ލިބޭ ފައިސާ: ނީލަމުގައި ތަކެތި ވިއްކައިގެން ލިބޭ، ސަރުކާރުގެ އިމާރާތް ވިއްކި، ސަރުކާރުގެ ބިން ވިއްކި</t>
  </si>
  <si>
    <t>އެހެނިހެން: ކުރީ އަހަރުގެ ބަޖެޓުން އަނބުރާ ލިބޭ ފައިސާ</t>
  </si>
  <si>
    <t>މަޢުލޫމާތު ދެއްވި ފަރާތް: މޯލްޑިވްސް އިންލަންޑް ރެވެނިއު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</si>
</sst>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  <numFmt numFmtId="167" formatCode="#,##0_);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/>
      <name val="A_Faseyha"/>
    </font>
    <font>
      <sz val="9"/>
      <color theme="1"/>
      <name val="Calibri"/>
      <family val="2"/>
      <scheme val="minor"/>
    </font>
    <font>
      <sz val="10"/>
      <color theme="1"/>
      <name val="Faruma"/>
    </font>
    <font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Faruma"/>
    </font>
    <font>
      <sz val="9.5"/>
      <color theme="1"/>
      <name val="Faruma"/>
    </font>
    <font>
      <vertAlign val="superscript"/>
      <sz val="9.5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/>
      <right style="hair">
        <color indexed="64"/>
      </right>
      <top style="thin">
        <color auto="1"/>
      </top>
      <bottom style="hair">
        <color theme="1"/>
      </bottom>
      <diagonal/>
    </border>
    <border>
      <left style="hair">
        <color indexed="64"/>
      </left>
      <right/>
      <top style="thin">
        <color auto="1"/>
      </top>
      <bottom style="hair">
        <color theme="1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hair">
        <color indexed="64"/>
      </right>
      <top style="hair">
        <color theme="1"/>
      </top>
      <bottom style="thin">
        <color auto="1"/>
      </bottom>
      <diagonal/>
    </border>
    <border>
      <left style="hair">
        <color indexed="64"/>
      </left>
      <right/>
      <top style="hair">
        <color theme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71">
    <xf numFmtId="0" fontId="0" fillId="0" borderId="0" xfId="0"/>
    <xf numFmtId="0" fontId="4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6" fillId="2" borderId="8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 readingOrder="2"/>
    </xf>
    <xf numFmtId="0" fontId="10" fillId="2" borderId="0" xfId="0" applyFont="1" applyFill="1" applyAlignment="1">
      <alignment vertical="top" wrapText="1"/>
    </xf>
    <xf numFmtId="0" fontId="6" fillId="2" borderId="14" xfId="0" applyFont="1" applyFill="1" applyBorder="1" applyAlignment="1">
      <alignment horizontal="right" vertical="center" wrapText="1"/>
    </xf>
    <xf numFmtId="0" fontId="6" fillId="2" borderId="7" xfId="0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right" vertical="center" wrapText="1"/>
    </xf>
    <xf numFmtId="0" fontId="6" fillId="2" borderId="14" xfId="0" applyFont="1" applyFill="1" applyBorder="1" applyAlignment="1">
      <alignment horizontal="left" vertical="center" wrapText="1" indent="7"/>
    </xf>
    <xf numFmtId="0" fontId="4" fillId="2" borderId="0" xfId="0" applyFont="1" applyFill="1" applyAlignment="1">
      <alignment horizontal="left" vertical="top"/>
    </xf>
    <xf numFmtId="166" fontId="4" fillId="2" borderId="0" xfId="1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 wrapText="1"/>
    </xf>
    <xf numFmtId="165" fontId="4" fillId="2" borderId="0" xfId="0" applyNumberFormat="1" applyFont="1" applyFill="1" applyBorder="1" applyAlignment="1">
      <alignment horizontal="right" vertical="center" wrapText="1"/>
    </xf>
    <xf numFmtId="165" fontId="4" fillId="2" borderId="4" xfId="0" applyNumberFormat="1" applyFont="1" applyFill="1" applyBorder="1" applyAlignment="1">
      <alignment horizontal="right" vertical="center" wrapText="1"/>
    </xf>
    <xf numFmtId="164" fontId="4" fillId="2" borderId="0" xfId="1" applyNumberFormat="1" applyFont="1" applyFill="1" applyAlignment="1">
      <alignment horizontal="right" vertical="center" wrapText="1" indent="6"/>
    </xf>
    <xf numFmtId="0" fontId="11" fillId="2" borderId="0" xfId="0" applyFont="1" applyFill="1" applyAlignment="1">
      <alignment vertical="top" wrapText="1"/>
    </xf>
    <xf numFmtId="167" fontId="4" fillId="2" borderId="0" xfId="0" applyNumberFormat="1" applyFont="1" applyFill="1" applyAlignment="1">
      <alignment horizontal="left" vertical="top"/>
    </xf>
    <xf numFmtId="43" fontId="4" fillId="2" borderId="0" xfId="0" applyNumberFormat="1" applyFont="1" applyFill="1" applyAlignment="1">
      <alignment vertical="top" wrapText="1"/>
    </xf>
    <xf numFmtId="167" fontId="4" fillId="2" borderId="0" xfId="0" applyNumberFormat="1" applyFont="1" applyFill="1" applyAlignment="1">
      <alignment horizontal="left" vertical="top" wrapText="1"/>
    </xf>
    <xf numFmtId="43" fontId="4" fillId="2" borderId="0" xfId="1" applyFont="1" applyFill="1" applyAlignment="1">
      <alignment vertical="top" wrapText="1"/>
    </xf>
    <xf numFmtId="164" fontId="14" fillId="2" borderId="0" xfId="2" applyNumberFormat="1" applyFont="1" applyFill="1" applyAlignment="1">
      <alignment horizontal="right" vertical="center"/>
    </xf>
    <xf numFmtId="167" fontId="4" fillId="2" borderId="0" xfId="0" applyNumberFormat="1" applyFont="1" applyFill="1" applyBorder="1" applyAlignment="1">
      <alignment horizontal="left" vertical="top"/>
    </xf>
    <xf numFmtId="167" fontId="4" fillId="2" borderId="1" xfId="0" applyNumberFormat="1" applyFont="1" applyFill="1" applyBorder="1" applyAlignment="1">
      <alignment horizontal="left" vertical="top"/>
    </xf>
    <xf numFmtId="166" fontId="4" fillId="2" borderId="1" xfId="1" applyNumberFormat="1" applyFont="1" applyFill="1" applyBorder="1" applyAlignment="1">
      <alignment horizontal="right" vertical="center"/>
    </xf>
    <xf numFmtId="166" fontId="4" fillId="2" borderId="5" xfId="1" applyNumberFormat="1" applyFont="1" applyFill="1" applyBorder="1" applyAlignment="1">
      <alignment horizontal="right" vertical="center"/>
    </xf>
    <xf numFmtId="167" fontId="6" fillId="2" borderId="14" xfId="0" applyNumberFormat="1" applyFont="1" applyFill="1" applyBorder="1" applyAlignment="1">
      <alignment horizontal="left" vertical="top"/>
    </xf>
    <xf numFmtId="166" fontId="6" fillId="2" borderId="2" xfId="1" applyNumberFormat="1" applyFont="1" applyFill="1" applyBorder="1" applyAlignment="1">
      <alignment horizontal="right" vertical="center"/>
    </xf>
    <xf numFmtId="1" fontId="6" fillId="2" borderId="6" xfId="0" applyNumberFormat="1" applyFont="1" applyFill="1" applyBorder="1" applyAlignment="1">
      <alignment horizontal="right" vertical="center"/>
    </xf>
    <xf numFmtId="1" fontId="6" fillId="2" borderId="14" xfId="0" applyNumberFormat="1" applyFont="1" applyFill="1" applyBorder="1" applyAlignment="1">
      <alignment horizontal="right" vertical="center"/>
    </xf>
    <xf numFmtId="165" fontId="4" fillId="2" borderId="14" xfId="0" applyNumberFormat="1" applyFont="1" applyFill="1" applyBorder="1" applyAlignment="1">
      <alignment horizontal="right" vertical="center" wrapText="1"/>
    </xf>
    <xf numFmtId="165" fontId="4" fillId="2" borderId="7" xfId="0" applyNumberFormat="1" applyFont="1" applyFill="1" applyBorder="1" applyAlignment="1">
      <alignment horizontal="right" vertical="center" wrapText="1"/>
    </xf>
    <xf numFmtId="164" fontId="6" fillId="2" borderId="6" xfId="1" applyNumberFormat="1" applyFont="1" applyFill="1" applyBorder="1" applyAlignment="1">
      <alignment horizontal="right" vertical="center" wrapText="1" indent="6"/>
    </xf>
    <xf numFmtId="0" fontId="7" fillId="2" borderId="14" xfId="0" applyFont="1" applyFill="1" applyBorder="1" applyAlignment="1">
      <alignment vertical="top" wrapText="1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4" fillId="2" borderId="2" xfId="0" applyFont="1" applyFill="1" applyBorder="1" applyAlignment="1">
      <alignment vertical="top"/>
    </xf>
    <xf numFmtId="0" fontId="16" fillId="2" borderId="0" xfId="0" applyFont="1" applyFill="1" applyAlignment="1">
      <alignment vertical="top"/>
    </xf>
    <xf numFmtId="166" fontId="6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7" fillId="2" borderId="0" xfId="0" applyFont="1" applyFill="1" applyAlignment="1">
      <alignment vertical="top"/>
    </xf>
    <xf numFmtId="167" fontId="16" fillId="2" borderId="0" xfId="0" applyNumberFormat="1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top"/>
    </xf>
    <xf numFmtId="0" fontId="11" fillId="2" borderId="0" xfId="0" applyFont="1" applyFill="1" applyBorder="1" applyAlignment="1">
      <alignment horizontal="right" vertical="top" wrapText="1"/>
    </xf>
    <xf numFmtId="0" fontId="12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1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right" vertical="top" wrapText="1"/>
    </xf>
    <xf numFmtId="0" fontId="11" fillId="2" borderId="0" xfId="0" applyFont="1" applyFill="1" applyAlignment="1">
      <alignment horizontal="right" vertical="top" wrapText="1"/>
    </xf>
    <xf numFmtId="0" fontId="11" fillId="2" borderId="0" xfId="0" applyFont="1" applyFill="1" applyBorder="1" applyAlignment="1">
      <alignment horizontal="right" vertical="top" wrapText="1"/>
    </xf>
    <xf numFmtId="0" fontId="4" fillId="2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6" fillId="2" borderId="2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 readingOrder="2"/>
    </xf>
    <xf numFmtId="0" fontId="9" fillId="2" borderId="11" xfId="0" applyFont="1" applyFill="1" applyBorder="1" applyAlignment="1">
      <alignment horizontal="center" vertical="center" wrapText="1" readingOrder="2"/>
    </xf>
    <xf numFmtId="0" fontId="9" fillId="2" borderId="12" xfId="0" applyFont="1" applyFill="1" applyBorder="1" applyAlignment="1">
      <alignment horizontal="center" vertical="center" wrapText="1" readingOrder="2"/>
    </xf>
  </cellXfs>
  <cellStyles count="3">
    <cellStyle name="Comma" xfId="1" builtinId="3"/>
    <cellStyle name="Normal" xfId="0" builtinId="0"/>
    <cellStyle name="Normal_13 Public Finance_done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65"/>
  <sheetViews>
    <sheetView tabSelected="1" zoomScaleNormal="100" workbookViewId="0">
      <selection activeCell="P12" sqref="P12"/>
    </sheetView>
  </sheetViews>
  <sheetFormatPr defaultColWidth="8" defaultRowHeight="12.75" x14ac:dyDescent="0.25"/>
  <cols>
    <col min="1" max="1" width="23.7109375" style="1" customWidth="1"/>
    <col min="2" max="2" width="14.42578125" style="1" customWidth="1"/>
    <col min="3" max="3" width="14.7109375" style="1" customWidth="1"/>
    <col min="4" max="5" width="14.42578125" style="1" customWidth="1"/>
    <col min="6" max="9" width="9.140625" style="1" customWidth="1"/>
    <col min="10" max="10" width="19.7109375" style="1" customWidth="1"/>
    <col min="11" max="11" width="23.42578125" style="1" customWidth="1"/>
    <col min="12" max="12" width="1.5703125" style="1" customWidth="1"/>
    <col min="13" max="13" width="14.28515625" style="1" bestFit="1" customWidth="1"/>
    <col min="14" max="14" width="13.28515625" style="1" bestFit="1" customWidth="1"/>
    <col min="15" max="16384" width="8" style="1"/>
  </cols>
  <sheetData>
    <row r="1" spans="1:14" ht="8.25" customHeight="1" x14ac:dyDescent="0.25"/>
    <row r="2" spans="1:14" ht="18.75" customHeight="1" x14ac:dyDescent="0.25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4" ht="15.75" customHeight="1" x14ac:dyDescent="0.25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4" ht="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4" ht="25.9" customHeight="1" x14ac:dyDescent="0.25">
      <c r="A5" s="57" t="s">
        <v>2</v>
      </c>
      <c r="B5" s="60" t="s">
        <v>3</v>
      </c>
      <c r="C5" s="60"/>
      <c r="D5" s="60"/>
      <c r="E5" s="61"/>
      <c r="F5" s="62" t="s">
        <v>4</v>
      </c>
      <c r="G5" s="60"/>
      <c r="H5" s="60"/>
      <c r="I5" s="61"/>
      <c r="J5" s="3" t="s">
        <v>5</v>
      </c>
      <c r="K5" s="63" t="s">
        <v>6</v>
      </c>
    </row>
    <row r="6" spans="1:14" s="5" customFormat="1" ht="51" customHeight="1" x14ac:dyDescent="0.25">
      <c r="A6" s="58"/>
      <c r="B6" s="66" t="s">
        <v>7</v>
      </c>
      <c r="C6" s="66"/>
      <c r="D6" s="66"/>
      <c r="E6" s="67"/>
      <c r="F6" s="68" t="s">
        <v>8</v>
      </c>
      <c r="G6" s="69"/>
      <c r="H6" s="69"/>
      <c r="I6" s="70"/>
      <c r="J6" s="4" t="s">
        <v>9</v>
      </c>
      <c r="K6" s="64"/>
    </row>
    <row r="7" spans="1:14" ht="18.75" customHeight="1" x14ac:dyDescent="0.25">
      <c r="A7" s="59"/>
      <c r="B7" s="6">
        <v>2011</v>
      </c>
      <c r="C7" s="6">
        <v>2012</v>
      </c>
      <c r="D7" s="6" t="s">
        <v>10</v>
      </c>
      <c r="E7" s="7">
        <v>2014</v>
      </c>
      <c r="F7" s="8">
        <v>2011</v>
      </c>
      <c r="G7" s="6">
        <v>2012</v>
      </c>
      <c r="H7" s="6" t="s">
        <v>10</v>
      </c>
      <c r="I7" s="7">
        <v>2014</v>
      </c>
      <c r="J7" s="9">
        <v>2014</v>
      </c>
      <c r="K7" s="65"/>
    </row>
    <row r="8" spans="1:14" ht="15.75" customHeight="1" x14ac:dyDescent="0.25">
      <c r="A8" s="10" t="s">
        <v>11</v>
      </c>
      <c r="B8" s="11">
        <v>337494704.2076</v>
      </c>
      <c r="C8" s="11">
        <v>299914418.10500002</v>
      </c>
      <c r="D8" s="11">
        <v>350246279.87499994</v>
      </c>
      <c r="E8" s="11">
        <v>431615644.42190003</v>
      </c>
      <c r="F8" s="12">
        <f t="shared" ref="F8:F26" si="0">(B8/$B$26)*100</f>
        <v>7.400866620570616</v>
      </c>
      <c r="G8" s="13">
        <f t="shared" ref="G8:G26" si="1">(C8/$C$26)*100</f>
        <v>4.1933328367356175</v>
      </c>
      <c r="H8" s="13">
        <f>(D8/$D$26)*100</f>
        <v>3.8991798074243404</v>
      </c>
      <c r="I8" s="14">
        <f>(E8/$E$26)*100</f>
        <v>3.7606805037810727</v>
      </c>
      <c r="J8" s="15">
        <f t="shared" ref="J8:J15" si="2">((E8/D8)-1)*100</f>
        <v>23.232042486201475</v>
      </c>
      <c r="K8" s="16" t="s">
        <v>12</v>
      </c>
    </row>
    <row r="9" spans="1:14" ht="15.75" customHeight="1" x14ac:dyDescent="0.25">
      <c r="A9" s="17" t="s">
        <v>13</v>
      </c>
      <c r="B9" s="11">
        <v>229856988.79999998</v>
      </c>
      <c r="C9" s="11">
        <v>313152517.39999998</v>
      </c>
      <c r="D9" s="11">
        <v>355036694.05000001</v>
      </c>
      <c r="E9" s="11">
        <v>482197189.75</v>
      </c>
      <c r="F9" s="12">
        <f t="shared" si="0"/>
        <v>5.0404966202621857</v>
      </c>
      <c r="G9" s="13">
        <f t="shared" si="1"/>
        <v>4.3784248267120889</v>
      </c>
      <c r="H9" s="13">
        <f>(D9/$D$26)*100</f>
        <v>3.9525099562185715</v>
      </c>
      <c r="I9" s="14">
        <f>(E9/$E$26)*100</f>
        <v>4.2013990778755863</v>
      </c>
      <c r="J9" s="15">
        <f t="shared" si="2"/>
        <v>35.816155859679078</v>
      </c>
      <c r="K9" s="16" t="s">
        <v>14</v>
      </c>
      <c r="M9" s="18"/>
      <c r="N9" s="18"/>
    </row>
    <row r="10" spans="1:14" ht="15.75" customHeight="1" x14ac:dyDescent="0.25">
      <c r="A10" s="19" t="s">
        <v>15</v>
      </c>
      <c r="B10" s="11">
        <v>29029741.73</v>
      </c>
      <c r="C10" s="11">
        <v>28598365.850000001</v>
      </c>
      <c r="D10" s="11">
        <v>27710614</v>
      </c>
      <c r="E10" s="11">
        <v>27807391</v>
      </c>
      <c r="F10" s="12">
        <f t="shared" si="0"/>
        <v>0.63658849722627686</v>
      </c>
      <c r="G10" s="13">
        <f t="shared" si="1"/>
        <v>0.39985562332584712</v>
      </c>
      <c r="H10" s="13">
        <f t="shared" ref="H10:H25" si="3">(D10/$D$26)*100</f>
        <v>0.30849340241013246</v>
      </c>
      <c r="I10" s="14">
        <f t="shared" ref="I10:I26" si="4">(E10/$E$26)*100</f>
        <v>0.24228666070430135</v>
      </c>
      <c r="J10" s="15">
        <f t="shared" si="2"/>
        <v>0.34924162994005581</v>
      </c>
      <c r="K10" s="16" t="s">
        <v>16</v>
      </c>
      <c r="M10" s="20"/>
      <c r="N10" s="20"/>
    </row>
    <row r="11" spans="1:14" ht="15.75" customHeight="1" x14ac:dyDescent="0.25">
      <c r="A11" s="17" t="s">
        <v>17</v>
      </c>
      <c r="B11" s="11">
        <v>35069424.219999999</v>
      </c>
      <c r="C11" s="11">
        <v>1401117904.5887001</v>
      </c>
      <c r="D11" s="11">
        <v>1881814670.0172997</v>
      </c>
      <c r="E11" s="11">
        <v>2468527527.6778002</v>
      </c>
      <c r="F11" s="12">
        <f t="shared" si="0"/>
        <v>0.76903171479922761</v>
      </c>
      <c r="G11" s="13">
        <f t="shared" si="1"/>
        <v>19.590100918032675</v>
      </c>
      <c r="H11" s="13">
        <f t="shared" si="3"/>
        <v>20.949640822066858</v>
      </c>
      <c r="I11" s="14">
        <f t="shared" si="4"/>
        <v>21.508356952210981</v>
      </c>
      <c r="J11" s="15">
        <f t="shared" si="2"/>
        <v>31.178036126963924</v>
      </c>
      <c r="K11" s="21" t="s">
        <v>18</v>
      </c>
    </row>
    <row r="12" spans="1:14" ht="15.75" customHeight="1" x14ac:dyDescent="0.25">
      <c r="A12" s="19" t="s">
        <v>19</v>
      </c>
      <c r="B12" s="11">
        <v>44654557.465700001</v>
      </c>
      <c r="C12" s="11">
        <v>51539663.522400007</v>
      </c>
      <c r="D12" s="11">
        <v>54796856.450100005</v>
      </c>
      <c r="E12" s="11">
        <v>200991864.42560005</v>
      </c>
      <c r="F12" s="12">
        <f t="shared" si="0"/>
        <v>0.9792225468550313</v>
      </c>
      <c r="G12" s="13">
        <f t="shared" si="1"/>
        <v>0.7206154502619484</v>
      </c>
      <c r="H12" s="13">
        <f t="shared" si="3"/>
        <v>0.61003587606073839</v>
      </c>
      <c r="I12" s="14">
        <f t="shared" si="4"/>
        <v>1.7512483519367315</v>
      </c>
      <c r="J12" s="15">
        <f t="shared" si="2"/>
        <v>266.79451604788767</v>
      </c>
      <c r="K12" s="16" t="s">
        <v>20</v>
      </c>
    </row>
    <row r="13" spans="1:14" ht="15.75" customHeight="1" x14ac:dyDescent="0.25">
      <c r="A13" s="17" t="s">
        <v>21</v>
      </c>
      <c r="B13" s="11">
        <v>923334858.34319997</v>
      </c>
      <c r="C13" s="11">
        <v>2572005117.2307997</v>
      </c>
      <c r="D13" s="11">
        <v>3654632712.6659002</v>
      </c>
      <c r="E13" s="11">
        <v>4465389052.8822002</v>
      </c>
      <c r="F13" s="12">
        <f t="shared" si="0"/>
        <v>20.2476603263027</v>
      </c>
      <c r="G13" s="13">
        <f t="shared" si="1"/>
        <v>35.961170464835831</v>
      </c>
      <c r="H13" s="13">
        <f t="shared" si="3"/>
        <v>40.685857054256374</v>
      </c>
      <c r="I13" s="14">
        <f>(E13/$E$26)*100</f>
        <v>38.90707338809208</v>
      </c>
      <c r="J13" s="15">
        <f t="shared" si="2"/>
        <v>22.184345294301465</v>
      </c>
      <c r="K13" s="16" t="s">
        <v>22</v>
      </c>
    </row>
    <row r="14" spans="1:14" ht="15.75" customHeight="1" x14ac:dyDescent="0.25">
      <c r="A14" s="19" t="s">
        <v>23</v>
      </c>
      <c r="B14" s="11">
        <v>91658196.929999992</v>
      </c>
      <c r="C14" s="11">
        <v>89591327.080000013</v>
      </c>
      <c r="D14" s="11">
        <v>95183780.023000002</v>
      </c>
      <c r="E14" s="11">
        <v>104765215.6432</v>
      </c>
      <c r="F14" s="12">
        <f t="shared" si="0"/>
        <v>2.0099577317920159</v>
      </c>
      <c r="G14" s="13">
        <f t="shared" si="1"/>
        <v>1.2526448581733647</v>
      </c>
      <c r="H14" s="13">
        <f t="shared" si="3"/>
        <v>1.0596505784228696</v>
      </c>
      <c r="I14" s="14">
        <f t="shared" si="4"/>
        <v>0.91282257498220398</v>
      </c>
      <c r="J14" s="15">
        <f t="shared" si="2"/>
        <v>10.066248280836042</v>
      </c>
      <c r="K14" s="21" t="s">
        <v>24</v>
      </c>
      <c r="M14" s="20"/>
      <c r="N14" s="20"/>
    </row>
    <row r="15" spans="1:14" ht="15.75" customHeight="1" x14ac:dyDescent="0.25">
      <c r="A15" s="17" t="s">
        <v>25</v>
      </c>
      <c r="B15" s="11">
        <v>7338828.0599999996</v>
      </c>
      <c r="C15" s="11">
        <v>16626055.370000001</v>
      </c>
      <c r="D15" s="11">
        <v>20650873.640000001</v>
      </c>
      <c r="E15" s="11">
        <v>28491864.500000004</v>
      </c>
      <c r="F15" s="12">
        <f t="shared" si="0"/>
        <v>0.16093197003159945</v>
      </c>
      <c r="G15" s="13">
        <f t="shared" si="1"/>
        <v>0.23246159477400338</v>
      </c>
      <c r="H15" s="13">
        <f t="shared" si="3"/>
        <v>0.22989957104325864</v>
      </c>
      <c r="I15" s="14">
        <f t="shared" si="4"/>
        <v>0.24825049955044071</v>
      </c>
      <c r="J15" s="15">
        <f t="shared" si="2"/>
        <v>37.969293680690996</v>
      </c>
      <c r="K15" s="21" t="s">
        <v>26</v>
      </c>
    </row>
    <row r="16" spans="1:14" ht="15.75" customHeight="1" x14ac:dyDescent="0.25">
      <c r="A16" s="17" t="s">
        <v>27</v>
      </c>
      <c r="B16" s="11">
        <v>511255000</v>
      </c>
      <c r="C16" s="11">
        <v>168705000</v>
      </c>
      <c r="D16" s="11">
        <v>0</v>
      </c>
      <c r="E16" s="11">
        <v>705911433.39999998</v>
      </c>
      <c r="F16" s="12">
        <f t="shared" si="0"/>
        <v>11.211227959809348</v>
      </c>
      <c r="G16" s="13">
        <f t="shared" si="1"/>
        <v>2.3587936208315563</v>
      </c>
      <c r="H16" s="13">
        <f t="shared" si="3"/>
        <v>0</v>
      </c>
      <c r="I16" s="14">
        <f t="shared" si="4"/>
        <v>6.1506282251173019</v>
      </c>
      <c r="J16" s="15">
        <v>0</v>
      </c>
      <c r="K16" s="16" t="s">
        <v>28</v>
      </c>
    </row>
    <row r="17" spans="1:14" ht="15.75" customHeight="1" x14ac:dyDescent="0.25">
      <c r="A17" s="19" t="s">
        <v>29</v>
      </c>
      <c r="B17" s="11">
        <v>87861980</v>
      </c>
      <c r="C17" s="11">
        <v>171860080</v>
      </c>
      <c r="D17" s="11">
        <v>177775270</v>
      </c>
      <c r="E17" s="11">
        <v>224951960</v>
      </c>
      <c r="F17" s="12">
        <f t="shared" si="0"/>
        <v>1.9267111065519353</v>
      </c>
      <c r="G17" s="13">
        <f t="shared" si="1"/>
        <v>2.4029072071343522</v>
      </c>
      <c r="H17" s="13">
        <f t="shared" si="3"/>
        <v>1.9791152194130361</v>
      </c>
      <c r="I17" s="14">
        <f t="shared" si="4"/>
        <v>1.9600134082081837</v>
      </c>
      <c r="J17" s="15">
        <f t="shared" ref="J17:J26" si="5">((E17/D17)-1)*100</f>
        <v>26.537262466258671</v>
      </c>
      <c r="K17" s="16" t="s">
        <v>30</v>
      </c>
    </row>
    <row r="18" spans="1:14" ht="15.75" customHeight="1" x14ac:dyDescent="0.25">
      <c r="A18" s="17" t="s">
        <v>31</v>
      </c>
      <c r="B18" s="11">
        <v>37072935</v>
      </c>
      <c r="C18" s="11">
        <v>39918623.75</v>
      </c>
      <c r="D18" s="11">
        <v>32890380.349999998</v>
      </c>
      <c r="E18" s="11">
        <v>37985229</v>
      </c>
      <c r="F18" s="12">
        <f t="shared" si="0"/>
        <v>0.81296637768666236</v>
      </c>
      <c r="G18" s="13">
        <f t="shared" si="1"/>
        <v>0.55813280610459126</v>
      </c>
      <c r="H18" s="13">
        <f t="shared" si="3"/>
        <v>0.36615808443417608</v>
      </c>
      <c r="I18" s="14">
        <f t="shared" si="4"/>
        <v>0.33096647903782805</v>
      </c>
      <c r="J18" s="15">
        <f t="shared" si="5"/>
        <v>15.490391402542736</v>
      </c>
      <c r="K18" s="21" t="s">
        <v>32</v>
      </c>
      <c r="M18" s="18"/>
      <c r="N18" s="18"/>
    </row>
    <row r="19" spans="1:14" ht="15.75" customHeight="1" x14ac:dyDescent="0.25">
      <c r="A19" s="19" t="s">
        <v>33</v>
      </c>
      <c r="B19" s="11">
        <v>78480509.9366</v>
      </c>
      <c r="C19" s="11">
        <v>76481814.014899984</v>
      </c>
      <c r="D19" s="11">
        <v>101471706.8211</v>
      </c>
      <c r="E19" s="11">
        <v>88996797.983700007</v>
      </c>
      <c r="F19" s="12">
        <f t="shared" si="0"/>
        <v>1.720986371382784</v>
      </c>
      <c r="G19" s="13">
        <f t="shared" si="1"/>
        <v>1.0693507306124395</v>
      </c>
      <c r="H19" s="13">
        <f t="shared" si="3"/>
        <v>1.1296520562700121</v>
      </c>
      <c r="I19" s="14">
        <f t="shared" si="4"/>
        <v>0.77543186258811458</v>
      </c>
      <c r="J19" s="15">
        <f t="shared" si="5"/>
        <v>-12.293977531484634</v>
      </c>
      <c r="K19" s="21" t="s">
        <v>34</v>
      </c>
      <c r="M19" s="20"/>
      <c r="N19" s="20"/>
    </row>
    <row r="20" spans="1:14" ht="18" customHeight="1" x14ac:dyDescent="0.25">
      <c r="A20" s="19" t="s">
        <v>35</v>
      </c>
      <c r="B20" s="11">
        <v>139511809.34999999</v>
      </c>
      <c r="C20" s="11">
        <v>17563271.770000003</v>
      </c>
      <c r="D20" s="11">
        <v>245418995.9262</v>
      </c>
      <c r="E20" s="11">
        <v>92795565.831100002</v>
      </c>
      <c r="F20" s="12">
        <f t="shared" si="0"/>
        <v>3.0593318357929231</v>
      </c>
      <c r="G20" s="13">
        <f t="shared" si="1"/>
        <v>0.24556553399132786</v>
      </c>
      <c r="H20" s="13">
        <f t="shared" si="3"/>
        <v>2.7321711842744398</v>
      </c>
      <c r="I20" s="14">
        <f t="shared" si="4"/>
        <v>0.80853064472619485</v>
      </c>
      <c r="J20" s="15">
        <f t="shared" si="5"/>
        <v>-62.188922874167176</v>
      </c>
      <c r="K20" s="21" t="s">
        <v>36</v>
      </c>
      <c r="M20" s="20"/>
      <c r="N20" s="20"/>
    </row>
    <row r="21" spans="1:14" ht="15.75" customHeight="1" x14ac:dyDescent="0.25">
      <c r="A21" s="17" t="s">
        <v>37</v>
      </c>
      <c r="B21" s="11">
        <v>1202495510.0143998</v>
      </c>
      <c r="C21" s="11">
        <v>1049841778.2217</v>
      </c>
      <c r="D21" s="11">
        <v>1068823153.4752001</v>
      </c>
      <c r="E21" s="11">
        <v>1254095818.3188002</v>
      </c>
      <c r="F21" s="12">
        <f t="shared" si="0"/>
        <v>26.369328971684659</v>
      </c>
      <c r="G21" s="13">
        <f t="shared" si="1"/>
        <v>14.678640759620659</v>
      </c>
      <c r="H21" s="13">
        <f t="shared" si="3"/>
        <v>11.898866304091698</v>
      </c>
      <c r="I21" s="14">
        <f t="shared" si="4"/>
        <v>10.926975782218847</v>
      </c>
      <c r="J21" s="15">
        <f t="shared" si="5"/>
        <v>17.334267529777936</v>
      </c>
      <c r="K21" s="21" t="s">
        <v>38</v>
      </c>
      <c r="M21" s="18"/>
      <c r="N21" s="18"/>
    </row>
    <row r="22" spans="1:14" ht="15.75" customHeight="1" x14ac:dyDescent="0.25">
      <c r="A22" s="17" t="s">
        <v>39</v>
      </c>
      <c r="B22" s="11">
        <v>750739844.92149997</v>
      </c>
      <c r="C22" s="11">
        <v>802900158.02600002</v>
      </c>
      <c r="D22" s="11">
        <v>860140725.22539997</v>
      </c>
      <c r="E22" s="11">
        <v>803832383.81799996</v>
      </c>
      <c r="F22" s="12">
        <f t="shared" si="0"/>
        <v>16.4628522751403</v>
      </c>
      <c r="G22" s="13">
        <f t="shared" si="1"/>
        <v>11.225961120988574</v>
      </c>
      <c r="H22" s="13">
        <f t="shared" si="3"/>
        <v>9.5756715775515637</v>
      </c>
      <c r="I22" s="14">
        <f t="shared" si="4"/>
        <v>7.0038165048005228</v>
      </c>
      <c r="J22" s="15">
        <f t="shared" si="5"/>
        <v>-6.5464103438009458</v>
      </c>
      <c r="K22" s="21" t="s">
        <v>40</v>
      </c>
    </row>
    <row r="23" spans="1:14" ht="15.75" customHeight="1" x14ac:dyDescent="0.25">
      <c r="A23" s="17" t="s">
        <v>41</v>
      </c>
      <c r="B23" s="11">
        <v>47548283.660000004</v>
      </c>
      <c r="C23" s="11">
        <v>45912900.350000001</v>
      </c>
      <c r="D23" s="11">
        <v>49700980.010000005</v>
      </c>
      <c r="E23" s="11">
        <v>52012445.340000004</v>
      </c>
      <c r="F23" s="12">
        <f t="shared" si="0"/>
        <v>1.042678599152943</v>
      </c>
      <c r="G23" s="13">
        <f t="shared" si="1"/>
        <v>0.64194337132541979</v>
      </c>
      <c r="H23" s="13">
        <f t="shared" si="3"/>
        <v>0.55330511357138745</v>
      </c>
      <c r="I23" s="14">
        <f t="shared" si="4"/>
        <v>0.45318605030200781</v>
      </c>
      <c r="J23" s="15">
        <f t="shared" si="5"/>
        <v>4.6507439682978546</v>
      </c>
      <c r="K23" s="16" t="s">
        <v>42</v>
      </c>
    </row>
    <row r="24" spans="1:14" ht="18" customHeight="1" x14ac:dyDescent="0.25">
      <c r="A24" s="22" t="s">
        <v>43</v>
      </c>
      <c r="B24" s="11">
        <v>6802023.7300000004</v>
      </c>
      <c r="C24" s="11">
        <v>6443984.5899999999</v>
      </c>
      <c r="D24" s="11">
        <v>6238700.8399999999</v>
      </c>
      <c r="E24" s="11">
        <v>6654918.6400000006</v>
      </c>
      <c r="F24" s="12">
        <f t="shared" si="0"/>
        <v>0.14916047495880269</v>
      </c>
      <c r="G24" s="13">
        <f t="shared" si="1"/>
        <v>9.009827653969267E-2</v>
      </c>
      <c r="H24" s="13">
        <f t="shared" si="3"/>
        <v>6.9453461000559255E-2</v>
      </c>
      <c r="I24" s="14">
        <f t="shared" si="4"/>
        <v>5.7984512626316174E-2</v>
      </c>
      <c r="J24" s="15">
        <f t="shared" si="5"/>
        <v>6.6715460586181941</v>
      </c>
      <c r="K24" s="16" t="s">
        <v>44</v>
      </c>
    </row>
    <row r="25" spans="1:14" ht="18" customHeight="1" x14ac:dyDescent="0.25">
      <c r="A25" s="23" t="s">
        <v>45</v>
      </c>
      <c r="B25" s="24">
        <v>0</v>
      </c>
      <c r="C25" s="24">
        <v>0</v>
      </c>
      <c r="D25" s="24">
        <v>30534.559999999998</v>
      </c>
      <c r="E25" s="25">
        <v>40000</v>
      </c>
      <c r="F25" s="12">
        <f t="shared" si="0"/>
        <v>0</v>
      </c>
      <c r="G25" s="13">
        <f t="shared" si="1"/>
        <v>0</v>
      </c>
      <c r="H25" s="13">
        <f t="shared" si="3"/>
        <v>3.399314899877835E-4</v>
      </c>
      <c r="I25" s="14">
        <f t="shared" si="4"/>
        <v>3.485212412833715E-4</v>
      </c>
      <c r="J25" s="15">
        <f t="shared" si="5"/>
        <v>30.999103966128882</v>
      </c>
      <c r="K25" s="16" t="s">
        <v>46</v>
      </c>
    </row>
    <row r="26" spans="1:14" ht="15.75" customHeight="1" x14ac:dyDescent="0.25">
      <c r="A26" s="26" t="s">
        <v>47</v>
      </c>
      <c r="B26" s="27">
        <f>SUM(B8:B25)</f>
        <v>4560205196.3689995</v>
      </c>
      <c r="C26" s="27">
        <f>SUM(C8:C25)</f>
        <v>7152172979.8695002</v>
      </c>
      <c r="D26" s="27">
        <f>SUM(D8:D25)</f>
        <v>8982562927.9291992</v>
      </c>
      <c r="E26" s="27">
        <f>SUM(E8:E25)</f>
        <v>11477062302.632301</v>
      </c>
      <c r="F26" s="28">
        <f t="shared" si="0"/>
        <v>100</v>
      </c>
      <c r="G26" s="29">
        <f t="shared" si="1"/>
        <v>100</v>
      </c>
      <c r="H26" s="30">
        <f>(D26/$D$26)*100</f>
        <v>100</v>
      </c>
      <c r="I26" s="31">
        <f t="shared" si="4"/>
        <v>100</v>
      </c>
      <c r="J26" s="32">
        <f t="shared" si="5"/>
        <v>27.770463671866242</v>
      </c>
      <c r="K26" s="33" t="s">
        <v>48</v>
      </c>
    </row>
    <row r="27" spans="1:14" s="35" customFormat="1" ht="15" customHeight="1" x14ac:dyDescent="0.25">
      <c r="A27" s="34" t="s">
        <v>49</v>
      </c>
      <c r="B27" s="27"/>
      <c r="C27" s="27"/>
      <c r="D27" s="27"/>
      <c r="E27" s="27"/>
      <c r="I27" s="36"/>
    </row>
    <row r="28" spans="1:14" s="35" customFormat="1" ht="15" customHeight="1" x14ac:dyDescent="0.25">
      <c r="A28" s="37" t="s">
        <v>50</v>
      </c>
      <c r="B28" s="38"/>
      <c r="C28" s="38"/>
      <c r="D28" s="38"/>
      <c r="E28" s="38"/>
      <c r="I28" s="39"/>
    </row>
    <row r="29" spans="1:14" s="35" customFormat="1" ht="28.5" customHeight="1" x14ac:dyDescent="0.25">
      <c r="A29" s="53" t="s">
        <v>51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</row>
    <row r="30" spans="1:14" s="35" customFormat="1" ht="15" customHeight="1" x14ac:dyDescent="0.25">
      <c r="A30" s="54" t="s">
        <v>52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</row>
    <row r="31" spans="1:14" s="35" customFormat="1" ht="13.9" customHeight="1" x14ac:dyDescent="0.25">
      <c r="A31" s="54" t="s">
        <v>53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</row>
    <row r="32" spans="1:14" s="35" customFormat="1" ht="15" customHeight="1" x14ac:dyDescent="0.25">
      <c r="A32" s="54" t="s">
        <v>54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40"/>
    </row>
    <row r="33" spans="1:12" s="41" customFormat="1" ht="17.25" x14ac:dyDescent="0.25">
      <c r="A33" s="54" t="s">
        <v>55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</row>
    <row r="34" spans="1:12" s="41" customFormat="1" ht="17.25" x14ac:dyDescent="0.25">
      <c r="A34" s="42" t="s">
        <v>56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</row>
    <row r="35" spans="1:12" s="35" customFormat="1" ht="18.75" x14ac:dyDescent="0.25">
      <c r="A35" s="51" t="s">
        <v>57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44">
        <v>1</v>
      </c>
    </row>
    <row r="36" spans="1:12" ht="15" x14ac:dyDescent="0.25">
      <c r="A36" s="50" t="s">
        <v>58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44">
        <v>2</v>
      </c>
    </row>
    <row r="37" spans="1:12" ht="18.75" x14ac:dyDescent="0.25">
      <c r="A37" s="51" t="s">
        <v>59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44">
        <v>3</v>
      </c>
    </row>
    <row r="38" spans="1:12" ht="18.75" x14ac:dyDescent="0.25">
      <c r="A38" s="52" t="s">
        <v>60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44">
        <v>4</v>
      </c>
    </row>
    <row r="39" spans="1:12" s="47" customFormat="1" ht="37.5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 t="s">
        <v>61</v>
      </c>
      <c r="L39" s="46">
        <v>5</v>
      </c>
    </row>
    <row r="40" spans="1:12" ht="18.75" x14ac:dyDescent="0.25">
      <c r="G40" s="52" t="s">
        <v>62</v>
      </c>
      <c r="H40" s="52"/>
      <c r="I40" s="52"/>
      <c r="J40" s="52"/>
      <c r="K40" s="52"/>
    </row>
    <row r="55" spans="12:12" s="48" customFormat="1" x14ac:dyDescent="0.25"/>
    <row r="56" spans="12:12" s="48" customFormat="1" x14ac:dyDescent="0.25"/>
    <row r="57" spans="12:12" s="48" customFormat="1" x14ac:dyDescent="0.25"/>
    <row r="58" spans="12:12" s="48" customFormat="1" x14ac:dyDescent="0.25"/>
    <row r="59" spans="12:12" s="48" customFormat="1" x14ac:dyDescent="0.25"/>
    <row r="60" spans="12:12" s="48" customFormat="1" x14ac:dyDescent="0.25"/>
    <row r="62" spans="12:12" ht="15" x14ac:dyDescent="0.25">
      <c r="L62" s="49"/>
    </row>
    <row r="63" spans="12:12" ht="15" x14ac:dyDescent="0.25">
      <c r="L63" s="49"/>
    </row>
    <row r="64" spans="12:12" ht="15" x14ac:dyDescent="0.25">
      <c r="L64" s="49"/>
    </row>
    <row r="65" spans="12:12" ht="15" x14ac:dyDescent="0.25">
      <c r="L65" s="49"/>
    </row>
  </sheetData>
  <mergeCells count="18">
    <mergeCell ref="A2:K2"/>
    <mergeCell ref="A3:K3"/>
    <mergeCell ref="A5:A7"/>
    <mergeCell ref="B5:E5"/>
    <mergeCell ref="F5:I5"/>
    <mergeCell ref="K5:K7"/>
    <mergeCell ref="B6:E6"/>
    <mergeCell ref="F6:I6"/>
    <mergeCell ref="A36:K36"/>
    <mergeCell ref="A37:K37"/>
    <mergeCell ref="A38:K38"/>
    <mergeCell ref="G40:K40"/>
    <mergeCell ref="A29:K29"/>
    <mergeCell ref="A30:K30"/>
    <mergeCell ref="A31:K31"/>
    <mergeCell ref="A32:K32"/>
    <mergeCell ref="A33:K33"/>
    <mergeCell ref="A35:K35"/>
  </mergeCells>
  <pageMargins left="0.7" right="0.7" top="0.75" bottom="0.75" header="0.3" footer="0.3"/>
  <pageSetup paperSize="9" scale="80" orientation="landscape" verticalDpi="4294967295" r:id="rId1"/>
  <rowBreaks count="1" manualBreakCount="1">
    <brk id="34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13.12</vt:lpstr>
      <vt:lpstr>'13.12'!Print_Area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2016-01-18T08:33:16Z</cp:lastPrinted>
  <dcterms:created xsi:type="dcterms:W3CDTF">2014-03-06T08:38:12Z</dcterms:created>
  <dcterms:modified xsi:type="dcterms:W3CDTF">2016-01-18T08:33:18Z</dcterms:modified>
</cp:coreProperties>
</file>