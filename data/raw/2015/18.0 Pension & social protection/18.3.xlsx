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3" sheetId="7" r:id="rId1"/>
  </sheets>
  <definedNames>
    <definedName name="_xlnm.Print_Area" localSheetId="0">'18.3'!$A$1:$Q$34</definedName>
  </definedNames>
  <calcPr calcId="144525"/>
</workbook>
</file>

<file path=xl/calcChain.xml><?xml version="1.0" encoding="utf-8"?>
<calcChain xmlns="http://schemas.openxmlformats.org/spreadsheetml/2006/main">
  <c r="M13" i="7" l="1"/>
  <c r="M12" i="7"/>
  <c r="M11" i="7"/>
  <c r="J10" i="7" l="1"/>
  <c r="I10" i="7"/>
  <c r="Y17" i="7"/>
  <c r="Y18" i="7"/>
  <c r="Y19" i="7"/>
  <c r="Y16" i="7"/>
  <c r="X17" i="7"/>
  <c r="X18" i="7"/>
  <c r="X19" i="7"/>
  <c r="X16" i="7"/>
  <c r="N13" i="7"/>
  <c r="K14" i="7" l="1"/>
  <c r="M14" i="7"/>
  <c r="N12" i="7"/>
  <c r="N11" i="7"/>
  <c r="H10" i="7" l="1"/>
  <c r="M10" i="7" l="1"/>
  <c r="L13" i="7"/>
  <c r="L11" i="7"/>
  <c r="L14" i="7"/>
  <c r="L12" i="7"/>
  <c r="L10" i="7"/>
  <c r="G10" i="7" l="1"/>
  <c r="F10" i="7"/>
  <c r="E10" i="7" l="1"/>
  <c r="K10" i="7" s="1"/>
  <c r="K12" i="7" l="1"/>
  <c r="K13" i="7"/>
  <c r="K11" i="7"/>
  <c r="N10" i="7"/>
  <c r="Y15" i="7" l="1"/>
  <c r="X15" i="7"/>
  <c r="B13" i="7"/>
  <c r="B11" i="7" l="1"/>
  <c r="D10" i="7"/>
  <c r="C10" i="7"/>
  <c r="B10" i="7" l="1"/>
</calcChain>
</file>

<file path=xl/sharedStrings.xml><?xml version="1.0" encoding="utf-8"?>
<sst xmlns="http://schemas.openxmlformats.org/spreadsheetml/2006/main" count="53" uniqueCount="34">
  <si>
    <t>Male</t>
  </si>
  <si>
    <t>Female</t>
  </si>
  <si>
    <t>Total</t>
  </si>
  <si>
    <t>% share</t>
  </si>
  <si>
    <t>% change</t>
  </si>
  <si>
    <t>Basic Pension</t>
  </si>
  <si>
    <t>Retirement Pension</t>
  </si>
  <si>
    <t>Other Pension</t>
  </si>
  <si>
    <t>ފިރިހެން</t>
  </si>
  <si>
    <t>އަންހެން</t>
  </si>
  <si>
    <t>އަސާސީ ޕެންޝަން</t>
  </si>
  <si>
    <t>ރިޓަޔަރމަންޓް ޕެންޝަން</t>
  </si>
  <si>
    <t>ޖުމްލަ</t>
  </si>
  <si>
    <t>އެހެނިހެން ޕެންޝަން</t>
  </si>
  <si>
    <t>Type of pension</t>
  </si>
  <si>
    <t>ޕެންޝަންގެ ބާވަތް</t>
  </si>
  <si>
    <t>Source: Maldives Pension Administration</t>
  </si>
  <si>
    <t>beneficiaries</t>
  </si>
  <si>
    <t>% share of females</t>
  </si>
  <si>
    <t>މަޢުލޫމާތު ދެއްވި ފަރާތް: މޯލްޑިވްސް ޕެންޝަން އެޑްމިނިސްޓްރޭޝަން</t>
  </si>
  <si>
    <t>އިތުރުވި މިންވަރު</t>
  </si>
  <si>
    <t>އިންސައްތަ</t>
  </si>
  <si>
    <t>އަންހެނުންގެ އިން ސައްތަ</t>
  </si>
  <si>
    <t>(In MVR)</t>
  </si>
  <si>
    <t>(ރުފިޔާއިން)</t>
  </si>
  <si>
    <r>
      <t xml:space="preserve">Benficiaries (end year)           </t>
    </r>
    <r>
      <rPr>
        <b/>
        <sz val="11"/>
        <color theme="1"/>
        <rFont val="Faruma"/>
      </rPr>
      <t>ޕެންޝަން ލިބޭ މީހުންގެ އަދަދު</t>
    </r>
  </si>
  <si>
    <t>2013-2014</t>
  </si>
  <si>
    <t>ތާވަލު 18.3: އެކި ޕެންޝަން ސްކީމްތަކުން ޕެންޝަން ލިބޭ މީހުންގެ އަދަދު، 2013 - 2014</t>
  </si>
  <si>
    <t>TABLE   18.3:  NUMBER OF BENFICIARIES BY PENSION SCHEME AND SEX, 2013 - 2014</t>
  </si>
  <si>
    <t>Senior Citizen Allowance</t>
  </si>
  <si>
    <t>ސީނިއަރ ސިޓިޒަން އެލަވަންސް</t>
  </si>
  <si>
    <t xml:space="preserve">ދައުލަތުން ޕެންޝަންލިބޭ ފަރާޓްތަކުގެ ތެރެއިން މަހަކު 000،5ރ އަށްވުރެ މަދުން ޕެންޝަން ފައިސާ ލިބޭ ފަރާޓްތަކަށް 000،5ރ ހަމަކޮށްދިނުމަށްޓަކާ ހެދި ސްކީމެއް.  ސީނިއަރ ސިޓިޒަން އެލަވަންސް ސްކީމް ތަޢާރަފުކުރެވިފައިވާ ފެބްރުއަރީ 2014 ގައެވެ. </t>
  </si>
  <si>
    <t>1_/</t>
  </si>
  <si>
    <r>
      <rPr>
        <i/>
        <vertAlign val="superscript"/>
        <sz val="10"/>
        <color theme="1"/>
        <rFont val="Calibri"/>
        <family val="2"/>
        <scheme val="minor"/>
      </rPr>
      <t>1_/</t>
    </r>
    <r>
      <rPr>
        <i/>
        <sz val="10"/>
        <color theme="1"/>
        <rFont val="Calibri"/>
        <family val="2"/>
        <scheme val="minor"/>
      </rPr>
      <t xml:space="preserve"> Those pensioners receiving less than 5,000 mvr is given the balance amount to reach 5,000 mvr under this scheme. Senior Citizen Allowance was introduced in February 2014.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</si>
</sst>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b/>
      <sz val="9"/>
      <color theme="1" tint="0.14999847407452621"/>
      <name val="Faruma"/>
    </font>
    <font>
      <b/>
      <sz val="10"/>
      <color theme="1" tint="0.1499984740745262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4" fontId="12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/>
    <xf numFmtId="164" fontId="0" fillId="2" borderId="2" xfId="1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164" fontId="0" fillId="2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0" fontId="2" fillId="2" borderId="0" xfId="0" applyFont="1" applyFill="1" applyBorder="1"/>
    <xf numFmtId="164" fontId="0" fillId="2" borderId="0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Border="1"/>
    <xf numFmtId="0" fontId="2" fillId="2" borderId="7" xfId="0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right" vertical="center"/>
    </xf>
    <xf numFmtId="164" fontId="0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6" fillId="2" borderId="0" xfId="0" applyFont="1" applyFill="1"/>
    <xf numFmtId="164" fontId="0" fillId="2" borderId="6" xfId="1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 applyProtection="1">
      <alignment horizontal="right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3" fontId="10" fillId="2" borderId="0" xfId="2" applyNumberFormat="1" applyFont="1" applyFill="1" applyBorder="1" applyAlignment="1" applyProtection="1">
      <alignment horizontal="right" vertical="center"/>
    </xf>
    <xf numFmtId="0" fontId="2" fillId="2" borderId="1" xfId="0" applyFont="1" applyFill="1" applyBorder="1" applyAlignment="1">
      <alignment vertical="center"/>
    </xf>
    <xf numFmtId="0" fontId="11" fillId="2" borderId="0" xfId="0" applyFont="1" applyFill="1"/>
    <xf numFmtId="0" fontId="0" fillId="2" borderId="0" xfId="0" applyFont="1" applyFill="1" applyBorder="1"/>
    <xf numFmtId="0" fontId="0" fillId="2" borderId="2" xfId="0" applyFont="1" applyFill="1" applyBorder="1"/>
    <xf numFmtId="164" fontId="0" fillId="2" borderId="16" xfId="1" applyNumberFormat="1" applyFont="1" applyFill="1" applyBorder="1"/>
    <xf numFmtId="0" fontId="2" fillId="2" borderId="9" xfId="0" applyFont="1" applyFill="1" applyBorder="1" applyAlignment="1">
      <alignment horizontal="right"/>
    </xf>
    <xf numFmtId="164" fontId="2" fillId="2" borderId="16" xfId="1" applyNumberFormat="1" applyFont="1" applyFill="1" applyBorder="1"/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2" borderId="1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/>
    </xf>
    <xf numFmtId="0" fontId="0" fillId="2" borderId="5" xfId="0" applyFill="1" applyBorder="1"/>
    <xf numFmtId="164" fontId="0" fillId="2" borderId="2" xfId="1" applyNumberFormat="1" applyFont="1" applyFill="1" applyBorder="1" applyAlignment="1">
      <alignment horizontal="right" vertical="center" indent="2"/>
    </xf>
    <xf numFmtId="0" fontId="5" fillId="2" borderId="3" xfId="0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/>
    </xf>
    <xf numFmtId="164" fontId="2" fillId="2" borderId="3" xfId="1" applyNumberFormat="1" applyFont="1" applyFill="1" applyBorder="1" applyAlignment="1">
      <alignment horizontal="right" vertical="center"/>
    </xf>
    <xf numFmtId="164" fontId="2" fillId="2" borderId="6" xfId="1" applyNumberFormat="1" applyFont="1" applyFill="1" applyBorder="1" applyAlignment="1">
      <alignment horizontal="right" vertical="center"/>
    </xf>
    <xf numFmtId="164" fontId="0" fillId="2" borderId="3" xfId="1" applyNumberFormat="1" applyFont="1" applyFill="1" applyBorder="1" applyAlignment="1">
      <alignment horizontal="right" vertical="center"/>
    </xf>
    <xf numFmtId="164" fontId="1" fillId="2" borderId="6" xfId="1" applyNumberFormat="1" applyFont="1" applyFill="1" applyBorder="1"/>
    <xf numFmtId="164" fontId="0" fillId="2" borderId="13" xfId="1" applyNumberFormat="1" applyFont="1" applyFill="1" applyBorder="1" applyAlignment="1">
      <alignment horizontal="right" vertical="center"/>
    </xf>
    <xf numFmtId="3" fontId="1" fillId="2" borderId="16" xfId="1" applyNumberFormat="1" applyFont="1" applyFill="1" applyBorder="1" applyAlignment="1">
      <alignment horizontal="center" vertical="center"/>
    </xf>
    <xf numFmtId="3" fontId="2" fillId="2" borderId="14" xfId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 indent="2"/>
    </xf>
    <xf numFmtId="164" fontId="2" fillId="2" borderId="5" xfId="1" applyNumberFormat="1" applyFont="1" applyFill="1" applyBorder="1" applyAlignment="1">
      <alignment horizontal="left" vertical="center" indent="5"/>
    </xf>
    <xf numFmtId="164" fontId="1" fillId="2" borderId="0" xfId="1" applyNumberFormat="1" applyFont="1" applyFill="1" applyBorder="1" applyAlignment="1">
      <alignment horizontal="left" vertical="center" indent="5"/>
    </xf>
    <xf numFmtId="164" fontId="1" fillId="2" borderId="20" xfId="1" applyNumberFormat="1" applyFont="1" applyFill="1" applyBorder="1" applyAlignment="1">
      <alignment horizontal="left" vertical="center" indent="5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164" fontId="2" fillId="2" borderId="12" xfId="1" applyNumberFormat="1" applyFont="1" applyFill="1" applyBorder="1"/>
    <xf numFmtId="0" fontId="5" fillId="2" borderId="0" xfId="0" applyFont="1" applyFill="1" applyAlignment="1">
      <alignment horizontal="right" vertical="center"/>
    </xf>
    <xf numFmtId="0" fontId="13" fillId="2" borderId="1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Normal_II-15(Population)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18.5: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Number of beneficiaries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under different pension schemes, 2014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8627054494098"/>
          <c:y val="1.68071490971799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467486012601"/>
          <c:y val="0.17575240594925634"/>
          <c:w val="0.84740880925997397"/>
          <c:h val="0.67755395158938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'18.3'!$X$15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dLbl>
              <c:idx val="0"/>
              <c:layout>
                <c:manualLayout>
                  <c:x val="-1.9521411837691912E-3"/>
                  <c:y val="9.769933452906035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"/>
                  <c:y val="1.4654900179359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'18.3'!$W$16:$W$19</c:f>
              <c:strCache>
                <c:ptCount val="4"/>
                <c:pt idx="0">
                  <c:v>Basic Pension</c:v>
                </c:pt>
                <c:pt idx="1">
                  <c:v>Retirement Pension</c:v>
                </c:pt>
                <c:pt idx="2">
                  <c:v>Other Pension</c:v>
                </c:pt>
                <c:pt idx="3">
                  <c:v>Senior Citizen Allowance</c:v>
                </c:pt>
              </c:strCache>
            </c:strRef>
          </c:cat>
          <c:val>
            <c:numRef>
              <c:f>'18.3'!$X$16:$X$19</c:f>
              <c:numCache>
                <c:formatCode>_(* #,##0_);_(* \(#,##0\);_(* "-"??_);_(@_)</c:formatCode>
                <c:ptCount val="4"/>
                <c:pt idx="0">
                  <c:v>8062</c:v>
                </c:pt>
                <c:pt idx="1">
                  <c:v>501</c:v>
                </c:pt>
                <c:pt idx="2">
                  <c:v>5225</c:v>
                </c:pt>
                <c:pt idx="3">
                  <c:v>8388</c:v>
                </c:pt>
              </c:numCache>
            </c:numRef>
          </c:val>
        </c:ser>
        <c:ser>
          <c:idx val="1"/>
          <c:order val="1"/>
          <c:tx>
            <c:strRef>
              <c:f>'18.3'!$Y$15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'18.3'!$W$16:$W$19</c:f>
              <c:strCache>
                <c:ptCount val="4"/>
                <c:pt idx="0">
                  <c:v>Basic Pension</c:v>
                </c:pt>
                <c:pt idx="1">
                  <c:v>Retirement Pension</c:v>
                </c:pt>
                <c:pt idx="2">
                  <c:v>Other Pension</c:v>
                </c:pt>
                <c:pt idx="3">
                  <c:v>Senior Citizen Allowance</c:v>
                </c:pt>
              </c:strCache>
            </c:strRef>
          </c:cat>
          <c:val>
            <c:numRef>
              <c:f>'18.3'!$Y$16:$Y$19</c:f>
              <c:numCache>
                <c:formatCode>_(* #,##0_);_(* \(#,##0\);_(* "-"??_);_(@_)</c:formatCode>
                <c:ptCount val="4"/>
                <c:pt idx="0">
                  <c:v>7705</c:v>
                </c:pt>
                <c:pt idx="1">
                  <c:v>145</c:v>
                </c:pt>
                <c:pt idx="2">
                  <c:v>2059</c:v>
                </c:pt>
                <c:pt idx="3">
                  <c:v>7810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3175168"/>
        <c:axId val="133176704"/>
      </c:barChart>
      <c:catAx>
        <c:axId val="133175168"/>
        <c:scaling>
          <c:orientation val="minMax"/>
        </c:scaling>
        <c:delete val="0"/>
        <c:axPos val="b"/>
        <c:majorTickMark val="out"/>
        <c:minorTickMark val="none"/>
        <c:tickLblPos val="nextTo"/>
        <c:crossAx val="133176704"/>
        <c:crosses val="autoZero"/>
        <c:auto val="1"/>
        <c:lblAlgn val="ctr"/>
        <c:lblOffset val="100"/>
        <c:noMultiLvlLbl val="0"/>
      </c:catAx>
      <c:valAx>
        <c:axId val="1331767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  <a:r>
                  <a:rPr lang="en-US" b="0" baseline="0"/>
                  <a:t> of persons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1.1326757671272825E-2"/>
              <c:y val="0.28176290463692039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3317516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3107831821346196"/>
          <c:y val="0.22716518457289042"/>
          <c:w val="0.22889887622494667"/>
          <c:h val="6.3539954604427323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1458451</xdr:colOff>
      <xdr:row>17</xdr:row>
      <xdr:rowOff>107847</xdr:rowOff>
    </xdr:from>
    <xdr:to>
      <xdr:col>12</xdr:col>
      <xdr:colOff>688257</xdr:colOff>
      <xdr:row>33</xdr:row>
      <xdr:rowOff>24581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122903</xdr:colOff>
      <xdr:row>19</xdr:row>
      <xdr:rowOff>150929</xdr:rowOff>
    </xdr:from>
    <xdr:to>
      <xdr:col>12</xdr:col>
      <xdr:colOff>540774</xdr:colOff>
      <xdr:row>19</xdr:row>
      <xdr:rowOff>150929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318774" y="4116606"/>
          <a:ext cx="5301226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0"/>
  <sheetViews>
    <sheetView tabSelected="1" zoomScale="93" zoomScaleNormal="93" workbookViewId="0">
      <selection activeCell="T52" sqref="T52"/>
    </sheetView>
  </sheetViews>
  <sheetFormatPr defaultColWidth="9.140625" defaultRowHeight="15" x14ac:dyDescent="0.25"/>
  <cols>
    <col min="1" max="1" width="21.28515625" style="2" customWidth="1"/>
    <col min="2" max="2" width="13.140625" style="2" hidden="1" customWidth="1"/>
    <col min="3" max="4" width="10.42578125" style="2" hidden="1" customWidth="1"/>
    <col min="5" max="5" width="10.7109375" style="2" customWidth="1"/>
    <col min="6" max="7" width="10.42578125" style="2" customWidth="1"/>
    <col min="8" max="8" width="13.140625" style="2" customWidth="1"/>
    <col min="9" max="10" width="10.42578125" style="2" customWidth="1"/>
    <col min="11" max="12" width="8.28515625" style="2" customWidth="1"/>
    <col min="13" max="13" width="14.140625" style="2" customWidth="1"/>
    <col min="14" max="14" width="13" style="2" customWidth="1"/>
    <col min="15" max="15" width="23.85546875" style="2" customWidth="1"/>
    <col min="16" max="16" width="1.28515625" style="2" customWidth="1"/>
    <col min="17" max="17" width="2.7109375" style="2" customWidth="1"/>
    <col min="18" max="22" width="61.7109375" style="2" customWidth="1"/>
    <col min="23" max="16384" width="9.140625" style="2"/>
  </cols>
  <sheetData>
    <row r="1" spans="1:25" x14ac:dyDescent="0.25">
      <c r="W1" s="2" t="s">
        <v>5</v>
      </c>
      <c r="X1" s="8">
        <v>7948</v>
      </c>
      <c r="Y1" s="8">
        <v>7320</v>
      </c>
    </row>
    <row r="2" spans="1:25" s="1" customFormat="1" ht="21.75" customHeight="1" x14ac:dyDescent="0.25">
      <c r="A2" s="67" t="s">
        <v>27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25" x14ac:dyDescent="0.25">
      <c r="A3" s="68" t="s">
        <v>28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1:25" ht="18.75" x14ac:dyDescent="0.45">
      <c r="B4" s="21"/>
      <c r="C4" s="18"/>
      <c r="D4" s="16"/>
      <c r="I4" s="21" t="s">
        <v>23</v>
      </c>
      <c r="J4" s="54" t="s">
        <v>24</v>
      </c>
      <c r="K4" s="21"/>
      <c r="L4" s="18"/>
    </row>
    <row r="5" spans="1:25" ht="5.25" customHeight="1" x14ac:dyDescent="0.45">
      <c r="C5" s="31"/>
      <c r="D5" s="16"/>
      <c r="F5" s="31"/>
      <c r="G5" s="16"/>
      <c r="I5" s="31"/>
      <c r="J5" s="16"/>
    </row>
    <row r="6" spans="1:25" ht="17.25" customHeight="1" x14ac:dyDescent="0.25">
      <c r="A6" s="60" t="s">
        <v>14</v>
      </c>
      <c r="B6" s="22"/>
      <c r="C6" s="22"/>
      <c r="D6" s="22"/>
      <c r="E6" s="69" t="s">
        <v>25</v>
      </c>
      <c r="F6" s="69"/>
      <c r="G6" s="69"/>
      <c r="H6" s="69"/>
      <c r="I6" s="69"/>
      <c r="J6" s="70"/>
      <c r="K6" s="72" t="s">
        <v>21</v>
      </c>
      <c r="L6" s="73"/>
      <c r="M6" s="76" t="s">
        <v>22</v>
      </c>
      <c r="N6" s="32" t="s">
        <v>20</v>
      </c>
      <c r="O6" s="57" t="s">
        <v>15</v>
      </c>
    </row>
    <row r="7" spans="1:25" ht="15" customHeight="1" x14ac:dyDescent="0.25">
      <c r="A7" s="61"/>
      <c r="B7" s="65">
        <v>2012</v>
      </c>
      <c r="C7" s="65"/>
      <c r="D7" s="65"/>
      <c r="E7" s="65">
        <v>2013</v>
      </c>
      <c r="F7" s="65"/>
      <c r="G7" s="65"/>
      <c r="H7" s="71">
        <v>2014</v>
      </c>
      <c r="I7" s="65"/>
      <c r="J7" s="66"/>
      <c r="K7" s="63" t="s">
        <v>3</v>
      </c>
      <c r="L7" s="64"/>
      <c r="M7" s="77"/>
      <c r="N7" s="29" t="s">
        <v>4</v>
      </c>
      <c r="O7" s="58"/>
    </row>
    <row r="8" spans="1:25" ht="21.6" customHeight="1" x14ac:dyDescent="0.25">
      <c r="A8" s="61"/>
      <c r="B8" s="19" t="s">
        <v>12</v>
      </c>
      <c r="C8" s="19" t="s">
        <v>8</v>
      </c>
      <c r="D8" s="20" t="s">
        <v>9</v>
      </c>
      <c r="E8" s="19" t="s">
        <v>12</v>
      </c>
      <c r="F8" s="19" t="s">
        <v>8</v>
      </c>
      <c r="G8" s="20" t="s">
        <v>9</v>
      </c>
      <c r="H8" s="36" t="s">
        <v>12</v>
      </c>
      <c r="I8" s="19" t="s">
        <v>8</v>
      </c>
      <c r="J8" s="37" t="s">
        <v>9</v>
      </c>
      <c r="K8" s="74"/>
      <c r="L8" s="75"/>
      <c r="M8" s="55" t="s">
        <v>18</v>
      </c>
      <c r="N8" s="30"/>
      <c r="O8" s="58"/>
    </row>
    <row r="9" spans="1:25" ht="13.5" customHeight="1" x14ac:dyDescent="0.25">
      <c r="A9" s="62"/>
      <c r="B9" s="33" t="s">
        <v>2</v>
      </c>
      <c r="C9" s="33" t="s">
        <v>0</v>
      </c>
      <c r="D9" s="33" t="s">
        <v>1</v>
      </c>
      <c r="E9" s="33" t="s">
        <v>2</v>
      </c>
      <c r="F9" s="33" t="s">
        <v>0</v>
      </c>
      <c r="G9" s="33" t="s">
        <v>1</v>
      </c>
      <c r="H9" s="38" t="s">
        <v>2</v>
      </c>
      <c r="I9" s="33" t="s">
        <v>0</v>
      </c>
      <c r="J9" s="10" t="s">
        <v>1</v>
      </c>
      <c r="K9" s="27">
        <v>2013</v>
      </c>
      <c r="L9" s="39">
        <v>2014</v>
      </c>
      <c r="M9" s="47">
        <v>2014</v>
      </c>
      <c r="N9" s="27" t="s">
        <v>26</v>
      </c>
      <c r="O9" s="59"/>
    </row>
    <row r="10" spans="1:25" s="7" customFormat="1" ht="21" x14ac:dyDescent="0.55000000000000004">
      <c r="A10" s="7" t="s">
        <v>2</v>
      </c>
      <c r="B10" s="11">
        <f>C10+D10</f>
        <v>22875</v>
      </c>
      <c r="C10" s="11">
        <f>SUM(C11:C13)</f>
        <v>13653</v>
      </c>
      <c r="D10" s="11">
        <f>SUM(D11:D13)</f>
        <v>9222</v>
      </c>
      <c r="E10" s="11">
        <f>F10+G10</f>
        <v>23165</v>
      </c>
      <c r="F10" s="11">
        <f>SUM(F11:F13)</f>
        <v>13562</v>
      </c>
      <c r="G10" s="11">
        <f>SUM(G11:G13)</f>
        <v>9603</v>
      </c>
      <c r="H10" s="40">
        <f>I10+J10</f>
        <v>39895</v>
      </c>
      <c r="I10" s="11">
        <f>SUM(I11:I14)</f>
        <v>22176</v>
      </c>
      <c r="J10" s="41">
        <f>SUM(J11:J14)</f>
        <v>17719</v>
      </c>
      <c r="K10" s="28">
        <f>E10/E10*100</f>
        <v>100</v>
      </c>
      <c r="L10" s="53">
        <f>H10/H10*100</f>
        <v>100</v>
      </c>
      <c r="M10" s="48">
        <f>J10/H10*100</f>
        <v>44.414086978318082</v>
      </c>
      <c r="N10" s="46">
        <f>((H10-E10)/E10)*100</f>
        <v>72.221023095186709</v>
      </c>
      <c r="O10" s="13" t="s">
        <v>12</v>
      </c>
    </row>
    <row r="11" spans="1:25" ht="21" x14ac:dyDescent="0.55000000000000004">
      <c r="A11" s="24" t="s">
        <v>5</v>
      </c>
      <c r="B11" s="12">
        <f>SUM(C11:D11)</f>
        <v>15268</v>
      </c>
      <c r="C11" s="8">
        <v>7948</v>
      </c>
      <c r="D11" s="8">
        <v>7320</v>
      </c>
      <c r="E11" s="12">
        <v>15447</v>
      </c>
      <c r="F11" s="8">
        <v>7972</v>
      </c>
      <c r="G11" s="8">
        <v>7475</v>
      </c>
      <c r="H11" s="42">
        <v>15767</v>
      </c>
      <c r="I11" s="8">
        <v>8062</v>
      </c>
      <c r="J11" s="15">
        <v>7705</v>
      </c>
      <c r="K11" s="26">
        <f>E11/E10*100</f>
        <v>66.682495143535505</v>
      </c>
      <c r="L11" s="43">
        <f>H11/H10*100</f>
        <v>39.521243263566866</v>
      </c>
      <c r="M11" s="49">
        <f>J11/H11*100</f>
        <v>48.867888628147398</v>
      </c>
      <c r="N11" s="45">
        <f>((H11-E11)/E11)*100</f>
        <v>2.0715996633650544</v>
      </c>
      <c r="O11" s="4" t="s">
        <v>10</v>
      </c>
    </row>
    <row r="12" spans="1:25" ht="21" x14ac:dyDescent="0.55000000000000004">
      <c r="A12" s="24" t="s">
        <v>6</v>
      </c>
      <c r="B12" s="12">
        <v>393</v>
      </c>
      <c r="C12" s="8">
        <v>217</v>
      </c>
      <c r="D12" s="8">
        <v>76</v>
      </c>
      <c r="E12" s="12">
        <v>425</v>
      </c>
      <c r="F12" s="8">
        <v>333</v>
      </c>
      <c r="G12" s="8">
        <v>92</v>
      </c>
      <c r="H12" s="42">
        <v>646</v>
      </c>
      <c r="I12" s="8">
        <v>501</v>
      </c>
      <c r="J12" s="15">
        <v>145</v>
      </c>
      <c r="K12" s="26">
        <f>E12/E10*100</f>
        <v>1.8346643643427585</v>
      </c>
      <c r="L12" s="43">
        <f>H12/H10*100</f>
        <v>1.6192505326482014</v>
      </c>
      <c r="M12" s="49">
        <f>J12/H12*100</f>
        <v>22.445820433436534</v>
      </c>
      <c r="N12" s="45">
        <f>((H12-E12)/E12)*100</f>
        <v>52</v>
      </c>
      <c r="O12" s="4" t="s">
        <v>11</v>
      </c>
    </row>
    <row r="13" spans="1:25" ht="21" x14ac:dyDescent="0.55000000000000004">
      <c r="A13" s="24" t="s">
        <v>7</v>
      </c>
      <c r="B13" s="12">
        <f>SUM(C13:D13)</f>
        <v>7314</v>
      </c>
      <c r="C13" s="8">
        <v>5488</v>
      </c>
      <c r="D13" s="8">
        <v>1826</v>
      </c>
      <c r="E13" s="12">
        <v>7293</v>
      </c>
      <c r="F13" s="8">
        <v>5257</v>
      </c>
      <c r="G13" s="8">
        <v>2036</v>
      </c>
      <c r="H13" s="42">
        <v>7284</v>
      </c>
      <c r="I13" s="8">
        <v>5225</v>
      </c>
      <c r="J13" s="15">
        <v>2059</v>
      </c>
      <c r="K13" s="26">
        <f>E13/E10*100</f>
        <v>31.482840492121731</v>
      </c>
      <c r="L13" s="43">
        <f>H13/H10*100</f>
        <v>18.257927058528637</v>
      </c>
      <c r="M13" s="49">
        <f>J13/H13*100</f>
        <v>28.26743547501373</v>
      </c>
      <c r="N13" s="45">
        <f>((H13-E13)/E13)*100</f>
        <v>-0.12340600575894693</v>
      </c>
      <c r="O13" s="4" t="s">
        <v>13</v>
      </c>
      <c r="X13" s="2" t="s">
        <v>17</v>
      </c>
    </row>
    <row r="14" spans="1:25" ht="21" x14ac:dyDescent="0.55000000000000004">
      <c r="A14" s="25" t="s">
        <v>29</v>
      </c>
      <c r="B14" s="3"/>
      <c r="C14" s="5"/>
      <c r="D14" s="5"/>
      <c r="E14" s="3">
        <v>0</v>
      </c>
      <c r="F14" s="5">
        <v>0</v>
      </c>
      <c r="G14" s="5">
        <v>0</v>
      </c>
      <c r="H14" s="44">
        <v>16198</v>
      </c>
      <c r="I14" s="5">
        <v>8388</v>
      </c>
      <c r="J14" s="15">
        <v>7810</v>
      </c>
      <c r="K14" s="26">
        <f>E14/E11*100</f>
        <v>0</v>
      </c>
      <c r="L14" s="43">
        <f>H14/H10*100</f>
        <v>40.601579145256302</v>
      </c>
      <c r="M14" s="50">
        <f>J14/H14*100</f>
        <v>48.215829114705521</v>
      </c>
      <c r="N14" s="35">
        <v>0</v>
      </c>
      <c r="O14" s="6" t="s">
        <v>30</v>
      </c>
    </row>
    <row r="15" spans="1:25" ht="17.25" x14ac:dyDescent="0.25">
      <c r="A15" s="51" t="s">
        <v>33</v>
      </c>
      <c r="J15" s="34"/>
      <c r="K15" s="34"/>
      <c r="L15" s="34"/>
      <c r="M15" s="34"/>
      <c r="N15" s="34"/>
      <c r="O15" s="52"/>
      <c r="X15" s="2" t="str">
        <f>C9</f>
        <v>Male</v>
      </c>
      <c r="Y15" s="2" t="str">
        <f>D9</f>
        <v>Female</v>
      </c>
    </row>
    <row r="16" spans="1:25" ht="19.5" x14ac:dyDescent="0.25">
      <c r="P16" s="17" t="s">
        <v>31</v>
      </c>
      <c r="Q16" s="56" t="s">
        <v>32</v>
      </c>
      <c r="R16" s="56"/>
      <c r="S16" s="56"/>
      <c r="T16" s="56"/>
      <c r="U16" s="56"/>
      <c r="V16" s="56"/>
      <c r="W16" s="24" t="s">
        <v>5</v>
      </c>
      <c r="X16" s="8">
        <f>I11</f>
        <v>8062</v>
      </c>
      <c r="Y16" s="8">
        <f>J11</f>
        <v>7705</v>
      </c>
    </row>
    <row r="17" spans="1:25" ht="18" x14ac:dyDescent="0.45">
      <c r="A17" s="14" t="s">
        <v>16</v>
      </c>
      <c r="O17" s="23" t="s">
        <v>19</v>
      </c>
      <c r="W17" s="24" t="s">
        <v>6</v>
      </c>
      <c r="X17" s="8">
        <f t="shared" ref="X17:X19" si="0">I12</f>
        <v>501</v>
      </c>
      <c r="Y17" s="8">
        <f t="shared" ref="Y17:Y19" si="1">J12</f>
        <v>145</v>
      </c>
    </row>
    <row r="18" spans="1:25" x14ac:dyDescent="0.25">
      <c r="W18" s="24" t="s">
        <v>7</v>
      </c>
      <c r="X18" s="8">
        <f t="shared" si="0"/>
        <v>5225</v>
      </c>
      <c r="Y18" s="8">
        <f t="shared" si="1"/>
        <v>2059</v>
      </c>
    </row>
    <row r="19" spans="1:25" x14ac:dyDescent="0.25">
      <c r="C19" s="9"/>
      <c r="D19" s="9"/>
      <c r="F19" s="9"/>
      <c r="G19" s="9"/>
      <c r="I19" s="9"/>
      <c r="J19" s="9"/>
      <c r="W19" s="25" t="s">
        <v>29</v>
      </c>
      <c r="X19" s="8">
        <f t="shared" si="0"/>
        <v>8388</v>
      </c>
      <c r="Y19" s="8">
        <f t="shared" si="1"/>
        <v>7810</v>
      </c>
    </row>
    <row r="20" spans="1:25" x14ac:dyDescent="0.25">
      <c r="C20" s="9"/>
      <c r="D20" s="9"/>
      <c r="F20" s="9"/>
      <c r="G20" s="9"/>
      <c r="I20" s="9"/>
      <c r="J20" s="9"/>
    </row>
  </sheetData>
  <mergeCells count="11">
    <mergeCell ref="E6:J6"/>
    <mergeCell ref="A2:O2"/>
    <mergeCell ref="A3:O3"/>
    <mergeCell ref="B7:D7"/>
    <mergeCell ref="A6:A9"/>
    <mergeCell ref="O6:O9"/>
    <mergeCell ref="E7:G7"/>
    <mergeCell ref="H7:J7"/>
    <mergeCell ref="K6:L6"/>
    <mergeCell ref="K7:L8"/>
    <mergeCell ref="M6:M7"/>
  </mergeCells>
  <pageMargins left="0.17" right="0.35" top="0.75" bottom="0.75" header="0.3" footer="0.3"/>
  <pageSetup paperSize="9" scale="89" orientation="landscape" r:id="rId1"/>
  <colBreaks count="2" manualBreakCount="2">
    <brk id="17" max="1048575" man="1"/>
    <brk id="22" max="1048575" man="1"/>
  </colBreaks>
  <ignoredErrors>
    <ignoredError sqref="B10 E10" formula="1"/>
    <ignoredError sqref="B11 B13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18.3</vt:lpstr>
      <vt:lpstr>'18.3'!Print_Area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2016-03-16T08:42:14Z</cp:lastPrinted>
  <dcterms:created xsi:type="dcterms:W3CDTF">2013-03-14T06:06:17Z</dcterms:created>
  <dcterms:modified xsi:type="dcterms:W3CDTF">2016-03-16T08:42:18Z</dcterms:modified>
</cp:coreProperties>
</file>