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775"/>
  </bookViews>
  <sheets>
    <sheet name="18.12" sheetId="26" r:id="rId1"/>
  </sheets>
  <definedNames>
    <definedName name="_xlnm.Print_Area" localSheetId="0">'18.12'!$A$1:$I$81</definedName>
  </definedNames>
  <calcPr calcId="144525"/>
</workbook>
</file>

<file path=xl/calcChain.xml><?xml version="1.0" encoding="utf-8"?>
<calcChain xmlns="http://schemas.openxmlformats.org/spreadsheetml/2006/main">
  <c r="B291" i="26" l="1"/>
  <c r="B6" i="26" l="1"/>
  <c r="AB37" i="26" s="1"/>
  <c r="F6" i="26"/>
  <c r="AF37" i="26" s="1"/>
  <c r="G28" i="26"/>
  <c r="G18" i="26"/>
  <c r="G16" i="26"/>
  <c r="G26" i="26"/>
  <c r="C6" i="26"/>
  <c r="AC37" i="26" s="1"/>
  <c r="E6" i="26"/>
  <c r="AE37" i="26" s="1"/>
  <c r="G14" i="26"/>
  <c r="G17" i="26"/>
  <c r="G25" i="26"/>
  <c r="G21" i="26"/>
  <c r="G13" i="26"/>
  <c r="G19" i="26"/>
  <c r="G8" i="26"/>
  <c r="G30" i="26"/>
  <c r="G9" i="26"/>
  <c r="G10" i="26"/>
  <c r="G23" i="26"/>
  <c r="G7" i="26"/>
  <c r="G31" i="26"/>
  <c r="G24" i="26"/>
  <c r="G22" i="26"/>
  <c r="G29" i="26"/>
  <c r="G27" i="26"/>
  <c r="G11" i="26"/>
  <c r="G15" i="26"/>
  <c r="G20" i="26"/>
  <c r="D6" i="26"/>
  <c r="AD37" i="26" s="1"/>
  <c r="G12" i="26"/>
  <c r="AG37" i="26" l="1"/>
  <c r="G6" i="26"/>
  <c r="H6" i="26" s="1"/>
  <c r="H7" i="26" l="1"/>
  <c r="H8" i="26"/>
  <c r="H28" i="26"/>
  <c r="H18" i="26"/>
  <c r="H16" i="26"/>
  <c r="H26" i="26"/>
  <c r="H14" i="26"/>
  <c r="H17" i="26"/>
  <c r="H25" i="26"/>
  <c r="H21" i="26"/>
  <c r="H13" i="26"/>
  <c r="H19" i="26"/>
  <c r="H30" i="26"/>
  <c r="H9" i="26"/>
  <c r="H10" i="26"/>
  <c r="H23" i="26"/>
  <c r="H31" i="26"/>
  <c r="H24" i="26"/>
  <c r="H22" i="26"/>
  <c r="H29" i="26"/>
  <c r="H27" i="26"/>
  <c r="H11" i="26"/>
  <c r="H15" i="26"/>
  <c r="H20" i="26"/>
  <c r="H12" i="26"/>
</calcChain>
</file>

<file path=xl/sharedStrings.xml><?xml version="1.0" encoding="utf-8"?>
<sst xmlns="http://schemas.openxmlformats.org/spreadsheetml/2006/main" count="99" uniqueCount="66">
  <si>
    <t>Total</t>
  </si>
  <si>
    <t>% share</t>
  </si>
  <si>
    <t>Sector</t>
  </si>
  <si>
    <t>0-9</t>
  </si>
  <si>
    <t>10-49</t>
  </si>
  <si>
    <t>50-99</t>
  </si>
  <si>
    <t>100-299</t>
  </si>
  <si>
    <t>&gt;300</t>
  </si>
  <si>
    <t>Agriculture</t>
  </si>
  <si>
    <t>Air Transportation</t>
  </si>
  <si>
    <t>Construction</t>
  </si>
  <si>
    <t>Electricity</t>
  </si>
  <si>
    <t>Clothing industry</t>
  </si>
  <si>
    <t>Coffee, tea shops</t>
  </si>
  <si>
    <t>Financial sector, Banks, Investment Funds, Insurance companies Investment</t>
  </si>
  <si>
    <t>Fishing Industry</t>
  </si>
  <si>
    <t>Garbage, and Recycling industry</t>
  </si>
  <si>
    <t>Health Sector, hospitals, clinics</t>
  </si>
  <si>
    <t>Hotels, Tourist resorts, travel agencies</t>
  </si>
  <si>
    <t xml:space="preserve">Housing Development </t>
  </si>
  <si>
    <t>Land Transportation, taxis, buses etc</t>
  </si>
  <si>
    <t>Others</t>
  </si>
  <si>
    <t>Passenger Ferries</t>
  </si>
  <si>
    <t>Pharmacies</t>
  </si>
  <si>
    <t>Restaurants</t>
  </si>
  <si>
    <t>Sales of Motor Vehicles</t>
  </si>
  <si>
    <t>Schools and educational centers</t>
  </si>
  <si>
    <t>Sea Transportation, shipping</t>
  </si>
  <si>
    <t>Shops, small and medium commercial retail</t>
  </si>
  <si>
    <t>Telecommunications</t>
  </si>
  <si>
    <t>Water processing</t>
  </si>
  <si>
    <t>Wholesale retailers</t>
  </si>
  <si>
    <t>Government agencies, public institutions</t>
  </si>
  <si>
    <t>ޖުމްލަ</t>
  </si>
  <si>
    <t>Source: Maldives Pension Administration</t>
  </si>
  <si>
    <t>އެހެނިހެން</t>
  </si>
  <si>
    <t>މަޢުލޫމާތު ދެއްވި ފަރާތް: މޯލްޑިވްސް ޕެންޝަން އެޑްމިނިސްޓްރޭޝަން</t>
  </si>
  <si>
    <t>establishments</t>
  </si>
  <si>
    <t>ދަނޑުވެރިކަން</t>
  </si>
  <si>
    <t>ވައިގެ ދަތުރުފަތުރު</t>
  </si>
  <si>
    <t>އިމާރާތްކުރުން</t>
  </si>
  <si>
    <t>ކަރަންޓް</t>
  </si>
  <si>
    <t>މަސްވެރިކަމުގެ ދާއިރާ</t>
  </si>
  <si>
    <t>ޞިއްޚީ ޙިދުމަތް، ހޮސްޕިޓަލް އަދި ކްލިނިކްތައް</t>
  </si>
  <si>
    <t>އެއްގަމު ދަތުރުފަތުރު، ޓެކްސީ، ބަސް ފަދަ</t>
  </si>
  <si>
    <t>ޕަސިންޖަރުން އުފުލާ ފެރީ</t>
  </si>
  <si>
    <t>ބޭސް ފިހާރަތައް</t>
  </si>
  <si>
    <t>ރެސްޓޯރަންޓްތައް</t>
  </si>
  <si>
    <t>ހޮޓާ، ރިސޯޓް، ޓްރެވަލް އޭޖެންސީ</t>
  </si>
  <si>
    <t>ސްކޫލްތަކާއި ތަޢުލީމްދޭ މަރުކަޒުތައް</t>
  </si>
  <si>
    <t>ފެން އުފެއްދުން</t>
  </si>
  <si>
    <t>ކުދި އަދި މެދުފަންތީގެ ވިޔަފާރި</t>
  </si>
  <si>
    <t xml:space="preserve">ސަރުކާރުގެ އޮފީސްތަކާއި ކުންފުނިތައް </t>
  </si>
  <si>
    <t>ކުނި އަދި ރީސައިކަލްކުރުން</t>
  </si>
  <si>
    <t>ސްޕެއަރޕާޓް ވިއްކުން</t>
  </si>
  <si>
    <t xml:space="preserve">އަންނައުނު </t>
  </si>
  <si>
    <t>ކޮފީ ޝޮޕް، ސައި ހޮޓާ</t>
  </si>
  <si>
    <t xml:space="preserve">ކަނޑުދަތުރުފަތުރު، ޝިޕިންގ </t>
  </si>
  <si>
    <t>ފައިސާގެ ޚިދުމަތް، ބެންކް، އިންވެސްޓްމަންޓް ފަންޑް، އިންޝުއަރެންސް ކުންފުނިތަކުގެ އިންވެސްޓްމަންޓް</t>
  </si>
  <si>
    <t>ހައުސިންގ ޑިވެލޮޕްމަންޓް</t>
  </si>
  <si>
    <t>މުވާސަލާތީ ޚިދުމަތް</t>
  </si>
  <si>
    <t>ހޯލްސޭލް ރީޓެއިލާރސް</t>
  </si>
  <si>
    <t xml:space="preserve">މަސައްކަތްކުރާ ތަނުގެ ދާއިރާ </t>
  </si>
  <si>
    <t xml:space="preserve">Establishments by Employment size </t>
  </si>
  <si>
    <t>TABLE   18.12:   ESTABLISHMENTS REGISTERED IN THE RETIREMENT PENSION SCHEME, BY EMPLOYMENT SIZE, END 2014</t>
  </si>
  <si>
    <t>ތާވަލު  18.12 : އެކި ދާއިރާތަކުން ރިޓާޔަމަންޓް ޕެންޝަން ސްކީމްގައި ރެޖިސްޓްރީކޮށްފައިވާ ތަންތަނުގެ ޢަދަދު، ތަނުގެމުވައްޒަފުންގެ ގިންތިން ،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</si>
</sst>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9" fillId="0" borderId="0"/>
  </cellStyleXfs>
  <cellXfs count="45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0" xfId="0" applyFont="1" applyFill="1"/>
    <xf numFmtId="0" fontId="3" fillId="2" borderId="0" xfId="0" applyFont="1" applyFill="1" applyBorder="1"/>
    <xf numFmtId="0" fontId="3" fillId="2" borderId="1" xfId="0" applyFont="1" applyFill="1" applyBorder="1"/>
    <xf numFmtId="0" fontId="4" fillId="2" borderId="0" xfId="0" applyFont="1" applyFill="1" applyBorder="1"/>
    <xf numFmtId="0" fontId="0" fillId="2" borderId="0" xfId="0" applyFill="1" applyAlignment="1">
      <alignment vertical="center"/>
    </xf>
    <xf numFmtId="3" fontId="0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3" fontId="0" fillId="2" borderId="1" xfId="1" applyNumberFormat="1" applyFont="1" applyFill="1" applyBorder="1" applyAlignment="1">
      <alignment horizontal="right" vertical="center"/>
    </xf>
    <xf numFmtId="49" fontId="0" fillId="2" borderId="0" xfId="0" applyNumberFormat="1" applyFill="1"/>
    <xf numFmtId="3" fontId="0" fillId="2" borderId="0" xfId="0" applyNumberFormat="1" applyFill="1"/>
    <xf numFmtId="0" fontId="0" fillId="2" borderId="0" xfId="0" applyFill="1" applyBorder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3" fontId="2" fillId="2" borderId="2" xfId="1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right" vertical="center"/>
    </xf>
    <xf numFmtId="49" fontId="2" fillId="2" borderId="6" xfId="0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3" fontId="0" fillId="2" borderId="0" xfId="1" applyNumberFormat="1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0" fillId="2" borderId="0" xfId="0" applyFill="1" applyAlignment="1">
      <alignment horizontal="right" vertical="center" wrapText="1"/>
    </xf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165" fontId="0" fillId="2" borderId="0" xfId="0" applyNumberFormat="1" applyFont="1" applyFill="1" applyBorder="1" applyAlignment="1">
      <alignment horizontal="right" vertical="center"/>
    </xf>
    <xf numFmtId="1" fontId="2" fillId="2" borderId="2" xfId="0" applyNumberFormat="1" applyFont="1" applyFill="1" applyBorder="1" applyAlignment="1">
      <alignment horizontal="right" vertical="center"/>
    </xf>
    <xf numFmtId="165" fontId="0" fillId="2" borderId="1" xfId="0" applyNumberFormat="1" applyFont="1" applyFill="1" applyBorder="1" applyAlignment="1">
      <alignment horizontal="right" vertical="center"/>
    </xf>
    <xf numFmtId="3" fontId="1" fillId="2" borderId="0" xfId="1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18.12: Establishments</a:t>
            </a:r>
            <a:r>
              <a:rPr lang="en-US" sz="1200" baseline="0">
                <a:latin typeface="Consolas" pitchFamily="49" charset="0"/>
                <a:cs typeface="Consolas" pitchFamily="49" charset="0"/>
              </a:rPr>
              <a:t> registered in the retirement pension scheme, by employment size , 2014 </a:t>
            </a:r>
            <a:endParaRPr lang="en-US" sz="1200">
              <a:latin typeface="Consolas" pitchFamily="49" charset="0"/>
              <a:cs typeface="Consolas" pitchFamily="49" charset="0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0326782681576572E-2"/>
          <c:y val="0.20330095101748646"/>
          <c:w val="0.89502335737444583"/>
          <c:h val="0.621296220209385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'18.12'!$AA$37</c:f>
              <c:strCache>
                <c:ptCount val="1"/>
                <c:pt idx="0">
                  <c:v>establishments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'18.12'!$AB$36:$AF$36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'18.12'!$AB$37:$AF$37</c:f>
              <c:numCache>
                <c:formatCode>#,##0</c:formatCode>
                <c:ptCount val="5"/>
                <c:pt idx="0">
                  <c:v>763</c:v>
                </c:pt>
                <c:pt idx="1">
                  <c:v>475</c:v>
                </c:pt>
                <c:pt idx="2">
                  <c:v>132</c:v>
                </c:pt>
                <c:pt idx="3">
                  <c:v>135</c:v>
                </c:pt>
                <c:pt idx="4">
                  <c:v>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627776"/>
        <c:axId val="123654528"/>
      </c:barChart>
      <c:catAx>
        <c:axId val="12362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/>
                </a:pPr>
                <a:r>
                  <a:rPr lang="en-US" sz="1050"/>
                  <a:t>employment size</a:t>
                </a:r>
              </a:p>
            </c:rich>
          </c:tx>
          <c:layout>
            <c:manualLayout>
              <c:xMode val="edge"/>
              <c:yMode val="edge"/>
              <c:x val="0.45741369221054196"/>
              <c:y val="0.91001892761034953"/>
            </c:manualLayout>
          </c:layout>
          <c:overlay val="0"/>
        </c:title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23654528"/>
        <c:crosses val="autoZero"/>
        <c:auto val="1"/>
        <c:lblAlgn val="ctr"/>
        <c:lblOffset val="100"/>
        <c:noMultiLvlLbl val="0"/>
      </c:catAx>
      <c:valAx>
        <c:axId val="123654528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1.1204481792717252E-2"/>
              <c:y val="0.10188635511470116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23627776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366" l="0.70000000000000062" r="0.70000000000000062" t="0.7500000000000036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>
                <a:solidFill>
                  <a:sysClr val="windowText" lastClr="000000"/>
                </a:solidFill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200" baseline="0">
                <a:solidFill>
                  <a:sysClr val="windowText" lastClr="000000"/>
                </a:solidFill>
                <a:latin typeface="Consolas" pitchFamily="49" charset="0"/>
                <a:cs typeface="Consolas" pitchFamily="49" charset="0"/>
              </a:rPr>
              <a:t> 18.13: Number </a:t>
            </a:r>
            <a:r>
              <a:rPr lang="en-US" sz="1200" baseline="0">
                <a:latin typeface="Consolas" pitchFamily="49" charset="0"/>
                <a:cs typeface="Consolas" pitchFamily="49" charset="0"/>
              </a:rPr>
              <a:t>of registered establishments </a:t>
            </a:r>
            <a:r>
              <a:rPr lang="en-US" sz="1200" b="1" i="0" u="none" strike="noStrike" baseline="0">
                <a:latin typeface="Consolas" pitchFamily="49" charset="0"/>
                <a:cs typeface="Consolas" pitchFamily="49" charset="0"/>
              </a:rPr>
              <a:t>in the retirement pension scheme</a:t>
            </a:r>
            <a:r>
              <a:rPr lang="en-US" sz="1200" baseline="0">
                <a:latin typeface="Consolas" pitchFamily="49" charset="0"/>
                <a:cs typeface="Consolas" pitchFamily="49" charset="0"/>
              </a:rPr>
              <a:t>  by sector, 2014</a:t>
            </a:r>
            <a:endParaRPr lang="en-US" sz="1200">
              <a:latin typeface="Consolas" pitchFamily="49" charset="0"/>
              <a:cs typeface="Consolas" pitchFamily="49" charset="0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2849723441273468E-2"/>
          <c:y val="0.14789877958670597"/>
          <c:w val="0.93076683372718061"/>
          <c:h val="0.353064546044899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cat>
            <c:strRef>
              <c:f>'18.12'!$A$277:$A$291</c:f>
              <c:strCache>
                <c:ptCount val="15"/>
                <c:pt idx="0">
                  <c:v>Government agencies, public institutions</c:v>
                </c:pt>
                <c:pt idx="1">
                  <c:v>Shops, small and medium commercial retail</c:v>
                </c:pt>
                <c:pt idx="2">
                  <c:v>Hotels, Tourist resorts, travel agencies</c:v>
                </c:pt>
                <c:pt idx="3">
                  <c:v>Others</c:v>
                </c:pt>
                <c:pt idx="4">
                  <c:v>Wholesale retailers</c:v>
                </c:pt>
                <c:pt idx="5">
                  <c:v>Construction</c:v>
                </c:pt>
                <c:pt idx="6">
                  <c:v>Financial sector, Banks, Investment Funds, Insurance companies Investment</c:v>
                </c:pt>
                <c:pt idx="7">
                  <c:v>Sea Transportation, shipping</c:v>
                </c:pt>
                <c:pt idx="8">
                  <c:v>Schools and educational centers</c:v>
                </c:pt>
                <c:pt idx="9">
                  <c:v>Health Sector, hospitals, clinics</c:v>
                </c:pt>
                <c:pt idx="10">
                  <c:v>Telecommunications</c:v>
                </c:pt>
                <c:pt idx="11">
                  <c:v>Air Transportation</c:v>
                </c:pt>
                <c:pt idx="12">
                  <c:v>Restaurants</c:v>
                </c:pt>
                <c:pt idx="13">
                  <c:v>Fishing Industry</c:v>
                </c:pt>
                <c:pt idx="14">
                  <c:v>Others</c:v>
                </c:pt>
              </c:strCache>
            </c:strRef>
          </c:cat>
          <c:val>
            <c:numRef>
              <c:f>'18.12'!$B$277:$B$291</c:f>
              <c:numCache>
                <c:formatCode>#,##0</c:formatCode>
                <c:ptCount val="15"/>
                <c:pt idx="0">
                  <c:v>388</c:v>
                </c:pt>
                <c:pt idx="1">
                  <c:v>284</c:v>
                </c:pt>
                <c:pt idx="2">
                  <c:v>282</c:v>
                </c:pt>
                <c:pt idx="3">
                  <c:v>113</c:v>
                </c:pt>
                <c:pt idx="4">
                  <c:v>91</c:v>
                </c:pt>
                <c:pt idx="5">
                  <c:v>86</c:v>
                </c:pt>
                <c:pt idx="6">
                  <c:v>80</c:v>
                </c:pt>
                <c:pt idx="7">
                  <c:v>51</c:v>
                </c:pt>
                <c:pt idx="8">
                  <c:v>29</c:v>
                </c:pt>
                <c:pt idx="9">
                  <c:v>27</c:v>
                </c:pt>
                <c:pt idx="10">
                  <c:v>22</c:v>
                </c:pt>
                <c:pt idx="11">
                  <c:v>17</c:v>
                </c:pt>
                <c:pt idx="12">
                  <c:v>13</c:v>
                </c:pt>
                <c:pt idx="13">
                  <c:v>10</c:v>
                </c:pt>
                <c:pt idx="14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345536"/>
        <c:axId val="123359616"/>
      </c:barChart>
      <c:catAx>
        <c:axId val="12334553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123359616"/>
        <c:crosses val="autoZero"/>
        <c:auto val="1"/>
        <c:lblAlgn val="ctr"/>
        <c:lblOffset val="100"/>
        <c:noMultiLvlLbl val="0"/>
      </c:catAx>
      <c:valAx>
        <c:axId val="123359616"/>
        <c:scaling>
          <c:orientation val="minMax"/>
          <c:max val="400"/>
        </c:scaling>
        <c:delete val="0"/>
        <c:axPos val="l"/>
        <c:majorGridlines>
          <c:spPr>
            <a:ln>
              <a:solidFill>
                <a:schemeClr val="accent4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>
            <a:solidFill>
              <a:schemeClr val="accent4">
                <a:lumMod val="40000"/>
                <a:lumOff val="60000"/>
              </a:schemeClr>
            </a:solidFill>
          </a:ln>
        </c:spPr>
        <c:crossAx val="123345536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1704973</xdr:colOff>
      <xdr:row>33</xdr:row>
      <xdr:rowOff>123823</xdr:rowOff>
    </xdr:from>
    <xdr:to>
      <xdr:col>8</xdr:col>
      <xdr:colOff>2439329</xdr:colOff>
      <xdr:row>53</xdr:row>
      <xdr:rowOff>80211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1574132</xdr:colOff>
      <xdr:row>54</xdr:row>
      <xdr:rowOff>80210</xdr:rowOff>
    </xdr:from>
    <xdr:to>
      <xdr:col>8</xdr:col>
      <xdr:colOff>2404482</xdr:colOff>
      <xdr:row>79</xdr:row>
      <xdr:rowOff>81311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2600288</xdr:colOff>
      <xdr:row>36</xdr:row>
      <xdr:rowOff>11616</xdr:rowOff>
    </xdr:from>
    <xdr:to>
      <xdr:col>8</xdr:col>
      <xdr:colOff>1684298</xdr:colOff>
      <xdr:row>36</xdr:row>
      <xdr:rowOff>43939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600288" y="9292683"/>
          <a:ext cx="6715626" cy="32323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2765681</xdr:colOff>
      <xdr:row>57</xdr:row>
      <xdr:rowOff>11616</xdr:rowOff>
    </xdr:from>
    <xdr:to>
      <xdr:col>8</xdr:col>
      <xdr:colOff>1602989</xdr:colOff>
      <xdr:row>57</xdr:row>
      <xdr:rowOff>22588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2765681" y="13195610"/>
          <a:ext cx="6468924" cy="10972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G302"/>
  <sheetViews>
    <sheetView tabSelected="1" zoomScale="82" zoomScaleNormal="82" zoomScaleSheetLayoutView="53" workbookViewId="0">
      <selection activeCell="O13" sqref="O13"/>
    </sheetView>
  </sheetViews>
  <sheetFormatPr defaultColWidth="9.140625" defaultRowHeight="15" x14ac:dyDescent="0.25"/>
  <cols>
    <col min="1" max="1" width="42.5703125" style="1" customWidth="1"/>
    <col min="2" max="2" width="9.140625" style="1" customWidth="1"/>
    <col min="3" max="3" width="9.85546875" style="1" customWidth="1"/>
    <col min="4" max="4" width="11.5703125" style="1" customWidth="1"/>
    <col min="5" max="5" width="11.140625" style="1" customWidth="1"/>
    <col min="6" max="8" width="10.140625" style="1" customWidth="1"/>
    <col min="9" max="9" width="45.5703125" style="1" customWidth="1"/>
    <col min="10" max="24" width="9.140625" style="1"/>
    <col min="25" max="25" width="46" style="1" customWidth="1"/>
    <col min="26" max="16384" width="9.140625" style="1"/>
  </cols>
  <sheetData>
    <row r="1" spans="1:24" s="7" customFormat="1" ht="17.25" customHeight="1" x14ac:dyDescent="0.25">
      <c r="A1" s="37" t="s">
        <v>65</v>
      </c>
      <c r="B1" s="37"/>
      <c r="C1" s="37"/>
      <c r="D1" s="37"/>
      <c r="E1" s="37"/>
      <c r="F1" s="37"/>
      <c r="G1" s="37"/>
      <c r="H1" s="37"/>
      <c r="I1" s="37"/>
    </row>
    <row r="2" spans="1:24" ht="17.25" customHeight="1" x14ac:dyDescent="0.25">
      <c r="A2" s="38" t="s">
        <v>64</v>
      </c>
      <c r="B2" s="38"/>
      <c r="C2" s="38"/>
      <c r="D2" s="38"/>
      <c r="E2" s="38"/>
      <c r="F2" s="38"/>
      <c r="G2" s="38"/>
      <c r="H2" s="38"/>
      <c r="I2" s="38"/>
    </row>
    <row r="3" spans="1:24" ht="13.5" customHeight="1" x14ac:dyDescent="0.25">
      <c r="A3" s="2"/>
      <c r="B3" s="2"/>
      <c r="C3" s="2"/>
      <c r="D3" s="2"/>
      <c r="E3" s="2"/>
      <c r="F3" s="2"/>
      <c r="G3" s="2"/>
    </row>
    <row r="4" spans="1:24" s="31" customFormat="1" ht="13.5" customHeight="1" x14ac:dyDescent="0.25">
      <c r="A4" s="34" t="s">
        <v>2</v>
      </c>
      <c r="B4" s="41" t="s">
        <v>63</v>
      </c>
      <c r="C4" s="42"/>
      <c r="D4" s="42"/>
      <c r="E4" s="42"/>
      <c r="F4" s="42"/>
      <c r="G4" s="43"/>
      <c r="H4" s="39" t="s">
        <v>1</v>
      </c>
      <c r="I4" s="35" t="s">
        <v>62</v>
      </c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s="31" customFormat="1" ht="15" customHeight="1" x14ac:dyDescent="0.25">
      <c r="A5" s="40"/>
      <c r="B5" s="16" t="s">
        <v>3</v>
      </c>
      <c r="C5" s="16" t="s">
        <v>4</v>
      </c>
      <c r="D5" s="16" t="s">
        <v>5</v>
      </c>
      <c r="E5" s="16" t="s">
        <v>6</v>
      </c>
      <c r="F5" s="17" t="s">
        <v>7</v>
      </c>
      <c r="G5" s="16" t="s">
        <v>0</v>
      </c>
      <c r="H5" s="44"/>
      <c r="I5" s="36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s="3" customFormat="1" ht="21" x14ac:dyDescent="0.55000000000000004">
      <c r="A6" s="30" t="s">
        <v>0</v>
      </c>
      <c r="B6" s="15">
        <f t="shared" ref="B6:G6" si="0">SUM(B7:B31)</f>
        <v>763</v>
      </c>
      <c r="C6" s="15">
        <f t="shared" si="0"/>
        <v>475</v>
      </c>
      <c r="D6" s="15">
        <f t="shared" si="0"/>
        <v>132</v>
      </c>
      <c r="E6" s="15">
        <f t="shared" si="0"/>
        <v>135</v>
      </c>
      <c r="F6" s="9">
        <f t="shared" si="0"/>
        <v>38</v>
      </c>
      <c r="G6" s="15">
        <f t="shared" si="0"/>
        <v>1543</v>
      </c>
      <c r="H6" s="27">
        <f>G6/G6*100</f>
        <v>100</v>
      </c>
      <c r="I6" s="6" t="s">
        <v>33</v>
      </c>
    </row>
    <row r="7" spans="1:24" ht="21" x14ac:dyDescent="0.55000000000000004">
      <c r="A7" s="18" t="s">
        <v>8</v>
      </c>
      <c r="B7" s="8">
        <v>5</v>
      </c>
      <c r="C7" s="8">
        <v>3</v>
      </c>
      <c r="D7" s="8">
        <v>1</v>
      </c>
      <c r="E7" s="8">
        <v>0</v>
      </c>
      <c r="F7" s="8">
        <v>0</v>
      </c>
      <c r="G7" s="8">
        <f t="shared" ref="G7:G31" si="1">B7+C7+D7+E7+F7</f>
        <v>9</v>
      </c>
      <c r="H7" s="26">
        <f>G7/$G$6*100</f>
        <v>0.58327932598833443</v>
      </c>
      <c r="I7" s="4" t="s">
        <v>38</v>
      </c>
    </row>
    <row r="8" spans="1:24" ht="21" x14ac:dyDescent="0.55000000000000004">
      <c r="A8" s="18" t="s">
        <v>9</v>
      </c>
      <c r="B8" s="8">
        <v>7</v>
      </c>
      <c r="C8" s="8">
        <v>3</v>
      </c>
      <c r="D8" s="8">
        <v>1</v>
      </c>
      <c r="E8" s="8">
        <v>4</v>
      </c>
      <c r="F8" s="8">
        <v>2</v>
      </c>
      <c r="G8" s="8">
        <f t="shared" si="1"/>
        <v>17</v>
      </c>
      <c r="H8" s="26">
        <f>G8/$G$6*100</f>
        <v>1.1017498379779649</v>
      </c>
      <c r="I8" s="4" t="s">
        <v>39</v>
      </c>
    </row>
    <row r="9" spans="1:24" ht="21" x14ac:dyDescent="0.55000000000000004">
      <c r="A9" s="18" t="s">
        <v>12</v>
      </c>
      <c r="B9" s="8">
        <v>1</v>
      </c>
      <c r="C9" s="8">
        <v>1</v>
      </c>
      <c r="D9" s="8">
        <v>0</v>
      </c>
      <c r="E9" s="8">
        <v>0</v>
      </c>
      <c r="F9" s="8">
        <v>0</v>
      </c>
      <c r="G9" s="8">
        <f t="shared" si="1"/>
        <v>2</v>
      </c>
      <c r="H9" s="26">
        <f t="shared" ref="H9:H30" si="2">G9/$G$6*100</f>
        <v>0.12961762799740764</v>
      </c>
      <c r="I9" s="4" t="s">
        <v>55</v>
      </c>
    </row>
    <row r="10" spans="1:24" ht="21" x14ac:dyDescent="0.55000000000000004">
      <c r="A10" s="18" t="s">
        <v>13</v>
      </c>
      <c r="B10" s="8">
        <v>6</v>
      </c>
      <c r="C10" s="8">
        <v>0</v>
      </c>
      <c r="D10" s="8">
        <v>0</v>
      </c>
      <c r="E10" s="8">
        <v>0</v>
      </c>
      <c r="F10" s="8">
        <v>0</v>
      </c>
      <c r="G10" s="8">
        <f t="shared" si="1"/>
        <v>6</v>
      </c>
      <c r="H10" s="26">
        <f t="shared" si="2"/>
        <v>0.38885288399222295</v>
      </c>
      <c r="I10" s="4" t="s">
        <v>56</v>
      </c>
    </row>
    <row r="11" spans="1:24" ht="21" x14ac:dyDescent="0.55000000000000004">
      <c r="A11" s="18" t="s">
        <v>10</v>
      </c>
      <c r="B11" s="8">
        <v>63</v>
      </c>
      <c r="C11" s="8">
        <v>19</v>
      </c>
      <c r="D11" s="8">
        <v>1</v>
      </c>
      <c r="E11" s="8">
        <v>3</v>
      </c>
      <c r="F11" s="8">
        <v>0</v>
      </c>
      <c r="G11" s="8">
        <f t="shared" si="1"/>
        <v>86</v>
      </c>
      <c r="H11" s="26">
        <f t="shared" si="2"/>
        <v>5.5735580038885288</v>
      </c>
      <c r="I11" s="4" t="s">
        <v>40</v>
      </c>
    </row>
    <row r="12" spans="1:24" ht="21" x14ac:dyDescent="0.55000000000000004">
      <c r="A12" s="18" t="s">
        <v>11</v>
      </c>
      <c r="B12" s="8">
        <v>6</v>
      </c>
      <c r="C12" s="8">
        <v>1</v>
      </c>
      <c r="D12" s="8">
        <v>0</v>
      </c>
      <c r="E12" s="8">
        <v>1</v>
      </c>
      <c r="F12" s="8">
        <v>0</v>
      </c>
      <c r="G12" s="8">
        <f t="shared" si="1"/>
        <v>8</v>
      </c>
      <c r="H12" s="26">
        <f t="shared" si="2"/>
        <v>0.51847051198963057</v>
      </c>
      <c r="I12" s="4" t="s">
        <v>41</v>
      </c>
    </row>
    <row r="13" spans="1:24" s="22" customFormat="1" ht="49.5" customHeight="1" x14ac:dyDescent="0.25">
      <c r="A13" s="13" t="s">
        <v>14</v>
      </c>
      <c r="B13" s="20">
        <v>40</v>
      </c>
      <c r="C13" s="20">
        <v>28</v>
      </c>
      <c r="D13" s="20">
        <v>3</v>
      </c>
      <c r="E13" s="20">
        <v>4</v>
      </c>
      <c r="F13" s="20">
        <v>5</v>
      </c>
      <c r="G13" s="20">
        <f t="shared" si="1"/>
        <v>80</v>
      </c>
      <c r="H13" s="26">
        <f t="shared" si="2"/>
        <v>5.1847051198963063</v>
      </c>
      <c r="I13" s="21" t="s">
        <v>58</v>
      </c>
    </row>
    <row r="14" spans="1:24" ht="21" x14ac:dyDescent="0.55000000000000004">
      <c r="A14" s="18" t="s">
        <v>15</v>
      </c>
      <c r="B14" s="8">
        <v>4</v>
      </c>
      <c r="C14" s="8">
        <v>1</v>
      </c>
      <c r="D14" s="8">
        <v>3</v>
      </c>
      <c r="E14" s="8">
        <v>1</v>
      </c>
      <c r="F14" s="8">
        <v>1</v>
      </c>
      <c r="G14" s="8">
        <f t="shared" si="1"/>
        <v>10</v>
      </c>
      <c r="H14" s="26">
        <f t="shared" si="2"/>
        <v>0.64808813998703829</v>
      </c>
      <c r="I14" s="4" t="s">
        <v>42</v>
      </c>
    </row>
    <row r="15" spans="1:24" ht="21" x14ac:dyDescent="0.55000000000000004">
      <c r="A15" s="18" t="s">
        <v>16</v>
      </c>
      <c r="B15" s="8">
        <v>1</v>
      </c>
      <c r="C15" s="8">
        <v>3</v>
      </c>
      <c r="D15" s="8">
        <v>0</v>
      </c>
      <c r="E15" s="8">
        <v>0</v>
      </c>
      <c r="F15" s="8">
        <v>0</v>
      </c>
      <c r="G15" s="8">
        <f t="shared" si="1"/>
        <v>4</v>
      </c>
      <c r="H15" s="26">
        <f t="shared" si="2"/>
        <v>0.25923525599481528</v>
      </c>
      <c r="I15" s="4" t="s">
        <v>53</v>
      </c>
    </row>
    <row r="16" spans="1:24" ht="21" x14ac:dyDescent="0.55000000000000004">
      <c r="A16" s="18" t="s">
        <v>32</v>
      </c>
      <c r="B16" s="8">
        <v>24</v>
      </c>
      <c r="C16" s="8">
        <v>228</v>
      </c>
      <c r="D16" s="8">
        <v>63</v>
      </c>
      <c r="E16" s="8">
        <v>63</v>
      </c>
      <c r="F16" s="8">
        <v>10</v>
      </c>
      <c r="G16" s="8">
        <f t="shared" si="1"/>
        <v>388</v>
      </c>
      <c r="H16" s="26">
        <f t="shared" si="2"/>
        <v>25.145819831497086</v>
      </c>
      <c r="I16" s="4" t="s">
        <v>52</v>
      </c>
    </row>
    <row r="17" spans="1:9" ht="21" x14ac:dyDescent="0.55000000000000004">
      <c r="A17" s="18" t="s">
        <v>17</v>
      </c>
      <c r="B17" s="8">
        <v>16</v>
      </c>
      <c r="C17" s="8">
        <v>10</v>
      </c>
      <c r="D17" s="8">
        <v>0</v>
      </c>
      <c r="E17" s="8">
        <v>1</v>
      </c>
      <c r="F17" s="8">
        <v>0</v>
      </c>
      <c r="G17" s="8">
        <f t="shared" si="1"/>
        <v>27</v>
      </c>
      <c r="H17" s="26">
        <f t="shared" si="2"/>
        <v>1.7498379779650033</v>
      </c>
      <c r="I17" s="4" t="s">
        <v>43</v>
      </c>
    </row>
    <row r="18" spans="1:9" ht="21" x14ac:dyDescent="0.55000000000000004">
      <c r="A18" s="18" t="s">
        <v>18</v>
      </c>
      <c r="B18" s="8">
        <v>137</v>
      </c>
      <c r="C18" s="8">
        <v>54</v>
      </c>
      <c r="D18" s="8">
        <v>32</v>
      </c>
      <c r="E18" s="8">
        <v>46</v>
      </c>
      <c r="F18" s="8">
        <v>13</v>
      </c>
      <c r="G18" s="8">
        <f t="shared" si="1"/>
        <v>282</v>
      </c>
      <c r="H18" s="26">
        <f t="shared" si="2"/>
        <v>18.276085547634477</v>
      </c>
      <c r="I18" s="4" t="s">
        <v>48</v>
      </c>
    </row>
    <row r="19" spans="1:9" ht="21" x14ac:dyDescent="0.55000000000000004">
      <c r="A19" s="18" t="s">
        <v>19</v>
      </c>
      <c r="B19" s="8">
        <v>2</v>
      </c>
      <c r="C19" s="8">
        <v>1</v>
      </c>
      <c r="D19" s="8">
        <v>0</v>
      </c>
      <c r="E19" s="8">
        <v>0</v>
      </c>
      <c r="F19" s="8">
        <v>0</v>
      </c>
      <c r="G19" s="29">
        <f t="shared" si="1"/>
        <v>3</v>
      </c>
      <c r="H19" s="26">
        <f t="shared" si="2"/>
        <v>0.19442644199611148</v>
      </c>
      <c r="I19" s="4" t="s">
        <v>59</v>
      </c>
    </row>
    <row r="20" spans="1:9" ht="21" x14ac:dyDescent="0.55000000000000004">
      <c r="A20" s="18" t="s">
        <v>20</v>
      </c>
      <c r="B20" s="8">
        <v>2</v>
      </c>
      <c r="C20" s="8">
        <v>1</v>
      </c>
      <c r="D20" s="8">
        <v>0</v>
      </c>
      <c r="E20" s="8">
        <v>0</v>
      </c>
      <c r="F20" s="8">
        <v>1</v>
      </c>
      <c r="G20" s="29">
        <f t="shared" si="1"/>
        <v>4</v>
      </c>
      <c r="H20" s="26">
        <f t="shared" si="2"/>
        <v>0.25923525599481528</v>
      </c>
      <c r="I20" s="4" t="s">
        <v>44</v>
      </c>
    </row>
    <row r="21" spans="1:9" ht="21" x14ac:dyDescent="0.55000000000000004">
      <c r="A21" s="18" t="s">
        <v>21</v>
      </c>
      <c r="B21" s="8">
        <v>95</v>
      </c>
      <c r="C21" s="8">
        <v>15</v>
      </c>
      <c r="D21" s="8">
        <v>1</v>
      </c>
      <c r="E21" s="8">
        <v>1</v>
      </c>
      <c r="F21" s="8">
        <v>1</v>
      </c>
      <c r="G21" s="29">
        <f t="shared" si="1"/>
        <v>113</v>
      </c>
      <c r="H21" s="26">
        <f t="shared" si="2"/>
        <v>7.3233959818535324</v>
      </c>
      <c r="I21" s="4" t="s">
        <v>35</v>
      </c>
    </row>
    <row r="22" spans="1:9" ht="21" x14ac:dyDescent="0.55000000000000004">
      <c r="A22" s="18" t="s">
        <v>22</v>
      </c>
      <c r="B22" s="8">
        <v>1</v>
      </c>
      <c r="C22" s="8">
        <v>0</v>
      </c>
      <c r="D22" s="8">
        <v>0</v>
      </c>
      <c r="E22" s="8">
        <v>0</v>
      </c>
      <c r="F22" s="8">
        <v>0</v>
      </c>
      <c r="G22" s="29">
        <f t="shared" si="1"/>
        <v>1</v>
      </c>
      <c r="H22" s="26">
        <f t="shared" si="2"/>
        <v>6.4808813998703821E-2</v>
      </c>
      <c r="I22" s="4" t="s">
        <v>45</v>
      </c>
    </row>
    <row r="23" spans="1:9" ht="21" x14ac:dyDescent="0.55000000000000004">
      <c r="A23" s="18" t="s">
        <v>23</v>
      </c>
      <c r="B23" s="8">
        <v>7</v>
      </c>
      <c r="C23" s="8">
        <v>1</v>
      </c>
      <c r="D23" s="8">
        <v>0</v>
      </c>
      <c r="E23" s="8">
        <v>0</v>
      </c>
      <c r="F23" s="8">
        <v>0</v>
      </c>
      <c r="G23" s="29">
        <f t="shared" si="1"/>
        <v>8</v>
      </c>
      <c r="H23" s="26">
        <f t="shared" si="2"/>
        <v>0.51847051198963057</v>
      </c>
      <c r="I23" s="4" t="s">
        <v>46</v>
      </c>
    </row>
    <row r="24" spans="1:9" ht="21" x14ac:dyDescent="0.55000000000000004">
      <c r="A24" s="18" t="s">
        <v>24</v>
      </c>
      <c r="B24" s="8">
        <v>10</v>
      </c>
      <c r="C24" s="8">
        <v>3</v>
      </c>
      <c r="D24" s="8">
        <v>0</v>
      </c>
      <c r="E24" s="8">
        <v>0</v>
      </c>
      <c r="F24" s="8">
        <v>0</v>
      </c>
      <c r="G24" s="8">
        <f t="shared" si="1"/>
        <v>13</v>
      </c>
      <c r="H24" s="26">
        <f t="shared" si="2"/>
        <v>0.84251458198314966</v>
      </c>
      <c r="I24" s="4" t="s">
        <v>47</v>
      </c>
    </row>
    <row r="25" spans="1:9" ht="21" x14ac:dyDescent="0.55000000000000004">
      <c r="A25" s="18" t="s">
        <v>25</v>
      </c>
      <c r="B25" s="8">
        <v>0</v>
      </c>
      <c r="C25" s="8">
        <v>2</v>
      </c>
      <c r="D25" s="8">
        <v>0</v>
      </c>
      <c r="E25" s="8">
        <v>0</v>
      </c>
      <c r="F25" s="8">
        <v>0</v>
      </c>
      <c r="G25" s="8">
        <f t="shared" si="1"/>
        <v>2</v>
      </c>
      <c r="H25" s="26">
        <f t="shared" si="2"/>
        <v>0.12961762799740764</v>
      </c>
      <c r="I25" s="4" t="s">
        <v>54</v>
      </c>
    </row>
    <row r="26" spans="1:9" ht="21" x14ac:dyDescent="0.55000000000000004">
      <c r="A26" s="18" t="s">
        <v>26</v>
      </c>
      <c r="B26" s="8">
        <v>13</v>
      </c>
      <c r="C26" s="8">
        <v>9</v>
      </c>
      <c r="D26" s="8">
        <v>5</v>
      </c>
      <c r="E26" s="8">
        <v>2</v>
      </c>
      <c r="F26" s="8">
        <v>0</v>
      </c>
      <c r="G26" s="8">
        <f t="shared" si="1"/>
        <v>29</v>
      </c>
      <c r="H26" s="26">
        <f t="shared" si="2"/>
        <v>1.8794556059624108</v>
      </c>
      <c r="I26" s="4" t="s">
        <v>49</v>
      </c>
    </row>
    <row r="27" spans="1:9" ht="21" x14ac:dyDescent="0.55000000000000004">
      <c r="A27" s="18" t="s">
        <v>27</v>
      </c>
      <c r="B27" s="8">
        <v>36</v>
      </c>
      <c r="C27" s="8">
        <v>10</v>
      </c>
      <c r="D27" s="8">
        <v>1</v>
      </c>
      <c r="E27" s="8">
        <v>2</v>
      </c>
      <c r="F27" s="8">
        <v>2</v>
      </c>
      <c r="G27" s="8">
        <f t="shared" si="1"/>
        <v>51</v>
      </c>
      <c r="H27" s="26">
        <f t="shared" si="2"/>
        <v>3.3052495139338953</v>
      </c>
      <c r="I27" s="4" t="s">
        <v>57</v>
      </c>
    </row>
    <row r="28" spans="1:9" ht="21" x14ac:dyDescent="0.55000000000000004">
      <c r="A28" s="18" t="s">
        <v>28</v>
      </c>
      <c r="B28" s="8">
        <v>214</v>
      </c>
      <c r="C28" s="8">
        <v>52</v>
      </c>
      <c r="D28" s="8">
        <v>15</v>
      </c>
      <c r="E28" s="8">
        <v>3</v>
      </c>
      <c r="F28" s="8">
        <v>0</v>
      </c>
      <c r="G28" s="8">
        <f t="shared" si="1"/>
        <v>284</v>
      </c>
      <c r="H28" s="26">
        <f t="shared" si="2"/>
        <v>18.405703175631885</v>
      </c>
      <c r="I28" s="4" t="s">
        <v>51</v>
      </c>
    </row>
    <row r="29" spans="1:9" ht="21" x14ac:dyDescent="0.55000000000000004">
      <c r="A29" s="18" t="s">
        <v>29</v>
      </c>
      <c r="B29" s="8">
        <v>7</v>
      </c>
      <c r="C29" s="8">
        <v>8</v>
      </c>
      <c r="D29" s="8">
        <v>3</v>
      </c>
      <c r="E29" s="8">
        <v>2</v>
      </c>
      <c r="F29" s="8">
        <v>2</v>
      </c>
      <c r="G29" s="8">
        <f t="shared" si="1"/>
        <v>22</v>
      </c>
      <c r="H29" s="26">
        <f t="shared" si="2"/>
        <v>1.4257939079714841</v>
      </c>
      <c r="I29" s="4" t="s">
        <v>60</v>
      </c>
    </row>
    <row r="30" spans="1:9" ht="21" x14ac:dyDescent="0.55000000000000004">
      <c r="A30" s="18" t="s">
        <v>30</v>
      </c>
      <c r="B30" s="8">
        <v>3</v>
      </c>
      <c r="C30" s="8">
        <v>0</v>
      </c>
      <c r="D30" s="8">
        <v>0</v>
      </c>
      <c r="E30" s="8">
        <v>0</v>
      </c>
      <c r="F30" s="8">
        <v>0</v>
      </c>
      <c r="G30" s="8">
        <f t="shared" si="1"/>
        <v>3</v>
      </c>
      <c r="H30" s="26">
        <f t="shared" si="2"/>
        <v>0.19442644199611148</v>
      </c>
      <c r="I30" s="4" t="s">
        <v>50</v>
      </c>
    </row>
    <row r="31" spans="1:9" ht="21" x14ac:dyDescent="0.55000000000000004">
      <c r="A31" s="19" t="s">
        <v>31</v>
      </c>
      <c r="B31" s="10">
        <v>63</v>
      </c>
      <c r="C31" s="10">
        <v>22</v>
      </c>
      <c r="D31" s="10">
        <v>3</v>
      </c>
      <c r="E31" s="10">
        <v>2</v>
      </c>
      <c r="F31" s="10">
        <v>1</v>
      </c>
      <c r="G31" s="10">
        <f t="shared" si="1"/>
        <v>91</v>
      </c>
      <c r="H31" s="28">
        <f>G31/$G$6*100</f>
        <v>5.897602073882048</v>
      </c>
      <c r="I31" s="5" t="s">
        <v>61</v>
      </c>
    </row>
    <row r="32" spans="1:9" s="24" customFormat="1" ht="17.25" x14ac:dyDescent="0.45">
      <c r="A32" s="14" t="s">
        <v>34</v>
      </c>
      <c r="C32" s="32"/>
      <c r="D32" s="32"/>
      <c r="E32" s="32"/>
      <c r="I32" s="25" t="s">
        <v>36</v>
      </c>
    </row>
    <row r="33" spans="1:33" s="24" customFormat="1" ht="17.25" x14ac:dyDescent="0.45">
      <c r="A33" s="23"/>
      <c r="I33" s="25"/>
    </row>
    <row r="34" spans="1:33" x14ac:dyDescent="0.25">
      <c r="D34" s="11"/>
      <c r="E34" s="11"/>
      <c r="F34" s="11"/>
    </row>
    <row r="36" spans="1:33" x14ac:dyDescent="0.25">
      <c r="AB36" s="11" t="s">
        <v>3</v>
      </c>
      <c r="AC36" s="11" t="s">
        <v>4</v>
      </c>
      <c r="AD36" s="11" t="s">
        <v>5</v>
      </c>
      <c r="AE36" s="11" t="s">
        <v>6</v>
      </c>
      <c r="AF36" s="11" t="s">
        <v>7</v>
      </c>
      <c r="AG36" s="1" t="s">
        <v>0</v>
      </c>
    </row>
    <row r="37" spans="1:33" x14ac:dyDescent="0.25">
      <c r="AA37" s="1" t="s">
        <v>37</v>
      </c>
      <c r="AB37" s="12">
        <f>B6</f>
        <v>763</v>
      </c>
      <c r="AC37" s="12">
        <f t="shared" ref="AC37:AF37" si="3">C6</f>
        <v>475</v>
      </c>
      <c r="AD37" s="12">
        <f t="shared" si="3"/>
        <v>132</v>
      </c>
      <c r="AE37" s="12">
        <f t="shared" si="3"/>
        <v>135</v>
      </c>
      <c r="AF37" s="12">
        <f t="shared" si="3"/>
        <v>38</v>
      </c>
      <c r="AG37" s="12">
        <f>SUM(AB37:AF37)</f>
        <v>1543</v>
      </c>
    </row>
    <row r="277" spans="1:2" x14ac:dyDescent="0.25">
      <c r="A277" s="18" t="s">
        <v>32</v>
      </c>
      <c r="B277" s="8">
        <v>388</v>
      </c>
    </row>
    <row r="278" spans="1:2" x14ac:dyDescent="0.25">
      <c r="A278" s="18" t="s">
        <v>28</v>
      </c>
      <c r="B278" s="8">
        <v>284</v>
      </c>
    </row>
    <row r="279" spans="1:2" x14ac:dyDescent="0.25">
      <c r="A279" s="18" t="s">
        <v>18</v>
      </c>
      <c r="B279" s="8">
        <v>282</v>
      </c>
    </row>
    <row r="280" spans="1:2" x14ac:dyDescent="0.25">
      <c r="A280" s="18" t="s">
        <v>21</v>
      </c>
      <c r="B280" s="8">
        <v>113</v>
      </c>
    </row>
    <row r="281" spans="1:2" x14ac:dyDescent="0.25">
      <c r="A281" s="18" t="s">
        <v>31</v>
      </c>
      <c r="B281" s="8">
        <v>91</v>
      </c>
    </row>
    <row r="282" spans="1:2" x14ac:dyDescent="0.25">
      <c r="A282" s="18" t="s">
        <v>10</v>
      </c>
      <c r="B282" s="8">
        <v>86</v>
      </c>
    </row>
    <row r="283" spans="1:2" ht="30" x14ac:dyDescent="0.25">
      <c r="A283" s="13" t="s">
        <v>14</v>
      </c>
      <c r="B283" s="20">
        <v>80</v>
      </c>
    </row>
    <row r="284" spans="1:2" x14ac:dyDescent="0.25">
      <c r="A284" s="18" t="s">
        <v>27</v>
      </c>
      <c r="B284" s="8">
        <v>51</v>
      </c>
    </row>
    <row r="285" spans="1:2" x14ac:dyDescent="0.25">
      <c r="A285" s="18" t="s">
        <v>26</v>
      </c>
      <c r="B285" s="8">
        <v>29</v>
      </c>
    </row>
    <row r="286" spans="1:2" x14ac:dyDescent="0.25">
      <c r="A286" s="18" t="s">
        <v>17</v>
      </c>
      <c r="B286" s="8">
        <v>27</v>
      </c>
    </row>
    <row r="287" spans="1:2" x14ac:dyDescent="0.25">
      <c r="A287" s="18" t="s">
        <v>29</v>
      </c>
      <c r="B287" s="8">
        <v>22</v>
      </c>
    </row>
    <row r="288" spans="1:2" x14ac:dyDescent="0.25">
      <c r="A288" s="18" t="s">
        <v>9</v>
      </c>
      <c r="B288" s="8">
        <v>17</v>
      </c>
    </row>
    <row r="289" spans="1:2" x14ac:dyDescent="0.25">
      <c r="A289" s="18" t="s">
        <v>24</v>
      </c>
      <c r="B289" s="8">
        <v>13</v>
      </c>
    </row>
    <row r="290" spans="1:2" x14ac:dyDescent="0.25">
      <c r="A290" s="18" t="s">
        <v>15</v>
      </c>
      <c r="B290" s="8">
        <v>10</v>
      </c>
    </row>
    <row r="291" spans="1:2" x14ac:dyDescent="0.25">
      <c r="A291" s="18" t="s">
        <v>21</v>
      </c>
      <c r="B291" s="8">
        <f>SUM(B292:B302)</f>
        <v>50</v>
      </c>
    </row>
    <row r="292" spans="1:2" x14ac:dyDescent="0.25">
      <c r="A292" s="18" t="s">
        <v>8</v>
      </c>
      <c r="B292" s="8">
        <v>9</v>
      </c>
    </row>
    <row r="293" spans="1:2" x14ac:dyDescent="0.25">
      <c r="A293" s="18" t="s">
        <v>11</v>
      </c>
      <c r="B293" s="8">
        <v>8</v>
      </c>
    </row>
    <row r="294" spans="1:2" x14ac:dyDescent="0.25">
      <c r="A294" s="18" t="s">
        <v>23</v>
      </c>
      <c r="B294" s="8">
        <v>8</v>
      </c>
    </row>
    <row r="295" spans="1:2" x14ac:dyDescent="0.25">
      <c r="A295" s="18" t="s">
        <v>13</v>
      </c>
      <c r="B295" s="8">
        <v>6</v>
      </c>
    </row>
    <row r="296" spans="1:2" x14ac:dyDescent="0.25">
      <c r="A296" s="18" t="s">
        <v>16</v>
      </c>
      <c r="B296" s="8">
        <v>4</v>
      </c>
    </row>
    <row r="297" spans="1:2" x14ac:dyDescent="0.25">
      <c r="A297" s="18" t="s">
        <v>19</v>
      </c>
      <c r="B297" s="8">
        <v>3</v>
      </c>
    </row>
    <row r="298" spans="1:2" x14ac:dyDescent="0.25">
      <c r="A298" s="18" t="s">
        <v>20</v>
      </c>
      <c r="B298" s="8">
        <v>3</v>
      </c>
    </row>
    <row r="299" spans="1:2" x14ac:dyDescent="0.25">
      <c r="A299" s="18" t="s">
        <v>30</v>
      </c>
      <c r="B299" s="8">
        <v>3</v>
      </c>
    </row>
    <row r="300" spans="1:2" x14ac:dyDescent="0.25">
      <c r="A300" s="18" t="s">
        <v>12</v>
      </c>
      <c r="B300" s="8">
        <v>2</v>
      </c>
    </row>
    <row r="301" spans="1:2" x14ac:dyDescent="0.25">
      <c r="A301" s="18" t="s">
        <v>22</v>
      </c>
      <c r="B301" s="8">
        <v>2</v>
      </c>
    </row>
    <row r="302" spans="1:2" x14ac:dyDescent="0.25">
      <c r="A302" s="19" t="s">
        <v>25</v>
      </c>
      <c r="B302" s="10">
        <v>2</v>
      </c>
    </row>
  </sheetData>
  <sortState ref="A71:B95">
    <sortCondition descending="1" ref="B71:B95"/>
  </sortState>
  <mergeCells count="6">
    <mergeCell ref="A1:I1"/>
    <mergeCell ref="A2:I2"/>
    <mergeCell ref="A4:A5"/>
    <mergeCell ref="B4:G4"/>
    <mergeCell ref="I4:I5"/>
    <mergeCell ref="H4:H5"/>
  </mergeCells>
  <pageMargins left="0.17" right="0.17" top="0.28000000000000003" bottom="0.23" header="0.3" footer="0.17"/>
  <pageSetup paperSize="9" scale="78" orientation="landscape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18.12</vt:lpstr>
      <vt:lpstr>'18.12'!Print_Area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2016-03-16T09:07:14Z</cp:lastPrinted>
  <dcterms:created xsi:type="dcterms:W3CDTF">2013-03-14T06:06:17Z</dcterms:created>
  <dcterms:modified xsi:type="dcterms:W3CDTF">2016-03-16T09:07:14Z</dcterms:modified>
</cp:coreProperties>
</file>