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225" windowWidth="6975" windowHeight="4110" tabRatio="775"/>
  </bookViews>
  <sheets>
    <sheet name="18.8" sheetId="29" r:id="rId1"/>
  </sheets>
  <calcPr calcId="144525"/>
</workbook>
</file>

<file path=xl/calcChain.xml><?xml version="1.0" encoding="utf-8"?>
<calcChain xmlns="http://schemas.openxmlformats.org/spreadsheetml/2006/main">
  <c r="C7" i="29" l="1"/>
  <c r="D7" i="29"/>
  <c r="E7" i="29"/>
  <c r="F7" i="29"/>
  <c r="G7" i="29"/>
  <c r="H7" i="29"/>
  <c r="B11" i="29"/>
  <c r="B10" i="29"/>
  <c r="B9" i="29"/>
  <c r="B8" i="29"/>
  <c r="B7" i="29" l="1"/>
</calcChain>
</file>

<file path=xl/sharedStrings.xml><?xml version="1.0" encoding="utf-8"?>
<sst xmlns="http://schemas.openxmlformats.org/spreadsheetml/2006/main" count="34" uniqueCount="25">
  <si>
    <t>Basic Pension</t>
  </si>
  <si>
    <t>Retirement Pension</t>
  </si>
  <si>
    <t>Other Pension</t>
  </si>
  <si>
    <t>55-64</t>
  </si>
  <si>
    <t>65-69</t>
  </si>
  <si>
    <t>70-74</t>
  </si>
  <si>
    <t>އަސާސީ ޕެންޝަން</t>
  </si>
  <si>
    <t>ރިޓަޔަރމަންޓް ޕެންޝަން</t>
  </si>
  <si>
    <t>ޖުމްލަ</t>
  </si>
  <si>
    <t>އެހެނިހެން ޕެންޝަން</t>
  </si>
  <si>
    <t>Type of pension</t>
  </si>
  <si>
    <t>ޕެންޝަންގެ ބާވަތް</t>
  </si>
  <si>
    <t>Source: Maldives Pension Administration</t>
  </si>
  <si>
    <t>މަޢުލޫމާތު ދެއްވި ފަރާތް: މޯލްޑިވްސް ޕެންޝަން އެޑްމިނިސްޓްރޭޝަން</t>
  </si>
  <si>
    <t>75 +</t>
  </si>
  <si>
    <t>&lt; 55</t>
  </si>
  <si>
    <t>Senior Citizen Allowance</t>
  </si>
  <si>
    <t>ސީނިއަރ ސިޓިޒަން އެލަވަންސް</t>
  </si>
  <si>
    <t>&lt; 65</t>
  </si>
  <si>
    <t>Age groups, 2014 ( as of end year)</t>
  </si>
  <si>
    <t>All ages</t>
  </si>
  <si>
    <t>-</t>
  </si>
  <si>
    <t xml:space="preserve">Total </t>
  </si>
  <si>
    <t>ތާވަލު 18.8:  އެކި ޕެންޝަން ސްކީމްތަކުން ޕެންޝަން ލިބޭ މީހުންގެ އަދަދު އަދި އުމުރުފުރާ، 2014</t>
  </si>
  <si>
    <t>TABLE 18.8: NUMBER OF BEFEFICIARIES BY AGE GROUP FOR  DIFFERENT  PENSION SCHEMES,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</si>
</sst>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Faruma"/>
    </font>
    <font>
      <b/>
      <sz val="11"/>
      <color theme="1"/>
      <name val="Faruma"/>
    </font>
    <font>
      <i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Faruma"/>
    </font>
    <font>
      <sz val="10"/>
      <name val="Courier"/>
      <family val="3"/>
    </font>
    <font>
      <b/>
      <sz val="12"/>
      <color theme="1"/>
      <name val="Calibri"/>
      <family val="2"/>
      <scheme val="minor"/>
    </font>
    <font>
      <b/>
      <sz val="12"/>
      <color theme="1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4" fontId="8" fillId="0" borderId="0"/>
  </cellStyleXfs>
  <cellXfs count="32">
    <xf numFmtId="0" fontId="0" fillId="0" borderId="0" xfId="0"/>
    <xf numFmtId="0" fontId="0" fillId="2" borderId="0" xfId="0" applyFill="1"/>
    <xf numFmtId="0" fontId="3" fillId="2" borderId="0" xfId="0" applyFont="1" applyFill="1" applyBorder="1"/>
    <xf numFmtId="0" fontId="3" fillId="2" borderId="1" xfId="0" applyFont="1" applyFill="1" applyBorder="1"/>
    <xf numFmtId="0" fontId="6" fillId="2" borderId="0" xfId="0" applyFont="1" applyFill="1"/>
    <xf numFmtId="0" fontId="4" fillId="2" borderId="0" xfId="0" applyFont="1" applyFill="1" applyBorder="1" applyAlignment="1">
      <alignment horizontal="right" vertical="center"/>
    </xf>
    <xf numFmtId="0" fontId="2" fillId="2" borderId="0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right" vertical="center"/>
    </xf>
    <xf numFmtId="0" fontId="5" fillId="2" borderId="0" xfId="0" applyFont="1" applyFill="1" applyBorder="1"/>
    <xf numFmtId="0" fontId="6" fillId="2" borderId="0" xfId="0" applyFont="1" applyFill="1" applyBorder="1"/>
    <xf numFmtId="0" fontId="7" fillId="2" borderId="0" xfId="0" applyFont="1" applyFill="1" applyBorder="1"/>
    <xf numFmtId="37" fontId="0" fillId="2" borderId="0" xfId="1" applyNumberFormat="1" applyFont="1" applyFill="1" applyBorder="1" applyAlignment="1">
      <alignment horizontal="right" vertical="center"/>
    </xf>
    <xf numFmtId="37" fontId="0" fillId="2" borderId="1" xfId="1" applyNumberFormat="1" applyFont="1" applyFill="1" applyBorder="1" applyAlignment="1">
      <alignment horizontal="right" vertical="center"/>
    </xf>
    <xf numFmtId="37" fontId="2" fillId="2" borderId="0" xfId="1" applyNumberFormat="1" applyFont="1" applyFill="1" applyBorder="1" applyAlignment="1">
      <alignment horizontal="right" vertical="center"/>
    </xf>
    <xf numFmtId="37" fontId="2" fillId="2" borderId="1" xfId="1" applyNumberFormat="1" applyFont="1" applyFill="1" applyBorder="1" applyAlignment="1">
      <alignment horizontal="right" vertical="center"/>
    </xf>
    <xf numFmtId="0" fontId="0" fillId="2" borderId="0" xfId="0" applyFont="1" applyFill="1" applyBorder="1" applyAlignment="1">
      <alignment vertical="center"/>
    </xf>
    <xf numFmtId="0" fontId="0" fillId="2" borderId="1" xfId="0" applyFont="1" applyFill="1" applyBorder="1" applyAlignment="1">
      <alignment vertical="center"/>
    </xf>
    <xf numFmtId="37" fontId="2" fillId="2" borderId="0" xfId="0" applyNumberFormat="1" applyFont="1" applyFill="1" applyBorder="1" applyAlignment="1">
      <alignment horizontal="right" vertical="center"/>
    </xf>
    <xf numFmtId="37" fontId="2" fillId="2" borderId="2" xfId="0" applyNumberFormat="1" applyFont="1" applyFill="1" applyBorder="1" applyAlignment="1">
      <alignment horizontal="right" vertical="center"/>
    </xf>
    <xf numFmtId="49" fontId="2" fillId="2" borderId="0" xfId="0" applyNumberFormat="1" applyFont="1" applyFill="1" applyBorder="1" applyAlignment="1">
      <alignment horizontal="right" vertical="center"/>
    </xf>
    <xf numFmtId="0" fontId="0" fillId="2" borderId="0" xfId="0" applyFill="1" applyAlignment="1">
      <alignment horizontal="right" vertical="center"/>
    </xf>
    <xf numFmtId="0" fontId="0" fillId="2" borderId="1" xfId="0" applyFill="1" applyBorder="1" applyAlignment="1">
      <alignment horizontal="right" vertical="center"/>
    </xf>
    <xf numFmtId="49" fontId="0" fillId="2" borderId="0" xfId="0" applyNumberFormat="1" applyFont="1" applyFill="1" applyBorder="1" applyAlignment="1">
      <alignment horizontal="right" vertical="center"/>
    </xf>
    <xf numFmtId="164" fontId="2" fillId="2" borderId="1" xfId="1" applyNumberFormat="1" applyFont="1" applyFill="1" applyBorder="1" applyAlignment="1">
      <alignment horizontal="right" vertical="center"/>
    </xf>
    <xf numFmtId="164" fontId="2" fillId="2" borderId="1" xfId="1" applyNumberFormat="1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right"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/>
    </xf>
  </cellXfs>
  <cellStyles count="3">
    <cellStyle name="Comma" xfId="1" builtinId="3"/>
    <cellStyle name="Normal" xfId="0" builtinId="0"/>
    <cellStyle name="Normal 2" xfId="2"/>
  </cellStyles>
  <dxfs count="0"/>
  <tableStyles count="0" defaultTableStyle="TableStyleMedium2" defaultPivotStyle="PivotStyleLight16"/>
  <colors>
    <mruColors>
      <color rgb="FF9933FF"/>
      <color rgb="FF9900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2:I17"/>
  <sheetViews>
    <sheetView tabSelected="1" workbookViewId="0">
      <selection activeCell="C31" sqref="C31"/>
    </sheetView>
  </sheetViews>
  <sheetFormatPr defaultRowHeight="15" x14ac:dyDescent="0.25"/>
  <cols>
    <col min="1" max="1" width="25.28515625" style="1" customWidth="1"/>
    <col min="2" max="8" width="10.85546875" style="1" customWidth="1"/>
    <col min="9" max="9" width="29.28515625" style="1" customWidth="1"/>
    <col min="10" max="16384" width="9.140625" style="1"/>
  </cols>
  <sheetData>
    <row r="2" spans="1:9" ht="21.75" x14ac:dyDescent="0.55000000000000004">
      <c r="A2" s="31" t="s">
        <v>23</v>
      </c>
      <c r="B2" s="31"/>
      <c r="C2" s="31"/>
      <c r="D2" s="31"/>
      <c r="E2" s="31"/>
      <c r="F2" s="31"/>
      <c r="G2" s="31"/>
      <c r="H2" s="31"/>
      <c r="I2" s="31"/>
    </row>
    <row r="3" spans="1:9" ht="19.5" customHeight="1" x14ac:dyDescent="0.25">
      <c r="A3" s="30" t="s">
        <v>24</v>
      </c>
      <c r="B3" s="30"/>
      <c r="C3" s="30"/>
      <c r="D3" s="30"/>
      <c r="E3" s="30"/>
      <c r="F3" s="30"/>
      <c r="G3" s="30"/>
      <c r="H3" s="30"/>
      <c r="I3" s="30"/>
    </row>
    <row r="5" spans="1:9" ht="24" customHeight="1" x14ac:dyDescent="0.25">
      <c r="A5" s="25" t="s">
        <v>10</v>
      </c>
      <c r="B5" s="27" t="s">
        <v>19</v>
      </c>
      <c r="C5" s="27"/>
      <c r="D5" s="27"/>
      <c r="E5" s="27"/>
      <c r="F5" s="27"/>
      <c r="G5" s="27"/>
      <c r="H5" s="27"/>
      <c r="I5" s="28" t="s">
        <v>11</v>
      </c>
    </row>
    <row r="6" spans="1:9" ht="21" customHeight="1" x14ac:dyDescent="0.25">
      <c r="A6" s="26"/>
      <c r="B6" s="7" t="s">
        <v>20</v>
      </c>
      <c r="C6" s="23" t="s">
        <v>15</v>
      </c>
      <c r="D6" s="23" t="s">
        <v>3</v>
      </c>
      <c r="E6" s="24" t="s">
        <v>18</v>
      </c>
      <c r="F6" s="23" t="s">
        <v>4</v>
      </c>
      <c r="G6" s="23" t="s">
        <v>5</v>
      </c>
      <c r="H6" s="23" t="s">
        <v>14</v>
      </c>
      <c r="I6" s="29"/>
    </row>
    <row r="7" spans="1:9" ht="21" customHeight="1" x14ac:dyDescent="0.25">
      <c r="A7" s="6" t="s">
        <v>22</v>
      </c>
      <c r="B7" s="17">
        <f>SUM(B8:B11)</f>
        <v>39895</v>
      </c>
      <c r="C7" s="18">
        <f t="shared" ref="C7:H7" si="0">SUM(C8:C11)</f>
        <v>2695</v>
      </c>
      <c r="D7" s="17">
        <f t="shared" si="0"/>
        <v>1514</v>
      </c>
      <c r="E7" s="19">
        <f t="shared" si="0"/>
        <v>5</v>
      </c>
      <c r="F7" s="17">
        <f t="shared" si="0"/>
        <v>10481</v>
      </c>
      <c r="G7" s="17">
        <f t="shared" si="0"/>
        <v>10592</v>
      </c>
      <c r="H7" s="17">
        <f t="shared" si="0"/>
        <v>14608</v>
      </c>
      <c r="I7" s="5" t="s">
        <v>8</v>
      </c>
    </row>
    <row r="8" spans="1:9" ht="24" customHeight="1" x14ac:dyDescent="0.55000000000000004">
      <c r="A8" s="15" t="s">
        <v>0</v>
      </c>
      <c r="B8" s="13">
        <f>SUM(F8:H8)</f>
        <v>15767</v>
      </c>
      <c r="C8" s="20" t="s">
        <v>21</v>
      </c>
      <c r="D8" s="20" t="s">
        <v>21</v>
      </c>
      <c r="E8" s="20" t="s">
        <v>21</v>
      </c>
      <c r="F8" s="11">
        <v>4303</v>
      </c>
      <c r="G8" s="11">
        <v>4795</v>
      </c>
      <c r="H8" s="11">
        <v>6669</v>
      </c>
      <c r="I8" s="2" t="s">
        <v>6</v>
      </c>
    </row>
    <row r="9" spans="1:9" ht="24" customHeight="1" x14ac:dyDescent="0.55000000000000004">
      <c r="A9" s="15" t="s">
        <v>1</v>
      </c>
      <c r="B9" s="13">
        <f>SUM(E9:H9)</f>
        <v>646</v>
      </c>
      <c r="C9" s="20" t="s">
        <v>21</v>
      </c>
      <c r="D9" s="20" t="s">
        <v>21</v>
      </c>
      <c r="E9" s="22">
        <v>5</v>
      </c>
      <c r="F9" s="11">
        <v>616</v>
      </c>
      <c r="G9" s="11">
        <v>25</v>
      </c>
      <c r="H9" s="20" t="s">
        <v>21</v>
      </c>
      <c r="I9" s="2" t="s">
        <v>7</v>
      </c>
    </row>
    <row r="10" spans="1:9" ht="24" customHeight="1" x14ac:dyDescent="0.55000000000000004">
      <c r="A10" s="15" t="s">
        <v>2</v>
      </c>
      <c r="B10" s="13">
        <f>SUM(C10:H10)</f>
        <v>7284</v>
      </c>
      <c r="C10" s="11">
        <v>2695</v>
      </c>
      <c r="D10" s="11">
        <v>1514</v>
      </c>
      <c r="E10" s="20" t="s">
        <v>21</v>
      </c>
      <c r="F10" s="11">
        <v>992</v>
      </c>
      <c r="G10" s="11">
        <v>898</v>
      </c>
      <c r="H10" s="11">
        <v>1185</v>
      </c>
      <c r="I10" s="2" t="s">
        <v>9</v>
      </c>
    </row>
    <row r="11" spans="1:9" ht="24" customHeight="1" x14ac:dyDescent="0.55000000000000004">
      <c r="A11" s="16" t="s">
        <v>16</v>
      </c>
      <c r="B11" s="14">
        <f>SUM(F11:H11)</f>
        <v>16198</v>
      </c>
      <c r="C11" s="21" t="s">
        <v>21</v>
      </c>
      <c r="D11" s="21" t="s">
        <v>21</v>
      </c>
      <c r="E11" s="21" t="s">
        <v>21</v>
      </c>
      <c r="F11" s="12">
        <v>4570</v>
      </c>
      <c r="G11" s="12">
        <v>4874</v>
      </c>
      <c r="H11" s="12">
        <v>6754</v>
      </c>
      <c r="I11" s="3" t="s">
        <v>17</v>
      </c>
    </row>
    <row r="12" spans="1:9" s="4" customFormat="1" ht="17.25" x14ac:dyDescent="0.45">
      <c r="A12" s="8" t="s">
        <v>12</v>
      </c>
      <c r="B12" s="9"/>
      <c r="C12" s="9"/>
      <c r="D12" s="9"/>
      <c r="E12" s="9"/>
      <c r="G12" s="9"/>
      <c r="I12" s="10" t="s">
        <v>13</v>
      </c>
    </row>
    <row r="17" spans="4:4" x14ac:dyDescent="0.25">
      <c r="D17" s="20"/>
    </row>
  </sheetData>
  <mergeCells count="5">
    <mergeCell ref="A5:A6"/>
    <mergeCell ref="B5:H5"/>
    <mergeCell ref="I5:I6"/>
    <mergeCell ref="A3:I3"/>
    <mergeCell ref="A2:I2"/>
  </mergeCells>
  <pageMargins left="0.7" right="0.7" top="0.75" bottom="0.75" header="0.3" footer="0.3"/>
  <pageSetup paperSize="9" scale="94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18.8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Fathmath Shifaza</cp:lastModifiedBy>
  <cp:lastPrinted>2016-03-16T09:04:11Z</cp:lastPrinted>
  <dcterms:created xsi:type="dcterms:W3CDTF">2013-03-14T06:06:17Z</dcterms:created>
  <dcterms:modified xsi:type="dcterms:W3CDTF">2016-03-16T09:04:12Z</dcterms:modified>
</cp:coreProperties>
</file>