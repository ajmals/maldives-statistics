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775"/>
  </bookViews>
  <sheets>
    <sheet name="18.13" sheetId="25" r:id="rId1"/>
  </sheets>
  <definedNames>
    <definedName name="_xlnm.Print_Area" localSheetId="0">'18.13'!$A$1:$J$55</definedName>
  </definedNames>
  <calcPr calcId="144525"/>
</workbook>
</file>

<file path=xl/calcChain.xml><?xml version="1.0" encoding="utf-8"?>
<calcChain xmlns="http://schemas.openxmlformats.org/spreadsheetml/2006/main">
  <c r="G7" i="25" l="1"/>
  <c r="B6" i="25" l="1"/>
  <c r="G8" i="25" l="1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6" i="25" l="1"/>
  <c r="F6" i="25"/>
  <c r="Z40" i="25" s="1"/>
  <c r="E6" i="25"/>
  <c r="Y40" i="25" s="1"/>
  <c r="D6" i="25"/>
  <c r="X40" i="25" s="1"/>
  <c r="C6" i="25"/>
  <c r="W40" i="25" s="1"/>
  <c r="V40" i="25"/>
  <c r="AA40" i="25" l="1"/>
  <c r="H6" i="25"/>
  <c r="H9" i="25"/>
  <c r="H13" i="25"/>
  <c r="H17" i="25"/>
  <c r="H21" i="25"/>
  <c r="H25" i="25"/>
  <c r="H29" i="25"/>
  <c r="H8" i="25"/>
  <c r="H12" i="25"/>
  <c r="H16" i="25"/>
  <c r="H20" i="25"/>
  <c r="H24" i="25"/>
  <c r="H28" i="25"/>
  <c r="H7" i="25"/>
  <c r="H11" i="25"/>
  <c r="H15" i="25"/>
  <c r="H19" i="25"/>
  <c r="H23" i="25"/>
  <c r="H27" i="25"/>
  <c r="H31" i="25"/>
  <c r="H10" i="25"/>
  <c r="H14" i="25"/>
  <c r="H18" i="25"/>
  <c r="H22" i="25"/>
  <c r="H26" i="25"/>
  <c r="H30" i="25"/>
</calcChain>
</file>

<file path=xl/comments1.xml><?xml version="1.0" encoding="utf-8"?>
<comments xmlns="http://schemas.openxmlformats.org/spreadsheetml/2006/main">
  <authors>
    <author>user</author>
  </authors>
  <commentList>
    <comment ref="G6" authorId="0">
      <text>
        <r>
          <rPr>
            <b/>
            <sz val="9"/>
            <color indexed="81"/>
            <rFont val="Tahoma"/>
            <family val="2"/>
          </rPr>
          <t>Dhunya:</t>
        </r>
        <r>
          <rPr>
            <sz val="9"/>
            <color indexed="81"/>
            <rFont val="Tahoma"/>
            <family val="2"/>
          </rPr>
          <t xml:space="preserve">
Difference between values in 1.7 accounts for members who has multiple contracts with moore than one employer</t>
        </r>
      </text>
    </comment>
  </commentList>
</comments>
</file>

<file path=xl/sharedStrings.xml><?xml version="1.0" encoding="utf-8"?>
<sst xmlns="http://schemas.openxmlformats.org/spreadsheetml/2006/main" count="73" uniqueCount="66">
  <si>
    <t>Total</t>
  </si>
  <si>
    <t>% share</t>
  </si>
  <si>
    <t>Sector</t>
  </si>
  <si>
    <t>Employment size</t>
  </si>
  <si>
    <t>0-9</t>
  </si>
  <si>
    <t>10-49</t>
  </si>
  <si>
    <t>50-99</t>
  </si>
  <si>
    <t>100-299</t>
  </si>
  <si>
    <t>&gt;300</t>
  </si>
  <si>
    <t>Agriculture</t>
  </si>
  <si>
    <t>Air Transportation</t>
  </si>
  <si>
    <t>Construction</t>
  </si>
  <si>
    <t>Electricity</t>
  </si>
  <si>
    <t>Clothing industry</t>
  </si>
  <si>
    <t>Coffee, tea shops</t>
  </si>
  <si>
    <t>Financial sector, Banks, Investment Funds, Insurance companies Investment</t>
  </si>
  <si>
    <t>Fishing Industry</t>
  </si>
  <si>
    <t>Garbage, and Recycling industry</t>
  </si>
  <si>
    <t>Health Sector, hospitals, clinics</t>
  </si>
  <si>
    <t>Hotels, Tourist resorts, travel agencies</t>
  </si>
  <si>
    <t xml:space="preserve">Housing Development </t>
  </si>
  <si>
    <t>Land Transportation, taxis, buses etc</t>
  </si>
  <si>
    <t>Others</t>
  </si>
  <si>
    <t>Passenger Ferries</t>
  </si>
  <si>
    <t>Pharmacies</t>
  </si>
  <si>
    <t>Restaurants</t>
  </si>
  <si>
    <t>Sales of Motor Vehicles</t>
  </si>
  <si>
    <t>Schools and educational centers</t>
  </si>
  <si>
    <t>Sea Transportation, shipping</t>
  </si>
  <si>
    <t>Shops, small and medium commercial retail</t>
  </si>
  <si>
    <t>Telecommunications</t>
  </si>
  <si>
    <t>Water processing</t>
  </si>
  <si>
    <t>Wholesale retailers</t>
  </si>
  <si>
    <t>Government agencies, public institutions</t>
  </si>
  <si>
    <t>ޖުމްލަ</t>
  </si>
  <si>
    <t>Source: Maldives Pension Administration</t>
  </si>
  <si>
    <t>އެހެނިހެން</t>
  </si>
  <si>
    <t>މަޢުލޫމާތު ދެއްވި ފަރާތް: މޯލްޑިވްސް ޕެންޝަން އެޑްމިނިސްޓްރޭޝަން</t>
  </si>
  <si>
    <t xml:space="preserve">employment </t>
  </si>
  <si>
    <t>ދަނޑުވެރިކަން</t>
  </si>
  <si>
    <t>ވައިގެ ދަތުރުފަތުރު</t>
  </si>
  <si>
    <t>އިމާރާތްކުރުން</t>
  </si>
  <si>
    <t>ކަރަންޓް</t>
  </si>
  <si>
    <t>މަސްވެރިކަމުގެ ދާއިރާ</t>
  </si>
  <si>
    <t>ޞިއްޚީ ޙިދުމަތް، ހޮސްޕިޓަލް އަދި ކްލިނިކްތައް</t>
  </si>
  <si>
    <t>އެއްގަމު ދަތުރުފަތުރު، ޓެކްސީ، ބަސް ފަދަ</t>
  </si>
  <si>
    <t>ޕަސިންޖަރުން އުފުލާ ފެރީ</t>
  </si>
  <si>
    <t>ބޭސް ފިހާރަތައް</t>
  </si>
  <si>
    <t>ރެސްޓޯރަންޓްތައް</t>
  </si>
  <si>
    <t>ހޮޓާ، ރިސޯޓް، ޓްރެވަލް އޭޖެންސީ</t>
  </si>
  <si>
    <t>ސްކޫލްތަކާއި ތަޢުލީމްދޭ މަރުކަޒުތައް</t>
  </si>
  <si>
    <t>ފެން އުފެއްދުން</t>
  </si>
  <si>
    <t>ކުދި އަދި މެދުފަންތީގެ ވިޔަފާރި</t>
  </si>
  <si>
    <t xml:space="preserve">ސަރުކާރުގެ އޮފީސްތަކާއި ކުންފުނިތައް </t>
  </si>
  <si>
    <t>ކުނި އަދި ރީސައިކަލްކުރުން</t>
  </si>
  <si>
    <t>ސްޕެއަރޕާޓް ވިއްކުން</t>
  </si>
  <si>
    <t xml:space="preserve">އަންނައުނު </t>
  </si>
  <si>
    <t>ކޮފީ ޝޮޕް، ސައި ހޮޓާ</t>
  </si>
  <si>
    <t xml:space="preserve">ކަނޑުދަތުރުފަތުރު، ޝިޕިންގ </t>
  </si>
  <si>
    <t>ފައިސާގެ ޚިދުމަތް، ބެންކް، އިންވެސްޓްމަންޓް ފަންޑް، އިންޝުއަރެންސް ކުންފުނިތަކުގެ އިންވެސްޓްމަންޓް</t>
  </si>
  <si>
    <t>ހައުސިންގ ޑިވެލޮޕްމަންޓް</t>
  </si>
  <si>
    <t>މުވާސަލާތީ ޚިދުމަތް</t>
  </si>
  <si>
    <t>ހޯލްސޭލް ރީޓެއިލާރސް</t>
  </si>
  <si>
    <t xml:space="preserve">މަސައްކަތްކުރާ ތަނުގެ ދާއިރާ </t>
  </si>
  <si>
    <t>TABLE   18.13: EMPLOYEES  REGISTERED IN THE RETIREMENT PENSION SCHEME, BY EMPLOYMENT SIZE, END  2014</t>
  </si>
  <si>
    <t>ތާވަލު  18.13 : އެކި ދާއިރާތަކުން ރިޓާޔަމަންޓް ޕެންޝަން ސްކީމްގައި ރެޖިސްޓަރކޮށްފައިވާ މުވައްޒަފުންގެ ޢަދަދު، ތަނުގެމުވައްޒަފުންގެ ގިންތިން،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</si>
</sst>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color theme="1"/>
      <name val="Faruma"/>
    </font>
    <font>
      <sz val="9"/>
      <color theme="1"/>
      <name val="Faruma"/>
    </font>
    <font>
      <sz val="10"/>
      <name val="Courier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8" fillId="0" borderId="0"/>
  </cellStyleXfs>
  <cellXfs count="38"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2" borderId="0" xfId="0" applyFont="1" applyFill="1"/>
    <xf numFmtId="0" fontId="3" fillId="2" borderId="0" xfId="0" applyFont="1" applyFill="1" applyBorder="1"/>
    <xf numFmtId="0" fontId="3" fillId="2" borderId="1" xfId="0" applyFont="1" applyFill="1" applyBorder="1"/>
    <xf numFmtId="0" fontId="4" fillId="2" borderId="0" xfId="0" applyFont="1" applyFill="1" applyBorder="1"/>
    <xf numFmtId="0" fontId="5" fillId="2" borderId="0" xfId="0" applyFont="1" applyFill="1"/>
    <xf numFmtId="0" fontId="6" fillId="2" borderId="0" xfId="0" applyFont="1" applyFill="1"/>
    <xf numFmtId="3" fontId="0" fillId="2" borderId="0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3" fontId="0" fillId="2" borderId="1" xfId="1" applyNumberFormat="1" applyFont="1" applyFill="1" applyBorder="1" applyAlignment="1">
      <alignment horizontal="right" vertical="center"/>
    </xf>
    <xf numFmtId="49" fontId="0" fillId="2" borderId="0" xfId="0" applyNumberFormat="1" applyFill="1"/>
    <xf numFmtId="3" fontId="0" fillId="2" borderId="0" xfId="0" applyNumberFormat="1" applyFill="1"/>
    <xf numFmtId="0" fontId="0" fillId="2" borderId="0" xfId="0" applyFill="1" applyBorder="1" applyAlignment="1">
      <alignment horizontal="left" vertical="center" wrapText="1"/>
    </xf>
    <xf numFmtId="3" fontId="2" fillId="2" borderId="2" xfId="1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right" vertical="center"/>
    </xf>
    <xf numFmtId="49" fontId="2" fillId="2" borderId="4" xfId="0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3" fontId="0" fillId="2" borderId="0" xfId="1" applyNumberFormat="1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7" fillId="2" borderId="0" xfId="0" applyFont="1" applyFill="1"/>
    <xf numFmtId="165" fontId="0" fillId="2" borderId="0" xfId="0" applyNumberFormat="1" applyFont="1" applyFill="1" applyBorder="1" applyAlignment="1">
      <alignment horizontal="right" vertical="center"/>
    </xf>
    <xf numFmtId="165" fontId="0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2" borderId="2" xfId="0" applyFill="1" applyBorder="1"/>
    <xf numFmtId="165" fontId="2" fillId="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18.14: Employees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registered in the retirement pension scheme, by employment size, 2014 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5556390798582287"/>
          <c:y val="3.24074074074076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41757657936255"/>
          <c:y val="0.22951082334220418"/>
          <c:w val="0.86842733782144299"/>
          <c:h val="0.605276779426961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'18.13'!$U$40</c:f>
              <c:strCache>
                <c:ptCount val="1"/>
                <c:pt idx="0">
                  <c:v>employment 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'18.13'!$V$39:$Z$39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'18.13'!$V$40:$Z$40</c:f>
              <c:numCache>
                <c:formatCode>#,##0</c:formatCode>
                <c:ptCount val="5"/>
                <c:pt idx="0">
                  <c:v>2691</c:v>
                </c:pt>
                <c:pt idx="1">
                  <c:v>10702</c:v>
                </c:pt>
                <c:pt idx="2">
                  <c:v>9224</c:v>
                </c:pt>
                <c:pt idx="3">
                  <c:v>23610</c:v>
                </c:pt>
                <c:pt idx="4">
                  <c:v>29226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09760"/>
        <c:axId val="123111680"/>
      </c:barChart>
      <c:catAx>
        <c:axId val="123109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employment size</a:t>
                </a:r>
              </a:p>
            </c:rich>
          </c:tx>
          <c:layout>
            <c:manualLayout>
              <c:xMode val="edge"/>
              <c:yMode val="edge"/>
              <c:x val="0.44311249613435788"/>
              <c:y val="0.92034703995333922"/>
            </c:manualLayout>
          </c:layout>
          <c:overlay val="0"/>
        </c:title>
        <c:majorTickMark val="out"/>
        <c:minorTickMark val="none"/>
        <c:tickLblPos val="nextTo"/>
        <c:crossAx val="123111680"/>
        <c:crosses val="autoZero"/>
        <c:auto val="1"/>
        <c:lblAlgn val="ctr"/>
        <c:lblOffset val="100"/>
        <c:noMultiLvlLbl val="0"/>
      </c:catAx>
      <c:valAx>
        <c:axId val="12311168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6.0422960725075798E-3"/>
              <c:y val="8.4818511398449828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23109760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1733550</xdr:colOff>
      <xdr:row>32</xdr:row>
      <xdr:rowOff>171449</xdr:rowOff>
    </xdr:from>
    <xdr:to>
      <xdr:col>6</xdr:col>
      <xdr:colOff>476250</xdr:colOff>
      <xdr:row>47</xdr:row>
      <xdr:rowOff>161924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2400301</xdr:colOff>
      <xdr:row>35</xdr:row>
      <xdr:rowOff>76201</xdr:rowOff>
    </xdr:from>
    <xdr:to>
      <xdr:col>6</xdr:col>
      <xdr:colOff>297181</xdr:colOff>
      <xdr:row>35</xdr:row>
      <xdr:rowOff>76201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2400301" y="8435341"/>
          <a:ext cx="441198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A40"/>
  <sheetViews>
    <sheetView tabSelected="1" zoomScaleNormal="100" workbookViewId="0">
      <selection sqref="A1:I50"/>
    </sheetView>
  </sheetViews>
  <sheetFormatPr defaultColWidth="9.140625" defaultRowHeight="15" x14ac:dyDescent="0.25"/>
  <cols>
    <col min="1" max="1" width="40.5703125" style="1" customWidth="1"/>
    <col min="2" max="7" width="10.85546875" style="1" customWidth="1"/>
    <col min="8" max="8" width="10.28515625" style="1" customWidth="1"/>
    <col min="9" max="9" width="40.28515625" style="1" customWidth="1"/>
    <col min="10" max="16384" width="9.140625" style="1"/>
  </cols>
  <sheetData>
    <row r="1" spans="1:9" ht="21" x14ac:dyDescent="0.55000000000000004">
      <c r="A1" s="34" t="s">
        <v>65</v>
      </c>
      <c r="B1" s="34"/>
      <c r="C1" s="34"/>
      <c r="D1" s="34"/>
      <c r="E1" s="34"/>
      <c r="F1" s="34"/>
      <c r="G1" s="34"/>
      <c r="H1" s="34"/>
      <c r="I1" s="34"/>
    </row>
    <row r="2" spans="1:9" x14ac:dyDescent="0.25">
      <c r="A2" s="33" t="s">
        <v>64</v>
      </c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2"/>
      <c r="B3" s="2"/>
      <c r="C3" s="2"/>
      <c r="D3" s="2"/>
      <c r="E3" s="2"/>
      <c r="F3" s="2"/>
      <c r="G3" s="2"/>
    </row>
    <row r="4" spans="1:9" s="26" customFormat="1" x14ac:dyDescent="0.25">
      <c r="A4" s="29" t="s">
        <v>2</v>
      </c>
      <c r="B4" s="30" t="s">
        <v>3</v>
      </c>
      <c r="C4" s="30"/>
      <c r="D4" s="30"/>
      <c r="E4" s="30"/>
      <c r="F4" s="30"/>
      <c r="G4" s="30"/>
      <c r="H4" s="35" t="s">
        <v>1</v>
      </c>
      <c r="I4" s="31" t="s">
        <v>63</v>
      </c>
    </row>
    <row r="5" spans="1:9" s="26" customFormat="1" x14ac:dyDescent="0.25">
      <c r="A5" s="36"/>
      <c r="B5" s="16" t="s">
        <v>4</v>
      </c>
      <c r="C5" s="16" t="s">
        <v>5</v>
      </c>
      <c r="D5" s="16" t="s">
        <v>6</v>
      </c>
      <c r="E5" s="16" t="s">
        <v>7</v>
      </c>
      <c r="F5" s="17" t="s">
        <v>8</v>
      </c>
      <c r="G5" s="17" t="s">
        <v>0</v>
      </c>
      <c r="H5" s="37"/>
      <c r="I5" s="32"/>
    </row>
    <row r="6" spans="1:9" s="3" customFormat="1" ht="21" x14ac:dyDescent="0.55000000000000004">
      <c r="A6" s="25" t="s">
        <v>0</v>
      </c>
      <c r="B6" s="15">
        <f>SUM(B7:B31)</f>
        <v>2691</v>
      </c>
      <c r="C6" s="15">
        <f t="shared" ref="C6:G6" si="0">SUM(C7:C31)</f>
        <v>10702</v>
      </c>
      <c r="D6" s="15">
        <f t="shared" si="0"/>
        <v>9224</v>
      </c>
      <c r="E6" s="15">
        <f t="shared" si="0"/>
        <v>23610</v>
      </c>
      <c r="F6" s="15">
        <f t="shared" si="0"/>
        <v>29226</v>
      </c>
      <c r="G6" s="10">
        <f t="shared" si="0"/>
        <v>75453</v>
      </c>
      <c r="H6" s="28">
        <f>G6/G6*100</f>
        <v>100</v>
      </c>
      <c r="I6" s="6" t="s">
        <v>34</v>
      </c>
    </row>
    <row r="7" spans="1:9" ht="21" x14ac:dyDescent="0.55000000000000004">
      <c r="A7" s="18" t="s">
        <v>9</v>
      </c>
      <c r="B7" s="9">
        <v>9</v>
      </c>
      <c r="C7" s="9">
        <v>56</v>
      </c>
      <c r="D7" s="9">
        <v>88</v>
      </c>
      <c r="E7" s="9">
        <v>0</v>
      </c>
      <c r="F7" s="9">
        <v>0</v>
      </c>
      <c r="G7" s="9">
        <f>SUM(B7:F7)</f>
        <v>153</v>
      </c>
      <c r="H7" s="23">
        <f>G7/$G$6*100</f>
        <v>0.20277523756510674</v>
      </c>
      <c r="I7" s="4" t="s">
        <v>39</v>
      </c>
    </row>
    <row r="8" spans="1:9" ht="21" x14ac:dyDescent="0.55000000000000004">
      <c r="A8" s="18" t="s">
        <v>10</v>
      </c>
      <c r="B8" s="9">
        <v>26</v>
      </c>
      <c r="C8" s="9">
        <v>78</v>
      </c>
      <c r="D8" s="9">
        <v>57</v>
      </c>
      <c r="E8" s="9">
        <v>751</v>
      </c>
      <c r="F8" s="9">
        <v>2839</v>
      </c>
      <c r="G8" s="9">
        <f t="shared" ref="G8:G31" si="1">SUM(B8:F8)</f>
        <v>3751</v>
      </c>
      <c r="H8" s="23">
        <f>G8/$G$6*100</f>
        <v>4.9713066412203624</v>
      </c>
      <c r="I8" s="4" t="s">
        <v>40</v>
      </c>
    </row>
    <row r="9" spans="1:9" ht="21" x14ac:dyDescent="0.55000000000000004">
      <c r="A9" s="18" t="s">
        <v>13</v>
      </c>
      <c r="B9" s="9">
        <v>3</v>
      </c>
      <c r="C9" s="9">
        <v>12</v>
      </c>
      <c r="D9" s="9">
        <v>0</v>
      </c>
      <c r="E9" s="9">
        <v>0</v>
      </c>
      <c r="F9" s="9">
        <v>0</v>
      </c>
      <c r="G9" s="9">
        <f t="shared" si="1"/>
        <v>15</v>
      </c>
      <c r="H9" s="23">
        <f>G9/$G$6*100</f>
        <v>1.9879925251481054E-2</v>
      </c>
      <c r="I9" s="4" t="s">
        <v>56</v>
      </c>
    </row>
    <row r="10" spans="1:9" ht="21" x14ac:dyDescent="0.55000000000000004">
      <c r="A10" s="18" t="s">
        <v>14</v>
      </c>
      <c r="B10" s="9">
        <v>12</v>
      </c>
      <c r="C10" s="9">
        <v>0</v>
      </c>
      <c r="D10" s="9">
        <v>0</v>
      </c>
      <c r="E10" s="9">
        <v>0</v>
      </c>
      <c r="F10" s="9">
        <v>0</v>
      </c>
      <c r="G10" s="9">
        <f t="shared" si="1"/>
        <v>12</v>
      </c>
      <c r="H10" s="23">
        <f t="shared" ref="H10:H31" si="2">G10/$G$6*100</f>
        <v>1.5903940201184845E-2</v>
      </c>
      <c r="I10" s="4" t="s">
        <v>57</v>
      </c>
    </row>
    <row r="11" spans="1:9" ht="21" x14ac:dyDescent="0.55000000000000004">
      <c r="A11" s="18" t="s">
        <v>11</v>
      </c>
      <c r="B11" s="9">
        <v>242</v>
      </c>
      <c r="C11" s="9">
        <v>338</v>
      </c>
      <c r="D11" s="9">
        <v>50</v>
      </c>
      <c r="E11" s="9">
        <v>421</v>
      </c>
      <c r="F11" s="9">
        <v>0</v>
      </c>
      <c r="G11" s="9">
        <f t="shared" si="1"/>
        <v>1051</v>
      </c>
      <c r="H11" s="23">
        <f t="shared" si="2"/>
        <v>1.3929200959537726</v>
      </c>
      <c r="I11" s="4" t="s">
        <v>41</v>
      </c>
    </row>
    <row r="12" spans="1:9" ht="21" x14ac:dyDescent="0.55000000000000004">
      <c r="A12" s="18" t="s">
        <v>12</v>
      </c>
      <c r="B12" s="9">
        <v>21</v>
      </c>
      <c r="C12" s="9">
        <v>14</v>
      </c>
      <c r="D12" s="9">
        <v>0</v>
      </c>
      <c r="E12" s="9">
        <v>126</v>
      </c>
      <c r="F12" s="9">
        <v>0</v>
      </c>
      <c r="G12" s="9">
        <f t="shared" si="1"/>
        <v>161</v>
      </c>
      <c r="H12" s="23">
        <f t="shared" si="2"/>
        <v>0.21337786436589667</v>
      </c>
      <c r="I12" s="4" t="s">
        <v>42</v>
      </c>
    </row>
    <row r="13" spans="1:9" ht="39.75" customHeight="1" x14ac:dyDescent="0.25">
      <c r="A13" s="14" t="s">
        <v>15</v>
      </c>
      <c r="B13" s="20">
        <v>143</v>
      </c>
      <c r="C13" s="20">
        <v>558</v>
      </c>
      <c r="D13" s="20">
        <v>256</v>
      </c>
      <c r="E13" s="20">
        <v>784</v>
      </c>
      <c r="F13" s="20">
        <v>2933</v>
      </c>
      <c r="G13" s="9">
        <f t="shared" si="1"/>
        <v>4674</v>
      </c>
      <c r="H13" s="23">
        <f t="shared" si="2"/>
        <v>6.1945847083614964</v>
      </c>
      <c r="I13" s="21" t="s">
        <v>59</v>
      </c>
    </row>
    <row r="14" spans="1:9" ht="21" x14ac:dyDescent="0.55000000000000004">
      <c r="A14" s="18" t="s">
        <v>16</v>
      </c>
      <c r="B14" s="9">
        <v>17</v>
      </c>
      <c r="C14" s="9">
        <v>16</v>
      </c>
      <c r="D14" s="9">
        <v>153</v>
      </c>
      <c r="E14" s="9">
        <v>244</v>
      </c>
      <c r="F14" s="9">
        <v>378</v>
      </c>
      <c r="G14" s="9">
        <f t="shared" si="1"/>
        <v>808</v>
      </c>
      <c r="H14" s="23">
        <f t="shared" si="2"/>
        <v>1.0708653068797793</v>
      </c>
      <c r="I14" s="4" t="s">
        <v>43</v>
      </c>
    </row>
    <row r="15" spans="1:9" ht="21" x14ac:dyDescent="0.55000000000000004">
      <c r="A15" s="18" t="s">
        <v>17</v>
      </c>
      <c r="B15" s="9">
        <v>7</v>
      </c>
      <c r="C15" s="9">
        <v>73</v>
      </c>
      <c r="D15" s="9">
        <v>0</v>
      </c>
      <c r="E15" s="9">
        <v>0</v>
      </c>
      <c r="F15" s="9">
        <v>0</v>
      </c>
      <c r="G15" s="9">
        <f t="shared" si="1"/>
        <v>80</v>
      </c>
      <c r="H15" s="23">
        <f t="shared" si="2"/>
        <v>0.10602626800789897</v>
      </c>
      <c r="I15" s="4" t="s">
        <v>54</v>
      </c>
    </row>
    <row r="16" spans="1:9" ht="21" x14ac:dyDescent="0.55000000000000004">
      <c r="A16" s="18" t="s">
        <v>33</v>
      </c>
      <c r="B16" s="9">
        <v>85</v>
      </c>
      <c r="C16" s="9">
        <v>5630</v>
      </c>
      <c r="D16" s="9">
        <v>4295</v>
      </c>
      <c r="E16" s="9">
        <v>11418</v>
      </c>
      <c r="F16" s="9">
        <v>11194</v>
      </c>
      <c r="G16" s="9">
        <f t="shared" si="1"/>
        <v>32622</v>
      </c>
      <c r="H16" s="23">
        <f t="shared" si="2"/>
        <v>43.234861436920994</v>
      </c>
      <c r="I16" s="4" t="s">
        <v>53</v>
      </c>
    </row>
    <row r="17" spans="1:9" ht="21" x14ac:dyDescent="0.55000000000000004">
      <c r="A17" s="18" t="s">
        <v>18</v>
      </c>
      <c r="B17" s="9">
        <v>79</v>
      </c>
      <c r="C17" s="9">
        <v>237</v>
      </c>
      <c r="D17" s="9">
        <v>0</v>
      </c>
      <c r="E17" s="9">
        <v>222</v>
      </c>
      <c r="F17" s="9">
        <v>0</v>
      </c>
      <c r="G17" s="9">
        <f t="shared" si="1"/>
        <v>538</v>
      </c>
      <c r="H17" s="23">
        <f t="shared" si="2"/>
        <v>0.71302665235312046</v>
      </c>
      <c r="I17" s="4" t="s">
        <v>44</v>
      </c>
    </row>
    <row r="18" spans="1:9" ht="21" x14ac:dyDescent="0.55000000000000004">
      <c r="A18" s="18" t="s">
        <v>19</v>
      </c>
      <c r="B18" s="9">
        <v>543</v>
      </c>
      <c r="C18" s="9">
        <v>1078</v>
      </c>
      <c r="D18" s="9">
        <v>2415</v>
      </c>
      <c r="E18" s="9">
        <v>7877</v>
      </c>
      <c r="F18" s="9">
        <v>5552</v>
      </c>
      <c r="G18" s="9">
        <f t="shared" si="1"/>
        <v>17465</v>
      </c>
      <c r="H18" s="23">
        <f t="shared" si="2"/>
        <v>23.146859634474438</v>
      </c>
      <c r="I18" s="4" t="s">
        <v>49</v>
      </c>
    </row>
    <row r="19" spans="1:9" ht="21" x14ac:dyDescent="0.55000000000000004">
      <c r="A19" s="18" t="s">
        <v>20</v>
      </c>
      <c r="B19" s="9">
        <v>9</v>
      </c>
      <c r="C19" s="9">
        <v>31</v>
      </c>
      <c r="D19" s="9">
        <v>0</v>
      </c>
      <c r="E19" s="9">
        <v>0</v>
      </c>
      <c r="F19" s="9">
        <v>0</v>
      </c>
      <c r="G19" s="9">
        <f t="shared" si="1"/>
        <v>40</v>
      </c>
      <c r="H19" s="23">
        <f t="shared" si="2"/>
        <v>5.3013134003949483E-2</v>
      </c>
      <c r="I19" s="4" t="s">
        <v>60</v>
      </c>
    </row>
    <row r="20" spans="1:9" ht="21" x14ac:dyDescent="0.55000000000000004">
      <c r="A20" s="18" t="s">
        <v>21</v>
      </c>
      <c r="B20" s="9">
        <v>8</v>
      </c>
      <c r="C20" s="9">
        <v>11</v>
      </c>
      <c r="D20" s="9">
        <v>0</v>
      </c>
      <c r="E20" s="9">
        <v>0</v>
      </c>
      <c r="F20" s="9">
        <v>424</v>
      </c>
      <c r="G20" s="9">
        <f t="shared" si="1"/>
        <v>443</v>
      </c>
      <c r="H20" s="23">
        <f t="shared" si="2"/>
        <v>0.58712045909374044</v>
      </c>
      <c r="I20" s="4" t="s">
        <v>45</v>
      </c>
    </row>
    <row r="21" spans="1:9" ht="21" x14ac:dyDescent="0.55000000000000004">
      <c r="A21" s="18" t="s">
        <v>22</v>
      </c>
      <c r="B21" s="9">
        <v>305</v>
      </c>
      <c r="C21" s="9">
        <v>251</v>
      </c>
      <c r="D21" s="9">
        <v>74</v>
      </c>
      <c r="E21" s="9">
        <v>142</v>
      </c>
      <c r="F21" s="9">
        <v>1990</v>
      </c>
      <c r="G21" s="9">
        <f t="shared" si="1"/>
        <v>2762</v>
      </c>
      <c r="H21" s="23">
        <f t="shared" si="2"/>
        <v>3.6605569029727114</v>
      </c>
      <c r="I21" s="4" t="s">
        <v>36</v>
      </c>
    </row>
    <row r="22" spans="1:9" ht="21" x14ac:dyDescent="0.55000000000000004">
      <c r="A22" s="18" t="s">
        <v>23</v>
      </c>
      <c r="B22" s="9">
        <v>1</v>
      </c>
      <c r="C22" s="9">
        <v>0</v>
      </c>
      <c r="D22" s="9">
        <v>0</v>
      </c>
      <c r="E22" s="9">
        <v>0</v>
      </c>
      <c r="F22" s="9">
        <v>0</v>
      </c>
      <c r="G22" s="9">
        <f t="shared" si="1"/>
        <v>1</v>
      </c>
      <c r="H22" s="23">
        <f t="shared" si="2"/>
        <v>1.3253283500987371E-3</v>
      </c>
      <c r="I22" s="4" t="s">
        <v>46</v>
      </c>
    </row>
    <row r="23" spans="1:9" ht="21" x14ac:dyDescent="0.55000000000000004">
      <c r="A23" s="18" t="s">
        <v>24</v>
      </c>
      <c r="B23" s="9">
        <v>14</v>
      </c>
      <c r="C23" s="9">
        <v>25</v>
      </c>
      <c r="D23" s="9">
        <v>0</v>
      </c>
      <c r="E23" s="9">
        <v>0</v>
      </c>
      <c r="F23" s="9">
        <v>0</v>
      </c>
      <c r="G23" s="9">
        <f t="shared" si="1"/>
        <v>39</v>
      </c>
      <c r="H23" s="23">
        <f t="shared" si="2"/>
        <v>5.1687805653850741E-2</v>
      </c>
      <c r="I23" s="4" t="s">
        <v>47</v>
      </c>
    </row>
    <row r="24" spans="1:9" ht="21" x14ac:dyDescent="0.55000000000000004">
      <c r="A24" s="18" t="s">
        <v>25</v>
      </c>
      <c r="B24" s="9">
        <v>43</v>
      </c>
      <c r="C24" s="9">
        <v>75</v>
      </c>
      <c r="D24" s="9">
        <v>0</v>
      </c>
      <c r="E24" s="9">
        <v>0</v>
      </c>
      <c r="F24" s="9">
        <v>0</v>
      </c>
      <c r="G24" s="9">
        <f t="shared" si="1"/>
        <v>118</v>
      </c>
      <c r="H24" s="23">
        <f t="shared" si="2"/>
        <v>0.15638874531165095</v>
      </c>
      <c r="I24" s="4" t="s">
        <v>48</v>
      </c>
    </row>
    <row r="25" spans="1:9" ht="21" x14ac:dyDescent="0.55000000000000004">
      <c r="A25" s="18" t="s">
        <v>26</v>
      </c>
      <c r="B25" s="9">
        <v>0</v>
      </c>
      <c r="C25" s="9">
        <v>68</v>
      </c>
      <c r="D25" s="9">
        <v>0</v>
      </c>
      <c r="E25" s="9">
        <v>0</v>
      </c>
      <c r="F25" s="9">
        <v>0</v>
      </c>
      <c r="G25" s="9">
        <f t="shared" si="1"/>
        <v>68</v>
      </c>
      <c r="H25" s="23">
        <f t="shared" si="2"/>
        <v>9.0122327806714114E-2</v>
      </c>
      <c r="I25" s="4" t="s">
        <v>55</v>
      </c>
    </row>
    <row r="26" spans="1:9" ht="21" x14ac:dyDescent="0.55000000000000004">
      <c r="A26" s="18" t="s">
        <v>27</v>
      </c>
      <c r="B26" s="9">
        <v>61</v>
      </c>
      <c r="C26" s="9">
        <v>235</v>
      </c>
      <c r="D26" s="9">
        <v>318</v>
      </c>
      <c r="E26" s="9">
        <v>273</v>
      </c>
      <c r="F26" s="9">
        <v>0</v>
      </c>
      <c r="G26" s="9">
        <f t="shared" si="1"/>
        <v>887</v>
      </c>
      <c r="H26" s="23">
        <f t="shared" si="2"/>
        <v>1.1755662465375798</v>
      </c>
      <c r="I26" s="4" t="s">
        <v>50</v>
      </c>
    </row>
    <row r="27" spans="1:9" ht="21" x14ac:dyDescent="0.55000000000000004">
      <c r="A27" s="18" t="s">
        <v>28</v>
      </c>
      <c r="B27" s="9">
        <v>99</v>
      </c>
      <c r="C27" s="9">
        <v>189</v>
      </c>
      <c r="D27" s="9">
        <v>73</v>
      </c>
      <c r="E27" s="9">
        <v>277</v>
      </c>
      <c r="F27" s="9">
        <v>1594</v>
      </c>
      <c r="G27" s="9">
        <f t="shared" si="1"/>
        <v>2232</v>
      </c>
      <c r="H27" s="23">
        <f t="shared" si="2"/>
        <v>2.9581328774203808</v>
      </c>
      <c r="I27" s="4" t="s">
        <v>58</v>
      </c>
    </row>
    <row r="28" spans="1:9" ht="21" x14ac:dyDescent="0.55000000000000004">
      <c r="A28" s="18" t="s">
        <v>29</v>
      </c>
      <c r="B28" s="9">
        <v>703</v>
      </c>
      <c r="C28" s="9">
        <v>1065</v>
      </c>
      <c r="D28" s="9">
        <v>1089</v>
      </c>
      <c r="E28" s="9">
        <v>479</v>
      </c>
      <c r="F28" s="9">
        <v>0</v>
      </c>
      <c r="G28" s="9">
        <f t="shared" si="1"/>
        <v>3336</v>
      </c>
      <c r="H28" s="23">
        <f t="shared" si="2"/>
        <v>4.421295375929386</v>
      </c>
      <c r="I28" s="4" t="s">
        <v>52</v>
      </c>
    </row>
    <row r="29" spans="1:9" ht="21" x14ac:dyDescent="0.55000000000000004">
      <c r="A29" s="18" t="s">
        <v>30</v>
      </c>
      <c r="B29" s="9">
        <v>37</v>
      </c>
      <c r="C29" s="9">
        <v>174</v>
      </c>
      <c r="D29" s="9">
        <v>178</v>
      </c>
      <c r="E29" s="9">
        <v>230</v>
      </c>
      <c r="F29" s="9">
        <v>929</v>
      </c>
      <c r="G29" s="9">
        <f t="shared" si="1"/>
        <v>1548</v>
      </c>
      <c r="H29" s="23">
        <f t="shared" si="2"/>
        <v>2.0516082859528448</v>
      </c>
      <c r="I29" s="4" t="s">
        <v>61</v>
      </c>
    </row>
    <row r="30" spans="1:9" ht="21" x14ac:dyDescent="0.55000000000000004">
      <c r="A30" s="18" t="s">
        <v>31</v>
      </c>
      <c r="B30" s="9">
        <v>18</v>
      </c>
      <c r="C30" s="9">
        <v>0</v>
      </c>
      <c r="D30" s="9">
        <v>0</v>
      </c>
      <c r="E30" s="9">
        <v>0</v>
      </c>
      <c r="F30" s="9">
        <v>0</v>
      </c>
      <c r="G30" s="9">
        <f t="shared" si="1"/>
        <v>18</v>
      </c>
      <c r="H30" s="23">
        <f t="shared" si="2"/>
        <v>2.3855910301777264E-2</v>
      </c>
      <c r="I30" s="4" t="s">
        <v>51</v>
      </c>
    </row>
    <row r="31" spans="1:9" ht="21" x14ac:dyDescent="0.55000000000000004">
      <c r="A31" s="19" t="s">
        <v>32</v>
      </c>
      <c r="B31" s="9">
        <v>206</v>
      </c>
      <c r="C31" s="9">
        <v>488</v>
      </c>
      <c r="D31" s="9">
        <v>178</v>
      </c>
      <c r="E31" s="9">
        <v>366</v>
      </c>
      <c r="F31" s="9">
        <v>1393</v>
      </c>
      <c r="G31" s="11">
        <f t="shared" si="1"/>
        <v>2631</v>
      </c>
      <c r="H31" s="24">
        <f t="shared" si="2"/>
        <v>3.4869388891097768</v>
      </c>
      <c r="I31" s="5" t="s">
        <v>62</v>
      </c>
    </row>
    <row r="32" spans="1:9" ht="18.75" x14ac:dyDescent="0.5">
      <c r="A32" s="7" t="s">
        <v>35</v>
      </c>
      <c r="B32" s="27"/>
      <c r="C32" s="27"/>
      <c r="D32" s="27"/>
      <c r="E32" s="27"/>
      <c r="F32" s="27"/>
      <c r="H32" s="8"/>
      <c r="I32" s="22" t="s">
        <v>37</v>
      </c>
    </row>
    <row r="33" spans="4:27" x14ac:dyDescent="0.25">
      <c r="D33" s="12"/>
      <c r="E33" s="12"/>
    </row>
    <row r="39" spans="4:27" x14ac:dyDescent="0.25">
      <c r="V39" s="12" t="s">
        <v>4</v>
      </c>
      <c r="W39" s="12" t="s">
        <v>5</v>
      </c>
      <c r="X39" s="12" t="s">
        <v>6</v>
      </c>
      <c r="Y39" s="12" t="s">
        <v>7</v>
      </c>
      <c r="Z39" s="12" t="s">
        <v>8</v>
      </c>
      <c r="AA39" s="1" t="s">
        <v>0</v>
      </c>
    </row>
    <row r="40" spans="4:27" x14ac:dyDescent="0.25">
      <c r="U40" s="1" t="s">
        <v>38</v>
      </c>
      <c r="V40" s="13">
        <f>B6</f>
        <v>2691</v>
      </c>
      <c r="W40" s="13">
        <f>C6</f>
        <v>10702</v>
      </c>
      <c r="X40" s="13">
        <f>D6</f>
        <v>9224</v>
      </c>
      <c r="Y40" s="13">
        <f>E6</f>
        <v>23610</v>
      </c>
      <c r="Z40" s="13">
        <f>F6</f>
        <v>29226</v>
      </c>
      <c r="AA40" s="13">
        <f>SUM(V40:Z40)</f>
        <v>75453</v>
      </c>
    </row>
  </sheetData>
  <mergeCells count="6">
    <mergeCell ref="A1:I1"/>
    <mergeCell ref="A2:I2"/>
    <mergeCell ref="A4:A5"/>
    <mergeCell ref="B4:G4"/>
    <mergeCell ref="I4:I5"/>
    <mergeCell ref="H4:H5"/>
  </mergeCells>
  <pageMargins left="0.17" right="0.17" top="0.42" bottom="0.47" header="0.3" footer="0.3"/>
  <pageSetup paperSize="9" scale="82" orientation="landscape" r:id="rId1"/>
  <rowBreaks count="1" manualBreakCount="1">
    <brk id="32" max="9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18.13</vt:lpstr>
      <vt:lpstr>'18.13'!Print_Area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2016-03-16T09:08:18Z</cp:lastPrinted>
  <dcterms:created xsi:type="dcterms:W3CDTF">2013-03-14T06:06:17Z</dcterms:created>
  <dcterms:modified xsi:type="dcterms:W3CDTF">2016-03-16T09:08:20Z</dcterms:modified>
</cp:coreProperties>
</file>