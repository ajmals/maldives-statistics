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225" windowWidth="6975" windowHeight="4110" tabRatio="775"/>
  </bookViews>
  <sheets>
    <sheet name="18.4" sheetId="18" r:id="rId1"/>
  </sheets>
  <definedNames>
    <definedName name="_xlnm.Print_Area" localSheetId="0">'18.4'!$A$1:$O$67</definedName>
  </definedNames>
  <calcPr calcId="144525"/>
</workbook>
</file>

<file path=xl/calcChain.xml><?xml version="1.0" encoding="utf-8"?>
<calcChain xmlns="http://schemas.openxmlformats.org/spreadsheetml/2006/main">
  <c r="AG37" i="18" l="1"/>
  <c r="AF37" i="18"/>
  <c r="AJ38" i="18"/>
  <c r="AH37" i="18" s="1"/>
  <c r="AE37" i="18" l="1"/>
  <c r="AI37" i="18"/>
  <c r="AJ26" i="18"/>
  <c r="AH23" i="18"/>
  <c r="AI23" i="18"/>
  <c r="AG23" i="18"/>
  <c r="K8" i="18" l="1"/>
  <c r="K19" i="18" l="1"/>
  <c r="K18" i="18"/>
  <c r="K17" i="18"/>
  <c r="K16" i="18"/>
  <c r="K15" i="18"/>
  <c r="K14" i="18"/>
  <c r="K13" i="18"/>
  <c r="K12" i="18"/>
  <c r="K11" i="18"/>
  <c r="K10" i="18"/>
  <c r="K9" i="18"/>
  <c r="G19" i="18" l="1"/>
  <c r="G18" i="18"/>
  <c r="G17" i="18"/>
  <c r="G16" i="18"/>
  <c r="G15" i="18"/>
  <c r="G14" i="18"/>
  <c r="G13" i="18"/>
  <c r="G12" i="18"/>
  <c r="G11" i="18"/>
  <c r="G10" i="18"/>
  <c r="G9" i="18"/>
  <c r="G8" i="18"/>
  <c r="B19" i="18" l="1"/>
  <c r="AJ25" i="18" l="1"/>
  <c r="AJ23" i="18"/>
  <c r="AJ24" i="18"/>
  <c r="B18" i="18"/>
  <c r="B17" i="18"/>
  <c r="B16" i="18"/>
  <c r="B15" i="18"/>
  <c r="B14" i="18"/>
  <c r="B13" i="18"/>
  <c r="B12" i="18"/>
  <c r="B11" i="18"/>
  <c r="B10" i="18"/>
  <c r="B9" i="18"/>
  <c r="B8" i="18"/>
  <c r="AJ32" i="18" l="1"/>
  <c r="AG32" i="18"/>
  <c r="AH32" i="18"/>
  <c r="AI32" i="18"/>
  <c r="AE32" i="18"/>
  <c r="AF32" i="18"/>
</calcChain>
</file>

<file path=xl/sharedStrings.xml><?xml version="1.0" encoding="utf-8"?>
<sst xmlns="http://schemas.openxmlformats.org/spreadsheetml/2006/main" count="67" uniqueCount="46">
  <si>
    <t>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</si>
  <si>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</si>
  <si>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</si>
  <si>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</si>
  <si>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</si>
  <si>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</si>
  <si>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</si>
  <si>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</si>
  <si>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</si>
  <si>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</si>
  <si>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</si>
  <si>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</si>
  <si>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</si>
  <si>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</t>
  </si>
  <si>
    <t>55-64</t>
  </si>
  <si>
    <t>65-69</t>
  </si>
  <si>
    <t>70-74</t>
  </si>
  <si>
    <t>Source: Maldives Pension Administration</t>
  </si>
  <si>
    <t>މަސް</t>
  </si>
  <si>
    <t>ޖެނުއަރީ</t>
  </si>
  <si>
    <t>ފެބްރުއަރީ</t>
  </si>
  <si>
    <t>މާޗް</t>
  </si>
  <si>
    <t>އޭޕްރީލް</t>
  </si>
  <si>
    <t>މެއި</t>
  </si>
  <si>
    <t>ޖޫން</t>
  </si>
  <si>
    <t>ޖުލައި</t>
  </si>
  <si>
    <t>އޮގަސްޓް</t>
  </si>
  <si>
    <t>ސެޕްޓެމްބަރ</t>
  </si>
  <si>
    <t>އޮކްޓޫބަރ</t>
  </si>
  <si>
    <t>ޑިސެމްބަރ</t>
  </si>
  <si>
    <r>
      <t xml:space="preserve">Age Groups </t>
    </r>
    <r>
      <rPr>
        <b/>
        <sz val="11"/>
        <color theme="1"/>
        <rFont val="Faruma"/>
      </rPr>
      <t xml:space="preserve">  ޢުމުރުފުރާ   </t>
    </r>
  </si>
  <si>
    <t>ނޮވެމްބަރ</t>
  </si>
  <si>
    <t>75 &amp; over</t>
  </si>
  <si>
    <t>Basic pension</t>
  </si>
  <si>
    <t>މަޢުލޫމާތު ދެއްވި ފަރާތް: މޯލްޑިވްސް ޕެންޝަން އެޑްމިނިސްޓްރޭޝަން</t>
  </si>
  <si>
    <t>age-group</t>
  </si>
  <si>
    <t>Retirement pension</t>
  </si>
  <si>
    <t>Other pension</t>
  </si>
  <si>
    <t>under 55</t>
  </si>
  <si>
    <t>% shares</t>
  </si>
  <si>
    <t>75 +</t>
  </si>
  <si>
    <t>&lt; 55</t>
  </si>
  <si>
    <t>TABLE   18.4: NUMBER OF BENEFICIARIES OF BASIC PENSION SCHEME BY AGE, 2012 - 2014</t>
  </si>
  <si>
    <t>ތާވަލު  18.4 : އަސާސީ ޕެންޝަން ލިބޭ މީހުންގެ އަދަދު އަދި ޢުމުރުފުރާތައް، 2012 - 2014</t>
  </si>
  <si>
    <t>Senior Citizen Allowance</t>
  </si>
  <si>
    <t>2014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</si>
</sst>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0.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Faruma"/>
    </font>
    <font>
      <b/>
      <sz val="11"/>
      <color theme="1"/>
      <name val="Faruma"/>
    </font>
    <font>
      <i/>
      <sz val="10"/>
      <color theme="1"/>
      <name val="Calibri"/>
      <family val="2"/>
      <scheme val="minor"/>
    </font>
    <font>
      <sz val="10"/>
      <color theme="1"/>
      <name val="Faruma"/>
    </font>
    <font>
      <sz val="10"/>
      <name val="Arial"/>
      <family val="2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Faruma"/>
    </font>
    <font>
      <sz val="10"/>
      <name val="Courier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theme="1" tint="4.9989318521683403E-2"/>
      </right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1" fillId="0" borderId="0"/>
  </cellStyleXfs>
  <cellXfs count="47">
    <xf numFmtId="0" fontId="0" fillId="0" borderId="0" xfId="0"/>
    <xf numFmtId="0" fontId="0" fillId="2" borderId="0" xfId="0" applyFill="1"/>
    <xf numFmtId="0" fontId="0" fillId="2" borderId="0" xfId="0" applyFill="1" applyBorder="1"/>
    <xf numFmtId="0" fontId="3" fillId="2" borderId="0" xfId="0" applyFont="1" applyFill="1" applyBorder="1"/>
    <xf numFmtId="164" fontId="0" fillId="2" borderId="2" xfId="1" applyNumberFormat="1" applyFont="1" applyFill="1" applyBorder="1"/>
    <xf numFmtId="0" fontId="2" fillId="2" borderId="5" xfId="0" applyFont="1" applyFill="1" applyBorder="1" applyAlignment="1">
      <alignment horizontal="right" vertical="center"/>
    </xf>
    <xf numFmtId="0" fontId="5" fillId="2" borderId="0" xfId="0" applyFont="1" applyFill="1"/>
    <xf numFmtId="0" fontId="6" fillId="2" borderId="0" xfId="0" applyFont="1" applyFill="1"/>
    <xf numFmtId="0" fontId="3" fillId="2" borderId="0" xfId="0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2" xfId="0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14" fontId="0" fillId="2" borderId="0" xfId="0" applyNumberFormat="1" applyFill="1"/>
    <xf numFmtId="0" fontId="0" fillId="2" borderId="0" xfId="0" applyFill="1" applyBorder="1" applyAlignment="1">
      <alignment vertical="center"/>
    </xf>
    <xf numFmtId="3" fontId="0" fillId="2" borderId="0" xfId="1" applyNumberFormat="1" applyFont="1" applyFill="1" applyAlignment="1">
      <alignment vertical="center"/>
    </xf>
    <xf numFmtId="3" fontId="0" fillId="2" borderId="0" xfId="1" applyNumberFormat="1" applyFont="1" applyFill="1" applyBorder="1" applyAlignment="1">
      <alignment vertical="center"/>
    </xf>
    <xf numFmtId="3" fontId="0" fillId="2" borderId="2" xfId="1" applyNumberFormat="1" applyFont="1" applyFill="1" applyBorder="1" applyAlignment="1">
      <alignment vertical="center"/>
    </xf>
    <xf numFmtId="0" fontId="2" fillId="2" borderId="9" xfId="0" applyFont="1" applyFill="1" applyBorder="1" applyAlignment="1">
      <alignment horizontal="right" vertical="center"/>
    </xf>
    <xf numFmtId="3" fontId="0" fillId="2" borderId="4" xfId="1" applyNumberFormat="1" applyFont="1" applyFill="1" applyBorder="1" applyAlignment="1">
      <alignment vertical="center"/>
    </xf>
    <xf numFmtId="3" fontId="0" fillId="2" borderId="5" xfId="1" applyNumberFormat="1" applyFont="1" applyFill="1" applyBorder="1" applyAlignment="1">
      <alignment vertical="center"/>
    </xf>
    <xf numFmtId="165" fontId="0" fillId="2" borderId="0" xfId="0" applyNumberFormat="1" applyFill="1"/>
    <xf numFmtId="1" fontId="0" fillId="2" borderId="0" xfId="0" applyNumberFormat="1" applyFill="1"/>
    <xf numFmtId="3" fontId="0" fillId="2" borderId="0" xfId="0" applyNumberFormat="1" applyFill="1"/>
    <xf numFmtId="0" fontId="2" fillId="2" borderId="10" xfId="0" applyFont="1" applyFill="1" applyBorder="1" applyAlignment="1">
      <alignment horizontal="right" vertical="center"/>
    </xf>
    <xf numFmtId="0" fontId="2" fillId="2" borderId="6" xfId="0" applyFont="1" applyFill="1" applyBorder="1" applyAlignment="1">
      <alignment horizontal="right" vertical="center"/>
    </xf>
    <xf numFmtId="3" fontId="0" fillId="2" borderId="11" xfId="1" applyNumberFormat="1" applyFont="1" applyFill="1" applyBorder="1" applyAlignment="1">
      <alignment vertical="center"/>
    </xf>
    <xf numFmtId="3" fontId="0" fillId="2" borderId="6" xfId="1" applyNumberFormat="1" applyFont="1" applyFill="1" applyBorder="1" applyAlignment="1">
      <alignment vertical="center"/>
    </xf>
    <xf numFmtId="0" fontId="8" fillId="2" borderId="0" xfId="0" applyFont="1" applyFill="1"/>
    <xf numFmtId="0" fontId="9" fillId="2" borderId="0" xfId="0" applyFont="1" applyFill="1"/>
    <xf numFmtId="0" fontId="10" fillId="2" borderId="0" xfId="0" applyFont="1" applyFill="1"/>
    <xf numFmtId="0" fontId="0" fillId="2" borderId="2" xfId="0" applyFont="1" applyFill="1" applyBorder="1"/>
    <xf numFmtId="0" fontId="2" fillId="2" borderId="0" xfId="0" applyFont="1" applyFill="1" applyBorder="1" applyAlignment="1">
      <alignment horizontal="right" vertical="center"/>
    </xf>
    <xf numFmtId="164" fontId="0" fillId="2" borderId="0" xfId="0" applyNumberFormat="1" applyFill="1"/>
    <xf numFmtId="3" fontId="0" fillId="2" borderId="2" xfId="1" applyNumberFormat="1" applyFont="1" applyFill="1" applyBorder="1" applyAlignment="1">
      <alignment vertical="center" wrapText="1"/>
    </xf>
    <xf numFmtId="0" fontId="2" fillId="2" borderId="8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right" vertical="center"/>
    </xf>
    <xf numFmtId="0" fontId="4" fillId="2" borderId="0" xfId="0" applyFont="1" applyFill="1" applyAlignment="1">
      <alignment horizontal="center"/>
    </xf>
    <xf numFmtId="0" fontId="4" fillId="2" borderId="3" xfId="0" applyFont="1" applyFill="1" applyBorder="1" applyAlignment="1">
      <alignment horizontal="right" vertical="center"/>
    </xf>
    <xf numFmtId="0" fontId="4" fillId="2" borderId="0" xfId="0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7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colors>
    <mruColors>
      <color rgb="FF9933FF"/>
      <color rgb="FF9900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75"/>
      <c:rotY val="0"/>
      <c:rAngAx val="0"/>
      <c:perspective val="30"/>
    </c:view3D>
    <c:floor>
      <c:thickness val="0"/>
    </c:floor>
    <c:sideWall>
      <c:thickness val="0"/>
      <c:spPr>
        <a:ln>
          <a:solidFill>
            <a:schemeClr val="bg1">
              <a:lumMod val="65000"/>
            </a:schemeClr>
          </a:solidFill>
        </a:ln>
      </c:spPr>
    </c:sideWall>
    <c:backWall>
      <c:thickness val="0"/>
      <c:spPr>
        <a:ln>
          <a:solidFill>
            <a:schemeClr val="bg1">
              <a:lumMod val="65000"/>
            </a:schemeClr>
          </a:solidFill>
        </a:ln>
      </c:spPr>
    </c:backWall>
    <c:plotArea>
      <c:layout>
        <c:manualLayout>
          <c:layoutTarget val="inner"/>
          <c:xMode val="edge"/>
          <c:yMode val="edge"/>
          <c:x val="0.3172694867871933"/>
          <c:y val="0.14910981133098891"/>
          <c:w val="0.37279739829062569"/>
          <c:h val="0.84146921359284743"/>
        </c:manualLayout>
      </c:layout>
      <c:pie3DChart>
        <c:varyColors val="1"/>
        <c:ser>
          <c:idx val="0"/>
          <c:order val="0"/>
          <c:spPr>
            <a:solidFill>
              <a:srgbClr val="7030A0"/>
            </a:solidFill>
          </c:spPr>
          <c:explosion val="5"/>
          <c:dPt>
            <c:idx val="1"/>
            <c:bubble3D val="0"/>
            <c:spPr>
              <a:solidFill>
                <a:schemeClr val="accent4">
                  <a:lumMod val="75000"/>
                </a:schemeClr>
              </a:solidFill>
            </c:spPr>
          </c:dPt>
          <c:dPt>
            <c:idx val="2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</c:dPt>
          <c:dLbls>
            <c:dLbl>
              <c:idx val="0"/>
              <c:layout>
                <c:manualLayout>
                  <c:x val="-8.3854342723944861E-2"/>
                  <c:y val="0.1654147192565338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layout>
                <c:manualLayout>
                  <c:x val="-5.4562603631819674E-2"/>
                  <c:y val="-0.1932950631458094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layout>
                <c:manualLayout>
                  <c:x val="0.14103315417210693"/>
                  <c:y val="-6.9128614950685697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txPr>
              <a:bodyPr/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'18.4'!$AG$22:$AI$22</c:f>
              <c:strCache>
                <c:ptCount val="3"/>
                <c:pt idx="0">
                  <c:v>65-69</c:v>
                </c:pt>
                <c:pt idx="1">
                  <c:v>70-74</c:v>
                </c:pt>
                <c:pt idx="2">
                  <c:v>75 &amp; over</c:v>
                </c:pt>
              </c:strCache>
            </c:strRef>
          </c:cat>
          <c:val>
            <c:numRef>
              <c:f>'18.4'!$AG$23:$AI$23</c:f>
              <c:numCache>
                <c:formatCode>#,##0</c:formatCode>
                <c:ptCount val="3"/>
                <c:pt idx="0">
                  <c:v>4303</c:v>
                </c:pt>
                <c:pt idx="1">
                  <c:v>4795</c:v>
                </c:pt>
                <c:pt idx="2">
                  <c:v>6669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366" l="0.70000000000000062" r="0.70000000000000062" t="0.75000000000000366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9798385341774256E-2"/>
          <c:y val="0.18307427716735442"/>
          <c:w val="0.88541215173615584"/>
          <c:h val="0.662866142836777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'18.4'!$AD$23</c:f>
              <c:strCache>
                <c:ptCount val="1"/>
                <c:pt idx="0">
                  <c:v>Basic pension</c:v>
                </c:pt>
              </c:strCache>
            </c:strRef>
          </c:tx>
          <c:spPr>
            <a:solidFill>
              <a:srgbClr val="7030A0"/>
            </a:solidFill>
          </c:spPr>
          <c:invertIfNegative val="0"/>
          <c:cat>
            <c:strRef>
              <c:f>'18.4'!$AE$22:$AI$22</c:f>
              <c:strCache>
                <c:ptCount val="5"/>
                <c:pt idx="0">
                  <c:v>under 55</c:v>
                </c:pt>
                <c:pt idx="1">
                  <c:v>55-64</c:v>
                </c:pt>
                <c:pt idx="2">
                  <c:v>65-69</c:v>
                </c:pt>
                <c:pt idx="3">
                  <c:v>70-74</c:v>
                </c:pt>
                <c:pt idx="4">
                  <c:v>75 &amp; over</c:v>
                </c:pt>
              </c:strCache>
            </c:strRef>
          </c:cat>
          <c:val>
            <c:numRef>
              <c:f>'18.4'!$AE$23:$AI$23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 formatCode="#,##0">
                  <c:v>4303</c:v>
                </c:pt>
                <c:pt idx="3" formatCode="#,##0">
                  <c:v>4795</c:v>
                </c:pt>
                <c:pt idx="4" formatCode="#,##0">
                  <c:v>6669</c:v>
                </c:pt>
              </c:numCache>
            </c:numRef>
          </c:val>
        </c:ser>
        <c:ser>
          <c:idx val="1"/>
          <c:order val="1"/>
          <c:tx>
            <c:strRef>
              <c:f>'18.4'!$AD$24</c:f>
              <c:strCache>
                <c:ptCount val="1"/>
                <c:pt idx="0">
                  <c:v>Other pension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</c:spPr>
          <c:invertIfNegative val="0"/>
          <c:cat>
            <c:strRef>
              <c:f>'18.4'!$AE$22:$AI$22</c:f>
              <c:strCache>
                <c:ptCount val="5"/>
                <c:pt idx="0">
                  <c:v>under 55</c:v>
                </c:pt>
                <c:pt idx="1">
                  <c:v>55-64</c:v>
                </c:pt>
                <c:pt idx="2">
                  <c:v>65-69</c:v>
                </c:pt>
                <c:pt idx="3">
                  <c:v>70-74</c:v>
                </c:pt>
                <c:pt idx="4">
                  <c:v>75 &amp; over</c:v>
                </c:pt>
              </c:strCache>
            </c:strRef>
          </c:cat>
          <c:val>
            <c:numRef>
              <c:f>'18.4'!$AE$24:$AI$24</c:f>
              <c:numCache>
                <c:formatCode>_(* #,##0_);_(* \(#,##0\);_(* "-"??_);_(@_)</c:formatCode>
                <c:ptCount val="5"/>
                <c:pt idx="0">
                  <c:v>2695</c:v>
                </c:pt>
                <c:pt idx="1">
                  <c:v>1514</c:v>
                </c:pt>
                <c:pt idx="2">
                  <c:v>992</c:v>
                </c:pt>
                <c:pt idx="3">
                  <c:v>898</c:v>
                </c:pt>
                <c:pt idx="4">
                  <c:v>1185</c:v>
                </c:pt>
              </c:numCache>
            </c:numRef>
          </c:val>
        </c:ser>
        <c:ser>
          <c:idx val="2"/>
          <c:order val="2"/>
          <c:tx>
            <c:strRef>
              <c:f>'18.4'!$AD$25</c:f>
              <c:strCache>
                <c:ptCount val="1"/>
                <c:pt idx="0">
                  <c:v>Retirement pension</c:v>
                </c:pt>
              </c:strCache>
            </c:strRef>
          </c:tx>
          <c:spPr>
            <a:solidFill>
              <a:srgbClr val="990099"/>
            </a:solidFill>
          </c:spPr>
          <c:invertIfNegative val="0"/>
          <c:cat>
            <c:strRef>
              <c:f>'18.4'!$AE$22:$AI$22</c:f>
              <c:strCache>
                <c:ptCount val="5"/>
                <c:pt idx="0">
                  <c:v>under 55</c:v>
                </c:pt>
                <c:pt idx="1">
                  <c:v>55-64</c:v>
                </c:pt>
                <c:pt idx="2">
                  <c:v>65-69</c:v>
                </c:pt>
                <c:pt idx="3">
                  <c:v>70-74</c:v>
                </c:pt>
                <c:pt idx="4">
                  <c:v>75 &amp; over</c:v>
                </c:pt>
              </c:strCache>
            </c:strRef>
          </c:cat>
          <c:val>
            <c:numRef>
              <c:f>'18.4'!$AE$25:$AI$25</c:f>
              <c:numCache>
                <c:formatCode>#,##0</c:formatCode>
                <c:ptCount val="5"/>
                <c:pt idx="0" formatCode="General">
                  <c:v>0</c:v>
                </c:pt>
                <c:pt idx="1">
                  <c:v>5</c:v>
                </c:pt>
                <c:pt idx="2">
                  <c:v>616</c:v>
                </c:pt>
                <c:pt idx="3">
                  <c:v>25</c:v>
                </c:pt>
                <c:pt idx="4">
                  <c:v>0</c:v>
                </c:pt>
              </c:numCache>
            </c:numRef>
          </c:val>
        </c:ser>
        <c:ser>
          <c:idx val="3"/>
          <c:order val="3"/>
          <c:tx>
            <c:strRef>
              <c:f>'18.4'!$AD$26</c:f>
              <c:strCache>
                <c:ptCount val="1"/>
                <c:pt idx="0">
                  <c:v>Senior Citizen Allowance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</c:spPr>
          <c:invertIfNegative val="0"/>
          <c:cat>
            <c:strRef>
              <c:f>'18.4'!$AE$22:$AI$22</c:f>
              <c:strCache>
                <c:ptCount val="5"/>
                <c:pt idx="0">
                  <c:v>under 55</c:v>
                </c:pt>
                <c:pt idx="1">
                  <c:v>55-64</c:v>
                </c:pt>
                <c:pt idx="2">
                  <c:v>65-69</c:v>
                </c:pt>
                <c:pt idx="3">
                  <c:v>70-74</c:v>
                </c:pt>
                <c:pt idx="4">
                  <c:v>75 &amp; over</c:v>
                </c:pt>
              </c:strCache>
            </c:strRef>
          </c:cat>
          <c:val>
            <c:numRef>
              <c:f>'18.4'!$AE$26:$AI$26</c:f>
              <c:numCache>
                <c:formatCode>General</c:formatCode>
                <c:ptCount val="5"/>
                <c:pt idx="2" formatCode="_(* #,##0_);_(* \(#,##0\);_(* &quot;-&quot;??_);_(@_)">
                  <c:v>4570</c:v>
                </c:pt>
                <c:pt idx="3" formatCode="_(* #,##0_);_(* \(#,##0\);_(* &quot;-&quot;??_);_(@_)">
                  <c:v>4874</c:v>
                </c:pt>
                <c:pt idx="4" formatCode="_(* #,##0_);_(* \(#,##0\);_(* &quot;-&quot;??_);_(@_)">
                  <c:v>6754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943936"/>
        <c:axId val="119945472"/>
      </c:barChart>
      <c:catAx>
        <c:axId val="119943936"/>
        <c:scaling>
          <c:orientation val="minMax"/>
        </c:scaling>
        <c:delete val="0"/>
        <c:axPos val="b"/>
        <c:majorTickMark val="none"/>
        <c:minorTickMark val="none"/>
        <c:tickLblPos val="nextTo"/>
        <c:crossAx val="119945472"/>
        <c:crosses val="autoZero"/>
        <c:auto val="1"/>
        <c:lblAlgn val="ctr"/>
        <c:lblOffset val="100"/>
        <c:noMultiLvlLbl val="0"/>
      </c:catAx>
      <c:valAx>
        <c:axId val="119945472"/>
        <c:scaling>
          <c:orientation val="minMax"/>
          <c:max val="7000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crossAx val="119943936"/>
        <c:crosses val="autoZero"/>
        <c:crossBetween val="between"/>
        <c:majorUnit val="1000"/>
      </c:valAx>
      <c:spPr>
        <a:solidFill>
          <a:schemeClr val="bg1"/>
        </a:solidFill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10958951278829075"/>
          <c:y val="0.2105231259943785"/>
          <c:w val="0.58075174660058926"/>
          <c:h val="9.8422792775142195E-2"/>
        </c:manualLayout>
      </c:layout>
      <c:overlay val="0"/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  <c:showDLblsOverMax val="0"/>
  </c:chart>
  <c:spPr>
    <a:solidFill>
      <a:schemeClr val="accent4">
        <a:lumMod val="20000"/>
        <a:lumOff val="80000"/>
      </a:schemeClr>
    </a:solidFill>
  </c:spPr>
  <c:printSettings>
    <c:headerFooter/>
    <c:pageMargins b="0.75000000000000344" l="0.70000000000000062" r="0.70000000000000062" t="0.75000000000000344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587679530489313"/>
          <c:y val="0.15509259259259259"/>
          <c:w val="0.75658482881027433"/>
          <c:h val="0.83333333333333337"/>
        </c:manualLayout>
      </c:layout>
      <c:doughnutChart>
        <c:varyColors val="1"/>
        <c:ser>
          <c:idx val="0"/>
          <c:order val="0"/>
          <c:explosion val="1"/>
          <c:dPt>
            <c:idx val="0"/>
            <c:bubble3D val="0"/>
            <c:explosion val="0"/>
          </c:dPt>
          <c:dPt>
            <c:idx val="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</c:dPt>
          <c:dPt>
            <c:idx val="3"/>
            <c:bubble3D val="0"/>
            <c:spPr>
              <a:solidFill>
                <a:srgbClr val="9933FF"/>
              </a:solidFill>
            </c:spPr>
          </c:dPt>
          <c:dPt>
            <c:idx val="4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</c:spPr>
          </c:dPt>
          <c:dLbls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'18.4'!$AE$36:$AI$36</c:f>
              <c:strCache>
                <c:ptCount val="5"/>
                <c:pt idx="0">
                  <c:v>&lt; 55</c:v>
                </c:pt>
                <c:pt idx="1">
                  <c:v>55-64</c:v>
                </c:pt>
                <c:pt idx="2">
                  <c:v>65-69</c:v>
                </c:pt>
                <c:pt idx="3">
                  <c:v>70-74</c:v>
                </c:pt>
                <c:pt idx="4">
                  <c:v>75 +</c:v>
                </c:pt>
              </c:strCache>
            </c:strRef>
          </c:cat>
          <c:val>
            <c:numRef>
              <c:f>'18.4'!$AE$37:$AI$37</c:f>
              <c:numCache>
                <c:formatCode>0.0</c:formatCode>
                <c:ptCount val="5"/>
                <c:pt idx="0">
                  <c:v>36.998901702361344</c:v>
                </c:pt>
                <c:pt idx="1">
                  <c:v>20.785282811641956</c:v>
                </c:pt>
                <c:pt idx="2">
                  <c:v>13.618890719384954</c:v>
                </c:pt>
                <c:pt idx="3">
                  <c:v>12.328390993959363</c:v>
                </c:pt>
                <c:pt idx="4">
                  <c:v>16.26853377265239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plotVisOnly val="1"/>
    <c:dispBlanksAs val="gap"/>
    <c:showDLblsOverMax val="0"/>
  </c:chart>
  <c:spPr>
    <a:effectLst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533400</xdr:colOff>
      <xdr:row>51</xdr:row>
      <xdr:rowOff>152400</xdr:rowOff>
    </xdr:from>
    <xdr:to>
      <xdr:col>10</xdr:col>
      <xdr:colOff>279400</xdr:colOff>
      <xdr:row>66</xdr:row>
      <xdr:rowOff>60325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600072</xdr:colOff>
      <xdr:row>20</xdr:row>
      <xdr:rowOff>104774</xdr:rowOff>
    </xdr:from>
    <xdr:to>
      <xdr:col>10</xdr:col>
      <xdr:colOff>0</xdr:colOff>
      <xdr:row>34</xdr:row>
      <xdr:rowOff>123824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528850</xdr:colOff>
      <xdr:row>22</xdr:row>
      <xdr:rowOff>75560</xdr:rowOff>
    </xdr:from>
    <xdr:to>
      <xdr:col>9</xdr:col>
      <xdr:colOff>597089</xdr:colOff>
      <xdr:row>22</xdr:row>
      <xdr:rowOff>75560</xdr:rowOff>
    </xdr:to>
    <xdr:sp macro="" textlink="">
      <xdr:nvSpPr>
        <xdr:cNvPr id="7" name="Line 4"/>
        <xdr:cNvSpPr>
          <a:spLocks noChangeShapeType="1"/>
        </xdr:cNvSpPr>
      </xdr:nvSpPr>
      <xdr:spPr bwMode="auto">
        <a:xfrm flipV="1">
          <a:off x="1154372" y="5733694"/>
          <a:ext cx="5362433" cy="0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  <xdr:twoCellAnchor>
    <xdr:from>
      <xdr:col>1</xdr:col>
      <xdr:colOff>511223</xdr:colOff>
      <xdr:row>53</xdr:row>
      <xdr:rowOff>96040</xdr:rowOff>
    </xdr:from>
    <xdr:to>
      <xdr:col>9</xdr:col>
      <xdr:colOff>739776</xdr:colOff>
      <xdr:row>53</xdr:row>
      <xdr:rowOff>96040</xdr:rowOff>
    </xdr:to>
    <xdr:sp macro="" textlink="">
      <xdr:nvSpPr>
        <xdr:cNvPr id="9" name="Line 4"/>
        <xdr:cNvSpPr>
          <a:spLocks noChangeShapeType="1"/>
        </xdr:cNvSpPr>
      </xdr:nvSpPr>
      <xdr:spPr bwMode="auto">
        <a:xfrm flipV="1">
          <a:off x="1120823" y="11764165"/>
          <a:ext cx="5362528" cy="0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  <xdr:twoCellAnchor>
    <xdr:from>
      <xdr:col>0</xdr:col>
      <xdr:colOff>571499</xdr:colOff>
      <xdr:row>36</xdr:row>
      <xdr:rowOff>0</xdr:rowOff>
    </xdr:from>
    <xdr:to>
      <xdr:col>10</xdr:col>
      <xdr:colOff>47624</xdr:colOff>
      <xdr:row>50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123825</xdr:colOff>
      <xdr:row>36</xdr:row>
      <xdr:rowOff>85725</xdr:rowOff>
    </xdr:from>
    <xdr:to>
      <xdr:col>9</xdr:col>
      <xdr:colOff>624417</xdr:colOff>
      <xdr:row>37</xdr:row>
      <xdr:rowOff>83608</xdr:rowOff>
    </xdr:to>
    <xdr:sp macro="" textlink="">
      <xdr:nvSpPr>
        <xdr:cNvPr id="12" name="TextBox 11"/>
        <xdr:cNvSpPr txBox="1"/>
      </xdr:nvSpPr>
      <xdr:spPr>
        <a:xfrm>
          <a:off x="733425" y="8515350"/>
          <a:ext cx="5634567" cy="188383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latin typeface="Consolas" pitchFamily="49" charset="0"/>
              <a:ea typeface="+mn-ea"/>
              <a:cs typeface="Consolas" pitchFamily="49" charset="0"/>
            </a:rPr>
            <a:t>Figure 18.7: Number of beneficiaries under Other pension scheme, 2014</a:t>
          </a:r>
          <a:endParaRPr lang="en-US">
            <a:latin typeface="Consolas" pitchFamily="49" charset="0"/>
            <a:cs typeface="Consolas" pitchFamily="49" charset="0"/>
          </a:endParaRPr>
        </a:p>
        <a:p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1</xdr:col>
      <xdr:colOff>171450</xdr:colOff>
      <xdr:row>37</xdr:row>
      <xdr:rowOff>171450</xdr:rowOff>
    </xdr:from>
    <xdr:to>
      <xdr:col>9</xdr:col>
      <xdr:colOff>554566</xdr:colOff>
      <xdr:row>37</xdr:row>
      <xdr:rowOff>173568</xdr:rowOff>
    </xdr:to>
    <xdr:sp macro="" textlink="">
      <xdr:nvSpPr>
        <xdr:cNvPr id="13" name="Line 4"/>
        <xdr:cNvSpPr>
          <a:spLocks noChangeShapeType="1"/>
        </xdr:cNvSpPr>
      </xdr:nvSpPr>
      <xdr:spPr bwMode="auto">
        <a:xfrm flipV="1">
          <a:off x="781050" y="8791575"/>
          <a:ext cx="5517091" cy="2118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0.08179</cdr:x>
      <cdr:y>0.02149</cdr:y>
    </cdr:from>
    <cdr:to>
      <cdr:x>0.98549</cdr:x>
      <cdr:y>0.08046</cdr:y>
    </cdr:to>
    <cdr:sp macro="" textlink="">
      <cdr:nvSpPr>
        <cdr:cNvPr id="2" name="TextBox 9"/>
        <cdr:cNvSpPr txBox="1"/>
      </cdr:nvSpPr>
      <cdr:spPr>
        <a:xfrm xmlns:a="http://schemas.openxmlformats.org/drawingml/2006/main">
          <a:off x="525843" y="56865"/>
          <a:ext cx="5809716" cy="156044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rtl="0"/>
          <a:r>
            <a:rPr lang="en-US" sz="1100" b="1" i="0" baseline="0">
              <a:solidFill>
                <a:sysClr val="windowText" lastClr="000000"/>
              </a:solidFill>
              <a:latin typeface="Consolas" pitchFamily="49" charset="0"/>
              <a:ea typeface="+mn-ea"/>
              <a:cs typeface="Consolas" pitchFamily="49" charset="0"/>
            </a:rPr>
            <a:t>Figure 18.8:  Number of beneficiaries under basic pension scheme, 2014</a:t>
          </a:r>
          <a:endParaRPr lang="en-US"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0.07273</cdr:x>
      <cdr:y>0.07153</cdr:y>
    </cdr:from>
    <cdr:to>
      <cdr:x>0.97415</cdr:x>
      <cdr:y>0.14735</cdr:y>
    </cdr:to>
    <cdr:sp macro="" textlink="">
      <cdr:nvSpPr>
        <cdr:cNvPr id="2" name="TextBox 9"/>
        <cdr:cNvSpPr txBox="1"/>
      </cdr:nvSpPr>
      <cdr:spPr>
        <a:xfrm xmlns:a="http://schemas.openxmlformats.org/drawingml/2006/main">
          <a:off x="443552" y="187658"/>
          <a:ext cx="5497520" cy="198904"/>
        </a:xfrm>
        <a:prstGeom xmlns:a="http://schemas.openxmlformats.org/drawingml/2006/main" prst="rect">
          <a:avLst/>
        </a:prstGeom>
        <a:solidFill xmlns:a="http://schemas.openxmlformats.org/drawingml/2006/main">
          <a:srgbClr val="8064A2">
            <a:lumMod val="20000"/>
            <a:lumOff val="80000"/>
          </a:srgbClr>
        </a:solidFill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algn="ctr" rtl="0" fontAlgn="base"/>
          <a:r>
            <a:rPr lang="en-US" sz="1100" b="1" i="0" baseline="0">
              <a:solidFill>
                <a:sysClr val="windowText" lastClr="000000"/>
              </a:solidFill>
              <a:latin typeface="Consolas" pitchFamily="49" charset="0"/>
              <a:ea typeface="+mn-ea"/>
              <a:cs typeface="Consolas" pitchFamily="49" charset="0"/>
            </a:rPr>
            <a:t>Figure 18.6: Number of beneficiaries under different pension schemes by age-groups, end 2014</a:t>
          </a:r>
        </a:p>
        <a:p xmlns:a="http://schemas.openxmlformats.org/drawingml/2006/main">
          <a:pPr algn="ctr"/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AJ38"/>
  <sheetViews>
    <sheetView tabSelected="1" zoomScaleNormal="100" workbookViewId="0">
      <selection activeCell="S1" sqref="S1:W1048576"/>
    </sheetView>
  </sheetViews>
  <sheetFormatPr defaultColWidth="9.140625" defaultRowHeight="15" x14ac:dyDescent="0.25"/>
  <cols>
    <col min="1" max="1" width="9.140625" style="1"/>
    <col min="2" max="2" width="10" style="1" customWidth="1"/>
    <col min="3" max="4" width="11" style="1" customWidth="1"/>
    <col min="5" max="5" width="11.28515625" style="1" customWidth="1"/>
    <col min="6" max="6" width="1.7109375" style="1" customWidth="1"/>
    <col min="7" max="7" width="10" style="1" customWidth="1"/>
    <col min="8" max="9" width="11" style="1" customWidth="1"/>
    <col min="10" max="10" width="11.28515625" style="1" customWidth="1"/>
    <col min="11" max="11" width="10" style="1" customWidth="1"/>
    <col min="12" max="13" width="11" style="1" customWidth="1"/>
    <col min="14" max="14" width="11.28515625" style="1" customWidth="1"/>
    <col min="15" max="15" width="14.7109375" style="1" customWidth="1"/>
    <col min="16" max="16384" width="9.140625" style="1"/>
  </cols>
  <sheetData>
    <row r="2" spans="1:23" ht="16.899999999999999" customHeight="1" x14ac:dyDescent="0.55000000000000004">
      <c r="A2" s="36" t="s">
        <v>43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</row>
    <row r="3" spans="1:23" ht="14.25" customHeight="1" x14ac:dyDescent="0.25">
      <c r="A3" s="43" t="s">
        <v>42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</row>
    <row r="4" spans="1:23" ht="6.7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23" ht="21" x14ac:dyDescent="0.55000000000000004">
      <c r="A5" s="40" t="s">
        <v>13</v>
      </c>
      <c r="B5" s="46" t="s">
        <v>30</v>
      </c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37" t="s">
        <v>18</v>
      </c>
    </row>
    <row r="6" spans="1:23" x14ac:dyDescent="0.25">
      <c r="A6" s="41"/>
      <c r="B6" s="44">
        <v>2012</v>
      </c>
      <c r="C6" s="44"/>
      <c r="D6" s="44"/>
      <c r="E6" s="44"/>
      <c r="F6" s="34"/>
      <c r="G6" s="44">
        <v>2013</v>
      </c>
      <c r="H6" s="44"/>
      <c r="I6" s="44"/>
      <c r="J6" s="44"/>
      <c r="K6" s="45">
        <v>2014</v>
      </c>
      <c r="L6" s="44"/>
      <c r="M6" s="44"/>
      <c r="N6" s="44"/>
      <c r="O6" s="38"/>
      <c r="R6" s="12"/>
      <c r="S6" s="12"/>
      <c r="T6" s="12"/>
      <c r="U6" s="12"/>
      <c r="V6" s="12"/>
      <c r="W6" s="12"/>
    </row>
    <row r="7" spans="1:23" x14ac:dyDescent="0.25">
      <c r="A7" s="42"/>
      <c r="B7" s="35" t="s">
        <v>0</v>
      </c>
      <c r="C7" s="35" t="s">
        <v>15</v>
      </c>
      <c r="D7" s="35" t="s">
        <v>16</v>
      </c>
      <c r="E7" s="23" t="s">
        <v>32</v>
      </c>
      <c r="F7" s="5"/>
      <c r="G7" s="35" t="s">
        <v>0</v>
      </c>
      <c r="H7" s="35" t="s">
        <v>15</v>
      </c>
      <c r="I7" s="35" t="s">
        <v>16</v>
      </c>
      <c r="J7" s="23" t="s">
        <v>32</v>
      </c>
      <c r="K7" s="24" t="s">
        <v>0</v>
      </c>
      <c r="L7" s="35" t="s">
        <v>15</v>
      </c>
      <c r="M7" s="35" t="s">
        <v>16</v>
      </c>
      <c r="N7" s="23" t="s">
        <v>32</v>
      </c>
      <c r="O7" s="39"/>
      <c r="R7" s="12"/>
      <c r="S7" s="12"/>
      <c r="T7" s="12"/>
      <c r="U7" s="12"/>
      <c r="V7" s="12"/>
      <c r="W7" s="12"/>
    </row>
    <row r="8" spans="1:23" ht="24.75" customHeight="1" x14ac:dyDescent="0.25">
      <c r="A8" s="9" t="s">
        <v>1</v>
      </c>
      <c r="B8" s="14">
        <f>SUM(C8:E8)</f>
        <v>15031</v>
      </c>
      <c r="C8" s="14">
        <v>2952</v>
      </c>
      <c r="D8" s="14">
        <v>5170</v>
      </c>
      <c r="E8" s="14">
        <v>6909</v>
      </c>
      <c r="F8" s="18"/>
      <c r="G8" s="14">
        <f>SUM(H8:J8)</f>
        <v>15309</v>
      </c>
      <c r="H8" s="14">
        <v>2849</v>
      </c>
      <c r="I8" s="14">
        <v>5055</v>
      </c>
      <c r="J8" s="14">
        <v>7405</v>
      </c>
      <c r="K8" s="25">
        <f>SUM(L8:N8)</f>
        <v>15397</v>
      </c>
      <c r="L8" s="15">
        <v>3613</v>
      </c>
      <c r="M8" s="15">
        <v>4907</v>
      </c>
      <c r="N8" s="15">
        <v>6877</v>
      </c>
      <c r="O8" s="8" t="s">
        <v>19</v>
      </c>
      <c r="R8" s="12"/>
      <c r="S8" s="12"/>
      <c r="T8" s="12"/>
      <c r="U8" s="12"/>
      <c r="V8" s="12"/>
      <c r="W8" s="12"/>
    </row>
    <row r="9" spans="1:23" ht="24.75" customHeight="1" x14ac:dyDescent="0.25">
      <c r="A9" s="9" t="s">
        <v>2</v>
      </c>
      <c r="B9" s="14">
        <f t="shared" ref="B9:B19" si="0">SUM(C9:E9)</f>
        <v>15176</v>
      </c>
      <c r="C9" s="14">
        <v>3097</v>
      </c>
      <c r="D9" s="14">
        <v>5167</v>
      </c>
      <c r="E9" s="14">
        <v>6912</v>
      </c>
      <c r="F9" s="18"/>
      <c r="G9" s="14">
        <f t="shared" ref="G9:G19" si="1">SUM(H9:J9)</f>
        <v>15360</v>
      </c>
      <c r="H9" s="14">
        <v>2918</v>
      </c>
      <c r="I9" s="14">
        <v>5060</v>
      </c>
      <c r="J9" s="14">
        <v>7382</v>
      </c>
      <c r="K9" s="25">
        <f t="shared" ref="K9:K19" si="2">SUM(L9:N9)</f>
        <v>15683</v>
      </c>
      <c r="L9" s="15">
        <v>3897</v>
      </c>
      <c r="M9" s="15">
        <v>4909</v>
      </c>
      <c r="N9" s="15">
        <v>6877</v>
      </c>
      <c r="O9" s="8" t="s">
        <v>20</v>
      </c>
      <c r="R9" s="12"/>
      <c r="S9" s="12"/>
      <c r="T9" s="12"/>
      <c r="U9" s="12"/>
      <c r="V9" s="12"/>
      <c r="W9" s="12"/>
    </row>
    <row r="10" spans="1:23" ht="24.75" customHeight="1" x14ac:dyDescent="0.25">
      <c r="A10" s="9" t="s">
        <v>3</v>
      </c>
      <c r="B10" s="14">
        <f t="shared" si="0"/>
        <v>15205</v>
      </c>
      <c r="C10" s="14">
        <v>3119</v>
      </c>
      <c r="D10" s="14">
        <v>5168</v>
      </c>
      <c r="E10" s="14">
        <v>6918</v>
      </c>
      <c r="F10" s="18"/>
      <c r="G10" s="14">
        <f t="shared" si="1"/>
        <v>15435</v>
      </c>
      <c r="H10" s="14">
        <v>2965</v>
      </c>
      <c r="I10" s="14">
        <v>5075</v>
      </c>
      <c r="J10" s="14">
        <v>7395</v>
      </c>
      <c r="K10" s="25">
        <f t="shared" si="2"/>
        <v>15823</v>
      </c>
      <c r="L10" s="15">
        <v>3997</v>
      </c>
      <c r="M10" s="15">
        <v>4937</v>
      </c>
      <c r="N10" s="15">
        <v>6889</v>
      </c>
      <c r="O10" s="8" t="s">
        <v>21</v>
      </c>
      <c r="R10" s="12"/>
      <c r="S10" s="12"/>
      <c r="T10" s="12"/>
      <c r="U10" s="12"/>
      <c r="V10" s="12"/>
      <c r="W10" s="12"/>
    </row>
    <row r="11" spans="1:23" ht="24.75" customHeight="1" x14ac:dyDescent="0.25">
      <c r="A11" s="9" t="s">
        <v>4</v>
      </c>
      <c r="B11" s="14">
        <f t="shared" si="0"/>
        <v>15224</v>
      </c>
      <c r="C11" s="14">
        <v>3137</v>
      </c>
      <c r="D11" s="14">
        <v>5154</v>
      </c>
      <c r="E11" s="14">
        <v>6933</v>
      </c>
      <c r="F11" s="18"/>
      <c r="G11" s="14">
        <f t="shared" si="1"/>
        <v>15487</v>
      </c>
      <c r="H11" s="14">
        <v>3031</v>
      </c>
      <c r="I11" s="14">
        <v>5070</v>
      </c>
      <c r="J11" s="14">
        <v>7386</v>
      </c>
      <c r="K11" s="25">
        <f t="shared" si="2"/>
        <v>15854</v>
      </c>
      <c r="L11" s="15">
        <v>4047</v>
      </c>
      <c r="M11" s="15">
        <v>4926</v>
      </c>
      <c r="N11" s="15">
        <v>6881</v>
      </c>
      <c r="O11" s="8" t="s">
        <v>22</v>
      </c>
      <c r="R11" s="12"/>
      <c r="S11" s="12"/>
      <c r="T11" s="12"/>
      <c r="U11" s="12"/>
      <c r="V11" s="12"/>
      <c r="W11" s="12"/>
    </row>
    <row r="12" spans="1:23" ht="24.75" customHeight="1" x14ac:dyDescent="0.25">
      <c r="A12" s="9" t="s">
        <v>5</v>
      </c>
      <c r="B12" s="14">
        <f t="shared" si="0"/>
        <v>15274</v>
      </c>
      <c r="C12" s="14">
        <v>3174</v>
      </c>
      <c r="D12" s="14">
        <v>5149</v>
      </c>
      <c r="E12" s="14">
        <v>6951</v>
      </c>
      <c r="F12" s="18"/>
      <c r="G12" s="14">
        <f t="shared" si="1"/>
        <v>15396</v>
      </c>
      <c r="H12" s="14">
        <v>3872</v>
      </c>
      <c r="I12" s="14">
        <v>5018</v>
      </c>
      <c r="J12" s="14">
        <v>6506</v>
      </c>
      <c r="K12" s="25">
        <f t="shared" si="2"/>
        <v>15792</v>
      </c>
      <c r="L12" s="15">
        <v>4094</v>
      </c>
      <c r="M12" s="15">
        <v>4887</v>
      </c>
      <c r="N12" s="15">
        <v>6811</v>
      </c>
      <c r="O12" s="8" t="s">
        <v>23</v>
      </c>
      <c r="R12" s="12"/>
      <c r="S12" s="12"/>
      <c r="T12" s="12"/>
      <c r="U12" s="12"/>
      <c r="V12" s="12"/>
      <c r="W12" s="12"/>
    </row>
    <row r="13" spans="1:23" ht="24.75" customHeight="1" x14ac:dyDescent="0.25">
      <c r="A13" s="9" t="s">
        <v>6</v>
      </c>
      <c r="B13" s="14">
        <f t="shared" si="0"/>
        <v>15298</v>
      </c>
      <c r="C13" s="14">
        <v>3184</v>
      </c>
      <c r="D13" s="14">
        <v>5146</v>
      </c>
      <c r="E13" s="14">
        <v>6968</v>
      </c>
      <c r="F13" s="18"/>
      <c r="G13" s="14">
        <f t="shared" si="1"/>
        <v>15450</v>
      </c>
      <c r="H13" s="14">
        <v>3919</v>
      </c>
      <c r="I13" s="14">
        <v>5007</v>
      </c>
      <c r="J13" s="14">
        <v>6524</v>
      </c>
      <c r="K13" s="25">
        <f t="shared" si="2"/>
        <v>15794</v>
      </c>
      <c r="L13" s="15">
        <v>4096</v>
      </c>
      <c r="M13" s="15">
        <v>4880</v>
      </c>
      <c r="N13" s="15">
        <v>6818</v>
      </c>
      <c r="O13" s="8" t="s">
        <v>24</v>
      </c>
      <c r="R13" s="12"/>
      <c r="S13" s="12"/>
      <c r="T13" s="12"/>
      <c r="U13" s="12"/>
      <c r="V13" s="12"/>
      <c r="W13" s="12"/>
    </row>
    <row r="14" spans="1:23" ht="24.75" customHeight="1" x14ac:dyDescent="0.25">
      <c r="A14" s="9" t="s">
        <v>7</v>
      </c>
      <c r="B14" s="14">
        <f t="shared" si="0"/>
        <v>15252</v>
      </c>
      <c r="C14" s="14">
        <v>3190</v>
      </c>
      <c r="D14" s="14">
        <v>5111</v>
      </c>
      <c r="E14" s="14">
        <v>6951</v>
      </c>
      <c r="F14" s="18"/>
      <c r="G14" s="14">
        <f t="shared" si="1"/>
        <v>15487</v>
      </c>
      <c r="H14" s="14">
        <v>3970</v>
      </c>
      <c r="I14" s="14">
        <v>4987</v>
      </c>
      <c r="J14" s="14">
        <v>6530</v>
      </c>
      <c r="K14" s="25">
        <f t="shared" si="2"/>
        <v>15858</v>
      </c>
      <c r="L14" s="15">
        <v>4128</v>
      </c>
      <c r="M14" s="15">
        <v>4879</v>
      </c>
      <c r="N14" s="15">
        <v>6851</v>
      </c>
      <c r="O14" s="8" t="s">
        <v>25</v>
      </c>
      <c r="R14" s="12"/>
      <c r="S14" s="12"/>
      <c r="T14" s="12"/>
      <c r="U14" s="12"/>
      <c r="V14" s="12"/>
      <c r="W14" s="12"/>
    </row>
    <row r="15" spans="1:23" ht="24.75" customHeight="1" x14ac:dyDescent="0.25">
      <c r="A15" s="9" t="s">
        <v>8</v>
      </c>
      <c r="B15" s="14">
        <f t="shared" si="0"/>
        <v>15256</v>
      </c>
      <c r="C15" s="14">
        <v>3184</v>
      </c>
      <c r="D15" s="14">
        <v>5120</v>
      </c>
      <c r="E15" s="14">
        <v>6952</v>
      </c>
      <c r="F15" s="18"/>
      <c r="G15" s="14">
        <f t="shared" si="1"/>
        <v>15550</v>
      </c>
      <c r="H15" s="14">
        <v>4009</v>
      </c>
      <c r="I15" s="14">
        <v>4994</v>
      </c>
      <c r="J15" s="14">
        <v>6547</v>
      </c>
      <c r="K15" s="25">
        <f t="shared" si="2"/>
        <v>15846</v>
      </c>
      <c r="L15" s="15">
        <v>4149</v>
      </c>
      <c r="M15" s="15">
        <v>4866</v>
      </c>
      <c r="N15" s="15">
        <v>6831</v>
      </c>
      <c r="O15" s="8" t="s">
        <v>26</v>
      </c>
      <c r="R15" s="12"/>
      <c r="S15" s="12"/>
      <c r="T15" s="12"/>
      <c r="U15" s="12"/>
      <c r="V15" s="12"/>
      <c r="W15" s="12"/>
    </row>
    <row r="16" spans="1:23" ht="24.75" customHeight="1" x14ac:dyDescent="0.25">
      <c r="A16" s="9" t="s">
        <v>9</v>
      </c>
      <c r="B16" s="14">
        <f t="shared" si="0"/>
        <v>15248</v>
      </c>
      <c r="C16" s="14">
        <v>3185</v>
      </c>
      <c r="D16" s="14">
        <v>5122</v>
      </c>
      <c r="E16" s="14">
        <v>6941</v>
      </c>
      <c r="F16" s="18"/>
      <c r="G16" s="14">
        <f t="shared" si="1"/>
        <v>15535</v>
      </c>
      <c r="H16" s="14">
        <v>3988</v>
      </c>
      <c r="I16" s="14">
        <v>5002</v>
      </c>
      <c r="J16" s="14">
        <v>6545</v>
      </c>
      <c r="K16" s="25">
        <f t="shared" si="2"/>
        <v>15858</v>
      </c>
      <c r="L16" s="15">
        <v>4193</v>
      </c>
      <c r="M16" s="15">
        <v>4854</v>
      </c>
      <c r="N16" s="15">
        <v>6811</v>
      </c>
      <c r="O16" s="8" t="s">
        <v>27</v>
      </c>
      <c r="R16" s="12"/>
      <c r="S16" s="12"/>
      <c r="T16" s="12"/>
      <c r="U16" s="12"/>
      <c r="V16" s="12"/>
      <c r="W16" s="12"/>
    </row>
    <row r="17" spans="1:36" ht="24.75" customHeight="1" x14ac:dyDescent="0.25">
      <c r="A17" s="9" t="s">
        <v>10</v>
      </c>
      <c r="B17" s="14">
        <f t="shared" si="0"/>
        <v>15262</v>
      </c>
      <c r="C17" s="14">
        <v>3184</v>
      </c>
      <c r="D17" s="14">
        <v>5135</v>
      </c>
      <c r="E17" s="14">
        <v>6943</v>
      </c>
      <c r="F17" s="18"/>
      <c r="G17" s="14">
        <f t="shared" si="1"/>
        <v>15482</v>
      </c>
      <c r="H17" s="14">
        <v>4012</v>
      </c>
      <c r="I17" s="14">
        <v>4980</v>
      </c>
      <c r="J17" s="14">
        <v>6490</v>
      </c>
      <c r="K17" s="25">
        <f t="shared" si="2"/>
        <v>15892</v>
      </c>
      <c r="L17" s="15">
        <v>4219</v>
      </c>
      <c r="M17" s="15">
        <v>4850</v>
      </c>
      <c r="N17" s="15">
        <v>6823</v>
      </c>
      <c r="O17" s="8" t="s">
        <v>28</v>
      </c>
      <c r="R17" s="12"/>
      <c r="S17" s="12"/>
      <c r="T17" s="12"/>
      <c r="U17" s="12"/>
      <c r="V17" s="12"/>
      <c r="W17" s="12"/>
    </row>
    <row r="18" spans="1:36" ht="24.75" customHeight="1" x14ac:dyDescent="0.55000000000000004">
      <c r="A18" s="9" t="s">
        <v>11</v>
      </c>
      <c r="B18" s="14">
        <f t="shared" si="0"/>
        <v>15277</v>
      </c>
      <c r="C18" s="14">
        <v>3178</v>
      </c>
      <c r="D18" s="14">
        <v>5145</v>
      </c>
      <c r="E18" s="14">
        <v>6954</v>
      </c>
      <c r="F18" s="18"/>
      <c r="G18" s="14">
        <f t="shared" si="1"/>
        <v>15494</v>
      </c>
      <c r="H18" s="14">
        <v>4046</v>
      </c>
      <c r="I18" s="14">
        <v>4978</v>
      </c>
      <c r="J18" s="14">
        <v>6470</v>
      </c>
      <c r="K18" s="25">
        <f t="shared" si="2"/>
        <v>15780</v>
      </c>
      <c r="L18" s="15">
        <v>4250</v>
      </c>
      <c r="M18" s="15">
        <v>4817</v>
      </c>
      <c r="N18" s="15">
        <v>6713</v>
      </c>
      <c r="O18" s="3" t="s">
        <v>31</v>
      </c>
    </row>
    <row r="19" spans="1:36" ht="24.75" customHeight="1" x14ac:dyDescent="0.25">
      <c r="A19" s="10" t="s">
        <v>12</v>
      </c>
      <c r="B19" s="16">
        <f t="shared" si="0"/>
        <v>15268</v>
      </c>
      <c r="C19" s="16">
        <v>3208</v>
      </c>
      <c r="D19" s="16">
        <v>5124</v>
      </c>
      <c r="E19" s="16">
        <v>6936</v>
      </c>
      <c r="F19" s="19"/>
      <c r="G19" s="16">
        <f t="shared" si="1"/>
        <v>15447</v>
      </c>
      <c r="H19" s="16">
        <v>4060</v>
      </c>
      <c r="I19" s="16">
        <v>4955</v>
      </c>
      <c r="J19" s="16">
        <v>6432</v>
      </c>
      <c r="K19" s="26">
        <f t="shared" si="2"/>
        <v>15767</v>
      </c>
      <c r="L19" s="16">
        <v>4303</v>
      </c>
      <c r="M19" s="16">
        <v>4795</v>
      </c>
      <c r="N19" s="16">
        <v>6669</v>
      </c>
      <c r="O19" s="11" t="s">
        <v>29</v>
      </c>
      <c r="Q19" s="22"/>
    </row>
    <row r="20" spans="1:36" s="28" customFormat="1" ht="17.25" x14ac:dyDescent="0.45">
      <c r="A20" s="27" t="s">
        <v>17</v>
      </c>
      <c r="O20" s="29" t="s">
        <v>34</v>
      </c>
    </row>
    <row r="21" spans="1:36" ht="18.75" x14ac:dyDescent="0.5">
      <c r="A21" s="6"/>
      <c r="O21" s="7"/>
      <c r="AE21" s="1" t="s">
        <v>35</v>
      </c>
    </row>
    <row r="22" spans="1:36" x14ac:dyDescent="0.25">
      <c r="AD22" s="13" t="s">
        <v>45</v>
      </c>
      <c r="AE22" s="1" t="s">
        <v>38</v>
      </c>
      <c r="AF22" s="1" t="s">
        <v>14</v>
      </c>
      <c r="AG22" s="35" t="s">
        <v>15</v>
      </c>
      <c r="AH22" s="35" t="s">
        <v>16</v>
      </c>
      <c r="AI22" s="17" t="s">
        <v>32</v>
      </c>
      <c r="AJ22" s="31" t="s">
        <v>0</v>
      </c>
    </row>
    <row r="23" spans="1:36" x14ac:dyDescent="0.25">
      <c r="AD23" s="1" t="s">
        <v>33</v>
      </c>
      <c r="AE23" s="1">
        <v>0</v>
      </c>
      <c r="AF23" s="1">
        <v>0</v>
      </c>
      <c r="AG23" s="22">
        <f>L19</f>
        <v>4303</v>
      </c>
      <c r="AH23" s="22">
        <f>M19</f>
        <v>4795</v>
      </c>
      <c r="AI23" s="22">
        <f>N19</f>
        <v>6669</v>
      </c>
      <c r="AJ23" s="1">
        <f>SUM(AE23:AI23)</f>
        <v>15767</v>
      </c>
    </row>
    <row r="24" spans="1:36" x14ac:dyDescent="0.25">
      <c r="AD24" s="1" t="s">
        <v>37</v>
      </c>
      <c r="AE24" s="4">
        <v>2695</v>
      </c>
      <c r="AF24" s="4">
        <v>1514</v>
      </c>
      <c r="AG24" s="4">
        <v>992</v>
      </c>
      <c r="AH24" s="4">
        <v>898</v>
      </c>
      <c r="AI24" s="4">
        <v>1185</v>
      </c>
      <c r="AJ24" s="1">
        <f>SUM(AE24:AI24)</f>
        <v>7284</v>
      </c>
    </row>
    <row r="25" spans="1:36" x14ac:dyDescent="0.25">
      <c r="AD25" s="1" t="s">
        <v>36</v>
      </c>
      <c r="AE25" s="1">
        <v>0</v>
      </c>
      <c r="AF25" s="33">
        <v>5</v>
      </c>
      <c r="AG25" s="33">
        <v>616</v>
      </c>
      <c r="AH25" s="33">
        <v>25</v>
      </c>
      <c r="AI25" s="33">
        <v>0</v>
      </c>
      <c r="AJ25" s="1">
        <f>SUM(AE25:AI25)</f>
        <v>646</v>
      </c>
    </row>
    <row r="26" spans="1:36" x14ac:dyDescent="0.25">
      <c r="AD26" s="30" t="s">
        <v>44</v>
      </c>
      <c r="AG26" s="4">
        <v>4570</v>
      </c>
      <c r="AH26" s="4">
        <v>4874</v>
      </c>
      <c r="AI26" s="4">
        <v>6754</v>
      </c>
      <c r="AJ26" s="1">
        <f>SUM(AE26:AI26)</f>
        <v>16198</v>
      </c>
    </row>
    <row r="30" spans="1:36" x14ac:dyDescent="0.25">
      <c r="AD30" s="1" t="s">
        <v>39</v>
      </c>
    </row>
    <row r="31" spans="1:36" x14ac:dyDescent="0.25">
      <c r="AE31" s="1" t="s">
        <v>38</v>
      </c>
      <c r="AF31" s="1" t="s">
        <v>14</v>
      </c>
      <c r="AG31" s="35" t="s">
        <v>15</v>
      </c>
      <c r="AH31" s="35" t="s">
        <v>16</v>
      </c>
      <c r="AI31" s="17" t="s">
        <v>32</v>
      </c>
    </row>
    <row r="32" spans="1:36" x14ac:dyDescent="0.25">
      <c r="AD32" s="1" t="s">
        <v>37</v>
      </c>
      <c r="AE32" s="21">
        <f t="shared" ref="AE32:AJ32" si="3">AE24/$AJ$24*100</f>
        <v>36.998901702361344</v>
      </c>
      <c r="AF32" s="21">
        <f t="shared" si="3"/>
        <v>20.785282811641956</v>
      </c>
      <c r="AG32" s="21">
        <f t="shared" si="3"/>
        <v>13.618890719384954</v>
      </c>
      <c r="AH32" s="21">
        <f t="shared" si="3"/>
        <v>12.328390993959363</v>
      </c>
      <c r="AI32" s="21">
        <f t="shared" si="3"/>
        <v>16.26853377265239</v>
      </c>
      <c r="AJ32" s="20">
        <f t="shared" si="3"/>
        <v>100</v>
      </c>
    </row>
    <row r="36" spans="31:36" ht="17.25" customHeight="1" x14ac:dyDescent="0.25">
      <c r="AE36" s="23" t="s">
        <v>41</v>
      </c>
      <c r="AF36" s="23" t="s">
        <v>14</v>
      </c>
      <c r="AG36" s="23" t="s">
        <v>15</v>
      </c>
      <c r="AH36" s="23" t="s">
        <v>16</v>
      </c>
      <c r="AI36" s="23" t="s">
        <v>40</v>
      </c>
    </row>
    <row r="37" spans="31:36" x14ac:dyDescent="0.25">
      <c r="AE37" s="20">
        <f>AE38/AJ38*100</f>
        <v>36.998901702361344</v>
      </c>
      <c r="AF37" s="20">
        <f>AF38/AJ38*100</f>
        <v>20.785282811641956</v>
      </c>
      <c r="AG37" s="20">
        <f>AG38/AJ38*100</f>
        <v>13.618890719384954</v>
      </c>
      <c r="AH37" s="20">
        <f>AH38/AJ38*100</f>
        <v>12.328390993959363</v>
      </c>
      <c r="AI37" s="20">
        <f>AI38/AJ38*100</f>
        <v>16.26853377265239</v>
      </c>
    </row>
    <row r="38" spans="31:36" x14ac:dyDescent="0.25">
      <c r="AE38" s="4">
        <v>2695</v>
      </c>
      <c r="AF38" s="4">
        <v>1514</v>
      </c>
      <c r="AG38" s="4">
        <v>992</v>
      </c>
      <c r="AH38" s="4">
        <v>898</v>
      </c>
      <c r="AI38" s="4">
        <v>1185</v>
      </c>
      <c r="AJ38" s="32">
        <f>SUM(AE38:AI38)</f>
        <v>7284</v>
      </c>
    </row>
  </sheetData>
  <mergeCells count="8">
    <mergeCell ref="A2:O2"/>
    <mergeCell ref="A3:O3"/>
    <mergeCell ref="A5:A7"/>
    <mergeCell ref="O5:O7"/>
    <mergeCell ref="B6:E6"/>
    <mergeCell ref="G6:J6"/>
    <mergeCell ref="K6:N6"/>
    <mergeCell ref="B5:N5"/>
  </mergeCells>
  <pageMargins left="0.38" right="0.36" top="0.23" bottom="0.27" header="0.17" footer="0.17"/>
  <pageSetup paperSize="9" scale="85" orientation="landscape" r:id="rId1"/>
  <rowBreaks count="1" manualBreakCount="1">
    <brk id="3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18.4</vt:lpstr>
      <vt:lpstr>'18.4'!Print_Area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Fathmath Shifaza</cp:lastModifiedBy>
  <cp:lastPrinted>2016-03-16T08:43:17Z</cp:lastPrinted>
  <dcterms:created xsi:type="dcterms:W3CDTF">2013-03-14T06:06:17Z</dcterms:created>
  <dcterms:modified xsi:type="dcterms:W3CDTF">2016-03-16T08:43:21Z</dcterms:modified>
</cp:coreProperties>
</file>