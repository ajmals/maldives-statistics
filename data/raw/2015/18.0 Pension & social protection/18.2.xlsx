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225" windowWidth="6975" windowHeight="4110" tabRatio="775"/>
  </bookViews>
  <sheets>
    <sheet name="18.2" sheetId="20" r:id="rId1"/>
  </sheets>
  <definedNames>
    <definedName name="_xlnm.Print_Area" localSheetId="0">'18.2'!$A$1:$L$37</definedName>
  </definedNames>
  <calcPr calcId="144525"/>
</workbook>
</file>

<file path=xl/calcChain.xml><?xml version="1.0" encoding="utf-8"?>
<calcChain xmlns="http://schemas.openxmlformats.org/spreadsheetml/2006/main">
  <c r="AM27" i="20" l="1"/>
  <c r="AL27" i="20"/>
  <c r="AK27" i="20"/>
  <c r="D8" i="20"/>
  <c r="AQ24" i="20" s="1"/>
  <c r="AN24" i="20" s="1"/>
  <c r="K8" i="20" l="1"/>
  <c r="AQ27" i="20" s="1"/>
  <c r="AN27" i="20" s="1"/>
  <c r="J8" i="20"/>
  <c r="AQ25" i="20" s="1"/>
  <c r="AN25" i="20" s="1"/>
  <c r="G8" i="20"/>
  <c r="AQ26" i="20" s="1"/>
  <c r="AN26" i="20" s="1"/>
  <c r="AK24" i="20" l="1"/>
  <c r="F8" i="20" l="1"/>
  <c r="AP26" i="20" s="1"/>
  <c r="AM26" i="20" s="1"/>
  <c r="I8" i="20" l="1"/>
  <c r="AP25" i="20" s="1"/>
  <c r="AM25" i="20" s="1"/>
  <c r="B8" i="20"/>
  <c r="AO24" i="20" s="1"/>
  <c r="AK26" i="20" l="1"/>
  <c r="AK25" i="20"/>
  <c r="H8" i="20"/>
  <c r="AO25" i="20" s="1"/>
  <c r="AL25" i="20" s="1"/>
  <c r="E8" i="20"/>
  <c r="AO26" i="20" s="1"/>
  <c r="AL26" i="20" s="1"/>
  <c r="C8" i="20"/>
  <c r="AP24" i="20" s="1"/>
  <c r="AL24" i="20"/>
  <c r="AM24" i="20" l="1"/>
</calcChain>
</file>

<file path=xl/sharedStrings.xml><?xml version="1.0" encoding="utf-8"?>
<sst xmlns="http://schemas.openxmlformats.org/spreadsheetml/2006/main" count="47" uniqueCount="46">
  <si>
    <t>Total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</si>
  <si>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</si>
  <si>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</si>
  <si>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</si>
  <si>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</si>
  <si>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</si>
  <si>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</si>
  <si>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</si>
  <si>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</si>
  <si>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</si>
  <si>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</si>
  <si>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</si>
  <si>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</si>
  <si>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Month</t>
  </si>
  <si>
    <t>އަސާސީ ޕެންޝަން</t>
  </si>
  <si>
    <t>ރިޓަޔަރމަންޓް ޕެންޝަން</t>
  </si>
  <si>
    <t>ޖުމްލަ</t>
  </si>
  <si>
    <t>އެހެނިހެން ޕެންޝަން</t>
  </si>
  <si>
    <t>Source: Maldives Pension Administration</t>
  </si>
  <si>
    <t>މަސް</t>
  </si>
  <si>
    <t>ޖެނުއަރީ</t>
  </si>
  <si>
    <t>ފެބްރުއަރީ</t>
  </si>
  <si>
    <t>މާޗް</t>
  </si>
  <si>
    <t>އޭޕްރީލް</t>
  </si>
  <si>
    <t>މެއި</t>
  </si>
  <si>
    <t>ޖޫން</t>
  </si>
  <si>
    <t>ޖުލައި</t>
  </si>
  <si>
    <t>އޮގަސްޓް</t>
  </si>
  <si>
    <t>ސެޕްޓެމްބަރ</t>
  </si>
  <si>
    <t>އޮކްޓޫބަރ</t>
  </si>
  <si>
    <t>ޑިސެމްބަރ</t>
  </si>
  <si>
    <t>ނޮވެމްބަރ</t>
  </si>
  <si>
    <t>Basic pension</t>
  </si>
  <si>
    <t>Retirement  pension</t>
  </si>
  <si>
    <t>Other  pension</t>
  </si>
  <si>
    <t>މަޢުލޫމާތު ދެއްވި ފަރާތް: މޯލްޑިވްސް ޕެންޝަން އެޑްމިނިސްޓްރޭޝަން</t>
  </si>
  <si>
    <t>In million Rf</t>
  </si>
  <si>
    <t>In Rf</t>
  </si>
  <si>
    <t>(In MVR)</t>
  </si>
  <si>
    <t>(ރުފިޔާއިން)</t>
  </si>
  <si>
    <t>ތާވަލު 18.2: އެކި މަސްމަހު ޕެންޝަންގެ ގޮތުގައި ސްކީމްތަކުން ދެވުނު މިންވަރު، 2012 - 2014</t>
  </si>
  <si>
    <t>TABLE   18.2: MONTHLY PENSION PAYOUTS BY SCHEME , 2012 - 2014</t>
  </si>
  <si>
    <t>ސީނިއަ ސިޓިޒަން އެލަވަންސް</t>
  </si>
  <si>
    <t>Senior Citizen Allowance was introduced in February 2014.</t>
  </si>
  <si>
    <t xml:space="preserve">ސީނިއަރ ސިޓިޒަން އެލަވަންސް ސްކީމް ތަޢާރަފުކުރެވިފައިވާ ފެބްރުއަރީ 2014 ގައެވެ. </t>
  </si>
  <si>
    <t xml:space="preserve"> Senior Citizen Allowance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</si>
</sst>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(* #,##0_);_(* \(#,##0\);_(* &quot;-&quot;??_);_(@_)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Faruma"/>
    </font>
    <font>
      <b/>
      <sz val="11"/>
      <color theme="1"/>
      <name val="Faruma"/>
    </font>
    <font>
      <sz val="9"/>
      <color rgb="FF000000"/>
      <name val="Calibri"/>
      <family val="2"/>
      <scheme val="minor"/>
    </font>
    <font>
      <sz val="8"/>
      <color rgb="FF000000"/>
      <name val="Calibri"/>
      <family val="2"/>
      <scheme val="minor"/>
    </font>
    <font>
      <sz val="10"/>
      <name val="Arial"/>
      <family val="2"/>
    </font>
    <font>
      <b/>
      <sz val="9"/>
      <color theme="1" tint="0.14999847407452621"/>
      <name val="Calibri"/>
      <family val="2"/>
      <scheme val="minor"/>
    </font>
    <font>
      <b/>
      <sz val="9"/>
      <color theme="1"/>
      <name val="Faruma"/>
    </font>
    <font>
      <i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1"/>
      <name val="Faruma"/>
    </font>
    <font>
      <sz val="10"/>
      <name val="Courier"/>
      <family val="3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hair">
        <color auto="1"/>
      </right>
      <top/>
      <bottom/>
      <diagonal/>
    </border>
    <border>
      <left/>
      <right style="hair">
        <color auto="1"/>
      </right>
      <top/>
      <bottom style="thin">
        <color indexed="64"/>
      </bottom>
      <diagonal/>
    </border>
    <border>
      <left/>
      <right/>
      <top/>
      <bottom style="hair">
        <color auto="1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7" fillId="0" borderId="0"/>
    <xf numFmtId="164" fontId="13" fillId="0" borderId="0"/>
  </cellStyleXfs>
  <cellXfs count="73">
    <xf numFmtId="0" fontId="0" fillId="0" borderId="0" xfId="0"/>
    <xf numFmtId="0" fontId="0" fillId="2" borderId="0" xfId="0" applyFill="1"/>
    <xf numFmtId="0" fontId="0" fillId="2" borderId="0" xfId="0" applyFill="1" applyBorder="1"/>
    <xf numFmtId="0" fontId="2" fillId="2" borderId="5" xfId="0" applyFont="1" applyFill="1" applyBorder="1" applyAlignment="1">
      <alignment horizontal="right" vertical="center"/>
    </xf>
    <xf numFmtId="0" fontId="0" fillId="2" borderId="0" xfId="0" applyFill="1" applyAlignment="1">
      <alignment vertical="center"/>
    </xf>
    <xf numFmtId="0" fontId="0" fillId="2" borderId="0" xfId="0" applyFill="1" applyBorder="1" applyAlignment="1">
      <alignment vertical="center"/>
    </xf>
    <xf numFmtId="3" fontId="2" fillId="2" borderId="0" xfId="1" applyNumberFormat="1" applyFont="1" applyFill="1" applyBorder="1" applyAlignment="1">
      <alignment vertical="center"/>
    </xf>
    <xf numFmtId="3" fontId="0" fillId="2" borderId="0" xfId="1" applyNumberFormat="1" applyFont="1" applyFill="1" applyAlignment="1">
      <alignment vertical="center"/>
    </xf>
    <xf numFmtId="3" fontId="0" fillId="2" borderId="0" xfId="1" applyNumberFormat="1" applyFont="1" applyFill="1" applyBorder="1" applyAlignment="1">
      <alignment vertical="center"/>
    </xf>
    <xf numFmtId="3" fontId="0" fillId="2" borderId="1" xfId="1" applyNumberFormat="1" applyFont="1" applyFill="1" applyBorder="1" applyAlignment="1">
      <alignment vertical="center"/>
    </xf>
    <xf numFmtId="3" fontId="0" fillId="2" borderId="4" xfId="1" applyNumberFormat="1" applyFont="1" applyFill="1" applyBorder="1" applyAlignment="1">
      <alignment vertical="center"/>
    </xf>
    <xf numFmtId="3" fontId="0" fillId="2" borderId="5" xfId="1" applyNumberFormat="1" applyFont="1" applyFill="1" applyBorder="1" applyAlignment="1">
      <alignment vertical="center"/>
    </xf>
    <xf numFmtId="164" fontId="0" fillId="2" borderId="0" xfId="1" applyNumberFormat="1" applyFont="1" applyFill="1"/>
    <xf numFmtId="3" fontId="2" fillId="2" borderId="0" xfId="0" applyNumberFormat="1" applyFont="1" applyFill="1" applyBorder="1" applyAlignment="1">
      <alignment horizontal="right" vertical="center"/>
    </xf>
    <xf numFmtId="3" fontId="0" fillId="2" borderId="0" xfId="0" applyNumberFormat="1" applyFill="1"/>
    <xf numFmtId="0" fontId="5" fillId="2" borderId="0" xfId="0" applyFont="1" applyFill="1" applyAlignment="1">
      <alignment horizontal="center"/>
    </xf>
    <xf numFmtId="0" fontId="6" fillId="2" borderId="0" xfId="0" applyFont="1" applyFill="1" applyAlignment="1">
      <alignment horizontal="center"/>
    </xf>
    <xf numFmtId="0" fontId="6" fillId="2" borderId="0" xfId="0" applyFont="1" applyFill="1"/>
    <xf numFmtId="0" fontId="2" fillId="2" borderId="9" xfId="0" applyFont="1" applyFill="1" applyBorder="1" applyAlignment="1">
      <alignment horizontal="right" vertical="center"/>
    </xf>
    <xf numFmtId="0" fontId="2" fillId="2" borderId="7" xfId="0" applyFont="1" applyFill="1" applyBorder="1" applyAlignment="1">
      <alignment horizontal="right" vertical="center"/>
    </xf>
    <xf numFmtId="3" fontId="2" fillId="2" borderId="12" xfId="0" applyNumberFormat="1" applyFont="1" applyFill="1" applyBorder="1" applyAlignment="1">
      <alignment horizontal="right" vertical="center"/>
    </xf>
    <xf numFmtId="3" fontId="0" fillId="2" borderId="12" xfId="1" applyNumberFormat="1" applyFont="1" applyFill="1" applyBorder="1" applyAlignment="1">
      <alignment vertical="center"/>
    </xf>
    <xf numFmtId="3" fontId="0" fillId="2" borderId="7" xfId="1" applyNumberFormat="1" applyFont="1" applyFill="1" applyBorder="1" applyAlignment="1">
      <alignment vertical="center"/>
    </xf>
    <xf numFmtId="3" fontId="8" fillId="2" borderId="0" xfId="2" applyNumberFormat="1" applyFont="1" applyFill="1" applyBorder="1" applyAlignment="1" applyProtection="1">
      <alignment horizontal="right" vertical="center"/>
    </xf>
    <xf numFmtId="0" fontId="9" fillId="2" borderId="0" xfId="0" applyFont="1" applyFill="1" applyAlignment="1">
      <alignment horizontal="left" vertical="center"/>
    </xf>
    <xf numFmtId="0" fontId="0" fillId="2" borderId="0" xfId="0" applyFill="1" applyAlignment="1">
      <alignment horizontal="left" vertical="center" indent="1"/>
    </xf>
    <xf numFmtId="0" fontId="0" fillId="2" borderId="1" xfId="0" applyFill="1" applyBorder="1" applyAlignment="1">
      <alignment horizontal="left" vertical="center" indent="1"/>
    </xf>
    <xf numFmtId="0" fontId="3" fillId="2" borderId="0" xfId="0" applyFont="1" applyFill="1" applyBorder="1" applyAlignment="1">
      <alignment horizontal="right" vertical="center" indent="1"/>
    </xf>
    <xf numFmtId="0" fontId="3" fillId="2" borderId="0" xfId="0" applyFont="1" applyFill="1" applyBorder="1" applyAlignment="1">
      <alignment horizontal="right" indent="1"/>
    </xf>
    <xf numFmtId="0" fontId="3" fillId="2" borderId="1" xfId="0" applyFont="1" applyFill="1" applyBorder="1" applyAlignment="1">
      <alignment horizontal="right" vertical="center" indent="1"/>
    </xf>
    <xf numFmtId="0" fontId="10" fillId="2" borderId="0" xfId="0" applyFont="1" applyFill="1"/>
    <xf numFmtId="0" fontId="11" fillId="2" borderId="0" xfId="0" applyFont="1" applyFill="1"/>
    <xf numFmtId="0" fontId="12" fillId="2" borderId="0" xfId="0" applyFont="1" applyFill="1"/>
    <xf numFmtId="0" fontId="5" fillId="2" borderId="0" xfId="0" applyFont="1" applyFill="1"/>
    <xf numFmtId="3" fontId="2" fillId="2" borderId="0" xfId="1" applyNumberFormat="1" applyFont="1" applyFill="1" applyAlignment="1">
      <alignment vertical="center"/>
    </xf>
    <xf numFmtId="0" fontId="5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vertical="center"/>
    </xf>
    <xf numFmtId="0" fontId="2" fillId="2" borderId="0" xfId="0" applyFont="1" applyFill="1" applyBorder="1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right" vertical="center"/>
    </xf>
    <xf numFmtId="3" fontId="5" fillId="2" borderId="0" xfId="0" applyNumberFormat="1" applyFont="1" applyFill="1" applyAlignment="1">
      <alignment horizontal="center"/>
    </xf>
    <xf numFmtId="0" fontId="4" fillId="2" borderId="10" xfId="0" applyFont="1" applyFill="1" applyBorder="1" applyAlignment="1">
      <alignment vertical="center"/>
    </xf>
    <xf numFmtId="3" fontId="2" fillId="2" borderId="4" xfId="1" applyNumberFormat="1" applyFont="1" applyFill="1" applyBorder="1" applyAlignment="1">
      <alignment vertical="center"/>
    </xf>
    <xf numFmtId="0" fontId="2" fillId="2" borderId="11" xfId="0" applyFont="1" applyFill="1" applyBorder="1" applyAlignment="1">
      <alignment horizontal="right" vertical="center"/>
    </xf>
    <xf numFmtId="3" fontId="2" fillId="2" borderId="12" xfId="1" applyNumberFormat="1" applyFont="1" applyFill="1" applyBorder="1" applyAlignment="1">
      <alignment horizontal="right" vertical="center" indent="2"/>
    </xf>
    <xf numFmtId="43" fontId="0" fillId="2" borderId="12" xfId="1" applyFont="1" applyFill="1" applyBorder="1" applyAlignment="1">
      <alignment horizontal="right" vertical="center" indent="2"/>
    </xf>
    <xf numFmtId="3" fontId="0" fillId="2" borderId="12" xfId="1" applyNumberFormat="1" applyFont="1" applyFill="1" applyBorder="1" applyAlignment="1">
      <alignment horizontal="right" vertical="center" indent="2"/>
    </xf>
    <xf numFmtId="3" fontId="0" fillId="2" borderId="7" xfId="1" applyNumberFormat="1" applyFont="1" applyFill="1" applyBorder="1" applyAlignment="1">
      <alignment horizontal="right" vertical="center" indent="2"/>
    </xf>
    <xf numFmtId="0" fontId="2" fillId="2" borderId="7" xfId="0" applyFont="1" applyFill="1" applyBorder="1" applyAlignment="1">
      <alignment horizontal="right" vertical="center" indent="2"/>
    </xf>
    <xf numFmtId="0" fontId="10" fillId="2" borderId="0" xfId="0" applyFont="1" applyFill="1" applyBorder="1" applyAlignment="1">
      <alignment vertical="center"/>
    </xf>
    <xf numFmtId="0" fontId="12" fillId="2" borderId="0" xfId="0" applyFont="1" applyFill="1" applyAlignment="1">
      <alignment vertical="center"/>
    </xf>
    <xf numFmtId="0" fontId="4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horizontal="right" vertical="center"/>
    </xf>
    <xf numFmtId="0" fontId="4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4" fillId="2" borderId="0" xfId="0" applyFont="1" applyFill="1" applyBorder="1" applyAlignment="1">
      <alignment horizontal="right" vertical="center"/>
    </xf>
    <xf numFmtId="0" fontId="4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4" fillId="2" borderId="3" xfId="0" applyFont="1" applyFill="1" applyBorder="1" applyAlignment="1">
      <alignment horizontal="right" vertical="center"/>
    </xf>
    <xf numFmtId="0" fontId="4" fillId="2" borderId="0" xfId="0" applyFont="1" applyFill="1" applyBorder="1" applyAlignment="1">
      <alignment horizontal="right" vertical="center"/>
    </xf>
    <xf numFmtId="0" fontId="4" fillId="2" borderId="1" xfId="0" applyFont="1" applyFill="1" applyBorder="1" applyAlignment="1">
      <alignment horizontal="right" vertical="center"/>
    </xf>
    <xf numFmtId="0" fontId="2" fillId="2" borderId="11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4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</cellXfs>
  <cellStyles count="4">
    <cellStyle name="Comma" xfId="1" builtinId="3"/>
    <cellStyle name="Normal" xfId="0" builtinId="0"/>
    <cellStyle name="Normal 2" xfId="3"/>
    <cellStyle name="Normal_II-15(Population) 2" xfId="2"/>
  </cellStyles>
  <dxfs count="0"/>
  <tableStyles count="0" defaultTableStyle="TableStyleMedium2" defaultPivotStyle="PivotStyleLight16"/>
  <colors>
    <mruColors>
      <color rgb="FF9933FF"/>
      <color rgb="FF99009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>
        <c:manualLayout>
          <c:layoutTarget val="inner"/>
          <c:xMode val="edge"/>
          <c:yMode val="edge"/>
          <c:x val="9.3648122135306655E-2"/>
          <c:y val="0.18783775582965423"/>
          <c:w val="0.86117281166368642"/>
          <c:h val="0.6747276713243215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'18.2'!$AM$23</c:f>
              <c:strCache>
                <c:ptCount val="1"/>
                <c:pt idx="0">
                  <c:v>2013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</c:spPr>
          <c:invertIfNegative val="0"/>
          <c:dLbls>
            <c:dLbl>
              <c:idx val="0"/>
              <c:layout>
                <c:manualLayout>
                  <c:x val="1.9624407565348917E-17"/>
                  <c:y val="1.445086705202311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</c:dLbl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'18.2'!$AK$24:$AK$27</c:f>
              <c:strCache>
                <c:ptCount val="4"/>
                <c:pt idx="0">
                  <c:v>Basic pension</c:v>
                </c:pt>
                <c:pt idx="1">
                  <c:v>Other  pension</c:v>
                </c:pt>
                <c:pt idx="2">
                  <c:v>Retirement  pension</c:v>
                </c:pt>
                <c:pt idx="3">
                  <c:v> Senior Citizen Allowance</c:v>
                </c:pt>
              </c:strCache>
            </c:strRef>
          </c:cat>
          <c:val>
            <c:numRef>
              <c:f>'18.2'!$AM$24:$AM$27</c:f>
              <c:numCache>
                <c:formatCode>_(* #,##0_);_(* \(#,##0\);_(* "-"??_);_(@_)</c:formatCode>
                <c:ptCount val="4"/>
                <c:pt idx="0">
                  <c:v>421.20435024000005</c:v>
                </c:pt>
                <c:pt idx="1">
                  <c:v>244.38423925999996</c:v>
                </c:pt>
                <c:pt idx="2">
                  <c:v>25.887906539999999</c:v>
                </c:pt>
                <c:pt idx="3">
                  <c:v>0</c:v>
                </c:pt>
              </c:numCache>
            </c:numRef>
          </c:val>
        </c:ser>
        <c:ser>
          <c:idx val="1"/>
          <c:order val="1"/>
          <c:tx>
            <c:strRef>
              <c:f>'18.2'!$AN$23</c:f>
              <c:strCache>
                <c:ptCount val="1"/>
                <c:pt idx="0">
                  <c:v>2014</c:v>
                </c:pt>
              </c:strCache>
            </c:strRef>
          </c:tx>
          <c:spPr>
            <a:solidFill>
              <a:srgbClr val="7030A0"/>
            </a:solidFill>
          </c:spPr>
          <c:invertIfNegative val="0"/>
          <c:dLbls>
            <c:dLbl>
              <c:idx val="0"/>
              <c:layout>
                <c:manualLayout>
                  <c:x val="0"/>
                  <c:y val="1.3888888888889006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3"/>
              <c:layout>
                <c:manualLayout>
                  <c:x val="2.101723413198823E-3"/>
                  <c:y val="0.10597302504816955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'18.2'!$AK$24:$AK$27</c:f>
              <c:strCache>
                <c:ptCount val="4"/>
                <c:pt idx="0">
                  <c:v>Basic pension</c:v>
                </c:pt>
                <c:pt idx="1">
                  <c:v>Other  pension</c:v>
                </c:pt>
                <c:pt idx="2">
                  <c:v>Retirement  pension</c:v>
                </c:pt>
                <c:pt idx="3">
                  <c:v> Senior Citizen Allowance</c:v>
                </c:pt>
              </c:strCache>
            </c:strRef>
          </c:cat>
          <c:val>
            <c:numRef>
              <c:f>'18.2'!$AN$24:$AN$27</c:f>
              <c:numCache>
                <c:formatCode>_(* #,##0_);_(* \(#,##0\);_(* "-"??_);_(@_)</c:formatCode>
                <c:ptCount val="4"/>
                <c:pt idx="0">
                  <c:v>431.70710244000009</c:v>
                </c:pt>
                <c:pt idx="1">
                  <c:v>259.55405459000002</c:v>
                </c:pt>
                <c:pt idx="2">
                  <c:v>35.973669200000003</c:v>
                </c:pt>
                <c:pt idx="3">
                  <c:v>471.31171134999994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21256576"/>
        <c:axId val="121266560"/>
      </c:barChart>
      <c:catAx>
        <c:axId val="1212565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21266560"/>
        <c:crosses val="autoZero"/>
        <c:auto val="1"/>
        <c:lblAlgn val="ctr"/>
        <c:lblOffset val="100"/>
        <c:noMultiLvlLbl val="0"/>
      </c:catAx>
      <c:valAx>
        <c:axId val="121266560"/>
        <c:scaling>
          <c:orientation val="minMax"/>
        </c:scaling>
        <c:delete val="0"/>
        <c:axPos val="l"/>
        <c:title>
          <c:tx>
            <c:rich>
              <a:bodyPr rot="0" vert="horz"/>
              <a:lstStyle/>
              <a:p>
                <a:pPr>
                  <a:defRPr sz="800"/>
                </a:pPr>
                <a:r>
                  <a:rPr lang="en-US" sz="800"/>
                  <a:t>In million MVR</a:t>
                </a:r>
              </a:p>
            </c:rich>
          </c:tx>
          <c:layout>
            <c:manualLayout>
              <c:xMode val="edge"/>
              <c:yMode val="edge"/>
              <c:x val="5.6749841957018932E-3"/>
              <c:y val="0.11647929846919423"/>
            </c:manualLayout>
          </c:layout>
          <c:overlay val="0"/>
        </c:title>
        <c:numFmt formatCode="_(* #,##0_);_(* \(#,##0\);_(* &quot;-&quot;??_);_(@_)" sourceLinked="1"/>
        <c:majorTickMark val="out"/>
        <c:minorTickMark val="none"/>
        <c:tickLblPos val="nextTo"/>
        <c:crossAx val="121256576"/>
        <c:crosses val="autoZero"/>
        <c:crossBetween val="between"/>
      </c:valAx>
      <c:spPr>
        <a:solidFill>
          <a:schemeClr val="accent4">
            <a:lumMod val="20000"/>
            <a:lumOff val="80000"/>
          </a:schemeClr>
        </a:solidFill>
        <a:ln>
          <a:solidFill>
            <a:schemeClr val="tx1">
              <a:lumMod val="65000"/>
              <a:lumOff val="3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49772385009250891"/>
          <c:y val="0.23803384764765675"/>
          <c:w val="0.23927753017566766"/>
          <c:h val="5.9001638523508274E-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344" l="0.70000000000000062" r="0.70000000000000062" t="0.75000000000000344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594360</xdr:colOff>
      <xdr:row>22</xdr:row>
      <xdr:rowOff>40005</xdr:rowOff>
    </xdr:from>
    <xdr:to>
      <xdr:col>10</xdr:col>
      <xdr:colOff>53340</xdr:colOff>
      <xdr:row>36</xdr:row>
      <xdr:rowOff>114300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386715</xdr:colOff>
      <xdr:row>23</xdr:row>
      <xdr:rowOff>146687</xdr:rowOff>
    </xdr:from>
    <xdr:to>
      <xdr:col>9</xdr:col>
      <xdr:colOff>882015</xdr:colOff>
      <xdr:row>23</xdr:row>
      <xdr:rowOff>146687</xdr:rowOff>
    </xdr:to>
    <xdr:sp macro="" textlink="">
      <xdr:nvSpPr>
        <xdr:cNvPr id="4" name="Line 4"/>
        <xdr:cNvSpPr>
          <a:spLocks noChangeShapeType="1"/>
        </xdr:cNvSpPr>
      </xdr:nvSpPr>
      <xdr:spPr bwMode="auto">
        <a:xfrm flipV="1">
          <a:off x="3415665" y="5690237"/>
          <a:ext cx="5172075" cy="0"/>
        </a:xfrm>
        <a:prstGeom prst="line">
          <a:avLst/>
        </a:prstGeom>
        <a:noFill/>
        <a:ln w="19050">
          <a:solidFill>
            <a:srgbClr val="7030A0"/>
          </a:solidFill>
          <a:round/>
          <a:headEnd/>
          <a:tailEnd/>
        </a:ln>
      </xdr:spPr>
    </xdr:sp>
    <xdr:clientData/>
  </xdr:twoCellAnchor>
  <xdr:twoCellAnchor>
    <xdr:from>
      <xdr:col>4</xdr:col>
      <xdr:colOff>219076</xdr:colOff>
      <xdr:row>23</xdr:row>
      <xdr:rowOff>28575</xdr:rowOff>
    </xdr:from>
    <xdr:to>
      <xdr:col>10</xdr:col>
      <xdr:colOff>28575</xdr:colOff>
      <xdr:row>23</xdr:row>
      <xdr:rowOff>85725</xdr:rowOff>
    </xdr:to>
    <xdr:sp macro="" textlink="">
      <xdr:nvSpPr>
        <xdr:cNvPr id="5" name="TextBox 4"/>
        <xdr:cNvSpPr txBox="1"/>
      </xdr:nvSpPr>
      <xdr:spPr>
        <a:xfrm>
          <a:off x="3248026" y="5572125"/>
          <a:ext cx="5467349" cy="571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50" b="1" i="0" baseline="0">
              <a:solidFill>
                <a:schemeClr val="dk1"/>
              </a:solidFill>
              <a:latin typeface="Consolas" pitchFamily="49" charset="0"/>
              <a:ea typeface="+mn-ea"/>
              <a:cs typeface="Consolas" pitchFamily="49" charset="0"/>
            </a:rPr>
            <a:t>Figure 18.4: Pension payments made under different schemes, 2013 - 2014</a:t>
          </a:r>
          <a:endParaRPr lang="en-US" sz="1050">
            <a:latin typeface="Consolas" pitchFamily="49" charset="0"/>
            <a:cs typeface="Consolas" pitchFamily="49" charset="0"/>
          </a:endParaRPr>
        </a:p>
        <a:p>
          <a:endParaRPr lang="en-US" sz="12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R29"/>
  <sheetViews>
    <sheetView tabSelected="1" zoomScaleNormal="100" workbookViewId="0">
      <selection activeCell="N2" sqref="N1:N1048576"/>
    </sheetView>
  </sheetViews>
  <sheetFormatPr defaultColWidth="9.140625" defaultRowHeight="15" x14ac:dyDescent="0.25"/>
  <cols>
    <col min="1" max="1" width="7.85546875" style="1" customWidth="1"/>
    <col min="2" max="2" width="13.28515625" style="1" customWidth="1"/>
    <col min="3" max="3" width="13" style="1" customWidth="1"/>
    <col min="4" max="4" width="11.28515625" style="1" customWidth="1"/>
    <col min="5" max="5" width="14.42578125" style="1" customWidth="1"/>
    <col min="6" max="7" width="13.140625" style="1" customWidth="1"/>
    <col min="8" max="10" width="14.7109375" style="1" customWidth="1"/>
    <col min="11" max="11" width="23.7109375" style="1" customWidth="1"/>
    <col min="12" max="35" width="17.28515625" style="1" customWidth="1"/>
    <col min="36" max="36" width="28.28515625" style="1" customWidth="1"/>
    <col min="37" max="37" width="19.42578125" style="1" customWidth="1"/>
    <col min="38" max="38" width="11.140625" style="1" bestFit="1" customWidth="1"/>
    <col min="39" max="40" width="11.28515625" style="1" customWidth="1"/>
    <col min="41" max="41" width="11.5703125" style="1" customWidth="1"/>
    <col min="42" max="42" width="11.42578125" style="1" customWidth="1"/>
    <col min="43" max="43" width="13.7109375" style="1" customWidth="1"/>
    <col min="44" max="16384" width="9.140625" style="1"/>
  </cols>
  <sheetData>
    <row r="1" spans="1:44" ht="20.25" customHeight="1" x14ac:dyDescent="0.25">
      <c r="A1" s="65" t="s">
        <v>40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54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  <c r="AF1" s="57"/>
      <c r="AG1" s="57"/>
      <c r="AH1" s="57"/>
      <c r="AI1" s="57"/>
      <c r="AJ1" s="66"/>
      <c r="AK1" s="66"/>
      <c r="AL1" s="66"/>
    </row>
    <row r="2" spans="1:44" x14ac:dyDescent="0.25">
      <c r="A2" s="66" t="s">
        <v>41</v>
      </c>
      <c r="B2" s="66"/>
      <c r="C2" s="66"/>
      <c r="D2" s="66"/>
      <c r="E2" s="66"/>
      <c r="F2" s="66"/>
      <c r="G2" s="66"/>
      <c r="H2" s="66"/>
      <c r="I2" s="66"/>
      <c r="J2" s="66"/>
      <c r="K2" s="66"/>
      <c r="L2" s="66"/>
      <c r="M2" s="55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  <c r="AF2" s="58"/>
      <c r="AG2" s="58"/>
      <c r="AH2" s="58"/>
      <c r="AI2" s="58"/>
      <c r="AK2" s="15"/>
      <c r="AL2" s="15"/>
      <c r="AM2" s="15"/>
      <c r="AN2" s="15"/>
      <c r="AO2" s="15"/>
      <c r="AP2" s="16"/>
      <c r="AQ2" s="16"/>
      <c r="AR2" s="17"/>
    </row>
    <row r="3" spans="1:44" s="4" customFormat="1" ht="17.25" x14ac:dyDescent="0.25">
      <c r="A3" s="39"/>
      <c r="B3" s="5"/>
      <c r="C3" s="5"/>
      <c r="D3" s="5"/>
      <c r="E3" s="23" t="s">
        <v>38</v>
      </c>
      <c r="F3" s="24" t="s">
        <v>39</v>
      </c>
      <c r="G3" s="24" t="s">
        <v>39</v>
      </c>
      <c r="L3" s="39"/>
      <c r="M3" s="55"/>
      <c r="N3" s="58"/>
      <c r="O3" s="58"/>
      <c r="P3" s="58"/>
      <c r="Q3" s="58"/>
      <c r="R3" s="58"/>
      <c r="S3" s="58"/>
      <c r="T3" s="58"/>
      <c r="U3" s="58"/>
      <c r="V3" s="58"/>
      <c r="W3" s="58"/>
      <c r="X3" s="58"/>
      <c r="Y3" s="58"/>
      <c r="Z3" s="58"/>
      <c r="AA3" s="58"/>
      <c r="AB3" s="58"/>
      <c r="AC3" s="58"/>
      <c r="AD3" s="58"/>
      <c r="AE3" s="58"/>
      <c r="AF3" s="58"/>
      <c r="AG3" s="58"/>
      <c r="AH3" s="58"/>
      <c r="AI3" s="58"/>
      <c r="AK3" s="35"/>
      <c r="AL3" s="35"/>
      <c r="AM3" s="35"/>
      <c r="AN3" s="35"/>
      <c r="AO3" s="35"/>
      <c r="AP3" s="36"/>
      <c r="AQ3" s="36"/>
      <c r="AR3" s="37"/>
    </row>
    <row r="4" spans="1:44" ht="1.5" customHeight="1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AK4" s="15"/>
      <c r="AL4" s="15"/>
      <c r="AM4" s="15"/>
      <c r="AN4" s="15"/>
      <c r="AO4" s="15"/>
      <c r="AP4" s="16"/>
      <c r="AQ4" s="16"/>
      <c r="AR4" s="17"/>
    </row>
    <row r="5" spans="1:44" ht="17.25" customHeight="1" x14ac:dyDescent="0.25">
      <c r="A5" s="67" t="s">
        <v>13</v>
      </c>
      <c r="B5" s="70" t="s">
        <v>14</v>
      </c>
      <c r="C5" s="70"/>
      <c r="D5" s="71"/>
      <c r="E5" s="72" t="s">
        <v>15</v>
      </c>
      <c r="F5" s="70"/>
      <c r="G5" s="71"/>
      <c r="H5" s="72" t="s">
        <v>17</v>
      </c>
      <c r="I5" s="70"/>
      <c r="J5" s="71"/>
      <c r="K5" s="42" t="s">
        <v>42</v>
      </c>
      <c r="L5" s="59" t="s">
        <v>19</v>
      </c>
      <c r="M5" s="53"/>
      <c r="N5" s="56"/>
      <c r="O5" s="56"/>
      <c r="P5" s="56"/>
      <c r="Q5" s="56"/>
      <c r="R5" s="56"/>
      <c r="S5" s="56"/>
      <c r="T5" s="56"/>
      <c r="U5" s="56"/>
      <c r="V5" s="56"/>
      <c r="W5" s="56"/>
      <c r="X5" s="56"/>
      <c r="Y5" s="56"/>
      <c r="Z5" s="56"/>
      <c r="AA5" s="56"/>
      <c r="AB5" s="56"/>
      <c r="AC5" s="56"/>
      <c r="AD5" s="56"/>
      <c r="AE5" s="56"/>
      <c r="AF5" s="56"/>
      <c r="AG5" s="56"/>
      <c r="AH5" s="56"/>
      <c r="AI5" s="56"/>
      <c r="AK5" s="15"/>
      <c r="AL5" s="15"/>
      <c r="AM5" s="15"/>
      <c r="AN5" s="15"/>
      <c r="AO5" s="15"/>
      <c r="AP5" s="16"/>
      <c r="AQ5" s="16"/>
      <c r="AR5" s="17"/>
    </row>
    <row r="6" spans="1:44" ht="15" customHeight="1" x14ac:dyDescent="0.25">
      <c r="A6" s="68"/>
      <c r="B6" s="63" t="s">
        <v>32</v>
      </c>
      <c r="C6" s="63"/>
      <c r="D6" s="64"/>
      <c r="E6" s="62" t="s">
        <v>33</v>
      </c>
      <c r="F6" s="63"/>
      <c r="G6" s="64"/>
      <c r="H6" s="62" t="s">
        <v>34</v>
      </c>
      <c r="I6" s="63"/>
      <c r="J6" s="64"/>
      <c r="K6" s="44" t="s">
        <v>45</v>
      </c>
      <c r="L6" s="60"/>
      <c r="M6" s="53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  <c r="AA6" s="56"/>
      <c r="AB6" s="56"/>
      <c r="AC6" s="56"/>
      <c r="AD6" s="56"/>
      <c r="AE6" s="56"/>
      <c r="AF6" s="56"/>
      <c r="AG6" s="56"/>
      <c r="AH6" s="56"/>
      <c r="AI6" s="56"/>
      <c r="AK6" s="15"/>
      <c r="AL6" s="15"/>
      <c r="AM6" s="15"/>
      <c r="AN6" s="15"/>
      <c r="AO6" s="15"/>
      <c r="AP6" s="16"/>
      <c r="AQ6" s="16"/>
      <c r="AR6" s="17"/>
    </row>
    <row r="7" spans="1:44" ht="18" customHeight="1" x14ac:dyDescent="0.25">
      <c r="A7" s="69"/>
      <c r="B7" s="40">
        <v>2012</v>
      </c>
      <c r="C7" s="40">
        <v>2013</v>
      </c>
      <c r="D7" s="40">
        <v>2014</v>
      </c>
      <c r="E7" s="19">
        <v>2012</v>
      </c>
      <c r="F7" s="18">
        <v>2013</v>
      </c>
      <c r="G7" s="3">
        <v>2014</v>
      </c>
      <c r="H7" s="19">
        <v>2012</v>
      </c>
      <c r="I7" s="18">
        <v>2013</v>
      </c>
      <c r="J7" s="3">
        <v>2014</v>
      </c>
      <c r="K7" s="49">
        <v>2014</v>
      </c>
      <c r="L7" s="61"/>
      <c r="M7" s="53"/>
      <c r="N7" s="56"/>
      <c r="O7" s="56"/>
      <c r="P7" s="56"/>
      <c r="Q7" s="56"/>
      <c r="R7" s="56"/>
      <c r="S7" s="56"/>
      <c r="T7" s="56"/>
      <c r="U7" s="56"/>
      <c r="V7" s="56"/>
      <c r="W7" s="56"/>
      <c r="X7" s="56"/>
      <c r="Y7" s="56"/>
      <c r="Z7" s="56"/>
      <c r="AA7" s="56"/>
      <c r="AB7" s="56"/>
      <c r="AC7" s="56"/>
      <c r="AD7" s="56"/>
      <c r="AE7" s="56"/>
      <c r="AF7" s="56"/>
      <c r="AG7" s="56"/>
      <c r="AH7" s="56"/>
      <c r="AI7" s="56"/>
      <c r="AK7" s="15"/>
      <c r="AL7" s="15"/>
      <c r="AM7" s="15"/>
      <c r="AN7" s="15"/>
      <c r="AO7" s="15"/>
      <c r="AP7" s="16"/>
      <c r="AQ7" s="16"/>
      <c r="AR7" s="17"/>
    </row>
    <row r="8" spans="1:44" ht="21.75" customHeight="1" x14ac:dyDescent="0.25">
      <c r="A8" s="38" t="s">
        <v>0</v>
      </c>
      <c r="B8" s="13">
        <f t="shared" ref="B8" si="0">SUM(B9:B20)</f>
        <v>414738936.51999998</v>
      </c>
      <c r="C8" s="34">
        <f t="shared" ref="C8:H8" si="1">SUM(C9:C20)</f>
        <v>421204350.24000007</v>
      </c>
      <c r="D8" s="34">
        <f>SUM(D9:D20)</f>
        <v>431707102.44000006</v>
      </c>
      <c r="E8" s="20">
        <f t="shared" si="1"/>
        <v>21452251.599999998</v>
      </c>
      <c r="F8" s="6">
        <f>SUM(F9:F20)</f>
        <v>25887906.539999999</v>
      </c>
      <c r="G8" s="43">
        <f>SUM(G9:G20)</f>
        <v>35973669.200000003</v>
      </c>
      <c r="H8" s="20">
        <f t="shared" si="1"/>
        <v>240701239.62</v>
      </c>
      <c r="I8" s="6">
        <f t="shared" ref="I8:J8" si="2">SUM(I9:I20)</f>
        <v>244384239.25999996</v>
      </c>
      <c r="J8" s="43">
        <f t="shared" si="2"/>
        <v>259554054.59000003</v>
      </c>
      <c r="K8" s="45">
        <f t="shared" ref="K8" si="3">SUM(K9:K20)</f>
        <v>471311711.34999996</v>
      </c>
      <c r="L8" s="52" t="s">
        <v>16</v>
      </c>
      <c r="M8" s="52"/>
      <c r="N8" s="52"/>
      <c r="O8" s="52"/>
      <c r="P8" s="52"/>
      <c r="Q8" s="52"/>
      <c r="R8" s="52"/>
      <c r="S8" s="52"/>
      <c r="T8" s="52"/>
      <c r="U8" s="52"/>
      <c r="V8" s="52"/>
      <c r="W8" s="52"/>
      <c r="X8" s="52"/>
      <c r="Y8" s="52"/>
      <c r="Z8" s="52"/>
      <c r="AA8" s="52"/>
      <c r="AB8" s="52"/>
      <c r="AC8" s="52"/>
      <c r="AD8" s="52"/>
      <c r="AE8" s="52"/>
      <c r="AF8" s="52"/>
      <c r="AG8" s="52"/>
      <c r="AH8" s="52"/>
      <c r="AI8" s="52"/>
      <c r="AK8" s="15"/>
      <c r="AL8" s="15"/>
      <c r="AM8" s="15"/>
      <c r="AN8" s="15"/>
      <c r="AO8" s="15"/>
      <c r="AP8" s="16"/>
      <c r="AQ8" s="16"/>
      <c r="AR8" s="17"/>
    </row>
    <row r="9" spans="1:44" ht="21.75" customHeight="1" x14ac:dyDescent="0.25">
      <c r="A9" s="25" t="s">
        <v>1</v>
      </c>
      <c r="B9" s="7">
        <v>33712286.649999999</v>
      </c>
      <c r="C9" s="7">
        <v>34352075.579999998</v>
      </c>
      <c r="D9" s="7">
        <v>35615904.57</v>
      </c>
      <c r="E9" s="21">
        <v>495363.58</v>
      </c>
      <c r="F9" s="8">
        <v>1151046.49</v>
      </c>
      <c r="G9" s="10">
        <v>3333784.74</v>
      </c>
      <c r="H9" s="21">
        <v>19009622.079999998</v>
      </c>
      <c r="I9" s="8">
        <v>27084863.539999999</v>
      </c>
      <c r="J9" s="10">
        <v>25311700.800000001</v>
      </c>
      <c r="K9" s="46">
        <v>0</v>
      </c>
      <c r="L9" s="27" t="s">
        <v>20</v>
      </c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14"/>
      <c r="AK9" s="41"/>
      <c r="AL9" s="15"/>
      <c r="AM9" s="15"/>
      <c r="AN9" s="15"/>
      <c r="AP9" s="16"/>
      <c r="AQ9" s="16"/>
      <c r="AR9" s="17"/>
    </row>
    <row r="10" spans="1:44" ht="21.75" customHeight="1" x14ac:dyDescent="0.25">
      <c r="A10" s="25" t="s">
        <v>2</v>
      </c>
      <c r="B10" s="7">
        <v>34725809.649999999</v>
      </c>
      <c r="C10" s="7">
        <v>35042781.850000001</v>
      </c>
      <c r="D10" s="7">
        <v>36309505.119999997</v>
      </c>
      <c r="E10" s="21">
        <v>2641610.33</v>
      </c>
      <c r="F10" s="8">
        <v>1295097.28</v>
      </c>
      <c r="G10" s="10">
        <v>2690826.28</v>
      </c>
      <c r="H10" s="21">
        <v>21786716.879999999</v>
      </c>
      <c r="I10" s="8">
        <v>19943936.890000001</v>
      </c>
      <c r="J10" s="10">
        <v>23169187.48</v>
      </c>
      <c r="K10" s="47">
        <v>42210402.700000003</v>
      </c>
      <c r="L10" s="27" t="s">
        <v>21</v>
      </c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K10" s="41"/>
      <c r="AL10" s="15"/>
      <c r="AM10" s="15"/>
      <c r="AN10" s="15"/>
      <c r="AP10" s="16"/>
      <c r="AQ10" s="16"/>
      <c r="AR10" s="17"/>
    </row>
    <row r="11" spans="1:44" ht="21.75" customHeight="1" x14ac:dyDescent="0.25">
      <c r="A11" s="25" t="s">
        <v>3</v>
      </c>
      <c r="B11" s="7">
        <v>34806344.93</v>
      </c>
      <c r="C11" s="7">
        <v>35333148.090000004</v>
      </c>
      <c r="D11" s="7">
        <v>36566082.140000001</v>
      </c>
      <c r="E11" s="21">
        <v>1964141.55</v>
      </c>
      <c r="F11" s="8">
        <v>1035616.01</v>
      </c>
      <c r="G11" s="10">
        <v>3356711.13</v>
      </c>
      <c r="H11" s="21">
        <v>20394069.57</v>
      </c>
      <c r="I11" s="8">
        <v>18946228.300000001</v>
      </c>
      <c r="J11" s="10">
        <v>21310307.780000001</v>
      </c>
      <c r="K11" s="47">
        <v>42833238.119999997</v>
      </c>
      <c r="L11" s="27" t="s">
        <v>22</v>
      </c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K11" s="41"/>
      <c r="AL11" s="15"/>
      <c r="AM11" s="15"/>
      <c r="AN11" s="15"/>
      <c r="AO11" s="15"/>
      <c r="AP11" s="16"/>
      <c r="AQ11" s="16"/>
      <c r="AR11" s="17"/>
    </row>
    <row r="12" spans="1:44" ht="21.75" customHeight="1" x14ac:dyDescent="0.25">
      <c r="A12" s="25" t="s">
        <v>4</v>
      </c>
      <c r="B12" s="7">
        <v>34551091.759999998</v>
      </c>
      <c r="C12" s="7">
        <v>34763162.600000001</v>
      </c>
      <c r="D12" s="7">
        <v>36384131.350000001</v>
      </c>
      <c r="E12" s="21">
        <v>1339288.5</v>
      </c>
      <c r="F12" s="8">
        <v>1307379.8500000001</v>
      </c>
      <c r="G12" s="10">
        <v>2347830.7599999998</v>
      </c>
      <c r="H12" s="21">
        <v>24106647.079999998</v>
      </c>
      <c r="I12" s="8">
        <v>20630305.239999998</v>
      </c>
      <c r="J12" s="10">
        <v>20403653.850000001</v>
      </c>
      <c r="K12" s="47">
        <v>43089362.960000001</v>
      </c>
      <c r="L12" s="27" t="s">
        <v>23</v>
      </c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K12" s="41"/>
      <c r="AL12" s="15"/>
      <c r="AM12" s="15"/>
      <c r="AN12" s="15"/>
      <c r="AO12" s="15"/>
      <c r="AP12" s="16"/>
      <c r="AQ12" s="16"/>
      <c r="AR12" s="17"/>
    </row>
    <row r="13" spans="1:44" ht="21.75" customHeight="1" x14ac:dyDescent="0.25">
      <c r="A13" s="25" t="s">
        <v>5</v>
      </c>
      <c r="B13" s="7">
        <v>35154019.579999998</v>
      </c>
      <c r="C13" s="7">
        <v>35516487.740000002</v>
      </c>
      <c r="D13" s="7">
        <v>36107445.780000001</v>
      </c>
      <c r="E13" s="21">
        <v>1215734.1599999999</v>
      </c>
      <c r="F13" s="8">
        <v>2078811.7</v>
      </c>
      <c r="G13" s="10">
        <v>2585483.37</v>
      </c>
      <c r="H13" s="21">
        <v>20547997.280000001</v>
      </c>
      <c r="I13" s="8">
        <v>20270298.870000001</v>
      </c>
      <c r="J13" s="10">
        <v>25011795.809999999</v>
      </c>
      <c r="K13" s="47">
        <v>42951893.25</v>
      </c>
      <c r="L13" s="27" t="s">
        <v>24</v>
      </c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K13" s="41"/>
      <c r="AL13" s="15"/>
      <c r="AM13" s="15"/>
      <c r="AN13" s="15"/>
      <c r="AO13" s="15"/>
      <c r="AP13" s="16"/>
      <c r="AQ13" s="16"/>
      <c r="AR13" s="17"/>
    </row>
    <row r="14" spans="1:44" ht="21.75" customHeight="1" x14ac:dyDescent="0.25">
      <c r="A14" s="25" t="s">
        <v>6</v>
      </c>
      <c r="B14" s="7">
        <v>34846940.390000001</v>
      </c>
      <c r="C14" s="7">
        <v>34426002.350000001</v>
      </c>
      <c r="D14" s="7">
        <v>35813486.210000001</v>
      </c>
      <c r="E14" s="21">
        <v>3534981.49</v>
      </c>
      <c r="F14" s="8">
        <v>3303174.44</v>
      </c>
      <c r="G14" s="10">
        <v>3069467.57</v>
      </c>
      <c r="H14" s="21">
        <v>18337900.530000001</v>
      </c>
      <c r="I14" s="8">
        <v>20376029.489999998</v>
      </c>
      <c r="J14" s="10">
        <v>19985113.239999998</v>
      </c>
      <c r="K14" s="47">
        <v>42755542.670000002</v>
      </c>
      <c r="L14" s="27" t="s">
        <v>25</v>
      </c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K14" s="41"/>
      <c r="AL14" s="15"/>
      <c r="AM14" s="15"/>
      <c r="AN14" s="15"/>
      <c r="AO14" s="15"/>
      <c r="AP14" s="16"/>
      <c r="AQ14" s="16"/>
      <c r="AR14" s="17"/>
    </row>
    <row r="15" spans="1:44" ht="21.75" customHeight="1" x14ac:dyDescent="0.25">
      <c r="A15" s="25" t="s">
        <v>7</v>
      </c>
      <c r="B15" s="7">
        <v>34616936.060000002</v>
      </c>
      <c r="C15" s="7">
        <v>35501207.700000003</v>
      </c>
      <c r="D15" s="7">
        <v>36084345.200000003</v>
      </c>
      <c r="E15" s="21">
        <v>1519284.65</v>
      </c>
      <c r="F15" s="8">
        <v>1333414.57</v>
      </c>
      <c r="G15" s="10">
        <v>2042202.73</v>
      </c>
      <c r="H15" s="21">
        <v>19283504.379999999</v>
      </c>
      <c r="I15" s="8">
        <v>19964302.440000001</v>
      </c>
      <c r="J15" s="10">
        <v>21626914.359999999</v>
      </c>
      <c r="K15" s="47">
        <v>43020315.149999999</v>
      </c>
      <c r="L15" s="27" t="s">
        <v>26</v>
      </c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K15" s="41"/>
      <c r="AL15" s="15"/>
      <c r="AM15" s="15"/>
      <c r="AN15" s="15"/>
      <c r="AO15" s="15"/>
      <c r="AP15" s="16"/>
      <c r="AQ15" s="16"/>
      <c r="AR15" s="17"/>
    </row>
    <row r="16" spans="1:44" ht="21.75" customHeight="1" x14ac:dyDescent="0.25">
      <c r="A16" s="25" t="s">
        <v>8</v>
      </c>
      <c r="B16" s="7">
        <v>34533025.399999999</v>
      </c>
      <c r="C16" s="7">
        <v>35434664.979999997</v>
      </c>
      <c r="D16" s="7">
        <v>35620342.140000001</v>
      </c>
      <c r="E16" s="21">
        <v>916177.57</v>
      </c>
      <c r="F16" s="8">
        <v>3627198.68</v>
      </c>
      <c r="G16" s="10">
        <v>2588532.9900000002</v>
      </c>
      <c r="H16" s="21">
        <v>20570070.73</v>
      </c>
      <c r="I16" s="8">
        <v>18948103.859999999</v>
      </c>
      <c r="J16" s="10">
        <v>20233894.109999999</v>
      </c>
      <c r="K16" s="47">
        <v>42960311.329999998</v>
      </c>
      <c r="L16" s="27" t="s">
        <v>27</v>
      </c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K16" s="41"/>
      <c r="AL16" s="15"/>
      <c r="AM16" s="15"/>
      <c r="AN16" s="15"/>
      <c r="AO16" s="15"/>
      <c r="AP16" s="16"/>
      <c r="AQ16" s="16"/>
      <c r="AR16" s="17"/>
    </row>
    <row r="17" spans="1:44" ht="21.75" customHeight="1" x14ac:dyDescent="0.25">
      <c r="A17" s="25" t="s">
        <v>9</v>
      </c>
      <c r="B17" s="7">
        <v>34475645.299999997</v>
      </c>
      <c r="C17" s="7">
        <v>35107026.060000002</v>
      </c>
      <c r="D17" s="7">
        <v>35819459.600000001</v>
      </c>
      <c r="E17" s="21">
        <v>2685645.5</v>
      </c>
      <c r="F17" s="8">
        <v>2986912.9</v>
      </c>
      <c r="G17" s="10">
        <v>2389738.73</v>
      </c>
      <c r="H17" s="21">
        <v>18016782.370000001</v>
      </c>
      <c r="I17" s="8">
        <v>18818491.969999999</v>
      </c>
      <c r="J17" s="10">
        <v>21343950.440000001</v>
      </c>
      <c r="K17" s="47">
        <v>42967536.020000003</v>
      </c>
      <c r="L17" s="27" t="s">
        <v>28</v>
      </c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K17" s="41"/>
      <c r="AL17" s="15"/>
      <c r="AM17" s="15"/>
      <c r="AN17" s="15"/>
      <c r="AO17" s="15"/>
      <c r="AP17" s="16"/>
      <c r="AQ17" s="16"/>
      <c r="AR17" s="17"/>
    </row>
    <row r="18" spans="1:44" ht="21.75" customHeight="1" x14ac:dyDescent="0.25">
      <c r="A18" s="25" t="s">
        <v>10</v>
      </c>
      <c r="B18" s="7">
        <v>34594343.560000002</v>
      </c>
      <c r="C18" s="7">
        <v>35317143.350000001</v>
      </c>
      <c r="D18" s="7">
        <v>35809800.469999999</v>
      </c>
      <c r="E18" s="21">
        <v>1715961.41</v>
      </c>
      <c r="F18" s="8">
        <v>2911512.09</v>
      </c>
      <c r="G18" s="10">
        <v>3281668.64</v>
      </c>
      <c r="H18" s="21">
        <v>19528164.620000001</v>
      </c>
      <c r="I18" s="8">
        <v>19052611.420000002</v>
      </c>
      <c r="J18" s="10">
        <v>20222911.489999998</v>
      </c>
      <c r="K18" s="47">
        <v>43043959.509999998</v>
      </c>
      <c r="L18" s="27" t="s">
        <v>29</v>
      </c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K18" s="41"/>
      <c r="AL18" s="15"/>
      <c r="AM18" s="15"/>
      <c r="AN18" s="15"/>
      <c r="AO18" s="15"/>
      <c r="AP18" s="16"/>
      <c r="AQ18" s="16"/>
      <c r="AR18" s="17"/>
    </row>
    <row r="19" spans="1:44" ht="21.75" customHeight="1" x14ac:dyDescent="0.55000000000000004">
      <c r="A19" s="25" t="s">
        <v>11</v>
      </c>
      <c r="B19" s="7">
        <v>34186099.060000002</v>
      </c>
      <c r="C19" s="7">
        <v>35528647</v>
      </c>
      <c r="D19" s="7">
        <v>35916765.130000003</v>
      </c>
      <c r="E19" s="21">
        <v>1718102.79</v>
      </c>
      <c r="F19" s="8">
        <v>3115225.24</v>
      </c>
      <c r="G19" s="10">
        <v>6316239.1299999999</v>
      </c>
      <c r="H19" s="21">
        <v>18635257.670000002</v>
      </c>
      <c r="I19" s="8">
        <v>20720584.449999999</v>
      </c>
      <c r="J19" s="10">
        <v>20730230.550000001</v>
      </c>
      <c r="K19" s="47">
        <v>42800573.149999999</v>
      </c>
      <c r="L19" s="28" t="s">
        <v>31</v>
      </c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K19" s="41"/>
      <c r="AL19" s="15"/>
      <c r="AM19" s="15"/>
      <c r="AN19" s="15"/>
      <c r="AO19" s="15"/>
      <c r="AP19" s="16"/>
      <c r="AQ19" s="16"/>
      <c r="AR19" s="17"/>
    </row>
    <row r="20" spans="1:44" ht="21.75" customHeight="1" x14ac:dyDescent="0.25">
      <c r="A20" s="26" t="s">
        <v>12</v>
      </c>
      <c r="B20" s="9">
        <v>34536394.18</v>
      </c>
      <c r="C20" s="9">
        <v>34882002.939999998</v>
      </c>
      <c r="D20" s="9">
        <v>35659834.729999997</v>
      </c>
      <c r="E20" s="22">
        <v>1705960.07</v>
      </c>
      <c r="F20" s="9">
        <v>1742517.29</v>
      </c>
      <c r="G20" s="11">
        <v>1971183.13</v>
      </c>
      <c r="H20" s="22">
        <v>20484506.43</v>
      </c>
      <c r="I20" s="9">
        <v>19628482.789999999</v>
      </c>
      <c r="J20" s="11">
        <v>20204394.68</v>
      </c>
      <c r="K20" s="48">
        <v>42678576.490000002</v>
      </c>
      <c r="L20" s="29" t="s">
        <v>30</v>
      </c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K20" s="41"/>
      <c r="AL20" s="15"/>
      <c r="AM20" s="15"/>
      <c r="AN20" s="15"/>
      <c r="AO20" s="15"/>
      <c r="AP20" s="16"/>
      <c r="AQ20" s="16"/>
      <c r="AR20" s="17"/>
    </row>
    <row r="21" spans="1:44" s="31" customFormat="1" ht="17.25" x14ac:dyDescent="0.2">
      <c r="A21" s="50" t="s">
        <v>43</v>
      </c>
      <c r="L21" s="51" t="s">
        <v>44</v>
      </c>
      <c r="M21" s="51"/>
      <c r="N21" s="51"/>
      <c r="O21" s="51"/>
      <c r="P21" s="51"/>
      <c r="Q21" s="51"/>
      <c r="R21" s="51"/>
      <c r="S21" s="51"/>
      <c r="T21" s="51"/>
      <c r="U21" s="51"/>
      <c r="V21" s="51"/>
      <c r="W21" s="51"/>
      <c r="X21" s="51"/>
      <c r="Y21" s="51"/>
      <c r="Z21" s="51"/>
      <c r="AA21" s="51"/>
      <c r="AB21" s="51"/>
      <c r="AC21" s="51"/>
      <c r="AD21" s="51"/>
      <c r="AE21" s="51"/>
      <c r="AF21" s="51"/>
      <c r="AG21" s="51"/>
      <c r="AH21" s="51"/>
      <c r="AI21" s="51"/>
      <c r="AK21" s="41"/>
      <c r="AL21" s="15"/>
      <c r="AM21" s="15"/>
      <c r="AN21" s="15"/>
      <c r="AO21" s="15"/>
      <c r="AP21" s="15"/>
      <c r="AQ21" s="15"/>
      <c r="AR21" s="33"/>
    </row>
    <row r="22" spans="1:44" s="31" customFormat="1" ht="17.25" x14ac:dyDescent="0.45">
      <c r="A22" s="30" t="s">
        <v>18</v>
      </c>
      <c r="L22" s="32" t="s">
        <v>35</v>
      </c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K22" s="41"/>
      <c r="AL22" s="15" t="s">
        <v>36</v>
      </c>
      <c r="AM22" s="15"/>
      <c r="AN22" s="15"/>
      <c r="AO22" s="15" t="s">
        <v>37</v>
      </c>
      <c r="AP22" s="15"/>
      <c r="AQ22" s="15"/>
      <c r="AR22" s="33"/>
    </row>
    <row r="23" spans="1:44" x14ac:dyDescent="0.25">
      <c r="AK23" s="41"/>
      <c r="AL23" s="15">
        <v>2012</v>
      </c>
      <c r="AM23" s="15">
        <v>2013</v>
      </c>
      <c r="AN23" s="15">
        <v>2014</v>
      </c>
      <c r="AO23" s="15">
        <v>2012</v>
      </c>
      <c r="AP23" s="15">
        <v>2013</v>
      </c>
      <c r="AQ23" s="15">
        <v>2014</v>
      </c>
      <c r="AR23" s="17"/>
    </row>
    <row r="24" spans="1:44" x14ac:dyDescent="0.25">
      <c r="A24" s="5"/>
      <c r="AK24" s="1" t="str">
        <f>B6</f>
        <v>Basic pension</v>
      </c>
      <c r="AL24" s="12">
        <f t="shared" ref="AL24:AL27" si="4">AO24/1000000</f>
        <v>414.73893651999998</v>
      </c>
      <c r="AM24" s="12">
        <f>AP24/1000000</f>
        <v>421.20435024000005</v>
      </c>
      <c r="AN24" s="12">
        <f>AQ24/1000000</f>
        <v>431.70710244000009</v>
      </c>
      <c r="AO24" s="14">
        <f>B8</f>
        <v>414738936.51999998</v>
      </c>
      <c r="AP24" s="14">
        <f>C8</f>
        <v>421204350.24000007</v>
      </c>
      <c r="AQ24" s="14">
        <f>D8</f>
        <v>431707102.44000006</v>
      </c>
    </row>
    <row r="25" spans="1:44" x14ac:dyDescent="0.25">
      <c r="B25" s="31"/>
      <c r="AK25" s="1" t="str">
        <f>H6</f>
        <v>Other  pension</v>
      </c>
      <c r="AL25" s="12">
        <f t="shared" si="4"/>
        <v>240.70123962</v>
      </c>
      <c r="AM25" s="12">
        <f t="shared" ref="AM25:AM27" si="5">AP25/1000000</f>
        <v>244.38423925999996</v>
      </c>
      <c r="AN25" s="12">
        <f t="shared" ref="AN25:AN26" si="6">AQ25/1000000</f>
        <v>259.55405459000002</v>
      </c>
      <c r="AO25" s="14">
        <f>H8</f>
        <v>240701239.62</v>
      </c>
      <c r="AP25" s="14">
        <f>I8</f>
        <v>244384239.25999996</v>
      </c>
      <c r="AQ25" s="14">
        <f>J8</f>
        <v>259554054.59000003</v>
      </c>
    </row>
    <row r="26" spans="1:44" x14ac:dyDescent="0.25">
      <c r="AK26" s="1" t="str">
        <f>E6</f>
        <v>Retirement  pension</v>
      </c>
      <c r="AL26" s="12">
        <f t="shared" si="4"/>
        <v>21.452251599999997</v>
      </c>
      <c r="AM26" s="12">
        <f t="shared" si="5"/>
        <v>25.887906539999999</v>
      </c>
      <c r="AN26" s="12">
        <f t="shared" si="6"/>
        <v>35.973669200000003</v>
      </c>
      <c r="AO26" s="14">
        <f>E8</f>
        <v>21452251.599999998</v>
      </c>
      <c r="AP26" s="14">
        <f>F8</f>
        <v>25887906.539999999</v>
      </c>
      <c r="AQ26" s="14">
        <f>G8</f>
        <v>35973669.200000003</v>
      </c>
    </row>
    <row r="27" spans="1:44" x14ac:dyDescent="0.25">
      <c r="AK27" s="1" t="str">
        <f>K6</f>
        <v xml:space="preserve"> Senior Citizen Allowance</v>
      </c>
      <c r="AL27" s="12">
        <f t="shared" si="4"/>
        <v>0</v>
      </c>
      <c r="AM27" s="12">
        <f t="shared" si="5"/>
        <v>0</v>
      </c>
      <c r="AN27" s="12">
        <f>AQ27/1000000</f>
        <v>471.31171134999994</v>
      </c>
      <c r="AO27" s="1">
        <v>0</v>
      </c>
      <c r="AP27" s="1">
        <v>0</v>
      </c>
      <c r="AQ27" s="14">
        <f>K8</f>
        <v>471311711.34999996</v>
      </c>
    </row>
    <row r="28" spans="1:44" x14ac:dyDescent="0.25">
      <c r="AK28" s="15"/>
      <c r="AL28" s="15"/>
      <c r="AM28" s="16"/>
      <c r="AN28" s="16"/>
      <c r="AO28" s="16"/>
      <c r="AP28" s="17"/>
    </row>
    <row r="29" spans="1:44" x14ac:dyDescent="0.25">
      <c r="AK29" s="15"/>
      <c r="AL29" s="15"/>
      <c r="AM29" s="16"/>
      <c r="AN29" s="16"/>
      <c r="AO29" s="16"/>
      <c r="AP29" s="17"/>
    </row>
  </sheetData>
  <mergeCells count="11">
    <mergeCell ref="H6:J6"/>
    <mergeCell ref="A1:L1"/>
    <mergeCell ref="AJ1:AL1"/>
    <mergeCell ref="A5:A7"/>
    <mergeCell ref="L5:L7"/>
    <mergeCell ref="A2:L2"/>
    <mergeCell ref="B5:D5"/>
    <mergeCell ref="B6:D6"/>
    <mergeCell ref="E5:G5"/>
    <mergeCell ref="E6:G6"/>
    <mergeCell ref="H5:J5"/>
  </mergeCells>
  <pageMargins left="0.17" right="0.16" top="0.39" bottom="0.2" header="0.3" footer="0.17"/>
  <pageSetup paperSize="9" scale="84" orientation="landscape" r:id="rId1"/>
  <colBreaks count="1" manualBreakCount="1">
    <brk id="35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18.2</vt:lpstr>
      <vt:lpstr>'18.2'!Print_Area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Fathmath Shifaza</cp:lastModifiedBy>
  <cp:lastPrinted>2016-03-16T08:41:12Z</cp:lastPrinted>
  <dcterms:created xsi:type="dcterms:W3CDTF">2013-03-14T06:06:17Z</dcterms:created>
  <dcterms:modified xsi:type="dcterms:W3CDTF">2016-03-16T08:41:14Z</dcterms:modified>
</cp:coreProperties>
</file>