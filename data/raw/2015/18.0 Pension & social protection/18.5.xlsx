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5" sheetId="10" r:id="rId1"/>
  </sheets>
  <definedNames>
    <definedName name="_xlnm.Print_Area" localSheetId="0">'18.5'!$A$1:$O$20</definedName>
  </definedNames>
  <calcPr calcId="144525"/>
</workbook>
</file>

<file path=xl/calcChain.xml><?xml version="1.0" encoding="utf-8"?>
<calcChain xmlns="http://schemas.openxmlformats.org/spreadsheetml/2006/main">
  <c r="J19" i="10" l="1"/>
  <c r="J18" i="10"/>
  <c r="J17" i="10"/>
  <c r="J16" i="10"/>
  <c r="J15" i="10"/>
  <c r="J14" i="10"/>
  <c r="J13" i="10"/>
  <c r="J12" i="10"/>
  <c r="J11" i="10"/>
  <c r="J10" i="10"/>
  <c r="J9" i="10"/>
  <c r="J8" i="10"/>
  <c r="E19" i="10" l="1"/>
  <c r="E18" i="10"/>
  <c r="E17" i="10"/>
  <c r="E16" i="10"/>
  <c r="E15" i="10"/>
  <c r="E14" i="10"/>
  <c r="E13" i="10"/>
  <c r="E12" i="10"/>
  <c r="E11" i="10"/>
  <c r="E10" i="10"/>
  <c r="E9" i="10"/>
  <c r="E8" i="10"/>
  <c r="B19" i="10" l="1"/>
  <c r="B18" i="10"/>
  <c r="B17" i="10"/>
  <c r="B16" i="10"/>
  <c r="B15" i="10"/>
  <c r="B14" i="10"/>
  <c r="B13" i="10"/>
  <c r="B12" i="10"/>
  <c r="B11" i="10"/>
  <c r="B10" i="10"/>
  <c r="B9" i="10"/>
  <c r="B8" i="10"/>
</calcChain>
</file>

<file path=xl/sharedStrings.xml><?xml version="1.0" encoding="utf-8"?>
<sst xmlns="http://schemas.openxmlformats.org/spreadsheetml/2006/main" count="44" uniqueCount="36">
  <si>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</si>
  <si>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</si>
  <si>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</si>
  <si>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</si>
  <si>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</si>
  <si>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</si>
  <si>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</si>
  <si>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</si>
  <si>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</si>
  <si>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</si>
  <si>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</si>
  <si>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</si>
  <si>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</si>
  <si>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</si>
  <si>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65-69</t>
  </si>
  <si>
    <t>70-74</t>
  </si>
  <si>
    <t>Source: Maldives Pension Administration</t>
  </si>
  <si>
    <t>މަސް</t>
  </si>
  <si>
    <t>ޖެނުއަރީ</t>
  </si>
  <si>
    <t>ފެބްރުއަރީ</t>
  </si>
  <si>
    <t>މާޗް</t>
  </si>
  <si>
    <t>އޭޕްރީލް</t>
  </si>
  <si>
    <t>މެއި</t>
  </si>
  <si>
    <t>ޖޫން</t>
  </si>
  <si>
    <t>ޖުލައި</t>
  </si>
  <si>
    <t>އޮގަސްޓް</t>
  </si>
  <si>
    <t>ސެޕްޓެމްބަރ</t>
  </si>
  <si>
    <t>އޮކްޓޫބަރ</t>
  </si>
  <si>
    <t>ޑިސެމްބަރ</t>
  </si>
  <si>
    <r>
      <t xml:space="preserve">Age Groups </t>
    </r>
    <r>
      <rPr>
        <b/>
        <sz val="11"/>
        <color theme="1"/>
        <rFont val="Faruma"/>
      </rPr>
      <t xml:space="preserve">  ޢުމުރުފުރާ   </t>
    </r>
  </si>
  <si>
    <t>ނޮވެމްބަރ</t>
  </si>
  <si>
    <t>75 &amp; over</t>
  </si>
  <si>
    <t>މަޢުލޫމާތު ދެއްވި ފަރާތް: މޯލްޑިވްސް ޕެންޝަން އެޑްމިނިސްޓްރޭޝަން</t>
  </si>
  <si>
    <t>ތާވަލު  18.5 :ރިޓާޔަމަންޓް ޕެންޝަން ލިބޭ މީހުންގެ އަދަދު އަދި ޢުމުރުފުރާތައް، 2012 - 2014</t>
  </si>
  <si>
    <t>TABLE   18.5: NUMBER OF BENEFICIARIES OF RETIREMENT PENSION SCHEME BY AGE, 2012 - 2014</t>
  </si>
  <si>
    <t>&lt;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</si>
</sst>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9" fillId="0" borderId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Border="1"/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 vertical="center" indent="1"/>
    </xf>
    <xf numFmtId="0" fontId="0" fillId="2" borderId="2" xfId="0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right" vertical="center" indent="1"/>
    </xf>
    <xf numFmtId="0" fontId="3" fillId="2" borderId="0" xfId="0" applyFont="1" applyFill="1" applyBorder="1" applyAlignment="1">
      <alignment horizontal="right" indent="1"/>
    </xf>
    <xf numFmtId="0" fontId="3" fillId="2" borderId="2" xfId="0" applyFont="1" applyFill="1" applyBorder="1" applyAlignment="1">
      <alignment horizontal="right" vertical="center" indent="1"/>
    </xf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 applyBorder="1" applyAlignment="1">
      <alignment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3" fontId="0" fillId="2" borderId="0" xfId="1" applyNumberFormat="1" applyFont="1" applyFill="1" applyAlignment="1">
      <alignment vertical="center" wrapText="1"/>
    </xf>
    <xf numFmtId="3" fontId="0" fillId="2" borderId="0" xfId="1" applyNumberFormat="1" applyFont="1" applyFill="1" applyBorder="1" applyAlignment="1">
      <alignment vertical="center" wrapText="1"/>
    </xf>
    <xf numFmtId="3" fontId="0" fillId="2" borderId="6" xfId="1" applyNumberFormat="1" applyFont="1" applyFill="1" applyBorder="1" applyAlignment="1">
      <alignment vertical="center" wrapText="1"/>
    </xf>
    <xf numFmtId="3" fontId="0" fillId="2" borderId="2" xfId="1" applyNumberFormat="1" applyFont="1" applyFill="1" applyBorder="1" applyAlignment="1">
      <alignment vertical="center" wrapText="1"/>
    </xf>
    <xf numFmtId="3" fontId="0" fillId="2" borderId="4" xfId="1" applyNumberFormat="1" applyFont="1" applyFill="1" applyBorder="1" applyAlignment="1">
      <alignment vertical="center" wrapText="1"/>
    </xf>
    <xf numFmtId="0" fontId="7" fillId="2" borderId="0" xfId="0" applyFont="1" applyFill="1" applyAlignment="1">
      <alignment wrapText="1"/>
    </xf>
    <xf numFmtId="0" fontId="4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20"/>
  <sheetViews>
    <sheetView tabSelected="1" zoomScaleNormal="100" zoomScaleSheetLayoutView="84" workbookViewId="0">
      <selection activeCell="A2" sqref="A2:O20"/>
    </sheetView>
  </sheetViews>
  <sheetFormatPr defaultColWidth="9.140625" defaultRowHeight="15" x14ac:dyDescent="0.25"/>
  <cols>
    <col min="1" max="1" width="11.28515625" style="1" customWidth="1"/>
    <col min="2" max="4" width="8.140625" style="13" customWidth="1"/>
    <col min="5" max="9" width="10.140625" style="13" customWidth="1"/>
    <col min="10" max="13" width="7.5703125" style="13" customWidth="1"/>
    <col min="14" max="14" width="9.7109375" style="13" customWidth="1"/>
    <col min="15" max="15" width="19.140625" style="1" customWidth="1"/>
    <col min="16" max="16384" width="9.140625" style="1"/>
  </cols>
  <sheetData>
    <row r="1" spans="1:17" ht="4.5" customHeight="1" x14ac:dyDescent="0.25"/>
    <row r="2" spans="1:17" s="4" customFormat="1" ht="21" x14ac:dyDescent="0.55000000000000004">
      <c r="A2" s="23" t="s">
        <v>33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7" x14ac:dyDescent="0.25">
      <c r="A3" s="30" t="s">
        <v>34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7" ht="2.25" customHeight="1" x14ac:dyDescent="0.25">
      <c r="A4" s="2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7" ht="18" customHeight="1" x14ac:dyDescent="0.55000000000000004">
      <c r="A5" s="27" t="s">
        <v>13</v>
      </c>
      <c r="B5" s="33" t="s">
        <v>29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24" t="s">
        <v>17</v>
      </c>
    </row>
    <row r="6" spans="1:17" x14ac:dyDescent="0.25">
      <c r="A6" s="28"/>
      <c r="B6" s="31">
        <v>2012</v>
      </c>
      <c r="C6" s="31"/>
      <c r="D6" s="31"/>
      <c r="E6" s="32">
        <v>2013</v>
      </c>
      <c r="F6" s="31"/>
      <c r="G6" s="31"/>
      <c r="H6" s="31"/>
      <c r="I6" s="31"/>
      <c r="J6" s="32">
        <v>2014</v>
      </c>
      <c r="K6" s="31"/>
      <c r="L6" s="31"/>
      <c r="M6" s="31"/>
      <c r="N6" s="31"/>
      <c r="O6" s="25"/>
    </row>
    <row r="7" spans="1:17" x14ac:dyDescent="0.25">
      <c r="A7" s="29"/>
      <c r="B7" s="15" t="s">
        <v>0</v>
      </c>
      <c r="C7" s="15" t="s">
        <v>35</v>
      </c>
      <c r="D7" s="15" t="s">
        <v>14</v>
      </c>
      <c r="E7" s="16" t="s">
        <v>0</v>
      </c>
      <c r="F7" s="15" t="s">
        <v>35</v>
      </c>
      <c r="G7" s="15" t="s">
        <v>14</v>
      </c>
      <c r="H7" s="15" t="s">
        <v>15</v>
      </c>
      <c r="I7" s="15" t="s">
        <v>31</v>
      </c>
      <c r="J7" s="16" t="s">
        <v>0</v>
      </c>
      <c r="K7" s="15" t="s">
        <v>35</v>
      </c>
      <c r="L7" s="15" t="s">
        <v>14</v>
      </c>
      <c r="M7" s="15" t="s">
        <v>15</v>
      </c>
      <c r="N7" s="15" t="s">
        <v>31</v>
      </c>
      <c r="O7" s="26"/>
      <c r="Q7" s="3"/>
    </row>
    <row r="8" spans="1:17" ht="21" x14ac:dyDescent="0.25">
      <c r="A8" s="5" t="s">
        <v>1</v>
      </c>
      <c r="B8" s="17">
        <f t="shared" ref="B8:B19" si="0">SUM(C8:D8)</f>
        <v>200</v>
      </c>
      <c r="C8" s="18">
        <v>0</v>
      </c>
      <c r="D8" s="17">
        <v>200</v>
      </c>
      <c r="E8" s="19">
        <f t="shared" ref="E8:E19" si="1">SUM(F8:I8)</f>
        <v>339</v>
      </c>
      <c r="F8" s="18">
        <v>19</v>
      </c>
      <c r="G8" s="18">
        <v>320</v>
      </c>
      <c r="H8" s="18">
        <v>0</v>
      </c>
      <c r="I8" s="18">
        <v>0</v>
      </c>
      <c r="J8" s="19">
        <f t="shared" ref="J8:J19" si="2">SUM(K8:N8)</f>
        <v>583</v>
      </c>
      <c r="K8" s="18">
        <v>54</v>
      </c>
      <c r="L8" s="18">
        <v>529</v>
      </c>
      <c r="M8" s="18">
        <v>0</v>
      </c>
      <c r="N8" s="18">
        <v>0</v>
      </c>
      <c r="O8" s="7" t="s">
        <v>18</v>
      </c>
      <c r="Q8" s="3"/>
    </row>
    <row r="9" spans="1:17" ht="21" x14ac:dyDescent="0.25">
      <c r="A9" s="5" t="s">
        <v>2</v>
      </c>
      <c r="B9" s="17">
        <f t="shared" si="0"/>
        <v>277</v>
      </c>
      <c r="C9" s="18">
        <v>8</v>
      </c>
      <c r="D9" s="17">
        <v>269</v>
      </c>
      <c r="E9" s="19">
        <f t="shared" si="1"/>
        <v>355</v>
      </c>
      <c r="F9" s="18">
        <v>29</v>
      </c>
      <c r="G9" s="18">
        <v>326</v>
      </c>
      <c r="H9" s="18">
        <v>0</v>
      </c>
      <c r="I9" s="18">
        <v>0</v>
      </c>
      <c r="J9" s="19">
        <f t="shared" si="2"/>
        <v>551</v>
      </c>
      <c r="K9" s="18">
        <v>28</v>
      </c>
      <c r="L9" s="18">
        <v>523</v>
      </c>
      <c r="M9" s="18">
        <v>0</v>
      </c>
      <c r="N9" s="18">
        <v>0</v>
      </c>
      <c r="O9" s="7" t="s">
        <v>19</v>
      </c>
      <c r="Q9" s="3"/>
    </row>
    <row r="10" spans="1:17" ht="21" x14ac:dyDescent="0.25">
      <c r="A10" s="5" t="s">
        <v>3</v>
      </c>
      <c r="B10" s="17">
        <f t="shared" si="0"/>
        <v>265</v>
      </c>
      <c r="C10" s="18">
        <v>0</v>
      </c>
      <c r="D10" s="17">
        <v>265</v>
      </c>
      <c r="E10" s="19">
        <f t="shared" si="1"/>
        <v>339</v>
      </c>
      <c r="F10" s="18">
        <v>16</v>
      </c>
      <c r="G10" s="18">
        <v>323</v>
      </c>
      <c r="H10" s="18">
        <v>0</v>
      </c>
      <c r="I10" s="18">
        <v>0</v>
      </c>
      <c r="J10" s="19">
        <f t="shared" si="2"/>
        <v>561</v>
      </c>
      <c r="K10" s="18">
        <v>23</v>
      </c>
      <c r="L10" s="18">
        <v>538</v>
      </c>
      <c r="M10" s="18">
        <v>0</v>
      </c>
      <c r="N10" s="18">
        <v>0</v>
      </c>
      <c r="O10" s="7" t="s">
        <v>20</v>
      </c>
      <c r="Q10" s="3"/>
    </row>
    <row r="11" spans="1:17" ht="21" x14ac:dyDescent="0.25">
      <c r="A11" s="5" t="s">
        <v>4</v>
      </c>
      <c r="B11" s="17">
        <f t="shared" si="0"/>
        <v>300</v>
      </c>
      <c r="C11" s="18">
        <v>0</v>
      </c>
      <c r="D11" s="17">
        <v>300</v>
      </c>
      <c r="E11" s="19">
        <f t="shared" si="1"/>
        <v>482</v>
      </c>
      <c r="F11" s="18">
        <v>14</v>
      </c>
      <c r="G11" s="18">
        <v>466</v>
      </c>
      <c r="H11" s="18">
        <v>1</v>
      </c>
      <c r="I11" s="18">
        <v>1</v>
      </c>
      <c r="J11" s="19">
        <f t="shared" si="2"/>
        <v>561</v>
      </c>
      <c r="K11" s="18">
        <v>23</v>
      </c>
      <c r="L11" s="18">
        <v>538</v>
      </c>
      <c r="M11" s="18">
        <v>0</v>
      </c>
      <c r="N11" s="18">
        <v>0</v>
      </c>
      <c r="O11" s="7" t="s">
        <v>21</v>
      </c>
      <c r="Q11" s="3"/>
    </row>
    <row r="12" spans="1:17" ht="21" x14ac:dyDescent="0.25">
      <c r="A12" s="5" t="s">
        <v>5</v>
      </c>
      <c r="B12" s="17">
        <f t="shared" si="0"/>
        <v>322</v>
      </c>
      <c r="C12" s="18">
        <v>22</v>
      </c>
      <c r="D12" s="17">
        <v>300</v>
      </c>
      <c r="E12" s="19">
        <f t="shared" si="1"/>
        <v>489</v>
      </c>
      <c r="F12" s="18">
        <v>5</v>
      </c>
      <c r="G12" s="18">
        <v>482</v>
      </c>
      <c r="H12" s="18">
        <v>1</v>
      </c>
      <c r="I12" s="18">
        <v>1</v>
      </c>
      <c r="J12" s="19">
        <f t="shared" si="2"/>
        <v>578</v>
      </c>
      <c r="K12" s="18">
        <v>38</v>
      </c>
      <c r="L12" s="18">
        <v>536</v>
      </c>
      <c r="M12" s="18">
        <v>4</v>
      </c>
      <c r="N12" s="18">
        <v>0</v>
      </c>
      <c r="O12" s="7" t="s">
        <v>22</v>
      </c>
      <c r="Q12" s="3"/>
    </row>
    <row r="13" spans="1:17" ht="21" x14ac:dyDescent="0.25">
      <c r="A13" s="5" t="s">
        <v>6</v>
      </c>
      <c r="B13" s="17">
        <f t="shared" si="0"/>
        <v>363</v>
      </c>
      <c r="C13" s="18">
        <v>38</v>
      </c>
      <c r="D13" s="17">
        <v>325</v>
      </c>
      <c r="E13" s="19">
        <f t="shared" si="1"/>
        <v>408</v>
      </c>
      <c r="F13" s="18">
        <v>28</v>
      </c>
      <c r="G13" s="18">
        <v>379</v>
      </c>
      <c r="H13" s="18">
        <v>1</v>
      </c>
      <c r="I13" s="18">
        <v>0</v>
      </c>
      <c r="J13" s="19">
        <f t="shared" si="2"/>
        <v>569</v>
      </c>
      <c r="K13" s="18">
        <v>16</v>
      </c>
      <c r="L13" s="18">
        <v>548</v>
      </c>
      <c r="M13" s="18">
        <v>5</v>
      </c>
      <c r="N13" s="18">
        <v>0</v>
      </c>
      <c r="O13" s="7" t="s">
        <v>23</v>
      </c>
      <c r="Q13" s="3"/>
    </row>
    <row r="14" spans="1:17" ht="21" x14ac:dyDescent="0.25">
      <c r="A14" s="5" t="s">
        <v>7</v>
      </c>
      <c r="B14" s="17">
        <f t="shared" si="0"/>
        <v>356</v>
      </c>
      <c r="C14" s="18">
        <v>31</v>
      </c>
      <c r="D14" s="17">
        <v>325</v>
      </c>
      <c r="E14" s="19">
        <f t="shared" si="1"/>
        <v>433</v>
      </c>
      <c r="F14" s="18">
        <v>14</v>
      </c>
      <c r="G14" s="18">
        <v>418</v>
      </c>
      <c r="H14" s="18">
        <v>1</v>
      </c>
      <c r="I14" s="18">
        <v>0</v>
      </c>
      <c r="J14" s="19">
        <f t="shared" si="2"/>
        <v>593</v>
      </c>
      <c r="K14" s="18">
        <v>38</v>
      </c>
      <c r="L14" s="18">
        <v>546</v>
      </c>
      <c r="M14" s="18">
        <v>9</v>
      </c>
      <c r="N14" s="18">
        <v>0</v>
      </c>
      <c r="O14" s="7" t="s">
        <v>24</v>
      </c>
      <c r="Q14" s="3"/>
    </row>
    <row r="15" spans="1:17" ht="21" x14ac:dyDescent="0.25">
      <c r="A15" s="5" t="s">
        <v>8</v>
      </c>
      <c r="B15" s="17">
        <f t="shared" si="0"/>
        <v>303</v>
      </c>
      <c r="C15" s="18">
        <v>9</v>
      </c>
      <c r="D15" s="17">
        <v>294</v>
      </c>
      <c r="E15" s="19">
        <f t="shared" si="1"/>
        <v>578</v>
      </c>
      <c r="F15" s="18">
        <v>150</v>
      </c>
      <c r="G15" s="18">
        <v>427</v>
      </c>
      <c r="H15" s="18">
        <v>1</v>
      </c>
      <c r="I15" s="18">
        <v>0</v>
      </c>
      <c r="J15" s="19">
        <f t="shared" si="2"/>
        <v>619</v>
      </c>
      <c r="K15" s="18">
        <v>55</v>
      </c>
      <c r="L15" s="18">
        <v>553</v>
      </c>
      <c r="M15" s="18">
        <v>11</v>
      </c>
      <c r="N15" s="18">
        <v>0</v>
      </c>
      <c r="O15" s="7" t="s">
        <v>25</v>
      </c>
      <c r="Q15" s="3"/>
    </row>
    <row r="16" spans="1:17" ht="21" x14ac:dyDescent="0.25">
      <c r="A16" s="5" t="s">
        <v>9</v>
      </c>
      <c r="B16" s="17">
        <f t="shared" si="0"/>
        <v>370</v>
      </c>
      <c r="C16" s="18">
        <v>48</v>
      </c>
      <c r="D16" s="17">
        <v>322</v>
      </c>
      <c r="E16" s="19">
        <f t="shared" si="1"/>
        <v>469</v>
      </c>
      <c r="F16" s="18">
        <v>59</v>
      </c>
      <c r="G16" s="18">
        <v>409</v>
      </c>
      <c r="H16" s="18">
        <v>1</v>
      </c>
      <c r="I16" s="18">
        <v>0</v>
      </c>
      <c r="J16" s="19">
        <f t="shared" si="2"/>
        <v>585</v>
      </c>
      <c r="K16" s="18">
        <v>24</v>
      </c>
      <c r="L16" s="18">
        <v>549</v>
      </c>
      <c r="M16" s="18">
        <v>12</v>
      </c>
      <c r="N16" s="18">
        <v>0</v>
      </c>
      <c r="O16" s="7" t="s">
        <v>26</v>
      </c>
      <c r="Q16" s="3"/>
    </row>
    <row r="17" spans="1:17" ht="21" x14ac:dyDescent="0.25">
      <c r="A17" s="5" t="s">
        <v>10</v>
      </c>
      <c r="B17" s="17">
        <f t="shared" si="0"/>
        <v>374</v>
      </c>
      <c r="C17" s="18">
        <v>54</v>
      </c>
      <c r="D17" s="17">
        <v>320</v>
      </c>
      <c r="E17" s="19">
        <f t="shared" si="1"/>
        <v>438</v>
      </c>
      <c r="F17" s="18">
        <v>28</v>
      </c>
      <c r="G17" s="18">
        <v>409</v>
      </c>
      <c r="H17" s="18">
        <v>1</v>
      </c>
      <c r="I17" s="18">
        <v>0</v>
      </c>
      <c r="J17" s="19">
        <f t="shared" si="2"/>
        <v>650</v>
      </c>
      <c r="K17" s="18">
        <v>41</v>
      </c>
      <c r="L17" s="18">
        <v>594</v>
      </c>
      <c r="M17" s="18">
        <v>15</v>
      </c>
      <c r="N17" s="18">
        <v>0</v>
      </c>
      <c r="O17" s="7" t="s">
        <v>27</v>
      </c>
      <c r="Q17" s="3"/>
    </row>
    <row r="18" spans="1:17" ht="21" x14ac:dyDescent="0.55000000000000004">
      <c r="A18" s="5" t="s">
        <v>11</v>
      </c>
      <c r="B18" s="17">
        <f t="shared" si="0"/>
        <v>372</v>
      </c>
      <c r="C18" s="18">
        <v>50</v>
      </c>
      <c r="D18" s="17">
        <v>322</v>
      </c>
      <c r="E18" s="19">
        <f t="shared" si="1"/>
        <v>462</v>
      </c>
      <c r="F18" s="18">
        <v>38</v>
      </c>
      <c r="G18" s="18">
        <v>423</v>
      </c>
      <c r="H18" s="18">
        <v>1</v>
      </c>
      <c r="I18" s="18">
        <v>0</v>
      </c>
      <c r="J18" s="19">
        <f t="shared" si="2"/>
        <v>696</v>
      </c>
      <c r="K18" s="18">
        <v>45</v>
      </c>
      <c r="L18" s="18">
        <v>629</v>
      </c>
      <c r="M18" s="18">
        <v>22</v>
      </c>
      <c r="N18" s="18">
        <v>0</v>
      </c>
      <c r="O18" s="8" t="s">
        <v>30</v>
      </c>
      <c r="Q18" s="3"/>
    </row>
    <row r="19" spans="1:17" ht="21" x14ac:dyDescent="0.25">
      <c r="A19" s="6" t="s">
        <v>12</v>
      </c>
      <c r="B19" s="20">
        <f t="shared" si="0"/>
        <v>393</v>
      </c>
      <c r="C19" s="20">
        <v>74</v>
      </c>
      <c r="D19" s="20">
        <v>319</v>
      </c>
      <c r="E19" s="21">
        <f t="shared" si="1"/>
        <v>425</v>
      </c>
      <c r="F19" s="20">
        <v>12</v>
      </c>
      <c r="G19" s="20">
        <v>413</v>
      </c>
      <c r="H19" s="20">
        <v>0</v>
      </c>
      <c r="I19" s="20">
        <v>0</v>
      </c>
      <c r="J19" s="21">
        <f t="shared" si="2"/>
        <v>646</v>
      </c>
      <c r="K19" s="20">
        <v>5</v>
      </c>
      <c r="L19" s="20">
        <v>616</v>
      </c>
      <c r="M19" s="20">
        <v>25</v>
      </c>
      <c r="N19" s="20">
        <v>0</v>
      </c>
      <c r="O19" s="9" t="s">
        <v>28</v>
      </c>
    </row>
    <row r="20" spans="1:17" s="11" customFormat="1" ht="17.25" x14ac:dyDescent="0.45">
      <c r="A20" s="10" t="s">
        <v>16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12" t="s">
        <v>32</v>
      </c>
    </row>
  </sheetData>
  <mergeCells count="8">
    <mergeCell ref="A2:O2"/>
    <mergeCell ref="A3:O3"/>
    <mergeCell ref="O5:O7"/>
    <mergeCell ref="B6:D6"/>
    <mergeCell ref="A5:A7"/>
    <mergeCell ref="E6:I6"/>
    <mergeCell ref="J6:N6"/>
    <mergeCell ref="B5:N5"/>
  </mergeCells>
  <pageMargins left="0.17" right="0.16" top="0.75" bottom="0.75" header="0.3" footer="0.3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18.5</vt:lpstr>
      <vt:lpstr>'18.5'!Print_Area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2016-03-16T08:43:48Z</cp:lastPrinted>
  <dcterms:created xsi:type="dcterms:W3CDTF">2013-03-14T06:06:17Z</dcterms:created>
  <dcterms:modified xsi:type="dcterms:W3CDTF">2016-03-16T08:43:50Z</dcterms:modified>
</cp:coreProperties>
</file>