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1" sheetId="15" r:id="rId1"/>
  </sheets>
  <definedNames>
    <definedName name="_xlnm.Print_Area" localSheetId="0">'18.11'!$A$1:$K$60</definedName>
  </definedNames>
  <calcPr calcId="144525"/>
</workbook>
</file>

<file path=xl/calcChain.xml><?xml version="1.0" encoding="utf-8"?>
<calcChain xmlns="http://schemas.openxmlformats.org/spreadsheetml/2006/main">
  <c r="AE18" i="15" l="1"/>
  <c r="AF18" i="15"/>
  <c r="AG18" i="15"/>
  <c r="AD18" i="15"/>
  <c r="AE19" i="15" l="1"/>
  <c r="G11" i="15" l="1"/>
  <c r="AI18" i="15" s="1"/>
  <c r="F11" i="15"/>
  <c r="AH18" i="15" s="1"/>
  <c r="AE20" i="15" l="1"/>
  <c r="AE22" i="15" s="1"/>
  <c r="AG19" i="15"/>
  <c r="AG20" i="15" s="1"/>
  <c r="G10" i="15" l="1"/>
  <c r="F10" i="15"/>
  <c r="AI19" i="15" s="1"/>
  <c r="AN18" i="15" l="1"/>
  <c r="AO18" i="15"/>
  <c r="AI20" i="15"/>
  <c r="G9" i="15" l="1"/>
  <c r="F9" i="15"/>
  <c r="G8" i="15"/>
  <c r="F8" i="15"/>
  <c r="G7" i="15"/>
  <c r="F7" i="15"/>
  <c r="AE24" i="15" l="1"/>
  <c r="AE23" i="15" l="1"/>
</calcChain>
</file>

<file path=xl/sharedStrings.xml><?xml version="1.0" encoding="utf-8"?>
<sst xmlns="http://schemas.openxmlformats.org/spreadsheetml/2006/main" count="39" uniqueCount="19">
  <si>
    <t>Male</t>
  </si>
  <si>
    <t>Female</t>
  </si>
  <si>
    <t>Total</t>
  </si>
  <si>
    <t>Year</t>
  </si>
  <si>
    <t>Public sector</t>
  </si>
  <si>
    <t>Private sector</t>
  </si>
  <si>
    <t>Source: Maldives Pension Administration</t>
  </si>
  <si>
    <t xml:space="preserve">Male     </t>
  </si>
  <si>
    <t xml:space="preserve">Female        </t>
  </si>
  <si>
    <r>
      <t xml:space="preserve">     </t>
    </r>
    <r>
      <rPr>
        <b/>
        <sz val="11"/>
        <color theme="1"/>
        <rFont val="Faruma"/>
      </rPr>
      <t>ފިރިހެން</t>
    </r>
  </si>
  <si>
    <r>
      <t xml:space="preserve">         </t>
    </r>
    <r>
      <rPr>
        <b/>
        <sz val="11"/>
        <color theme="1"/>
        <rFont val="Faruma"/>
      </rPr>
      <t xml:space="preserve">އަންހެން  </t>
    </r>
  </si>
  <si>
    <t>މަޢުލޫމާތު ދެއްވި ފަރާތް: މޯލްޑިވްސް ޕެންޝަން އެޑްމިނިސްޓްރޭޝަން</t>
  </si>
  <si>
    <t>total</t>
  </si>
  <si>
    <t>% sahre of females</t>
  </si>
  <si>
    <t xml:space="preserve">% share of females </t>
  </si>
  <si>
    <t>Note: 2013 figure is  revised</t>
  </si>
  <si>
    <t>2014ގެ މައުލޫމާތު އިސްލާޙުކުރެވިފައި.</t>
  </si>
  <si>
    <t>TABLE   18.11:  NUMBER OF MEMBERS CONTRIBUTING TO RETIREMENT PENSION SCHEME BY SECTOR AND SEX, 2010-2014</t>
  </si>
  <si>
    <t>ތާވަލު  18.11 :ރިޓާޔަމަންޓް ޕެންޝަން ސްކީމްއަށް ޕަބްލިކް އަދި ޕްރައިވެޓް ސެކްޓަރއިން ފައިސާދެއްކި މީހުންގެ ޢަދަދު ، 2010 - 2014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</si>
</sst>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6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0" xfId="1" applyNumberFormat="1" applyFont="1" applyFill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/>
    <xf numFmtId="0" fontId="0" fillId="2" borderId="0" xfId="0" applyFill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165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66" fontId="0" fillId="2" borderId="0" xfId="0" applyNumberFormat="1" applyFill="1"/>
    <xf numFmtId="0" fontId="2" fillId="2" borderId="3" xfId="0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4" fillId="2" borderId="0" xfId="0" applyFont="1" applyFill="1"/>
    <xf numFmtId="0" fontId="5" fillId="2" borderId="0" xfId="0" applyFont="1" applyFill="1"/>
    <xf numFmtId="1" fontId="0" fillId="2" borderId="0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/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164" fontId="0" fillId="2" borderId="9" xfId="1" applyNumberFormat="1" applyFont="1" applyFill="1" applyBorder="1" applyAlignment="1">
      <alignment horizontal="center" vertical="center"/>
    </xf>
    <xf numFmtId="164" fontId="0" fillId="2" borderId="1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317069340692"/>
          <c:y val="0.21741907261592444"/>
          <c:w val="0.86752235457747273"/>
          <c:h val="0.481832166812484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multiLvlStrRef>
              <c:f>'18.11'!$AD$16:$AI$17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'18.11'!$AD$18:$AI$18</c:f>
              <c:numCache>
                <c:formatCode>_(* #,##0_);_(* \(#,##0\);_(* "-"??_);_(@_)</c:formatCode>
                <c:ptCount val="6"/>
                <c:pt idx="0">
                  <c:v>18475</c:v>
                </c:pt>
                <c:pt idx="1">
                  <c:v>13804</c:v>
                </c:pt>
                <c:pt idx="2">
                  <c:v>34087</c:v>
                </c:pt>
                <c:pt idx="3">
                  <c:v>8483</c:v>
                </c:pt>
                <c:pt idx="4">
                  <c:v>52562</c:v>
                </c:pt>
                <c:pt idx="5">
                  <c:v>22287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20117120"/>
        <c:axId val="120118656"/>
      </c:barChart>
      <c:catAx>
        <c:axId val="1201171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20118656"/>
        <c:crosses val="autoZero"/>
        <c:auto val="1"/>
        <c:lblAlgn val="ctr"/>
        <c:lblOffset val="100"/>
        <c:noMultiLvlLbl val="0"/>
      </c:catAx>
      <c:valAx>
        <c:axId val="12011865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3390403122686587E-2"/>
              <c:y val="0.11551108194809002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20117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33" l="0.70000000000000062" r="0.70000000000000062" t="0.750000000000003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21297103670713E-2"/>
          <c:y val="0.2174190726159243"/>
          <c:w val="0.89795026596969252"/>
          <c:h val="0.59941528142315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'18.11'!$AE$21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'18.11'!$AD$22:$AD$23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'18.11'!$AE$22:$AE$23</c:f>
              <c:numCache>
                <c:formatCode>0.0</c:formatCode>
                <c:ptCount val="2"/>
                <c:pt idx="0">
                  <c:v>42.764645744911547</c:v>
                </c:pt>
                <c:pt idx="1">
                  <c:v>19.927178764388067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9"/>
        <c:overlap val="100"/>
        <c:axId val="122114048"/>
        <c:axId val="122115584"/>
      </c:barChart>
      <c:catAx>
        <c:axId val="122114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22115584"/>
        <c:crosses val="autoZero"/>
        <c:auto val="1"/>
        <c:lblAlgn val="ctr"/>
        <c:lblOffset val="100"/>
        <c:noMultiLvlLbl val="0"/>
      </c:catAx>
      <c:valAx>
        <c:axId val="12211558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Percent</a:t>
                </a:r>
              </a:p>
            </c:rich>
          </c:tx>
          <c:layout>
            <c:manualLayout>
              <c:xMode val="edge"/>
              <c:yMode val="edge"/>
              <c:x val="1.5927187135132685E-2"/>
              <c:y val="0.1185039370078740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211404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36226754413703044"/>
          <c:y val="0.90702354913969052"/>
          <c:w val="0.29966491688538932"/>
          <c:h val="8.3717191601050026E-2"/>
        </c:manualLayout>
      </c:layout>
      <c:overlay val="0"/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33" l="0.70000000000000062" r="0.70000000000000062" t="0.75000000000000333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18.11: Percentage share of contributions to the retirement pension scheme by sex, 2014</a:t>
            </a:r>
          </a:p>
        </c:rich>
      </c:tx>
      <c:layout>
        <c:manualLayout>
          <c:xMode val="edge"/>
          <c:yMode val="edge"/>
          <c:x val="0.11664383561643836"/>
          <c:y val="3.03187101612298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359560610479243"/>
          <c:y val="0.16363731426002026"/>
          <c:w val="0.5057303392631477"/>
          <c:h val="0.81601907331305068"/>
        </c:manualLayout>
      </c:layout>
      <c:pieChart>
        <c:varyColors val="1"/>
        <c:ser>
          <c:idx val="0"/>
          <c:order val="0"/>
          <c:explosion val="12"/>
          <c:dPt>
            <c:idx val="0"/>
            <c:bubble3D val="0"/>
          </c:dPt>
          <c:dPt>
            <c:idx val="1"/>
            <c:bubble3D val="0"/>
            <c:explosion val="1"/>
          </c:dPt>
          <c:dLbls>
            <c:dLbl>
              <c:idx val="0"/>
              <c:layout>
                <c:manualLayout>
                  <c:x val="-0.16468467982598065"/>
                  <c:y val="-0.139245094363205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1662643097687067"/>
                  <c:y val="0.126045308166266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'18.11'!$AN$17:$AO$17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'18.11'!$AN$18:$AO$18</c:f>
              <c:numCache>
                <c:formatCode>0</c:formatCode>
                <c:ptCount val="2"/>
                <c:pt idx="0">
                  <c:v>70.224051089526924</c:v>
                </c:pt>
                <c:pt idx="1">
                  <c:v>29.775948910473087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603884</xdr:colOff>
      <xdr:row>13</xdr:row>
      <xdr:rowOff>76200</xdr:rowOff>
    </xdr:from>
    <xdr:to>
      <xdr:col>6</xdr:col>
      <xdr:colOff>89534</xdr:colOff>
      <xdr:row>27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619124</xdr:colOff>
      <xdr:row>29</xdr:row>
      <xdr:rowOff>104775</xdr:rowOff>
    </xdr:from>
    <xdr:to>
      <xdr:col>6</xdr:col>
      <xdr:colOff>114300</xdr:colOff>
      <xdr:row>43</xdr:row>
      <xdr:rowOff>173355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638175</xdr:colOff>
      <xdr:row>45</xdr:row>
      <xdr:rowOff>45720</xdr:rowOff>
    </xdr:from>
    <xdr:to>
      <xdr:col>6</xdr:col>
      <xdr:colOff>114300</xdr:colOff>
      <xdr:row>59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91440</xdr:colOff>
      <xdr:row>47</xdr:row>
      <xdr:rowOff>152400</xdr:rowOff>
    </xdr:from>
    <xdr:to>
      <xdr:col>5</xdr:col>
      <xdr:colOff>1053759</xdr:colOff>
      <xdr:row>47</xdr:row>
      <xdr:rowOff>152400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914400" y="9448800"/>
          <a:ext cx="5351439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510541</xdr:colOff>
      <xdr:row>15</xdr:row>
      <xdr:rowOff>99059</xdr:rowOff>
    </xdr:from>
    <xdr:to>
      <xdr:col>5</xdr:col>
      <xdr:colOff>1005840</xdr:colOff>
      <xdr:row>15</xdr:row>
      <xdr:rowOff>99059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333501" y="3543299"/>
          <a:ext cx="4884419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358141</xdr:colOff>
      <xdr:row>31</xdr:row>
      <xdr:rowOff>160019</xdr:rowOff>
    </xdr:from>
    <xdr:to>
      <xdr:col>5</xdr:col>
      <xdr:colOff>1051561</xdr:colOff>
      <xdr:row>31</xdr:row>
      <xdr:rowOff>160019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181101" y="6530339"/>
          <a:ext cx="50825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0.11455</cdr:x>
      <cdr:y>0.0087</cdr:y>
    </cdr:from>
    <cdr:to>
      <cdr:x>0.96873</cdr:x>
      <cdr:y>0.15362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2940" y="22860"/>
          <a:ext cx="4943476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 fontAlgn="base"/>
          <a:r>
            <a:rPr lang="en-US" sz="1050" b="1" i="0" baseline="0">
              <a:latin typeface="Consolas" pitchFamily="49" charset="0"/>
              <a:ea typeface="+mn-ea"/>
              <a:cs typeface="Consolas" pitchFamily="49" charset="0"/>
            </a:rPr>
            <a:t>Figure 18.9: Number of persons contributing to retirement pension scheme by gender and sector, 2014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0.20736</cdr:x>
      <cdr:y>0.30797</cdr:y>
    </cdr:from>
    <cdr:to>
      <cdr:x>1</cdr:x>
      <cdr:y>0.55435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2536" y="809625"/>
          <a:ext cx="459486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0.10483</cdr:x>
      <cdr:y>0.00942</cdr:y>
    </cdr:from>
    <cdr:to>
      <cdr:x>0.91719</cdr:x>
      <cdr:y>0.15435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07696" y="24765"/>
          <a:ext cx="470916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ea typeface="+mn-ea"/>
              <a:cs typeface="Consolas" pitchFamily="49" charset="0"/>
            </a:rPr>
            <a:t>Figure 18.10: Percentage share of females contributing to retirement pension scheme by sector, 2014</a:t>
          </a:r>
          <a:endParaRPr lang="en-US" sz="105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4"/>
  <sheetViews>
    <sheetView tabSelected="1" zoomScaleNormal="100" workbookViewId="0">
      <selection activeCell="AO17" sqref="S17:AO17"/>
    </sheetView>
  </sheetViews>
  <sheetFormatPr defaultColWidth="9.140625" defaultRowHeight="15" x14ac:dyDescent="0.25"/>
  <cols>
    <col min="1" max="1" width="12" style="1" customWidth="1"/>
    <col min="2" max="3" width="15.85546875" style="1" customWidth="1"/>
    <col min="4" max="4" width="16.28515625" style="1" customWidth="1"/>
    <col min="5" max="6" width="15.85546875" style="1" customWidth="1"/>
    <col min="7" max="7" width="17.42578125" style="1" customWidth="1"/>
    <col min="8" max="8" width="7.7109375" style="1" hidden="1" customWidth="1"/>
    <col min="9" max="10" width="9.140625" style="1" hidden="1" customWidth="1"/>
    <col min="11" max="11" width="1.28515625" style="1" customWidth="1"/>
    <col min="12" max="16384" width="9.140625" style="1"/>
  </cols>
  <sheetData>
    <row r="1" spans="1:35" ht="21" x14ac:dyDescent="0.55000000000000004">
      <c r="A1" s="31" t="s">
        <v>18</v>
      </c>
      <c r="B1" s="31"/>
      <c r="C1" s="31"/>
      <c r="D1" s="31"/>
      <c r="E1" s="31"/>
      <c r="F1" s="31"/>
      <c r="G1" s="31"/>
      <c r="J1" s="6"/>
    </row>
    <row r="2" spans="1:35" x14ac:dyDescent="0.25">
      <c r="A2" s="32" t="s">
        <v>17</v>
      </c>
      <c r="B2" s="32"/>
      <c r="C2" s="32"/>
      <c r="D2" s="32"/>
      <c r="E2" s="32"/>
      <c r="F2" s="32"/>
      <c r="G2" s="32"/>
    </row>
    <row r="3" spans="1:35" x14ac:dyDescent="0.25">
      <c r="A3" s="2"/>
      <c r="B3" s="2"/>
      <c r="C3" s="2"/>
      <c r="D3" s="2"/>
      <c r="E3" s="2"/>
      <c r="F3" s="2"/>
      <c r="G3" s="2"/>
    </row>
    <row r="4" spans="1:35" x14ac:dyDescent="0.25">
      <c r="A4" s="34" t="s">
        <v>3</v>
      </c>
      <c r="B4" s="33" t="s">
        <v>4</v>
      </c>
      <c r="C4" s="35"/>
      <c r="D4" s="36" t="s">
        <v>5</v>
      </c>
      <c r="E4" s="37"/>
      <c r="F4" s="38" t="s">
        <v>2</v>
      </c>
      <c r="G4" s="38"/>
    </row>
    <row r="5" spans="1:35" x14ac:dyDescent="0.25">
      <c r="A5" s="39"/>
      <c r="B5" s="11" t="s">
        <v>7</v>
      </c>
      <c r="C5" s="12" t="s">
        <v>8</v>
      </c>
      <c r="D5" s="11" t="s">
        <v>7</v>
      </c>
      <c r="E5" s="12" t="s">
        <v>8</v>
      </c>
      <c r="F5" s="11" t="s">
        <v>7</v>
      </c>
      <c r="G5" s="14" t="s">
        <v>8</v>
      </c>
    </row>
    <row r="6" spans="1:35" ht="21" x14ac:dyDescent="0.55000000000000004">
      <c r="A6" s="40"/>
      <c r="B6" s="19" t="s">
        <v>9</v>
      </c>
      <c r="C6" s="10" t="s">
        <v>10</v>
      </c>
      <c r="D6" s="19" t="s">
        <v>9</v>
      </c>
      <c r="E6" s="10" t="s">
        <v>10</v>
      </c>
      <c r="F6" s="19" t="s">
        <v>9</v>
      </c>
      <c r="G6" s="13" t="s">
        <v>10</v>
      </c>
    </row>
    <row r="7" spans="1:35" ht="26.25" customHeight="1" x14ac:dyDescent="0.25">
      <c r="A7" s="7">
        <v>2010</v>
      </c>
      <c r="B7" s="5">
        <v>19298</v>
      </c>
      <c r="C7" s="8">
        <v>10971</v>
      </c>
      <c r="D7" s="9">
        <v>119</v>
      </c>
      <c r="E7" s="8">
        <v>133</v>
      </c>
      <c r="F7" s="3">
        <f t="shared" ref="F7:G9" si="0">SUM(B7,D7)</f>
        <v>19417</v>
      </c>
      <c r="G7" s="5">
        <f t="shared" si="0"/>
        <v>11104</v>
      </c>
    </row>
    <row r="8" spans="1:35" ht="26.25" customHeight="1" x14ac:dyDescent="0.25">
      <c r="A8" s="7">
        <v>2011</v>
      </c>
      <c r="B8" s="5">
        <v>13667</v>
      </c>
      <c r="C8" s="8">
        <v>7386</v>
      </c>
      <c r="D8" s="9">
        <v>29781</v>
      </c>
      <c r="E8" s="8">
        <v>8169</v>
      </c>
      <c r="F8" s="3">
        <f t="shared" si="0"/>
        <v>43448</v>
      </c>
      <c r="G8" s="5">
        <f t="shared" si="0"/>
        <v>15555</v>
      </c>
    </row>
    <row r="9" spans="1:35" s="2" customFormat="1" ht="26.25" customHeight="1" x14ac:dyDescent="0.25">
      <c r="A9" s="24">
        <v>2012</v>
      </c>
      <c r="B9" s="5">
        <v>18242</v>
      </c>
      <c r="C9" s="8">
        <v>13411</v>
      </c>
      <c r="D9" s="9">
        <v>30036</v>
      </c>
      <c r="E9" s="8">
        <v>7116</v>
      </c>
      <c r="F9" s="5">
        <f t="shared" si="0"/>
        <v>48278</v>
      </c>
      <c r="G9" s="5">
        <f t="shared" si="0"/>
        <v>20527</v>
      </c>
    </row>
    <row r="10" spans="1:35" ht="26.25" customHeight="1" x14ac:dyDescent="0.25">
      <c r="A10" s="26">
        <v>2013</v>
      </c>
      <c r="B10" s="5">
        <v>17816</v>
      </c>
      <c r="C10" s="8">
        <v>12346</v>
      </c>
      <c r="D10" s="9">
        <v>31644</v>
      </c>
      <c r="E10" s="8">
        <v>7655</v>
      </c>
      <c r="F10" s="5">
        <f>SUM(B10,D10)</f>
        <v>49460</v>
      </c>
      <c r="G10" s="5">
        <f>SUM(C10,E10)</f>
        <v>20001</v>
      </c>
    </row>
    <row r="11" spans="1:35" ht="26.25" customHeight="1" x14ac:dyDescent="0.25">
      <c r="A11" s="27">
        <v>2014</v>
      </c>
      <c r="B11" s="4">
        <v>18475</v>
      </c>
      <c r="C11" s="29">
        <v>13804</v>
      </c>
      <c r="D11" s="30">
        <v>34087</v>
      </c>
      <c r="E11" s="29">
        <v>8483</v>
      </c>
      <c r="F11" s="4">
        <f>SUM(B11,D11)</f>
        <v>52562</v>
      </c>
      <c r="G11" s="4">
        <f>SUM(C11,E11)</f>
        <v>22287</v>
      </c>
    </row>
    <row r="12" spans="1:35" ht="17.45" customHeight="1" x14ac:dyDescent="0.45">
      <c r="A12" s="28" t="s">
        <v>15</v>
      </c>
      <c r="B12" s="20"/>
      <c r="C12" s="20"/>
      <c r="D12" s="20"/>
      <c r="E12" s="20"/>
      <c r="F12" s="23"/>
      <c r="G12" s="22" t="s">
        <v>16</v>
      </c>
      <c r="I12" s="17"/>
    </row>
    <row r="13" spans="1:35" ht="18" x14ac:dyDescent="0.45">
      <c r="A13" s="21" t="s">
        <v>6</v>
      </c>
      <c r="G13" s="22" t="s">
        <v>11</v>
      </c>
    </row>
    <row r="14" spans="1:35" x14ac:dyDescent="0.25">
      <c r="C14" s="25"/>
      <c r="E14" s="25"/>
      <c r="G14" s="25"/>
    </row>
    <row r="15" spans="1:35" x14ac:dyDescent="0.25">
      <c r="C15" s="15"/>
      <c r="E15" s="15"/>
      <c r="G15" s="15"/>
      <c r="AD15" s="1">
        <v>2014</v>
      </c>
    </row>
    <row r="16" spans="1:35" x14ac:dyDescent="0.25">
      <c r="AD16" s="33" t="s">
        <v>4</v>
      </c>
      <c r="AE16" s="35"/>
      <c r="AF16" s="36" t="s">
        <v>5</v>
      </c>
      <c r="AG16" s="37"/>
      <c r="AH16" s="38" t="s">
        <v>2</v>
      </c>
      <c r="AI16" s="38"/>
    </row>
    <row r="17" spans="30:41" x14ac:dyDescent="0.25">
      <c r="AD17" s="11" t="s">
        <v>7</v>
      </c>
      <c r="AE17" s="12" t="s">
        <v>8</v>
      </c>
      <c r="AF17" s="11" t="s">
        <v>7</v>
      </c>
      <c r="AG17" s="12" t="s">
        <v>8</v>
      </c>
      <c r="AH17" s="11" t="s">
        <v>7</v>
      </c>
      <c r="AI17" s="14" t="s">
        <v>8</v>
      </c>
      <c r="AN17" s="1" t="s">
        <v>0</v>
      </c>
      <c r="AO17" s="1" t="s">
        <v>1</v>
      </c>
    </row>
    <row r="18" spans="30:41" x14ac:dyDescent="0.25">
      <c r="AD18" s="4">
        <f>B11</f>
        <v>18475</v>
      </c>
      <c r="AE18" s="4">
        <f t="shared" ref="AE18:AI18" si="1">C11</f>
        <v>13804</v>
      </c>
      <c r="AF18" s="4">
        <f t="shared" si="1"/>
        <v>34087</v>
      </c>
      <c r="AG18" s="4">
        <f t="shared" si="1"/>
        <v>8483</v>
      </c>
      <c r="AH18" s="4">
        <f t="shared" si="1"/>
        <v>52562</v>
      </c>
      <c r="AI18" s="4">
        <f t="shared" si="1"/>
        <v>22287</v>
      </c>
      <c r="AN18" s="16">
        <f>AH18/AI19*100</f>
        <v>70.224051089526924</v>
      </c>
      <c r="AO18" s="16">
        <f>AI18/AI19*100</f>
        <v>29.775948910473087</v>
      </c>
    </row>
    <row r="19" spans="30:41" x14ac:dyDescent="0.25">
      <c r="AD19" s="1" t="s">
        <v>12</v>
      </c>
      <c r="AE19" s="25">
        <f>AD18+AE18</f>
        <v>32279</v>
      </c>
      <c r="AG19" s="25">
        <f>AF18+AG18</f>
        <v>42570</v>
      </c>
      <c r="AI19" s="25">
        <f>SUM(AH18:AI18)</f>
        <v>74849</v>
      </c>
    </row>
    <row r="20" spans="30:41" x14ac:dyDescent="0.25">
      <c r="AD20" s="1" t="s">
        <v>13</v>
      </c>
      <c r="AE20" s="18">
        <f>AE18/AE19*100</f>
        <v>42.764645744911547</v>
      </c>
      <c r="AF20" s="18"/>
      <c r="AG20" s="18">
        <f>AG18/AG19*100</f>
        <v>19.927178764388067</v>
      </c>
      <c r="AH20" s="18"/>
      <c r="AI20" s="18">
        <f>AI18/AI19*100</f>
        <v>29.775948910473087</v>
      </c>
    </row>
    <row r="21" spans="30:41" x14ac:dyDescent="0.25">
      <c r="AE21" s="1" t="s">
        <v>14</v>
      </c>
    </row>
    <row r="22" spans="30:41" x14ac:dyDescent="0.25">
      <c r="AD22" s="1" t="s">
        <v>4</v>
      </c>
      <c r="AE22" s="15">
        <f>AE20</f>
        <v>42.764645744911547</v>
      </c>
    </row>
    <row r="23" spans="30:41" x14ac:dyDescent="0.25">
      <c r="AD23" s="1" t="s">
        <v>5</v>
      </c>
      <c r="AE23" s="15">
        <f>AG20</f>
        <v>19.927178764388067</v>
      </c>
    </row>
    <row r="24" spans="30:41" x14ac:dyDescent="0.25">
      <c r="AD24" s="1" t="s">
        <v>2</v>
      </c>
      <c r="AE24" s="18">
        <f>AI20</f>
        <v>29.775948910473087</v>
      </c>
    </row>
  </sheetData>
  <mergeCells count="9">
    <mergeCell ref="A1:G1"/>
    <mergeCell ref="AD16:AE16"/>
    <mergeCell ref="AF16:AG16"/>
    <mergeCell ref="AH16:AI16"/>
    <mergeCell ref="A2:G2"/>
    <mergeCell ref="A4:A6"/>
    <mergeCell ref="F4:G4"/>
    <mergeCell ref="D4:E4"/>
    <mergeCell ref="B4:C4"/>
  </mergeCells>
  <pageMargins left="0.17" right="0.17" top="0.5" bottom="0.28000000000000003" header="0.39" footer="0.17"/>
  <pageSetup paperSize="9" scale="112" orientation="landscape" r:id="rId1"/>
  <rowBreaks count="1" manualBreakCount="1">
    <brk id="2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2016-03-16T09:06:11Z</cp:lastPrinted>
  <dcterms:created xsi:type="dcterms:W3CDTF">2013-03-14T06:06:17Z</dcterms:created>
  <dcterms:modified xsi:type="dcterms:W3CDTF">2016-03-16T09:06:17Z</dcterms:modified>
</cp:coreProperties>
</file>