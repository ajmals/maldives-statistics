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775"/>
  </bookViews>
  <sheets>
    <sheet name="18.6" sheetId="12" r:id="rId1"/>
  </sheets>
  <definedNames>
    <definedName name="_xlnm.Print_Area" localSheetId="0">'18.6'!$A$1:$O$20</definedName>
  </definedNames>
  <calcPr calcId="144525"/>
</workbook>
</file>

<file path=xl/calcChain.xml><?xml version="1.0" encoding="utf-8"?>
<calcChain xmlns="http://schemas.openxmlformats.org/spreadsheetml/2006/main">
  <c r="H18" i="12" l="1"/>
  <c r="H17" i="12"/>
  <c r="H16" i="12"/>
  <c r="H15" i="12"/>
  <c r="H14" i="12"/>
  <c r="H13" i="12"/>
  <c r="H12" i="12"/>
  <c r="H11" i="12"/>
  <c r="H10" i="12"/>
  <c r="H9" i="12"/>
  <c r="H8" i="12"/>
  <c r="H7" i="12"/>
  <c r="B18" i="12" l="1"/>
  <c r="B17" i="12"/>
  <c r="B16" i="12"/>
  <c r="B15" i="12"/>
  <c r="B14" i="12"/>
  <c r="B13" i="12"/>
  <c r="B12" i="12"/>
  <c r="B11" i="12"/>
  <c r="B10" i="12"/>
  <c r="B9" i="12"/>
  <c r="B8" i="12"/>
  <c r="B7" i="12"/>
</calcChain>
</file>

<file path=xl/sharedStrings.xml><?xml version="1.0" encoding="utf-8"?>
<sst xmlns="http://schemas.openxmlformats.org/spreadsheetml/2006/main" count="44" uniqueCount="37">
  <si>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</si>
  <si>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</si>
  <si>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</si>
  <si>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</si>
  <si>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</si>
  <si>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</si>
  <si>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</si>
  <si>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</si>
  <si>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</si>
  <si>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</si>
  <si>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</si>
  <si>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</si>
  <si>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</si>
  <si>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</si>
  <si>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55-64</t>
  </si>
  <si>
    <t>65-69</t>
  </si>
  <si>
    <t>70-74</t>
  </si>
  <si>
    <t>Source: Maldives Pension Administration</t>
  </si>
  <si>
    <t>މަސް</t>
  </si>
  <si>
    <t>ޖެނުއަރީ</t>
  </si>
  <si>
    <t>ފެބްރުއަރީ</t>
  </si>
  <si>
    <t>މާޗް</t>
  </si>
  <si>
    <t>އޭޕްރީލް</t>
  </si>
  <si>
    <t>މެއި</t>
  </si>
  <si>
    <t>ޖޫން</t>
  </si>
  <si>
    <t>ޖުލައި</t>
  </si>
  <si>
    <t>އޮގަސްޓް</t>
  </si>
  <si>
    <t>ސެޕްޓެމްބަރ</t>
  </si>
  <si>
    <t>އޮކްޓޫބަރ</t>
  </si>
  <si>
    <t>ޑިސެމްބަރ</t>
  </si>
  <si>
    <t>ނޮވެމްބަރ</t>
  </si>
  <si>
    <r>
      <t xml:space="preserve">Age Groups   </t>
    </r>
    <r>
      <rPr>
        <b/>
        <sz val="11"/>
        <color theme="1"/>
        <rFont val="Faruma"/>
      </rPr>
      <t>ޢުމުރުފުރާ</t>
    </r>
    <r>
      <rPr>
        <b/>
        <sz val="11"/>
        <color theme="1"/>
        <rFont val="Calibri"/>
        <family val="2"/>
        <scheme val="minor"/>
      </rPr>
      <t xml:space="preserve"> </t>
    </r>
  </si>
  <si>
    <t>މަޢުލޫމާތު ދެއްވި ފަރާތް: މޯލްޑިވްސް ޕެންޝަން އެޑްމިނިސްޓްރޭޝަން</t>
  </si>
  <si>
    <t>75 +</t>
  </si>
  <si>
    <t>&lt; 55</t>
  </si>
  <si>
    <t>ތާވަލު  18.6 :އެހެނިހެން ޕެންޝަން ލިބޭ މީހުންގެ އަދަދު އަދި ޢުމުރުފުރާތައް، 2013 - 2014</t>
  </si>
  <si>
    <t>TABLE   18.6: NUMBER OF BENEFICIARIES OF OTHER PENSION SCHEMES BY AGE, 2013 - 2014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</si>
</sst>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8" fillId="0" borderId="0"/>
  </cellStyleXfs>
  <cellXfs count="36">
    <xf numFmtId="0" fontId="0" fillId="0" borderId="0" xfId="0"/>
    <xf numFmtId="0" fontId="0" fillId="2" borderId="0" xfId="0" applyFill="1"/>
    <xf numFmtId="0" fontId="0" fillId="2" borderId="0" xfId="0" applyFill="1" applyBorder="1"/>
    <xf numFmtId="164" fontId="0" fillId="2" borderId="0" xfId="1" applyNumberFormat="1" applyFont="1" applyFill="1" applyBorder="1"/>
    <xf numFmtId="164" fontId="0" fillId="2" borderId="2" xfId="1" applyNumberFormat="1" applyFont="1" applyFill="1" applyBorder="1"/>
    <xf numFmtId="0" fontId="0" fillId="2" borderId="0" xfId="0" applyFill="1" applyAlignment="1">
      <alignment vertical="center"/>
    </xf>
    <xf numFmtId="14" fontId="0" fillId="2" borderId="0" xfId="0" applyNumberFormat="1" applyFill="1"/>
    <xf numFmtId="0" fontId="0" fillId="2" borderId="0" xfId="0" applyFill="1" applyBorder="1" applyAlignment="1">
      <alignment vertical="center"/>
    </xf>
    <xf numFmtId="164" fontId="0" fillId="2" borderId="4" xfId="1" applyNumberFormat="1" applyFont="1" applyFill="1" applyBorder="1"/>
    <xf numFmtId="164" fontId="0" fillId="2" borderId="5" xfId="1" applyNumberFormat="1" applyFont="1" applyFill="1" applyBorder="1"/>
    <xf numFmtId="0" fontId="2" fillId="2" borderId="10" xfId="0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 indent="1"/>
    </xf>
    <xf numFmtId="0" fontId="0" fillId="2" borderId="2" xfId="0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right" vertical="center" indent="1"/>
    </xf>
    <xf numFmtId="0" fontId="3" fillId="2" borderId="2" xfId="0" applyFont="1" applyFill="1" applyBorder="1" applyAlignment="1">
      <alignment horizontal="right" vertical="center" indent="1"/>
    </xf>
    <xf numFmtId="0" fontId="6" fillId="2" borderId="0" xfId="0" applyFont="1" applyFill="1"/>
    <xf numFmtId="0" fontId="7" fillId="2" borderId="0" xfId="0" applyFont="1" applyFill="1"/>
    <xf numFmtId="164" fontId="0" fillId="2" borderId="11" xfId="1" applyNumberFormat="1" applyFont="1" applyFill="1" applyBorder="1"/>
    <xf numFmtId="164" fontId="0" fillId="2" borderId="6" xfId="1" applyNumberFormat="1" applyFont="1" applyFill="1" applyBorder="1"/>
    <xf numFmtId="0" fontId="2" fillId="2" borderId="14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164" fontId="2" fillId="2" borderId="0" xfId="1" applyNumberFormat="1" applyFont="1" applyFill="1" applyBorder="1" applyAlignment="1">
      <alignment horizontal="right"/>
    </xf>
    <xf numFmtId="0" fontId="4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36"/>
  <sheetViews>
    <sheetView tabSelected="1" zoomScaleNormal="100" workbookViewId="0">
      <selection activeCell="G28" sqref="G28"/>
    </sheetView>
  </sheetViews>
  <sheetFormatPr defaultColWidth="9.140625" defaultRowHeight="15" x14ac:dyDescent="0.25"/>
  <cols>
    <col min="1" max="1" width="10.28515625" style="1" customWidth="1"/>
    <col min="2" max="13" width="10.7109375" style="1" customWidth="1"/>
    <col min="14" max="14" width="14.5703125" style="1" customWidth="1"/>
    <col min="15" max="15" width="2" style="1" customWidth="1"/>
    <col min="16" max="16384" width="9.140625" style="1"/>
  </cols>
  <sheetData>
    <row r="1" spans="1:18" ht="21" x14ac:dyDescent="0.55000000000000004">
      <c r="A1" s="22" t="s">
        <v>35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8" x14ac:dyDescent="0.25">
      <c r="A2" s="29" t="s">
        <v>36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8" ht="5.25" customHeight="1" x14ac:dyDescent="0.25">
      <c r="A3" s="2"/>
      <c r="D3" s="2"/>
      <c r="E3" s="2"/>
      <c r="F3" s="2"/>
      <c r="G3" s="2"/>
      <c r="J3" s="2"/>
      <c r="K3" s="2"/>
      <c r="L3" s="2"/>
      <c r="M3" s="2"/>
    </row>
    <row r="4" spans="1:18" x14ac:dyDescent="0.25">
      <c r="A4" s="26" t="s">
        <v>13</v>
      </c>
      <c r="B4" s="32">
        <v>2013</v>
      </c>
      <c r="C4" s="32"/>
      <c r="D4" s="32"/>
      <c r="E4" s="32"/>
      <c r="F4" s="32"/>
      <c r="G4" s="33"/>
      <c r="H4" s="35">
        <v>2014</v>
      </c>
      <c r="I4" s="32"/>
      <c r="J4" s="32"/>
      <c r="K4" s="32"/>
      <c r="L4" s="32"/>
      <c r="M4" s="32"/>
      <c r="N4" s="23" t="s">
        <v>18</v>
      </c>
      <c r="R4" s="6"/>
    </row>
    <row r="5" spans="1:18" ht="21" x14ac:dyDescent="0.55000000000000004">
      <c r="A5" s="27"/>
      <c r="B5" s="30" t="s">
        <v>31</v>
      </c>
      <c r="C5" s="30"/>
      <c r="D5" s="30"/>
      <c r="E5" s="30"/>
      <c r="F5" s="30"/>
      <c r="G5" s="34"/>
      <c r="H5" s="31" t="s">
        <v>31</v>
      </c>
      <c r="I5" s="30"/>
      <c r="J5" s="30"/>
      <c r="K5" s="30"/>
      <c r="L5" s="30"/>
      <c r="M5" s="30"/>
      <c r="N5" s="24"/>
      <c r="P5" s="6"/>
      <c r="R5" s="6"/>
    </row>
    <row r="6" spans="1:18" ht="14.25" customHeight="1" x14ac:dyDescent="0.25">
      <c r="A6" s="28"/>
      <c r="B6" s="10" t="s">
        <v>0</v>
      </c>
      <c r="C6" s="10" t="s">
        <v>34</v>
      </c>
      <c r="D6" s="10" t="s">
        <v>14</v>
      </c>
      <c r="E6" s="10" t="s">
        <v>15</v>
      </c>
      <c r="F6" s="10" t="s">
        <v>16</v>
      </c>
      <c r="G6" s="20" t="s">
        <v>33</v>
      </c>
      <c r="H6" s="19" t="s">
        <v>0</v>
      </c>
      <c r="I6" s="10" t="s">
        <v>34</v>
      </c>
      <c r="J6" s="10" t="s">
        <v>14</v>
      </c>
      <c r="K6" s="10" t="s">
        <v>15</v>
      </c>
      <c r="L6" s="10" t="s">
        <v>16</v>
      </c>
      <c r="M6" s="10" t="s">
        <v>33</v>
      </c>
      <c r="N6" s="25"/>
      <c r="P6" s="6"/>
      <c r="R6" s="6"/>
    </row>
    <row r="7" spans="1:18" ht="15" customHeight="1" x14ac:dyDescent="0.25">
      <c r="A7" s="11" t="s">
        <v>1</v>
      </c>
      <c r="B7" s="3">
        <f>SUM(C7:G7)</f>
        <v>7356</v>
      </c>
      <c r="C7" s="3">
        <v>2947</v>
      </c>
      <c r="D7" s="3">
        <v>1430</v>
      </c>
      <c r="E7" s="3">
        <v>925</v>
      </c>
      <c r="F7" s="3">
        <v>958</v>
      </c>
      <c r="G7" s="8">
        <v>1096</v>
      </c>
      <c r="H7" s="17">
        <f>SUM(I7:M7)</f>
        <v>7317</v>
      </c>
      <c r="I7" s="3">
        <v>2810</v>
      </c>
      <c r="J7" s="3">
        <v>1471</v>
      </c>
      <c r="K7" s="3">
        <v>915</v>
      </c>
      <c r="L7" s="3">
        <v>928</v>
      </c>
      <c r="M7" s="3">
        <v>1193</v>
      </c>
      <c r="N7" s="13" t="s">
        <v>19</v>
      </c>
      <c r="P7" s="6"/>
      <c r="R7" s="6"/>
    </row>
    <row r="8" spans="1:18" ht="21" x14ac:dyDescent="0.25">
      <c r="A8" s="11" t="s">
        <v>2</v>
      </c>
      <c r="B8" s="3">
        <f t="shared" ref="B8:B18" si="0">SUM(C8:G8)</f>
        <v>7339</v>
      </c>
      <c r="C8" s="3">
        <v>2943</v>
      </c>
      <c r="D8" s="3">
        <v>1426</v>
      </c>
      <c r="E8" s="3">
        <v>925</v>
      </c>
      <c r="F8" s="3">
        <v>950</v>
      </c>
      <c r="G8" s="8">
        <v>1095</v>
      </c>
      <c r="H8" s="17">
        <f t="shared" ref="H8:H18" si="1">SUM(I8:M8)</f>
        <v>7332</v>
      </c>
      <c r="I8" s="3">
        <v>2803</v>
      </c>
      <c r="J8" s="3">
        <v>1455</v>
      </c>
      <c r="K8" s="3">
        <v>960</v>
      </c>
      <c r="L8" s="3">
        <v>919</v>
      </c>
      <c r="M8" s="3">
        <v>1195</v>
      </c>
      <c r="N8" s="13" t="s">
        <v>20</v>
      </c>
      <c r="P8" s="6"/>
      <c r="R8" s="6"/>
    </row>
    <row r="9" spans="1:18" ht="21" x14ac:dyDescent="0.25">
      <c r="A9" s="11" t="s">
        <v>3</v>
      </c>
      <c r="B9" s="3">
        <f t="shared" si="0"/>
        <v>7341</v>
      </c>
      <c r="C9" s="3">
        <v>2923</v>
      </c>
      <c r="D9" s="3">
        <v>1440</v>
      </c>
      <c r="E9" s="3">
        <v>926</v>
      </c>
      <c r="F9" s="3">
        <v>948</v>
      </c>
      <c r="G9" s="8">
        <v>1104</v>
      </c>
      <c r="H9" s="17">
        <f t="shared" si="1"/>
        <v>7330</v>
      </c>
      <c r="I9" s="3">
        <v>2789</v>
      </c>
      <c r="J9" s="3">
        <v>1464</v>
      </c>
      <c r="K9" s="3">
        <v>957</v>
      </c>
      <c r="L9" s="3">
        <v>919</v>
      </c>
      <c r="M9" s="3">
        <v>1201</v>
      </c>
      <c r="N9" s="13" t="s">
        <v>21</v>
      </c>
      <c r="P9" s="6"/>
      <c r="R9" s="6"/>
    </row>
    <row r="10" spans="1:18" ht="21" x14ac:dyDescent="0.25">
      <c r="A10" s="11" t="s">
        <v>4</v>
      </c>
      <c r="B10" s="3">
        <f t="shared" si="0"/>
        <v>7287</v>
      </c>
      <c r="C10" s="3">
        <v>2829</v>
      </c>
      <c r="D10" s="3">
        <v>1460</v>
      </c>
      <c r="E10" s="3">
        <v>889</v>
      </c>
      <c r="F10" s="3">
        <v>941</v>
      </c>
      <c r="G10" s="8">
        <v>1168</v>
      </c>
      <c r="H10" s="17">
        <f t="shared" si="1"/>
        <v>7363</v>
      </c>
      <c r="I10" s="3">
        <v>2774</v>
      </c>
      <c r="J10" s="3">
        <v>1489</v>
      </c>
      <c r="K10" s="3">
        <v>974</v>
      </c>
      <c r="L10" s="3">
        <v>916</v>
      </c>
      <c r="M10" s="3">
        <v>1210</v>
      </c>
      <c r="N10" s="13" t="s">
        <v>22</v>
      </c>
      <c r="P10" s="6"/>
      <c r="R10" s="6"/>
    </row>
    <row r="11" spans="1:18" ht="21" x14ac:dyDescent="0.25">
      <c r="A11" s="11" t="s">
        <v>5</v>
      </c>
      <c r="B11" s="3">
        <f t="shared" si="0"/>
        <v>7325</v>
      </c>
      <c r="C11" s="3">
        <v>2906</v>
      </c>
      <c r="D11" s="3">
        <v>1450</v>
      </c>
      <c r="E11" s="3">
        <v>920</v>
      </c>
      <c r="F11" s="3">
        <v>936</v>
      </c>
      <c r="G11" s="8">
        <v>1113</v>
      </c>
      <c r="H11" s="17">
        <f t="shared" si="1"/>
        <v>7326</v>
      </c>
      <c r="I11" s="3">
        <v>2761</v>
      </c>
      <c r="J11" s="3">
        <v>1482</v>
      </c>
      <c r="K11" s="3">
        <v>973</v>
      </c>
      <c r="L11" s="3">
        <v>914</v>
      </c>
      <c r="M11" s="3">
        <v>1196</v>
      </c>
      <c r="N11" s="13" t="s">
        <v>23</v>
      </c>
      <c r="P11" s="6"/>
      <c r="R11" s="6"/>
    </row>
    <row r="12" spans="1:18" ht="21" x14ac:dyDescent="0.25">
      <c r="A12" s="11" t="s">
        <v>6</v>
      </c>
      <c r="B12" s="3">
        <f t="shared" si="0"/>
        <v>7363</v>
      </c>
      <c r="C12" s="3">
        <v>2895</v>
      </c>
      <c r="D12" s="3">
        <v>1475</v>
      </c>
      <c r="E12" s="3">
        <v>925</v>
      </c>
      <c r="F12" s="3">
        <v>945</v>
      </c>
      <c r="G12" s="8">
        <v>1123</v>
      </c>
      <c r="H12" s="17">
        <f t="shared" si="1"/>
        <v>7324</v>
      </c>
      <c r="I12" s="3">
        <v>2747</v>
      </c>
      <c r="J12" s="3">
        <v>1485</v>
      </c>
      <c r="K12" s="3">
        <v>983</v>
      </c>
      <c r="L12" s="3">
        <v>908</v>
      </c>
      <c r="M12" s="3">
        <v>1201</v>
      </c>
      <c r="N12" s="13" t="s">
        <v>24</v>
      </c>
      <c r="P12" s="6"/>
      <c r="R12" s="6"/>
    </row>
    <row r="13" spans="1:18" ht="21" x14ac:dyDescent="0.25">
      <c r="A13" s="11" t="s">
        <v>7</v>
      </c>
      <c r="B13" s="3">
        <f t="shared" si="0"/>
        <v>7327</v>
      </c>
      <c r="C13" s="3">
        <v>2886</v>
      </c>
      <c r="D13" s="3">
        <v>1457</v>
      </c>
      <c r="E13" s="3">
        <v>927</v>
      </c>
      <c r="F13" s="3">
        <v>932</v>
      </c>
      <c r="G13" s="8">
        <v>1125</v>
      </c>
      <c r="H13" s="17">
        <f t="shared" si="1"/>
        <v>7366</v>
      </c>
      <c r="I13" s="3">
        <v>2738</v>
      </c>
      <c r="J13" s="3">
        <v>1507</v>
      </c>
      <c r="K13" s="3">
        <v>995</v>
      </c>
      <c r="L13" s="3">
        <v>912</v>
      </c>
      <c r="M13" s="3">
        <v>1214</v>
      </c>
      <c r="N13" s="13" t="s">
        <v>25</v>
      </c>
      <c r="P13" s="6"/>
      <c r="R13" s="6"/>
    </row>
    <row r="14" spans="1:18" ht="21" x14ac:dyDescent="0.25">
      <c r="A14" s="11" t="s">
        <v>8</v>
      </c>
      <c r="B14" s="3">
        <f t="shared" si="0"/>
        <v>7330</v>
      </c>
      <c r="C14" s="3">
        <v>2877</v>
      </c>
      <c r="D14" s="3">
        <v>1462</v>
      </c>
      <c r="E14" s="3">
        <v>927</v>
      </c>
      <c r="F14" s="3">
        <v>938</v>
      </c>
      <c r="G14" s="8">
        <v>1126</v>
      </c>
      <c r="H14" s="17">
        <f t="shared" si="1"/>
        <v>7329</v>
      </c>
      <c r="I14" s="3">
        <v>2733</v>
      </c>
      <c r="J14" s="3">
        <v>1488</v>
      </c>
      <c r="K14" s="3">
        <v>997</v>
      </c>
      <c r="L14" s="3">
        <v>908</v>
      </c>
      <c r="M14" s="3">
        <v>1203</v>
      </c>
      <c r="N14" s="13" t="s">
        <v>26</v>
      </c>
      <c r="P14" s="6"/>
      <c r="R14" s="6"/>
    </row>
    <row r="15" spans="1:18" ht="21" x14ac:dyDescent="0.25">
      <c r="A15" s="11" t="s">
        <v>9</v>
      </c>
      <c r="B15" s="3">
        <f t="shared" si="0"/>
        <v>7330</v>
      </c>
      <c r="C15" s="3">
        <v>2867</v>
      </c>
      <c r="D15" s="3">
        <v>1466</v>
      </c>
      <c r="E15" s="3">
        <v>934</v>
      </c>
      <c r="F15" s="3">
        <v>935</v>
      </c>
      <c r="G15" s="8">
        <v>1128</v>
      </c>
      <c r="H15" s="17">
        <f t="shared" si="1"/>
        <v>7321</v>
      </c>
      <c r="I15" s="3">
        <v>2721</v>
      </c>
      <c r="J15" s="3">
        <v>1486</v>
      </c>
      <c r="K15" s="3">
        <v>1011</v>
      </c>
      <c r="L15" s="3">
        <v>902</v>
      </c>
      <c r="M15" s="3">
        <v>1201</v>
      </c>
      <c r="N15" s="13" t="s">
        <v>27</v>
      </c>
      <c r="P15" s="6"/>
      <c r="R15" s="6"/>
    </row>
    <row r="16" spans="1:18" ht="21" x14ac:dyDescent="0.25">
      <c r="A16" s="11" t="s">
        <v>10</v>
      </c>
      <c r="B16" s="3">
        <f t="shared" si="0"/>
        <v>7349</v>
      </c>
      <c r="C16" s="3">
        <v>2863</v>
      </c>
      <c r="D16" s="3">
        <v>1483</v>
      </c>
      <c r="E16" s="3">
        <v>941</v>
      </c>
      <c r="F16" s="3">
        <v>932</v>
      </c>
      <c r="G16" s="8">
        <v>1130</v>
      </c>
      <c r="H16" s="17">
        <f t="shared" si="1"/>
        <v>7345</v>
      </c>
      <c r="I16" s="3">
        <v>2713</v>
      </c>
      <c r="J16" s="3">
        <v>1508</v>
      </c>
      <c r="K16" s="3">
        <v>1012</v>
      </c>
      <c r="L16" s="3">
        <v>904</v>
      </c>
      <c r="M16" s="3">
        <v>1208</v>
      </c>
      <c r="N16" s="13" t="s">
        <v>28</v>
      </c>
      <c r="P16" s="6"/>
      <c r="R16" s="6"/>
    </row>
    <row r="17" spans="1:18" ht="21" x14ac:dyDescent="0.25">
      <c r="A17" s="11" t="s">
        <v>11</v>
      </c>
      <c r="B17" s="3">
        <f t="shared" si="0"/>
        <v>7307</v>
      </c>
      <c r="C17" s="3">
        <v>2849</v>
      </c>
      <c r="D17" s="3">
        <v>1471</v>
      </c>
      <c r="E17" s="3">
        <v>938</v>
      </c>
      <c r="F17" s="3">
        <v>924</v>
      </c>
      <c r="G17" s="8">
        <v>1125</v>
      </c>
      <c r="H17" s="17">
        <f t="shared" si="1"/>
        <v>7296</v>
      </c>
      <c r="I17" s="3">
        <v>2706</v>
      </c>
      <c r="J17" s="3">
        <v>1500</v>
      </c>
      <c r="K17" s="3">
        <v>999</v>
      </c>
      <c r="L17" s="3">
        <v>898</v>
      </c>
      <c r="M17" s="3">
        <v>1193</v>
      </c>
      <c r="N17" s="13" t="s">
        <v>30</v>
      </c>
      <c r="P17" s="6"/>
      <c r="R17" s="6"/>
    </row>
    <row r="18" spans="1:18" ht="21" x14ac:dyDescent="0.25">
      <c r="A18" s="12" t="s">
        <v>12</v>
      </c>
      <c r="B18" s="4">
        <f t="shared" si="0"/>
        <v>7293</v>
      </c>
      <c r="C18" s="4">
        <v>2839</v>
      </c>
      <c r="D18" s="4">
        <v>1477</v>
      </c>
      <c r="E18" s="4">
        <v>943</v>
      </c>
      <c r="F18" s="4">
        <v>914</v>
      </c>
      <c r="G18" s="9">
        <v>1120</v>
      </c>
      <c r="H18" s="18">
        <f t="shared" si="1"/>
        <v>7284</v>
      </c>
      <c r="I18" s="4">
        <v>2695</v>
      </c>
      <c r="J18" s="4">
        <v>1514</v>
      </c>
      <c r="K18" s="4">
        <v>992</v>
      </c>
      <c r="L18" s="4">
        <v>898</v>
      </c>
      <c r="M18" s="4">
        <v>1185</v>
      </c>
      <c r="N18" s="14" t="s">
        <v>29</v>
      </c>
      <c r="P18" s="6"/>
      <c r="R18" s="6"/>
    </row>
    <row r="19" spans="1:18" ht="19.5" customHeight="1" x14ac:dyDescent="0.45">
      <c r="A19" s="15" t="s">
        <v>17</v>
      </c>
      <c r="N19" s="16" t="s">
        <v>32</v>
      </c>
      <c r="P19" s="6"/>
      <c r="R19" s="6"/>
    </row>
    <row r="20" spans="1:18" x14ac:dyDescent="0.25">
      <c r="P20" s="6"/>
      <c r="R20" s="6"/>
    </row>
    <row r="30" spans="1:18" x14ac:dyDescent="0.25">
      <c r="I30" s="2"/>
      <c r="J30" s="2"/>
    </row>
    <row r="31" spans="1:18" x14ac:dyDescent="0.25">
      <c r="I31" s="21"/>
      <c r="J31" s="2"/>
    </row>
    <row r="32" spans="1:18" s="5" customFormat="1" ht="25.5" customHeight="1" x14ac:dyDescent="0.25">
      <c r="I32" s="7"/>
      <c r="J32" s="7"/>
    </row>
    <row r="33" spans="9:10" s="5" customFormat="1" ht="25.5" customHeight="1" x14ac:dyDescent="0.25">
      <c r="I33" s="7"/>
      <c r="J33" s="7"/>
    </row>
    <row r="34" spans="9:10" s="5" customFormat="1" ht="25.5" customHeight="1" x14ac:dyDescent="0.25">
      <c r="I34" s="7"/>
      <c r="J34" s="7"/>
    </row>
    <row r="35" spans="9:10" s="5" customFormat="1" ht="25.5" customHeight="1" x14ac:dyDescent="0.25">
      <c r="I35" s="7"/>
      <c r="J35" s="7"/>
    </row>
    <row r="36" spans="9:10" s="5" customFormat="1" x14ac:dyDescent="0.25">
      <c r="I36" s="7"/>
      <c r="J36" s="7"/>
    </row>
  </sheetData>
  <mergeCells count="8">
    <mergeCell ref="A1:N1"/>
    <mergeCell ref="A2:N2"/>
    <mergeCell ref="A4:A6"/>
    <mergeCell ref="N4:N6"/>
    <mergeCell ref="B4:G4"/>
    <mergeCell ref="B5:G5"/>
    <mergeCell ref="H4:M4"/>
    <mergeCell ref="H5:M5"/>
  </mergeCells>
  <pageMargins left="0.84" right="0.17" top="0.75" bottom="0.75" header="0.3" footer="0.3"/>
  <pageSetup paperSize="9" scale="87" orientation="landscape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18.6</vt:lpstr>
      <vt:lpstr>'18.6'!Print_Area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2016-03-16T08:44:26Z</cp:lastPrinted>
  <dcterms:created xsi:type="dcterms:W3CDTF">2013-03-14T06:06:17Z</dcterms:created>
  <dcterms:modified xsi:type="dcterms:W3CDTF">2016-03-16T08:44:28Z</dcterms:modified>
</cp:coreProperties>
</file>