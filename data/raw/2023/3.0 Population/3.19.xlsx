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Population\"/>
    </mc:Choice>
  </mc:AlternateContent>
  <xr:revisionPtr revIDLastSave="0" documentId="13_ncr:1_{A6D8E4B8-0606-4136-B98A-3B865493C146}" xr6:coauthVersionLast="47" xr6:coauthVersionMax="47" xr10:uidLastSave="{00000000-0000-0000-0000-000000000000}"/>
  <bookViews>
    <workbookView xWindow="-120" yWindow="-120" windowWidth="29040" windowHeight="15840" tabRatio="874" xr2:uid="{00000000-000D-0000-FFFF-FFFF00000000}"/>
  </bookViews>
  <sheets>
    <sheet name="3.19" sheetId="19" r:id="rId1"/>
  </sheets>
  <externalReferences>
    <externalReference r:id="rId2"/>
    <externalReference r:id="rId3"/>
  </externalReferences>
  <definedNames>
    <definedName name="_xlnm.Print_Area" localSheetId="0">'3.19'!$A$1:$F$47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9" l="1"/>
  <c r="D10" i="19"/>
  <c r="B9" i="19"/>
  <c r="D8" i="19"/>
  <c r="Z28" i="19" s="1"/>
  <c r="D9" i="19" l="1"/>
  <c r="Z29" i="19" s="1"/>
  <c r="Y28" i="19"/>
  <c r="X5" i="19" l="1"/>
  <c r="X4" i="19"/>
  <c r="Y29" i="19"/>
</calcChain>
</file>

<file path=xl/sharedStrings.xml><?xml version="1.0" encoding="utf-8"?>
<sst xmlns="http://schemas.openxmlformats.org/spreadsheetml/2006/main" count="27" uniqueCount="21">
  <si>
    <t>Total</t>
  </si>
  <si>
    <t>ޖުމްލަ</t>
  </si>
  <si>
    <t>Source: Department of Judicial Administration</t>
  </si>
  <si>
    <t xml:space="preserve">މަޢުލޫމާތު ދެއްވި ފަރާތް: ޑިޕާޓްމަންޓް އޮފް ޖުޑީޝަލް އެޑްމިނިސްޓްރޭޝަން </t>
  </si>
  <si>
    <t xml:space="preserve">Marriage with foreign nationals </t>
  </si>
  <si>
    <t xml:space="preserve">Type of  Marriages </t>
  </si>
  <si>
    <t>Registered</t>
  </si>
  <si>
    <t xml:space="preserve">ކައިވެނީގެ ބާވަތް </t>
  </si>
  <si>
    <t xml:space="preserve">    Foreign Males</t>
  </si>
  <si>
    <t xml:space="preserve">ރަޖިސްޓްރީކޮށްދިން </t>
  </si>
  <si>
    <t xml:space="preserve">    Foreign Females</t>
  </si>
  <si>
    <t xml:space="preserve">            Marriages overseas         </t>
  </si>
  <si>
    <r>
      <t xml:space="preserve">Marriages  in Maldives         </t>
    </r>
    <r>
      <rPr>
        <b/>
        <sz val="9"/>
        <color indexed="8"/>
        <rFont val="Faruma"/>
      </rPr>
      <t xml:space="preserve"> </t>
    </r>
  </si>
  <si>
    <t xml:space="preserve">Marriage between maldivian nationals </t>
  </si>
  <si>
    <t xml:space="preserve">ދިވެހިންނާއި ދިވެހިން ކުރި ކައިވެނި </t>
  </si>
  <si>
    <t xml:space="preserve">ދިވެހިން ބޭރު މީހުންނާއިއެކު ކުރެވުނު ކައިވެނި </t>
  </si>
  <si>
    <t xml:space="preserve">ބޭރު ފިރިހެނުންނާއިއެކު ކުރެވުނު ކައިވެނި </t>
  </si>
  <si>
    <t xml:space="preserve">ބޭރު އަންހެނުންނާއިއެކު ކުރެވުނު ކައިވެނި </t>
  </si>
  <si>
    <t xml:space="preserve">Marriages overseas         </t>
  </si>
  <si>
    <t>TABLE 3.19: MARRIAGES BETWEEN LOCALS AND LOCALS TO FOREIGN NATIONALS, PERFORMED LOCALLY AND OVERSEAS, 2021</t>
  </si>
  <si>
    <t>ތާވަލު 13.19: ރާއްޖެއާއި ރާއްޖޭންބޭރުގައި ކުރެވޭ ދިވެހި އަދި ދިވެހި ބިދޭސީ ކައިވެނި،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</si>
</sst>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_-"/>
    <numFmt numFmtId="166" formatCode="_-* #,##0.00\ _ރ_._-;_-* #,##0.00\ _ރ_.\-;_-* &quot;-&quot;??\ _ރ_._-;_-@_-"/>
    <numFmt numFmtId="167" formatCode="General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color indexed="8"/>
      <name val="Faruma"/>
    </font>
    <font>
      <b/>
      <sz val="10"/>
      <color indexed="8"/>
      <name val="Calibri"/>
      <family val="2"/>
    </font>
    <font>
      <b/>
      <sz val="9"/>
      <color indexed="8"/>
      <name val="Calibri"/>
      <family val="2"/>
    </font>
    <font>
      <b/>
      <sz val="9"/>
      <color indexed="8"/>
      <name val="Faruma"/>
    </font>
    <font>
      <i/>
      <sz val="9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9"/>
      <color indexed="8"/>
      <name val="Faruma"/>
    </font>
    <font>
      <sz val="10"/>
      <name val="Calibri"/>
      <family val="2"/>
      <scheme val="minor"/>
    </font>
    <font>
      <b/>
      <sz val="11"/>
      <color indexed="8"/>
      <name val="Faruma"/>
    </font>
    <font>
      <i/>
      <sz val="11"/>
      <color indexed="8"/>
      <name val="Calibri"/>
      <family val="2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Faruma"/>
    </font>
    <font>
      <i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4">
    <xf numFmtId="0" fontId="0" fillId="0" borderId="0"/>
    <xf numFmtId="0" fontId="4" fillId="0" borderId="0"/>
    <xf numFmtId="0" fontId="4" fillId="0" borderId="0"/>
    <xf numFmtId="166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1" fillId="0" borderId="0"/>
    <xf numFmtId="0" fontId="4" fillId="0" borderId="0"/>
    <xf numFmtId="0" fontId="4" fillId="0" borderId="0"/>
    <xf numFmtId="0" fontId="1" fillId="0" borderId="0"/>
    <xf numFmtId="167" fontId="2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4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3" fillId="0" borderId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62">
    <xf numFmtId="0" fontId="0" fillId="0" borderId="0" xfId="0"/>
    <xf numFmtId="0" fontId="0" fillId="2" borderId="0" xfId="0" applyFill="1"/>
    <xf numFmtId="37" fontId="0" fillId="2" borderId="0" xfId="0" applyNumberFormat="1" applyFill="1"/>
    <xf numFmtId="0" fontId="14" fillId="2" borderId="0" xfId="0" applyFont="1" applyFill="1"/>
    <xf numFmtId="0" fontId="12" fillId="2" borderId="0" xfId="0" applyFont="1" applyFill="1" applyAlignment="1">
      <alignment horizontal="center"/>
    </xf>
    <xf numFmtId="0" fontId="12" fillId="2" borderId="2" xfId="0" applyFont="1" applyFill="1" applyBorder="1"/>
    <xf numFmtId="0" fontId="17" fillId="2" borderId="0" xfId="0" applyFont="1" applyFill="1"/>
    <xf numFmtId="2" fontId="0" fillId="2" borderId="0" xfId="0" applyNumberFormat="1" applyFill="1"/>
    <xf numFmtId="0" fontId="12" fillId="2" borderId="0" xfId="0" applyFont="1" applyFill="1"/>
    <xf numFmtId="0" fontId="17" fillId="2" borderId="1" xfId="0" applyFont="1" applyFill="1" applyBorder="1"/>
    <xf numFmtId="0" fontId="7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vertical="center"/>
    </xf>
    <xf numFmtId="37" fontId="19" fillId="2" borderId="2" xfId="5" applyNumberFormat="1" applyFont="1" applyFill="1" applyBorder="1" applyAlignment="1">
      <alignment horizontal="right" vertical="center" indent="3"/>
    </xf>
    <xf numFmtId="0" fontId="20" fillId="2" borderId="2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37" fontId="19" fillId="2" borderId="0" xfId="5" applyNumberFormat="1" applyFont="1" applyFill="1" applyBorder="1" applyAlignment="1">
      <alignment horizontal="right" vertical="center" indent="3"/>
    </xf>
    <xf numFmtId="0" fontId="20" fillId="2" borderId="0" xfId="0" applyFont="1" applyFill="1" applyAlignment="1">
      <alignment vertical="center"/>
    </xf>
    <xf numFmtId="0" fontId="21" fillId="2" borderId="0" xfId="0" applyFont="1" applyFill="1" applyAlignment="1">
      <alignment vertical="center"/>
    </xf>
    <xf numFmtId="37" fontId="18" fillId="2" borderId="0" xfId="5" applyNumberFormat="1" applyFont="1" applyFill="1" applyBorder="1" applyAlignment="1">
      <alignment horizontal="right" vertical="center" indent="3"/>
    </xf>
    <xf numFmtId="0" fontId="20" fillId="2" borderId="0" xfId="0" applyFont="1" applyFill="1" applyAlignment="1">
      <alignment horizontal="left" vertical="center" indent="1"/>
    </xf>
    <xf numFmtId="0" fontId="21" fillId="2" borderId="1" xfId="0" applyFont="1" applyFill="1" applyBorder="1" applyAlignment="1">
      <alignment vertical="center"/>
    </xf>
    <xf numFmtId="37" fontId="18" fillId="2" borderId="1" xfId="5" applyNumberFormat="1" applyFont="1" applyFill="1" applyBorder="1" applyAlignment="1">
      <alignment horizontal="right" vertical="center" indent="3"/>
    </xf>
    <xf numFmtId="0" fontId="20" fillId="2" borderId="1" xfId="0" applyFont="1" applyFill="1" applyBorder="1" applyAlignment="1">
      <alignment horizontal="left" vertical="center" indent="1"/>
    </xf>
    <xf numFmtId="0" fontId="10" fillId="2" borderId="0" xfId="0" applyFont="1" applyFill="1" applyAlignment="1">
      <alignment vertical="center"/>
    </xf>
    <xf numFmtId="0" fontId="20" fillId="2" borderId="0" xfId="0" applyFont="1" applyFill="1"/>
    <xf numFmtId="37" fontId="5" fillId="2" borderId="0" xfId="5" applyNumberFormat="1" applyFont="1" applyFill="1" applyBorder="1" applyAlignment="1">
      <alignment horizontal="right" vertical="center" indent="4"/>
    </xf>
    <xf numFmtId="0" fontId="8" fillId="2" borderId="0" xfId="0" applyFont="1" applyFill="1" applyAlignment="1">
      <alignment horizontal="center" vertical="center" wrapText="1"/>
    </xf>
    <xf numFmtId="37" fontId="13" fillId="2" borderId="0" xfId="5" applyNumberFormat="1" applyFont="1" applyFill="1" applyBorder="1" applyAlignment="1">
      <alignment horizontal="center" vertical="center"/>
    </xf>
    <xf numFmtId="37" fontId="7" fillId="2" borderId="0" xfId="5" applyNumberFormat="1" applyFont="1" applyFill="1" applyBorder="1" applyAlignment="1">
      <alignment horizontal="right" vertical="center" indent="4"/>
    </xf>
    <xf numFmtId="0" fontId="0" fillId="2" borderId="2" xfId="0" applyFill="1" applyBorder="1"/>
    <xf numFmtId="1" fontId="0" fillId="2" borderId="0" xfId="0" applyNumberFormat="1" applyFill="1"/>
    <xf numFmtId="37" fontId="13" fillId="2" borderId="0" xfId="5" applyNumberFormat="1" applyFont="1" applyFill="1" applyBorder="1" applyAlignment="1">
      <alignment horizontal="right" vertical="center" indent="4"/>
    </xf>
    <xf numFmtId="1" fontId="4" fillId="2" borderId="0" xfId="0" applyNumberFormat="1" applyFont="1" applyFill="1"/>
    <xf numFmtId="0" fontId="8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37" fontId="18" fillId="2" borderId="3" xfId="23" applyNumberFormat="1" applyFont="1" applyFill="1" applyBorder="1" applyAlignment="1">
      <alignment horizontal="center" vertical="center"/>
    </xf>
    <xf numFmtId="37" fontId="15" fillId="2" borderId="4" xfId="23" applyNumberFormat="1" applyFont="1" applyFill="1" applyBorder="1" applyAlignment="1">
      <alignment horizontal="center" vertical="center"/>
    </xf>
    <xf numFmtId="37" fontId="19" fillId="2" borderId="6" xfId="23" applyNumberFormat="1" applyFont="1" applyFill="1" applyBorder="1" applyAlignment="1">
      <alignment horizontal="center" vertical="center"/>
    </xf>
    <xf numFmtId="37" fontId="19" fillId="2" borderId="0" xfId="23" applyNumberFormat="1" applyFont="1" applyFill="1" applyBorder="1" applyAlignment="1">
      <alignment horizontal="center" vertical="center"/>
    </xf>
    <xf numFmtId="37" fontId="18" fillId="2" borderId="6" xfId="23" applyNumberFormat="1" applyFont="1" applyFill="1" applyBorder="1" applyAlignment="1">
      <alignment horizontal="center" vertical="center"/>
    </xf>
    <xf numFmtId="37" fontId="15" fillId="2" borderId="0" xfId="23" applyNumberFormat="1" applyFont="1" applyFill="1" applyBorder="1" applyAlignment="1">
      <alignment horizontal="center" vertical="center"/>
    </xf>
    <xf numFmtId="37" fontId="18" fillId="2" borderId="7" xfId="23" applyNumberFormat="1" applyFont="1" applyFill="1" applyBorder="1" applyAlignment="1">
      <alignment horizontal="center" vertical="center"/>
    </xf>
    <xf numFmtId="37" fontId="15" fillId="2" borderId="1" xfId="23" applyNumberFormat="1" applyFont="1" applyFill="1" applyBorder="1" applyAlignment="1">
      <alignment horizontal="center" vertical="center"/>
    </xf>
    <xf numFmtId="0" fontId="16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center" vertical="center"/>
    </xf>
    <xf numFmtId="0" fontId="16" fillId="2" borderId="2" xfId="0" applyFont="1" applyFill="1" applyBorder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4">
    <cellStyle name="1" xfId="13" xr:uid="{00000000-0005-0000-0000-000000000000}"/>
    <cellStyle name="Comma 2" xfId="12" xr:uid="{00000000-0005-0000-0000-000002000000}"/>
    <cellStyle name="Comma 2 2" xfId="22" xr:uid="{00000000-0005-0000-0000-000003000000}"/>
    <cellStyle name="Comma 3" xfId="5" xr:uid="{00000000-0005-0000-0000-000004000000}"/>
    <cellStyle name="Comma 3 2" xfId="15" xr:uid="{00000000-0005-0000-0000-000005000000}"/>
    <cellStyle name="Comma 3 3" xfId="23" xr:uid="{00000000-0005-0000-0000-000006000000}"/>
    <cellStyle name="Comma 4" xfId="3" xr:uid="{00000000-0005-0000-0000-000007000000}"/>
    <cellStyle name="Comma 4 2" xfId="18" xr:uid="{00000000-0005-0000-0000-000008000000}"/>
    <cellStyle name="Comma 7" xfId="14" xr:uid="{00000000-0005-0000-0000-000009000000}"/>
    <cellStyle name="Normal" xfId="0" builtinId="0"/>
    <cellStyle name="Normal 11" xfId="6" xr:uid="{00000000-0005-0000-0000-00000E000000}"/>
    <cellStyle name="Normal 2" xfId="4" xr:uid="{00000000-0005-0000-0000-00000F000000}"/>
    <cellStyle name="Normal 2 2" xfId="19" xr:uid="{00000000-0005-0000-0000-000010000000}"/>
    <cellStyle name="Normal 20" xfId="2" xr:uid="{00000000-0005-0000-0000-000011000000}"/>
    <cellStyle name="Normal 20 2" xfId="17" xr:uid="{00000000-0005-0000-0000-000012000000}"/>
    <cellStyle name="Normal 3" xfId="11" xr:uid="{00000000-0005-0000-0000-000013000000}"/>
    <cellStyle name="Normal 32" xfId="7" xr:uid="{00000000-0005-0000-0000-000014000000}"/>
    <cellStyle name="Normal 32 2" xfId="20" xr:uid="{00000000-0005-0000-0000-000015000000}"/>
    <cellStyle name="Normal 4" xfId="10" xr:uid="{00000000-0005-0000-0000-000016000000}"/>
    <cellStyle name="Normal 44" xfId="8" xr:uid="{00000000-0005-0000-0000-000017000000}"/>
    <cellStyle name="Normal 44 2" xfId="21" xr:uid="{00000000-0005-0000-0000-000018000000}"/>
    <cellStyle name="Normal 48" xfId="9" xr:uid="{00000000-0005-0000-0000-000019000000}"/>
    <cellStyle name="Normal 5" xfId="1" xr:uid="{00000000-0005-0000-0000-00001A000000}"/>
    <cellStyle name="Normal 5 2" xfId="16" xr:uid="{00000000-0005-0000-0000-00001B000000}"/>
  </cellStyles>
  <dxfs count="0"/>
  <tableStyles count="0" defaultTableStyle="TableStyleMedium2" defaultPivotStyle="PivotStyleLight16"/>
  <colors>
    <mruColors>
      <color rgb="FFCC0066"/>
      <color rgb="FFFF8181"/>
      <color rgb="FFFFF7F7"/>
      <color rgb="FFFFDDDD"/>
      <color rgb="FFFFAFAF"/>
      <color rgb="FFFF5050"/>
      <color rgb="FFFF9900"/>
      <color rgb="FF196563"/>
      <color rgb="FF24939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3.16:  Percentage of Maldivians married to foreign nationals by sex, 2015</a:t>
            </a:r>
          </a:p>
        </c:rich>
      </c:tx>
      <c:layout>
        <c:manualLayout>
          <c:xMode val="edge"/>
          <c:yMode val="edge"/>
          <c:x val="0.12109413350358231"/>
          <c:y val="3.666666666666666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606818330534168"/>
          <c:y val="0.216104908528225"/>
          <c:w val="0.35851183466931497"/>
          <c:h val="0.74244055313981272"/>
        </c:manualLayout>
      </c:layout>
      <c:pieChart>
        <c:varyColors val="1"/>
        <c:ser>
          <c:idx val="0"/>
          <c:order val="0"/>
          <c:explosion val="5"/>
          <c:dPt>
            <c:idx val="0"/>
            <c:bubble3D val="0"/>
            <c:spPr>
              <a:solidFill>
                <a:srgbClr val="1C706E"/>
              </a:solidFill>
            </c:spPr>
            <c:extLst>
              <c:ext xmlns:c16="http://schemas.microsoft.com/office/drawing/2014/chart" uri="{C3380CC4-5D6E-409C-BE32-E72D297353CC}">
                <c16:uniqueId val="{00000001-44B0-46CD-B61E-DD86ED9D8D9F}"/>
              </c:ext>
            </c:extLst>
          </c:dPt>
          <c:dPt>
            <c:idx val="1"/>
            <c:bubble3D val="0"/>
            <c:spPr>
              <a:solidFill>
                <a:srgbClr val="33CCCC"/>
              </a:solidFill>
            </c:spPr>
            <c:extLst>
              <c:ext xmlns:c16="http://schemas.microsoft.com/office/drawing/2014/chart" uri="{C3380CC4-5D6E-409C-BE32-E72D297353CC}">
                <c16:uniqueId val="{00000003-44B0-46CD-B61E-DD86ED9D8D9F}"/>
              </c:ext>
            </c:extLst>
          </c:dPt>
          <c:dLbls>
            <c:dLbl>
              <c:idx val="0"/>
              <c:layout>
                <c:manualLayout>
                  <c:x val="-0.17907817973860604"/>
                  <c:y val="-3.1160543135672538E-2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B0-46CD-B61E-DD86ED9D8D9F}"/>
                </c:ext>
              </c:extLst>
            </c:dLbl>
            <c:dLbl>
              <c:idx val="1"/>
              <c:layout>
                <c:manualLayout>
                  <c:x val="0.17270517013221595"/>
                  <c:y val="-6.5775769927447734E-3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B0-46CD-B61E-DD86ED9D8D9F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'[1]3.19'!$O$5:$O$6</c:f>
              <c:numCache>
                <c:formatCode>General</c:formatCode>
                <c:ptCount val="2"/>
              </c:numCache>
            </c:numRef>
          </c:cat>
          <c:val>
            <c:numRef>
              <c:f>'[1]3.19'!$P$5:$P$6</c:f>
              <c:numCache>
                <c:formatCode>General</c:formatCode>
                <c:ptCount val="2"/>
              </c:numCache>
            </c:numRef>
          </c:val>
          <c:extLst>
            <c:ext xmlns:c16="http://schemas.microsoft.com/office/drawing/2014/chart" uri="{C3380CC4-5D6E-409C-BE32-E72D297353CC}">
              <c16:uniqueId val="{00000004-44B0-46CD-B61E-DD86ED9D8D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827944479912984"/>
          <c:y val="0.18349928829429238"/>
          <c:w val="0.44740072355820387"/>
          <c:h val="0.7783931083849629"/>
        </c:manualLayout>
      </c:layout>
      <c:pieChart>
        <c:varyColors val="1"/>
        <c:ser>
          <c:idx val="0"/>
          <c:order val="0"/>
          <c:spPr>
            <a:solidFill>
              <a:srgbClr val="953735"/>
            </a:solidFill>
          </c:spPr>
          <c:explosion val="5"/>
          <c:dPt>
            <c:idx val="0"/>
            <c:bubble3D val="0"/>
            <c:spPr>
              <a:solidFill>
                <a:schemeClr val="accent5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1-C7DE-4896-BF2C-AED965DE72C0}"/>
              </c:ext>
            </c:extLst>
          </c:dPt>
          <c:dPt>
            <c:idx val="1"/>
            <c:bubble3D val="0"/>
            <c:explosion val="4"/>
            <c:spPr>
              <a:solidFill>
                <a:schemeClr val="accent1">
                  <a:lumMod val="60000"/>
                  <a:lumOff val="4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C7DE-4896-BF2C-AED965DE72C0}"/>
              </c:ext>
            </c:extLst>
          </c:dPt>
          <c:dLbls>
            <c:dLbl>
              <c:idx val="0"/>
              <c:layout>
                <c:manualLayout>
                  <c:x val="-0.17602364569293702"/>
                  <c:y val="9.6401424142223913E-2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chemeClr val="tx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7DE-4896-BF2C-AED965DE72C0}"/>
                </c:ext>
              </c:extLst>
            </c:dLbl>
            <c:dLbl>
              <c:idx val="1"/>
              <c:layout>
                <c:manualLayout>
                  <c:x val="0.19115556501383274"/>
                  <c:y val="-0.12875419273497157"/>
                </c:manualLayout>
              </c:layout>
              <c:spPr/>
              <c:txPr>
                <a:bodyPr/>
                <a:lstStyle/>
                <a:p>
                  <a:pPr>
                    <a:defRPr sz="900" b="0" i="0" u="none" strike="noStrike" baseline="0">
                      <a:solidFill>
                        <a:schemeClr val="bg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7DE-4896-BF2C-AED965DE72C0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bg1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'3.19'!$W$4:$W$5</c:f>
              <c:strCache>
                <c:ptCount val="2"/>
                <c:pt idx="0">
                  <c:v>    Foreign Males</c:v>
                </c:pt>
                <c:pt idx="1">
                  <c:v>    Foreign Females</c:v>
                </c:pt>
              </c:strCache>
            </c:strRef>
          </c:cat>
          <c:val>
            <c:numRef>
              <c:f>'3.19'!$X$4:$X$5</c:f>
              <c:numCache>
                <c:formatCode>0.00</c:formatCode>
                <c:ptCount val="2"/>
                <c:pt idx="0">
                  <c:v>39.230769230769234</c:v>
                </c:pt>
                <c:pt idx="1">
                  <c:v>60.769230769230766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7DE-4896-BF2C-AED965DE72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 orientation="landscape"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Figure 3.23: Percentage of  marriages between locals and locals to foreign nationals by locally and overseas, 2021</a:t>
            </a:r>
          </a:p>
        </c:rich>
      </c:tx>
      <c:layout>
        <c:manualLayout>
          <c:xMode val="edge"/>
          <c:yMode val="edge"/>
          <c:x val="0.1497264446222297"/>
          <c:y val="2.226129500802690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850234629762188"/>
          <c:y val="0.17738776872544113"/>
          <c:w val="0.88920454545454553"/>
          <c:h val="0.6650081191212966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'3.19'!$Y$27</c:f>
              <c:strCache>
                <c:ptCount val="1"/>
                <c:pt idx="0">
                  <c:v>Marriages overseas         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8E3-4FFB-80DB-4D060BE7E15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'3.19'!$X$28:$X$29</c:f>
              <c:strCache>
                <c:ptCount val="2"/>
                <c:pt idx="0">
                  <c:v>Marriage between maldivian nationals </c:v>
                </c:pt>
                <c:pt idx="1">
                  <c:v>Marriage with foreign nationals </c:v>
                </c:pt>
              </c:strCache>
            </c:strRef>
          </c:cat>
          <c:val>
            <c:numRef>
              <c:f>'3.19'!$Y$28:$Y$29</c:f>
              <c:numCache>
                <c:formatCode>0</c:formatCode>
                <c:ptCount val="2"/>
                <c:pt idx="0">
                  <c:v>1.1133791055854518</c:v>
                </c:pt>
                <c:pt idx="1">
                  <c:v>34.615384615384613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EF-4751-AC5A-92C981660425}"/>
            </c:ext>
          </c:extLst>
        </c:ser>
        <c:ser>
          <c:idx val="1"/>
          <c:order val="1"/>
          <c:tx>
            <c:strRef>
              <c:f>'3.19'!$Z$27</c:f>
              <c:strCache>
                <c:ptCount val="1"/>
                <c:pt idx="0">
                  <c:v>Marriages  in Maldives          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E5F-48D3-8C3C-BE39D4006F81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E5F-48D3-8C3C-BE39D4006F8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'3.19'!$X$28:$X$29</c:f>
              <c:strCache>
                <c:ptCount val="2"/>
                <c:pt idx="0">
                  <c:v>Marriage between maldivian nationals </c:v>
                </c:pt>
                <c:pt idx="1">
                  <c:v>Marriage with foreign nationals </c:v>
                </c:pt>
              </c:strCache>
            </c:strRef>
          </c:cat>
          <c:val>
            <c:numRef>
              <c:f>'3.19'!$Z$28:$Z$29</c:f>
              <c:numCache>
                <c:formatCode>0</c:formatCode>
                <c:ptCount val="2"/>
                <c:pt idx="0">
                  <c:v>98.886620894414548</c:v>
                </c:pt>
                <c:pt idx="1">
                  <c:v>65.384615384615387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EF-4751-AC5A-92C981660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8"/>
        <c:overlap val="100"/>
        <c:axId val="504217400"/>
        <c:axId val="504210736"/>
      </c:barChart>
      <c:catAx>
        <c:axId val="504217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0736"/>
        <c:crosses val="autoZero"/>
        <c:auto val="1"/>
        <c:lblAlgn val="ctr"/>
        <c:lblOffset val="100"/>
        <c:noMultiLvlLbl val="0"/>
      </c:catAx>
      <c:valAx>
        <c:axId val="504210736"/>
        <c:scaling>
          <c:orientation val="minMax"/>
          <c:max val="100"/>
          <c:min val="0"/>
        </c:scaling>
        <c:delete val="0"/>
        <c:axPos val="l"/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504217400"/>
        <c:crosses val="autoZero"/>
        <c:crossBetween val="between"/>
      </c:valAx>
      <c:spPr>
        <a:ln>
          <a:solidFill>
            <a:schemeClr val="bg1">
              <a:lumMod val="8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40720891172025958"/>
          <c:y val="0.61115166962511192"/>
          <c:w val="0.27168470251379007"/>
          <c:h val="0.13669443053722333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1247775</xdr:colOff>
      <xdr:row>14</xdr:row>
      <xdr:rowOff>133350</xdr:rowOff>
    </xdr:from>
    <xdr:to>
      <xdr:col>4</xdr:col>
      <xdr:colOff>904875</xdr:colOff>
      <xdr:row>26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1809751</xdr:colOff>
      <xdr:row>16</xdr:row>
      <xdr:rowOff>142874</xdr:rowOff>
    </xdr:from>
    <xdr:to>
      <xdr:col>4</xdr:col>
      <xdr:colOff>66676</xdr:colOff>
      <xdr:row>16</xdr:row>
      <xdr:rowOff>144879</xdr:rowOff>
    </xdr:to>
    <xdr:sp macro="" textlink="">
      <xdr:nvSpPr>
        <xdr:cNvPr id="3" name="Line 4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>
          <a:spLocks noChangeShapeType="1"/>
        </xdr:cNvSpPr>
      </xdr:nvSpPr>
      <xdr:spPr bwMode="auto">
        <a:xfrm flipV="1">
          <a:off x="1809751" y="3676649"/>
          <a:ext cx="3886200" cy="200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2019300</xdr:colOff>
      <xdr:row>29</xdr:row>
      <xdr:rowOff>9525</xdr:rowOff>
    </xdr:from>
    <xdr:to>
      <xdr:col>4</xdr:col>
      <xdr:colOff>276225</xdr:colOff>
      <xdr:row>29</xdr:row>
      <xdr:rowOff>11530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>
          <a:spLocks noChangeShapeType="1"/>
        </xdr:cNvSpPr>
      </xdr:nvSpPr>
      <xdr:spPr bwMode="auto">
        <a:xfrm flipV="1">
          <a:off x="2019300" y="6381750"/>
          <a:ext cx="3886200" cy="2005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1247775</xdr:colOff>
      <xdr:row>13</xdr:row>
      <xdr:rowOff>114300</xdr:rowOff>
    </xdr:from>
    <xdr:to>
      <xdr:col>4</xdr:col>
      <xdr:colOff>904875</xdr:colOff>
      <xdr:row>27</xdr:row>
      <xdr:rowOff>76200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1181100</xdr:colOff>
      <xdr:row>28</xdr:row>
      <xdr:rowOff>171450</xdr:rowOff>
    </xdr:from>
    <xdr:to>
      <xdr:col>4</xdr:col>
      <xdr:colOff>895350</xdr:colOff>
      <xdr:row>45</xdr:row>
      <xdr:rowOff>47625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0.02883</cdr:x>
      <cdr:y>0.03762</cdr:y>
    </cdr:from>
    <cdr:to>
      <cdr:x>0.94595</cdr:x>
      <cdr:y>0.12539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2400" y="114302"/>
          <a:ext cx="4848225" cy="2667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effectLst/>
              <a:latin typeface="+mn-lt"/>
              <a:ea typeface="+mn-ea"/>
              <a:cs typeface="+mn-cs"/>
            </a:rPr>
            <a:t>Figure 3.22:  Percentage of Maldivians married to foreign nationals by sex, 2021</a:t>
          </a:r>
          <a:endParaRPr lang="en-US">
            <a:effectLst/>
          </a:endParaRPr>
        </a:p>
        <a:p xmlns:a="http://schemas.openxmlformats.org/drawingml/2006/main"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3.%20POPULATION%20-%20DJ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"/>
      <sheetName val="3.2"/>
      <sheetName val="3.3"/>
      <sheetName val="3.4"/>
      <sheetName val="3.5"/>
      <sheetName val="3.6"/>
      <sheetName val="3.7"/>
      <sheetName val="3.8"/>
      <sheetName val="3.9"/>
      <sheetName val="3.10"/>
      <sheetName val="3.11"/>
      <sheetName val="3.12"/>
      <sheetName val="3.13"/>
      <sheetName val="3.14"/>
      <sheetName val="3.15"/>
      <sheetName val="3.16"/>
      <sheetName val="3.17"/>
      <sheetName val="3.18"/>
      <sheetName val="3.19"/>
      <sheetName val="3.20"/>
      <sheetName val="3.21"/>
      <sheetName val="3.22"/>
      <sheetName val="3.23"/>
      <sheetName val="3.24"/>
    </sheetNames>
    <sheetDataSet>
      <sheetData sheetId="0">
        <row r="8">
          <cell r="B8" t="str">
            <v>1911</v>
          </cell>
        </row>
      </sheetData>
      <sheetData sheetId="1">
        <row r="7">
          <cell r="AG7" t="str">
            <v>Male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4">
          <cell r="AD4" t="str">
            <v>Residential Maldivian 2019</v>
          </cell>
        </row>
      </sheetData>
      <sheetData sheetId="13">
        <row r="4">
          <cell r="BB4" t="str">
            <v>Residential Maldivian 2018</v>
          </cell>
        </row>
      </sheetData>
      <sheetData sheetId="14">
        <row r="4">
          <cell r="BB4" t="str">
            <v>Residential Maldivian 2018</v>
          </cell>
        </row>
      </sheetData>
      <sheetData sheetId="15">
        <row r="4">
          <cell r="BB4" t="str">
            <v>Residential Maldivian 2018</v>
          </cell>
        </row>
      </sheetData>
      <sheetData sheetId="16">
        <row r="7">
          <cell r="AA7" t="str">
            <v>Marriages</v>
          </cell>
        </row>
        <row r="40">
          <cell r="AV40">
            <v>2011</v>
          </cell>
          <cell r="AX40">
            <v>2012</v>
          </cell>
          <cell r="AZ40">
            <v>2013</v>
          </cell>
        </row>
        <row r="41">
          <cell r="AU41" t="str">
            <v xml:space="preserve">Divorces </v>
          </cell>
          <cell r="AV41" t="str">
            <v xml:space="preserve">Marriages </v>
          </cell>
          <cell r="AW41" t="str">
            <v xml:space="preserve">Divorces </v>
          </cell>
          <cell r="AX41" t="str">
            <v xml:space="preserve">Marriages </v>
          </cell>
          <cell r="AY41" t="str">
            <v xml:space="preserve">Divorces </v>
          </cell>
          <cell r="AZ41" t="str">
            <v xml:space="preserve">Marriages </v>
          </cell>
        </row>
        <row r="42">
          <cell r="AU42">
            <v>1248</v>
          </cell>
          <cell r="AV42">
            <v>2366</v>
          </cell>
          <cell r="AW42">
            <v>1209</v>
          </cell>
          <cell r="AX42">
            <v>2404</v>
          </cell>
          <cell r="AY42">
            <v>1320</v>
          </cell>
          <cell r="AZ42">
            <v>2463</v>
          </cell>
        </row>
        <row r="44">
          <cell r="AU44">
            <v>1547</v>
          </cell>
          <cell r="AV44">
            <v>3649</v>
          </cell>
          <cell r="AW44">
            <v>1807</v>
          </cell>
          <cell r="AX44">
            <v>3295</v>
          </cell>
          <cell r="AY44">
            <v>1691</v>
          </cell>
          <cell r="AZ44">
            <v>3157</v>
          </cell>
        </row>
      </sheetData>
      <sheetData sheetId="17">
        <row r="97">
          <cell r="S97" t="str">
            <v>15 - 19</v>
          </cell>
        </row>
      </sheetData>
      <sheetData sheetId="18">
        <row r="4">
          <cell r="M4" t="str">
            <v xml:space="preserve">    Foreign Males</v>
          </cell>
        </row>
      </sheetData>
      <sheetData sheetId="19" refreshError="1"/>
      <sheetData sheetId="20">
        <row r="4">
          <cell r="F4">
            <v>2014</v>
          </cell>
        </row>
      </sheetData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.14"/>
      <sheetName val="319"/>
      <sheetName val="3.20"/>
      <sheetName val="3.21"/>
      <sheetName val="3.22"/>
      <sheetName val="3.23"/>
      <sheetName val="3.24"/>
    </sheetNames>
    <sheetDataSet>
      <sheetData sheetId="0">
        <row r="40">
          <cell r="AK40">
            <v>2010</v>
          </cell>
          <cell r="AM40">
            <v>2011</v>
          </cell>
        </row>
        <row r="41">
          <cell r="AK41" t="str">
            <v xml:space="preserve">Marriages </v>
          </cell>
          <cell r="AL41" t="str">
            <v xml:space="preserve">Divorces </v>
          </cell>
          <cell r="AM41" t="str">
            <v xml:space="preserve">Marriages </v>
          </cell>
          <cell r="AN41" t="str">
            <v xml:space="preserve">Divorces </v>
          </cell>
        </row>
        <row r="42">
          <cell r="AJ42" t="str">
            <v>Male'</v>
          </cell>
          <cell r="AK42">
            <v>2491</v>
          </cell>
          <cell r="AL42">
            <v>1248</v>
          </cell>
          <cell r="AM42">
            <v>2366</v>
          </cell>
          <cell r="AN42">
            <v>1209</v>
          </cell>
        </row>
        <row r="43">
          <cell r="AJ43" t="str">
            <v>Atolls</v>
          </cell>
          <cell r="AK43">
            <v>3645</v>
          </cell>
          <cell r="AL43">
            <v>1547</v>
          </cell>
          <cell r="AM43">
            <v>3649</v>
          </cell>
          <cell r="AN43">
            <v>1807</v>
          </cell>
        </row>
      </sheetData>
      <sheetData sheetId="1">
        <row r="27">
          <cell r="O27" t="str">
            <v xml:space="preserve">Marriages overseas         </v>
          </cell>
        </row>
      </sheetData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92D050"/>
  </sheetPr>
  <dimension ref="A1:AF38"/>
  <sheetViews>
    <sheetView tabSelected="1" topLeftCell="M1" zoomScaleNormal="100" workbookViewId="0">
      <selection activeCell="AJ9" sqref="AJ9"/>
    </sheetView>
  </sheetViews>
  <sheetFormatPr defaultRowHeight="15" x14ac:dyDescent="0.25"/>
  <cols>
    <col min="1" max="1" width="32.42578125" style="1" customWidth="1"/>
    <col min="2" max="2" width="19.7109375" style="1" customWidth="1"/>
    <col min="3" max="3" width="18" style="1" customWidth="1"/>
    <col min="4" max="4" width="14.28515625" style="1" customWidth="1"/>
    <col min="5" max="5" width="29.28515625" style="1" customWidth="1"/>
    <col min="6" max="6" width="7.7109375" style="1" customWidth="1"/>
    <col min="7" max="7" width="5.85546875" style="1" customWidth="1"/>
    <col min="8" max="15" width="35.42578125" style="1" customWidth="1"/>
    <col min="16" max="20" width="5.85546875" style="1" customWidth="1"/>
    <col min="21" max="21" width="9.140625" style="1"/>
    <col min="22" max="22" width="9.140625" style="1" customWidth="1"/>
    <col min="23" max="23" width="14.140625" style="1" customWidth="1"/>
    <col min="24" max="24" width="27.140625" style="1" customWidth="1"/>
    <col min="25" max="25" width="16.5703125" style="1" customWidth="1"/>
    <col min="26" max="26" width="9.140625" style="1"/>
    <col min="27" max="27" width="7.140625" style="1" customWidth="1"/>
    <col min="28" max="28" width="9.140625" style="1" hidden="1" customWidth="1"/>
    <col min="29" max="30" width="10" style="1" hidden="1" customWidth="1"/>
    <col min="31" max="31" width="9.140625" style="1" hidden="1" customWidth="1"/>
    <col min="32" max="32" width="12.28515625" style="1" hidden="1" customWidth="1"/>
    <col min="33" max="16384" width="9.140625" style="1"/>
  </cols>
  <sheetData>
    <row r="1" spans="1:26" ht="21" x14ac:dyDescent="0.55000000000000004">
      <c r="A1" s="49" t="s">
        <v>20</v>
      </c>
      <c r="B1" s="49"/>
      <c r="C1" s="49"/>
      <c r="D1" s="49"/>
      <c r="E1" s="49"/>
    </row>
    <row r="2" spans="1:26" x14ac:dyDescent="0.25">
      <c r="A2" s="50" t="s">
        <v>19</v>
      </c>
      <c r="B2" s="50"/>
      <c r="C2" s="50"/>
      <c r="D2" s="50"/>
      <c r="E2" s="50"/>
    </row>
    <row r="3" spans="1:26" x14ac:dyDescent="0.25">
      <c r="A3" s="4"/>
      <c r="B3" s="4"/>
      <c r="C3" s="4"/>
      <c r="D3" s="4"/>
      <c r="W3" s="1" t="s">
        <v>4</v>
      </c>
    </row>
    <row r="4" spans="1:26" x14ac:dyDescent="0.25">
      <c r="A4" s="51" t="s">
        <v>5</v>
      </c>
      <c r="B4" s="54" t="s">
        <v>6</v>
      </c>
      <c r="C4" s="54"/>
      <c r="D4" s="5"/>
      <c r="E4" s="55" t="s">
        <v>7</v>
      </c>
      <c r="W4" s="6" t="s">
        <v>8</v>
      </c>
      <c r="X4" s="7">
        <f>D10/D9*100</f>
        <v>39.230769230769234</v>
      </c>
      <c r="Y4" s="8"/>
    </row>
    <row r="5" spans="1:26" ht="18.75" x14ac:dyDescent="0.25">
      <c r="A5" s="52"/>
      <c r="B5" s="57" t="s">
        <v>9</v>
      </c>
      <c r="C5" s="57"/>
      <c r="D5" s="37" t="s">
        <v>0</v>
      </c>
      <c r="E5" s="56"/>
      <c r="W5" s="9" t="s">
        <v>10</v>
      </c>
      <c r="X5" s="7">
        <f>D11/D9*100</f>
        <v>60.769230769230766</v>
      </c>
      <c r="Y5" s="8"/>
    </row>
    <row r="6" spans="1:26" x14ac:dyDescent="0.25">
      <c r="A6" s="52"/>
      <c r="B6" s="10" t="s">
        <v>11</v>
      </c>
      <c r="C6" s="11" t="s">
        <v>12</v>
      </c>
      <c r="D6" s="58" t="s">
        <v>1</v>
      </c>
      <c r="E6" s="56"/>
      <c r="X6" s="8"/>
      <c r="Y6" s="8"/>
      <c r="Z6" s="8"/>
    </row>
    <row r="7" spans="1:26" ht="17.25" x14ac:dyDescent="0.25">
      <c r="A7" s="53"/>
      <c r="B7" s="12"/>
      <c r="C7" s="13"/>
      <c r="D7" s="59"/>
      <c r="E7" s="56"/>
      <c r="W7" s="8"/>
      <c r="X7" s="8"/>
      <c r="Y7" s="8"/>
    </row>
    <row r="8" spans="1:26" ht="18.75" x14ac:dyDescent="0.25">
      <c r="A8" s="14" t="s">
        <v>13</v>
      </c>
      <c r="B8" s="41">
        <v>60</v>
      </c>
      <c r="C8" s="42">
        <v>5329</v>
      </c>
      <c r="D8" s="15">
        <f>SUM(B8)+C8</f>
        <v>5389</v>
      </c>
      <c r="E8" s="16" t="s">
        <v>14</v>
      </c>
    </row>
    <row r="9" spans="1:26" ht="18.75" x14ac:dyDescent="0.25">
      <c r="A9" s="17" t="s">
        <v>4</v>
      </c>
      <c r="B9" s="43">
        <f>B10+B11</f>
        <v>45</v>
      </c>
      <c r="C9" s="44">
        <v>85</v>
      </c>
      <c r="D9" s="18">
        <f>SUM(B9)+C9</f>
        <v>130</v>
      </c>
      <c r="E9" s="19" t="s">
        <v>15</v>
      </c>
    </row>
    <row r="10" spans="1:26" ht="18.75" x14ac:dyDescent="0.25">
      <c r="A10" s="20" t="s">
        <v>8</v>
      </c>
      <c r="B10" s="45">
        <v>17</v>
      </c>
      <c r="C10" s="46">
        <v>34</v>
      </c>
      <c r="D10" s="21">
        <f>SUM(B10)+C10</f>
        <v>51</v>
      </c>
      <c r="E10" s="22" t="s">
        <v>16</v>
      </c>
    </row>
    <row r="11" spans="1:26" ht="18.75" x14ac:dyDescent="0.25">
      <c r="A11" s="23" t="s">
        <v>10</v>
      </c>
      <c r="B11" s="47">
        <v>28</v>
      </c>
      <c r="C11" s="48">
        <v>51</v>
      </c>
      <c r="D11" s="24">
        <f>SUM(B11)+C11</f>
        <v>79</v>
      </c>
      <c r="E11" s="25" t="s">
        <v>17</v>
      </c>
    </row>
    <row r="12" spans="1:26" ht="18" x14ac:dyDescent="0.45">
      <c r="A12" s="26" t="s">
        <v>2</v>
      </c>
      <c r="E12" s="3" t="s">
        <v>3</v>
      </c>
    </row>
    <row r="14" spans="1:26" ht="18.75" x14ac:dyDescent="0.5">
      <c r="A14" s="26"/>
      <c r="E14" s="3"/>
      <c r="F14" s="27"/>
      <c r="R14" s="27"/>
      <c r="S14" s="27"/>
      <c r="T14" s="27"/>
      <c r="U14" s="27"/>
    </row>
    <row r="15" spans="1:26" ht="18.75" x14ac:dyDescent="0.5">
      <c r="A15" s="26"/>
      <c r="E15" s="3"/>
      <c r="F15" s="27"/>
      <c r="R15" s="27"/>
      <c r="S15" s="27"/>
      <c r="T15" s="27"/>
      <c r="U15" s="27"/>
    </row>
    <row r="16" spans="1:26" ht="18.75" x14ac:dyDescent="0.5">
      <c r="A16" s="26"/>
      <c r="E16" s="3"/>
      <c r="F16" s="27"/>
      <c r="R16" s="27"/>
      <c r="S16" s="27"/>
      <c r="T16" s="27"/>
      <c r="U16" s="27"/>
    </row>
    <row r="17" spans="1:27" ht="18.75" x14ac:dyDescent="0.5">
      <c r="A17" s="26"/>
      <c r="E17" s="3"/>
      <c r="F17" s="27"/>
      <c r="R17" s="27"/>
      <c r="S17" s="27"/>
      <c r="T17" s="27"/>
      <c r="U17" s="27"/>
    </row>
    <row r="18" spans="1:27" ht="18.75" x14ac:dyDescent="0.5">
      <c r="A18" s="26"/>
      <c r="E18" s="3"/>
      <c r="F18" s="27"/>
      <c r="R18" s="27"/>
      <c r="S18" s="27"/>
      <c r="T18" s="27"/>
      <c r="U18" s="27"/>
    </row>
    <row r="19" spans="1:27" ht="18.75" x14ac:dyDescent="0.5">
      <c r="A19" s="26"/>
      <c r="E19" s="3"/>
      <c r="F19" s="28"/>
      <c r="R19" s="27"/>
      <c r="S19" s="27"/>
      <c r="T19" s="27"/>
      <c r="U19" s="27"/>
    </row>
    <row r="20" spans="1:27" x14ac:dyDescent="0.25">
      <c r="F20" s="28"/>
    </row>
    <row r="21" spans="1:27" ht="21" x14ac:dyDescent="0.55000000000000004">
      <c r="A21" s="49"/>
      <c r="B21" s="49"/>
      <c r="C21" s="49"/>
      <c r="D21" s="49"/>
      <c r="E21" s="49"/>
    </row>
    <row r="22" spans="1:27" x14ac:dyDescent="0.25">
      <c r="A22" s="50"/>
      <c r="B22" s="50"/>
      <c r="C22" s="50"/>
      <c r="D22" s="50"/>
      <c r="E22" s="50"/>
    </row>
    <row r="23" spans="1:27" x14ac:dyDescent="0.25">
      <c r="A23" s="4"/>
      <c r="B23" s="4"/>
      <c r="C23" s="4"/>
      <c r="D23" s="4"/>
      <c r="AA23" s="2"/>
    </row>
    <row r="24" spans="1:27" x14ac:dyDescent="0.25">
      <c r="A24" s="52"/>
      <c r="B24" s="60"/>
      <c r="C24" s="60"/>
      <c r="D24" s="8"/>
      <c r="E24" s="56"/>
      <c r="AA24" s="2"/>
    </row>
    <row r="25" spans="1:27" ht="18.75" x14ac:dyDescent="0.25">
      <c r="A25" s="52"/>
      <c r="B25" s="61"/>
      <c r="C25" s="61"/>
      <c r="D25" s="37"/>
      <c r="E25" s="56"/>
      <c r="AA25" s="2"/>
    </row>
    <row r="26" spans="1:27" x14ac:dyDescent="0.25">
      <c r="A26" s="52"/>
      <c r="B26" s="40"/>
      <c r="C26" s="29"/>
      <c r="D26" s="58"/>
      <c r="E26" s="56"/>
    </row>
    <row r="27" spans="1:27" ht="24" x14ac:dyDescent="0.25">
      <c r="A27" s="52"/>
      <c r="B27" s="12"/>
      <c r="C27" s="39"/>
      <c r="D27" s="58"/>
      <c r="E27" s="56"/>
      <c r="Y27" s="38" t="s">
        <v>18</v>
      </c>
      <c r="Z27" s="11" t="s">
        <v>12</v>
      </c>
    </row>
    <row r="28" spans="1:27" ht="18.75" x14ac:dyDescent="0.25">
      <c r="A28" s="17"/>
      <c r="B28" s="30"/>
      <c r="C28" s="28"/>
      <c r="D28" s="31"/>
      <c r="E28" s="19"/>
      <c r="X28" s="32" t="s">
        <v>13</v>
      </c>
      <c r="Y28" s="33">
        <f>B8/D8*100</f>
        <v>1.1133791055854518</v>
      </c>
      <c r="Z28" s="33">
        <f>C8/D8*100</f>
        <v>98.886620894414548</v>
      </c>
    </row>
    <row r="29" spans="1:27" ht="18.75" x14ac:dyDescent="0.25">
      <c r="A29" s="17"/>
      <c r="B29" s="30"/>
      <c r="C29" s="34"/>
      <c r="D29" s="31"/>
      <c r="E29" s="19"/>
      <c r="X29" s="1" t="s">
        <v>4</v>
      </c>
      <c r="Y29" s="33">
        <f>B9/D9*100</f>
        <v>34.615384615384613</v>
      </c>
      <c r="Z29" s="35">
        <f>C9/D9*100</f>
        <v>65.384615384615387</v>
      </c>
    </row>
    <row r="30" spans="1:27" ht="18.75" x14ac:dyDescent="0.25">
      <c r="A30" s="20"/>
      <c r="B30" s="30"/>
      <c r="C30" s="28"/>
      <c r="D30" s="31"/>
      <c r="E30" s="19"/>
    </row>
    <row r="31" spans="1:27" ht="18.75" x14ac:dyDescent="0.25">
      <c r="A31" s="20"/>
      <c r="B31" s="30"/>
      <c r="C31" s="28"/>
      <c r="D31" s="31"/>
      <c r="E31" s="19"/>
      <c r="Y31" s="33"/>
      <c r="Z31" s="33"/>
    </row>
    <row r="32" spans="1:27" ht="18" x14ac:dyDescent="0.45">
      <c r="A32" s="26"/>
      <c r="E32" s="3"/>
    </row>
    <row r="34" spans="1:26" x14ac:dyDescent="0.25">
      <c r="X34" s="8"/>
      <c r="Y34" s="36"/>
      <c r="Z34" s="29"/>
    </row>
    <row r="35" spans="1:26" x14ac:dyDescent="0.25">
      <c r="X35" s="2"/>
      <c r="Y35" s="2"/>
      <c r="Z35" s="2"/>
    </row>
    <row r="36" spans="1:26" x14ac:dyDescent="0.25">
      <c r="A36" s="2"/>
      <c r="X36" s="2"/>
      <c r="Z36" s="2"/>
    </row>
    <row r="37" spans="1:26" x14ac:dyDescent="0.25">
      <c r="A37" s="2"/>
      <c r="X37" s="2"/>
      <c r="Z37" s="2"/>
    </row>
    <row r="38" spans="1:26" x14ac:dyDescent="0.25">
      <c r="A38" s="2"/>
    </row>
  </sheetData>
  <mergeCells count="14">
    <mergeCell ref="A21:E21"/>
    <mergeCell ref="A22:E22"/>
    <mergeCell ref="A24:A27"/>
    <mergeCell ref="B24:C24"/>
    <mergeCell ref="E24:E27"/>
    <mergeCell ref="B25:C25"/>
    <mergeCell ref="D26:D27"/>
    <mergeCell ref="A1:E1"/>
    <mergeCell ref="A2:E2"/>
    <mergeCell ref="A4:A7"/>
    <mergeCell ref="B4:C4"/>
    <mergeCell ref="E4:E7"/>
    <mergeCell ref="B5:C5"/>
    <mergeCell ref="D6:D7"/>
  </mergeCells>
  <pageMargins left="0.7" right="0.7" top="0.75" bottom="0.75" header="0.3" footer="0.3"/>
  <pageSetup paperSize="9" scale="68" orientation="portrait" r:id="rId1"/>
  <colBreaks count="1" manualBreakCount="1">
    <brk id="6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3.19</vt:lpstr>
      <vt:lpstr>'3.19'!Print_Area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2023-05-16T03:03:41Z</cp:lastPrinted>
  <dcterms:created xsi:type="dcterms:W3CDTF">2019-07-22T06:02:33Z</dcterms:created>
  <dcterms:modified xsi:type="dcterms:W3CDTF">2023-05-16T04:16:03Z</dcterms:modified>
</cp:coreProperties>
</file>