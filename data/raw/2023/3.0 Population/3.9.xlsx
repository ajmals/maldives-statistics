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3\FINAL\Population\"/>
    </mc:Choice>
  </mc:AlternateContent>
  <xr:revisionPtr revIDLastSave="0" documentId="13_ncr:1_{1DFC94CF-32A7-4F09-8BA9-4C30FF80A145}" xr6:coauthVersionLast="47" xr6:coauthVersionMax="47" xr10:uidLastSave="{00000000-0000-0000-0000-000000000000}"/>
  <bookViews>
    <workbookView xWindow="-120" yWindow="-120" windowWidth="29040" windowHeight="15840" tabRatio="874" xr2:uid="{00000000-000D-0000-FFFF-FFFF00000000}"/>
  </bookViews>
  <sheets>
    <sheet name="3.9" sheetId="8" r:id="rId1"/>
  </sheets>
  <externalReferences>
    <externalReference r:id="rId2"/>
    <externalReference r:id="rId3"/>
    <externalReference r:id="rId4"/>
  </externalReferences>
  <definedNames>
    <definedName name="_xlnm.Print_Area" localSheetId="0">'3.9'!$A$1:$T$37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5" i="8" l="1"/>
  <c r="R16" i="8"/>
  <c r="Q15" i="8"/>
  <c r="Q16" i="8"/>
  <c r="AS22" i="8"/>
  <c r="AS21" i="8"/>
  <c r="J16" i="8"/>
  <c r="I16" i="8"/>
  <c r="F16" i="8"/>
  <c r="E16" i="8"/>
  <c r="J15" i="8"/>
  <c r="I15" i="8"/>
  <c r="F15" i="8"/>
  <c r="E15" i="8"/>
  <c r="P12" i="8"/>
  <c r="L12" i="8"/>
  <c r="D12" i="8"/>
  <c r="P11" i="8"/>
  <c r="L11" i="8"/>
  <c r="H11" i="8"/>
  <c r="D11" i="8"/>
  <c r="P10" i="8"/>
  <c r="L10" i="8"/>
  <c r="H10" i="8"/>
  <c r="H15" i="8" s="1"/>
  <c r="D10" i="8"/>
  <c r="S9" i="8"/>
  <c r="R9" i="8"/>
  <c r="Q9" i="8"/>
  <c r="O9" i="8"/>
  <c r="N9" i="8"/>
  <c r="M9" i="8"/>
  <c r="K9" i="8"/>
  <c r="J9" i="8"/>
  <c r="I9" i="8"/>
  <c r="H9" i="8"/>
  <c r="G9" i="8"/>
  <c r="F9" i="8"/>
  <c r="E9" i="8"/>
  <c r="H8" i="8"/>
  <c r="D8" i="8"/>
  <c r="P7" i="8"/>
  <c r="L7" i="8"/>
  <c r="H7" i="8"/>
  <c r="D7" i="8"/>
  <c r="P6" i="8"/>
  <c r="L6" i="8"/>
  <c r="H6" i="8"/>
  <c r="D6" i="8"/>
  <c r="S5" i="8"/>
  <c r="R5" i="8"/>
  <c r="Q5" i="8"/>
  <c r="O5" i="8"/>
  <c r="N5" i="8"/>
  <c r="M5" i="8"/>
  <c r="K5" i="8"/>
  <c r="J5" i="8"/>
  <c r="I5" i="8"/>
  <c r="G5" i="8"/>
  <c r="F5" i="8"/>
  <c r="E5" i="8"/>
  <c r="P15" i="8" l="1"/>
  <c r="Q14" i="8"/>
  <c r="BA21" i="8" s="1"/>
  <c r="M14" i="8"/>
  <c r="AZ21" i="8" s="1"/>
  <c r="H16" i="8"/>
  <c r="D5" i="8"/>
  <c r="L5" i="8"/>
  <c r="D16" i="8"/>
  <c r="J14" i="8"/>
  <c r="D15" i="8"/>
  <c r="D9" i="8"/>
  <c r="E14" i="8"/>
  <c r="N14" i="8"/>
  <c r="AZ22" i="8" s="1"/>
  <c r="F14" i="8"/>
  <c r="P5" i="8"/>
  <c r="H5" i="8"/>
  <c r="H14" i="8" s="1"/>
  <c r="I14" i="8"/>
  <c r="P16" i="8"/>
  <c r="L9" i="8"/>
  <c r="R14" i="8"/>
  <c r="BA22" i="8" s="1"/>
  <c r="P9" i="8"/>
  <c r="D14" i="8" l="1"/>
  <c r="L14" i="8"/>
  <c r="P14" i="8"/>
</calcChain>
</file>

<file path=xl/sharedStrings.xml><?xml version="1.0" encoding="utf-8"?>
<sst xmlns="http://schemas.openxmlformats.org/spreadsheetml/2006/main" count="73" uniqueCount="29">
  <si>
    <t>Republic</t>
  </si>
  <si>
    <t>-</t>
  </si>
  <si>
    <t>Male'</t>
  </si>
  <si>
    <t>Atolls</t>
  </si>
  <si>
    <r>
      <rPr>
        <b/>
        <i/>
        <sz val="10"/>
        <rFont val="Calibri"/>
        <family val="2"/>
      </rPr>
      <t>Source:</t>
    </r>
    <r>
      <rPr>
        <i/>
        <sz val="10"/>
        <rFont val="Calibri"/>
        <family val="2"/>
      </rPr>
      <t xml:space="preserve"> Ministry of Health </t>
    </r>
  </si>
  <si>
    <t xml:space="preserve">މިނިސްޓްރީ އޮފް ހެލްތު </t>
  </si>
  <si>
    <t>Particulars</t>
  </si>
  <si>
    <t>clIBcfwt</t>
  </si>
  <si>
    <t>Abroad</t>
  </si>
  <si>
    <r>
      <t xml:space="preserve">     Live Births </t>
    </r>
    <r>
      <rPr>
        <b/>
        <vertAlign val="superscript"/>
        <sz val="10"/>
        <rFont val="Calibri"/>
        <family val="2"/>
      </rPr>
      <t>1_/</t>
    </r>
  </si>
  <si>
    <t xml:space="preserve"> 1- / cniduk ibitiriduriaivcnwfua   </t>
  </si>
  <si>
    <t xml:space="preserve">     Male</t>
  </si>
  <si>
    <t xml:space="preserve">cnehirif     </t>
  </si>
  <si>
    <t xml:space="preserve">     Female</t>
  </si>
  <si>
    <t xml:space="preserve">cnehcnwa     </t>
  </si>
  <si>
    <t>Infant Deaths</t>
  </si>
  <si>
    <t xml:space="preserve">cnidukwDukivurwm   </t>
  </si>
  <si>
    <t xml:space="preserve">  -uriaivcnwfua ) cTErWvurwm cnidukwDuk   </t>
  </si>
  <si>
    <t xml:space="preserve">( cSokctwbcsin cSwkwjcauk / 000 emcnok iruhirid   </t>
  </si>
  <si>
    <t>Not stated</t>
  </si>
  <si>
    <t>Infant Mortality Rate  (IMR)</t>
  </si>
  <si>
    <t>('000) Live Births</t>
  </si>
  <si>
    <r>
      <rPr>
        <sz val="2"/>
        <rFont val="Faruma"/>
      </rPr>
      <t>ނ</t>
    </r>
    <r>
      <rPr>
        <sz val="10"/>
        <rFont val="Faruma"/>
      </rPr>
      <t xml:space="preserve"> 2021 ވަނަ އަހަރުގެ މައުލޫމާތު ރިވައިޒުކުރަމުންދާތީވެ މިއަދަދުތަކަށް ބަދަލުއައުން އެކަށީގެންވެއެވެ. </t>
    </r>
  </si>
  <si>
    <r>
      <t>2021</t>
    </r>
    <r>
      <rPr>
        <b/>
        <vertAlign val="superscript"/>
        <sz val="9"/>
        <rFont val="Calibri"/>
        <family val="2"/>
      </rPr>
      <t>1_/</t>
    </r>
  </si>
  <si>
    <t xml:space="preserve">Note:  1_/ Data includes Maldivians and foreigners, but excluded deaths occurred abroad </t>
  </si>
  <si>
    <t>ނޯޓް: ޖުމްލައިގެތެރޭގައި ރާއްޖޭގައި އުފަންވި ދިވެހީން އަދި ބިދޭސީން ހިމެނޭނެއެވެ. ނަމަވެސް ރާއްޖެއިން ބޭރުގައި އުފަންވި އަދި މަރުވި  ކުދިން ނުހިމެނޭނެއެވެ.</t>
  </si>
  <si>
    <t>2021 figures are revised and  tentative and is expected to change</t>
  </si>
  <si>
    <t>2020-2018 ,cnidukwDukivurwm iaWncnidukwDuk ibitirid uriaivcnwfua  : 3.9  ulwvWt</t>
  </si>
  <si>
    <t>Table 3.9 :  LIVE BIRTHS AND INFANT DEATHS, 2018 - 2020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</si>
</sst>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6" formatCode="_-* #,##0.00\ _ރ_._-;_-* #,##0.00\ _ރ_.\-;_-* &quot;-&quot;??\ _ރ_._-;_-@_-"/>
    <numFmt numFmtId="167" formatCode="General_)"/>
    <numFmt numFmtId="173" formatCode="_(* #,##0_);_(* \(#,##0\);_(* &quot;-&quot;??_);_(@_)"/>
    <numFmt numFmtId="177" formatCode="_(* #,##0.0_);_(* \(#,##0.0\);_(* &quot;-&quot;??_);_(@_)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1"/>
      <name val="Calibri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name val="Courier"/>
      <family val="3"/>
    </font>
    <font>
      <sz val="8"/>
      <name val="Arial"/>
      <family val="2"/>
    </font>
    <font>
      <sz val="9"/>
      <name val="Faruma"/>
    </font>
    <font>
      <sz val="10"/>
      <name val="Arial"/>
      <family val="2"/>
    </font>
    <font>
      <i/>
      <sz val="1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name val="A_Randhoo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9"/>
      <name val="Calibri"/>
      <family val="2"/>
    </font>
    <font>
      <sz val="9"/>
      <name val="Calibri"/>
      <family val="2"/>
    </font>
    <font>
      <b/>
      <sz val="10"/>
      <name val="Calibri"/>
      <family val="2"/>
      <scheme val="minor"/>
    </font>
    <font>
      <sz val="11"/>
      <name val="Faruma"/>
    </font>
    <font>
      <b/>
      <i/>
      <sz val="10"/>
      <name val="Calibri"/>
      <family val="2"/>
    </font>
    <font>
      <sz val="10"/>
      <name val="Faruma"/>
    </font>
    <font>
      <b/>
      <vertAlign val="superscript"/>
      <sz val="10"/>
      <name val="Calibri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10"/>
      <name val="Comic Sans MS"/>
      <family val="4"/>
    </font>
    <font>
      <sz val="10"/>
      <name val="Calibri"/>
      <family val="2"/>
      <scheme val="minor"/>
    </font>
    <font>
      <b/>
      <sz val="10"/>
      <name val="A_Faseyha"/>
    </font>
    <font>
      <sz val="10"/>
      <name val="A_Faseyha"/>
    </font>
    <font>
      <b/>
      <vertAlign val="superscript"/>
      <sz val="9"/>
      <name val="Calibri"/>
      <family val="2"/>
    </font>
    <font>
      <i/>
      <sz val="10"/>
      <name val="Calibri"/>
      <family val="2"/>
      <scheme val="minor"/>
    </font>
    <font>
      <sz val="2"/>
      <name val="Faruma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hair">
        <color indexed="64"/>
      </right>
      <top style="hair">
        <color auto="1"/>
      </top>
      <bottom style="thin">
        <color auto="1"/>
      </bottom>
      <diagonal/>
    </border>
  </borders>
  <cellStyleXfs count="27">
    <xf numFmtId="0" fontId="0" fillId="0" borderId="0"/>
    <xf numFmtId="0" fontId="11" fillId="0" borderId="0"/>
    <xf numFmtId="0" fontId="11" fillId="0" borderId="0"/>
    <xf numFmtId="166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8" fillId="0" borderId="0"/>
    <xf numFmtId="0" fontId="11" fillId="0" borderId="0"/>
    <xf numFmtId="0" fontId="11" fillId="0" borderId="0"/>
    <xf numFmtId="0" fontId="1" fillId="0" borderId="0"/>
    <xf numFmtId="167" fontId="2" fillId="0" borderId="0"/>
    <xf numFmtId="167" fontId="2" fillId="0" borderId="0"/>
    <xf numFmtId="0" fontId="11" fillId="0" borderId="0"/>
    <xf numFmtId="0" fontId="3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110">
    <xf numFmtId="0" fontId="0" fillId="0" borderId="0" xfId="0"/>
    <xf numFmtId="167" fontId="2" fillId="3" borderId="0" xfId="11" applyFill="1"/>
    <xf numFmtId="167" fontId="14" fillId="3" borderId="0" xfId="11" applyFont="1" applyFill="1"/>
    <xf numFmtId="167" fontId="22" fillId="2" borderId="0" xfId="10" applyFont="1" applyFill="1" applyAlignment="1" applyProtection="1">
      <alignment horizontal="right" vertical="center"/>
      <protection hidden="1"/>
    </xf>
    <xf numFmtId="3" fontId="26" fillId="3" borderId="0" xfId="10" applyNumberFormat="1" applyFont="1" applyFill="1" applyAlignment="1">
      <alignment horizontal="right" vertical="center"/>
    </xf>
    <xf numFmtId="3" fontId="27" fillId="3" borderId="0" xfId="10" applyNumberFormat="1" applyFont="1" applyFill="1" applyAlignment="1">
      <alignment horizontal="right" vertical="center"/>
    </xf>
    <xf numFmtId="1" fontId="27" fillId="3" borderId="0" xfId="10" applyNumberFormat="1" applyFont="1" applyFill="1" applyAlignment="1">
      <alignment horizontal="right" vertical="center"/>
    </xf>
    <xf numFmtId="3" fontId="27" fillId="3" borderId="0" xfId="10" applyNumberFormat="1" applyFont="1" applyFill="1" applyAlignment="1" applyProtection="1">
      <alignment horizontal="right" vertical="center"/>
      <protection locked="0"/>
    </xf>
    <xf numFmtId="1" fontId="26" fillId="3" borderId="0" xfId="10" applyNumberFormat="1" applyFont="1" applyFill="1" applyAlignment="1">
      <alignment horizontal="right" vertical="center"/>
    </xf>
    <xf numFmtId="167" fontId="11" fillId="3" borderId="0" xfId="11" applyFont="1" applyFill="1"/>
    <xf numFmtId="167" fontId="19" fillId="3" borderId="0" xfId="11" applyFont="1" applyFill="1" applyAlignment="1">
      <alignment horizontal="center" vertical="center"/>
    </xf>
    <xf numFmtId="167" fontId="19" fillId="3" borderId="4" xfId="11" applyFont="1" applyFill="1" applyBorder="1" applyAlignment="1">
      <alignment horizontal="center" vertical="center"/>
    </xf>
    <xf numFmtId="167" fontId="5" fillId="3" borderId="0" xfId="11" applyFont="1" applyFill="1" applyAlignment="1">
      <alignment vertical="center"/>
    </xf>
    <xf numFmtId="167" fontId="19" fillId="3" borderId="1" xfId="11" applyFont="1" applyFill="1" applyBorder="1" applyAlignment="1">
      <alignment horizontal="right" vertical="top"/>
    </xf>
    <xf numFmtId="167" fontId="19" fillId="3" borderId="9" xfId="11" applyFont="1" applyFill="1" applyBorder="1" applyAlignment="1">
      <alignment horizontal="right" vertical="center"/>
    </xf>
    <xf numFmtId="167" fontId="19" fillId="3" borderId="10" xfId="11" applyFont="1" applyFill="1" applyBorder="1" applyAlignment="1">
      <alignment horizontal="right" vertical="center"/>
    </xf>
    <xf numFmtId="1" fontId="13" fillId="3" borderId="0" xfId="11" applyNumberFormat="1" applyFont="1" applyFill="1" applyAlignment="1">
      <alignment vertical="center"/>
    </xf>
    <xf numFmtId="3" fontId="19" fillId="3" borderId="0" xfId="0" applyNumberFormat="1" applyFont="1" applyFill="1" applyAlignment="1">
      <alignment horizontal="right" vertical="center"/>
    </xf>
    <xf numFmtId="3" fontId="13" fillId="3" borderId="0" xfId="0" applyNumberFormat="1" applyFont="1" applyFill="1" applyAlignment="1">
      <alignment horizontal="right" vertical="center"/>
    </xf>
    <xf numFmtId="1" fontId="5" fillId="3" borderId="0" xfId="11" applyNumberFormat="1" applyFont="1" applyFill="1" applyAlignment="1">
      <alignment horizontal="center" vertical="center"/>
    </xf>
    <xf numFmtId="1" fontId="14" fillId="3" borderId="0" xfId="11" applyNumberFormat="1" applyFont="1" applyFill="1" applyAlignment="1">
      <alignment horizontal="left" vertical="center"/>
    </xf>
    <xf numFmtId="173" fontId="20" fillId="3" borderId="0" xfId="5" applyNumberFormat="1" applyFont="1" applyFill="1" applyAlignment="1">
      <alignment horizontal="right" vertical="center"/>
    </xf>
    <xf numFmtId="173" fontId="14" fillId="3" borderId="0" xfId="5" applyNumberFormat="1" applyFont="1" applyFill="1" applyAlignment="1">
      <alignment horizontal="right" vertical="center"/>
    </xf>
    <xf numFmtId="1" fontId="11" fillId="3" borderId="0" xfId="11" applyNumberFormat="1" applyFont="1" applyFill="1" applyAlignment="1">
      <alignment horizontal="center" vertical="center"/>
    </xf>
    <xf numFmtId="3" fontId="19" fillId="3" borderId="0" xfId="10" applyNumberFormat="1" applyFont="1" applyFill="1" applyAlignment="1">
      <alignment horizontal="right" vertical="center"/>
    </xf>
    <xf numFmtId="3" fontId="13" fillId="3" borderId="0" xfId="10" applyNumberFormat="1" applyFont="1" applyFill="1" applyAlignment="1">
      <alignment horizontal="right" vertical="center"/>
    </xf>
    <xf numFmtId="3" fontId="20" fillId="3" borderId="0" xfId="10" applyNumberFormat="1" applyFont="1" applyFill="1" applyAlignment="1" applyProtection="1">
      <alignment horizontal="right" vertical="center"/>
      <protection locked="0"/>
    </xf>
    <xf numFmtId="3" fontId="14" fillId="3" borderId="0" xfId="10" applyNumberFormat="1" applyFont="1" applyFill="1" applyAlignment="1" applyProtection="1">
      <alignment horizontal="right" vertical="center"/>
      <protection locked="0"/>
    </xf>
    <xf numFmtId="1" fontId="19" fillId="3" borderId="0" xfId="10" applyNumberFormat="1" applyFont="1" applyFill="1" applyAlignment="1">
      <alignment horizontal="right" vertical="center"/>
    </xf>
    <xf numFmtId="1" fontId="13" fillId="3" borderId="0" xfId="10" applyNumberFormat="1" applyFont="1" applyFill="1" applyAlignment="1">
      <alignment horizontal="right" vertical="center"/>
    </xf>
    <xf numFmtId="1" fontId="13" fillId="3" borderId="0" xfId="11" applyNumberFormat="1" applyFont="1" applyFill="1" applyAlignment="1">
      <alignment horizontal="left" vertical="center"/>
    </xf>
    <xf numFmtId="49" fontId="13" fillId="3" borderId="0" xfId="10" applyNumberFormat="1" applyFont="1" applyFill="1" applyAlignment="1">
      <alignment horizontal="right" vertical="center"/>
    </xf>
    <xf numFmtId="1" fontId="20" fillId="3" borderId="0" xfId="10" applyNumberFormat="1" applyFont="1" applyFill="1" applyAlignment="1">
      <alignment horizontal="right" vertical="center"/>
    </xf>
    <xf numFmtId="49" fontId="14" fillId="3" borderId="0" xfId="10" applyNumberFormat="1" applyFont="1" applyFill="1" applyAlignment="1">
      <alignment horizontal="right" vertical="center"/>
    </xf>
    <xf numFmtId="1" fontId="16" fillId="3" borderId="0" xfId="10" applyNumberFormat="1" applyFont="1" applyFill="1" applyAlignment="1">
      <alignment horizontal="right" vertical="center"/>
    </xf>
    <xf numFmtId="1" fontId="14" fillId="3" borderId="1" xfId="11" applyNumberFormat="1" applyFont="1" applyFill="1" applyBorder="1" applyAlignment="1">
      <alignment horizontal="left" vertical="center"/>
    </xf>
    <xf numFmtId="1" fontId="20" fillId="3" borderId="1" xfId="10" applyNumberFormat="1" applyFont="1" applyFill="1" applyBorder="1" applyAlignment="1">
      <alignment horizontal="right" vertical="center"/>
    </xf>
    <xf numFmtId="49" fontId="14" fillId="3" borderId="1" xfId="10" applyNumberFormat="1" applyFont="1" applyFill="1" applyBorder="1" applyAlignment="1">
      <alignment horizontal="right" vertical="center"/>
    </xf>
    <xf numFmtId="167" fontId="10" fillId="3" borderId="0" xfId="10" applyFont="1" applyFill="1" applyAlignment="1" applyProtection="1">
      <alignment vertical="center"/>
      <protection hidden="1"/>
    </xf>
    <xf numFmtId="167" fontId="7" fillId="3" borderId="0" xfId="11" applyFont="1" applyFill="1" applyAlignment="1">
      <alignment vertical="center"/>
    </xf>
    <xf numFmtId="167" fontId="8" fillId="3" borderId="0" xfId="11" applyFont="1" applyFill="1" applyAlignment="1">
      <alignment vertical="center"/>
    </xf>
    <xf numFmtId="167" fontId="15" fillId="3" borderId="0" xfId="11" applyFont="1" applyFill="1" applyAlignment="1">
      <alignment vertical="center"/>
    </xf>
    <xf numFmtId="167" fontId="11" fillId="3" borderId="0" xfId="11" applyFont="1" applyFill="1" applyAlignment="1">
      <alignment vertical="center"/>
    </xf>
    <xf numFmtId="167" fontId="9" fillId="3" borderId="0" xfId="11" applyFont="1" applyFill="1"/>
    <xf numFmtId="0" fontId="11" fillId="3" borderId="0" xfId="12" applyFill="1"/>
    <xf numFmtId="1" fontId="7" fillId="3" borderId="0" xfId="11" applyNumberFormat="1" applyFont="1" applyFill="1" applyAlignment="1">
      <alignment horizontal="right" vertical="center"/>
    </xf>
    <xf numFmtId="1" fontId="11" fillId="3" borderId="0" xfId="11" applyNumberFormat="1" applyFont="1" applyFill="1"/>
    <xf numFmtId="1" fontId="11" fillId="3" borderId="0" xfId="12" applyNumberFormat="1" applyFill="1"/>
    <xf numFmtId="167" fontId="28" fillId="3" borderId="0" xfId="11" applyFont="1" applyFill="1"/>
    <xf numFmtId="3" fontId="21" fillId="3" borderId="0" xfId="0" applyNumberFormat="1" applyFont="1" applyFill="1" applyAlignment="1">
      <alignment horizontal="right" vertical="center"/>
    </xf>
    <xf numFmtId="3" fontId="21" fillId="3" borderId="2" xfId="0" applyNumberFormat="1" applyFont="1" applyFill="1" applyBorder="1" applyAlignment="1">
      <alignment horizontal="right" vertical="center"/>
    </xf>
    <xf numFmtId="1" fontId="30" fillId="3" borderId="0" xfId="10" applyNumberFormat="1" applyFont="1" applyFill="1" applyAlignment="1">
      <alignment horizontal="right" vertical="center"/>
    </xf>
    <xf numFmtId="1" fontId="31" fillId="3" borderId="0" xfId="10" applyNumberFormat="1" applyFont="1" applyFill="1" applyAlignment="1">
      <alignment horizontal="right" vertical="center"/>
    </xf>
    <xf numFmtId="1" fontId="31" fillId="3" borderId="1" xfId="10" applyNumberFormat="1" applyFont="1" applyFill="1" applyBorder="1" applyAlignment="1">
      <alignment horizontal="right" vertical="center"/>
    </xf>
    <xf numFmtId="1" fontId="6" fillId="3" borderId="0" xfId="10" applyNumberFormat="1" applyFont="1" applyFill="1" applyAlignment="1">
      <alignment vertical="center"/>
    </xf>
    <xf numFmtId="3" fontId="29" fillId="3" borderId="2" xfId="10" applyNumberFormat="1" applyFont="1" applyFill="1" applyBorder="1" applyAlignment="1">
      <alignment horizontal="right" vertical="center"/>
    </xf>
    <xf numFmtId="177" fontId="16" fillId="3" borderId="2" xfId="15" applyNumberFormat="1" applyFont="1" applyFill="1" applyBorder="1" applyAlignment="1">
      <alignment horizontal="right" vertical="center"/>
    </xf>
    <xf numFmtId="177" fontId="16" fillId="3" borderId="0" xfId="15" applyNumberFormat="1" applyFont="1" applyFill="1" applyBorder="1" applyAlignment="1">
      <alignment horizontal="right" vertical="center"/>
    </xf>
    <xf numFmtId="177" fontId="16" fillId="3" borderId="5" xfId="15" applyNumberFormat="1" applyFont="1" applyFill="1" applyBorder="1" applyAlignment="1">
      <alignment horizontal="right" vertical="center"/>
    </xf>
    <xf numFmtId="1" fontId="17" fillId="3" borderId="0" xfId="15" applyNumberFormat="1" applyFont="1" applyFill="1" applyBorder="1" applyAlignment="1">
      <alignment horizontal="right" vertical="center"/>
    </xf>
    <xf numFmtId="3" fontId="17" fillId="3" borderId="2" xfId="15" applyNumberFormat="1" applyFont="1" applyFill="1" applyBorder="1" applyAlignment="1">
      <alignment horizontal="right" vertical="center"/>
    </xf>
    <xf numFmtId="3" fontId="17" fillId="3" borderId="0" xfId="15" applyNumberFormat="1" applyFont="1" applyFill="1" applyBorder="1" applyAlignment="1">
      <alignment horizontal="right" vertical="center"/>
    </xf>
    <xf numFmtId="3" fontId="21" fillId="3" borderId="2" xfId="10" applyNumberFormat="1" applyFont="1" applyFill="1" applyBorder="1" applyAlignment="1">
      <alignment horizontal="right" vertical="center"/>
    </xf>
    <xf numFmtId="3" fontId="21" fillId="3" borderId="0" xfId="10" applyNumberFormat="1" applyFont="1" applyFill="1" applyAlignment="1">
      <alignment horizontal="right" vertical="center"/>
    </xf>
    <xf numFmtId="3" fontId="29" fillId="3" borderId="2" xfId="10" applyNumberFormat="1" applyFont="1" applyFill="1" applyBorder="1" applyAlignment="1" applyProtection="1">
      <alignment horizontal="right" vertical="center"/>
      <protection locked="0"/>
    </xf>
    <xf numFmtId="173" fontId="17" fillId="3" borderId="0" xfId="15" applyNumberFormat="1" applyFont="1" applyFill="1" applyBorder="1" applyAlignment="1">
      <alignment horizontal="right" vertical="center"/>
    </xf>
    <xf numFmtId="1" fontId="17" fillId="3" borderId="5" xfId="15" applyNumberFormat="1" applyFont="1" applyFill="1" applyBorder="1" applyAlignment="1">
      <alignment horizontal="right" vertical="center"/>
    </xf>
    <xf numFmtId="1" fontId="21" fillId="3" borderId="2" xfId="10" applyNumberFormat="1" applyFont="1" applyFill="1" applyBorder="1" applyAlignment="1">
      <alignment horizontal="right" vertical="center"/>
    </xf>
    <xf numFmtId="1" fontId="21" fillId="3" borderId="0" xfId="10" applyNumberFormat="1" applyFont="1" applyFill="1" applyAlignment="1">
      <alignment horizontal="right" vertical="center"/>
    </xf>
    <xf numFmtId="1" fontId="29" fillId="3" borderId="2" xfId="10" applyNumberFormat="1" applyFont="1" applyFill="1" applyBorder="1" applyAlignment="1">
      <alignment horizontal="right" vertical="center"/>
    </xf>
    <xf numFmtId="1" fontId="29" fillId="3" borderId="0" xfId="10" applyNumberFormat="1" applyFont="1" applyFill="1" applyAlignment="1">
      <alignment horizontal="right" vertical="center"/>
    </xf>
    <xf numFmtId="1" fontId="29" fillId="3" borderId="3" xfId="10" applyNumberFormat="1" applyFont="1" applyFill="1" applyBorder="1" applyAlignment="1">
      <alignment horizontal="right" vertical="center"/>
    </xf>
    <xf numFmtId="1" fontId="29" fillId="3" borderId="1" xfId="10" applyNumberFormat="1" applyFont="1" applyFill="1" applyBorder="1" applyAlignment="1">
      <alignment horizontal="right" vertical="center"/>
    </xf>
    <xf numFmtId="177" fontId="16" fillId="3" borderId="8" xfId="15" applyNumberFormat="1" applyFont="1" applyFill="1" applyBorder="1" applyAlignment="1">
      <alignment horizontal="right" vertical="center"/>
    </xf>
    <xf numFmtId="177" fontId="16" fillId="3" borderId="1" xfId="15" applyNumberFormat="1" applyFont="1" applyFill="1" applyBorder="1" applyAlignment="1">
      <alignment horizontal="right" vertical="center"/>
    </xf>
    <xf numFmtId="3" fontId="29" fillId="3" borderId="0" xfId="10" applyNumberFormat="1" applyFont="1" applyFill="1" applyAlignment="1">
      <alignment horizontal="right" vertical="center"/>
    </xf>
    <xf numFmtId="3" fontId="29" fillId="3" borderId="0" xfId="10" applyNumberFormat="1" applyFont="1" applyFill="1" applyAlignment="1" applyProtection="1">
      <alignment horizontal="right" vertical="center"/>
      <protection locked="0"/>
    </xf>
    <xf numFmtId="1" fontId="13" fillId="3" borderId="0" xfId="11" applyNumberFormat="1" applyFont="1" applyFill="1" applyAlignment="1">
      <alignment horizontal="left" vertical="center" indent="2"/>
    </xf>
    <xf numFmtId="167" fontId="12" fillId="3" borderId="0" xfId="10" applyFont="1" applyFill="1" applyAlignment="1">
      <alignment vertical="center"/>
    </xf>
    <xf numFmtId="167" fontId="33" fillId="3" borderId="0" xfId="10" applyFont="1" applyFill="1" applyAlignment="1">
      <alignment horizontal="left" vertical="center" indent="4"/>
    </xf>
    <xf numFmtId="167" fontId="12" fillId="3" borderId="0" xfId="0" applyNumberFormat="1" applyFont="1" applyFill="1" applyAlignment="1">
      <alignment horizontal="left" vertical="center"/>
    </xf>
    <xf numFmtId="167" fontId="24" fillId="3" borderId="0" xfId="10" applyFont="1" applyFill="1" applyAlignment="1" applyProtection="1">
      <alignment horizontal="right" vertical="center"/>
      <protection hidden="1"/>
    </xf>
    <xf numFmtId="167" fontId="24" fillId="2" borderId="0" xfId="10" applyFont="1" applyFill="1" applyAlignment="1" applyProtection="1">
      <alignment horizontal="right" vertical="center" indent="1"/>
      <protection hidden="1"/>
    </xf>
    <xf numFmtId="3" fontId="29" fillId="4" borderId="0" xfId="10" applyNumberFormat="1" applyFont="1" applyFill="1" applyAlignment="1">
      <alignment horizontal="right" vertical="center"/>
    </xf>
    <xf numFmtId="3" fontId="29" fillId="4" borderId="0" xfId="10" applyNumberFormat="1" applyFont="1" applyFill="1" applyAlignment="1" applyProtection="1">
      <alignment horizontal="right" vertical="center"/>
      <protection locked="0"/>
    </xf>
    <xf numFmtId="177" fontId="16" fillId="4" borderId="0" xfId="15" applyNumberFormat="1" applyFont="1" applyFill="1" applyBorder="1" applyAlignment="1">
      <alignment horizontal="right" vertical="center"/>
    </xf>
    <xf numFmtId="177" fontId="16" fillId="4" borderId="1" xfId="15" applyNumberFormat="1" applyFont="1" applyFill="1" applyBorder="1" applyAlignment="1">
      <alignment horizontal="right" vertical="center"/>
    </xf>
    <xf numFmtId="167" fontId="30" fillId="3" borderId="0" xfId="10" applyFont="1" applyFill="1" applyAlignment="1">
      <alignment horizontal="right" vertical="center"/>
    </xf>
    <xf numFmtId="167" fontId="30" fillId="3" borderId="1" xfId="10" applyFont="1" applyFill="1" applyBorder="1" applyAlignment="1">
      <alignment horizontal="right" vertical="center"/>
    </xf>
    <xf numFmtId="1" fontId="26" fillId="3" borderId="0" xfId="10" applyNumberFormat="1" applyFont="1" applyFill="1" applyAlignment="1">
      <alignment horizontal="center" vertical="center"/>
    </xf>
    <xf numFmtId="167" fontId="30" fillId="3" borderId="0" xfId="10" applyFont="1" applyFill="1" applyAlignment="1">
      <alignment horizontal="center" vertical="center" wrapText="1"/>
    </xf>
    <xf numFmtId="167" fontId="4" fillId="3" borderId="1" xfId="11" applyFont="1" applyFill="1" applyBorder="1" applyAlignment="1">
      <alignment horizontal="center" vertical="center"/>
    </xf>
    <xf numFmtId="167" fontId="13" fillId="3" borderId="0" xfId="11" applyFont="1" applyFill="1" applyAlignment="1">
      <alignment horizontal="left" vertical="center"/>
    </xf>
    <xf numFmtId="167" fontId="13" fillId="3" borderId="1" xfId="11" applyFont="1" applyFill="1" applyBorder="1" applyAlignment="1">
      <alignment horizontal="left" vertical="center"/>
    </xf>
    <xf numFmtId="167" fontId="19" fillId="3" borderId="4" xfId="11" applyFont="1" applyFill="1" applyBorder="1" applyAlignment="1">
      <alignment horizontal="center" vertical="center"/>
    </xf>
    <xf numFmtId="167" fontId="19" fillId="3" borderId="6" xfId="11" applyFont="1" applyFill="1" applyBorder="1" applyAlignment="1">
      <alignment horizontal="center" vertical="center"/>
    </xf>
    <xf numFmtId="167" fontId="19" fillId="3" borderId="7" xfId="11" applyFont="1" applyFill="1" applyBorder="1" applyAlignment="1">
      <alignment horizontal="center" vertical="center"/>
    </xf>
    <xf numFmtId="167" fontId="19" fillId="3" borderId="11" xfId="11" applyFont="1" applyFill="1" applyBorder="1" applyAlignment="1">
      <alignment horizontal="right" vertical="center"/>
    </xf>
    <xf numFmtId="167" fontId="19" fillId="3" borderId="12" xfId="11" applyFont="1" applyFill="1" applyBorder="1" applyAlignment="1">
      <alignment horizontal="right" vertical="center"/>
    </xf>
    <xf numFmtId="3" fontId="21" fillId="3" borderId="0" xfId="0" applyNumberFormat="1" applyFont="1" applyFill="1" applyBorder="1" applyAlignment="1">
      <alignment horizontal="right" vertical="center"/>
    </xf>
    <xf numFmtId="3" fontId="21" fillId="3" borderId="5" xfId="0" applyNumberFormat="1" applyFont="1" applyFill="1" applyBorder="1" applyAlignment="1">
      <alignment horizontal="right" vertical="center"/>
    </xf>
    <xf numFmtId="3" fontId="29" fillId="3" borderId="0" xfId="10" applyNumberFormat="1" applyFont="1" applyFill="1" applyBorder="1" applyAlignment="1">
      <alignment horizontal="right" vertical="center"/>
    </xf>
    <xf numFmtId="3" fontId="29" fillId="3" borderId="5" xfId="10" applyNumberFormat="1" applyFont="1" applyFill="1" applyBorder="1" applyAlignment="1">
      <alignment horizontal="right" vertical="center"/>
    </xf>
    <xf numFmtId="3" fontId="21" fillId="3" borderId="0" xfId="10" applyNumberFormat="1" applyFont="1" applyFill="1" applyBorder="1" applyAlignment="1">
      <alignment horizontal="right" vertical="center"/>
    </xf>
    <xf numFmtId="3" fontId="21" fillId="3" borderId="5" xfId="10" applyNumberFormat="1" applyFont="1" applyFill="1" applyBorder="1" applyAlignment="1">
      <alignment horizontal="right" vertical="center"/>
    </xf>
    <xf numFmtId="3" fontId="29" fillId="3" borderId="0" xfId="10" applyNumberFormat="1" applyFont="1" applyFill="1" applyBorder="1" applyAlignment="1" applyProtection="1">
      <alignment horizontal="right" vertical="center"/>
      <protection locked="0"/>
    </xf>
    <xf numFmtId="3" fontId="29" fillId="3" borderId="5" xfId="10" applyNumberFormat="1" applyFont="1" applyFill="1" applyBorder="1" applyAlignment="1" applyProtection="1">
      <alignment horizontal="right" vertical="center"/>
      <protection locked="0"/>
    </xf>
    <xf numFmtId="1" fontId="21" fillId="3" borderId="0" xfId="10" applyNumberFormat="1" applyFont="1" applyFill="1" applyBorder="1" applyAlignment="1">
      <alignment horizontal="right" vertical="center"/>
    </xf>
    <xf numFmtId="1" fontId="21" fillId="3" borderId="5" xfId="10" applyNumberFormat="1" applyFont="1" applyFill="1" applyBorder="1" applyAlignment="1">
      <alignment horizontal="right" vertical="center"/>
    </xf>
    <xf numFmtId="1" fontId="29" fillId="3" borderId="0" xfId="10" applyNumberFormat="1" applyFont="1" applyFill="1" applyBorder="1" applyAlignment="1">
      <alignment horizontal="right" vertical="center"/>
    </xf>
  </cellXfs>
  <cellStyles count="27">
    <cellStyle name="1" xfId="16" xr:uid="{00000000-0005-0000-0000-000000000000}"/>
    <cellStyle name="Comma" xfId="15" builtinId="3"/>
    <cellStyle name="Comma 2" xfId="14" xr:uid="{00000000-0005-0000-0000-000002000000}"/>
    <cellStyle name="Comma 2 2" xfId="25" xr:uid="{00000000-0005-0000-0000-000003000000}"/>
    <cellStyle name="Comma 3" xfId="5" xr:uid="{00000000-0005-0000-0000-000004000000}"/>
    <cellStyle name="Comma 3 2" xfId="18" xr:uid="{00000000-0005-0000-0000-000005000000}"/>
    <cellStyle name="Comma 3 3" xfId="26" xr:uid="{00000000-0005-0000-0000-000006000000}"/>
    <cellStyle name="Comma 4" xfId="3" xr:uid="{00000000-0005-0000-0000-000007000000}"/>
    <cellStyle name="Comma 4 2" xfId="21" xr:uid="{00000000-0005-0000-0000-000008000000}"/>
    <cellStyle name="Comma 7" xfId="17" xr:uid="{00000000-0005-0000-0000-000009000000}"/>
    <cellStyle name="Normal" xfId="0" builtinId="0"/>
    <cellStyle name="Normal 11" xfId="6" xr:uid="{00000000-0005-0000-0000-00000E000000}"/>
    <cellStyle name="Normal 2" xfId="4" xr:uid="{00000000-0005-0000-0000-00000F000000}"/>
    <cellStyle name="Normal 2 2" xfId="22" xr:uid="{00000000-0005-0000-0000-000010000000}"/>
    <cellStyle name="Normal 20" xfId="2" xr:uid="{00000000-0005-0000-0000-000011000000}"/>
    <cellStyle name="Normal 20 2" xfId="20" xr:uid="{00000000-0005-0000-0000-000012000000}"/>
    <cellStyle name="Normal 3" xfId="13" xr:uid="{00000000-0005-0000-0000-000013000000}"/>
    <cellStyle name="Normal 32" xfId="7" xr:uid="{00000000-0005-0000-0000-000014000000}"/>
    <cellStyle name="Normal 32 2" xfId="23" xr:uid="{00000000-0005-0000-0000-000015000000}"/>
    <cellStyle name="Normal 4" xfId="10" xr:uid="{00000000-0005-0000-0000-000016000000}"/>
    <cellStyle name="Normal 44" xfId="8" xr:uid="{00000000-0005-0000-0000-000017000000}"/>
    <cellStyle name="Normal 44 2" xfId="24" xr:uid="{00000000-0005-0000-0000-000018000000}"/>
    <cellStyle name="Normal 48" xfId="9" xr:uid="{00000000-0005-0000-0000-000019000000}"/>
    <cellStyle name="Normal 5" xfId="1" xr:uid="{00000000-0005-0000-0000-00001A000000}"/>
    <cellStyle name="Normal 5 2" xfId="19" xr:uid="{00000000-0005-0000-0000-00001B000000}"/>
    <cellStyle name="Normal_fig7" xfId="12" xr:uid="{00000000-0005-0000-0000-00001E000000}"/>
    <cellStyle name="Normal_Stat Year Book 2007 tables" xfId="11" xr:uid="{00000000-0005-0000-0000-000024000000}"/>
  </cellStyles>
  <dxfs count="0"/>
  <tableStyles count="0" defaultTableStyle="TableStyleMedium2" defaultPivotStyle="PivotStyleLight16"/>
  <colors>
    <mruColors>
      <color rgb="FFCC0066"/>
      <color rgb="FFFF8181"/>
      <color rgb="FFFFF7F7"/>
      <color rgb="FFFFDDDD"/>
      <color rgb="FFFFAFAF"/>
      <color rgb="FFFF5050"/>
      <color rgb="FFFF9900"/>
      <color rgb="FF196563"/>
      <color rgb="FF249390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0"/>
    <c:plotArea>
      <c:layout>
        <c:manualLayout>
          <c:layoutTarget val="inner"/>
          <c:xMode val="edge"/>
          <c:yMode val="edge"/>
          <c:x val="4.7945117971364692E-2"/>
          <c:y val="0.14806549537179739"/>
          <c:w val="0.93207094822359482"/>
          <c:h val="0.7286190115915225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'3.9'!$AI$21</c:f>
              <c:strCache>
                <c:ptCount val="1"/>
                <c:pt idx="0">
                  <c:v>Male'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'3.9'!$AQ$20:$BA$20</c:f>
              <c:numCache>
                <c:formatCode>General</c:formatCode>
                <c:ptCount val="11"/>
                <c:pt idx="0" formatCode="General_)">
                  <c:v>2011</c:v>
                </c:pt>
                <c:pt idx="1">
                  <c:v>2012</c:v>
                </c:pt>
                <c:pt idx="2" formatCode="General_)">
                  <c:v>2013</c:v>
                </c:pt>
                <c:pt idx="3" formatCode="General_)">
                  <c:v>2014</c:v>
                </c:pt>
                <c:pt idx="4">
                  <c:v>2015</c:v>
                </c:pt>
                <c:pt idx="5" formatCode="General_)">
                  <c:v>2016</c:v>
                </c:pt>
                <c:pt idx="6" formatCode="General_)">
                  <c:v>2017</c:v>
                </c:pt>
                <c:pt idx="7" formatCode="General_)">
                  <c:v>2018</c:v>
                </c:pt>
                <c:pt idx="8" formatCode="General_)">
                  <c:v>2019</c:v>
                </c:pt>
                <c:pt idx="9" formatCode="General_)">
                  <c:v>2020</c:v>
                </c:pt>
                <c:pt idx="10" formatCode="General_)">
                  <c:v>2021</c:v>
                </c:pt>
              </c:numCache>
            </c:numRef>
          </c:cat>
          <c:val>
            <c:numRef>
              <c:f>'3.9'!$AQ$21:$BA$21</c:f>
              <c:numCache>
                <c:formatCode>0</c:formatCode>
                <c:ptCount val="11"/>
                <c:pt idx="0">
                  <c:v>10</c:v>
                </c:pt>
                <c:pt idx="1">
                  <c:v>10</c:v>
                </c:pt>
                <c:pt idx="2">
                  <c:v>0</c:v>
                </c:pt>
                <c:pt idx="3">
                  <c:v>8.4388185654008439</c:v>
                </c:pt>
                <c:pt idx="4">
                  <c:v>9.7949886104783594</c:v>
                </c:pt>
                <c:pt idx="5">
                  <c:v>8.2063305978898011</c:v>
                </c:pt>
                <c:pt idx="6">
                  <c:v>10.526315789473683</c:v>
                </c:pt>
                <c:pt idx="7">
                  <c:v>7.5029308323563892</c:v>
                </c:pt>
                <c:pt idx="8">
                  <c:v>5.6417489421720735</c:v>
                </c:pt>
                <c:pt idx="9">
                  <c:v>11.424944462075532</c:v>
                </c:pt>
                <c:pt idx="10">
                  <c:v>14.102162331557505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22-430D-A178-ABC8C9D55230}"/>
            </c:ext>
          </c:extLst>
        </c:ser>
        <c:ser>
          <c:idx val="1"/>
          <c:order val="1"/>
          <c:tx>
            <c:strRef>
              <c:f>'3.9'!$AI$22</c:f>
              <c:strCache>
                <c:ptCount val="1"/>
                <c:pt idx="0">
                  <c:v>Atolls</c:v>
                </c:pt>
              </c:strCache>
            </c:strRef>
          </c:tx>
          <c:spPr>
            <a:solidFill>
              <a:srgbClr val="2F5597"/>
            </a:solidFill>
          </c:spPr>
          <c:invertIfNegative val="1"/>
          <c:cat>
            <c:numRef>
              <c:f>'3.9'!$AQ$20:$BA$20</c:f>
              <c:numCache>
                <c:formatCode>General</c:formatCode>
                <c:ptCount val="11"/>
                <c:pt idx="0" formatCode="General_)">
                  <c:v>2011</c:v>
                </c:pt>
                <c:pt idx="1">
                  <c:v>2012</c:v>
                </c:pt>
                <c:pt idx="2" formatCode="General_)">
                  <c:v>2013</c:v>
                </c:pt>
                <c:pt idx="3" formatCode="General_)">
                  <c:v>2014</c:v>
                </c:pt>
                <c:pt idx="4">
                  <c:v>2015</c:v>
                </c:pt>
                <c:pt idx="5" formatCode="General_)">
                  <c:v>2016</c:v>
                </c:pt>
                <c:pt idx="6" formatCode="General_)">
                  <c:v>2017</c:v>
                </c:pt>
                <c:pt idx="7" formatCode="General_)">
                  <c:v>2018</c:v>
                </c:pt>
                <c:pt idx="8" formatCode="General_)">
                  <c:v>2019</c:v>
                </c:pt>
                <c:pt idx="9" formatCode="General_)">
                  <c:v>2020</c:v>
                </c:pt>
                <c:pt idx="10" formatCode="General_)">
                  <c:v>2021</c:v>
                </c:pt>
              </c:numCache>
            </c:numRef>
          </c:cat>
          <c:val>
            <c:numRef>
              <c:f>'3.9'!$AQ$22:$BA$22</c:f>
              <c:numCache>
                <c:formatCode>0</c:formatCode>
                <c:ptCount val="11"/>
                <c:pt idx="0">
                  <c:v>6</c:v>
                </c:pt>
                <c:pt idx="1">
                  <c:v>7</c:v>
                </c:pt>
                <c:pt idx="2">
                  <c:v>0</c:v>
                </c:pt>
                <c:pt idx="3">
                  <c:v>4.6296296296296298</c:v>
                </c:pt>
                <c:pt idx="4">
                  <c:v>5.84795321637427</c:v>
                </c:pt>
                <c:pt idx="5">
                  <c:v>6.5207265952491849</c:v>
                </c:pt>
                <c:pt idx="6">
                  <c:v>6.381039197812215</c:v>
                </c:pt>
                <c:pt idx="7">
                  <c:v>5.8852378616969103</c:v>
                </c:pt>
                <c:pt idx="8">
                  <c:v>4.3431053203040175</c:v>
                </c:pt>
                <c:pt idx="9">
                  <c:v>2.2816166883963493</c:v>
                </c:pt>
                <c:pt idx="10">
                  <c:v>4.7741461623209691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1-0022-430D-A178-ABC8C9D55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"/>
        <c:axId val="496720832"/>
        <c:axId val="497990808"/>
      </c:barChart>
      <c:catAx>
        <c:axId val="496720832"/>
        <c:scaling>
          <c:orientation val="minMax"/>
        </c:scaling>
        <c:delete val="0"/>
        <c:axPos val="b"/>
        <c:numFmt formatCode="General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799080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97990808"/>
        <c:scaling>
          <c:orientation val="minMax"/>
        </c:scaling>
        <c:delete val="0"/>
        <c:axPos val="l"/>
        <c:majorGridlines>
          <c:spPr>
            <a:ln>
              <a:solidFill>
                <a:schemeClr val="accent5">
                  <a:lumMod val="40000"/>
                  <a:lumOff val="60000"/>
                </a:schemeClr>
              </a:solidFill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05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050"/>
                  <a:t>Per '000 Live Births</a:t>
                </a:r>
              </a:p>
            </c:rich>
          </c:tx>
          <c:layout>
            <c:manualLayout>
              <c:xMode val="edge"/>
              <c:yMode val="edge"/>
              <c:x val="5.5661626367500524E-3"/>
              <c:y val="5.9941528661230509E-2"/>
            </c:manualLayout>
          </c:layout>
          <c:overlay val="0"/>
        </c:title>
        <c:numFmt formatCode="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6720832"/>
        <c:crosses val="autoZero"/>
        <c:crossBetween val="between"/>
        <c:majorUnit val="4"/>
      </c:valAx>
      <c:spPr>
        <a:ln>
          <a:solidFill>
            <a:sysClr val="window" lastClr="FFFFFF">
              <a:lumMod val="65000"/>
            </a:sysClr>
          </a:solidFill>
        </a:ln>
      </c:spPr>
    </c:plotArea>
    <c:legend>
      <c:legendPos val="r"/>
      <c:legendEntry>
        <c:idx val="0"/>
        <c:txPr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9177135091981345"/>
          <c:y val="0.19964512386542005"/>
          <c:w val="0.15962417343074728"/>
          <c:h val="8.6840499273348623E-2"/>
        </c:manualLayout>
      </c:layout>
      <c:overlay val="0"/>
      <c:txPr>
        <a:bodyPr/>
        <a:lstStyle/>
        <a:p>
          <a:pPr>
            <a:defRPr sz="14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19</xdr:row>
      <xdr:rowOff>123824</xdr:rowOff>
    </xdr:from>
    <xdr:to>
      <xdr:col>19</xdr:col>
      <xdr:colOff>773905</xdr:colOff>
      <xdr:row>35</xdr:row>
      <xdr:rowOff>138907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0.17836</cdr:x>
      <cdr:y>0.04248</cdr:y>
    </cdr:from>
    <cdr:to>
      <cdr:x>0.85952</cdr:x>
      <cdr:y>0.12963</cdr:y>
    </cdr:to>
    <cdr:sp macro="" textlink="">
      <cdr:nvSpPr>
        <cdr:cNvPr id="37890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04183" y="133820"/>
          <a:ext cx="6508323" cy="2745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Consolas" pitchFamily="49" charset="0"/>
              <a:cs typeface="Consolas" pitchFamily="49" charset="0"/>
            </a:rPr>
            <a:t>Figure 3.12: Infant mortality rate, 2011 - 2021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_backs\userbackups\maha\Yearbook%202001\Graphs2001\pyramid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%20-%20DJ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1">
          <cell r="B61" t="str">
            <v>Male</v>
          </cell>
          <cell r="C61" t="str">
            <v>Female</v>
          </cell>
        </row>
        <row r="62">
          <cell r="A62" t="str">
            <v xml:space="preserve">   0-4</v>
          </cell>
          <cell r="B62">
            <v>19113</v>
          </cell>
          <cell r="C62">
            <v>-17859</v>
          </cell>
        </row>
        <row r="63">
          <cell r="A63" t="str">
            <v xml:space="preserve">   5-9</v>
          </cell>
          <cell r="B63">
            <v>20840</v>
          </cell>
          <cell r="C63">
            <v>-19919</v>
          </cell>
        </row>
        <row r="64">
          <cell r="A64" t="str">
            <v xml:space="preserve"> 10-14</v>
          </cell>
          <cell r="B64">
            <v>18286</v>
          </cell>
          <cell r="C64">
            <v>-17584</v>
          </cell>
        </row>
        <row r="65">
          <cell r="A65" t="str">
            <v xml:space="preserve"> 15-19</v>
          </cell>
          <cell r="B65">
            <v>12343</v>
          </cell>
          <cell r="C65">
            <v>-12562</v>
          </cell>
        </row>
        <row r="66">
          <cell r="A66" t="str">
            <v xml:space="preserve"> 20-24</v>
          </cell>
          <cell r="B66">
            <v>9944</v>
          </cell>
          <cell r="C66">
            <v>-11077</v>
          </cell>
        </row>
        <row r="67">
          <cell r="A67" t="str">
            <v xml:space="preserve"> 25-29</v>
          </cell>
          <cell r="B67">
            <v>8802</v>
          </cell>
          <cell r="C67">
            <v>-9389</v>
          </cell>
        </row>
        <row r="68">
          <cell r="A68" t="str">
            <v xml:space="preserve"> 30-34</v>
          </cell>
          <cell r="B68">
            <v>7579</v>
          </cell>
          <cell r="C68">
            <v>-7785</v>
          </cell>
        </row>
        <row r="69">
          <cell r="A69" t="str">
            <v xml:space="preserve"> 35-39</v>
          </cell>
          <cell r="B69">
            <v>6315</v>
          </cell>
          <cell r="C69">
            <v>-6317</v>
          </cell>
        </row>
        <row r="70">
          <cell r="A70" t="str">
            <v xml:space="preserve"> 40-44</v>
          </cell>
          <cell r="B70">
            <v>3625</v>
          </cell>
          <cell r="C70">
            <v>-3297</v>
          </cell>
        </row>
        <row r="71">
          <cell r="A71" t="str">
            <v xml:space="preserve"> 45-49</v>
          </cell>
          <cell r="B71">
            <v>3369</v>
          </cell>
          <cell r="C71">
            <v>-3215</v>
          </cell>
        </row>
        <row r="72">
          <cell r="A72" t="str">
            <v xml:space="preserve"> 50-54</v>
          </cell>
          <cell r="B72">
            <v>3205</v>
          </cell>
          <cell r="C72">
            <v>-3042</v>
          </cell>
        </row>
        <row r="73">
          <cell r="A73" t="str">
            <v xml:space="preserve"> 55-59</v>
          </cell>
          <cell r="B73">
            <v>3240</v>
          </cell>
          <cell r="C73">
            <v>-2722</v>
          </cell>
        </row>
        <row r="74">
          <cell r="A74" t="str">
            <v xml:space="preserve"> 60-64</v>
          </cell>
          <cell r="B74">
            <v>3010</v>
          </cell>
          <cell r="C74">
            <v>-2284</v>
          </cell>
        </row>
        <row r="75">
          <cell r="A75" t="str">
            <v xml:space="preserve"> 65-69</v>
          </cell>
          <cell r="B75">
            <v>1897</v>
          </cell>
          <cell r="C75">
            <v>-1304</v>
          </cell>
        </row>
        <row r="76">
          <cell r="A76" t="str">
            <v xml:space="preserve"> 70-74</v>
          </cell>
          <cell r="B76">
            <v>1279</v>
          </cell>
          <cell r="C76">
            <v>-822</v>
          </cell>
        </row>
        <row r="77">
          <cell r="A77" t="str">
            <v xml:space="preserve">   75+</v>
          </cell>
          <cell r="B77">
            <v>1384</v>
          </cell>
          <cell r="C77">
            <v>-862</v>
          </cell>
        </row>
        <row r="87">
          <cell r="B87" t="str">
            <v>Male</v>
          </cell>
          <cell r="C87" t="str">
            <v>Female</v>
          </cell>
        </row>
        <row r="88">
          <cell r="A88" t="str">
            <v xml:space="preserve">   0-4</v>
          </cell>
          <cell r="B88">
            <v>-15699</v>
          </cell>
          <cell r="C88">
            <v>15213</v>
          </cell>
        </row>
        <row r="89">
          <cell r="A89" t="str">
            <v xml:space="preserve">   5-9</v>
          </cell>
          <cell r="B89">
            <v>-19336</v>
          </cell>
          <cell r="C89">
            <v>18591</v>
          </cell>
        </row>
        <row r="90">
          <cell r="A90" t="str">
            <v xml:space="preserve"> 10-14</v>
          </cell>
          <cell r="B90">
            <v>-20897</v>
          </cell>
          <cell r="C90">
            <v>20192</v>
          </cell>
        </row>
        <row r="91">
          <cell r="A91" t="str">
            <v xml:space="preserve"> 15-19</v>
          </cell>
          <cell r="B91">
            <v>-16590</v>
          </cell>
          <cell r="C91">
            <v>16676</v>
          </cell>
        </row>
        <row r="92">
          <cell r="A92" t="str">
            <v xml:space="preserve"> 20-24</v>
          </cell>
          <cell r="B92">
            <v>-11620</v>
          </cell>
          <cell r="C92">
            <v>11894</v>
          </cell>
        </row>
        <row r="93">
          <cell r="A93" t="str">
            <v xml:space="preserve"> 25-29</v>
          </cell>
          <cell r="B93">
            <v>-9805</v>
          </cell>
          <cell r="C93">
            <v>10285</v>
          </cell>
        </row>
        <row r="94">
          <cell r="A94" t="str">
            <v xml:space="preserve"> 30-34</v>
          </cell>
          <cell r="B94">
            <v>-8890</v>
          </cell>
          <cell r="C94">
            <v>9271</v>
          </cell>
        </row>
        <row r="95">
          <cell r="A95" t="str">
            <v xml:space="preserve"> 35-39</v>
          </cell>
          <cell r="B95">
            <v>-7828</v>
          </cell>
          <cell r="C95">
            <v>7871</v>
          </cell>
        </row>
        <row r="96">
          <cell r="A96" t="str">
            <v xml:space="preserve"> 40-44</v>
          </cell>
          <cell r="B96">
            <v>-6272</v>
          </cell>
          <cell r="C96">
            <v>6130</v>
          </cell>
        </row>
        <row r="97">
          <cell r="A97" t="str">
            <v xml:space="preserve"> 45-49</v>
          </cell>
          <cell r="B97">
            <v>-3977</v>
          </cell>
          <cell r="C97">
            <v>3484</v>
          </cell>
        </row>
        <row r="98">
          <cell r="A98" t="str">
            <v xml:space="preserve"> 50-54</v>
          </cell>
          <cell r="B98">
            <v>-3051</v>
          </cell>
          <cell r="C98">
            <v>2916</v>
          </cell>
        </row>
        <row r="99">
          <cell r="A99" t="str">
            <v xml:space="preserve"> 55-59</v>
          </cell>
          <cell r="B99">
            <v>-3131</v>
          </cell>
          <cell r="C99">
            <v>2865</v>
          </cell>
        </row>
        <row r="100">
          <cell r="A100" t="str">
            <v xml:space="preserve"> 60-64</v>
          </cell>
          <cell r="B100">
            <v>-3370</v>
          </cell>
          <cell r="C100">
            <v>2942</v>
          </cell>
        </row>
        <row r="101">
          <cell r="A101" t="str">
            <v xml:space="preserve"> 65-69</v>
          </cell>
          <cell r="B101">
            <v>-2650</v>
          </cell>
          <cell r="C101">
            <v>1961</v>
          </cell>
        </row>
        <row r="102">
          <cell r="A102" t="str">
            <v xml:space="preserve"> 70-74</v>
          </cell>
          <cell r="B102">
            <v>-1737</v>
          </cell>
          <cell r="C102">
            <v>1136</v>
          </cell>
        </row>
        <row r="103">
          <cell r="A103" t="str">
            <v xml:space="preserve">   75+</v>
          </cell>
          <cell r="B103">
            <v>-1532</v>
          </cell>
          <cell r="C103">
            <v>1013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</sheetNames>
    <sheetDataSet>
      <sheetData sheetId="0">
        <row r="8">
          <cell r="B8" t="str">
            <v>1911</v>
          </cell>
        </row>
      </sheetData>
      <sheetData sheetId="1">
        <row r="7">
          <cell r="AG7" t="str">
            <v>Male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4">
          <cell r="AD4" t="str">
            <v>Residential Maldivian 2019</v>
          </cell>
        </row>
      </sheetData>
      <sheetData sheetId="13">
        <row r="4">
          <cell r="BB4" t="str">
            <v>Residential Maldivian 2018</v>
          </cell>
        </row>
      </sheetData>
      <sheetData sheetId="14">
        <row r="4">
          <cell r="BB4" t="str">
            <v>Residential Maldivian 2018</v>
          </cell>
        </row>
      </sheetData>
      <sheetData sheetId="15">
        <row r="4">
          <cell r="BB4" t="str">
            <v>Residential Maldivian 2018</v>
          </cell>
        </row>
      </sheetData>
      <sheetData sheetId="16">
        <row r="7">
          <cell r="AA7" t="str">
            <v>Marriages</v>
          </cell>
        </row>
        <row r="40">
          <cell r="AV40">
            <v>2011</v>
          </cell>
          <cell r="AX40">
            <v>2012</v>
          </cell>
          <cell r="AZ40">
            <v>2013</v>
          </cell>
        </row>
        <row r="41">
          <cell r="AU41" t="str">
            <v xml:space="preserve">Divorces </v>
          </cell>
          <cell r="AV41" t="str">
            <v xml:space="preserve">Marriages </v>
          </cell>
          <cell r="AW41" t="str">
            <v xml:space="preserve">Divorces </v>
          </cell>
          <cell r="AX41" t="str">
            <v xml:space="preserve">Marriages </v>
          </cell>
          <cell r="AY41" t="str">
            <v xml:space="preserve">Divorces </v>
          </cell>
          <cell r="AZ41" t="str">
            <v xml:space="preserve">Marriages </v>
          </cell>
        </row>
        <row r="42">
          <cell r="AU42">
            <v>1248</v>
          </cell>
          <cell r="AV42">
            <v>2366</v>
          </cell>
          <cell r="AW42">
            <v>1209</v>
          </cell>
          <cell r="AX42">
            <v>2404</v>
          </cell>
          <cell r="AY42">
            <v>1320</v>
          </cell>
          <cell r="AZ42">
            <v>2463</v>
          </cell>
        </row>
        <row r="44">
          <cell r="AU44">
            <v>1547</v>
          </cell>
          <cell r="AV44">
            <v>3649</v>
          </cell>
          <cell r="AW44">
            <v>1807</v>
          </cell>
          <cell r="AX44">
            <v>3295</v>
          </cell>
          <cell r="AY44">
            <v>1691</v>
          </cell>
          <cell r="AZ44">
            <v>3157</v>
          </cell>
        </row>
      </sheetData>
      <sheetData sheetId="17">
        <row r="97">
          <cell r="S97" t="str">
            <v>15 - 19</v>
          </cell>
        </row>
      </sheetData>
      <sheetData sheetId="18">
        <row r="4">
          <cell r="M4" t="str">
            <v xml:space="preserve">    Foreign Males</v>
          </cell>
        </row>
      </sheetData>
      <sheetData sheetId="19" refreshError="1"/>
      <sheetData sheetId="20">
        <row r="4">
          <cell r="F4">
            <v>2014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4"/>
      <sheetName val="319"/>
      <sheetName val="3.20"/>
      <sheetName val="3.21"/>
      <sheetName val="3.22"/>
      <sheetName val="3.23"/>
      <sheetName val="3.24"/>
    </sheetNames>
    <sheetDataSet>
      <sheetData sheetId="0">
        <row r="40">
          <cell r="AK40">
            <v>2010</v>
          </cell>
          <cell r="AM40">
            <v>2011</v>
          </cell>
        </row>
        <row r="41">
          <cell r="AK41" t="str">
            <v xml:space="preserve">Marriages </v>
          </cell>
          <cell r="AL41" t="str">
            <v xml:space="preserve">Divorces </v>
          </cell>
          <cell r="AM41" t="str">
            <v xml:space="preserve">Marriages </v>
          </cell>
          <cell r="AN41" t="str">
            <v xml:space="preserve">Divorces </v>
          </cell>
        </row>
        <row r="42">
          <cell r="AJ42" t="str">
            <v>Male'</v>
          </cell>
          <cell r="AK42">
            <v>2491</v>
          </cell>
          <cell r="AL42">
            <v>1248</v>
          </cell>
          <cell r="AM42">
            <v>2366</v>
          </cell>
          <cell r="AN42">
            <v>1209</v>
          </cell>
        </row>
        <row r="43">
          <cell r="AJ43" t="str">
            <v>Atolls</v>
          </cell>
          <cell r="AK43">
            <v>3645</v>
          </cell>
          <cell r="AL43">
            <v>1547</v>
          </cell>
          <cell r="AM43">
            <v>3649</v>
          </cell>
          <cell r="AN43">
            <v>1807</v>
          </cell>
        </row>
      </sheetData>
      <sheetData sheetId="1">
        <row r="27">
          <cell r="O27" t="str">
            <v xml:space="preserve">Marriages overseas         </v>
          </cell>
        </row>
      </sheetData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BA31"/>
  <sheetViews>
    <sheetView tabSelected="1" zoomScale="86" zoomScaleNormal="86" zoomScaleSheetLayoutView="96" workbookViewId="0">
      <selection activeCell="J9" sqref="J9"/>
    </sheetView>
  </sheetViews>
  <sheetFormatPr defaultColWidth="17.85546875" defaultRowHeight="16.5" customHeight="1" x14ac:dyDescent="0.2"/>
  <cols>
    <col min="1" max="1" width="21.7109375" style="9" customWidth="1"/>
    <col min="2" max="2" width="1.7109375" style="9" customWidth="1"/>
    <col min="3" max="3" width="0.85546875" style="9" customWidth="1"/>
    <col min="4" max="18" width="8.7109375" style="9" customWidth="1"/>
    <col min="19" max="19" width="8.7109375" style="9" hidden="1" customWidth="1"/>
    <col min="20" max="20" width="45.140625" style="9" customWidth="1"/>
    <col min="21" max="34" width="17.85546875" style="9"/>
    <col min="35" max="43" width="5.42578125" style="9" customWidth="1"/>
    <col min="44" max="48" width="6" style="9" customWidth="1"/>
    <col min="49" max="49" width="6.85546875" style="9" customWidth="1"/>
    <col min="50" max="50" width="5.42578125" style="9" customWidth="1"/>
    <col min="51" max="51" width="6.5703125" style="9" customWidth="1"/>
    <col min="52" max="53" width="7.140625" style="9" customWidth="1"/>
    <col min="54" max="245" width="17.85546875" style="9"/>
    <col min="246" max="246" width="18.7109375" style="9" customWidth="1"/>
    <col min="247" max="247" width="1.7109375" style="9" customWidth="1"/>
    <col min="248" max="248" width="0.85546875" style="9" customWidth="1"/>
    <col min="249" max="269" width="0" style="9" hidden="1" customWidth="1"/>
    <col min="270" max="281" width="8.7109375" style="9" customWidth="1"/>
    <col min="282" max="285" width="0" style="9" hidden="1" customWidth="1"/>
    <col min="286" max="286" width="45.140625" style="9" customWidth="1"/>
    <col min="287" max="290" width="17.85546875" style="9"/>
    <col min="291" max="299" width="5.42578125" style="9" customWidth="1"/>
    <col min="300" max="304" width="6" style="9" customWidth="1"/>
    <col min="305" max="305" width="6.85546875" style="9" customWidth="1"/>
    <col min="306" max="306" width="5.42578125" style="9" customWidth="1"/>
    <col min="307" max="501" width="17.85546875" style="9"/>
    <col min="502" max="502" width="18.7109375" style="9" customWidth="1"/>
    <col min="503" max="503" width="1.7109375" style="9" customWidth="1"/>
    <col min="504" max="504" width="0.85546875" style="9" customWidth="1"/>
    <col min="505" max="525" width="0" style="9" hidden="1" customWidth="1"/>
    <col min="526" max="537" width="8.7109375" style="9" customWidth="1"/>
    <col min="538" max="541" width="0" style="9" hidden="1" customWidth="1"/>
    <col min="542" max="542" width="45.140625" style="9" customWidth="1"/>
    <col min="543" max="546" width="17.85546875" style="9"/>
    <col min="547" max="555" width="5.42578125" style="9" customWidth="1"/>
    <col min="556" max="560" width="6" style="9" customWidth="1"/>
    <col min="561" max="561" width="6.85546875" style="9" customWidth="1"/>
    <col min="562" max="562" width="5.42578125" style="9" customWidth="1"/>
    <col min="563" max="757" width="17.85546875" style="9"/>
    <col min="758" max="758" width="18.7109375" style="9" customWidth="1"/>
    <col min="759" max="759" width="1.7109375" style="9" customWidth="1"/>
    <col min="760" max="760" width="0.85546875" style="9" customWidth="1"/>
    <col min="761" max="781" width="0" style="9" hidden="1" customWidth="1"/>
    <col min="782" max="793" width="8.7109375" style="9" customWidth="1"/>
    <col min="794" max="797" width="0" style="9" hidden="1" customWidth="1"/>
    <col min="798" max="798" width="45.140625" style="9" customWidth="1"/>
    <col min="799" max="802" width="17.85546875" style="9"/>
    <col min="803" max="811" width="5.42578125" style="9" customWidth="1"/>
    <col min="812" max="816" width="6" style="9" customWidth="1"/>
    <col min="817" max="817" width="6.85546875" style="9" customWidth="1"/>
    <col min="818" max="818" width="5.42578125" style="9" customWidth="1"/>
    <col min="819" max="1013" width="17.85546875" style="9"/>
    <col min="1014" max="1014" width="18.7109375" style="9" customWidth="1"/>
    <col min="1015" max="1015" width="1.7109375" style="9" customWidth="1"/>
    <col min="1016" max="1016" width="0.85546875" style="9" customWidth="1"/>
    <col min="1017" max="1037" width="0" style="9" hidden="1" customWidth="1"/>
    <col min="1038" max="1049" width="8.7109375" style="9" customWidth="1"/>
    <col min="1050" max="1053" width="0" style="9" hidden="1" customWidth="1"/>
    <col min="1054" max="1054" width="45.140625" style="9" customWidth="1"/>
    <col min="1055" max="1058" width="17.85546875" style="9"/>
    <col min="1059" max="1067" width="5.42578125" style="9" customWidth="1"/>
    <col min="1068" max="1072" width="6" style="9" customWidth="1"/>
    <col min="1073" max="1073" width="6.85546875" style="9" customWidth="1"/>
    <col min="1074" max="1074" width="5.42578125" style="9" customWidth="1"/>
    <col min="1075" max="1269" width="17.85546875" style="9"/>
    <col min="1270" max="1270" width="18.7109375" style="9" customWidth="1"/>
    <col min="1271" max="1271" width="1.7109375" style="9" customWidth="1"/>
    <col min="1272" max="1272" width="0.85546875" style="9" customWidth="1"/>
    <col min="1273" max="1293" width="0" style="9" hidden="1" customWidth="1"/>
    <col min="1294" max="1305" width="8.7109375" style="9" customWidth="1"/>
    <col min="1306" max="1309" width="0" style="9" hidden="1" customWidth="1"/>
    <col min="1310" max="1310" width="45.140625" style="9" customWidth="1"/>
    <col min="1311" max="1314" width="17.85546875" style="9"/>
    <col min="1315" max="1323" width="5.42578125" style="9" customWidth="1"/>
    <col min="1324" max="1328" width="6" style="9" customWidth="1"/>
    <col min="1329" max="1329" width="6.85546875" style="9" customWidth="1"/>
    <col min="1330" max="1330" width="5.42578125" style="9" customWidth="1"/>
    <col min="1331" max="1525" width="17.85546875" style="9"/>
    <col min="1526" max="1526" width="18.7109375" style="9" customWidth="1"/>
    <col min="1527" max="1527" width="1.7109375" style="9" customWidth="1"/>
    <col min="1528" max="1528" width="0.85546875" style="9" customWidth="1"/>
    <col min="1529" max="1549" width="0" style="9" hidden="1" customWidth="1"/>
    <col min="1550" max="1561" width="8.7109375" style="9" customWidth="1"/>
    <col min="1562" max="1565" width="0" style="9" hidden="1" customWidth="1"/>
    <col min="1566" max="1566" width="45.140625" style="9" customWidth="1"/>
    <col min="1567" max="1570" width="17.85546875" style="9"/>
    <col min="1571" max="1579" width="5.42578125" style="9" customWidth="1"/>
    <col min="1580" max="1584" width="6" style="9" customWidth="1"/>
    <col min="1585" max="1585" width="6.85546875" style="9" customWidth="1"/>
    <col min="1586" max="1586" width="5.42578125" style="9" customWidth="1"/>
    <col min="1587" max="1781" width="17.85546875" style="9"/>
    <col min="1782" max="1782" width="18.7109375" style="9" customWidth="1"/>
    <col min="1783" max="1783" width="1.7109375" style="9" customWidth="1"/>
    <col min="1784" max="1784" width="0.85546875" style="9" customWidth="1"/>
    <col min="1785" max="1805" width="0" style="9" hidden="1" customWidth="1"/>
    <col min="1806" max="1817" width="8.7109375" style="9" customWidth="1"/>
    <col min="1818" max="1821" width="0" style="9" hidden="1" customWidth="1"/>
    <col min="1822" max="1822" width="45.140625" style="9" customWidth="1"/>
    <col min="1823" max="1826" width="17.85546875" style="9"/>
    <col min="1827" max="1835" width="5.42578125" style="9" customWidth="1"/>
    <col min="1836" max="1840" width="6" style="9" customWidth="1"/>
    <col min="1841" max="1841" width="6.85546875" style="9" customWidth="1"/>
    <col min="1842" max="1842" width="5.42578125" style="9" customWidth="1"/>
    <col min="1843" max="2037" width="17.85546875" style="9"/>
    <col min="2038" max="2038" width="18.7109375" style="9" customWidth="1"/>
    <col min="2039" max="2039" width="1.7109375" style="9" customWidth="1"/>
    <col min="2040" max="2040" width="0.85546875" style="9" customWidth="1"/>
    <col min="2041" max="2061" width="0" style="9" hidden="1" customWidth="1"/>
    <col min="2062" max="2073" width="8.7109375" style="9" customWidth="1"/>
    <col min="2074" max="2077" width="0" style="9" hidden="1" customWidth="1"/>
    <col min="2078" max="2078" width="45.140625" style="9" customWidth="1"/>
    <col min="2079" max="2082" width="17.85546875" style="9"/>
    <col min="2083" max="2091" width="5.42578125" style="9" customWidth="1"/>
    <col min="2092" max="2096" width="6" style="9" customWidth="1"/>
    <col min="2097" max="2097" width="6.85546875" style="9" customWidth="1"/>
    <col min="2098" max="2098" width="5.42578125" style="9" customWidth="1"/>
    <col min="2099" max="2293" width="17.85546875" style="9"/>
    <col min="2294" max="2294" width="18.7109375" style="9" customWidth="1"/>
    <col min="2295" max="2295" width="1.7109375" style="9" customWidth="1"/>
    <col min="2296" max="2296" width="0.85546875" style="9" customWidth="1"/>
    <col min="2297" max="2317" width="0" style="9" hidden="1" customWidth="1"/>
    <col min="2318" max="2329" width="8.7109375" style="9" customWidth="1"/>
    <col min="2330" max="2333" width="0" style="9" hidden="1" customWidth="1"/>
    <col min="2334" max="2334" width="45.140625" style="9" customWidth="1"/>
    <col min="2335" max="2338" width="17.85546875" style="9"/>
    <col min="2339" max="2347" width="5.42578125" style="9" customWidth="1"/>
    <col min="2348" max="2352" width="6" style="9" customWidth="1"/>
    <col min="2353" max="2353" width="6.85546875" style="9" customWidth="1"/>
    <col min="2354" max="2354" width="5.42578125" style="9" customWidth="1"/>
    <col min="2355" max="2549" width="17.85546875" style="9"/>
    <col min="2550" max="2550" width="18.7109375" style="9" customWidth="1"/>
    <col min="2551" max="2551" width="1.7109375" style="9" customWidth="1"/>
    <col min="2552" max="2552" width="0.85546875" style="9" customWidth="1"/>
    <col min="2553" max="2573" width="0" style="9" hidden="1" customWidth="1"/>
    <col min="2574" max="2585" width="8.7109375" style="9" customWidth="1"/>
    <col min="2586" max="2589" width="0" style="9" hidden="1" customWidth="1"/>
    <col min="2590" max="2590" width="45.140625" style="9" customWidth="1"/>
    <col min="2591" max="2594" width="17.85546875" style="9"/>
    <col min="2595" max="2603" width="5.42578125" style="9" customWidth="1"/>
    <col min="2604" max="2608" width="6" style="9" customWidth="1"/>
    <col min="2609" max="2609" width="6.85546875" style="9" customWidth="1"/>
    <col min="2610" max="2610" width="5.42578125" style="9" customWidth="1"/>
    <col min="2611" max="2805" width="17.85546875" style="9"/>
    <col min="2806" max="2806" width="18.7109375" style="9" customWidth="1"/>
    <col min="2807" max="2807" width="1.7109375" style="9" customWidth="1"/>
    <col min="2808" max="2808" width="0.85546875" style="9" customWidth="1"/>
    <col min="2809" max="2829" width="0" style="9" hidden="1" customWidth="1"/>
    <col min="2830" max="2841" width="8.7109375" style="9" customWidth="1"/>
    <col min="2842" max="2845" width="0" style="9" hidden="1" customWidth="1"/>
    <col min="2846" max="2846" width="45.140625" style="9" customWidth="1"/>
    <col min="2847" max="2850" width="17.85546875" style="9"/>
    <col min="2851" max="2859" width="5.42578125" style="9" customWidth="1"/>
    <col min="2860" max="2864" width="6" style="9" customWidth="1"/>
    <col min="2865" max="2865" width="6.85546875" style="9" customWidth="1"/>
    <col min="2866" max="2866" width="5.42578125" style="9" customWidth="1"/>
    <col min="2867" max="3061" width="17.85546875" style="9"/>
    <col min="3062" max="3062" width="18.7109375" style="9" customWidth="1"/>
    <col min="3063" max="3063" width="1.7109375" style="9" customWidth="1"/>
    <col min="3064" max="3064" width="0.85546875" style="9" customWidth="1"/>
    <col min="3065" max="3085" width="0" style="9" hidden="1" customWidth="1"/>
    <col min="3086" max="3097" width="8.7109375" style="9" customWidth="1"/>
    <col min="3098" max="3101" width="0" style="9" hidden="1" customWidth="1"/>
    <col min="3102" max="3102" width="45.140625" style="9" customWidth="1"/>
    <col min="3103" max="3106" width="17.85546875" style="9"/>
    <col min="3107" max="3115" width="5.42578125" style="9" customWidth="1"/>
    <col min="3116" max="3120" width="6" style="9" customWidth="1"/>
    <col min="3121" max="3121" width="6.85546875" style="9" customWidth="1"/>
    <col min="3122" max="3122" width="5.42578125" style="9" customWidth="1"/>
    <col min="3123" max="3317" width="17.85546875" style="9"/>
    <col min="3318" max="3318" width="18.7109375" style="9" customWidth="1"/>
    <col min="3319" max="3319" width="1.7109375" style="9" customWidth="1"/>
    <col min="3320" max="3320" width="0.85546875" style="9" customWidth="1"/>
    <col min="3321" max="3341" width="0" style="9" hidden="1" customWidth="1"/>
    <col min="3342" max="3353" width="8.7109375" style="9" customWidth="1"/>
    <col min="3354" max="3357" width="0" style="9" hidden="1" customWidth="1"/>
    <col min="3358" max="3358" width="45.140625" style="9" customWidth="1"/>
    <col min="3359" max="3362" width="17.85546875" style="9"/>
    <col min="3363" max="3371" width="5.42578125" style="9" customWidth="1"/>
    <col min="3372" max="3376" width="6" style="9" customWidth="1"/>
    <col min="3377" max="3377" width="6.85546875" style="9" customWidth="1"/>
    <col min="3378" max="3378" width="5.42578125" style="9" customWidth="1"/>
    <col min="3379" max="3573" width="17.85546875" style="9"/>
    <col min="3574" max="3574" width="18.7109375" style="9" customWidth="1"/>
    <col min="3575" max="3575" width="1.7109375" style="9" customWidth="1"/>
    <col min="3576" max="3576" width="0.85546875" style="9" customWidth="1"/>
    <col min="3577" max="3597" width="0" style="9" hidden="1" customWidth="1"/>
    <col min="3598" max="3609" width="8.7109375" style="9" customWidth="1"/>
    <col min="3610" max="3613" width="0" style="9" hidden="1" customWidth="1"/>
    <col min="3614" max="3614" width="45.140625" style="9" customWidth="1"/>
    <col min="3615" max="3618" width="17.85546875" style="9"/>
    <col min="3619" max="3627" width="5.42578125" style="9" customWidth="1"/>
    <col min="3628" max="3632" width="6" style="9" customWidth="1"/>
    <col min="3633" max="3633" width="6.85546875" style="9" customWidth="1"/>
    <col min="3634" max="3634" width="5.42578125" style="9" customWidth="1"/>
    <col min="3635" max="3829" width="17.85546875" style="9"/>
    <col min="3830" max="3830" width="18.7109375" style="9" customWidth="1"/>
    <col min="3831" max="3831" width="1.7109375" style="9" customWidth="1"/>
    <col min="3832" max="3832" width="0.85546875" style="9" customWidth="1"/>
    <col min="3833" max="3853" width="0" style="9" hidden="1" customWidth="1"/>
    <col min="3854" max="3865" width="8.7109375" style="9" customWidth="1"/>
    <col min="3866" max="3869" width="0" style="9" hidden="1" customWidth="1"/>
    <col min="3870" max="3870" width="45.140625" style="9" customWidth="1"/>
    <col min="3871" max="3874" width="17.85546875" style="9"/>
    <col min="3875" max="3883" width="5.42578125" style="9" customWidth="1"/>
    <col min="3884" max="3888" width="6" style="9" customWidth="1"/>
    <col min="3889" max="3889" width="6.85546875" style="9" customWidth="1"/>
    <col min="3890" max="3890" width="5.42578125" style="9" customWidth="1"/>
    <col min="3891" max="4085" width="17.85546875" style="9"/>
    <col min="4086" max="4086" width="18.7109375" style="9" customWidth="1"/>
    <col min="4087" max="4087" width="1.7109375" style="9" customWidth="1"/>
    <col min="4088" max="4088" width="0.85546875" style="9" customWidth="1"/>
    <col min="4089" max="4109" width="0" style="9" hidden="1" customWidth="1"/>
    <col min="4110" max="4121" width="8.7109375" style="9" customWidth="1"/>
    <col min="4122" max="4125" width="0" style="9" hidden="1" customWidth="1"/>
    <col min="4126" max="4126" width="45.140625" style="9" customWidth="1"/>
    <col min="4127" max="4130" width="17.85546875" style="9"/>
    <col min="4131" max="4139" width="5.42578125" style="9" customWidth="1"/>
    <col min="4140" max="4144" width="6" style="9" customWidth="1"/>
    <col min="4145" max="4145" width="6.85546875" style="9" customWidth="1"/>
    <col min="4146" max="4146" width="5.42578125" style="9" customWidth="1"/>
    <col min="4147" max="4341" width="17.85546875" style="9"/>
    <col min="4342" max="4342" width="18.7109375" style="9" customWidth="1"/>
    <col min="4343" max="4343" width="1.7109375" style="9" customWidth="1"/>
    <col min="4344" max="4344" width="0.85546875" style="9" customWidth="1"/>
    <col min="4345" max="4365" width="0" style="9" hidden="1" customWidth="1"/>
    <col min="4366" max="4377" width="8.7109375" style="9" customWidth="1"/>
    <col min="4378" max="4381" width="0" style="9" hidden="1" customWidth="1"/>
    <col min="4382" max="4382" width="45.140625" style="9" customWidth="1"/>
    <col min="4383" max="4386" width="17.85546875" style="9"/>
    <col min="4387" max="4395" width="5.42578125" style="9" customWidth="1"/>
    <col min="4396" max="4400" width="6" style="9" customWidth="1"/>
    <col min="4401" max="4401" width="6.85546875" style="9" customWidth="1"/>
    <col min="4402" max="4402" width="5.42578125" style="9" customWidth="1"/>
    <col min="4403" max="4597" width="17.85546875" style="9"/>
    <col min="4598" max="4598" width="18.7109375" style="9" customWidth="1"/>
    <col min="4599" max="4599" width="1.7109375" style="9" customWidth="1"/>
    <col min="4600" max="4600" width="0.85546875" style="9" customWidth="1"/>
    <col min="4601" max="4621" width="0" style="9" hidden="1" customWidth="1"/>
    <col min="4622" max="4633" width="8.7109375" style="9" customWidth="1"/>
    <col min="4634" max="4637" width="0" style="9" hidden="1" customWidth="1"/>
    <col min="4638" max="4638" width="45.140625" style="9" customWidth="1"/>
    <col min="4639" max="4642" width="17.85546875" style="9"/>
    <col min="4643" max="4651" width="5.42578125" style="9" customWidth="1"/>
    <col min="4652" max="4656" width="6" style="9" customWidth="1"/>
    <col min="4657" max="4657" width="6.85546875" style="9" customWidth="1"/>
    <col min="4658" max="4658" width="5.42578125" style="9" customWidth="1"/>
    <col min="4659" max="4853" width="17.85546875" style="9"/>
    <col min="4854" max="4854" width="18.7109375" style="9" customWidth="1"/>
    <col min="4855" max="4855" width="1.7109375" style="9" customWidth="1"/>
    <col min="4856" max="4856" width="0.85546875" style="9" customWidth="1"/>
    <col min="4857" max="4877" width="0" style="9" hidden="1" customWidth="1"/>
    <col min="4878" max="4889" width="8.7109375" style="9" customWidth="1"/>
    <col min="4890" max="4893" width="0" style="9" hidden="1" customWidth="1"/>
    <col min="4894" max="4894" width="45.140625" style="9" customWidth="1"/>
    <col min="4895" max="4898" width="17.85546875" style="9"/>
    <col min="4899" max="4907" width="5.42578125" style="9" customWidth="1"/>
    <col min="4908" max="4912" width="6" style="9" customWidth="1"/>
    <col min="4913" max="4913" width="6.85546875" style="9" customWidth="1"/>
    <col min="4914" max="4914" width="5.42578125" style="9" customWidth="1"/>
    <col min="4915" max="5109" width="17.85546875" style="9"/>
    <col min="5110" max="5110" width="18.7109375" style="9" customWidth="1"/>
    <col min="5111" max="5111" width="1.7109375" style="9" customWidth="1"/>
    <col min="5112" max="5112" width="0.85546875" style="9" customWidth="1"/>
    <col min="5113" max="5133" width="0" style="9" hidden="1" customWidth="1"/>
    <col min="5134" max="5145" width="8.7109375" style="9" customWidth="1"/>
    <col min="5146" max="5149" width="0" style="9" hidden="1" customWidth="1"/>
    <col min="5150" max="5150" width="45.140625" style="9" customWidth="1"/>
    <col min="5151" max="5154" width="17.85546875" style="9"/>
    <col min="5155" max="5163" width="5.42578125" style="9" customWidth="1"/>
    <col min="5164" max="5168" width="6" style="9" customWidth="1"/>
    <col min="5169" max="5169" width="6.85546875" style="9" customWidth="1"/>
    <col min="5170" max="5170" width="5.42578125" style="9" customWidth="1"/>
    <col min="5171" max="5365" width="17.85546875" style="9"/>
    <col min="5366" max="5366" width="18.7109375" style="9" customWidth="1"/>
    <col min="5367" max="5367" width="1.7109375" style="9" customWidth="1"/>
    <col min="5368" max="5368" width="0.85546875" style="9" customWidth="1"/>
    <col min="5369" max="5389" width="0" style="9" hidden="1" customWidth="1"/>
    <col min="5390" max="5401" width="8.7109375" style="9" customWidth="1"/>
    <col min="5402" max="5405" width="0" style="9" hidden="1" customWidth="1"/>
    <col min="5406" max="5406" width="45.140625" style="9" customWidth="1"/>
    <col min="5407" max="5410" width="17.85546875" style="9"/>
    <col min="5411" max="5419" width="5.42578125" style="9" customWidth="1"/>
    <col min="5420" max="5424" width="6" style="9" customWidth="1"/>
    <col min="5425" max="5425" width="6.85546875" style="9" customWidth="1"/>
    <col min="5426" max="5426" width="5.42578125" style="9" customWidth="1"/>
    <col min="5427" max="5621" width="17.85546875" style="9"/>
    <col min="5622" max="5622" width="18.7109375" style="9" customWidth="1"/>
    <col min="5623" max="5623" width="1.7109375" style="9" customWidth="1"/>
    <col min="5624" max="5624" width="0.85546875" style="9" customWidth="1"/>
    <col min="5625" max="5645" width="0" style="9" hidden="1" customWidth="1"/>
    <col min="5646" max="5657" width="8.7109375" style="9" customWidth="1"/>
    <col min="5658" max="5661" width="0" style="9" hidden="1" customWidth="1"/>
    <col min="5662" max="5662" width="45.140625" style="9" customWidth="1"/>
    <col min="5663" max="5666" width="17.85546875" style="9"/>
    <col min="5667" max="5675" width="5.42578125" style="9" customWidth="1"/>
    <col min="5676" max="5680" width="6" style="9" customWidth="1"/>
    <col min="5681" max="5681" width="6.85546875" style="9" customWidth="1"/>
    <col min="5682" max="5682" width="5.42578125" style="9" customWidth="1"/>
    <col min="5683" max="5877" width="17.85546875" style="9"/>
    <col min="5878" max="5878" width="18.7109375" style="9" customWidth="1"/>
    <col min="5879" max="5879" width="1.7109375" style="9" customWidth="1"/>
    <col min="5880" max="5880" width="0.85546875" style="9" customWidth="1"/>
    <col min="5881" max="5901" width="0" style="9" hidden="1" customWidth="1"/>
    <col min="5902" max="5913" width="8.7109375" style="9" customWidth="1"/>
    <col min="5914" max="5917" width="0" style="9" hidden="1" customWidth="1"/>
    <col min="5918" max="5918" width="45.140625" style="9" customWidth="1"/>
    <col min="5919" max="5922" width="17.85546875" style="9"/>
    <col min="5923" max="5931" width="5.42578125" style="9" customWidth="1"/>
    <col min="5932" max="5936" width="6" style="9" customWidth="1"/>
    <col min="5937" max="5937" width="6.85546875" style="9" customWidth="1"/>
    <col min="5938" max="5938" width="5.42578125" style="9" customWidth="1"/>
    <col min="5939" max="6133" width="17.85546875" style="9"/>
    <col min="6134" max="6134" width="18.7109375" style="9" customWidth="1"/>
    <col min="6135" max="6135" width="1.7109375" style="9" customWidth="1"/>
    <col min="6136" max="6136" width="0.85546875" style="9" customWidth="1"/>
    <col min="6137" max="6157" width="0" style="9" hidden="1" customWidth="1"/>
    <col min="6158" max="6169" width="8.7109375" style="9" customWidth="1"/>
    <col min="6170" max="6173" width="0" style="9" hidden="1" customWidth="1"/>
    <col min="6174" max="6174" width="45.140625" style="9" customWidth="1"/>
    <col min="6175" max="6178" width="17.85546875" style="9"/>
    <col min="6179" max="6187" width="5.42578125" style="9" customWidth="1"/>
    <col min="6188" max="6192" width="6" style="9" customWidth="1"/>
    <col min="6193" max="6193" width="6.85546875" style="9" customWidth="1"/>
    <col min="6194" max="6194" width="5.42578125" style="9" customWidth="1"/>
    <col min="6195" max="6389" width="17.85546875" style="9"/>
    <col min="6390" max="6390" width="18.7109375" style="9" customWidth="1"/>
    <col min="6391" max="6391" width="1.7109375" style="9" customWidth="1"/>
    <col min="6392" max="6392" width="0.85546875" style="9" customWidth="1"/>
    <col min="6393" max="6413" width="0" style="9" hidden="1" customWidth="1"/>
    <col min="6414" max="6425" width="8.7109375" style="9" customWidth="1"/>
    <col min="6426" max="6429" width="0" style="9" hidden="1" customWidth="1"/>
    <col min="6430" max="6430" width="45.140625" style="9" customWidth="1"/>
    <col min="6431" max="6434" width="17.85546875" style="9"/>
    <col min="6435" max="6443" width="5.42578125" style="9" customWidth="1"/>
    <col min="6444" max="6448" width="6" style="9" customWidth="1"/>
    <col min="6449" max="6449" width="6.85546875" style="9" customWidth="1"/>
    <col min="6450" max="6450" width="5.42578125" style="9" customWidth="1"/>
    <col min="6451" max="6645" width="17.85546875" style="9"/>
    <col min="6646" max="6646" width="18.7109375" style="9" customWidth="1"/>
    <col min="6647" max="6647" width="1.7109375" style="9" customWidth="1"/>
    <col min="6648" max="6648" width="0.85546875" style="9" customWidth="1"/>
    <col min="6649" max="6669" width="0" style="9" hidden="1" customWidth="1"/>
    <col min="6670" max="6681" width="8.7109375" style="9" customWidth="1"/>
    <col min="6682" max="6685" width="0" style="9" hidden="1" customWidth="1"/>
    <col min="6686" max="6686" width="45.140625" style="9" customWidth="1"/>
    <col min="6687" max="6690" width="17.85546875" style="9"/>
    <col min="6691" max="6699" width="5.42578125" style="9" customWidth="1"/>
    <col min="6700" max="6704" width="6" style="9" customWidth="1"/>
    <col min="6705" max="6705" width="6.85546875" style="9" customWidth="1"/>
    <col min="6706" max="6706" width="5.42578125" style="9" customWidth="1"/>
    <col min="6707" max="6901" width="17.85546875" style="9"/>
    <col min="6902" max="6902" width="18.7109375" style="9" customWidth="1"/>
    <col min="6903" max="6903" width="1.7109375" style="9" customWidth="1"/>
    <col min="6904" max="6904" width="0.85546875" style="9" customWidth="1"/>
    <col min="6905" max="6925" width="0" style="9" hidden="1" customWidth="1"/>
    <col min="6926" max="6937" width="8.7109375" style="9" customWidth="1"/>
    <col min="6938" max="6941" width="0" style="9" hidden="1" customWidth="1"/>
    <col min="6942" max="6942" width="45.140625" style="9" customWidth="1"/>
    <col min="6943" max="6946" width="17.85546875" style="9"/>
    <col min="6947" max="6955" width="5.42578125" style="9" customWidth="1"/>
    <col min="6956" max="6960" width="6" style="9" customWidth="1"/>
    <col min="6961" max="6961" width="6.85546875" style="9" customWidth="1"/>
    <col min="6962" max="6962" width="5.42578125" style="9" customWidth="1"/>
    <col min="6963" max="7157" width="17.85546875" style="9"/>
    <col min="7158" max="7158" width="18.7109375" style="9" customWidth="1"/>
    <col min="7159" max="7159" width="1.7109375" style="9" customWidth="1"/>
    <col min="7160" max="7160" width="0.85546875" style="9" customWidth="1"/>
    <col min="7161" max="7181" width="0" style="9" hidden="1" customWidth="1"/>
    <col min="7182" max="7193" width="8.7109375" style="9" customWidth="1"/>
    <col min="7194" max="7197" width="0" style="9" hidden="1" customWidth="1"/>
    <col min="7198" max="7198" width="45.140625" style="9" customWidth="1"/>
    <col min="7199" max="7202" width="17.85546875" style="9"/>
    <col min="7203" max="7211" width="5.42578125" style="9" customWidth="1"/>
    <col min="7212" max="7216" width="6" style="9" customWidth="1"/>
    <col min="7217" max="7217" width="6.85546875" style="9" customWidth="1"/>
    <col min="7218" max="7218" width="5.42578125" style="9" customWidth="1"/>
    <col min="7219" max="7413" width="17.85546875" style="9"/>
    <col min="7414" max="7414" width="18.7109375" style="9" customWidth="1"/>
    <col min="7415" max="7415" width="1.7109375" style="9" customWidth="1"/>
    <col min="7416" max="7416" width="0.85546875" style="9" customWidth="1"/>
    <col min="7417" max="7437" width="0" style="9" hidden="1" customWidth="1"/>
    <col min="7438" max="7449" width="8.7109375" style="9" customWidth="1"/>
    <col min="7450" max="7453" width="0" style="9" hidden="1" customWidth="1"/>
    <col min="7454" max="7454" width="45.140625" style="9" customWidth="1"/>
    <col min="7455" max="7458" width="17.85546875" style="9"/>
    <col min="7459" max="7467" width="5.42578125" style="9" customWidth="1"/>
    <col min="7468" max="7472" width="6" style="9" customWidth="1"/>
    <col min="7473" max="7473" width="6.85546875" style="9" customWidth="1"/>
    <col min="7474" max="7474" width="5.42578125" style="9" customWidth="1"/>
    <col min="7475" max="7669" width="17.85546875" style="9"/>
    <col min="7670" max="7670" width="18.7109375" style="9" customWidth="1"/>
    <col min="7671" max="7671" width="1.7109375" style="9" customWidth="1"/>
    <col min="7672" max="7672" width="0.85546875" style="9" customWidth="1"/>
    <col min="7673" max="7693" width="0" style="9" hidden="1" customWidth="1"/>
    <col min="7694" max="7705" width="8.7109375" style="9" customWidth="1"/>
    <col min="7706" max="7709" width="0" style="9" hidden="1" customWidth="1"/>
    <col min="7710" max="7710" width="45.140625" style="9" customWidth="1"/>
    <col min="7711" max="7714" width="17.85546875" style="9"/>
    <col min="7715" max="7723" width="5.42578125" style="9" customWidth="1"/>
    <col min="7724" max="7728" width="6" style="9" customWidth="1"/>
    <col min="7729" max="7729" width="6.85546875" style="9" customWidth="1"/>
    <col min="7730" max="7730" width="5.42578125" style="9" customWidth="1"/>
    <col min="7731" max="7925" width="17.85546875" style="9"/>
    <col min="7926" max="7926" width="18.7109375" style="9" customWidth="1"/>
    <col min="7927" max="7927" width="1.7109375" style="9" customWidth="1"/>
    <col min="7928" max="7928" width="0.85546875" style="9" customWidth="1"/>
    <col min="7929" max="7949" width="0" style="9" hidden="1" customWidth="1"/>
    <col min="7950" max="7961" width="8.7109375" style="9" customWidth="1"/>
    <col min="7962" max="7965" width="0" style="9" hidden="1" customWidth="1"/>
    <col min="7966" max="7966" width="45.140625" style="9" customWidth="1"/>
    <col min="7967" max="7970" width="17.85546875" style="9"/>
    <col min="7971" max="7979" width="5.42578125" style="9" customWidth="1"/>
    <col min="7980" max="7984" width="6" style="9" customWidth="1"/>
    <col min="7985" max="7985" width="6.85546875" style="9" customWidth="1"/>
    <col min="7986" max="7986" width="5.42578125" style="9" customWidth="1"/>
    <col min="7987" max="8181" width="17.85546875" style="9"/>
    <col min="8182" max="8182" width="18.7109375" style="9" customWidth="1"/>
    <col min="8183" max="8183" width="1.7109375" style="9" customWidth="1"/>
    <col min="8184" max="8184" width="0.85546875" style="9" customWidth="1"/>
    <col min="8185" max="8205" width="0" style="9" hidden="1" customWidth="1"/>
    <col min="8206" max="8217" width="8.7109375" style="9" customWidth="1"/>
    <col min="8218" max="8221" width="0" style="9" hidden="1" customWidth="1"/>
    <col min="8222" max="8222" width="45.140625" style="9" customWidth="1"/>
    <col min="8223" max="8226" width="17.85546875" style="9"/>
    <col min="8227" max="8235" width="5.42578125" style="9" customWidth="1"/>
    <col min="8236" max="8240" width="6" style="9" customWidth="1"/>
    <col min="8241" max="8241" width="6.85546875" style="9" customWidth="1"/>
    <col min="8242" max="8242" width="5.42578125" style="9" customWidth="1"/>
    <col min="8243" max="8437" width="17.85546875" style="9"/>
    <col min="8438" max="8438" width="18.7109375" style="9" customWidth="1"/>
    <col min="8439" max="8439" width="1.7109375" style="9" customWidth="1"/>
    <col min="8440" max="8440" width="0.85546875" style="9" customWidth="1"/>
    <col min="8441" max="8461" width="0" style="9" hidden="1" customWidth="1"/>
    <col min="8462" max="8473" width="8.7109375" style="9" customWidth="1"/>
    <col min="8474" max="8477" width="0" style="9" hidden="1" customWidth="1"/>
    <col min="8478" max="8478" width="45.140625" style="9" customWidth="1"/>
    <col min="8479" max="8482" width="17.85546875" style="9"/>
    <col min="8483" max="8491" width="5.42578125" style="9" customWidth="1"/>
    <col min="8492" max="8496" width="6" style="9" customWidth="1"/>
    <col min="8497" max="8497" width="6.85546875" style="9" customWidth="1"/>
    <col min="8498" max="8498" width="5.42578125" style="9" customWidth="1"/>
    <col min="8499" max="8693" width="17.85546875" style="9"/>
    <col min="8694" max="8694" width="18.7109375" style="9" customWidth="1"/>
    <col min="8695" max="8695" width="1.7109375" style="9" customWidth="1"/>
    <col min="8696" max="8696" width="0.85546875" style="9" customWidth="1"/>
    <col min="8697" max="8717" width="0" style="9" hidden="1" customWidth="1"/>
    <col min="8718" max="8729" width="8.7109375" style="9" customWidth="1"/>
    <col min="8730" max="8733" width="0" style="9" hidden="1" customWidth="1"/>
    <col min="8734" max="8734" width="45.140625" style="9" customWidth="1"/>
    <col min="8735" max="8738" width="17.85546875" style="9"/>
    <col min="8739" max="8747" width="5.42578125" style="9" customWidth="1"/>
    <col min="8748" max="8752" width="6" style="9" customWidth="1"/>
    <col min="8753" max="8753" width="6.85546875" style="9" customWidth="1"/>
    <col min="8754" max="8754" width="5.42578125" style="9" customWidth="1"/>
    <col min="8755" max="8949" width="17.85546875" style="9"/>
    <col min="8950" max="8950" width="18.7109375" style="9" customWidth="1"/>
    <col min="8951" max="8951" width="1.7109375" style="9" customWidth="1"/>
    <col min="8952" max="8952" width="0.85546875" style="9" customWidth="1"/>
    <col min="8953" max="8973" width="0" style="9" hidden="1" customWidth="1"/>
    <col min="8974" max="8985" width="8.7109375" style="9" customWidth="1"/>
    <col min="8986" max="8989" width="0" style="9" hidden="1" customWidth="1"/>
    <col min="8990" max="8990" width="45.140625" style="9" customWidth="1"/>
    <col min="8991" max="8994" width="17.85546875" style="9"/>
    <col min="8995" max="9003" width="5.42578125" style="9" customWidth="1"/>
    <col min="9004" max="9008" width="6" style="9" customWidth="1"/>
    <col min="9009" max="9009" width="6.85546875" style="9" customWidth="1"/>
    <col min="9010" max="9010" width="5.42578125" style="9" customWidth="1"/>
    <col min="9011" max="9205" width="17.85546875" style="9"/>
    <col min="9206" max="9206" width="18.7109375" style="9" customWidth="1"/>
    <col min="9207" max="9207" width="1.7109375" style="9" customWidth="1"/>
    <col min="9208" max="9208" width="0.85546875" style="9" customWidth="1"/>
    <col min="9209" max="9229" width="0" style="9" hidden="1" customWidth="1"/>
    <col min="9230" max="9241" width="8.7109375" style="9" customWidth="1"/>
    <col min="9242" max="9245" width="0" style="9" hidden="1" customWidth="1"/>
    <col min="9246" max="9246" width="45.140625" style="9" customWidth="1"/>
    <col min="9247" max="9250" width="17.85546875" style="9"/>
    <col min="9251" max="9259" width="5.42578125" style="9" customWidth="1"/>
    <col min="9260" max="9264" width="6" style="9" customWidth="1"/>
    <col min="9265" max="9265" width="6.85546875" style="9" customWidth="1"/>
    <col min="9266" max="9266" width="5.42578125" style="9" customWidth="1"/>
    <col min="9267" max="9461" width="17.85546875" style="9"/>
    <col min="9462" max="9462" width="18.7109375" style="9" customWidth="1"/>
    <col min="9463" max="9463" width="1.7109375" style="9" customWidth="1"/>
    <col min="9464" max="9464" width="0.85546875" style="9" customWidth="1"/>
    <col min="9465" max="9485" width="0" style="9" hidden="1" customWidth="1"/>
    <col min="9486" max="9497" width="8.7109375" style="9" customWidth="1"/>
    <col min="9498" max="9501" width="0" style="9" hidden="1" customWidth="1"/>
    <col min="9502" max="9502" width="45.140625" style="9" customWidth="1"/>
    <col min="9503" max="9506" width="17.85546875" style="9"/>
    <col min="9507" max="9515" width="5.42578125" style="9" customWidth="1"/>
    <col min="9516" max="9520" width="6" style="9" customWidth="1"/>
    <col min="9521" max="9521" width="6.85546875" style="9" customWidth="1"/>
    <col min="9522" max="9522" width="5.42578125" style="9" customWidth="1"/>
    <col min="9523" max="9717" width="17.85546875" style="9"/>
    <col min="9718" max="9718" width="18.7109375" style="9" customWidth="1"/>
    <col min="9719" max="9719" width="1.7109375" style="9" customWidth="1"/>
    <col min="9720" max="9720" width="0.85546875" style="9" customWidth="1"/>
    <col min="9721" max="9741" width="0" style="9" hidden="1" customWidth="1"/>
    <col min="9742" max="9753" width="8.7109375" style="9" customWidth="1"/>
    <col min="9754" max="9757" width="0" style="9" hidden="1" customWidth="1"/>
    <col min="9758" max="9758" width="45.140625" style="9" customWidth="1"/>
    <col min="9759" max="9762" width="17.85546875" style="9"/>
    <col min="9763" max="9771" width="5.42578125" style="9" customWidth="1"/>
    <col min="9772" max="9776" width="6" style="9" customWidth="1"/>
    <col min="9777" max="9777" width="6.85546875" style="9" customWidth="1"/>
    <col min="9778" max="9778" width="5.42578125" style="9" customWidth="1"/>
    <col min="9779" max="9973" width="17.85546875" style="9"/>
    <col min="9974" max="9974" width="18.7109375" style="9" customWidth="1"/>
    <col min="9975" max="9975" width="1.7109375" style="9" customWidth="1"/>
    <col min="9976" max="9976" width="0.85546875" style="9" customWidth="1"/>
    <col min="9977" max="9997" width="0" style="9" hidden="1" customWidth="1"/>
    <col min="9998" max="10009" width="8.7109375" style="9" customWidth="1"/>
    <col min="10010" max="10013" width="0" style="9" hidden="1" customWidth="1"/>
    <col min="10014" max="10014" width="45.140625" style="9" customWidth="1"/>
    <col min="10015" max="10018" width="17.85546875" style="9"/>
    <col min="10019" max="10027" width="5.42578125" style="9" customWidth="1"/>
    <col min="10028" max="10032" width="6" style="9" customWidth="1"/>
    <col min="10033" max="10033" width="6.85546875" style="9" customWidth="1"/>
    <col min="10034" max="10034" width="5.42578125" style="9" customWidth="1"/>
    <col min="10035" max="10229" width="17.85546875" style="9"/>
    <col min="10230" max="10230" width="18.7109375" style="9" customWidth="1"/>
    <col min="10231" max="10231" width="1.7109375" style="9" customWidth="1"/>
    <col min="10232" max="10232" width="0.85546875" style="9" customWidth="1"/>
    <col min="10233" max="10253" width="0" style="9" hidden="1" customWidth="1"/>
    <col min="10254" max="10265" width="8.7109375" style="9" customWidth="1"/>
    <col min="10266" max="10269" width="0" style="9" hidden="1" customWidth="1"/>
    <col min="10270" max="10270" width="45.140625" style="9" customWidth="1"/>
    <col min="10271" max="10274" width="17.85546875" style="9"/>
    <col min="10275" max="10283" width="5.42578125" style="9" customWidth="1"/>
    <col min="10284" max="10288" width="6" style="9" customWidth="1"/>
    <col min="10289" max="10289" width="6.85546875" style="9" customWidth="1"/>
    <col min="10290" max="10290" width="5.42578125" style="9" customWidth="1"/>
    <col min="10291" max="10485" width="17.85546875" style="9"/>
    <col min="10486" max="10486" width="18.7109375" style="9" customWidth="1"/>
    <col min="10487" max="10487" width="1.7109375" style="9" customWidth="1"/>
    <col min="10488" max="10488" width="0.85546875" style="9" customWidth="1"/>
    <col min="10489" max="10509" width="0" style="9" hidden="1" customWidth="1"/>
    <col min="10510" max="10521" width="8.7109375" style="9" customWidth="1"/>
    <col min="10522" max="10525" width="0" style="9" hidden="1" customWidth="1"/>
    <col min="10526" max="10526" width="45.140625" style="9" customWidth="1"/>
    <col min="10527" max="10530" width="17.85546875" style="9"/>
    <col min="10531" max="10539" width="5.42578125" style="9" customWidth="1"/>
    <col min="10540" max="10544" width="6" style="9" customWidth="1"/>
    <col min="10545" max="10545" width="6.85546875" style="9" customWidth="1"/>
    <col min="10546" max="10546" width="5.42578125" style="9" customWidth="1"/>
    <col min="10547" max="10741" width="17.85546875" style="9"/>
    <col min="10742" max="10742" width="18.7109375" style="9" customWidth="1"/>
    <col min="10743" max="10743" width="1.7109375" style="9" customWidth="1"/>
    <col min="10744" max="10744" width="0.85546875" style="9" customWidth="1"/>
    <col min="10745" max="10765" width="0" style="9" hidden="1" customWidth="1"/>
    <col min="10766" max="10777" width="8.7109375" style="9" customWidth="1"/>
    <col min="10778" max="10781" width="0" style="9" hidden="1" customWidth="1"/>
    <col min="10782" max="10782" width="45.140625" style="9" customWidth="1"/>
    <col min="10783" max="10786" width="17.85546875" style="9"/>
    <col min="10787" max="10795" width="5.42578125" style="9" customWidth="1"/>
    <col min="10796" max="10800" width="6" style="9" customWidth="1"/>
    <col min="10801" max="10801" width="6.85546875" style="9" customWidth="1"/>
    <col min="10802" max="10802" width="5.42578125" style="9" customWidth="1"/>
    <col min="10803" max="10997" width="17.85546875" style="9"/>
    <col min="10998" max="10998" width="18.7109375" style="9" customWidth="1"/>
    <col min="10999" max="10999" width="1.7109375" style="9" customWidth="1"/>
    <col min="11000" max="11000" width="0.85546875" style="9" customWidth="1"/>
    <col min="11001" max="11021" width="0" style="9" hidden="1" customWidth="1"/>
    <col min="11022" max="11033" width="8.7109375" style="9" customWidth="1"/>
    <col min="11034" max="11037" width="0" style="9" hidden="1" customWidth="1"/>
    <col min="11038" max="11038" width="45.140625" style="9" customWidth="1"/>
    <col min="11039" max="11042" width="17.85546875" style="9"/>
    <col min="11043" max="11051" width="5.42578125" style="9" customWidth="1"/>
    <col min="11052" max="11056" width="6" style="9" customWidth="1"/>
    <col min="11057" max="11057" width="6.85546875" style="9" customWidth="1"/>
    <col min="11058" max="11058" width="5.42578125" style="9" customWidth="1"/>
    <col min="11059" max="11253" width="17.85546875" style="9"/>
    <col min="11254" max="11254" width="18.7109375" style="9" customWidth="1"/>
    <col min="11255" max="11255" width="1.7109375" style="9" customWidth="1"/>
    <col min="11256" max="11256" width="0.85546875" style="9" customWidth="1"/>
    <col min="11257" max="11277" width="0" style="9" hidden="1" customWidth="1"/>
    <col min="11278" max="11289" width="8.7109375" style="9" customWidth="1"/>
    <col min="11290" max="11293" width="0" style="9" hidden="1" customWidth="1"/>
    <col min="11294" max="11294" width="45.140625" style="9" customWidth="1"/>
    <col min="11295" max="11298" width="17.85546875" style="9"/>
    <col min="11299" max="11307" width="5.42578125" style="9" customWidth="1"/>
    <col min="11308" max="11312" width="6" style="9" customWidth="1"/>
    <col min="11313" max="11313" width="6.85546875" style="9" customWidth="1"/>
    <col min="11314" max="11314" width="5.42578125" style="9" customWidth="1"/>
    <col min="11315" max="11509" width="17.85546875" style="9"/>
    <col min="11510" max="11510" width="18.7109375" style="9" customWidth="1"/>
    <col min="11511" max="11511" width="1.7109375" style="9" customWidth="1"/>
    <col min="11512" max="11512" width="0.85546875" style="9" customWidth="1"/>
    <col min="11513" max="11533" width="0" style="9" hidden="1" customWidth="1"/>
    <col min="11534" max="11545" width="8.7109375" style="9" customWidth="1"/>
    <col min="11546" max="11549" width="0" style="9" hidden="1" customWidth="1"/>
    <col min="11550" max="11550" width="45.140625" style="9" customWidth="1"/>
    <col min="11551" max="11554" width="17.85546875" style="9"/>
    <col min="11555" max="11563" width="5.42578125" style="9" customWidth="1"/>
    <col min="11564" max="11568" width="6" style="9" customWidth="1"/>
    <col min="11569" max="11569" width="6.85546875" style="9" customWidth="1"/>
    <col min="11570" max="11570" width="5.42578125" style="9" customWidth="1"/>
    <col min="11571" max="11765" width="17.85546875" style="9"/>
    <col min="11766" max="11766" width="18.7109375" style="9" customWidth="1"/>
    <col min="11767" max="11767" width="1.7109375" style="9" customWidth="1"/>
    <col min="11768" max="11768" width="0.85546875" style="9" customWidth="1"/>
    <col min="11769" max="11789" width="0" style="9" hidden="1" customWidth="1"/>
    <col min="11790" max="11801" width="8.7109375" style="9" customWidth="1"/>
    <col min="11802" max="11805" width="0" style="9" hidden="1" customWidth="1"/>
    <col min="11806" max="11806" width="45.140625" style="9" customWidth="1"/>
    <col min="11807" max="11810" width="17.85546875" style="9"/>
    <col min="11811" max="11819" width="5.42578125" style="9" customWidth="1"/>
    <col min="11820" max="11824" width="6" style="9" customWidth="1"/>
    <col min="11825" max="11825" width="6.85546875" style="9" customWidth="1"/>
    <col min="11826" max="11826" width="5.42578125" style="9" customWidth="1"/>
    <col min="11827" max="12021" width="17.85546875" style="9"/>
    <col min="12022" max="12022" width="18.7109375" style="9" customWidth="1"/>
    <col min="12023" max="12023" width="1.7109375" style="9" customWidth="1"/>
    <col min="12024" max="12024" width="0.85546875" style="9" customWidth="1"/>
    <col min="12025" max="12045" width="0" style="9" hidden="1" customWidth="1"/>
    <col min="12046" max="12057" width="8.7109375" style="9" customWidth="1"/>
    <col min="12058" max="12061" width="0" style="9" hidden="1" customWidth="1"/>
    <col min="12062" max="12062" width="45.140625" style="9" customWidth="1"/>
    <col min="12063" max="12066" width="17.85546875" style="9"/>
    <col min="12067" max="12075" width="5.42578125" style="9" customWidth="1"/>
    <col min="12076" max="12080" width="6" style="9" customWidth="1"/>
    <col min="12081" max="12081" width="6.85546875" style="9" customWidth="1"/>
    <col min="12082" max="12082" width="5.42578125" style="9" customWidth="1"/>
    <col min="12083" max="12277" width="17.85546875" style="9"/>
    <col min="12278" max="12278" width="18.7109375" style="9" customWidth="1"/>
    <col min="12279" max="12279" width="1.7109375" style="9" customWidth="1"/>
    <col min="12280" max="12280" width="0.85546875" style="9" customWidth="1"/>
    <col min="12281" max="12301" width="0" style="9" hidden="1" customWidth="1"/>
    <col min="12302" max="12313" width="8.7109375" style="9" customWidth="1"/>
    <col min="12314" max="12317" width="0" style="9" hidden="1" customWidth="1"/>
    <col min="12318" max="12318" width="45.140625" style="9" customWidth="1"/>
    <col min="12319" max="12322" width="17.85546875" style="9"/>
    <col min="12323" max="12331" width="5.42578125" style="9" customWidth="1"/>
    <col min="12332" max="12336" width="6" style="9" customWidth="1"/>
    <col min="12337" max="12337" width="6.85546875" style="9" customWidth="1"/>
    <col min="12338" max="12338" width="5.42578125" style="9" customWidth="1"/>
    <col min="12339" max="12533" width="17.85546875" style="9"/>
    <col min="12534" max="12534" width="18.7109375" style="9" customWidth="1"/>
    <col min="12535" max="12535" width="1.7109375" style="9" customWidth="1"/>
    <col min="12536" max="12536" width="0.85546875" style="9" customWidth="1"/>
    <col min="12537" max="12557" width="0" style="9" hidden="1" customWidth="1"/>
    <col min="12558" max="12569" width="8.7109375" style="9" customWidth="1"/>
    <col min="12570" max="12573" width="0" style="9" hidden="1" customWidth="1"/>
    <col min="12574" max="12574" width="45.140625" style="9" customWidth="1"/>
    <col min="12575" max="12578" width="17.85546875" style="9"/>
    <col min="12579" max="12587" width="5.42578125" style="9" customWidth="1"/>
    <col min="12588" max="12592" width="6" style="9" customWidth="1"/>
    <col min="12593" max="12593" width="6.85546875" style="9" customWidth="1"/>
    <col min="12594" max="12594" width="5.42578125" style="9" customWidth="1"/>
    <col min="12595" max="12789" width="17.85546875" style="9"/>
    <col min="12790" max="12790" width="18.7109375" style="9" customWidth="1"/>
    <col min="12791" max="12791" width="1.7109375" style="9" customWidth="1"/>
    <col min="12792" max="12792" width="0.85546875" style="9" customWidth="1"/>
    <col min="12793" max="12813" width="0" style="9" hidden="1" customWidth="1"/>
    <col min="12814" max="12825" width="8.7109375" style="9" customWidth="1"/>
    <col min="12826" max="12829" width="0" style="9" hidden="1" customWidth="1"/>
    <col min="12830" max="12830" width="45.140625" style="9" customWidth="1"/>
    <col min="12831" max="12834" width="17.85546875" style="9"/>
    <col min="12835" max="12843" width="5.42578125" style="9" customWidth="1"/>
    <col min="12844" max="12848" width="6" style="9" customWidth="1"/>
    <col min="12849" max="12849" width="6.85546875" style="9" customWidth="1"/>
    <col min="12850" max="12850" width="5.42578125" style="9" customWidth="1"/>
    <col min="12851" max="13045" width="17.85546875" style="9"/>
    <col min="13046" max="13046" width="18.7109375" style="9" customWidth="1"/>
    <col min="13047" max="13047" width="1.7109375" style="9" customWidth="1"/>
    <col min="13048" max="13048" width="0.85546875" style="9" customWidth="1"/>
    <col min="13049" max="13069" width="0" style="9" hidden="1" customWidth="1"/>
    <col min="13070" max="13081" width="8.7109375" style="9" customWidth="1"/>
    <col min="13082" max="13085" width="0" style="9" hidden="1" customWidth="1"/>
    <col min="13086" max="13086" width="45.140625" style="9" customWidth="1"/>
    <col min="13087" max="13090" width="17.85546875" style="9"/>
    <col min="13091" max="13099" width="5.42578125" style="9" customWidth="1"/>
    <col min="13100" max="13104" width="6" style="9" customWidth="1"/>
    <col min="13105" max="13105" width="6.85546875" style="9" customWidth="1"/>
    <col min="13106" max="13106" width="5.42578125" style="9" customWidth="1"/>
    <col min="13107" max="13301" width="17.85546875" style="9"/>
    <col min="13302" max="13302" width="18.7109375" style="9" customWidth="1"/>
    <col min="13303" max="13303" width="1.7109375" style="9" customWidth="1"/>
    <col min="13304" max="13304" width="0.85546875" style="9" customWidth="1"/>
    <col min="13305" max="13325" width="0" style="9" hidden="1" customWidth="1"/>
    <col min="13326" max="13337" width="8.7109375" style="9" customWidth="1"/>
    <col min="13338" max="13341" width="0" style="9" hidden="1" customWidth="1"/>
    <col min="13342" max="13342" width="45.140625" style="9" customWidth="1"/>
    <col min="13343" max="13346" width="17.85546875" style="9"/>
    <col min="13347" max="13355" width="5.42578125" style="9" customWidth="1"/>
    <col min="13356" max="13360" width="6" style="9" customWidth="1"/>
    <col min="13361" max="13361" width="6.85546875" style="9" customWidth="1"/>
    <col min="13362" max="13362" width="5.42578125" style="9" customWidth="1"/>
    <col min="13363" max="13557" width="17.85546875" style="9"/>
    <col min="13558" max="13558" width="18.7109375" style="9" customWidth="1"/>
    <col min="13559" max="13559" width="1.7109375" style="9" customWidth="1"/>
    <col min="13560" max="13560" width="0.85546875" style="9" customWidth="1"/>
    <col min="13561" max="13581" width="0" style="9" hidden="1" customWidth="1"/>
    <col min="13582" max="13593" width="8.7109375" style="9" customWidth="1"/>
    <col min="13594" max="13597" width="0" style="9" hidden="1" customWidth="1"/>
    <col min="13598" max="13598" width="45.140625" style="9" customWidth="1"/>
    <col min="13599" max="13602" width="17.85546875" style="9"/>
    <col min="13603" max="13611" width="5.42578125" style="9" customWidth="1"/>
    <col min="13612" max="13616" width="6" style="9" customWidth="1"/>
    <col min="13617" max="13617" width="6.85546875" style="9" customWidth="1"/>
    <col min="13618" max="13618" width="5.42578125" style="9" customWidth="1"/>
    <col min="13619" max="13813" width="17.85546875" style="9"/>
    <col min="13814" max="13814" width="18.7109375" style="9" customWidth="1"/>
    <col min="13815" max="13815" width="1.7109375" style="9" customWidth="1"/>
    <col min="13816" max="13816" width="0.85546875" style="9" customWidth="1"/>
    <col min="13817" max="13837" width="0" style="9" hidden="1" customWidth="1"/>
    <col min="13838" max="13849" width="8.7109375" style="9" customWidth="1"/>
    <col min="13850" max="13853" width="0" style="9" hidden="1" customWidth="1"/>
    <col min="13854" max="13854" width="45.140625" style="9" customWidth="1"/>
    <col min="13855" max="13858" width="17.85546875" style="9"/>
    <col min="13859" max="13867" width="5.42578125" style="9" customWidth="1"/>
    <col min="13868" max="13872" width="6" style="9" customWidth="1"/>
    <col min="13873" max="13873" width="6.85546875" style="9" customWidth="1"/>
    <col min="13874" max="13874" width="5.42578125" style="9" customWidth="1"/>
    <col min="13875" max="14069" width="17.85546875" style="9"/>
    <col min="14070" max="14070" width="18.7109375" style="9" customWidth="1"/>
    <col min="14071" max="14071" width="1.7109375" style="9" customWidth="1"/>
    <col min="14072" max="14072" width="0.85546875" style="9" customWidth="1"/>
    <col min="14073" max="14093" width="0" style="9" hidden="1" customWidth="1"/>
    <col min="14094" max="14105" width="8.7109375" style="9" customWidth="1"/>
    <col min="14106" max="14109" width="0" style="9" hidden="1" customWidth="1"/>
    <col min="14110" max="14110" width="45.140625" style="9" customWidth="1"/>
    <col min="14111" max="14114" width="17.85546875" style="9"/>
    <col min="14115" max="14123" width="5.42578125" style="9" customWidth="1"/>
    <col min="14124" max="14128" width="6" style="9" customWidth="1"/>
    <col min="14129" max="14129" width="6.85546875" style="9" customWidth="1"/>
    <col min="14130" max="14130" width="5.42578125" style="9" customWidth="1"/>
    <col min="14131" max="14325" width="17.85546875" style="9"/>
    <col min="14326" max="14326" width="18.7109375" style="9" customWidth="1"/>
    <col min="14327" max="14327" width="1.7109375" style="9" customWidth="1"/>
    <col min="14328" max="14328" width="0.85546875" style="9" customWidth="1"/>
    <col min="14329" max="14349" width="0" style="9" hidden="1" customWidth="1"/>
    <col min="14350" max="14361" width="8.7109375" style="9" customWidth="1"/>
    <col min="14362" max="14365" width="0" style="9" hidden="1" customWidth="1"/>
    <col min="14366" max="14366" width="45.140625" style="9" customWidth="1"/>
    <col min="14367" max="14370" width="17.85546875" style="9"/>
    <col min="14371" max="14379" width="5.42578125" style="9" customWidth="1"/>
    <col min="14380" max="14384" width="6" style="9" customWidth="1"/>
    <col min="14385" max="14385" width="6.85546875" style="9" customWidth="1"/>
    <col min="14386" max="14386" width="5.42578125" style="9" customWidth="1"/>
    <col min="14387" max="14581" width="17.85546875" style="9"/>
    <col min="14582" max="14582" width="18.7109375" style="9" customWidth="1"/>
    <col min="14583" max="14583" width="1.7109375" style="9" customWidth="1"/>
    <col min="14584" max="14584" width="0.85546875" style="9" customWidth="1"/>
    <col min="14585" max="14605" width="0" style="9" hidden="1" customWidth="1"/>
    <col min="14606" max="14617" width="8.7109375" style="9" customWidth="1"/>
    <col min="14618" max="14621" width="0" style="9" hidden="1" customWidth="1"/>
    <col min="14622" max="14622" width="45.140625" style="9" customWidth="1"/>
    <col min="14623" max="14626" width="17.85546875" style="9"/>
    <col min="14627" max="14635" width="5.42578125" style="9" customWidth="1"/>
    <col min="14636" max="14640" width="6" style="9" customWidth="1"/>
    <col min="14641" max="14641" width="6.85546875" style="9" customWidth="1"/>
    <col min="14642" max="14642" width="5.42578125" style="9" customWidth="1"/>
    <col min="14643" max="14837" width="17.85546875" style="9"/>
    <col min="14838" max="14838" width="18.7109375" style="9" customWidth="1"/>
    <col min="14839" max="14839" width="1.7109375" style="9" customWidth="1"/>
    <col min="14840" max="14840" width="0.85546875" style="9" customWidth="1"/>
    <col min="14841" max="14861" width="0" style="9" hidden="1" customWidth="1"/>
    <col min="14862" max="14873" width="8.7109375" style="9" customWidth="1"/>
    <col min="14874" max="14877" width="0" style="9" hidden="1" customWidth="1"/>
    <col min="14878" max="14878" width="45.140625" style="9" customWidth="1"/>
    <col min="14879" max="14882" width="17.85546875" style="9"/>
    <col min="14883" max="14891" width="5.42578125" style="9" customWidth="1"/>
    <col min="14892" max="14896" width="6" style="9" customWidth="1"/>
    <col min="14897" max="14897" width="6.85546875" style="9" customWidth="1"/>
    <col min="14898" max="14898" width="5.42578125" style="9" customWidth="1"/>
    <col min="14899" max="15093" width="17.85546875" style="9"/>
    <col min="15094" max="15094" width="18.7109375" style="9" customWidth="1"/>
    <col min="15095" max="15095" width="1.7109375" style="9" customWidth="1"/>
    <col min="15096" max="15096" width="0.85546875" style="9" customWidth="1"/>
    <col min="15097" max="15117" width="0" style="9" hidden="1" customWidth="1"/>
    <col min="15118" max="15129" width="8.7109375" style="9" customWidth="1"/>
    <col min="15130" max="15133" width="0" style="9" hidden="1" customWidth="1"/>
    <col min="15134" max="15134" width="45.140625" style="9" customWidth="1"/>
    <col min="15135" max="15138" width="17.85546875" style="9"/>
    <col min="15139" max="15147" width="5.42578125" style="9" customWidth="1"/>
    <col min="15148" max="15152" width="6" style="9" customWidth="1"/>
    <col min="15153" max="15153" width="6.85546875" style="9" customWidth="1"/>
    <col min="15154" max="15154" width="5.42578125" style="9" customWidth="1"/>
    <col min="15155" max="15349" width="17.85546875" style="9"/>
    <col min="15350" max="15350" width="18.7109375" style="9" customWidth="1"/>
    <col min="15351" max="15351" width="1.7109375" style="9" customWidth="1"/>
    <col min="15352" max="15352" width="0.85546875" style="9" customWidth="1"/>
    <col min="15353" max="15373" width="0" style="9" hidden="1" customWidth="1"/>
    <col min="15374" max="15385" width="8.7109375" style="9" customWidth="1"/>
    <col min="15386" max="15389" width="0" style="9" hidden="1" customWidth="1"/>
    <col min="15390" max="15390" width="45.140625" style="9" customWidth="1"/>
    <col min="15391" max="15394" width="17.85546875" style="9"/>
    <col min="15395" max="15403" width="5.42578125" style="9" customWidth="1"/>
    <col min="15404" max="15408" width="6" style="9" customWidth="1"/>
    <col min="15409" max="15409" width="6.85546875" style="9" customWidth="1"/>
    <col min="15410" max="15410" width="5.42578125" style="9" customWidth="1"/>
    <col min="15411" max="15605" width="17.85546875" style="9"/>
    <col min="15606" max="15606" width="18.7109375" style="9" customWidth="1"/>
    <col min="15607" max="15607" width="1.7109375" style="9" customWidth="1"/>
    <col min="15608" max="15608" width="0.85546875" style="9" customWidth="1"/>
    <col min="15609" max="15629" width="0" style="9" hidden="1" customWidth="1"/>
    <col min="15630" max="15641" width="8.7109375" style="9" customWidth="1"/>
    <col min="15642" max="15645" width="0" style="9" hidden="1" customWidth="1"/>
    <col min="15646" max="15646" width="45.140625" style="9" customWidth="1"/>
    <col min="15647" max="15650" width="17.85546875" style="9"/>
    <col min="15651" max="15659" width="5.42578125" style="9" customWidth="1"/>
    <col min="15660" max="15664" width="6" style="9" customWidth="1"/>
    <col min="15665" max="15665" width="6.85546875" style="9" customWidth="1"/>
    <col min="15666" max="15666" width="5.42578125" style="9" customWidth="1"/>
    <col min="15667" max="15861" width="17.85546875" style="9"/>
    <col min="15862" max="15862" width="18.7109375" style="9" customWidth="1"/>
    <col min="15863" max="15863" width="1.7109375" style="9" customWidth="1"/>
    <col min="15864" max="15864" width="0.85546875" style="9" customWidth="1"/>
    <col min="15865" max="15885" width="0" style="9" hidden="1" customWidth="1"/>
    <col min="15886" max="15897" width="8.7109375" style="9" customWidth="1"/>
    <col min="15898" max="15901" width="0" style="9" hidden="1" customWidth="1"/>
    <col min="15902" max="15902" width="45.140625" style="9" customWidth="1"/>
    <col min="15903" max="15906" width="17.85546875" style="9"/>
    <col min="15907" max="15915" width="5.42578125" style="9" customWidth="1"/>
    <col min="15916" max="15920" width="6" style="9" customWidth="1"/>
    <col min="15921" max="15921" width="6.85546875" style="9" customWidth="1"/>
    <col min="15922" max="15922" width="5.42578125" style="9" customWidth="1"/>
    <col min="15923" max="16117" width="17.85546875" style="9"/>
    <col min="16118" max="16118" width="18.7109375" style="9" customWidth="1"/>
    <col min="16119" max="16119" width="1.7109375" style="9" customWidth="1"/>
    <col min="16120" max="16120" width="0.85546875" style="9" customWidth="1"/>
    <col min="16121" max="16141" width="0" style="9" hidden="1" customWidth="1"/>
    <col min="16142" max="16153" width="8.7109375" style="9" customWidth="1"/>
    <col min="16154" max="16157" width="0" style="9" hidden="1" customWidth="1"/>
    <col min="16158" max="16158" width="45.140625" style="9" customWidth="1"/>
    <col min="16159" max="16162" width="17.85546875" style="9"/>
    <col min="16163" max="16171" width="5.42578125" style="9" customWidth="1"/>
    <col min="16172" max="16176" width="6" style="9" customWidth="1"/>
    <col min="16177" max="16177" width="6.85546875" style="9" customWidth="1"/>
    <col min="16178" max="16178" width="5.42578125" style="9" customWidth="1"/>
    <col min="16179" max="16384" width="17.85546875" style="9"/>
  </cols>
  <sheetData>
    <row r="1" spans="1:34" ht="15.75" x14ac:dyDescent="0.2">
      <c r="A1" s="90" t="s">
        <v>27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</row>
    <row r="2" spans="1:34" ht="21.75" customHeight="1" x14ac:dyDescent="0.2">
      <c r="A2" s="91" t="s">
        <v>28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</row>
    <row r="3" spans="1:34" s="12" customFormat="1" ht="15" customHeight="1" x14ac:dyDescent="0.25">
      <c r="A3" s="92" t="s">
        <v>6</v>
      </c>
      <c r="B3" s="10"/>
      <c r="C3" s="11"/>
      <c r="D3" s="94">
        <v>2018</v>
      </c>
      <c r="E3" s="94"/>
      <c r="F3" s="94"/>
      <c r="G3" s="96"/>
      <c r="H3" s="95">
        <v>2019</v>
      </c>
      <c r="I3" s="94"/>
      <c r="J3" s="94"/>
      <c r="K3" s="94"/>
      <c r="L3" s="95">
        <v>2020</v>
      </c>
      <c r="M3" s="94"/>
      <c r="N3" s="94"/>
      <c r="O3" s="94"/>
      <c r="P3" s="95" t="s">
        <v>23</v>
      </c>
      <c r="Q3" s="94"/>
      <c r="R3" s="94"/>
      <c r="S3" s="94"/>
      <c r="T3" s="87" t="s">
        <v>7</v>
      </c>
    </row>
    <row r="4" spans="1:34" s="12" customFormat="1" ht="21" customHeight="1" x14ac:dyDescent="0.25">
      <c r="A4" s="93"/>
      <c r="B4" s="13"/>
      <c r="C4" s="13"/>
      <c r="D4" s="97" t="s">
        <v>0</v>
      </c>
      <c r="E4" s="97" t="s">
        <v>2</v>
      </c>
      <c r="F4" s="97" t="s">
        <v>3</v>
      </c>
      <c r="G4" s="98" t="s">
        <v>8</v>
      </c>
      <c r="H4" s="15" t="s">
        <v>0</v>
      </c>
      <c r="I4" s="14" t="s">
        <v>2</v>
      </c>
      <c r="J4" s="14" t="s">
        <v>3</v>
      </c>
      <c r="K4" s="14" t="s">
        <v>8</v>
      </c>
      <c r="L4" s="15" t="s">
        <v>0</v>
      </c>
      <c r="M4" s="14" t="s">
        <v>2</v>
      </c>
      <c r="N4" s="14" t="s">
        <v>3</v>
      </c>
      <c r="O4" s="14" t="s">
        <v>8</v>
      </c>
      <c r="P4" s="15" t="s">
        <v>0</v>
      </c>
      <c r="Q4" s="14" t="s">
        <v>2</v>
      </c>
      <c r="R4" s="14" t="s">
        <v>3</v>
      </c>
      <c r="S4" s="14" t="s">
        <v>8</v>
      </c>
      <c r="T4" s="88"/>
    </row>
    <row r="5" spans="1:34" s="19" customFormat="1" ht="15.75" x14ac:dyDescent="0.25">
      <c r="A5" s="16" t="s">
        <v>9</v>
      </c>
      <c r="B5" s="17"/>
      <c r="C5" s="18"/>
      <c r="D5" s="99">
        <f t="shared" ref="D5:D12" si="0">SUM(E5:G5)</f>
        <v>6564</v>
      </c>
      <c r="E5" s="99">
        <f>SUM(E6:E8)</f>
        <v>4265</v>
      </c>
      <c r="F5" s="99">
        <f>SUM(F6:F8)</f>
        <v>2039</v>
      </c>
      <c r="G5" s="100">
        <f>SUM(G6:G8)</f>
        <v>260</v>
      </c>
      <c r="H5" s="50">
        <f>SUM(I5:K5)</f>
        <v>6127</v>
      </c>
      <c r="I5" s="49">
        <f>SUM(I6:I7)</f>
        <v>4254</v>
      </c>
      <c r="J5" s="49">
        <f>SUM(J6:J8)</f>
        <v>1842</v>
      </c>
      <c r="K5" s="49">
        <f>SUM(K6:K7)</f>
        <v>31</v>
      </c>
      <c r="L5" s="50">
        <f>SUM(M5:O5)</f>
        <v>6293</v>
      </c>
      <c r="M5" s="49">
        <f>SUM(M6:M7)</f>
        <v>3151</v>
      </c>
      <c r="N5" s="49">
        <f>SUM(N6:N8)</f>
        <v>3068</v>
      </c>
      <c r="O5" s="49">
        <f>SUM(O6:O7)</f>
        <v>74</v>
      </c>
      <c r="P5" s="50">
        <f>SUM(Q5:S5)</f>
        <v>5914</v>
      </c>
      <c r="Q5" s="49">
        <f>SUM(Q6:Q7)</f>
        <v>3191</v>
      </c>
      <c r="R5" s="49">
        <f>SUM(R6:R8)</f>
        <v>2723</v>
      </c>
      <c r="S5" s="49">
        <f>SUM(S6:S7)</f>
        <v>0</v>
      </c>
      <c r="T5" s="51" t="s">
        <v>10</v>
      </c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</row>
    <row r="6" spans="1:34" s="23" customFormat="1" ht="15.75" x14ac:dyDescent="0.25">
      <c r="A6" s="20" t="s">
        <v>11</v>
      </c>
      <c r="B6" s="21"/>
      <c r="C6" s="22"/>
      <c r="D6" s="101">
        <f t="shared" si="0"/>
        <v>3411</v>
      </c>
      <c r="E6" s="101">
        <v>2229</v>
      </c>
      <c r="F6" s="101">
        <v>1039</v>
      </c>
      <c r="G6" s="102">
        <v>143</v>
      </c>
      <c r="H6" s="55">
        <f>SUM(I6:K6)</f>
        <v>3088</v>
      </c>
      <c r="I6" s="75">
        <v>2151</v>
      </c>
      <c r="J6" s="75">
        <v>922</v>
      </c>
      <c r="K6" s="75">
        <v>15</v>
      </c>
      <c r="L6" s="55">
        <f>SUM(M6:O6)</f>
        <v>3204</v>
      </c>
      <c r="M6" s="75">
        <v>1590</v>
      </c>
      <c r="N6" s="75">
        <v>1580</v>
      </c>
      <c r="O6" s="75">
        <v>34</v>
      </c>
      <c r="P6" s="55">
        <f>SUM(Q6:S6)</f>
        <v>2951</v>
      </c>
      <c r="Q6" s="75">
        <v>1584</v>
      </c>
      <c r="R6" s="75">
        <v>1367</v>
      </c>
      <c r="S6" s="83">
        <v>0</v>
      </c>
      <c r="T6" s="52" t="s">
        <v>12</v>
      </c>
      <c r="U6" s="4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</row>
    <row r="7" spans="1:34" s="23" customFormat="1" ht="15.75" x14ac:dyDescent="0.25">
      <c r="A7" s="20" t="s">
        <v>13</v>
      </c>
      <c r="B7" s="21"/>
      <c r="C7" s="22"/>
      <c r="D7" s="101">
        <f t="shared" si="0"/>
        <v>3152</v>
      </c>
      <c r="E7" s="101">
        <v>2035</v>
      </c>
      <c r="F7" s="101">
        <v>1000</v>
      </c>
      <c r="G7" s="102">
        <v>117</v>
      </c>
      <c r="H7" s="55">
        <f>SUM(I7:K7)</f>
        <v>3038</v>
      </c>
      <c r="I7" s="75">
        <v>2103</v>
      </c>
      <c r="J7" s="75">
        <v>919</v>
      </c>
      <c r="K7" s="75">
        <v>16</v>
      </c>
      <c r="L7" s="55">
        <f>SUM(M7:O7)</f>
        <v>3089</v>
      </c>
      <c r="M7" s="75">
        <v>1561</v>
      </c>
      <c r="N7" s="75">
        <v>1488</v>
      </c>
      <c r="O7" s="75">
        <v>40</v>
      </c>
      <c r="P7" s="55">
        <f>SUM(Q7:S7)</f>
        <v>2963</v>
      </c>
      <c r="Q7" s="75">
        <v>1607</v>
      </c>
      <c r="R7" s="75">
        <v>1356</v>
      </c>
      <c r="S7" s="83"/>
      <c r="T7" s="52" t="s">
        <v>14</v>
      </c>
      <c r="U7" s="4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</row>
    <row r="8" spans="1:34" s="23" customFormat="1" ht="15.75" x14ac:dyDescent="0.25">
      <c r="A8" s="20" t="s">
        <v>19</v>
      </c>
      <c r="B8" s="21"/>
      <c r="C8" s="22"/>
      <c r="D8" s="101">
        <f t="shared" si="0"/>
        <v>1</v>
      </c>
      <c r="E8" s="101">
        <v>1</v>
      </c>
      <c r="F8" s="101">
        <v>0</v>
      </c>
      <c r="G8" s="66">
        <v>0</v>
      </c>
      <c r="H8" s="60">
        <f>SUM(I8:K8)</f>
        <v>1</v>
      </c>
      <c r="I8" s="61">
        <v>0</v>
      </c>
      <c r="J8" s="61">
        <v>1</v>
      </c>
      <c r="K8" s="61">
        <v>0</v>
      </c>
      <c r="L8" s="60" t="s">
        <v>1</v>
      </c>
      <c r="M8" s="61" t="s">
        <v>1</v>
      </c>
      <c r="N8" s="61" t="s">
        <v>1</v>
      </c>
      <c r="O8" s="61" t="s">
        <v>1</v>
      </c>
      <c r="P8" s="60" t="s">
        <v>1</v>
      </c>
      <c r="Q8" s="61" t="s">
        <v>1</v>
      </c>
      <c r="R8" s="61" t="s">
        <v>1</v>
      </c>
      <c r="S8" s="61" t="s">
        <v>1</v>
      </c>
      <c r="T8" s="52"/>
      <c r="U8" s="4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</row>
    <row r="9" spans="1:34" s="19" customFormat="1" ht="15.75" x14ac:dyDescent="0.25">
      <c r="A9" s="77" t="s">
        <v>15</v>
      </c>
      <c r="B9" s="24"/>
      <c r="C9" s="25"/>
      <c r="D9" s="103">
        <f t="shared" si="0"/>
        <v>46</v>
      </c>
      <c r="E9" s="103">
        <f>SUM(E10:E12)</f>
        <v>32</v>
      </c>
      <c r="F9" s="103">
        <f>SUM(F10:F12)</f>
        <v>12</v>
      </c>
      <c r="G9" s="104">
        <f>SUM(G10:G12)</f>
        <v>2</v>
      </c>
      <c r="H9" s="62">
        <f>SUM(I11:K11)</f>
        <v>20</v>
      </c>
      <c r="I9" s="63">
        <f>SUM(I10:I11)</f>
        <v>24</v>
      </c>
      <c r="J9" s="63">
        <f>SUM(J10:J11)</f>
        <v>8</v>
      </c>
      <c r="K9" s="63">
        <f>SUM(K10:K11)</f>
        <v>11</v>
      </c>
      <c r="L9" s="62">
        <f>SUM(M9:O9)</f>
        <v>45</v>
      </c>
      <c r="M9" s="63">
        <f>SUM(M10:M12)</f>
        <v>36</v>
      </c>
      <c r="N9" s="63">
        <f>SUM(N10:N12)</f>
        <v>7</v>
      </c>
      <c r="O9" s="63">
        <f>SUM(O10:O12)</f>
        <v>2</v>
      </c>
      <c r="P9" s="62">
        <f>SUM(Q9:S9)</f>
        <v>58</v>
      </c>
      <c r="Q9" s="63">
        <f>SUM(Q10:Q12)</f>
        <v>45</v>
      </c>
      <c r="R9" s="63">
        <f>SUM(R10:R12)</f>
        <v>13</v>
      </c>
      <c r="S9" s="63">
        <f>SUM(S10:S12)</f>
        <v>0</v>
      </c>
      <c r="T9" s="51" t="s">
        <v>16</v>
      </c>
      <c r="U9" s="4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</row>
    <row r="10" spans="1:34" s="19" customFormat="1" ht="15.75" x14ac:dyDescent="0.25">
      <c r="A10" s="20" t="s">
        <v>11</v>
      </c>
      <c r="B10" s="26"/>
      <c r="C10" s="27"/>
      <c r="D10" s="105">
        <f t="shared" si="0"/>
        <v>24</v>
      </c>
      <c r="E10" s="105">
        <v>19</v>
      </c>
      <c r="F10" s="105">
        <v>4</v>
      </c>
      <c r="G10" s="106">
        <v>1</v>
      </c>
      <c r="H10" s="64">
        <f>SUM(I10:K10)</f>
        <v>23</v>
      </c>
      <c r="I10" s="76">
        <v>11</v>
      </c>
      <c r="J10" s="76">
        <v>4</v>
      </c>
      <c r="K10" s="76">
        <v>8</v>
      </c>
      <c r="L10" s="64">
        <f>SUM(M10:O10)</f>
        <v>12</v>
      </c>
      <c r="M10" s="76">
        <v>9</v>
      </c>
      <c r="N10" s="76">
        <v>2</v>
      </c>
      <c r="O10" s="76">
        <v>1</v>
      </c>
      <c r="P10" s="64">
        <f>SUM(Q10:S10)</f>
        <v>35</v>
      </c>
      <c r="Q10" s="76">
        <v>24</v>
      </c>
      <c r="R10" s="76">
        <v>11</v>
      </c>
      <c r="S10" s="84">
        <v>0</v>
      </c>
      <c r="T10" s="52" t="s">
        <v>12</v>
      </c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spans="1:34" s="19" customFormat="1" ht="15.75" x14ac:dyDescent="0.25">
      <c r="A11" s="20" t="s">
        <v>13</v>
      </c>
      <c r="B11" s="26"/>
      <c r="C11" s="27"/>
      <c r="D11" s="105">
        <f t="shared" si="0"/>
        <v>21</v>
      </c>
      <c r="E11" s="105">
        <v>13</v>
      </c>
      <c r="F11" s="105">
        <v>7</v>
      </c>
      <c r="G11" s="106">
        <v>1</v>
      </c>
      <c r="H11" s="64">
        <f>SUM(K14:K14)</f>
        <v>0</v>
      </c>
      <c r="I11" s="76">
        <v>13</v>
      </c>
      <c r="J11" s="76">
        <v>4</v>
      </c>
      <c r="K11" s="76">
        <v>3</v>
      </c>
      <c r="L11" s="64">
        <f>SUM(M11:O11)</f>
        <v>11</v>
      </c>
      <c r="M11" s="76">
        <v>10</v>
      </c>
      <c r="N11" s="76">
        <v>0</v>
      </c>
      <c r="O11" s="76">
        <v>1</v>
      </c>
      <c r="P11" s="64">
        <f>SUM(Q11:S11)</f>
        <v>23</v>
      </c>
      <c r="Q11" s="76">
        <v>21</v>
      </c>
      <c r="R11" s="76">
        <v>2</v>
      </c>
      <c r="S11" s="84">
        <v>0</v>
      </c>
      <c r="T11" s="52" t="s">
        <v>14</v>
      </c>
      <c r="U11" s="4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</row>
    <row r="12" spans="1:34" s="19" customFormat="1" ht="15.75" x14ac:dyDescent="0.25">
      <c r="A12" s="20" t="s">
        <v>19</v>
      </c>
      <c r="B12" s="26"/>
      <c r="C12" s="27"/>
      <c r="D12" s="105">
        <f t="shared" si="0"/>
        <v>1</v>
      </c>
      <c r="E12" s="59">
        <v>0</v>
      </c>
      <c r="F12" s="65">
        <v>1</v>
      </c>
      <c r="G12" s="66">
        <v>0</v>
      </c>
      <c r="H12" s="56" t="s">
        <v>1</v>
      </c>
      <c r="I12" s="57" t="s">
        <v>1</v>
      </c>
      <c r="J12" s="57" t="s">
        <v>1</v>
      </c>
      <c r="K12" s="57" t="s">
        <v>1</v>
      </c>
      <c r="L12" s="64">
        <f>SUM(M12:O12)</f>
        <v>22</v>
      </c>
      <c r="M12" s="76">
        <v>17</v>
      </c>
      <c r="N12" s="76">
        <v>5</v>
      </c>
      <c r="O12" s="76">
        <v>0</v>
      </c>
      <c r="P12" s="64">
        <f>SUM(Q12:S12)</f>
        <v>0</v>
      </c>
      <c r="Q12" s="76">
        <v>0</v>
      </c>
      <c r="R12" s="76">
        <v>0</v>
      </c>
      <c r="S12" s="84">
        <v>0</v>
      </c>
      <c r="T12" s="52"/>
      <c r="U12" s="4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</row>
    <row r="13" spans="1:34" s="19" customFormat="1" ht="15.75" x14ac:dyDescent="0.25">
      <c r="A13" s="30" t="s">
        <v>20</v>
      </c>
      <c r="B13" s="28"/>
      <c r="C13" s="29"/>
      <c r="D13" s="107"/>
      <c r="E13" s="107"/>
      <c r="F13" s="107"/>
      <c r="G13" s="108"/>
      <c r="H13" s="67"/>
      <c r="I13" s="68"/>
      <c r="J13" s="68"/>
      <c r="K13" s="68"/>
      <c r="L13" s="67"/>
      <c r="M13" s="68"/>
      <c r="N13" s="68"/>
      <c r="O13" s="68"/>
      <c r="P13" s="67"/>
      <c r="Q13" s="68"/>
      <c r="R13" s="68"/>
      <c r="S13" s="68"/>
      <c r="T13" s="51" t="s">
        <v>17</v>
      </c>
      <c r="U13" s="4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</row>
    <row r="14" spans="1:34" s="19" customFormat="1" ht="15.75" x14ac:dyDescent="0.25">
      <c r="A14" s="30" t="s">
        <v>21</v>
      </c>
      <c r="B14" s="28"/>
      <c r="C14" s="31"/>
      <c r="D14" s="107">
        <f t="shared" ref="D14:F16" si="1">D9/D5*1000</f>
        <v>7.0079219987812307</v>
      </c>
      <c r="E14" s="107">
        <f t="shared" si="1"/>
        <v>7.5029308323563892</v>
      </c>
      <c r="F14" s="107">
        <f t="shared" si="1"/>
        <v>5.8852378616969103</v>
      </c>
      <c r="G14" s="58" t="s">
        <v>1</v>
      </c>
      <c r="H14" s="67">
        <f t="shared" ref="H14:N16" si="2">H9/H5*1000</f>
        <v>3.2642402480822592</v>
      </c>
      <c r="I14" s="68">
        <f t="shared" si="2"/>
        <v>5.6417489421720735</v>
      </c>
      <c r="J14" s="68">
        <f t="shared" si="2"/>
        <v>4.3431053203040175</v>
      </c>
      <c r="K14" s="57" t="s">
        <v>1</v>
      </c>
      <c r="L14" s="67">
        <f t="shared" si="2"/>
        <v>7.1508024789448585</v>
      </c>
      <c r="M14" s="68">
        <f t="shared" si="2"/>
        <v>11.424944462075532</v>
      </c>
      <c r="N14" s="68">
        <f t="shared" si="2"/>
        <v>2.2816166883963493</v>
      </c>
      <c r="O14" s="57" t="s">
        <v>1</v>
      </c>
      <c r="P14" s="67">
        <f>P9/P5*1000</f>
        <v>9.807237064592492</v>
      </c>
      <c r="Q14" s="68">
        <f t="shared" ref="Q14:R14" si="3">Q9/Q5*1000</f>
        <v>14.102162331557505</v>
      </c>
      <c r="R14" s="68">
        <f t="shared" si="3"/>
        <v>4.7741461623209691</v>
      </c>
      <c r="S14" s="57" t="s">
        <v>1</v>
      </c>
      <c r="T14" s="51" t="s">
        <v>18</v>
      </c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</row>
    <row r="15" spans="1:34" s="23" customFormat="1" ht="15.75" x14ac:dyDescent="0.25">
      <c r="A15" s="20" t="s">
        <v>11</v>
      </c>
      <c r="B15" s="32"/>
      <c r="C15" s="33"/>
      <c r="D15" s="109">
        <f t="shared" si="1"/>
        <v>7.0360598065083559</v>
      </c>
      <c r="E15" s="109">
        <f t="shared" si="1"/>
        <v>8.5240017945266935</v>
      </c>
      <c r="F15" s="109">
        <f t="shared" si="1"/>
        <v>3.8498556304138596</v>
      </c>
      <c r="G15" s="58" t="s">
        <v>1</v>
      </c>
      <c r="H15" s="69">
        <f t="shared" si="2"/>
        <v>7.4481865284974091</v>
      </c>
      <c r="I15" s="70">
        <f t="shared" si="2"/>
        <v>5.1139005113900513</v>
      </c>
      <c r="J15" s="70">
        <f t="shared" si="2"/>
        <v>4.3383947939262475</v>
      </c>
      <c r="K15" s="57" t="s">
        <v>1</v>
      </c>
      <c r="L15" s="69">
        <v>3.7453183520599249</v>
      </c>
      <c r="M15" s="70">
        <v>5.6603773584905657</v>
      </c>
      <c r="N15" s="70">
        <v>1.2658227848101267</v>
      </c>
      <c r="O15" s="57" t="s">
        <v>1</v>
      </c>
      <c r="P15" s="69">
        <f>P10/P6*1000</f>
        <v>11.860386309725516</v>
      </c>
      <c r="Q15" s="70">
        <f t="shared" ref="Q15:R15" si="4">Q10/Q6*1000</f>
        <v>15.151515151515152</v>
      </c>
      <c r="R15" s="70">
        <f t="shared" si="4"/>
        <v>8.0468178493050484</v>
      </c>
      <c r="S15" s="85"/>
      <c r="T15" s="52" t="s">
        <v>12</v>
      </c>
      <c r="U15" s="34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9"/>
    </row>
    <row r="16" spans="1:34" s="23" customFormat="1" ht="15.75" x14ac:dyDescent="0.25">
      <c r="A16" s="35" t="s">
        <v>13</v>
      </c>
      <c r="B16" s="36"/>
      <c r="C16" s="37"/>
      <c r="D16" s="72">
        <f t="shared" si="1"/>
        <v>6.6624365482233499</v>
      </c>
      <c r="E16" s="72">
        <f t="shared" si="1"/>
        <v>6.3882063882063882</v>
      </c>
      <c r="F16" s="72">
        <f t="shared" si="1"/>
        <v>7</v>
      </c>
      <c r="G16" s="73" t="s">
        <v>1</v>
      </c>
      <c r="H16" s="71">
        <f t="shared" si="2"/>
        <v>0</v>
      </c>
      <c r="I16" s="72">
        <f t="shared" si="2"/>
        <v>6.1816452686638135</v>
      </c>
      <c r="J16" s="72">
        <f t="shared" si="2"/>
        <v>4.3525571273122958</v>
      </c>
      <c r="K16" s="74" t="s">
        <v>1</v>
      </c>
      <c r="L16" s="71">
        <v>3.5610229847847199</v>
      </c>
      <c r="M16" s="72">
        <v>6.4061499039077514</v>
      </c>
      <c r="N16" s="72">
        <v>0</v>
      </c>
      <c r="O16" s="74" t="s">
        <v>1</v>
      </c>
      <c r="P16" s="71">
        <f>P11/P7*1000</f>
        <v>7.7624029699628752</v>
      </c>
      <c r="Q16" s="72">
        <f t="shared" ref="Q16:R16" si="5">Q11/Q7*1000</f>
        <v>13.067828251400124</v>
      </c>
      <c r="R16" s="72">
        <f t="shared" si="5"/>
        <v>1.4749262536873156</v>
      </c>
      <c r="S16" s="86"/>
      <c r="T16" s="53" t="s">
        <v>14</v>
      </c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9"/>
    </row>
    <row r="17" spans="1:53" s="39" customFormat="1" ht="18.75" x14ac:dyDescent="0.25">
      <c r="A17" s="78" t="s">
        <v>24</v>
      </c>
      <c r="B17" s="38"/>
      <c r="C17" s="38"/>
      <c r="K17" s="54"/>
      <c r="O17" s="54"/>
      <c r="S17" s="54"/>
      <c r="T17" s="81" t="s">
        <v>25</v>
      </c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9"/>
      <c r="AI17" s="40"/>
      <c r="AJ17" s="40"/>
      <c r="AK17" s="40"/>
      <c r="AL17" s="40"/>
    </row>
    <row r="18" spans="1:53" s="42" customFormat="1" ht="18.75" x14ac:dyDescent="0.25">
      <c r="A18" s="79" t="s">
        <v>26</v>
      </c>
      <c r="B18" s="41"/>
      <c r="C18" s="41"/>
      <c r="T18" s="82" t="s">
        <v>22</v>
      </c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</row>
    <row r="19" spans="1:53" ht="21" x14ac:dyDescent="0.2">
      <c r="A19" s="80" t="s">
        <v>4</v>
      </c>
      <c r="T19" s="3" t="s">
        <v>5</v>
      </c>
    </row>
    <row r="20" spans="1:53" ht="12.75" x14ac:dyDescent="0.2">
      <c r="A20" s="2"/>
      <c r="T20" s="43"/>
      <c r="AI20" s="44"/>
      <c r="AJ20" s="44">
        <v>2004</v>
      </c>
      <c r="AK20" s="44">
        <v>2005</v>
      </c>
      <c r="AL20" s="44">
        <v>2006</v>
      </c>
      <c r="AM20" s="44">
        <v>2007</v>
      </c>
      <c r="AN20" s="44">
        <v>2008</v>
      </c>
      <c r="AO20" s="44">
        <v>2009</v>
      </c>
      <c r="AP20" s="9">
        <v>2010</v>
      </c>
      <c r="AQ20" s="9">
        <v>2011</v>
      </c>
      <c r="AR20" s="44">
        <v>2012</v>
      </c>
      <c r="AS20" s="9">
        <v>2013</v>
      </c>
      <c r="AT20" s="9">
        <v>2014</v>
      </c>
      <c r="AU20" s="44">
        <v>2015</v>
      </c>
      <c r="AV20" s="9">
        <v>2016</v>
      </c>
      <c r="AW20" s="9">
        <v>2017</v>
      </c>
      <c r="AX20" s="9">
        <v>2018</v>
      </c>
      <c r="AY20" s="9">
        <v>2019</v>
      </c>
      <c r="AZ20" s="9">
        <v>2020</v>
      </c>
      <c r="BA20" s="9">
        <v>2021</v>
      </c>
    </row>
    <row r="21" spans="1:53" ht="12.75" x14ac:dyDescent="0.2">
      <c r="AI21" s="44" t="s">
        <v>2</v>
      </c>
      <c r="AJ21" s="45">
        <v>10</v>
      </c>
      <c r="AK21" s="46">
        <v>12</v>
      </c>
      <c r="AL21" s="46">
        <v>13</v>
      </c>
      <c r="AM21" s="46">
        <v>9.0820629257216989</v>
      </c>
      <c r="AN21" s="46">
        <v>12</v>
      </c>
      <c r="AO21" s="46">
        <v>14</v>
      </c>
      <c r="AP21" s="46">
        <v>11</v>
      </c>
      <c r="AQ21" s="28">
        <v>10</v>
      </c>
      <c r="AR21" s="28">
        <v>10</v>
      </c>
      <c r="AS21" s="46" t="e">
        <f>#REF!</f>
        <v>#REF!</v>
      </c>
      <c r="AT21" s="46">
        <v>8.4388185654008439</v>
      </c>
      <c r="AU21" s="46">
        <v>9.7949886104783594</v>
      </c>
      <c r="AV21" s="46">
        <v>8.2063305978898011</v>
      </c>
      <c r="AW21" s="46">
        <v>10.526315789473683</v>
      </c>
      <c r="AX21" s="46">
        <v>7.5029308323563892</v>
      </c>
      <c r="AY21" s="46">
        <v>5.6417489421720735</v>
      </c>
      <c r="AZ21" s="46">
        <f>M14</f>
        <v>11.424944462075532</v>
      </c>
      <c r="BA21" s="46">
        <f>Q14</f>
        <v>14.102162331557505</v>
      </c>
    </row>
    <row r="22" spans="1:53" ht="12.75" x14ac:dyDescent="0.2">
      <c r="AI22" s="44" t="s">
        <v>3</v>
      </c>
      <c r="AJ22" s="47">
        <v>18</v>
      </c>
      <c r="AK22" s="46">
        <v>12</v>
      </c>
      <c r="AL22" s="46">
        <v>18</v>
      </c>
      <c r="AM22" s="46">
        <v>10.900745840504877</v>
      </c>
      <c r="AN22" s="46">
        <v>10</v>
      </c>
      <c r="AO22" s="46">
        <v>8</v>
      </c>
      <c r="AP22" s="46">
        <v>10</v>
      </c>
      <c r="AQ22" s="28">
        <v>6</v>
      </c>
      <c r="AR22" s="28">
        <v>7</v>
      </c>
      <c r="AS22" s="46" t="e">
        <f>#REF!</f>
        <v>#REF!</v>
      </c>
      <c r="AT22" s="46">
        <v>4.6296296296296298</v>
      </c>
      <c r="AU22" s="46">
        <v>5.84795321637427</v>
      </c>
      <c r="AV22" s="46">
        <v>6.5207265952491849</v>
      </c>
      <c r="AW22" s="46">
        <v>6.381039197812215</v>
      </c>
      <c r="AX22" s="46">
        <v>5.8852378616969103</v>
      </c>
      <c r="AY22" s="46">
        <v>4.3431053203040175</v>
      </c>
      <c r="AZ22" s="46">
        <f>N14</f>
        <v>2.2816166883963493</v>
      </c>
      <c r="BA22" s="46">
        <f>R14</f>
        <v>4.7741461623209691</v>
      </c>
    </row>
    <row r="23" spans="1:53" ht="12.75" x14ac:dyDescent="0.2">
      <c r="AV23" s="46"/>
    </row>
    <row r="24" spans="1:53" ht="16.5" customHeight="1" x14ac:dyDescent="0.3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AM24" s="48"/>
    </row>
    <row r="25" spans="1:53" ht="16.5" customHeight="1" x14ac:dyDescent="0.3">
      <c r="T25" s="67"/>
      <c r="U25" s="68"/>
      <c r="V25" s="68"/>
      <c r="W25" s="68"/>
      <c r="X25" s="68"/>
      <c r="Y25" s="68"/>
      <c r="Z25" s="68"/>
      <c r="AM25" s="48"/>
    </row>
    <row r="26" spans="1:53" ht="16.5" customHeight="1" x14ac:dyDescent="0.3">
      <c r="T26" s="68"/>
      <c r="U26" s="68"/>
      <c r="V26" s="68"/>
      <c r="W26" s="68"/>
      <c r="X26" s="68"/>
      <c r="Y26" s="68"/>
      <c r="Z26" s="68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6"/>
      <c r="AM26" s="48"/>
    </row>
    <row r="27" spans="1:53" ht="16.5" customHeight="1" x14ac:dyDescent="0.3">
      <c r="T27" s="68"/>
      <c r="U27" s="68"/>
      <c r="V27" s="68"/>
      <c r="W27" s="68"/>
      <c r="X27" s="68"/>
      <c r="Y27" s="68"/>
      <c r="Z27" s="68"/>
      <c r="AM27" s="48"/>
    </row>
    <row r="28" spans="1:53" ht="16.5" customHeight="1" x14ac:dyDescent="0.3">
      <c r="AM28" s="48"/>
    </row>
    <row r="29" spans="1:53" ht="16.5" customHeight="1" x14ac:dyDescent="0.3">
      <c r="AM29" s="48"/>
    </row>
    <row r="30" spans="1:53" ht="16.5" customHeight="1" x14ac:dyDescent="0.3">
      <c r="AM30" s="48"/>
    </row>
    <row r="31" spans="1:53" ht="16.5" customHeight="1" x14ac:dyDescent="0.3">
      <c r="AL31" s="48"/>
      <c r="AM31" s="48"/>
    </row>
  </sheetData>
  <mergeCells count="9">
    <mergeCell ref="T3:T4"/>
    <mergeCell ref="AH15:AH17"/>
    <mergeCell ref="A1:T1"/>
    <mergeCell ref="A2:T2"/>
    <mergeCell ref="A3:A4"/>
    <mergeCell ref="D3:G3"/>
    <mergeCell ref="H3:K3"/>
    <mergeCell ref="L3:O3"/>
    <mergeCell ref="P3:S3"/>
  </mergeCells>
  <pageMargins left="0.7" right="0.7" top="0.75" bottom="0.75" header="0.3" footer="0.3"/>
  <pageSetup paperSize="9" scale="37" orientation="portrait" r:id="rId1"/>
  <colBreaks count="1" manualBreakCount="1">
    <brk id="20" max="42" man="1"/>
  </colBreaks>
  <ignoredErrors>
    <ignoredError sqref="R5 D7:R8 D9:R9 D16:O16 D13:R13 D5:H5 D6:H6 P6:R6 P5:Q5 D14:O14 Q14:R14 D15:O15" formula="1"/>
    <ignoredError sqref="D10:P11 D12:Q12" formula="1" unlockedFormula="1"/>
    <ignoredError sqref="I5:O5 I6:O6" formula="1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3.9</vt:lpstr>
      <vt:lpstr>'3.9'!Print_Area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2023-04-26T07:03:26Z</cp:lastPrinted>
  <dcterms:created xsi:type="dcterms:W3CDTF">2019-07-22T06:02:33Z</dcterms:created>
  <dcterms:modified xsi:type="dcterms:W3CDTF">2023-04-26T07:03:57Z</dcterms:modified>
</cp:coreProperties>
</file>