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E42CF65A-BF4B-488D-A68C-2327AA4D7375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0" sheetId="20" r:id="rId1"/>
  </sheets>
  <externalReferences>
    <externalReference r:id="rId2"/>
    <externalReference r:id="rId3"/>
  </externalReferences>
  <definedNames>
    <definedName name="_xlnm.Print_Area" localSheetId="0">'3.20'!$A$1:$J$47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0" l="1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H7" i="20"/>
  <c r="G7" i="20"/>
  <c r="F7" i="20"/>
  <c r="E7" i="20"/>
  <c r="D7" i="20"/>
  <c r="C7" i="20"/>
  <c r="B7" i="20"/>
</calcChain>
</file>

<file path=xl/sharedStrings.xml><?xml version="1.0" encoding="utf-8"?>
<sst xmlns="http://schemas.openxmlformats.org/spreadsheetml/2006/main" count="97" uniqueCount="95">
  <si>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</si>
  <si>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</si>
  <si>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</si>
  <si>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</si>
  <si>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ކައިވެނި ކުރި ޤައުމު</t>
  </si>
  <si>
    <t>India</t>
  </si>
  <si>
    <t>Srilanka</t>
  </si>
  <si>
    <t>Malaysia</t>
  </si>
  <si>
    <t>މެލޭޝިޔާ</t>
  </si>
  <si>
    <t>Indonesia</t>
  </si>
  <si>
    <t>އިންޑޮނޭޝިޔާ</t>
  </si>
  <si>
    <t>Thailand</t>
  </si>
  <si>
    <t>Bangladesh</t>
  </si>
  <si>
    <t>Morocco</t>
  </si>
  <si>
    <t>Yemen</t>
  </si>
  <si>
    <t>Switzerland</t>
  </si>
  <si>
    <t>Australia</t>
  </si>
  <si>
    <t>Japan</t>
  </si>
  <si>
    <t>Egypt</t>
  </si>
  <si>
    <t>Italy</t>
  </si>
  <si>
    <t>Russia</t>
  </si>
  <si>
    <t>Pakistan</t>
  </si>
  <si>
    <t>Ukraine</t>
  </si>
  <si>
    <t>USA</t>
  </si>
  <si>
    <t>ފިލިޕީންސް</t>
  </si>
  <si>
    <t>ބަންގްލަދޭޝް</t>
  </si>
  <si>
    <t>މޮރޮކޯ</t>
  </si>
  <si>
    <t>ޔަމަން</t>
  </si>
  <si>
    <t>ޖަޕާން</t>
  </si>
  <si>
    <t>އިޓަލީ</t>
  </si>
  <si>
    <t>ރަޝިޔާ</t>
  </si>
  <si>
    <t>ޕާކިސްތާން</t>
  </si>
  <si>
    <t>ސްރީލަންކާ</t>
  </si>
  <si>
    <t>އިންޑިޔާ</t>
  </si>
  <si>
    <t>ތައިލޭންޑް</t>
  </si>
  <si>
    <t>England</t>
  </si>
  <si>
    <t>އިނގިރޭސިވިލާތް</t>
  </si>
  <si>
    <t>ސްވިޓްޒަލޭންޑް</t>
  </si>
  <si>
    <t>ޔޫކްރައިން</t>
  </si>
  <si>
    <t>އެމެރިކާ</t>
  </si>
  <si>
    <t>Country marriage was performed</t>
  </si>
  <si>
    <t xml:space="preserve">ބޭރުމީހުންނާއިއެކު ދިވެހިން ރާއްޖޭގައި  ކުރި ކައިވެނި </t>
  </si>
  <si>
    <t>Maldivian marriages with foreigners performed in maldives</t>
  </si>
  <si>
    <r>
      <t xml:space="preserve">ދިވެހިން ބޭރުގައި ކުރާ ކައިވެނި ރަޖިސްޓްރީކުރުން
 </t>
    </r>
    <r>
      <rPr>
        <b/>
        <sz val="10"/>
        <rFont val="Calibri"/>
        <family val="2"/>
        <scheme val="minor"/>
      </rPr>
      <t>Marriages registered in overseas</t>
    </r>
  </si>
  <si>
    <r>
      <t xml:space="preserve">ރަޖިސްޓްރީކުރަން ހުށަހެޅުނު </t>
    </r>
    <r>
      <rPr>
        <b/>
        <sz val="10"/>
        <rFont val="Calibri"/>
        <family val="2"/>
        <scheme val="minor"/>
      </rPr>
      <t>Applied for registration</t>
    </r>
  </si>
  <si>
    <r>
      <t xml:space="preserve">ރަޖިސްޓްރީކޮށްދިން </t>
    </r>
    <r>
      <rPr>
        <b/>
        <sz val="10"/>
        <rFont val="Calibri"/>
        <family val="2"/>
        <scheme val="minor"/>
      </rPr>
      <t>Registered</t>
    </r>
    <r>
      <rPr>
        <b/>
        <sz val="10"/>
        <rFont val="Faruma"/>
      </rPr>
      <t xml:space="preserve"> </t>
    </r>
  </si>
  <si>
    <r>
      <t xml:space="preserve">ރަޖިސްޓްރީ ކޮށްދިން ޖުމްލަ
</t>
    </r>
    <r>
      <rPr>
        <b/>
        <sz val="10"/>
        <rFont val="Calibri"/>
        <family val="2"/>
        <scheme val="minor"/>
      </rPr>
      <t>Total registered</t>
    </r>
  </si>
  <si>
    <r>
      <t xml:space="preserve">ދެ ދިވެހިން ކުރި ކައިވެނި
</t>
    </r>
    <r>
      <rPr>
        <b/>
        <sz val="10"/>
        <rFont val="Calibri"/>
        <family val="2"/>
        <scheme val="minor"/>
      </rPr>
      <t>Marriage between Maldivian Nationals</t>
    </r>
  </si>
  <si>
    <r>
      <t xml:space="preserve">ބޭރު ފިރިހެނުންނާއިއެކު  ކުރެވުނު ކައިވެނި
</t>
    </r>
    <r>
      <rPr>
        <b/>
        <sz val="10"/>
        <rFont val="Calibri"/>
        <family val="2"/>
        <scheme val="minor"/>
      </rPr>
      <t>Marriage with foreign males</t>
    </r>
  </si>
  <si>
    <r>
      <t xml:space="preserve">ބޭރުއަންހެންނާއިއެކު ކުރެވުނު ކައިވެނި
</t>
    </r>
    <r>
      <rPr>
        <b/>
        <sz val="10"/>
        <rFont val="Calibri"/>
        <family val="2"/>
        <scheme val="minor"/>
      </rPr>
      <t>Marriage with foreign females</t>
    </r>
  </si>
  <si>
    <t>Turkey</t>
  </si>
  <si>
    <t>ތުރުކީ</t>
  </si>
  <si>
    <t>Germany</t>
  </si>
  <si>
    <t>ޖަރުމަނު</t>
  </si>
  <si>
    <t>TABLE 3.20:  MARRIAGES  BETEWEEN LOCALS AND LOCALS TO FOREIGN NATIONALS PERFORMED OVERSEAS BY COUNTRY, 2021</t>
  </si>
  <si>
    <t xml:space="preserve">ތާވަލު 3.20: ރާއްޖޭން ބޭރު ޤައުމުތަކުގައި ކުރެވޭ ދިވެހި އަދި ބިދޭސީ ކައިވެނި، 2021  </t>
  </si>
  <si>
    <t>philippines</t>
  </si>
  <si>
    <t>Austria</t>
  </si>
  <si>
    <t>އޮސްޓްރިޔާ</t>
  </si>
  <si>
    <t>Netherland</t>
  </si>
  <si>
    <t>ނެދަލޭންޑް</t>
  </si>
  <si>
    <t>Denmark</t>
  </si>
  <si>
    <t>ޑެންމަރކް</t>
  </si>
  <si>
    <t>Palestine</t>
  </si>
  <si>
    <t>ފަލަސްތީން</t>
  </si>
  <si>
    <t>Kazakhstan</t>
  </si>
  <si>
    <t>ކަޒަކިސްތާން</t>
  </si>
  <si>
    <t>މިސްރު</t>
  </si>
  <si>
    <t>Tunisia</t>
  </si>
  <si>
    <t>ޓިއުނީޝިޔާ</t>
  </si>
  <si>
    <t>އޮސްޓްރޭލިޔާ</t>
  </si>
  <si>
    <t>Brazil</t>
  </si>
  <si>
    <t>ބްރެޒިލް</t>
  </si>
  <si>
    <t>Czech Republic</t>
  </si>
  <si>
    <t>ޗެކްރިޕަބްލިކް</t>
  </si>
  <si>
    <t>އިންގްލޭންޑް</t>
  </si>
  <si>
    <t>Cuba</t>
  </si>
  <si>
    <t>ކިއުބާ</t>
  </si>
  <si>
    <t>Canada</t>
  </si>
  <si>
    <t>ކެނެޑާ</t>
  </si>
  <si>
    <t>Belgium</t>
  </si>
  <si>
    <t>ބެލްޖިއަމް</t>
  </si>
  <si>
    <t>Norway</t>
  </si>
  <si>
    <t>ނޯވޭ</t>
  </si>
  <si>
    <t>UK</t>
  </si>
  <si>
    <t>China</t>
  </si>
  <si>
    <t>ޗައިނާ</t>
  </si>
  <si>
    <t>Hongkong</t>
  </si>
  <si>
    <t>ހޮންކޮންގ</t>
  </si>
  <si>
    <t>Urguay</t>
  </si>
  <si>
    <t>އުރުގުއޭ</t>
  </si>
  <si>
    <t>Finland</t>
  </si>
  <si>
    <t>ފިންލޭންޑް</t>
  </si>
  <si>
    <t>Singapore</t>
  </si>
  <si>
    <t>ސިންގަޕޫރު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</si>
</sst>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11"/>
      <color indexed="8"/>
      <name val="Calibri"/>
      <family val="2"/>
    </font>
    <font>
      <sz val="10"/>
      <name val="Calibri"/>
      <family val="2"/>
      <scheme val="minor"/>
    </font>
    <font>
      <b/>
      <sz val="11"/>
      <color indexed="8"/>
      <name val="Faruma"/>
    </font>
    <font>
      <sz val="11"/>
      <color indexed="8"/>
      <name val="Calibri"/>
      <family val="2"/>
    </font>
    <font>
      <sz val="11"/>
      <name val="Faruma"/>
      <family val="3"/>
    </font>
    <font>
      <sz val="9"/>
      <color indexed="8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4" fillId="2" borderId="6" xfId="13" applyFont="1" applyFill="1" applyBorder="1" applyAlignment="1">
      <alignment horizontal="center" vertical="center" wrapText="1"/>
    </xf>
    <xf numFmtId="0" fontId="4" fillId="2" borderId="19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4" fillId="2" borderId="20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6" fillId="2" borderId="2" xfId="13" applyFont="1" applyFill="1" applyBorder="1" applyAlignment="1">
      <alignment vertical="center"/>
    </xf>
    <xf numFmtId="0" fontId="6" fillId="2" borderId="5" xfId="13" applyFont="1" applyFill="1" applyBorder="1" applyAlignment="1">
      <alignment horizontal="center" vertical="center"/>
    </xf>
    <xf numFmtId="0" fontId="6" fillId="2" borderId="21" xfId="13" applyFont="1" applyFill="1" applyBorder="1" applyAlignment="1">
      <alignment horizontal="center" vertical="center"/>
    </xf>
    <xf numFmtId="0" fontId="6" fillId="2" borderId="2" xfId="13" applyFont="1" applyFill="1" applyBorder="1" applyAlignment="1">
      <alignment horizontal="center" vertical="center"/>
    </xf>
    <xf numFmtId="0" fontId="6" fillId="2" borderId="18" xfId="13" applyFont="1" applyFill="1" applyBorder="1" applyAlignment="1">
      <alignment horizontal="center" vertical="center"/>
    </xf>
    <xf numFmtId="0" fontId="6" fillId="2" borderId="22" xfId="13" applyFont="1" applyFill="1" applyBorder="1" applyAlignment="1">
      <alignment horizontal="center" vertical="center"/>
    </xf>
    <xf numFmtId="0" fontId="6" fillId="2" borderId="4" xfId="13" applyFont="1" applyFill="1" applyBorder="1" applyAlignment="1">
      <alignment horizontal="center" vertical="center"/>
    </xf>
    <xf numFmtId="0" fontId="11" fillId="2" borderId="2" xfId="13" applyFont="1" applyFill="1" applyBorder="1" applyAlignment="1">
      <alignment vertical="center"/>
    </xf>
    <xf numFmtId="0" fontId="7" fillId="2" borderId="0" xfId="13" applyFont="1" applyFill="1" applyAlignment="1">
      <alignment horizontal="left" vertical="center" indent="2"/>
    </xf>
    <xf numFmtId="0" fontId="6" fillId="2" borderId="9" xfId="13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2"/>
    </xf>
    <xf numFmtId="0" fontId="15" fillId="2" borderId="0" xfId="0" applyFont="1" applyFill="1" applyAlignment="1">
      <alignment horizontal="center" vertical="center" wrapText="1"/>
    </xf>
    <xf numFmtId="0" fontId="6" fillId="2" borderId="6" xfId="13" applyFont="1" applyFill="1" applyBorder="1" applyAlignment="1">
      <alignment horizontal="center" vertical="center"/>
    </xf>
    <xf numFmtId="0" fontId="7" fillId="2" borderId="15" xfId="13" applyFont="1" applyFill="1" applyBorder="1" applyAlignment="1">
      <alignment horizontal="center" vertical="center"/>
    </xf>
    <xf numFmtId="0" fontId="7" fillId="2" borderId="0" xfId="13" applyFont="1" applyFill="1" applyAlignment="1">
      <alignment horizontal="center" vertical="center"/>
    </xf>
    <xf numFmtId="0" fontId="6" fillId="2" borderId="16" xfId="13" applyFont="1" applyFill="1" applyBorder="1" applyAlignment="1">
      <alignment horizontal="center" vertical="center"/>
    </xf>
    <xf numFmtId="0" fontId="7" fillId="2" borderId="17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center" vertical="center"/>
    </xf>
    <xf numFmtId="0" fontId="7" fillId="2" borderId="12" xfId="13" applyFont="1" applyFill="1" applyBorder="1" applyAlignment="1">
      <alignment horizontal="center" vertical="center"/>
    </xf>
    <xf numFmtId="0" fontId="7" fillId="2" borderId="1" xfId="13" applyFont="1" applyFill="1" applyBorder="1" applyAlignment="1">
      <alignment horizontal="center" vertical="center"/>
    </xf>
    <xf numFmtId="0" fontId="6" fillId="2" borderId="13" xfId="13" applyFont="1" applyFill="1" applyBorder="1" applyAlignment="1">
      <alignment horizontal="center" vertical="center"/>
    </xf>
    <xf numFmtId="0" fontId="7" fillId="2" borderId="14" xfId="13" applyFont="1" applyFill="1" applyBorder="1" applyAlignment="1">
      <alignment horizontal="center" vertical="center"/>
    </xf>
    <xf numFmtId="0" fontId="7" fillId="2" borderId="8" xfId="13" applyFont="1" applyFill="1" applyBorder="1" applyAlignment="1">
      <alignment horizontal="center" vertical="center"/>
    </xf>
    <xf numFmtId="0" fontId="13" fillId="2" borderId="15" xfId="13" applyFont="1" applyFill="1" applyBorder="1" applyAlignment="1">
      <alignment horizontal="center" vertical="center"/>
    </xf>
    <xf numFmtId="0" fontId="13" fillId="2" borderId="0" xfId="13" applyFont="1" applyFill="1" applyAlignment="1">
      <alignment horizontal="center" vertical="center"/>
    </xf>
    <xf numFmtId="0" fontId="10" fillId="2" borderId="16" xfId="13" applyFont="1" applyFill="1" applyBorder="1" applyAlignment="1">
      <alignment horizontal="center" vertical="center"/>
    </xf>
    <xf numFmtId="0" fontId="13" fillId="2" borderId="17" xfId="13" applyFont="1" applyFill="1" applyBorder="1" applyAlignment="1">
      <alignment horizontal="center" vertical="center"/>
    </xf>
    <xf numFmtId="0" fontId="13" fillId="2" borderId="7" xfId="13" applyFont="1" applyFill="1" applyBorder="1" applyAlignment="1">
      <alignment horizontal="center" vertical="center"/>
    </xf>
    <xf numFmtId="0" fontId="10" fillId="2" borderId="9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left" vertical="center" indent="2"/>
    </xf>
    <xf numFmtId="0" fontId="7" fillId="2" borderId="8" xfId="13" applyFont="1" applyFill="1" applyBorder="1" applyAlignment="1">
      <alignment horizontal="left" vertical="center" indent="2"/>
    </xf>
    <xf numFmtId="0" fontId="12" fillId="2" borderId="0" xfId="0" applyFont="1" applyFill="1" applyAlignment="1">
      <alignment horizontal="center" vertical="center" wrapText="1"/>
    </xf>
    <xf numFmtId="0" fontId="16" fillId="2" borderId="0" xfId="13" applyFont="1" applyFill="1" applyAlignment="1">
      <alignment horizontal="right" vertical="center" indent="1"/>
    </xf>
    <xf numFmtId="0" fontId="17" fillId="2" borderId="0" xfId="0" applyFont="1" applyFill="1"/>
    <xf numFmtId="0" fontId="16" fillId="2" borderId="9" xfId="13" applyFont="1" applyFill="1" applyBorder="1" applyAlignment="1">
      <alignment horizontal="right" vertical="center" indent="1"/>
    </xf>
    <xf numFmtId="0" fontId="16" fillId="2" borderId="6" xfId="13" applyFont="1" applyFill="1" applyBorder="1" applyAlignment="1">
      <alignment horizontal="right" vertical="center" indent="1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2" xfId="13" applyFont="1" applyFill="1" applyBorder="1" applyAlignment="1">
      <alignment horizontal="center" vertical="center" wrapText="1" shrinkToFit="1"/>
    </xf>
    <xf numFmtId="0" fontId="10" fillId="2" borderId="0" xfId="13" applyFont="1" applyFill="1" applyAlignment="1">
      <alignment horizontal="center" vertical="center" wrapText="1" shrinkToFit="1"/>
    </xf>
    <xf numFmtId="0" fontId="10" fillId="2" borderId="1" xfId="13" applyFont="1" applyFill="1" applyBorder="1" applyAlignment="1">
      <alignment horizontal="center" vertical="center" wrapText="1" shrinkToFit="1"/>
    </xf>
    <xf numFmtId="0" fontId="4" fillId="2" borderId="11" xfId="13" applyFont="1" applyFill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4" fillId="2" borderId="18" xfId="13" applyFont="1" applyFill="1" applyBorder="1" applyAlignment="1">
      <alignment horizontal="center" vertical="center" wrapText="1"/>
    </xf>
    <xf numFmtId="0" fontId="4" fillId="2" borderId="16" xfId="13" applyFont="1" applyFill="1" applyBorder="1" applyAlignment="1">
      <alignment horizontal="center" vertical="center" wrapText="1"/>
    </xf>
    <xf numFmtId="0" fontId="4" fillId="2" borderId="13" xfId="13" applyFont="1" applyFill="1" applyBorder="1" applyAlignment="1">
      <alignment horizontal="center" vertical="center" wrapText="1"/>
    </xf>
    <xf numFmtId="166" fontId="4" fillId="2" borderId="5" xfId="14" applyFont="1" applyFill="1" applyBorder="1" applyAlignment="1">
      <alignment horizontal="center" vertical="center" wrapText="1"/>
    </xf>
    <xf numFmtId="166" fontId="4" fillId="2" borderId="4" xfId="14" applyFont="1" applyFill="1" applyBorder="1" applyAlignment="1">
      <alignment horizontal="center" vertical="center" wrapText="1"/>
    </xf>
    <xf numFmtId="0" fontId="4" fillId="2" borderId="2" xfId="13" applyFont="1" applyFill="1" applyBorder="1" applyAlignment="1">
      <alignment horizontal="center" vertical="center" wrapText="1" shrinkToFit="1"/>
    </xf>
    <xf numFmtId="0" fontId="4" fillId="2" borderId="0" xfId="13" applyFont="1" applyFill="1" applyAlignment="1">
      <alignment horizontal="center" vertical="center" wrapText="1" shrinkToFit="1"/>
    </xf>
    <xf numFmtId="0" fontId="4" fillId="2" borderId="1" xfId="13" applyFont="1" applyFill="1" applyBorder="1" applyAlignment="1">
      <alignment horizontal="center" vertical="center" wrapText="1" shrinkToFit="1"/>
    </xf>
    <xf numFmtId="0" fontId="4" fillId="2" borderId="11" xfId="13" applyFont="1" applyFill="1" applyBorder="1" applyAlignment="1">
      <alignment horizontal="center" vertical="center"/>
    </xf>
    <xf numFmtId="0" fontId="4" fillId="2" borderId="3" xfId="13" applyFont="1" applyFill="1" applyBorder="1" applyAlignment="1">
      <alignment horizontal="center" vertical="center"/>
    </xf>
    <xf numFmtId="0" fontId="4" fillId="2" borderId="10" xfId="13" applyFont="1" applyFill="1" applyBorder="1" applyAlignment="1">
      <alignment horizontal="center" vertical="center"/>
    </xf>
    <xf numFmtId="166" fontId="10" fillId="2" borderId="9" xfId="14" applyFont="1" applyFill="1" applyBorder="1" applyAlignment="1">
      <alignment horizontal="center" vertical="center" wrapText="1"/>
    </xf>
    <xf numFmtId="166" fontId="10" fillId="2" borderId="7" xfId="14" applyFont="1" applyFill="1" applyBorder="1" applyAlignment="1">
      <alignment horizontal="center" vertical="center" wrapText="1"/>
    </xf>
  </cellXfs>
  <cellStyles count="26">
    <cellStyle name="1" xfId="15" xr:uid="{00000000-0005-0000-0000-000000000000}"/>
    <cellStyle name="Comma 2" xfId="12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Comma_Totalling of all tables" xfId="14" xr:uid="{00000000-0005-0000-0000-00000B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1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heet1" xfId="13" xr:uid="{00000000-0005-0000-0000-000023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47"/>
  <sheetViews>
    <sheetView tabSelected="1" zoomScaleNormal="100" workbookViewId="0">
      <selection activeCell="G52" sqref="G52"/>
    </sheetView>
  </sheetViews>
  <sheetFormatPr defaultRowHeight="15" x14ac:dyDescent="0.25"/>
  <cols>
    <col min="1" max="1" width="21.140625" style="1" customWidth="1"/>
    <col min="2" max="8" width="17.85546875" style="1" customWidth="1"/>
    <col min="9" max="9" width="21.140625" style="1" customWidth="1"/>
    <col min="10" max="10" width="8.7109375" style="1"/>
    <col min="11" max="11" width="11.5703125" style="1" customWidth="1"/>
    <col min="12" max="256" width="8.710937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8.7109375" style="1"/>
    <col min="267" max="267" width="11.5703125" style="1" customWidth="1"/>
    <col min="268" max="512" width="8.710937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8.7109375" style="1"/>
    <col min="523" max="523" width="11.5703125" style="1" customWidth="1"/>
    <col min="524" max="768" width="8.710937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8.7109375" style="1"/>
    <col min="779" max="779" width="11.5703125" style="1" customWidth="1"/>
    <col min="780" max="1024" width="8.710937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8.7109375" style="1"/>
    <col min="1035" max="1035" width="11.5703125" style="1" customWidth="1"/>
    <col min="1036" max="1280" width="8.710937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8.7109375" style="1"/>
    <col min="1291" max="1291" width="11.5703125" style="1" customWidth="1"/>
    <col min="1292" max="1536" width="8.710937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8.7109375" style="1"/>
    <col min="1547" max="1547" width="11.5703125" style="1" customWidth="1"/>
    <col min="1548" max="1792" width="8.710937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8.7109375" style="1"/>
    <col min="1803" max="1803" width="11.5703125" style="1" customWidth="1"/>
    <col min="1804" max="2048" width="8.710937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8.7109375" style="1"/>
    <col min="2059" max="2059" width="11.5703125" style="1" customWidth="1"/>
    <col min="2060" max="2304" width="8.710937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8.7109375" style="1"/>
    <col min="2315" max="2315" width="11.5703125" style="1" customWidth="1"/>
    <col min="2316" max="2560" width="8.710937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8.7109375" style="1"/>
    <col min="2571" max="2571" width="11.5703125" style="1" customWidth="1"/>
    <col min="2572" max="2816" width="8.710937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8.7109375" style="1"/>
    <col min="2827" max="2827" width="11.5703125" style="1" customWidth="1"/>
    <col min="2828" max="3072" width="8.710937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8.7109375" style="1"/>
    <col min="3083" max="3083" width="11.5703125" style="1" customWidth="1"/>
    <col min="3084" max="3328" width="8.710937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8.7109375" style="1"/>
    <col min="3339" max="3339" width="11.5703125" style="1" customWidth="1"/>
    <col min="3340" max="3584" width="8.710937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8.7109375" style="1"/>
    <col min="3595" max="3595" width="11.5703125" style="1" customWidth="1"/>
    <col min="3596" max="3840" width="8.710937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8.7109375" style="1"/>
    <col min="3851" max="3851" width="11.5703125" style="1" customWidth="1"/>
    <col min="3852" max="4096" width="8.710937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8.7109375" style="1"/>
    <col min="4107" max="4107" width="11.5703125" style="1" customWidth="1"/>
    <col min="4108" max="4352" width="8.710937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8.7109375" style="1"/>
    <col min="4363" max="4363" width="11.5703125" style="1" customWidth="1"/>
    <col min="4364" max="4608" width="8.710937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8.7109375" style="1"/>
    <col min="4619" max="4619" width="11.5703125" style="1" customWidth="1"/>
    <col min="4620" max="4864" width="8.710937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8.7109375" style="1"/>
    <col min="4875" max="4875" width="11.5703125" style="1" customWidth="1"/>
    <col min="4876" max="5120" width="8.710937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8.7109375" style="1"/>
    <col min="5131" max="5131" width="11.5703125" style="1" customWidth="1"/>
    <col min="5132" max="5376" width="8.710937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8.7109375" style="1"/>
    <col min="5387" max="5387" width="11.5703125" style="1" customWidth="1"/>
    <col min="5388" max="5632" width="8.710937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8.7109375" style="1"/>
    <col min="5643" max="5643" width="11.5703125" style="1" customWidth="1"/>
    <col min="5644" max="5888" width="8.710937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8.7109375" style="1"/>
    <col min="5899" max="5899" width="11.5703125" style="1" customWidth="1"/>
    <col min="5900" max="6144" width="8.710937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8.7109375" style="1"/>
    <col min="6155" max="6155" width="11.5703125" style="1" customWidth="1"/>
    <col min="6156" max="6400" width="8.710937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8.7109375" style="1"/>
    <col min="6411" max="6411" width="11.5703125" style="1" customWidth="1"/>
    <col min="6412" max="6656" width="8.710937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8.7109375" style="1"/>
    <col min="6667" max="6667" width="11.5703125" style="1" customWidth="1"/>
    <col min="6668" max="6912" width="8.710937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8.7109375" style="1"/>
    <col min="6923" max="6923" width="11.5703125" style="1" customWidth="1"/>
    <col min="6924" max="7168" width="8.710937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8.7109375" style="1"/>
    <col min="7179" max="7179" width="11.5703125" style="1" customWidth="1"/>
    <col min="7180" max="7424" width="8.710937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8.7109375" style="1"/>
    <col min="7435" max="7435" width="11.5703125" style="1" customWidth="1"/>
    <col min="7436" max="7680" width="8.710937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8.7109375" style="1"/>
    <col min="7691" max="7691" width="11.5703125" style="1" customWidth="1"/>
    <col min="7692" max="7936" width="8.710937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8.7109375" style="1"/>
    <col min="7947" max="7947" width="11.5703125" style="1" customWidth="1"/>
    <col min="7948" max="8192" width="8.710937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8.7109375" style="1"/>
    <col min="8203" max="8203" width="11.5703125" style="1" customWidth="1"/>
    <col min="8204" max="8448" width="8.710937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8.7109375" style="1"/>
    <col min="8459" max="8459" width="11.5703125" style="1" customWidth="1"/>
    <col min="8460" max="8704" width="8.710937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8.7109375" style="1"/>
    <col min="8715" max="8715" width="11.5703125" style="1" customWidth="1"/>
    <col min="8716" max="8960" width="8.710937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8.7109375" style="1"/>
    <col min="8971" max="8971" width="11.5703125" style="1" customWidth="1"/>
    <col min="8972" max="9216" width="8.710937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8.7109375" style="1"/>
    <col min="9227" max="9227" width="11.5703125" style="1" customWidth="1"/>
    <col min="9228" max="9472" width="8.710937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8.7109375" style="1"/>
    <col min="9483" max="9483" width="11.5703125" style="1" customWidth="1"/>
    <col min="9484" max="9728" width="8.710937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8.7109375" style="1"/>
    <col min="9739" max="9739" width="11.5703125" style="1" customWidth="1"/>
    <col min="9740" max="9984" width="8.710937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8.7109375" style="1"/>
    <col min="9995" max="9995" width="11.5703125" style="1" customWidth="1"/>
    <col min="9996" max="10240" width="8.710937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8.7109375" style="1"/>
    <col min="10251" max="10251" width="11.5703125" style="1" customWidth="1"/>
    <col min="10252" max="10496" width="8.710937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8.7109375" style="1"/>
    <col min="10507" max="10507" width="11.5703125" style="1" customWidth="1"/>
    <col min="10508" max="10752" width="8.710937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8.7109375" style="1"/>
    <col min="10763" max="10763" width="11.5703125" style="1" customWidth="1"/>
    <col min="10764" max="11008" width="8.710937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8.7109375" style="1"/>
    <col min="11019" max="11019" width="11.5703125" style="1" customWidth="1"/>
    <col min="11020" max="11264" width="8.710937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8.7109375" style="1"/>
    <col min="11275" max="11275" width="11.5703125" style="1" customWidth="1"/>
    <col min="11276" max="11520" width="8.710937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8.7109375" style="1"/>
    <col min="11531" max="11531" width="11.5703125" style="1" customWidth="1"/>
    <col min="11532" max="11776" width="8.710937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8.7109375" style="1"/>
    <col min="11787" max="11787" width="11.5703125" style="1" customWidth="1"/>
    <col min="11788" max="12032" width="8.710937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8.7109375" style="1"/>
    <col min="12043" max="12043" width="11.5703125" style="1" customWidth="1"/>
    <col min="12044" max="12288" width="8.710937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8.7109375" style="1"/>
    <col min="12299" max="12299" width="11.5703125" style="1" customWidth="1"/>
    <col min="12300" max="12544" width="8.710937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8.7109375" style="1"/>
    <col min="12555" max="12555" width="11.5703125" style="1" customWidth="1"/>
    <col min="12556" max="12800" width="8.710937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8.7109375" style="1"/>
    <col min="12811" max="12811" width="11.5703125" style="1" customWidth="1"/>
    <col min="12812" max="13056" width="8.710937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8.7109375" style="1"/>
    <col min="13067" max="13067" width="11.5703125" style="1" customWidth="1"/>
    <col min="13068" max="13312" width="8.710937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8.7109375" style="1"/>
    <col min="13323" max="13323" width="11.5703125" style="1" customWidth="1"/>
    <col min="13324" max="13568" width="8.710937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8.7109375" style="1"/>
    <col min="13579" max="13579" width="11.5703125" style="1" customWidth="1"/>
    <col min="13580" max="13824" width="8.710937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8.7109375" style="1"/>
    <col min="13835" max="13835" width="11.5703125" style="1" customWidth="1"/>
    <col min="13836" max="14080" width="8.710937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8.7109375" style="1"/>
    <col min="14091" max="14091" width="11.5703125" style="1" customWidth="1"/>
    <col min="14092" max="14336" width="8.710937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8.7109375" style="1"/>
    <col min="14347" max="14347" width="11.5703125" style="1" customWidth="1"/>
    <col min="14348" max="14592" width="8.710937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8.7109375" style="1"/>
    <col min="14603" max="14603" width="11.5703125" style="1" customWidth="1"/>
    <col min="14604" max="14848" width="8.710937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8.7109375" style="1"/>
    <col min="14859" max="14859" width="11.5703125" style="1" customWidth="1"/>
    <col min="14860" max="15104" width="8.710937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8.7109375" style="1"/>
    <col min="15115" max="15115" width="11.5703125" style="1" customWidth="1"/>
    <col min="15116" max="15360" width="8.710937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8.7109375" style="1"/>
    <col min="15371" max="15371" width="11.5703125" style="1" customWidth="1"/>
    <col min="15372" max="15616" width="8.710937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8.7109375" style="1"/>
    <col min="15627" max="15627" width="11.5703125" style="1" customWidth="1"/>
    <col min="15628" max="15872" width="8.710937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8.7109375" style="1"/>
    <col min="15883" max="15883" width="11.5703125" style="1" customWidth="1"/>
    <col min="15884" max="16128" width="8.710937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8.7109375" style="1"/>
    <col min="16139" max="16139" width="11.5703125" style="1" customWidth="1"/>
    <col min="16140" max="16384" width="8.7109375" style="1"/>
  </cols>
  <sheetData>
    <row r="1" spans="1:9" ht="21" x14ac:dyDescent="0.55000000000000004">
      <c r="A1" s="51" t="s">
        <v>55</v>
      </c>
      <c r="B1" s="51"/>
      <c r="C1" s="51"/>
      <c r="D1" s="51"/>
      <c r="E1" s="51"/>
      <c r="F1" s="51"/>
      <c r="G1" s="51"/>
      <c r="H1" s="51"/>
      <c r="I1" s="51"/>
    </row>
    <row r="2" spans="1:9" ht="15" customHeight="1" x14ac:dyDescent="0.25">
      <c r="A2" s="52" t="s">
        <v>54</v>
      </c>
      <c r="B2" s="52"/>
      <c r="C2" s="52"/>
      <c r="D2" s="52"/>
      <c r="E2" s="52"/>
      <c r="F2" s="52"/>
      <c r="G2" s="52"/>
      <c r="H2" s="52"/>
      <c r="I2" s="52"/>
    </row>
    <row r="4" spans="1:9" ht="31.5" customHeight="1" x14ac:dyDescent="0.25">
      <c r="A4" s="53" t="s">
        <v>40</v>
      </c>
      <c r="B4" s="56" t="s">
        <v>43</v>
      </c>
      <c r="C4" s="57"/>
      <c r="D4" s="57"/>
      <c r="E4" s="58"/>
      <c r="F4" s="59" t="s">
        <v>44</v>
      </c>
      <c r="G4" s="62" t="s">
        <v>41</v>
      </c>
      <c r="H4" s="63"/>
      <c r="I4" s="64" t="s">
        <v>4</v>
      </c>
    </row>
    <row r="5" spans="1:9" ht="26.25" customHeight="1" x14ac:dyDescent="0.25">
      <c r="A5" s="54"/>
      <c r="B5" s="67" t="s">
        <v>45</v>
      </c>
      <c r="C5" s="68"/>
      <c r="D5" s="68"/>
      <c r="E5" s="69"/>
      <c r="F5" s="60"/>
      <c r="G5" s="70" t="s">
        <v>42</v>
      </c>
      <c r="H5" s="71"/>
      <c r="I5" s="65"/>
    </row>
    <row r="6" spans="1:9" ht="69.75" customHeight="1" x14ac:dyDescent="0.25">
      <c r="A6" s="55"/>
      <c r="B6" s="7" t="s">
        <v>46</v>
      </c>
      <c r="C6" s="8" t="s">
        <v>47</v>
      </c>
      <c r="D6" s="8" t="s">
        <v>48</v>
      </c>
      <c r="E6" s="9" t="s">
        <v>49</v>
      </c>
      <c r="F6" s="61"/>
      <c r="G6" s="10" t="s">
        <v>48</v>
      </c>
      <c r="H6" s="11" t="s">
        <v>49</v>
      </c>
      <c r="I6" s="66"/>
    </row>
    <row r="7" spans="1:9" s="3" customFormat="1" ht="21" x14ac:dyDescent="0.25">
      <c r="A7" s="12" t="s">
        <v>0</v>
      </c>
      <c r="B7" s="13">
        <f t="shared" ref="B7:H7" si="0">SUM(B8:B46)</f>
        <v>105</v>
      </c>
      <c r="C7" s="14">
        <f t="shared" si="0"/>
        <v>60</v>
      </c>
      <c r="D7" s="14">
        <f t="shared" si="0"/>
        <v>17</v>
      </c>
      <c r="E7" s="15">
        <f t="shared" si="0"/>
        <v>28</v>
      </c>
      <c r="F7" s="16">
        <f t="shared" si="0"/>
        <v>68</v>
      </c>
      <c r="G7" s="17">
        <f t="shared" si="0"/>
        <v>21</v>
      </c>
      <c r="H7" s="18">
        <f t="shared" si="0"/>
        <v>42</v>
      </c>
      <c r="I7" s="19" t="s">
        <v>1</v>
      </c>
    </row>
    <row r="8" spans="1:9" s="4" customFormat="1" ht="15" customHeight="1" x14ac:dyDescent="0.25">
      <c r="A8" s="20" t="s">
        <v>6</v>
      </c>
      <c r="B8" s="21">
        <f>C8+D8+E8</f>
        <v>71</v>
      </c>
      <c r="C8" s="28">
        <v>50</v>
      </c>
      <c r="D8" s="28">
        <v>10</v>
      </c>
      <c r="E8" s="29">
        <v>11</v>
      </c>
      <c r="F8" s="30">
        <v>35</v>
      </c>
      <c r="G8" s="31">
        <v>0</v>
      </c>
      <c r="H8" s="32">
        <v>2</v>
      </c>
      <c r="I8" s="47" t="s">
        <v>32</v>
      </c>
    </row>
    <row r="9" spans="1:9" s="4" customFormat="1" ht="15" customHeight="1" x14ac:dyDescent="0.25">
      <c r="A9" s="20" t="s">
        <v>5</v>
      </c>
      <c r="B9" s="21">
        <f t="shared" ref="B9:B34" si="1">C9+D9+E9</f>
        <v>11</v>
      </c>
      <c r="C9" s="28">
        <v>5</v>
      </c>
      <c r="D9" s="28">
        <v>4</v>
      </c>
      <c r="E9" s="29">
        <v>2</v>
      </c>
      <c r="F9" s="30">
        <v>10</v>
      </c>
      <c r="G9" s="31">
        <v>1</v>
      </c>
      <c r="H9" s="32">
        <v>3</v>
      </c>
      <c r="I9" s="49" t="s">
        <v>33</v>
      </c>
    </row>
    <row r="10" spans="1:9" s="4" customFormat="1" ht="15" customHeight="1" x14ac:dyDescent="0.25">
      <c r="A10" s="20" t="s">
        <v>11</v>
      </c>
      <c r="B10" s="21">
        <f t="shared" si="1"/>
        <v>1</v>
      </c>
      <c r="C10" s="28">
        <v>1</v>
      </c>
      <c r="D10" s="28">
        <v>0</v>
      </c>
      <c r="E10" s="29">
        <v>0</v>
      </c>
      <c r="F10" s="30">
        <v>1</v>
      </c>
      <c r="G10" s="31">
        <v>0</v>
      </c>
      <c r="H10" s="32">
        <v>4</v>
      </c>
      <c r="I10" s="49" t="s">
        <v>34</v>
      </c>
    </row>
    <row r="11" spans="1:9" s="5" customFormat="1" ht="15" customHeight="1" x14ac:dyDescent="0.25">
      <c r="A11" s="20" t="s">
        <v>56</v>
      </c>
      <c r="B11" s="21">
        <f t="shared" si="1"/>
        <v>1</v>
      </c>
      <c r="C11" s="28">
        <v>0</v>
      </c>
      <c r="D11" s="28">
        <v>0</v>
      </c>
      <c r="E11" s="29">
        <v>1</v>
      </c>
      <c r="F11" s="30">
        <v>3</v>
      </c>
      <c r="G11" s="31">
        <v>1</v>
      </c>
      <c r="H11" s="32">
        <v>7</v>
      </c>
      <c r="I11" s="49" t="s">
        <v>24</v>
      </c>
    </row>
    <row r="12" spans="1:9" s="5" customFormat="1" ht="15" customHeight="1" x14ac:dyDescent="0.25">
      <c r="A12" s="20" t="s">
        <v>12</v>
      </c>
      <c r="B12" s="21">
        <f t="shared" si="1"/>
        <v>3</v>
      </c>
      <c r="C12" s="28">
        <v>0</v>
      </c>
      <c r="D12" s="28">
        <v>1</v>
      </c>
      <c r="E12" s="29">
        <v>2</v>
      </c>
      <c r="F12" s="30">
        <v>2</v>
      </c>
      <c r="G12" s="31">
        <v>4</v>
      </c>
      <c r="H12" s="32">
        <v>2</v>
      </c>
      <c r="I12" s="49" t="s">
        <v>25</v>
      </c>
    </row>
    <row r="13" spans="1:9" s="5" customFormat="1" ht="15" customHeight="1" x14ac:dyDescent="0.25">
      <c r="A13" s="20" t="s">
        <v>9</v>
      </c>
      <c r="B13" s="21">
        <f t="shared" si="1"/>
        <v>3</v>
      </c>
      <c r="C13" s="28">
        <v>0</v>
      </c>
      <c r="D13" s="28">
        <v>0</v>
      </c>
      <c r="E13" s="29">
        <v>3</v>
      </c>
      <c r="F13" s="30">
        <v>2</v>
      </c>
      <c r="G13" s="31">
        <v>0</v>
      </c>
      <c r="H13" s="32">
        <v>3</v>
      </c>
      <c r="I13" s="49" t="s">
        <v>10</v>
      </c>
    </row>
    <row r="14" spans="1:9" s="5" customFormat="1" ht="15" customHeight="1" x14ac:dyDescent="0.25">
      <c r="A14" s="20" t="s">
        <v>13</v>
      </c>
      <c r="B14" s="21">
        <f t="shared" si="1"/>
        <v>3</v>
      </c>
      <c r="C14" s="28">
        <v>0</v>
      </c>
      <c r="D14" s="28">
        <v>0</v>
      </c>
      <c r="E14" s="29">
        <v>3</v>
      </c>
      <c r="F14" s="30">
        <v>2</v>
      </c>
      <c r="G14" s="31">
        <v>2</v>
      </c>
      <c r="H14" s="32">
        <v>2</v>
      </c>
      <c r="I14" s="49" t="s">
        <v>26</v>
      </c>
    </row>
    <row r="15" spans="1:9" s="5" customFormat="1" ht="15" customHeight="1" x14ac:dyDescent="0.25">
      <c r="A15" s="20" t="s">
        <v>15</v>
      </c>
      <c r="B15" s="21">
        <f t="shared" si="1"/>
        <v>1</v>
      </c>
      <c r="C15" s="28">
        <v>0</v>
      </c>
      <c r="D15" s="28">
        <v>0</v>
      </c>
      <c r="E15" s="29">
        <v>1</v>
      </c>
      <c r="F15" s="30">
        <v>2</v>
      </c>
      <c r="G15" s="31">
        <v>0</v>
      </c>
      <c r="H15" s="32">
        <v>1</v>
      </c>
      <c r="I15" s="49" t="s">
        <v>37</v>
      </c>
    </row>
    <row r="16" spans="1:9" s="5" customFormat="1" ht="15" customHeight="1" x14ac:dyDescent="0.25">
      <c r="A16" s="20" t="s">
        <v>7</v>
      </c>
      <c r="B16" s="21">
        <f t="shared" si="1"/>
        <v>1</v>
      </c>
      <c r="C16" s="28">
        <v>1</v>
      </c>
      <c r="D16" s="28">
        <v>0</v>
      </c>
      <c r="E16" s="29">
        <v>0</v>
      </c>
      <c r="F16" s="30">
        <v>0</v>
      </c>
      <c r="G16" s="31">
        <v>0</v>
      </c>
      <c r="H16" s="32">
        <v>0</v>
      </c>
      <c r="I16" s="49" t="s">
        <v>8</v>
      </c>
    </row>
    <row r="17" spans="1:12" s="5" customFormat="1" ht="15" customHeight="1" x14ac:dyDescent="0.25">
      <c r="A17" s="20" t="s">
        <v>57</v>
      </c>
      <c r="B17" s="21">
        <f t="shared" si="1"/>
        <v>1</v>
      </c>
      <c r="C17" s="28">
        <v>1</v>
      </c>
      <c r="D17" s="28">
        <v>0</v>
      </c>
      <c r="E17" s="29">
        <v>0</v>
      </c>
      <c r="F17" s="30">
        <v>1</v>
      </c>
      <c r="G17" s="31">
        <v>0</v>
      </c>
      <c r="H17" s="32">
        <v>0</v>
      </c>
      <c r="I17" s="49" t="s">
        <v>58</v>
      </c>
    </row>
    <row r="18" spans="1:12" s="5" customFormat="1" ht="15" customHeight="1" x14ac:dyDescent="0.25">
      <c r="A18" s="20" t="s">
        <v>17</v>
      </c>
      <c r="B18" s="21">
        <f t="shared" si="1"/>
        <v>0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32">
        <v>1</v>
      </c>
      <c r="I18" s="49" t="s">
        <v>28</v>
      </c>
    </row>
    <row r="19" spans="1:12" s="5" customFormat="1" ht="15" customHeight="1" x14ac:dyDescent="0.25">
      <c r="A19" s="20" t="s">
        <v>21</v>
      </c>
      <c r="B19" s="21">
        <f t="shared" si="1"/>
        <v>3</v>
      </c>
      <c r="C19" s="28">
        <v>0</v>
      </c>
      <c r="D19" s="28">
        <v>2</v>
      </c>
      <c r="E19" s="29">
        <v>1</v>
      </c>
      <c r="F19" s="30">
        <v>0</v>
      </c>
      <c r="G19" s="31">
        <v>1</v>
      </c>
      <c r="H19" s="32">
        <v>0</v>
      </c>
      <c r="I19" s="49" t="s">
        <v>31</v>
      </c>
      <c r="K19" s="22"/>
      <c r="L19" s="46"/>
    </row>
    <row r="20" spans="1:12" s="5" customFormat="1" ht="15" customHeight="1" x14ac:dyDescent="0.25">
      <c r="A20" s="20" t="s">
        <v>22</v>
      </c>
      <c r="B20" s="21">
        <f t="shared" si="1"/>
        <v>1</v>
      </c>
      <c r="C20" s="28">
        <v>1</v>
      </c>
      <c r="D20" s="28">
        <v>0</v>
      </c>
      <c r="E20" s="29">
        <v>0</v>
      </c>
      <c r="F20" s="30">
        <v>0</v>
      </c>
      <c r="G20" s="31">
        <v>0</v>
      </c>
      <c r="H20" s="32">
        <v>1</v>
      </c>
      <c r="I20" s="49" t="s">
        <v>38</v>
      </c>
      <c r="K20" s="22"/>
      <c r="L20" s="46"/>
    </row>
    <row r="21" spans="1:12" s="5" customFormat="1" ht="15" customHeight="1" x14ac:dyDescent="0.25">
      <c r="A21" s="20" t="s">
        <v>59</v>
      </c>
      <c r="B21" s="21">
        <f t="shared" si="1"/>
        <v>0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32">
        <v>1</v>
      </c>
      <c r="I21" s="49" t="s">
        <v>60</v>
      </c>
      <c r="K21" s="23"/>
      <c r="L21" s="24"/>
    </row>
    <row r="22" spans="1:12" s="5" customFormat="1" ht="15" customHeight="1" x14ac:dyDescent="0.25">
      <c r="A22" s="20" t="s">
        <v>14</v>
      </c>
      <c r="B22" s="21">
        <f t="shared" si="1"/>
        <v>0</v>
      </c>
      <c r="C22" s="28">
        <v>0</v>
      </c>
      <c r="D22" s="28">
        <v>0</v>
      </c>
      <c r="E22" s="29">
        <v>0</v>
      </c>
      <c r="F22" s="30">
        <v>0</v>
      </c>
      <c r="G22" s="31">
        <v>1</v>
      </c>
      <c r="H22" s="32">
        <v>0</v>
      </c>
      <c r="I22" s="49" t="s">
        <v>27</v>
      </c>
      <c r="K22" s="23"/>
      <c r="L22" s="24"/>
    </row>
    <row r="23" spans="1:12" s="5" customFormat="1" ht="15" customHeight="1" x14ac:dyDescent="0.25">
      <c r="A23" s="20" t="s">
        <v>23</v>
      </c>
      <c r="B23" s="21">
        <f t="shared" si="1"/>
        <v>0</v>
      </c>
      <c r="C23" s="28">
        <v>0</v>
      </c>
      <c r="D23" s="28">
        <v>0</v>
      </c>
      <c r="E23" s="29">
        <v>0</v>
      </c>
      <c r="F23" s="30">
        <v>1</v>
      </c>
      <c r="G23" s="31">
        <v>0</v>
      </c>
      <c r="H23" s="32">
        <v>1</v>
      </c>
      <c r="I23" s="49" t="s">
        <v>39</v>
      </c>
      <c r="K23" s="6"/>
      <c r="L23" s="24"/>
    </row>
    <row r="24" spans="1:12" s="5" customFormat="1" ht="15" customHeight="1" x14ac:dyDescent="0.25">
      <c r="A24" s="20" t="s">
        <v>50</v>
      </c>
      <c r="B24" s="21">
        <f t="shared" si="1"/>
        <v>0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32">
        <v>1</v>
      </c>
      <c r="I24" s="49" t="s">
        <v>51</v>
      </c>
    </row>
    <row r="25" spans="1:12" s="5" customFormat="1" ht="15" customHeight="1" x14ac:dyDescent="0.25">
      <c r="A25" s="20" t="s">
        <v>61</v>
      </c>
      <c r="B25" s="21">
        <f t="shared" si="1"/>
        <v>0</v>
      </c>
      <c r="C25" s="28">
        <v>0</v>
      </c>
      <c r="D25" s="28">
        <v>0</v>
      </c>
      <c r="E25" s="29">
        <v>0</v>
      </c>
      <c r="F25" s="30">
        <v>2</v>
      </c>
      <c r="G25" s="31">
        <v>0</v>
      </c>
      <c r="H25" s="32">
        <v>0</v>
      </c>
      <c r="I25" s="49" t="s">
        <v>62</v>
      </c>
      <c r="K25" s="25"/>
      <c r="L25" s="26"/>
    </row>
    <row r="26" spans="1:12" s="5" customFormat="1" ht="15" customHeight="1" x14ac:dyDescent="0.25">
      <c r="A26" s="20" t="s">
        <v>52</v>
      </c>
      <c r="B26" s="21">
        <f t="shared" si="1"/>
        <v>3</v>
      </c>
      <c r="C26" s="28">
        <v>0</v>
      </c>
      <c r="D26" s="28">
        <v>0</v>
      </c>
      <c r="E26" s="29">
        <v>3</v>
      </c>
      <c r="F26" s="30">
        <v>1</v>
      </c>
      <c r="G26" s="31">
        <v>0</v>
      </c>
      <c r="H26" s="32">
        <v>1</v>
      </c>
      <c r="I26" s="49" t="s">
        <v>53</v>
      </c>
      <c r="K26" s="25"/>
      <c r="L26" s="26"/>
    </row>
    <row r="27" spans="1:12" s="5" customFormat="1" ht="15" customHeight="1" x14ac:dyDescent="0.25">
      <c r="A27" s="20" t="s">
        <v>63</v>
      </c>
      <c r="B27" s="21">
        <f t="shared" si="1"/>
        <v>0</v>
      </c>
      <c r="C27" s="28">
        <v>0</v>
      </c>
      <c r="D27" s="28">
        <v>0</v>
      </c>
      <c r="E27" s="29">
        <v>0</v>
      </c>
      <c r="F27" s="30">
        <v>0</v>
      </c>
      <c r="G27" s="31">
        <v>1</v>
      </c>
      <c r="H27" s="32">
        <v>0</v>
      </c>
      <c r="I27" s="49" t="s">
        <v>64</v>
      </c>
      <c r="K27" s="25"/>
      <c r="L27" s="26"/>
    </row>
    <row r="28" spans="1:12" s="5" customFormat="1" ht="15" customHeight="1" x14ac:dyDescent="0.25">
      <c r="A28" s="20" t="s">
        <v>65</v>
      </c>
      <c r="B28" s="21">
        <f t="shared" si="1"/>
        <v>0</v>
      </c>
      <c r="C28" s="28">
        <v>0</v>
      </c>
      <c r="D28" s="28">
        <v>0</v>
      </c>
      <c r="E28" s="29">
        <v>0</v>
      </c>
      <c r="F28" s="30">
        <v>0</v>
      </c>
      <c r="G28" s="31">
        <v>1</v>
      </c>
      <c r="H28" s="32">
        <v>1</v>
      </c>
      <c r="I28" s="49" t="s">
        <v>66</v>
      </c>
      <c r="K28" s="25"/>
      <c r="L28" s="26"/>
    </row>
    <row r="29" spans="1:12" s="5" customFormat="1" ht="15" customHeight="1" x14ac:dyDescent="0.25">
      <c r="A29" s="20" t="s">
        <v>18</v>
      </c>
      <c r="B29" s="21">
        <f t="shared" si="1"/>
        <v>1</v>
      </c>
      <c r="C29" s="28">
        <v>0</v>
      </c>
      <c r="D29" s="28">
        <v>0</v>
      </c>
      <c r="E29" s="29">
        <v>1</v>
      </c>
      <c r="F29" s="30">
        <v>1</v>
      </c>
      <c r="G29" s="31">
        <v>0</v>
      </c>
      <c r="H29" s="32">
        <v>0</v>
      </c>
      <c r="I29" s="49" t="s">
        <v>67</v>
      </c>
    </row>
    <row r="30" spans="1:12" s="5" customFormat="1" ht="15" customHeight="1" x14ac:dyDescent="0.25">
      <c r="A30" s="20" t="s">
        <v>20</v>
      </c>
      <c r="B30" s="21">
        <f t="shared" si="1"/>
        <v>0</v>
      </c>
      <c r="C30" s="28">
        <v>0</v>
      </c>
      <c r="D30" s="28">
        <v>0</v>
      </c>
      <c r="E30" s="29">
        <v>0</v>
      </c>
      <c r="F30" s="30">
        <v>0</v>
      </c>
      <c r="G30" s="31">
        <v>1</v>
      </c>
      <c r="H30" s="32">
        <v>2</v>
      </c>
      <c r="I30" s="49" t="s">
        <v>30</v>
      </c>
    </row>
    <row r="31" spans="1:12" s="5" customFormat="1" ht="15" customHeight="1" x14ac:dyDescent="0.25">
      <c r="A31" s="44" t="s">
        <v>19</v>
      </c>
      <c r="B31" s="21">
        <f t="shared" si="1"/>
        <v>0</v>
      </c>
      <c r="C31" s="28">
        <v>0</v>
      </c>
      <c r="D31" s="28">
        <v>0</v>
      </c>
      <c r="E31" s="29">
        <v>0</v>
      </c>
      <c r="F31" s="30">
        <v>0</v>
      </c>
      <c r="G31" s="31">
        <v>0</v>
      </c>
      <c r="H31" s="32">
        <v>3</v>
      </c>
      <c r="I31" s="49" t="s">
        <v>29</v>
      </c>
    </row>
    <row r="32" spans="1:12" s="5" customFormat="1" ht="15" customHeight="1" x14ac:dyDescent="0.25">
      <c r="A32" s="44" t="s">
        <v>68</v>
      </c>
      <c r="B32" s="21">
        <f t="shared" si="1"/>
        <v>0</v>
      </c>
      <c r="C32" s="28">
        <v>0</v>
      </c>
      <c r="D32" s="28">
        <v>0</v>
      </c>
      <c r="E32" s="29">
        <v>0</v>
      </c>
      <c r="F32" s="30">
        <v>0</v>
      </c>
      <c r="G32" s="31">
        <v>2</v>
      </c>
      <c r="H32" s="32">
        <v>1</v>
      </c>
      <c r="I32" s="49" t="s">
        <v>69</v>
      </c>
    </row>
    <row r="33" spans="1:9" s="5" customFormat="1" ht="15" customHeight="1" x14ac:dyDescent="0.25">
      <c r="A33" s="44" t="s">
        <v>16</v>
      </c>
      <c r="B33" s="21">
        <f t="shared" si="1"/>
        <v>1</v>
      </c>
      <c r="C33" s="38">
        <v>1</v>
      </c>
      <c r="D33" s="38">
        <v>0</v>
      </c>
      <c r="E33" s="39">
        <v>0</v>
      </c>
      <c r="F33" s="40">
        <v>2</v>
      </c>
      <c r="G33" s="41">
        <v>0</v>
      </c>
      <c r="H33" s="42">
        <v>1</v>
      </c>
      <c r="I33" s="49" t="s">
        <v>70</v>
      </c>
    </row>
    <row r="34" spans="1:9" ht="15" customHeight="1" x14ac:dyDescent="0.25">
      <c r="A34" s="44" t="s">
        <v>71</v>
      </c>
      <c r="B34" s="21">
        <f t="shared" si="1"/>
        <v>0</v>
      </c>
      <c r="C34" s="38">
        <v>0</v>
      </c>
      <c r="D34" s="38">
        <v>0</v>
      </c>
      <c r="E34" s="39">
        <v>0</v>
      </c>
      <c r="F34" s="40">
        <v>0</v>
      </c>
      <c r="G34" s="41">
        <v>0</v>
      </c>
      <c r="H34" s="42">
        <v>1</v>
      </c>
      <c r="I34" s="49" t="s">
        <v>72</v>
      </c>
    </row>
    <row r="35" spans="1:9" ht="15" customHeight="1" x14ac:dyDescent="0.25">
      <c r="A35" s="44" t="s">
        <v>73</v>
      </c>
      <c r="B35" s="43">
        <v>0</v>
      </c>
      <c r="C35" s="38">
        <v>0</v>
      </c>
      <c r="D35" s="38">
        <v>0</v>
      </c>
      <c r="E35" s="39">
        <v>0</v>
      </c>
      <c r="F35" s="40">
        <v>0</v>
      </c>
      <c r="G35" s="41">
        <v>1</v>
      </c>
      <c r="H35" s="42">
        <v>0</v>
      </c>
      <c r="I35" s="49" t="s">
        <v>74</v>
      </c>
    </row>
    <row r="36" spans="1:9" ht="15" customHeight="1" x14ac:dyDescent="0.25">
      <c r="A36" s="44" t="s">
        <v>35</v>
      </c>
      <c r="B36" s="43">
        <v>0</v>
      </c>
      <c r="C36" s="38">
        <v>0</v>
      </c>
      <c r="D36" s="38">
        <v>0</v>
      </c>
      <c r="E36" s="39">
        <v>0</v>
      </c>
      <c r="F36" s="40">
        <v>0</v>
      </c>
      <c r="G36" s="41">
        <v>1</v>
      </c>
      <c r="H36" s="42">
        <v>0</v>
      </c>
      <c r="I36" s="49" t="s">
        <v>75</v>
      </c>
    </row>
    <row r="37" spans="1:9" ht="15" customHeight="1" x14ac:dyDescent="0.25">
      <c r="A37" s="44" t="s">
        <v>76</v>
      </c>
      <c r="B37" s="43">
        <v>0</v>
      </c>
      <c r="C37" s="38">
        <v>0</v>
      </c>
      <c r="D37" s="38">
        <v>0</v>
      </c>
      <c r="E37" s="39">
        <v>0</v>
      </c>
      <c r="F37" s="40">
        <v>0</v>
      </c>
      <c r="G37" s="41">
        <v>0</v>
      </c>
      <c r="H37" s="42">
        <v>1</v>
      </c>
      <c r="I37" s="49" t="s">
        <v>77</v>
      </c>
    </row>
    <row r="38" spans="1:9" ht="15" customHeight="1" x14ac:dyDescent="0.25">
      <c r="A38" s="44" t="s">
        <v>78</v>
      </c>
      <c r="B38" s="43">
        <v>0</v>
      </c>
      <c r="C38" s="38">
        <v>0</v>
      </c>
      <c r="D38" s="38">
        <v>0</v>
      </c>
      <c r="E38" s="39">
        <v>0</v>
      </c>
      <c r="F38" s="40">
        <v>0</v>
      </c>
      <c r="G38" s="41">
        <v>0</v>
      </c>
      <c r="H38" s="42">
        <v>1</v>
      </c>
      <c r="I38" s="49" t="s">
        <v>79</v>
      </c>
    </row>
    <row r="39" spans="1:9" ht="15" customHeight="1" x14ac:dyDescent="0.25">
      <c r="A39" s="44" t="s">
        <v>80</v>
      </c>
      <c r="B39" s="43">
        <v>0</v>
      </c>
      <c r="C39" s="38">
        <v>0</v>
      </c>
      <c r="D39" s="38">
        <v>0</v>
      </c>
      <c r="E39" s="39">
        <v>0</v>
      </c>
      <c r="F39" s="40">
        <v>0</v>
      </c>
      <c r="G39" s="41">
        <v>0</v>
      </c>
      <c r="H39" s="42">
        <v>1</v>
      </c>
      <c r="I39" s="49" t="s">
        <v>81</v>
      </c>
    </row>
    <row r="40" spans="1:9" ht="15" customHeight="1" x14ac:dyDescent="0.25">
      <c r="A40" s="44" t="s">
        <v>82</v>
      </c>
      <c r="B40" s="43">
        <v>0</v>
      </c>
      <c r="C40" s="38">
        <v>0</v>
      </c>
      <c r="D40" s="38">
        <v>0</v>
      </c>
      <c r="E40" s="39">
        <v>0</v>
      </c>
      <c r="F40" s="40">
        <v>0</v>
      </c>
      <c r="G40" s="41">
        <v>1</v>
      </c>
      <c r="H40" s="42">
        <v>0</v>
      </c>
      <c r="I40" s="49" t="s">
        <v>83</v>
      </c>
    </row>
    <row r="41" spans="1:9" ht="15" customHeight="1" x14ac:dyDescent="0.25">
      <c r="A41" s="44" t="s">
        <v>84</v>
      </c>
      <c r="B41" s="43">
        <v>0</v>
      </c>
      <c r="C41" s="38">
        <v>0</v>
      </c>
      <c r="D41" s="38">
        <v>0</v>
      </c>
      <c r="E41" s="39">
        <v>0</v>
      </c>
      <c r="F41" s="40">
        <v>1</v>
      </c>
      <c r="G41" s="41">
        <v>0</v>
      </c>
      <c r="H41" s="42">
        <v>0</v>
      </c>
      <c r="I41" s="49" t="s">
        <v>36</v>
      </c>
    </row>
    <row r="42" spans="1:9" ht="15" customHeight="1" x14ac:dyDescent="0.25">
      <c r="A42" s="44" t="s">
        <v>85</v>
      </c>
      <c r="B42" s="43">
        <v>0</v>
      </c>
      <c r="C42" s="38">
        <v>0</v>
      </c>
      <c r="D42" s="38">
        <v>0</v>
      </c>
      <c r="E42" s="39">
        <v>0</v>
      </c>
      <c r="F42" s="40">
        <v>1</v>
      </c>
      <c r="G42" s="41">
        <v>0</v>
      </c>
      <c r="H42" s="42">
        <v>0</v>
      </c>
      <c r="I42" s="49" t="s">
        <v>86</v>
      </c>
    </row>
    <row r="43" spans="1:9" ht="15" customHeight="1" x14ac:dyDescent="0.25">
      <c r="A43" s="44" t="s">
        <v>87</v>
      </c>
      <c r="B43" s="43">
        <v>0</v>
      </c>
      <c r="C43" s="38">
        <v>0</v>
      </c>
      <c r="D43" s="38">
        <v>0</v>
      </c>
      <c r="E43" s="39">
        <v>0</v>
      </c>
      <c r="F43" s="40">
        <v>0</v>
      </c>
      <c r="G43" s="41">
        <v>1</v>
      </c>
      <c r="H43" s="42">
        <v>0</v>
      </c>
      <c r="I43" s="49" t="s">
        <v>88</v>
      </c>
    </row>
    <row r="44" spans="1:9" ht="15" customHeight="1" x14ac:dyDescent="0.25">
      <c r="A44" s="44" t="s">
        <v>89</v>
      </c>
      <c r="B44" s="43">
        <v>0</v>
      </c>
      <c r="C44" s="38">
        <v>0</v>
      </c>
      <c r="D44" s="38">
        <v>0</v>
      </c>
      <c r="E44" s="39">
        <v>0</v>
      </c>
      <c r="F44" s="40">
        <v>0</v>
      </c>
      <c r="G44" s="41">
        <v>1</v>
      </c>
      <c r="H44" s="42">
        <v>0</v>
      </c>
      <c r="I44" s="49" t="s">
        <v>90</v>
      </c>
    </row>
    <row r="45" spans="1:9" ht="15" customHeight="1" x14ac:dyDescent="0.25">
      <c r="A45" s="44" t="s">
        <v>91</v>
      </c>
      <c r="B45" s="43">
        <v>0</v>
      </c>
      <c r="C45" s="38">
        <v>0</v>
      </c>
      <c r="D45" s="38">
        <v>0</v>
      </c>
      <c r="E45" s="39">
        <v>0</v>
      </c>
      <c r="F45" s="40">
        <v>0</v>
      </c>
      <c r="G45" s="41">
        <v>1</v>
      </c>
      <c r="H45" s="42">
        <v>0</v>
      </c>
      <c r="I45" s="49" t="s">
        <v>92</v>
      </c>
    </row>
    <row r="46" spans="1:9" ht="15" customHeight="1" x14ac:dyDescent="0.25">
      <c r="A46" s="45" t="s">
        <v>93</v>
      </c>
      <c r="B46" s="27">
        <v>0</v>
      </c>
      <c r="C46" s="33">
        <v>0</v>
      </c>
      <c r="D46" s="33">
        <v>0</v>
      </c>
      <c r="E46" s="34">
        <v>0</v>
      </c>
      <c r="F46" s="35">
        <v>1</v>
      </c>
      <c r="G46" s="36">
        <v>0</v>
      </c>
      <c r="H46" s="37">
        <v>0</v>
      </c>
      <c r="I46" s="50" t="s">
        <v>94</v>
      </c>
    </row>
    <row r="47" spans="1:9" ht="18" x14ac:dyDescent="0.45">
      <c r="A47" s="2" t="s">
        <v>2</v>
      </c>
      <c r="I47" s="48" t="s">
        <v>3</v>
      </c>
    </row>
  </sheetData>
  <mergeCells count="9">
    <mergeCell ref="A1:I1"/>
    <mergeCell ref="A2:I2"/>
    <mergeCell ref="A4:A6"/>
    <mergeCell ref="B4:E4"/>
    <mergeCell ref="F4:F6"/>
    <mergeCell ref="G4:H4"/>
    <mergeCell ref="I4:I6"/>
    <mergeCell ref="B5:E5"/>
    <mergeCell ref="G5:H5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2023-05-16T03:44:01Z</cp:lastPrinted>
  <dcterms:created xsi:type="dcterms:W3CDTF">2019-07-22T06:02:33Z</dcterms:created>
  <dcterms:modified xsi:type="dcterms:W3CDTF">2023-05-16T03:44:16Z</dcterms:modified>
</cp:coreProperties>
</file>