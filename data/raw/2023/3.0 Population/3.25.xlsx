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Population\"/>
    </mc:Choice>
  </mc:AlternateContent>
  <xr:revisionPtr revIDLastSave="0" documentId="13_ncr:1_{B0A69ABF-9038-4022-B801-1F3A3D8A7AAC}" xr6:coauthVersionLast="47" xr6:coauthVersionMax="47" xr10:uidLastSave="{00000000-0000-0000-0000-000000000000}"/>
  <bookViews>
    <workbookView xWindow="-120" yWindow="-120" windowWidth="29040" windowHeight="15720" tabRatio="874" xr2:uid="{00000000-000D-0000-FFFF-FFFF00000000}"/>
  </bookViews>
  <sheets>
    <sheet name="3.25" sheetId="26" r:id="rId1"/>
  </sheets>
  <definedNames>
    <definedName name="_xlnm.Print_Area" localSheetId="0">'3.25'!$A$1:$J$233</definedName>
    <definedName name="_xlnm.Print_Titles" localSheetId="0">'3.25'!$3:$4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26" i="26" l="1"/>
  <c r="H226" i="26"/>
  <c r="G226" i="26"/>
  <c r="F226" i="26"/>
  <c r="E226" i="26"/>
  <c r="D226" i="26"/>
  <c r="C226" i="26"/>
  <c r="B226" i="26"/>
  <c r="H223" i="26"/>
  <c r="G223" i="26"/>
  <c r="F223" i="26"/>
  <c r="E223" i="26"/>
  <c r="D223" i="26"/>
  <c r="I212" i="26"/>
  <c r="H212" i="26"/>
  <c r="G212" i="26"/>
  <c r="F212" i="26"/>
  <c r="E212" i="26"/>
  <c r="D212" i="26"/>
  <c r="C212" i="26"/>
  <c r="B212" i="26"/>
  <c r="I201" i="26"/>
  <c r="H201" i="26"/>
  <c r="G201" i="26"/>
  <c r="F201" i="26"/>
  <c r="E201" i="26"/>
  <c r="D201" i="26"/>
  <c r="C201" i="26"/>
  <c r="B201" i="26"/>
  <c r="I188" i="26"/>
  <c r="H188" i="26"/>
  <c r="G188" i="26"/>
  <c r="F188" i="26"/>
  <c r="E188" i="26"/>
  <c r="D188" i="26"/>
  <c r="C188" i="26"/>
  <c r="B188" i="26"/>
  <c r="I173" i="26"/>
  <c r="H173" i="26"/>
  <c r="G173" i="26"/>
  <c r="F173" i="26"/>
  <c r="E173" i="26"/>
  <c r="D173" i="26"/>
  <c r="C173" i="26"/>
  <c r="B173" i="26"/>
  <c r="I165" i="26"/>
  <c r="H165" i="26"/>
  <c r="G165" i="26"/>
  <c r="F165" i="26"/>
  <c r="E165" i="26"/>
  <c r="D165" i="26"/>
  <c r="C165" i="26"/>
  <c r="B165" i="26"/>
  <c r="I158" i="26"/>
  <c r="H158" i="26"/>
  <c r="G158" i="26"/>
  <c r="F158" i="26"/>
  <c r="E158" i="26"/>
  <c r="D158" i="26"/>
  <c r="C158" i="26"/>
  <c r="B158" i="26"/>
  <c r="I148" i="26"/>
  <c r="H148" i="26"/>
  <c r="G148" i="26"/>
  <c r="F148" i="26"/>
  <c r="E148" i="26"/>
  <c r="D148" i="26"/>
  <c r="C148" i="26"/>
  <c r="B148" i="26"/>
  <c r="I141" i="26"/>
  <c r="H141" i="26"/>
  <c r="G141" i="26"/>
  <c r="F141" i="26"/>
  <c r="E141" i="26"/>
  <c r="D141" i="26"/>
  <c r="C141" i="26"/>
  <c r="B141" i="26"/>
  <c r="I129" i="26"/>
  <c r="H129" i="26"/>
  <c r="G129" i="26"/>
  <c r="F129" i="26"/>
  <c r="E129" i="26"/>
  <c r="D129" i="26"/>
  <c r="C129" i="26"/>
  <c r="B129" i="26"/>
  <c r="I119" i="26"/>
  <c r="H119" i="26"/>
  <c r="G119" i="26"/>
  <c r="F119" i="26"/>
  <c r="E119" i="26"/>
  <c r="D119" i="26"/>
  <c r="C119" i="26"/>
  <c r="B119" i="26"/>
  <c r="I108" i="26"/>
  <c r="H108" i="26"/>
  <c r="G108" i="26"/>
  <c r="F108" i="26"/>
  <c r="E108" i="26"/>
  <c r="D108" i="26"/>
  <c r="C108" i="26"/>
  <c r="B108" i="26"/>
  <c r="I102" i="26"/>
  <c r="H102" i="26"/>
  <c r="G102" i="26"/>
  <c r="F102" i="26"/>
  <c r="E102" i="26"/>
  <c r="D102" i="26"/>
  <c r="C102" i="26"/>
  <c r="B102" i="26"/>
  <c r="I87" i="26"/>
  <c r="H87" i="26"/>
  <c r="G87" i="26"/>
  <c r="F87" i="26"/>
  <c r="E87" i="26"/>
  <c r="D87" i="26"/>
  <c r="C87" i="26"/>
  <c r="B87" i="26"/>
  <c r="I70" i="26"/>
  <c r="H70" i="26"/>
  <c r="G70" i="26"/>
  <c r="F70" i="26"/>
  <c r="E70" i="26"/>
  <c r="D70" i="26"/>
  <c r="C70" i="26"/>
  <c r="B70" i="26"/>
  <c r="I55" i="26"/>
  <c r="H55" i="26"/>
  <c r="G55" i="26"/>
  <c r="F55" i="26"/>
  <c r="E55" i="26"/>
  <c r="D55" i="26"/>
  <c r="D5" i="26" s="1"/>
  <c r="C55" i="26"/>
  <c r="B55" i="26"/>
  <c r="I39" i="26"/>
  <c r="H39" i="26"/>
  <c r="G39" i="26"/>
  <c r="G5" i="26" s="1"/>
  <c r="F39" i="26"/>
  <c r="E39" i="26"/>
  <c r="D39" i="26"/>
  <c r="C39" i="26"/>
  <c r="B39" i="26"/>
  <c r="I24" i="26"/>
  <c r="I5" i="26" s="1"/>
  <c r="H24" i="26"/>
  <c r="G24" i="26"/>
  <c r="F24" i="26"/>
  <c r="E24" i="26"/>
  <c r="C24" i="26"/>
  <c r="B24" i="26"/>
  <c r="B5" i="26" s="1"/>
  <c r="I8" i="26"/>
  <c r="H8" i="26"/>
  <c r="H5" i="26" s="1"/>
  <c r="G8" i="26"/>
  <c r="F8" i="26"/>
  <c r="E8" i="26"/>
  <c r="E5" i="26" s="1"/>
  <c r="D8" i="26"/>
  <c r="C8" i="26"/>
  <c r="C5" i="26" s="1"/>
  <c r="B8" i="26"/>
  <c r="F5" i="26"/>
</calcChain>
</file>

<file path=xl/sharedStrings.xml><?xml version="1.0" encoding="utf-8"?>
<sst xmlns="http://schemas.openxmlformats.org/spreadsheetml/2006/main" count="220" uniqueCount="199">
  <si>
    <t>Republic</t>
  </si>
  <si>
    <t>Hulhumale'</t>
  </si>
  <si>
    <t>North Thiladhunmathi (HA)</t>
  </si>
  <si>
    <t>Thuraakunu</t>
  </si>
  <si>
    <t>Uligamu</t>
  </si>
  <si>
    <t>Mulhadhoo</t>
  </si>
  <si>
    <t>Hoarafushi</t>
  </si>
  <si>
    <t>Ihavandhoo</t>
  </si>
  <si>
    <t>Kelaa</t>
  </si>
  <si>
    <t>Vashafaru</t>
  </si>
  <si>
    <t>Dhidhdhoo</t>
  </si>
  <si>
    <t>Filladhoo</t>
  </si>
  <si>
    <t>Maarandhoo</t>
  </si>
  <si>
    <t>Thakandhoo</t>
  </si>
  <si>
    <t>Utheemu</t>
  </si>
  <si>
    <t>Muraidhoo</t>
  </si>
  <si>
    <t>Baarah</t>
  </si>
  <si>
    <t>South Thiladhunmathi (HDh)</t>
  </si>
  <si>
    <t>Hanimaadhoo</t>
  </si>
  <si>
    <t>Finey</t>
  </si>
  <si>
    <t>Naivaadhoo</t>
  </si>
  <si>
    <t>Hirimaradhoo</t>
  </si>
  <si>
    <t>Nolhivaranfaru</t>
  </si>
  <si>
    <t>Nellaidhoo</t>
  </si>
  <si>
    <t>Nolhivaramu</t>
  </si>
  <si>
    <t>Kurnibi</t>
  </si>
  <si>
    <t>Kulhudhuffushi</t>
  </si>
  <si>
    <t>Kumundhoo</t>
  </si>
  <si>
    <t>Neykurendhoo</t>
  </si>
  <si>
    <t>Vaikaradhoo</t>
  </si>
  <si>
    <t>Makunudhoo</t>
  </si>
  <si>
    <t>North Miladhunmadulu (Sh)</t>
  </si>
  <si>
    <t>Kanditheemu</t>
  </si>
  <si>
    <t>Noomaraa</t>
  </si>
  <si>
    <t>Goidhoo</t>
  </si>
  <si>
    <t>Feydhoo</t>
  </si>
  <si>
    <t>Feevah</t>
  </si>
  <si>
    <t>Billeffahi</t>
  </si>
  <si>
    <t>Foakaidhoo</t>
  </si>
  <si>
    <t>Narudhoo</t>
  </si>
  <si>
    <t>Maroshi</t>
  </si>
  <si>
    <t>Lhaimagu</t>
  </si>
  <si>
    <t>Komandhoo</t>
  </si>
  <si>
    <t>Maaun'goodhoo</t>
  </si>
  <si>
    <t>Funadhoo</t>
  </si>
  <si>
    <t>South Miladhunmadulu (N)</t>
  </si>
  <si>
    <t>Hen'badhoo</t>
  </si>
  <si>
    <t>Ken'dhikulhudhoo</t>
  </si>
  <si>
    <t>Maalhendhoo</t>
  </si>
  <si>
    <t>Kudafari</t>
  </si>
  <si>
    <t>Landhoo</t>
  </si>
  <si>
    <t>Maafaru</t>
  </si>
  <si>
    <t>Lhohi</t>
  </si>
  <si>
    <t>Miladhoo</t>
  </si>
  <si>
    <t>Magoodhoo</t>
  </si>
  <si>
    <t>Manadhoo</t>
  </si>
  <si>
    <t>Holhudhoo</t>
  </si>
  <si>
    <t>Fodhdhoo</t>
  </si>
  <si>
    <t>Velidhoo</t>
  </si>
  <si>
    <t>North Maalhosmadulu (R)</t>
  </si>
  <si>
    <t>Alifushi</t>
  </si>
  <si>
    <t>Vaadhoo</t>
  </si>
  <si>
    <t>Rasgetheemu</t>
  </si>
  <si>
    <t>An'golhitheemu</t>
  </si>
  <si>
    <t>Un'goofaaru</t>
  </si>
  <si>
    <t>Maakurathu</t>
  </si>
  <si>
    <t>Rasmaadhoo</t>
  </si>
  <si>
    <t>Innamaadhoo</t>
  </si>
  <si>
    <t>Maduvvari</t>
  </si>
  <si>
    <t>In'guraidhoo</t>
  </si>
  <si>
    <t>Fainu</t>
  </si>
  <si>
    <t>Meedhoo</t>
  </si>
  <si>
    <t>Kinolhas</t>
  </si>
  <si>
    <t>Hulhudhuffaaru</t>
  </si>
  <si>
    <t>South Maalhosmadulu (B)</t>
  </si>
  <si>
    <t>Kudarikilu</t>
  </si>
  <si>
    <t>Kamadhoo</t>
  </si>
  <si>
    <t>Kendhoo</t>
  </si>
  <si>
    <t>Kihaadhoo</t>
  </si>
  <si>
    <t>Dhonfanu</t>
  </si>
  <si>
    <t>Daravandhoo</t>
  </si>
  <si>
    <t>Maalhos</t>
  </si>
  <si>
    <t>Eydhafushi</t>
  </si>
  <si>
    <t>Thulhaadhoo</t>
  </si>
  <si>
    <t>Hithaadhoo</t>
  </si>
  <si>
    <t>Fulhadhoo</t>
  </si>
  <si>
    <t>Fehendhoo</t>
  </si>
  <si>
    <t>Faadhippolhu (Lh)</t>
  </si>
  <si>
    <t>Hinnavaru</t>
  </si>
  <si>
    <t>Naifaru</t>
  </si>
  <si>
    <t>Kurendhoo</t>
  </si>
  <si>
    <t>Olhuvelifushi</t>
  </si>
  <si>
    <t>Male' Atoll (K)</t>
  </si>
  <si>
    <t>Kaashidhoo</t>
  </si>
  <si>
    <t>Gaafaru</t>
  </si>
  <si>
    <t>Dhiffushi</t>
  </si>
  <si>
    <t>Thulusdhoo</t>
  </si>
  <si>
    <t>Huraa</t>
  </si>
  <si>
    <t>Himmafushi</t>
  </si>
  <si>
    <t>Gulhi</t>
  </si>
  <si>
    <t>Maafushi</t>
  </si>
  <si>
    <t>Guraidhoo</t>
  </si>
  <si>
    <t>North Ari Atoll (AA)</t>
  </si>
  <si>
    <t>Thoddoo</t>
  </si>
  <si>
    <t>Rasdhoo</t>
  </si>
  <si>
    <t>Ukulhas</t>
  </si>
  <si>
    <t>Mathiveri</t>
  </si>
  <si>
    <t>Bodufolhudhoo</t>
  </si>
  <si>
    <t>Feridhoo</t>
  </si>
  <si>
    <t>Himandhoo</t>
  </si>
  <si>
    <t>South Ari Atoll (ADh)</t>
  </si>
  <si>
    <t>Hangn'aameedhoo</t>
  </si>
  <si>
    <t>Omadhoo</t>
  </si>
  <si>
    <t>Kun'burudhoo</t>
  </si>
  <si>
    <t>Mahibadhoo</t>
  </si>
  <si>
    <t>Mandhoo</t>
  </si>
  <si>
    <t>Dhn'agethi</t>
  </si>
  <si>
    <t>Dhigurah</t>
  </si>
  <si>
    <t>Fenfushi</t>
  </si>
  <si>
    <t>Maamigili</t>
  </si>
  <si>
    <t>Felidhu Atoll (V)</t>
  </si>
  <si>
    <t>Fulidhoo</t>
  </si>
  <si>
    <t>Thinadhoo</t>
  </si>
  <si>
    <t>Felidhoo</t>
  </si>
  <si>
    <t>Keyodhoo</t>
  </si>
  <si>
    <t>Rakeedhoo</t>
  </si>
  <si>
    <t>Mulakatholhu (M)</t>
  </si>
  <si>
    <t>Raiymandhoo</t>
  </si>
  <si>
    <t>Veyvah</t>
  </si>
  <si>
    <t>Mulah</t>
  </si>
  <si>
    <t>Muli</t>
  </si>
  <si>
    <t>Naalaafushi</t>
  </si>
  <si>
    <t>Kolhufushi</t>
  </si>
  <si>
    <t>Dhiggaru</t>
  </si>
  <si>
    <t>North Nilandhe Atoll (F)</t>
  </si>
  <si>
    <t>Feeali</t>
  </si>
  <si>
    <t>Biledhhdhoo</t>
  </si>
  <si>
    <t>Dharan'boodhoo</t>
  </si>
  <si>
    <t>Nilandhoo</t>
  </si>
  <si>
    <t>South Nilandhe Atoll (Dh)</t>
  </si>
  <si>
    <t>Ban'didhoo</t>
  </si>
  <si>
    <t>Rin'budhoo</t>
  </si>
  <si>
    <t>Hulhudeli</t>
  </si>
  <si>
    <t>Maaen'boodhoo</t>
  </si>
  <si>
    <t>Kudahuvadhoo</t>
  </si>
  <si>
    <t>Kolhumadulu (Th)</t>
  </si>
  <si>
    <t>Buruni</t>
  </si>
  <si>
    <t>Madifushi</t>
  </si>
  <si>
    <t>Dhiyamigili</t>
  </si>
  <si>
    <t>Kan'doodhoo</t>
  </si>
  <si>
    <t>Vandhoo</t>
  </si>
  <si>
    <t>Hirilandhoo</t>
  </si>
  <si>
    <t>Gaadhiffushi</t>
  </si>
  <si>
    <t>Thimarafushi</t>
  </si>
  <si>
    <t>Veymandoo</t>
  </si>
  <si>
    <t>Kinbidhoo</t>
  </si>
  <si>
    <t>Hadhdhunmathi (L)</t>
  </si>
  <si>
    <t>Ishdhoo</t>
  </si>
  <si>
    <t>Dhan'bidhoo</t>
  </si>
  <si>
    <t>Maabaidhoo</t>
  </si>
  <si>
    <t>Mundoo</t>
  </si>
  <si>
    <t>Gamu</t>
  </si>
  <si>
    <t>Maavah</t>
  </si>
  <si>
    <t>Fonadhoo</t>
  </si>
  <si>
    <t>Maamendhoo</t>
  </si>
  <si>
    <t>Hithadhoo</t>
  </si>
  <si>
    <t>Kunahandhoo</t>
  </si>
  <si>
    <t>North Huvadhu Atoll (GA)</t>
  </si>
  <si>
    <t>Kolamaafushi</t>
  </si>
  <si>
    <t>Viligili</t>
  </si>
  <si>
    <t>Dhaandhoo</t>
  </si>
  <si>
    <t>Devvadhoo</t>
  </si>
  <si>
    <t>Kodey</t>
  </si>
  <si>
    <t>Gemanafushi</t>
  </si>
  <si>
    <t>Kandhuhulhudhoo</t>
  </si>
  <si>
    <t>South Huvadhu Atoll (GDh)</t>
  </si>
  <si>
    <t>Madaveli</t>
  </si>
  <si>
    <t>Hoadhedhdhoo</t>
  </si>
  <si>
    <t>Nadallaa</t>
  </si>
  <si>
    <t>Gadhdhoo</t>
  </si>
  <si>
    <t>Rathafandhoo</t>
  </si>
  <si>
    <t>Fiyoari</t>
  </si>
  <si>
    <t>Faresmaathoda</t>
  </si>
  <si>
    <t>Fuvahmulah (Gn)</t>
  </si>
  <si>
    <t>Fuvahmulah</t>
  </si>
  <si>
    <t>Addu City</t>
  </si>
  <si>
    <t>Maradhoo</t>
  </si>
  <si>
    <t>Maradhoofeydhoo</t>
  </si>
  <si>
    <t>Hulhudhoo</t>
  </si>
  <si>
    <t>Male'</t>
  </si>
  <si>
    <t>Source: Department of Judicial Administration</t>
  </si>
  <si>
    <t>Atoll / Island</t>
  </si>
  <si>
    <t>Marriage</t>
  </si>
  <si>
    <t>Divorce</t>
  </si>
  <si>
    <t xml:space="preserve"> Dhuvaafaru   </t>
  </si>
  <si>
    <t xml:space="preserve">Vilufushi </t>
  </si>
  <si>
    <t>Kalaidhoo</t>
  </si>
  <si>
    <r>
      <t>Milandhoo</t>
    </r>
    <r>
      <rPr>
        <vertAlign val="superscript"/>
        <sz val="10"/>
        <color indexed="8"/>
        <rFont val="Calibri"/>
        <family val="2"/>
      </rPr>
      <t>1_/</t>
    </r>
  </si>
  <si>
    <t>TABLE   3.25:   NUMBER OF MARRIAGES AND DIVORCES BY ISLAND , 2019- 2022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</si>
</sst>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-* #,##0.00\ _ރ_._-;_-* #,##0.00\ _ރ_.\-;_-* &quot;-&quot;??\ _ރ_._-;_-@_-"/>
    <numFmt numFmtId="166" formatCode="General_)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sz val="10"/>
      <color theme="1"/>
      <name val="Arial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0"/>
      <color theme="1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i/>
      <sz val="10"/>
      <color indexed="8"/>
      <name val="Calibri"/>
      <family val="2"/>
    </font>
    <font>
      <sz val="10"/>
      <name val="Times New Roman"/>
      <family val="1"/>
    </font>
    <font>
      <sz val="8"/>
      <name val="Calibri"/>
      <family val="2"/>
      <scheme val="minor"/>
    </font>
    <font>
      <vertAlign val="superscript"/>
      <sz val="10"/>
      <color indexed="8"/>
      <name val="Calibri"/>
      <family val="2"/>
    </font>
    <font>
      <b/>
      <sz val="8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  <scheme val="minor"/>
    </font>
    <font>
      <b/>
      <sz val="10"/>
      <color theme="1" tint="4.9989318521683403E-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000000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26">
    <xf numFmtId="0" fontId="0" fillId="0" borderId="0"/>
    <xf numFmtId="0" fontId="5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14" fillId="0" borderId="0"/>
    <xf numFmtId="0" fontId="5" fillId="0" borderId="0"/>
    <xf numFmtId="0" fontId="5" fillId="0" borderId="0"/>
    <xf numFmtId="0" fontId="1" fillId="0" borderId="0"/>
    <xf numFmtId="166" fontId="3" fillId="0" borderId="0"/>
    <xf numFmtId="0" fontId="4" fillId="0" borderId="0"/>
    <xf numFmtId="43" fontId="4" fillId="0" borderId="0" applyFont="0" applyFill="0" applyBorder="0" applyAlignment="0" applyProtection="0"/>
    <xf numFmtId="0" fontId="20" fillId="0" borderId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84">
    <xf numFmtId="0" fontId="0" fillId="0" borderId="0" xfId="0"/>
    <xf numFmtId="0" fontId="0" fillId="2" borderId="0" xfId="0" applyFill="1"/>
    <xf numFmtId="0" fontId="17" fillId="2" borderId="0" xfId="13" applyFont="1" applyFill="1"/>
    <xf numFmtId="0" fontId="7" fillId="2" borderId="0" xfId="13" applyFont="1" applyFill="1"/>
    <xf numFmtId="0" fontId="21" fillId="2" borderId="0" xfId="13" applyFont="1" applyFill="1" applyAlignment="1">
      <alignment horizontal="center" vertical="center"/>
    </xf>
    <xf numFmtId="0" fontId="21" fillId="2" borderId="0" xfId="13" applyFont="1" applyFill="1" applyAlignment="1">
      <alignment vertical="center"/>
    </xf>
    <xf numFmtId="0" fontId="23" fillId="2" borderId="0" xfId="13" applyFont="1" applyFill="1" applyAlignment="1">
      <alignment horizontal="center" vertical="center"/>
    </xf>
    <xf numFmtId="0" fontId="16" fillId="2" borderId="0" xfId="13" applyFont="1" applyFill="1"/>
    <xf numFmtId="0" fontId="18" fillId="2" borderId="0" xfId="13" applyFont="1" applyFill="1"/>
    <xf numFmtId="0" fontId="19" fillId="2" borderId="0" xfId="0" applyFont="1" applyFill="1" applyAlignment="1">
      <alignment horizontal="left" indent="1"/>
    </xf>
    <xf numFmtId="0" fontId="18" fillId="2" borderId="7" xfId="13" applyFont="1" applyFill="1" applyBorder="1" applyAlignment="1">
      <alignment vertical="center"/>
    </xf>
    <xf numFmtId="0" fontId="12" fillId="2" borderId="0" xfId="0" applyFont="1" applyFill="1"/>
    <xf numFmtId="0" fontId="24" fillId="3" borderId="0" xfId="0" applyFont="1" applyFill="1" applyAlignment="1">
      <alignment horizontal="center" vertical="center"/>
    </xf>
    <xf numFmtId="0" fontId="2" fillId="2" borderId="14" xfId="0" applyFont="1" applyFill="1" applyBorder="1" applyAlignment="1">
      <alignment horizontal="right" vertical="center"/>
    </xf>
    <xf numFmtId="0" fontId="2" fillId="2" borderId="20" xfId="0" applyFont="1" applyFill="1" applyBorder="1" applyAlignment="1">
      <alignment horizontal="right" vertical="center"/>
    </xf>
    <xf numFmtId="0" fontId="2" fillId="2" borderId="11" xfId="0" applyFont="1" applyFill="1" applyBorder="1" applyAlignment="1">
      <alignment horizontal="right" vertical="center"/>
    </xf>
    <xf numFmtId="0" fontId="21" fillId="2" borderId="0" xfId="13" applyFont="1" applyFill="1" applyAlignment="1">
      <alignment horizontal="right" vertical="center"/>
    </xf>
    <xf numFmtId="0" fontId="2" fillId="2" borderId="19" xfId="0" applyFont="1" applyFill="1" applyBorder="1" applyAlignment="1">
      <alignment horizontal="right" vertical="center"/>
    </xf>
    <xf numFmtId="0" fontId="18" fillId="2" borderId="18" xfId="13" applyFont="1" applyFill="1" applyBorder="1" applyAlignment="1">
      <alignment vertical="center"/>
    </xf>
    <xf numFmtId="0" fontId="17" fillId="2" borderId="13" xfId="13" applyFont="1" applyFill="1" applyBorder="1"/>
    <xf numFmtId="0" fontId="17" fillId="2" borderId="10" xfId="13" applyFont="1" applyFill="1" applyBorder="1"/>
    <xf numFmtId="3" fontId="11" fillId="2" borderId="3" xfId="20" applyNumberFormat="1" applyFont="1" applyFill="1" applyBorder="1" applyAlignment="1">
      <alignment horizontal="right" vertical="center"/>
    </xf>
    <xf numFmtId="3" fontId="13" fillId="2" borderId="3" xfId="20" applyNumberFormat="1" applyFont="1" applyFill="1" applyBorder="1" applyAlignment="1">
      <alignment horizontal="right" vertical="center"/>
    </xf>
    <xf numFmtId="3" fontId="13" fillId="2" borderId="4" xfId="20" applyNumberFormat="1" applyFont="1" applyFill="1" applyBorder="1" applyAlignment="1">
      <alignment horizontal="right" vertical="center"/>
    </xf>
    <xf numFmtId="3" fontId="11" fillId="2" borderId="3" xfId="20" applyNumberFormat="1" applyFont="1" applyFill="1" applyBorder="1" applyAlignment="1">
      <alignment vertical="center"/>
    </xf>
    <xf numFmtId="3" fontId="11" fillId="2" borderId="7" xfId="20" applyNumberFormat="1" applyFont="1" applyFill="1" applyBorder="1" applyAlignment="1">
      <alignment horizontal="right" vertical="center"/>
    </xf>
    <xf numFmtId="3" fontId="13" fillId="2" borderId="7" xfId="20" applyNumberFormat="1" applyFont="1" applyFill="1" applyBorder="1"/>
    <xf numFmtId="3" fontId="13" fillId="2" borderId="7" xfId="20" applyNumberFormat="1" applyFont="1" applyFill="1" applyBorder="1" applyAlignment="1">
      <alignment vertical="center"/>
    </xf>
    <xf numFmtId="3" fontId="10" fillId="2" borderId="7" xfId="20" applyNumberFormat="1" applyFont="1" applyFill="1" applyBorder="1"/>
    <xf numFmtId="3" fontId="15" fillId="2" borderId="3" xfId="20" applyNumberFormat="1" applyFont="1" applyFill="1" applyBorder="1" applyAlignment="1">
      <alignment horizontal="right" vertical="center"/>
    </xf>
    <xf numFmtId="3" fontId="8" fillId="2" borderId="3" xfId="20" applyNumberFormat="1" applyFont="1" applyFill="1" applyBorder="1" applyAlignment="1">
      <alignment horizontal="right" vertical="center"/>
    </xf>
    <xf numFmtId="3" fontId="11" fillId="2" borderId="7" xfId="20" applyNumberFormat="1" applyFont="1" applyFill="1" applyBorder="1" applyAlignment="1">
      <alignment vertical="center"/>
    </xf>
    <xf numFmtId="3" fontId="11" fillId="2" borderId="7" xfId="20" applyNumberFormat="1" applyFont="1" applyFill="1" applyBorder="1"/>
    <xf numFmtId="0" fontId="25" fillId="4" borderId="7" xfId="0" applyFont="1" applyFill="1" applyBorder="1"/>
    <xf numFmtId="0" fontId="18" fillId="4" borderId="3" xfId="0" applyFont="1" applyFill="1" applyBorder="1" applyAlignment="1">
      <alignment horizontal="right" vertical="center"/>
    </xf>
    <xf numFmtId="0" fontId="18" fillId="4" borderId="7" xfId="0" applyFont="1" applyFill="1" applyBorder="1" applyAlignment="1">
      <alignment vertical="center"/>
    </xf>
    <xf numFmtId="0" fontId="25" fillId="4" borderId="12" xfId="0" applyFont="1" applyFill="1" applyBorder="1"/>
    <xf numFmtId="0" fontId="18" fillId="4" borderId="6" xfId="0" applyFont="1" applyFill="1" applyBorder="1" applyAlignment="1">
      <alignment horizontal="right" vertical="center"/>
    </xf>
    <xf numFmtId="0" fontId="25" fillId="4" borderId="7" xfId="0" applyFont="1" applyFill="1" applyBorder="1" applyAlignment="1">
      <alignment vertical="center"/>
    </xf>
    <xf numFmtId="3" fontId="9" fillId="2" borderId="3" xfId="20" applyNumberFormat="1" applyFont="1" applyFill="1" applyBorder="1" applyAlignment="1">
      <alignment horizontal="right" vertical="center"/>
    </xf>
    <xf numFmtId="3" fontId="13" fillId="2" borderId="12" xfId="20" applyNumberFormat="1" applyFont="1" applyFill="1" applyBorder="1"/>
    <xf numFmtId="3" fontId="9" fillId="2" borderId="6" xfId="20" applyNumberFormat="1" applyFont="1" applyFill="1" applyBorder="1" applyAlignment="1">
      <alignment horizontal="right" vertical="center"/>
    </xf>
    <xf numFmtId="3" fontId="13" fillId="2" borderId="6" xfId="20" applyNumberFormat="1" applyFont="1" applyFill="1" applyBorder="1" applyAlignment="1">
      <alignment horizontal="right" vertical="center"/>
    </xf>
    <xf numFmtId="0" fontId="25" fillId="4" borderId="3" xfId="0" applyFont="1" applyFill="1" applyBorder="1" applyAlignment="1">
      <alignment horizontal="right" vertical="center"/>
    </xf>
    <xf numFmtId="0" fontId="25" fillId="4" borderId="6" xfId="0" applyFont="1" applyFill="1" applyBorder="1" applyAlignment="1">
      <alignment horizontal="right" vertical="center"/>
    </xf>
    <xf numFmtId="3" fontId="13" fillId="2" borderId="24" xfId="20" applyNumberFormat="1" applyFont="1" applyFill="1" applyBorder="1"/>
    <xf numFmtId="3" fontId="13" fillId="2" borderId="9" xfId="20" applyNumberFormat="1" applyFont="1" applyFill="1" applyBorder="1"/>
    <xf numFmtId="0" fontId="6" fillId="2" borderId="2" xfId="13" applyFont="1" applyFill="1" applyBorder="1" applyAlignment="1">
      <alignment horizontal="center" vertical="center" wrapText="1"/>
    </xf>
    <xf numFmtId="0" fontId="6" fillId="2" borderId="1" xfId="13" applyFont="1" applyFill="1" applyBorder="1" applyAlignment="1">
      <alignment horizontal="center" vertical="center" wrapText="1"/>
    </xf>
    <xf numFmtId="0" fontId="6" fillId="2" borderId="8" xfId="13" applyFont="1" applyFill="1" applyBorder="1" applyAlignment="1">
      <alignment horizontal="center"/>
    </xf>
    <xf numFmtId="0" fontId="6" fillId="2" borderId="15" xfId="13" applyFont="1" applyFill="1" applyBorder="1" applyAlignment="1">
      <alignment horizontal="center"/>
    </xf>
    <xf numFmtId="0" fontId="6" fillId="2" borderId="16" xfId="13" applyFont="1" applyFill="1" applyBorder="1" applyAlignment="1">
      <alignment horizontal="center"/>
    </xf>
    <xf numFmtId="0" fontId="24" fillId="3" borderId="0" xfId="0" applyFont="1" applyFill="1" applyAlignment="1">
      <alignment horizontal="center" vertical="center"/>
    </xf>
    <xf numFmtId="3" fontId="11" fillId="2" borderId="0" xfId="20" applyNumberFormat="1" applyFont="1" applyFill="1"/>
    <xf numFmtId="3" fontId="11" fillId="2" borderId="21" xfId="20" applyNumberFormat="1" applyFont="1" applyFill="1" applyBorder="1" applyAlignment="1">
      <alignment vertical="center"/>
    </xf>
    <xf numFmtId="3" fontId="11" fillId="2" borderId="18" xfId="20" applyNumberFormat="1" applyFont="1" applyFill="1" applyBorder="1" applyAlignment="1">
      <alignment vertical="center"/>
    </xf>
    <xf numFmtId="3" fontId="11" fillId="2" borderId="21" xfId="20" applyNumberFormat="1" applyFont="1" applyFill="1" applyBorder="1" applyAlignment="1">
      <alignment horizontal="right" vertical="center"/>
    </xf>
    <xf numFmtId="3" fontId="11" fillId="2" borderId="18" xfId="20" applyNumberFormat="1" applyFont="1" applyFill="1" applyBorder="1"/>
    <xf numFmtId="3" fontId="11" fillId="2" borderId="0" xfId="20" applyNumberFormat="1" applyFont="1" applyFill="1" applyAlignment="1">
      <alignment horizontal="left" vertical="center"/>
    </xf>
    <xf numFmtId="3" fontId="11" fillId="2" borderId="18" xfId="20" applyNumberFormat="1" applyFont="1" applyFill="1" applyBorder="1" applyAlignment="1">
      <alignment horizontal="right" vertical="center"/>
    </xf>
    <xf numFmtId="3" fontId="13" fillId="2" borderId="0" xfId="20" applyNumberFormat="1" applyFont="1" applyFill="1"/>
    <xf numFmtId="3" fontId="9" fillId="2" borderId="21" xfId="20" applyNumberFormat="1" applyFont="1" applyFill="1" applyBorder="1" applyAlignment="1">
      <alignment horizontal="right" vertical="center"/>
    </xf>
    <xf numFmtId="3" fontId="13" fillId="2" borderId="18" xfId="20" applyNumberFormat="1" applyFont="1" applyFill="1" applyBorder="1"/>
    <xf numFmtId="0" fontId="25" fillId="4" borderId="18" xfId="0" applyFont="1" applyFill="1" applyBorder="1"/>
    <xf numFmtId="0" fontId="18" fillId="4" borderId="18" xfId="0" applyFont="1" applyFill="1" applyBorder="1" applyAlignment="1">
      <alignment vertical="center"/>
    </xf>
    <xf numFmtId="3" fontId="13" fillId="2" borderId="5" xfId="20" applyNumberFormat="1" applyFont="1" applyFill="1" applyBorder="1"/>
    <xf numFmtId="3" fontId="9" fillId="2" borderId="22" xfId="20" applyNumberFormat="1" applyFont="1" applyFill="1" applyBorder="1" applyAlignment="1">
      <alignment horizontal="right" vertical="center"/>
    </xf>
    <xf numFmtId="0" fontId="25" fillId="4" borderId="24" xfId="0" applyFont="1" applyFill="1" applyBorder="1"/>
    <xf numFmtId="3" fontId="13" fillId="2" borderId="0" xfId="20" applyNumberFormat="1" applyFont="1" applyFill="1" applyAlignment="1">
      <alignment vertical="center"/>
    </xf>
    <xf numFmtId="3" fontId="13" fillId="2" borderId="18" xfId="20" applyNumberFormat="1" applyFont="1" applyFill="1" applyBorder="1" applyAlignment="1">
      <alignment vertical="center"/>
    </xf>
    <xf numFmtId="0" fontId="25" fillId="4" borderId="18" xfId="0" applyFont="1" applyFill="1" applyBorder="1" applyAlignment="1">
      <alignment vertical="center"/>
    </xf>
    <xf numFmtId="3" fontId="10" fillId="2" borderId="0" xfId="20" applyNumberFormat="1" applyFont="1" applyFill="1"/>
    <xf numFmtId="3" fontId="15" fillId="2" borderId="21" xfId="20" applyNumberFormat="1" applyFont="1" applyFill="1" applyBorder="1" applyAlignment="1">
      <alignment horizontal="right" vertical="center"/>
    </xf>
    <xf numFmtId="3" fontId="10" fillId="2" borderId="18" xfId="20" applyNumberFormat="1" applyFont="1" applyFill="1" applyBorder="1"/>
    <xf numFmtId="3" fontId="8" fillId="2" borderId="21" xfId="20" applyNumberFormat="1" applyFont="1" applyFill="1" applyBorder="1" applyAlignment="1">
      <alignment horizontal="right" vertical="center"/>
    </xf>
    <xf numFmtId="3" fontId="13" fillId="2" borderId="21" xfId="20" applyNumberFormat="1" applyFont="1" applyFill="1" applyBorder="1" applyAlignment="1">
      <alignment horizontal="right" vertical="center"/>
    </xf>
    <xf numFmtId="3" fontId="13" fillId="2" borderId="22" xfId="20" applyNumberFormat="1" applyFont="1" applyFill="1" applyBorder="1" applyAlignment="1">
      <alignment horizontal="right" vertical="center"/>
    </xf>
    <xf numFmtId="3" fontId="11" fillId="2" borderId="0" xfId="20" applyNumberFormat="1" applyFont="1" applyFill="1" applyAlignment="1">
      <alignment horizontal="right" vertical="center"/>
    </xf>
    <xf numFmtId="3" fontId="26" fillId="2" borderId="3" xfId="20" applyNumberFormat="1" applyFont="1" applyFill="1" applyBorder="1" applyAlignment="1">
      <alignment horizontal="right" vertical="center"/>
    </xf>
    <xf numFmtId="3" fontId="24" fillId="2" borderId="3" xfId="20" applyNumberFormat="1" applyFont="1" applyFill="1" applyBorder="1" applyAlignment="1">
      <alignment horizontal="right" vertical="center"/>
    </xf>
    <xf numFmtId="3" fontId="24" fillId="2" borderId="18" xfId="20" applyNumberFormat="1" applyFont="1" applyFill="1" applyBorder="1" applyAlignment="1">
      <alignment horizontal="right" vertical="center"/>
    </xf>
    <xf numFmtId="3" fontId="13" fillId="2" borderId="1" xfId="20" applyNumberFormat="1" applyFont="1" applyFill="1" applyBorder="1"/>
    <xf numFmtId="3" fontId="13" fillId="2" borderId="23" xfId="20" applyNumberFormat="1" applyFont="1" applyFill="1" applyBorder="1" applyAlignment="1">
      <alignment horizontal="right" vertical="center"/>
    </xf>
    <xf numFmtId="3" fontId="13" fillId="2" borderId="17" xfId="20" applyNumberFormat="1" applyFont="1" applyFill="1" applyBorder="1"/>
  </cellXfs>
  <cellStyles count="26">
    <cellStyle name="1" xfId="14" xr:uid="{00000000-0005-0000-0000-000000000000}"/>
    <cellStyle name="Comma 2" xfId="12" xr:uid="{00000000-0005-0000-0000-000002000000}"/>
    <cellStyle name="Comma 2 2" xfId="24" xr:uid="{00000000-0005-0000-0000-000003000000}"/>
    <cellStyle name="Comma 3" xfId="5" xr:uid="{00000000-0005-0000-0000-000004000000}"/>
    <cellStyle name="Comma 3 2" xfId="16" xr:uid="{00000000-0005-0000-0000-000005000000}"/>
    <cellStyle name="Comma 3 3" xfId="25" xr:uid="{00000000-0005-0000-0000-000006000000}"/>
    <cellStyle name="Comma 4" xfId="3" xr:uid="{00000000-0005-0000-0000-000007000000}"/>
    <cellStyle name="Comma 4 2" xfId="19" xr:uid="{00000000-0005-0000-0000-000008000000}"/>
    <cellStyle name="Comma 7" xfId="15" xr:uid="{00000000-0005-0000-0000-000009000000}"/>
    <cellStyle name="Normal" xfId="0" builtinId="0"/>
    <cellStyle name="Normal 11" xfId="6" xr:uid="{00000000-0005-0000-0000-00000E000000}"/>
    <cellStyle name="Normal 2" xfId="4" xr:uid="{00000000-0005-0000-0000-00000F000000}"/>
    <cellStyle name="Normal 2 2" xfId="21" xr:uid="{00000000-0005-0000-0000-000010000000}"/>
    <cellStyle name="Normal 20" xfId="2" xr:uid="{00000000-0005-0000-0000-000011000000}"/>
    <cellStyle name="Normal 20 2" xfId="18" xr:uid="{00000000-0005-0000-0000-000012000000}"/>
    <cellStyle name="Normal 3" xfId="11" xr:uid="{00000000-0005-0000-0000-000013000000}"/>
    <cellStyle name="Normal 32" xfId="7" xr:uid="{00000000-0005-0000-0000-000014000000}"/>
    <cellStyle name="Normal 32 2" xfId="22" xr:uid="{00000000-0005-0000-0000-000015000000}"/>
    <cellStyle name="Normal 4" xfId="10" xr:uid="{00000000-0005-0000-0000-000016000000}"/>
    <cellStyle name="Normal 44" xfId="8" xr:uid="{00000000-0005-0000-0000-000017000000}"/>
    <cellStyle name="Normal 44 2" xfId="23" xr:uid="{00000000-0005-0000-0000-000018000000}"/>
    <cellStyle name="Normal 48" xfId="9" xr:uid="{00000000-0005-0000-0000-000019000000}"/>
    <cellStyle name="Normal 5" xfId="1" xr:uid="{00000000-0005-0000-0000-00001A000000}"/>
    <cellStyle name="Normal 5 2" xfId="17" xr:uid="{00000000-0005-0000-0000-00001B000000}"/>
    <cellStyle name="Normal_II-15(Population) 2 2" xfId="20" xr:uid="{00000000-0005-0000-0000-000022000000}"/>
    <cellStyle name="Normal_TABLE29" xfId="13" xr:uid="{00000000-0005-0000-0000-000025000000}"/>
  </cellStyles>
  <dxfs count="0"/>
  <tableStyles count="0" defaultTableStyle="TableStyleMedium2" defaultPivotStyle="PivotStyleLight16"/>
  <colors>
    <mruColors>
      <color rgb="FFCC0066"/>
      <color rgb="FFFF8181"/>
      <color rgb="FFFFF7F7"/>
      <color rgb="FFFFDDDD"/>
      <color rgb="FFFFAFAF"/>
      <color rgb="FFFF5050"/>
      <color rgb="FFFF9900"/>
      <color rgb="FF196563"/>
      <color rgb="FF24939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2D050"/>
  </sheetPr>
  <dimension ref="A1:Q233"/>
  <sheetViews>
    <sheetView tabSelected="1" view="pageBreakPreview" topLeftCell="A172" zoomScale="60" zoomScaleNormal="100" workbookViewId="0">
      <selection activeCell="H2" sqref="H2:J2"/>
    </sheetView>
  </sheetViews>
  <sheetFormatPr defaultColWidth="6.85546875" defaultRowHeight="12.75" x14ac:dyDescent="0.2"/>
  <cols>
    <col min="1" max="1" width="28" style="8" customWidth="1"/>
    <col min="2" max="9" width="14.85546875" style="8" customWidth="1"/>
    <col min="10" max="10" width="3.7109375" style="2" customWidth="1"/>
    <col min="11" max="16384" width="6.85546875" style="2"/>
  </cols>
  <sheetData>
    <row r="1" spans="1:9" ht="15" customHeight="1" x14ac:dyDescent="0.2">
      <c r="A1" s="52" t="s">
        <v>198</v>
      </c>
      <c r="B1" s="52"/>
      <c r="C1" s="52"/>
      <c r="D1" s="52"/>
      <c r="E1" s="52"/>
      <c r="F1" s="52"/>
      <c r="G1" s="52"/>
      <c r="H1" s="52"/>
      <c r="I1" s="52"/>
    </row>
    <row r="2" spans="1:9" ht="15" customHeight="1" x14ac:dyDescent="0.2">
      <c r="A2" s="12"/>
      <c r="B2" s="12"/>
      <c r="C2" s="12"/>
      <c r="D2" s="12"/>
      <c r="E2" s="12"/>
      <c r="F2" s="12"/>
      <c r="G2" s="12"/>
      <c r="H2" s="12"/>
      <c r="I2" s="12"/>
    </row>
    <row r="3" spans="1:9" ht="15" customHeight="1" x14ac:dyDescent="0.25">
      <c r="A3" s="47" t="s">
        <v>191</v>
      </c>
      <c r="B3" s="49">
        <v>2019</v>
      </c>
      <c r="C3" s="50"/>
      <c r="D3" s="51">
        <v>2020</v>
      </c>
      <c r="E3" s="50"/>
      <c r="F3" s="49">
        <v>2021</v>
      </c>
      <c r="G3" s="49"/>
      <c r="H3" s="51">
        <v>2022</v>
      </c>
      <c r="I3" s="49"/>
    </row>
    <row r="4" spans="1:9" s="3" customFormat="1" ht="20.25" customHeight="1" x14ac:dyDescent="0.25">
      <c r="A4" s="48"/>
      <c r="B4" s="13" t="s">
        <v>192</v>
      </c>
      <c r="C4" s="14" t="s">
        <v>193</v>
      </c>
      <c r="D4" s="17" t="s">
        <v>192</v>
      </c>
      <c r="E4" s="14" t="s">
        <v>193</v>
      </c>
      <c r="F4" s="13" t="s">
        <v>192</v>
      </c>
      <c r="G4" s="15" t="s">
        <v>193</v>
      </c>
      <c r="H4" s="17" t="s">
        <v>192</v>
      </c>
      <c r="I4" s="15" t="s">
        <v>193</v>
      </c>
    </row>
    <row r="5" spans="1:9" s="4" customFormat="1" ht="15.75" customHeight="1" x14ac:dyDescent="0.2">
      <c r="A5" s="53" t="s">
        <v>0</v>
      </c>
      <c r="B5" s="31">
        <f t="shared" ref="B5:I5" si="0">B6+B7+B8+B24+B39+B55+B70+B87+B102+B108+B119+B129+B141+B148+B158+B165+B173+B188+B201+B212+B223+B226</f>
        <v>5069</v>
      </c>
      <c r="C5" s="54">
        <f t="shared" si="0"/>
        <v>3550</v>
      </c>
      <c r="D5" s="55">
        <f t="shared" si="0"/>
        <v>4998</v>
      </c>
      <c r="E5" s="54">
        <f t="shared" si="0"/>
        <v>2984</v>
      </c>
      <c r="F5" s="31">
        <f t="shared" si="0"/>
        <v>5414</v>
      </c>
      <c r="G5" s="24">
        <f t="shared" si="0"/>
        <v>3242</v>
      </c>
      <c r="H5" s="55">
        <f t="shared" si="0"/>
        <v>5753</v>
      </c>
      <c r="I5" s="24">
        <f t="shared" si="0"/>
        <v>3431</v>
      </c>
    </row>
    <row r="6" spans="1:9" s="6" customFormat="1" ht="15.75" customHeight="1" x14ac:dyDescent="0.2">
      <c r="A6" s="53" t="s">
        <v>189</v>
      </c>
      <c r="B6" s="32">
        <v>2055</v>
      </c>
      <c r="C6" s="56">
        <v>1260</v>
      </c>
      <c r="D6" s="57">
        <v>1995</v>
      </c>
      <c r="E6" s="56">
        <v>928</v>
      </c>
      <c r="F6" s="32">
        <v>2396</v>
      </c>
      <c r="G6" s="21">
        <v>1191</v>
      </c>
      <c r="H6" s="57">
        <v>2514</v>
      </c>
      <c r="I6" s="21">
        <v>1346</v>
      </c>
    </row>
    <row r="7" spans="1:9" s="6" customFormat="1" ht="15.75" customHeight="1" x14ac:dyDescent="0.2">
      <c r="A7" s="53" t="s">
        <v>1</v>
      </c>
      <c r="B7" s="32">
        <v>312</v>
      </c>
      <c r="C7" s="56">
        <v>359</v>
      </c>
      <c r="D7" s="57">
        <v>237</v>
      </c>
      <c r="E7" s="56">
        <v>173</v>
      </c>
      <c r="F7" s="32">
        <v>330</v>
      </c>
      <c r="G7" s="21">
        <v>247</v>
      </c>
      <c r="H7" s="57">
        <v>441</v>
      </c>
      <c r="I7" s="21">
        <v>311</v>
      </c>
    </row>
    <row r="8" spans="1:9" s="5" customFormat="1" x14ac:dyDescent="0.25">
      <c r="A8" s="58" t="s">
        <v>2</v>
      </c>
      <c r="B8" s="25">
        <f t="shared" ref="B8:G8" si="1">SUM(B9:B22)</f>
        <v>156</v>
      </c>
      <c r="C8" s="56">
        <f t="shared" si="1"/>
        <v>80</v>
      </c>
      <c r="D8" s="59">
        <f t="shared" si="1"/>
        <v>134</v>
      </c>
      <c r="E8" s="56">
        <f t="shared" si="1"/>
        <v>85</v>
      </c>
      <c r="F8" s="25">
        <f t="shared" si="1"/>
        <v>121</v>
      </c>
      <c r="G8" s="21">
        <f t="shared" si="1"/>
        <v>82</v>
      </c>
      <c r="H8" s="59">
        <f t="shared" ref="H8:I8" si="2">SUM(H9:H22)</f>
        <v>154</v>
      </c>
      <c r="I8" s="21">
        <f t="shared" si="2"/>
        <v>92</v>
      </c>
    </row>
    <row r="9" spans="1:9" s="5" customFormat="1" x14ac:dyDescent="0.2">
      <c r="A9" s="60" t="s">
        <v>3</v>
      </c>
      <c r="B9" s="26">
        <v>1</v>
      </c>
      <c r="C9" s="61">
        <v>1</v>
      </c>
      <c r="D9" s="62">
        <v>1</v>
      </c>
      <c r="E9" s="61">
        <v>1</v>
      </c>
      <c r="F9" s="33">
        <v>3</v>
      </c>
      <c r="G9" s="34">
        <v>0</v>
      </c>
      <c r="H9" s="63">
        <v>2</v>
      </c>
      <c r="I9" s="34">
        <v>0</v>
      </c>
    </row>
    <row r="10" spans="1:9" s="5" customFormat="1" x14ac:dyDescent="0.2">
      <c r="A10" s="60" t="s">
        <v>4</v>
      </c>
      <c r="B10" s="26">
        <v>5</v>
      </c>
      <c r="C10" s="61">
        <v>3</v>
      </c>
      <c r="D10" s="62">
        <v>4</v>
      </c>
      <c r="E10" s="61">
        <v>0</v>
      </c>
      <c r="F10" s="33">
        <v>0</v>
      </c>
      <c r="G10" s="34">
        <v>0</v>
      </c>
      <c r="H10" s="63">
        <v>3</v>
      </c>
      <c r="I10" s="34">
        <v>1</v>
      </c>
    </row>
    <row r="11" spans="1:9" s="5" customFormat="1" x14ac:dyDescent="0.2">
      <c r="A11" s="60" t="s">
        <v>5</v>
      </c>
      <c r="B11" s="10">
        <v>2</v>
      </c>
      <c r="C11" s="61">
        <v>0</v>
      </c>
      <c r="D11" s="18">
        <v>3</v>
      </c>
      <c r="E11" s="61">
        <v>1</v>
      </c>
      <c r="F11" s="35">
        <v>1</v>
      </c>
      <c r="G11" s="34">
        <v>0</v>
      </c>
      <c r="H11" s="64">
        <v>2</v>
      </c>
      <c r="I11" s="34">
        <v>1</v>
      </c>
    </row>
    <row r="12" spans="1:9" s="5" customFormat="1" x14ac:dyDescent="0.2">
      <c r="A12" s="60" t="s">
        <v>6</v>
      </c>
      <c r="B12" s="26">
        <v>19</v>
      </c>
      <c r="C12" s="61">
        <v>17</v>
      </c>
      <c r="D12" s="62">
        <v>9</v>
      </c>
      <c r="E12" s="61">
        <v>12</v>
      </c>
      <c r="F12" s="33">
        <v>20</v>
      </c>
      <c r="G12" s="34">
        <v>16</v>
      </c>
      <c r="H12" s="63">
        <v>25</v>
      </c>
      <c r="I12" s="34">
        <v>19</v>
      </c>
    </row>
    <row r="13" spans="1:9" s="5" customFormat="1" x14ac:dyDescent="0.2">
      <c r="A13" s="60" t="s">
        <v>7</v>
      </c>
      <c r="B13" s="26">
        <v>32</v>
      </c>
      <c r="C13" s="61">
        <v>3</v>
      </c>
      <c r="D13" s="62">
        <v>32</v>
      </c>
      <c r="E13" s="61">
        <v>15</v>
      </c>
      <c r="F13" s="33">
        <v>26</v>
      </c>
      <c r="G13" s="34">
        <v>11</v>
      </c>
      <c r="H13" s="63">
        <v>45</v>
      </c>
      <c r="I13" s="34">
        <v>12</v>
      </c>
    </row>
    <row r="14" spans="1:9" s="5" customFormat="1" x14ac:dyDescent="0.2">
      <c r="A14" s="60" t="s">
        <v>8</v>
      </c>
      <c r="B14" s="26">
        <v>5</v>
      </c>
      <c r="C14" s="61">
        <v>3</v>
      </c>
      <c r="D14" s="62">
        <v>6</v>
      </c>
      <c r="E14" s="61">
        <v>7</v>
      </c>
      <c r="F14" s="33">
        <v>2</v>
      </c>
      <c r="G14" s="34">
        <v>6</v>
      </c>
      <c r="H14" s="63">
        <v>6</v>
      </c>
      <c r="I14" s="34">
        <v>6</v>
      </c>
    </row>
    <row r="15" spans="1:9" s="5" customFormat="1" x14ac:dyDescent="0.2">
      <c r="A15" s="60" t="s">
        <v>9</v>
      </c>
      <c r="B15" s="26">
        <v>10</v>
      </c>
      <c r="C15" s="61">
        <v>4</v>
      </c>
      <c r="D15" s="62">
        <v>4</v>
      </c>
      <c r="E15" s="61">
        <v>1</v>
      </c>
      <c r="F15" s="33">
        <v>9</v>
      </c>
      <c r="G15" s="34">
        <v>4</v>
      </c>
      <c r="H15" s="63">
        <v>6</v>
      </c>
      <c r="I15" s="34">
        <v>1</v>
      </c>
    </row>
    <row r="16" spans="1:9" s="5" customFormat="1" x14ac:dyDescent="0.2">
      <c r="A16" s="60" t="s">
        <v>10</v>
      </c>
      <c r="B16" s="26">
        <v>29</v>
      </c>
      <c r="C16" s="61">
        <v>18</v>
      </c>
      <c r="D16" s="62">
        <v>35</v>
      </c>
      <c r="E16" s="61">
        <v>21</v>
      </c>
      <c r="F16" s="33">
        <v>18</v>
      </c>
      <c r="G16" s="34">
        <v>24</v>
      </c>
      <c r="H16" s="63">
        <v>26</v>
      </c>
      <c r="I16" s="34">
        <v>23</v>
      </c>
    </row>
    <row r="17" spans="1:10" s="5" customFormat="1" x14ac:dyDescent="0.2">
      <c r="A17" s="60" t="s">
        <v>11</v>
      </c>
      <c r="B17" s="26">
        <v>6</v>
      </c>
      <c r="C17" s="61">
        <v>5</v>
      </c>
      <c r="D17" s="62">
        <v>6</v>
      </c>
      <c r="E17" s="61">
        <v>3</v>
      </c>
      <c r="F17" s="33">
        <v>5</v>
      </c>
      <c r="G17" s="34">
        <v>1</v>
      </c>
      <c r="H17" s="63">
        <v>4</v>
      </c>
      <c r="I17" s="34">
        <v>2</v>
      </c>
    </row>
    <row r="18" spans="1:10" s="5" customFormat="1" x14ac:dyDescent="0.2">
      <c r="A18" s="60" t="s">
        <v>12</v>
      </c>
      <c r="B18" s="26">
        <v>11</v>
      </c>
      <c r="C18" s="61">
        <v>7</v>
      </c>
      <c r="D18" s="62">
        <v>8</v>
      </c>
      <c r="E18" s="61">
        <v>2</v>
      </c>
      <c r="F18" s="33">
        <v>8</v>
      </c>
      <c r="G18" s="34">
        <v>9</v>
      </c>
      <c r="H18" s="63">
        <v>5</v>
      </c>
      <c r="I18" s="34">
        <v>5</v>
      </c>
    </row>
    <row r="19" spans="1:10" s="5" customFormat="1" x14ac:dyDescent="0.2">
      <c r="A19" s="60" t="s">
        <v>13</v>
      </c>
      <c r="B19" s="26">
        <v>3</v>
      </c>
      <c r="C19" s="61">
        <v>0</v>
      </c>
      <c r="D19" s="62">
        <v>4</v>
      </c>
      <c r="E19" s="61">
        <v>0</v>
      </c>
      <c r="F19" s="33">
        <v>3</v>
      </c>
      <c r="G19" s="34">
        <v>0</v>
      </c>
      <c r="H19" s="63">
        <v>2</v>
      </c>
      <c r="I19" s="34">
        <v>4</v>
      </c>
    </row>
    <row r="20" spans="1:10" s="5" customFormat="1" x14ac:dyDescent="0.2">
      <c r="A20" s="60" t="s">
        <v>14</v>
      </c>
      <c r="B20" s="26">
        <v>12</v>
      </c>
      <c r="C20" s="61">
        <v>6</v>
      </c>
      <c r="D20" s="62">
        <v>3</v>
      </c>
      <c r="E20" s="61">
        <v>4</v>
      </c>
      <c r="F20" s="33">
        <v>8</v>
      </c>
      <c r="G20" s="34">
        <v>4</v>
      </c>
      <c r="H20" s="63">
        <v>6</v>
      </c>
      <c r="I20" s="34">
        <v>6</v>
      </c>
    </row>
    <row r="21" spans="1:10" s="5" customFormat="1" x14ac:dyDescent="0.2">
      <c r="A21" s="60" t="s">
        <v>15</v>
      </c>
      <c r="B21" s="26">
        <v>6</v>
      </c>
      <c r="C21" s="61">
        <v>5</v>
      </c>
      <c r="D21" s="62">
        <v>6</v>
      </c>
      <c r="E21" s="61">
        <v>12</v>
      </c>
      <c r="F21" s="33">
        <v>6</v>
      </c>
      <c r="G21" s="34">
        <v>2</v>
      </c>
      <c r="H21" s="63">
        <v>5</v>
      </c>
      <c r="I21" s="34">
        <v>3</v>
      </c>
    </row>
    <row r="22" spans="1:10" s="5" customFormat="1" x14ac:dyDescent="0.2">
      <c r="A22" s="65" t="s">
        <v>16</v>
      </c>
      <c r="B22" s="40">
        <v>15</v>
      </c>
      <c r="C22" s="66">
        <v>8</v>
      </c>
      <c r="D22" s="45">
        <v>13</v>
      </c>
      <c r="E22" s="66">
        <v>6</v>
      </c>
      <c r="F22" s="36">
        <v>12</v>
      </c>
      <c r="G22" s="37">
        <v>5</v>
      </c>
      <c r="H22" s="67">
        <v>17</v>
      </c>
      <c r="I22" s="37">
        <v>9</v>
      </c>
    </row>
    <row r="23" spans="1:10" s="5" customFormat="1" x14ac:dyDescent="0.2">
      <c r="A23" s="60"/>
      <c r="B23" s="26"/>
      <c r="C23" s="56"/>
      <c r="D23" s="62"/>
      <c r="E23" s="56"/>
      <c r="F23" s="26"/>
      <c r="G23" s="21"/>
      <c r="H23" s="62"/>
      <c r="I23" s="21"/>
    </row>
    <row r="24" spans="1:10" s="5" customFormat="1" x14ac:dyDescent="0.25">
      <c r="A24" s="58" t="s">
        <v>17</v>
      </c>
      <c r="B24" s="25">
        <f>SUM(B25:B37)</f>
        <v>256</v>
      </c>
      <c r="C24" s="56">
        <f>SUM(C25:C37)</f>
        <v>158</v>
      </c>
      <c r="D24" s="59">
        <v>271</v>
      </c>
      <c r="E24" s="56">
        <f>SUM(E25:E37)</f>
        <v>170</v>
      </c>
      <c r="F24" s="25">
        <f>SUM(F25:F37)</f>
        <v>242</v>
      </c>
      <c r="G24" s="21">
        <f>SUM(G25:G37)</f>
        <v>158</v>
      </c>
      <c r="H24" s="59">
        <f>SUM(H25:H37)</f>
        <v>312</v>
      </c>
      <c r="I24" s="21">
        <f>SUM(I25:I37)</f>
        <v>117</v>
      </c>
      <c r="J24" s="16"/>
    </row>
    <row r="25" spans="1:10" s="5" customFormat="1" x14ac:dyDescent="0.25">
      <c r="A25" s="68" t="s">
        <v>18</v>
      </c>
      <c r="B25" s="27">
        <v>24</v>
      </c>
      <c r="C25" s="61">
        <v>15</v>
      </c>
      <c r="D25" s="69">
        <v>41</v>
      </c>
      <c r="E25" s="61">
        <v>27</v>
      </c>
      <c r="F25" s="38">
        <v>3</v>
      </c>
      <c r="G25" s="34">
        <v>5</v>
      </c>
      <c r="H25" s="70">
        <v>3</v>
      </c>
      <c r="I25" s="34">
        <v>2</v>
      </c>
    </row>
    <row r="26" spans="1:10" s="5" customFormat="1" x14ac:dyDescent="0.25">
      <c r="A26" s="68" t="s">
        <v>19</v>
      </c>
      <c r="B26" s="27">
        <v>1</v>
      </c>
      <c r="C26" s="61">
        <v>3</v>
      </c>
      <c r="D26" s="69">
        <v>2</v>
      </c>
      <c r="E26" s="61">
        <v>0</v>
      </c>
      <c r="F26" s="38">
        <v>14</v>
      </c>
      <c r="G26" s="34">
        <v>11</v>
      </c>
      <c r="H26" s="70">
        <v>17</v>
      </c>
      <c r="I26" s="34">
        <v>12</v>
      </c>
    </row>
    <row r="27" spans="1:10" s="5" customFormat="1" x14ac:dyDescent="0.25">
      <c r="A27" s="68" t="s">
        <v>20</v>
      </c>
      <c r="B27" s="27">
        <v>4</v>
      </c>
      <c r="C27" s="61">
        <v>5</v>
      </c>
      <c r="D27" s="69">
        <v>7</v>
      </c>
      <c r="E27" s="61">
        <v>4</v>
      </c>
      <c r="F27" s="38">
        <v>7</v>
      </c>
      <c r="G27" s="34">
        <v>4</v>
      </c>
      <c r="H27" s="70">
        <v>7</v>
      </c>
      <c r="I27" s="34">
        <v>3</v>
      </c>
    </row>
    <row r="28" spans="1:10" s="5" customFormat="1" x14ac:dyDescent="0.25">
      <c r="A28" s="68" t="s">
        <v>21</v>
      </c>
      <c r="B28" s="27">
        <v>2</v>
      </c>
      <c r="C28" s="61">
        <v>3</v>
      </c>
      <c r="D28" s="69">
        <v>1</v>
      </c>
      <c r="E28" s="61">
        <v>3</v>
      </c>
      <c r="F28" s="38">
        <v>14</v>
      </c>
      <c r="G28" s="34">
        <v>10</v>
      </c>
      <c r="H28" s="70">
        <v>17</v>
      </c>
      <c r="I28" s="34">
        <v>7</v>
      </c>
    </row>
    <row r="29" spans="1:10" s="5" customFormat="1" x14ac:dyDescent="0.25">
      <c r="A29" s="68" t="s">
        <v>22</v>
      </c>
      <c r="B29" s="27">
        <v>7</v>
      </c>
      <c r="C29" s="61">
        <v>9</v>
      </c>
      <c r="D29" s="69">
        <v>14</v>
      </c>
      <c r="E29" s="61">
        <v>8</v>
      </c>
      <c r="F29" s="38">
        <v>118</v>
      </c>
      <c r="G29" s="34">
        <v>74</v>
      </c>
      <c r="H29" s="70">
        <v>130</v>
      </c>
      <c r="I29" s="34">
        <v>37</v>
      </c>
    </row>
    <row r="30" spans="1:10" s="5" customFormat="1" x14ac:dyDescent="0.25">
      <c r="A30" s="68" t="s">
        <v>23</v>
      </c>
      <c r="B30" s="27">
        <v>2</v>
      </c>
      <c r="C30" s="61">
        <v>3</v>
      </c>
      <c r="D30" s="69">
        <v>4</v>
      </c>
      <c r="E30" s="61">
        <v>5</v>
      </c>
      <c r="F30" s="38">
        <v>10</v>
      </c>
      <c r="G30" s="34">
        <v>1</v>
      </c>
      <c r="H30" s="70">
        <v>5</v>
      </c>
      <c r="I30" s="34">
        <v>5</v>
      </c>
    </row>
    <row r="31" spans="1:10" s="5" customFormat="1" x14ac:dyDescent="0.25">
      <c r="A31" s="68" t="s">
        <v>24</v>
      </c>
      <c r="B31" s="27">
        <v>31</v>
      </c>
      <c r="C31" s="61">
        <v>10</v>
      </c>
      <c r="D31" s="69">
        <v>40</v>
      </c>
      <c r="E31" s="61">
        <v>19</v>
      </c>
      <c r="F31" s="38">
        <v>17</v>
      </c>
      <c r="G31" s="34">
        <v>7</v>
      </c>
      <c r="H31" s="70">
        <v>19</v>
      </c>
      <c r="I31" s="34">
        <v>7</v>
      </c>
    </row>
    <row r="32" spans="1:10" s="5" customFormat="1" x14ac:dyDescent="0.25">
      <c r="A32" s="68" t="s">
        <v>25</v>
      </c>
      <c r="B32" s="27">
        <v>6</v>
      </c>
      <c r="C32" s="61">
        <v>5</v>
      </c>
      <c r="D32" s="69">
        <v>2</v>
      </c>
      <c r="E32" s="61">
        <v>4</v>
      </c>
      <c r="F32" s="38">
        <v>6</v>
      </c>
      <c r="G32" s="34">
        <v>8</v>
      </c>
      <c r="H32" s="70">
        <v>17</v>
      </c>
      <c r="I32" s="34">
        <v>6</v>
      </c>
    </row>
    <row r="33" spans="1:9" s="5" customFormat="1" x14ac:dyDescent="0.25">
      <c r="A33" s="68" t="s">
        <v>26</v>
      </c>
      <c r="B33" s="27">
        <v>140</v>
      </c>
      <c r="C33" s="61">
        <v>65</v>
      </c>
      <c r="D33" s="69">
        <v>128</v>
      </c>
      <c r="E33" s="61">
        <v>74</v>
      </c>
      <c r="F33" s="38">
        <v>26</v>
      </c>
      <c r="G33" s="34">
        <v>17</v>
      </c>
      <c r="H33" s="70">
        <v>24</v>
      </c>
      <c r="I33" s="34">
        <v>13</v>
      </c>
    </row>
    <row r="34" spans="1:9" s="5" customFormat="1" x14ac:dyDescent="0.25">
      <c r="A34" s="68" t="s">
        <v>27</v>
      </c>
      <c r="B34" s="27">
        <v>15</v>
      </c>
      <c r="C34" s="61">
        <v>14</v>
      </c>
      <c r="D34" s="69">
        <v>10</v>
      </c>
      <c r="E34" s="61">
        <v>6</v>
      </c>
      <c r="F34" s="38">
        <v>6</v>
      </c>
      <c r="G34" s="34">
        <v>0</v>
      </c>
      <c r="H34" s="70">
        <v>12</v>
      </c>
      <c r="I34" s="34">
        <v>5</v>
      </c>
    </row>
    <row r="35" spans="1:9" s="5" customFormat="1" x14ac:dyDescent="0.25">
      <c r="A35" s="68" t="s">
        <v>28</v>
      </c>
      <c r="B35" s="27">
        <v>8</v>
      </c>
      <c r="C35" s="61">
        <v>6</v>
      </c>
      <c r="D35" s="69">
        <v>6</v>
      </c>
      <c r="E35" s="61">
        <v>2</v>
      </c>
      <c r="F35" s="38">
        <v>11</v>
      </c>
      <c r="G35" s="34">
        <v>15</v>
      </c>
      <c r="H35" s="70">
        <v>41</v>
      </c>
      <c r="I35" s="34">
        <v>9</v>
      </c>
    </row>
    <row r="36" spans="1:9" s="5" customFormat="1" x14ac:dyDescent="0.25">
      <c r="A36" s="68" t="s">
        <v>29</v>
      </c>
      <c r="B36" s="27">
        <v>4</v>
      </c>
      <c r="C36" s="61">
        <v>6</v>
      </c>
      <c r="D36" s="69">
        <v>4</v>
      </c>
      <c r="E36" s="61">
        <v>7</v>
      </c>
      <c r="F36" s="38">
        <v>1</v>
      </c>
      <c r="G36" s="34">
        <v>4</v>
      </c>
      <c r="H36" s="70">
        <v>6</v>
      </c>
      <c r="I36" s="34">
        <v>8</v>
      </c>
    </row>
    <row r="37" spans="1:9" s="5" customFormat="1" x14ac:dyDescent="0.2">
      <c r="A37" s="65" t="s">
        <v>30</v>
      </c>
      <c r="B37" s="40">
        <v>12</v>
      </c>
      <c r="C37" s="66">
        <v>14</v>
      </c>
      <c r="D37" s="45">
        <v>13</v>
      </c>
      <c r="E37" s="66">
        <v>11</v>
      </c>
      <c r="F37" s="36">
        <v>9</v>
      </c>
      <c r="G37" s="37">
        <v>2</v>
      </c>
      <c r="H37" s="67">
        <v>14</v>
      </c>
      <c r="I37" s="37">
        <v>3</v>
      </c>
    </row>
    <row r="38" spans="1:9" s="5" customFormat="1" x14ac:dyDescent="0.25">
      <c r="A38" s="68"/>
      <c r="B38" s="27"/>
      <c r="C38" s="56"/>
      <c r="D38" s="69"/>
      <c r="E38" s="56"/>
      <c r="F38" s="27"/>
      <c r="G38" s="21"/>
      <c r="H38" s="69"/>
      <c r="I38" s="21"/>
    </row>
    <row r="39" spans="1:9" s="5" customFormat="1" x14ac:dyDescent="0.25">
      <c r="A39" s="58" t="s">
        <v>31</v>
      </c>
      <c r="B39" s="25">
        <f t="shared" ref="B39:I39" si="3">SUM(B40:B53)</f>
        <v>152</v>
      </c>
      <c r="C39" s="56">
        <f t="shared" si="3"/>
        <v>90</v>
      </c>
      <c r="D39" s="59">
        <f t="shared" si="3"/>
        <v>158</v>
      </c>
      <c r="E39" s="56">
        <f t="shared" si="3"/>
        <v>92</v>
      </c>
      <c r="F39" s="25">
        <f t="shared" si="3"/>
        <v>141</v>
      </c>
      <c r="G39" s="21">
        <f t="shared" si="3"/>
        <v>99</v>
      </c>
      <c r="H39" s="59">
        <f t="shared" si="3"/>
        <v>164</v>
      </c>
      <c r="I39" s="21">
        <f t="shared" si="3"/>
        <v>112</v>
      </c>
    </row>
    <row r="40" spans="1:9" x14ac:dyDescent="0.2">
      <c r="A40" s="60" t="s">
        <v>32</v>
      </c>
      <c r="B40" s="26">
        <v>15</v>
      </c>
      <c r="C40" s="61">
        <v>13</v>
      </c>
      <c r="D40" s="19">
        <v>13</v>
      </c>
      <c r="E40" s="20">
        <v>9</v>
      </c>
      <c r="F40" s="2">
        <v>14</v>
      </c>
      <c r="G40" s="2">
        <v>11</v>
      </c>
      <c r="H40" s="19">
        <v>10</v>
      </c>
      <c r="I40" s="2">
        <v>10</v>
      </c>
    </row>
    <row r="41" spans="1:9" x14ac:dyDescent="0.2">
      <c r="A41" s="60" t="s">
        <v>33</v>
      </c>
      <c r="B41" s="26">
        <v>4</v>
      </c>
      <c r="C41" s="61">
        <v>3</v>
      </c>
      <c r="D41" s="62">
        <v>4</v>
      </c>
      <c r="E41" s="61">
        <v>2</v>
      </c>
      <c r="F41" s="26">
        <v>1</v>
      </c>
      <c r="G41" s="39">
        <v>0</v>
      </c>
      <c r="H41" s="62">
        <v>6</v>
      </c>
      <c r="I41" s="39">
        <v>1</v>
      </c>
    </row>
    <row r="42" spans="1:9" x14ac:dyDescent="0.2">
      <c r="A42" s="60" t="s">
        <v>34</v>
      </c>
      <c r="B42" s="26">
        <v>2</v>
      </c>
      <c r="C42" s="61">
        <v>2</v>
      </c>
      <c r="D42" s="62">
        <v>4</v>
      </c>
      <c r="E42" s="61">
        <v>1</v>
      </c>
      <c r="F42" s="26">
        <v>12</v>
      </c>
      <c r="G42" s="39">
        <v>8</v>
      </c>
      <c r="H42" s="62">
        <v>6</v>
      </c>
      <c r="I42" s="39">
        <v>2</v>
      </c>
    </row>
    <row r="43" spans="1:9" x14ac:dyDescent="0.2">
      <c r="A43" s="60" t="s">
        <v>35</v>
      </c>
      <c r="B43" s="26">
        <v>7</v>
      </c>
      <c r="C43" s="61">
        <v>4</v>
      </c>
      <c r="D43" s="62">
        <v>7</v>
      </c>
      <c r="E43" s="61">
        <v>10</v>
      </c>
      <c r="F43" s="26">
        <v>20</v>
      </c>
      <c r="G43" s="39">
        <v>15</v>
      </c>
      <c r="H43" s="62">
        <v>17</v>
      </c>
      <c r="I43" s="39">
        <v>15</v>
      </c>
    </row>
    <row r="44" spans="1:9" x14ac:dyDescent="0.2">
      <c r="A44" s="60" t="s">
        <v>36</v>
      </c>
      <c r="B44" s="26">
        <v>14</v>
      </c>
      <c r="C44" s="61">
        <v>10</v>
      </c>
      <c r="D44" s="62">
        <v>15</v>
      </c>
      <c r="E44" s="61">
        <v>5</v>
      </c>
      <c r="F44" s="26">
        <v>6</v>
      </c>
      <c r="G44" s="39">
        <v>1</v>
      </c>
      <c r="H44" s="62">
        <v>8</v>
      </c>
      <c r="I44" s="39">
        <v>10</v>
      </c>
    </row>
    <row r="45" spans="1:9" x14ac:dyDescent="0.2">
      <c r="A45" s="60" t="s">
        <v>37</v>
      </c>
      <c r="B45" s="26">
        <v>2</v>
      </c>
      <c r="C45" s="61">
        <v>1</v>
      </c>
      <c r="D45" s="62">
        <v>3</v>
      </c>
      <c r="E45" s="61">
        <v>4</v>
      </c>
      <c r="F45" s="26">
        <v>5</v>
      </c>
      <c r="G45" s="39">
        <v>3</v>
      </c>
      <c r="H45" s="62">
        <v>9</v>
      </c>
      <c r="I45" s="39">
        <v>1</v>
      </c>
    </row>
    <row r="46" spans="1:9" x14ac:dyDescent="0.2">
      <c r="A46" s="60" t="s">
        <v>38</v>
      </c>
      <c r="B46" s="26">
        <v>21</v>
      </c>
      <c r="C46" s="61">
        <v>15</v>
      </c>
      <c r="D46" s="62">
        <v>18</v>
      </c>
      <c r="E46" s="61">
        <v>10</v>
      </c>
      <c r="F46" s="26">
        <v>23</v>
      </c>
      <c r="G46" s="39">
        <v>21</v>
      </c>
      <c r="H46" s="62">
        <v>20</v>
      </c>
      <c r="I46" s="39">
        <v>9</v>
      </c>
    </row>
    <row r="47" spans="1:9" x14ac:dyDescent="0.2">
      <c r="A47" s="60" t="s">
        <v>39</v>
      </c>
      <c r="B47" s="26">
        <v>9</v>
      </c>
      <c r="C47" s="61">
        <v>1</v>
      </c>
      <c r="D47" s="62">
        <v>7</v>
      </c>
      <c r="E47" s="61">
        <v>0</v>
      </c>
      <c r="F47" s="26">
        <v>5</v>
      </c>
      <c r="G47" s="39">
        <v>3</v>
      </c>
      <c r="H47" s="62">
        <v>5</v>
      </c>
      <c r="I47" s="39">
        <v>2</v>
      </c>
    </row>
    <row r="48" spans="1:9" x14ac:dyDescent="0.2">
      <c r="A48" s="60" t="s">
        <v>40</v>
      </c>
      <c r="B48" s="26">
        <v>2</v>
      </c>
      <c r="C48" s="61">
        <v>1</v>
      </c>
      <c r="D48" s="62">
        <v>2</v>
      </c>
      <c r="E48" s="61">
        <v>0</v>
      </c>
      <c r="F48" s="26">
        <v>10</v>
      </c>
      <c r="G48" s="39">
        <v>3</v>
      </c>
      <c r="H48" s="62">
        <v>1</v>
      </c>
      <c r="I48" s="39">
        <v>0</v>
      </c>
    </row>
    <row r="49" spans="1:9" x14ac:dyDescent="0.2">
      <c r="A49" s="60" t="s">
        <v>41</v>
      </c>
      <c r="B49" s="26">
        <v>6</v>
      </c>
      <c r="C49" s="61">
        <v>0</v>
      </c>
      <c r="D49" s="62">
        <v>3</v>
      </c>
      <c r="E49" s="61">
        <v>3</v>
      </c>
      <c r="F49" s="26">
        <v>2</v>
      </c>
      <c r="G49" s="39">
        <v>7</v>
      </c>
      <c r="H49" s="62">
        <v>3</v>
      </c>
      <c r="I49" s="39">
        <v>1</v>
      </c>
    </row>
    <row r="50" spans="1:9" x14ac:dyDescent="0.2">
      <c r="A50" s="60" t="s">
        <v>42</v>
      </c>
      <c r="B50" s="26">
        <v>3</v>
      </c>
      <c r="C50" s="61">
        <v>1</v>
      </c>
      <c r="D50" s="62">
        <v>6</v>
      </c>
      <c r="E50" s="61">
        <v>4</v>
      </c>
      <c r="F50" s="26">
        <v>2</v>
      </c>
      <c r="G50" s="39">
        <v>0</v>
      </c>
      <c r="H50" s="62">
        <v>5</v>
      </c>
      <c r="I50" s="39">
        <v>6</v>
      </c>
    </row>
    <row r="51" spans="1:9" x14ac:dyDescent="0.2">
      <c r="A51" s="60" t="s">
        <v>43</v>
      </c>
      <c r="B51" s="26">
        <v>8</v>
      </c>
      <c r="C51" s="61">
        <v>6</v>
      </c>
      <c r="D51" s="62">
        <v>18</v>
      </c>
      <c r="E51" s="61">
        <v>8</v>
      </c>
      <c r="F51" s="26">
        <v>3</v>
      </c>
      <c r="G51" s="39">
        <v>0</v>
      </c>
      <c r="H51" s="62">
        <v>14</v>
      </c>
      <c r="I51" s="39">
        <v>13</v>
      </c>
    </row>
    <row r="52" spans="1:9" x14ac:dyDescent="0.2">
      <c r="A52" s="60" t="s">
        <v>44</v>
      </c>
      <c r="B52" s="26">
        <v>28</v>
      </c>
      <c r="C52" s="61">
        <v>16</v>
      </c>
      <c r="D52" s="62">
        <v>28</v>
      </c>
      <c r="E52" s="61">
        <v>16</v>
      </c>
      <c r="F52" s="26">
        <v>10</v>
      </c>
      <c r="G52" s="39">
        <v>5</v>
      </c>
      <c r="H52" s="62">
        <v>27</v>
      </c>
      <c r="I52" s="39">
        <v>20</v>
      </c>
    </row>
    <row r="53" spans="1:9" ht="15" x14ac:dyDescent="0.2">
      <c r="A53" s="65" t="s">
        <v>197</v>
      </c>
      <c r="B53" s="40">
        <v>31</v>
      </c>
      <c r="C53" s="66">
        <v>17</v>
      </c>
      <c r="D53" s="45">
        <v>30</v>
      </c>
      <c r="E53" s="66">
        <v>20</v>
      </c>
      <c r="F53" s="40">
        <v>28</v>
      </c>
      <c r="G53" s="41">
        <v>22</v>
      </c>
      <c r="H53" s="45">
        <v>33</v>
      </c>
      <c r="I53" s="41">
        <v>22</v>
      </c>
    </row>
    <row r="54" spans="1:9" x14ac:dyDescent="0.2">
      <c r="A54" s="71"/>
      <c r="B54" s="28"/>
      <c r="C54" s="72"/>
      <c r="D54" s="73"/>
      <c r="E54" s="72"/>
      <c r="F54" s="28"/>
      <c r="G54" s="29"/>
      <c r="H54" s="73"/>
      <c r="I54" s="29"/>
    </row>
    <row r="55" spans="1:9" x14ac:dyDescent="0.2">
      <c r="A55" s="58" t="s">
        <v>45</v>
      </c>
      <c r="B55" s="25">
        <f t="shared" ref="B55:I55" si="4">SUM(B56:B68)</f>
        <v>148</v>
      </c>
      <c r="C55" s="56">
        <f t="shared" si="4"/>
        <v>105</v>
      </c>
      <c r="D55" s="59">
        <f t="shared" si="4"/>
        <v>127</v>
      </c>
      <c r="E55" s="56">
        <f t="shared" si="4"/>
        <v>101</v>
      </c>
      <c r="F55" s="25">
        <f t="shared" si="4"/>
        <v>146</v>
      </c>
      <c r="G55" s="21">
        <f t="shared" si="4"/>
        <v>133</v>
      </c>
      <c r="H55" s="59">
        <f t="shared" si="4"/>
        <v>145</v>
      </c>
      <c r="I55" s="21">
        <f t="shared" si="4"/>
        <v>113</v>
      </c>
    </row>
    <row r="56" spans="1:9" x14ac:dyDescent="0.2">
      <c r="A56" s="60" t="s">
        <v>46</v>
      </c>
      <c r="B56" s="26">
        <v>7</v>
      </c>
      <c r="C56" s="61">
        <v>3</v>
      </c>
      <c r="D56" s="62">
        <v>1</v>
      </c>
      <c r="E56" s="61">
        <v>4</v>
      </c>
      <c r="F56" s="33">
        <v>4</v>
      </c>
      <c r="G56" s="34">
        <v>2</v>
      </c>
      <c r="H56" s="63">
        <v>9</v>
      </c>
      <c r="I56" s="34">
        <v>5</v>
      </c>
    </row>
    <row r="57" spans="1:9" x14ac:dyDescent="0.2">
      <c r="A57" s="60" t="s">
        <v>47</v>
      </c>
      <c r="B57" s="26">
        <v>22</v>
      </c>
      <c r="C57" s="61">
        <v>13</v>
      </c>
      <c r="D57" s="62">
        <v>18</v>
      </c>
      <c r="E57" s="61">
        <v>14</v>
      </c>
      <c r="F57" s="33">
        <v>22</v>
      </c>
      <c r="G57" s="34">
        <v>12</v>
      </c>
      <c r="H57" s="63">
        <v>17</v>
      </c>
      <c r="I57" s="34">
        <v>16</v>
      </c>
    </row>
    <row r="58" spans="1:9" x14ac:dyDescent="0.2">
      <c r="A58" s="60" t="s">
        <v>48</v>
      </c>
      <c r="B58" s="26">
        <v>4</v>
      </c>
      <c r="C58" s="61">
        <v>9</v>
      </c>
      <c r="D58" s="62">
        <v>5</v>
      </c>
      <c r="E58" s="61">
        <v>2</v>
      </c>
      <c r="F58" s="33">
        <v>9</v>
      </c>
      <c r="G58" s="34">
        <v>7</v>
      </c>
      <c r="H58" s="63">
        <v>7</v>
      </c>
      <c r="I58" s="34">
        <v>6</v>
      </c>
    </row>
    <row r="59" spans="1:9" x14ac:dyDescent="0.2">
      <c r="A59" s="60" t="s">
        <v>49</v>
      </c>
      <c r="B59" s="26">
        <v>2</v>
      </c>
      <c r="C59" s="61">
        <v>0</v>
      </c>
      <c r="D59" s="62">
        <v>4</v>
      </c>
      <c r="E59" s="61">
        <v>1</v>
      </c>
      <c r="F59" s="33">
        <v>3</v>
      </c>
      <c r="G59" s="34">
        <v>7</v>
      </c>
      <c r="H59" s="63">
        <v>8</v>
      </c>
      <c r="I59" s="34">
        <v>2</v>
      </c>
    </row>
    <row r="60" spans="1:9" x14ac:dyDescent="0.2">
      <c r="A60" s="60" t="s">
        <v>50</v>
      </c>
      <c r="B60" s="26">
        <v>16</v>
      </c>
      <c r="C60" s="61">
        <v>8</v>
      </c>
      <c r="D60" s="62">
        <v>11</v>
      </c>
      <c r="E60" s="61">
        <v>10</v>
      </c>
      <c r="F60" s="33">
        <v>8</v>
      </c>
      <c r="G60" s="34">
        <v>9</v>
      </c>
      <c r="H60" s="63">
        <v>12</v>
      </c>
      <c r="I60" s="34">
        <v>6</v>
      </c>
    </row>
    <row r="61" spans="1:9" x14ac:dyDescent="0.2">
      <c r="A61" s="60" t="s">
        <v>51</v>
      </c>
      <c r="B61" s="26">
        <v>10</v>
      </c>
      <c r="C61" s="61">
        <v>4</v>
      </c>
      <c r="D61" s="62">
        <v>10</v>
      </c>
      <c r="E61" s="61">
        <v>10</v>
      </c>
      <c r="F61" s="33">
        <v>6</v>
      </c>
      <c r="G61" s="34">
        <v>10</v>
      </c>
      <c r="H61" s="63">
        <v>10</v>
      </c>
      <c r="I61" s="34">
        <v>10</v>
      </c>
    </row>
    <row r="62" spans="1:9" x14ac:dyDescent="0.2">
      <c r="A62" s="60" t="s">
        <v>52</v>
      </c>
      <c r="B62" s="26">
        <v>9</v>
      </c>
      <c r="C62" s="61">
        <v>6</v>
      </c>
      <c r="D62" s="62">
        <v>6</v>
      </c>
      <c r="E62" s="61">
        <v>2</v>
      </c>
      <c r="F62" s="33">
        <v>8</v>
      </c>
      <c r="G62" s="34">
        <v>3</v>
      </c>
      <c r="H62" s="63">
        <v>9</v>
      </c>
      <c r="I62" s="34">
        <v>4</v>
      </c>
    </row>
    <row r="63" spans="1:9" x14ac:dyDescent="0.2">
      <c r="A63" s="60" t="s">
        <v>53</v>
      </c>
      <c r="B63" s="26">
        <v>17</v>
      </c>
      <c r="C63" s="61">
        <v>9</v>
      </c>
      <c r="D63" s="62">
        <v>13</v>
      </c>
      <c r="E63" s="61">
        <v>12</v>
      </c>
      <c r="F63" s="33">
        <v>10</v>
      </c>
      <c r="G63" s="34">
        <v>13</v>
      </c>
      <c r="H63" s="63">
        <v>15</v>
      </c>
      <c r="I63" s="34">
        <v>11</v>
      </c>
    </row>
    <row r="64" spans="1:9" x14ac:dyDescent="0.2">
      <c r="A64" s="60" t="s">
        <v>54</v>
      </c>
      <c r="B64" s="26">
        <v>5</v>
      </c>
      <c r="C64" s="61">
        <v>2</v>
      </c>
      <c r="D64" s="62">
        <v>2</v>
      </c>
      <c r="E64" s="61">
        <v>2</v>
      </c>
      <c r="F64" s="33">
        <v>4</v>
      </c>
      <c r="G64" s="34">
        <v>5</v>
      </c>
      <c r="H64" s="63">
        <v>4</v>
      </c>
      <c r="I64" s="34">
        <v>2</v>
      </c>
    </row>
    <row r="65" spans="1:9" x14ac:dyDescent="0.2">
      <c r="A65" s="60" t="s">
        <v>55</v>
      </c>
      <c r="B65" s="26">
        <v>17</v>
      </c>
      <c r="C65" s="61">
        <v>15</v>
      </c>
      <c r="D65" s="62">
        <v>20</v>
      </c>
      <c r="E65" s="61">
        <v>6</v>
      </c>
      <c r="F65" s="33">
        <v>29</v>
      </c>
      <c r="G65" s="34">
        <v>16</v>
      </c>
      <c r="H65" s="63">
        <v>20</v>
      </c>
      <c r="I65" s="34">
        <v>11</v>
      </c>
    </row>
    <row r="66" spans="1:9" x14ac:dyDescent="0.2">
      <c r="A66" s="60" t="s">
        <v>56</v>
      </c>
      <c r="B66" s="26">
        <v>15</v>
      </c>
      <c r="C66" s="61">
        <v>12</v>
      </c>
      <c r="D66" s="62">
        <v>13</v>
      </c>
      <c r="E66" s="61">
        <v>15</v>
      </c>
      <c r="F66" s="33">
        <v>16</v>
      </c>
      <c r="G66" s="34">
        <v>17</v>
      </c>
      <c r="H66" s="63">
        <v>14</v>
      </c>
      <c r="I66" s="34">
        <v>15</v>
      </c>
    </row>
    <row r="67" spans="1:9" x14ac:dyDescent="0.2">
      <c r="A67" s="60" t="s">
        <v>57</v>
      </c>
      <c r="B67" s="26">
        <v>4</v>
      </c>
      <c r="C67" s="61">
        <v>2</v>
      </c>
      <c r="D67" s="62">
        <v>1</v>
      </c>
      <c r="E67" s="61">
        <v>5</v>
      </c>
      <c r="F67" s="33">
        <v>2</v>
      </c>
      <c r="G67" s="34">
        <v>1</v>
      </c>
      <c r="H67" s="63">
        <v>3</v>
      </c>
      <c r="I67" s="34">
        <v>6</v>
      </c>
    </row>
    <row r="68" spans="1:9" x14ac:dyDescent="0.2">
      <c r="A68" s="65" t="s">
        <v>58</v>
      </c>
      <c r="B68" s="40">
        <v>20</v>
      </c>
      <c r="C68" s="66">
        <v>22</v>
      </c>
      <c r="D68" s="45">
        <v>23</v>
      </c>
      <c r="E68" s="66">
        <v>18</v>
      </c>
      <c r="F68" s="36">
        <v>25</v>
      </c>
      <c r="G68" s="37">
        <v>31</v>
      </c>
      <c r="H68" s="67">
        <v>17</v>
      </c>
      <c r="I68" s="37">
        <v>19</v>
      </c>
    </row>
    <row r="69" spans="1:9" x14ac:dyDescent="0.2">
      <c r="A69" s="60"/>
      <c r="B69" s="26"/>
      <c r="C69" s="74"/>
      <c r="D69" s="62"/>
      <c r="E69" s="74"/>
      <c r="F69" s="26"/>
      <c r="G69" s="30"/>
      <c r="H69" s="62"/>
      <c r="I69" s="30"/>
    </row>
    <row r="70" spans="1:9" x14ac:dyDescent="0.2">
      <c r="A70" s="58" t="s">
        <v>59</v>
      </c>
      <c r="B70" s="25">
        <f t="shared" ref="B70:I70" si="5">SUM(B71:B85)</f>
        <v>193</v>
      </c>
      <c r="C70" s="56">
        <f t="shared" si="5"/>
        <v>134</v>
      </c>
      <c r="D70" s="59">
        <f t="shared" si="5"/>
        <v>198</v>
      </c>
      <c r="E70" s="56">
        <f t="shared" si="5"/>
        <v>133</v>
      </c>
      <c r="F70" s="25">
        <f t="shared" si="5"/>
        <v>212</v>
      </c>
      <c r="G70" s="21">
        <f t="shared" si="5"/>
        <v>128</v>
      </c>
      <c r="H70" s="59">
        <f t="shared" si="5"/>
        <v>199</v>
      </c>
      <c r="I70" s="21">
        <f t="shared" si="5"/>
        <v>149</v>
      </c>
    </row>
    <row r="71" spans="1:9" x14ac:dyDescent="0.2">
      <c r="A71" s="60" t="s">
        <v>60</v>
      </c>
      <c r="B71" s="26">
        <v>25</v>
      </c>
      <c r="C71" s="61">
        <v>13</v>
      </c>
      <c r="D71" s="62">
        <v>15</v>
      </c>
      <c r="E71" s="61">
        <v>18</v>
      </c>
      <c r="F71" s="26">
        <v>18</v>
      </c>
      <c r="G71" s="39">
        <v>11</v>
      </c>
      <c r="H71" s="62">
        <v>17</v>
      </c>
      <c r="I71" s="39">
        <v>14</v>
      </c>
    </row>
    <row r="72" spans="1:9" x14ac:dyDescent="0.2">
      <c r="A72" s="60" t="s">
        <v>61</v>
      </c>
      <c r="B72" s="26">
        <v>6</v>
      </c>
      <c r="C72" s="61">
        <v>4</v>
      </c>
      <c r="D72" s="62">
        <v>5</v>
      </c>
      <c r="E72" s="61">
        <v>6</v>
      </c>
      <c r="F72" s="26">
        <v>4</v>
      </c>
      <c r="G72" s="39">
        <v>5</v>
      </c>
      <c r="H72" s="62">
        <v>7</v>
      </c>
      <c r="I72" s="39">
        <v>5</v>
      </c>
    </row>
    <row r="73" spans="1:9" x14ac:dyDescent="0.2">
      <c r="A73" s="60" t="s">
        <v>62</v>
      </c>
      <c r="B73" s="26">
        <v>5</v>
      </c>
      <c r="C73" s="61">
        <v>8</v>
      </c>
      <c r="D73" s="62">
        <v>8</v>
      </c>
      <c r="E73" s="61">
        <v>11</v>
      </c>
      <c r="F73" s="26">
        <v>7</v>
      </c>
      <c r="G73" s="39">
        <v>3</v>
      </c>
      <c r="H73" s="62">
        <v>3</v>
      </c>
      <c r="I73" s="39">
        <v>4</v>
      </c>
    </row>
    <row r="74" spans="1:9" x14ac:dyDescent="0.2">
      <c r="A74" s="60" t="s">
        <v>63</v>
      </c>
      <c r="B74" s="26">
        <v>1</v>
      </c>
      <c r="C74" s="61">
        <v>0</v>
      </c>
      <c r="D74" s="62">
        <v>1</v>
      </c>
      <c r="E74" s="61">
        <v>1</v>
      </c>
      <c r="F74" s="26">
        <v>4</v>
      </c>
      <c r="G74" s="39">
        <v>1</v>
      </c>
      <c r="H74" s="62">
        <v>4</v>
      </c>
      <c r="I74" s="39">
        <v>2</v>
      </c>
    </row>
    <row r="75" spans="1:9" x14ac:dyDescent="0.2">
      <c r="A75" s="60" t="s">
        <v>64</v>
      </c>
      <c r="B75" s="26">
        <v>11</v>
      </c>
      <c r="C75" s="61">
        <v>6</v>
      </c>
      <c r="D75" s="62">
        <v>18</v>
      </c>
      <c r="E75" s="61">
        <v>14</v>
      </c>
      <c r="F75" s="26">
        <v>11</v>
      </c>
      <c r="G75" s="39">
        <v>13</v>
      </c>
      <c r="H75" s="62">
        <v>12</v>
      </c>
      <c r="I75" s="39">
        <v>6</v>
      </c>
    </row>
    <row r="76" spans="1:9" x14ac:dyDescent="0.2">
      <c r="A76" s="60" t="s">
        <v>194</v>
      </c>
      <c r="B76" s="26">
        <v>50</v>
      </c>
      <c r="C76" s="61">
        <v>38</v>
      </c>
      <c r="D76" s="62">
        <v>51</v>
      </c>
      <c r="E76" s="61">
        <v>28</v>
      </c>
      <c r="F76" s="26">
        <v>15</v>
      </c>
      <c r="G76" s="39">
        <v>8</v>
      </c>
      <c r="H76" s="62">
        <v>68</v>
      </c>
      <c r="I76" s="39">
        <v>36</v>
      </c>
    </row>
    <row r="77" spans="1:9" x14ac:dyDescent="0.2">
      <c r="A77" s="60" t="s">
        <v>65</v>
      </c>
      <c r="B77" s="26">
        <v>9</v>
      </c>
      <c r="C77" s="61">
        <v>3</v>
      </c>
      <c r="D77" s="62">
        <v>10</v>
      </c>
      <c r="E77" s="61">
        <v>3</v>
      </c>
      <c r="F77" s="26">
        <v>53</v>
      </c>
      <c r="G77" s="39">
        <v>39</v>
      </c>
      <c r="H77" s="62">
        <v>10</v>
      </c>
      <c r="I77" s="39">
        <v>14</v>
      </c>
    </row>
    <row r="78" spans="1:9" x14ac:dyDescent="0.2">
      <c r="A78" s="60" t="s">
        <v>66</v>
      </c>
      <c r="B78" s="26">
        <v>8</v>
      </c>
      <c r="C78" s="61">
        <v>5</v>
      </c>
      <c r="D78" s="62">
        <v>7</v>
      </c>
      <c r="E78" s="61">
        <v>3</v>
      </c>
      <c r="F78" s="26">
        <v>8</v>
      </c>
      <c r="G78" s="39">
        <v>6</v>
      </c>
      <c r="H78" s="62">
        <v>7</v>
      </c>
      <c r="I78" s="39">
        <v>4</v>
      </c>
    </row>
    <row r="79" spans="1:9" x14ac:dyDescent="0.2">
      <c r="A79" s="60" t="s">
        <v>67</v>
      </c>
      <c r="B79" s="26">
        <v>6</v>
      </c>
      <c r="C79" s="61">
        <v>0</v>
      </c>
      <c r="D79" s="62">
        <v>5</v>
      </c>
      <c r="E79" s="61">
        <v>1</v>
      </c>
      <c r="F79" s="26">
        <v>7</v>
      </c>
      <c r="G79" s="39">
        <v>6</v>
      </c>
      <c r="H79" s="62">
        <v>5</v>
      </c>
      <c r="I79" s="39">
        <v>7</v>
      </c>
    </row>
    <row r="80" spans="1:9" x14ac:dyDescent="0.2">
      <c r="A80" s="60" t="s">
        <v>68</v>
      </c>
      <c r="B80" s="26">
        <v>19</v>
      </c>
      <c r="C80" s="61">
        <v>19</v>
      </c>
      <c r="D80" s="62">
        <v>22</v>
      </c>
      <c r="E80" s="61">
        <v>14</v>
      </c>
      <c r="F80" s="26">
        <v>11</v>
      </c>
      <c r="G80" s="39">
        <v>4</v>
      </c>
      <c r="H80" s="62">
        <v>22</v>
      </c>
      <c r="I80" s="39">
        <v>25</v>
      </c>
    </row>
    <row r="81" spans="1:9" x14ac:dyDescent="0.2">
      <c r="A81" s="60" t="s">
        <v>69</v>
      </c>
      <c r="B81" s="26">
        <v>16</v>
      </c>
      <c r="C81" s="61">
        <v>8</v>
      </c>
      <c r="D81" s="62">
        <v>13</v>
      </c>
      <c r="E81" s="61">
        <v>10</v>
      </c>
      <c r="F81" s="26">
        <v>27</v>
      </c>
      <c r="G81" s="39">
        <v>12</v>
      </c>
      <c r="H81" s="62">
        <v>14</v>
      </c>
      <c r="I81" s="39">
        <v>13</v>
      </c>
    </row>
    <row r="82" spans="1:9" x14ac:dyDescent="0.2">
      <c r="A82" s="60" t="s">
        <v>70</v>
      </c>
      <c r="B82" s="26">
        <v>4</v>
      </c>
      <c r="C82" s="61">
        <v>2</v>
      </c>
      <c r="D82" s="62">
        <v>5</v>
      </c>
      <c r="E82" s="61">
        <v>1</v>
      </c>
      <c r="F82" s="26">
        <v>16</v>
      </c>
      <c r="G82" s="39">
        <v>7</v>
      </c>
      <c r="H82" s="62">
        <v>3</v>
      </c>
      <c r="I82" s="39">
        <v>0</v>
      </c>
    </row>
    <row r="83" spans="1:9" x14ac:dyDescent="0.2">
      <c r="A83" s="60" t="s">
        <v>71</v>
      </c>
      <c r="B83" s="26">
        <v>23</v>
      </c>
      <c r="C83" s="61">
        <v>19</v>
      </c>
      <c r="D83" s="62">
        <v>15</v>
      </c>
      <c r="E83" s="61">
        <v>12</v>
      </c>
      <c r="F83" s="26">
        <v>8</v>
      </c>
      <c r="G83" s="39">
        <v>0</v>
      </c>
      <c r="H83" s="62">
        <v>12</v>
      </c>
      <c r="I83" s="39">
        <v>11</v>
      </c>
    </row>
    <row r="84" spans="1:9" x14ac:dyDescent="0.2">
      <c r="A84" s="60" t="s">
        <v>72</v>
      </c>
      <c r="B84" s="26">
        <v>0</v>
      </c>
      <c r="C84" s="61">
        <v>1</v>
      </c>
      <c r="D84" s="62">
        <v>7</v>
      </c>
      <c r="E84" s="61">
        <v>0</v>
      </c>
      <c r="F84" s="26">
        <v>18</v>
      </c>
      <c r="G84" s="39">
        <v>9</v>
      </c>
      <c r="H84" s="62">
        <v>6</v>
      </c>
      <c r="I84" s="39">
        <v>0</v>
      </c>
    </row>
    <row r="85" spans="1:9" x14ac:dyDescent="0.2">
      <c r="A85" s="65" t="s">
        <v>73</v>
      </c>
      <c r="B85" s="40">
        <v>10</v>
      </c>
      <c r="C85" s="66">
        <v>8</v>
      </c>
      <c r="D85" s="45">
        <v>16</v>
      </c>
      <c r="E85" s="66">
        <v>11</v>
      </c>
      <c r="F85" s="40">
        <v>5</v>
      </c>
      <c r="G85" s="41">
        <v>4</v>
      </c>
      <c r="H85" s="45">
        <v>9</v>
      </c>
      <c r="I85" s="41">
        <v>8</v>
      </c>
    </row>
    <row r="86" spans="1:9" x14ac:dyDescent="0.2">
      <c r="A86" s="60"/>
      <c r="B86" s="26"/>
      <c r="C86" s="56"/>
      <c r="D86" s="62"/>
      <c r="E86" s="56"/>
      <c r="F86" s="26"/>
      <c r="G86" s="21"/>
      <c r="H86" s="62"/>
      <c r="I86" s="21"/>
    </row>
    <row r="87" spans="1:9" x14ac:dyDescent="0.2">
      <c r="A87" s="58" t="s">
        <v>74</v>
      </c>
      <c r="B87" s="25">
        <f t="shared" ref="B87:I87" si="6">SUM(B88:B100)</f>
        <v>94</v>
      </c>
      <c r="C87" s="56">
        <f t="shared" si="6"/>
        <v>70</v>
      </c>
      <c r="D87" s="59">
        <f t="shared" si="6"/>
        <v>100</v>
      </c>
      <c r="E87" s="56">
        <f t="shared" si="6"/>
        <v>74</v>
      </c>
      <c r="F87" s="25">
        <f t="shared" si="6"/>
        <v>107</v>
      </c>
      <c r="G87" s="21">
        <f t="shared" si="6"/>
        <v>59</v>
      </c>
      <c r="H87" s="59">
        <f t="shared" si="6"/>
        <v>132</v>
      </c>
      <c r="I87" s="21">
        <f t="shared" si="6"/>
        <v>88</v>
      </c>
    </row>
    <row r="88" spans="1:9" x14ac:dyDescent="0.2">
      <c r="A88" s="60" t="s">
        <v>75</v>
      </c>
      <c r="B88" s="26">
        <v>3</v>
      </c>
      <c r="C88" s="75">
        <v>0</v>
      </c>
      <c r="D88" s="62">
        <v>3</v>
      </c>
      <c r="E88" s="75">
        <v>0</v>
      </c>
      <c r="F88" s="26">
        <v>1</v>
      </c>
      <c r="G88" s="22">
        <v>0</v>
      </c>
      <c r="H88" s="62">
        <v>7</v>
      </c>
      <c r="I88" s="22">
        <v>2</v>
      </c>
    </row>
    <row r="89" spans="1:9" x14ac:dyDescent="0.2">
      <c r="A89" s="60" t="s">
        <v>76</v>
      </c>
      <c r="B89" s="26">
        <v>3</v>
      </c>
      <c r="C89" s="75">
        <v>3</v>
      </c>
      <c r="D89" s="62">
        <v>3</v>
      </c>
      <c r="E89" s="75">
        <v>6</v>
      </c>
      <c r="F89" s="26">
        <v>7</v>
      </c>
      <c r="G89" s="22">
        <v>6</v>
      </c>
      <c r="H89" s="62">
        <v>8</v>
      </c>
      <c r="I89" s="22">
        <v>9</v>
      </c>
    </row>
    <row r="90" spans="1:9" x14ac:dyDescent="0.2">
      <c r="A90" s="60" t="s">
        <v>77</v>
      </c>
      <c r="B90" s="26">
        <v>6</v>
      </c>
      <c r="C90" s="75">
        <v>0</v>
      </c>
      <c r="D90" s="62">
        <v>11</v>
      </c>
      <c r="E90" s="75">
        <v>6</v>
      </c>
      <c r="F90" s="26">
        <v>9</v>
      </c>
      <c r="G90" s="22">
        <v>4</v>
      </c>
      <c r="H90" s="62">
        <v>19</v>
      </c>
      <c r="I90" s="22">
        <v>7</v>
      </c>
    </row>
    <row r="91" spans="1:9" x14ac:dyDescent="0.2">
      <c r="A91" s="60" t="s">
        <v>78</v>
      </c>
      <c r="B91" s="26">
        <v>3</v>
      </c>
      <c r="C91" s="75">
        <v>1</v>
      </c>
      <c r="D91" s="62">
        <v>6</v>
      </c>
      <c r="E91" s="75">
        <v>2</v>
      </c>
      <c r="F91" s="26">
        <v>6</v>
      </c>
      <c r="G91" s="22">
        <v>0</v>
      </c>
      <c r="H91" s="62">
        <v>6</v>
      </c>
      <c r="I91" s="22">
        <v>3</v>
      </c>
    </row>
    <row r="92" spans="1:9" x14ac:dyDescent="0.2">
      <c r="A92" s="60" t="s">
        <v>79</v>
      </c>
      <c r="B92" s="26">
        <v>6</v>
      </c>
      <c r="C92" s="75">
        <v>4</v>
      </c>
      <c r="D92" s="62">
        <v>1</v>
      </c>
      <c r="E92" s="75">
        <v>4</v>
      </c>
      <c r="F92" s="26">
        <v>4</v>
      </c>
      <c r="G92" s="22">
        <v>4</v>
      </c>
      <c r="H92" s="62">
        <v>8</v>
      </c>
      <c r="I92" s="22">
        <v>7</v>
      </c>
    </row>
    <row r="93" spans="1:9" x14ac:dyDescent="0.2">
      <c r="A93" s="60" t="s">
        <v>80</v>
      </c>
      <c r="B93" s="26">
        <v>17</v>
      </c>
      <c r="C93" s="75">
        <v>15</v>
      </c>
      <c r="D93" s="62">
        <v>8</v>
      </c>
      <c r="E93" s="75">
        <v>10</v>
      </c>
      <c r="F93" s="26">
        <v>13</v>
      </c>
      <c r="G93" s="22">
        <v>6</v>
      </c>
      <c r="H93" s="62">
        <v>14</v>
      </c>
      <c r="I93" s="22">
        <v>11</v>
      </c>
    </row>
    <row r="94" spans="1:9" x14ac:dyDescent="0.2">
      <c r="A94" s="60" t="s">
        <v>81</v>
      </c>
      <c r="B94" s="26">
        <v>7</v>
      </c>
      <c r="C94" s="75">
        <v>8</v>
      </c>
      <c r="D94" s="62">
        <v>7</v>
      </c>
      <c r="E94" s="75">
        <v>3</v>
      </c>
      <c r="F94" s="26">
        <v>2</v>
      </c>
      <c r="G94" s="22">
        <v>5</v>
      </c>
      <c r="H94" s="62">
        <v>4</v>
      </c>
      <c r="I94" s="22">
        <v>7</v>
      </c>
    </row>
    <row r="95" spans="1:9" x14ac:dyDescent="0.2">
      <c r="A95" s="60" t="s">
        <v>82</v>
      </c>
      <c r="B95" s="26">
        <v>19</v>
      </c>
      <c r="C95" s="75">
        <v>15</v>
      </c>
      <c r="D95" s="62">
        <v>23</v>
      </c>
      <c r="E95" s="75">
        <v>17</v>
      </c>
      <c r="F95" s="26">
        <v>26</v>
      </c>
      <c r="G95" s="22">
        <v>14</v>
      </c>
      <c r="H95" s="62">
        <v>26</v>
      </c>
      <c r="I95" s="22">
        <v>16</v>
      </c>
    </row>
    <row r="96" spans="1:9" x14ac:dyDescent="0.2">
      <c r="A96" s="60" t="s">
        <v>83</v>
      </c>
      <c r="B96" s="26">
        <v>12</v>
      </c>
      <c r="C96" s="75">
        <v>9</v>
      </c>
      <c r="D96" s="62">
        <v>18</v>
      </c>
      <c r="E96" s="75">
        <v>12</v>
      </c>
      <c r="F96" s="26">
        <v>13</v>
      </c>
      <c r="G96" s="22">
        <v>7</v>
      </c>
      <c r="H96" s="62">
        <v>15</v>
      </c>
      <c r="I96" s="22">
        <v>8</v>
      </c>
    </row>
    <row r="97" spans="1:9" x14ac:dyDescent="0.2">
      <c r="A97" s="60" t="s">
        <v>84</v>
      </c>
      <c r="B97" s="26">
        <v>8</v>
      </c>
      <c r="C97" s="75">
        <v>3</v>
      </c>
      <c r="D97" s="62">
        <v>11</v>
      </c>
      <c r="E97" s="75">
        <v>4</v>
      </c>
      <c r="F97" s="26">
        <v>9</v>
      </c>
      <c r="G97" s="22">
        <v>3</v>
      </c>
      <c r="H97" s="62">
        <v>14</v>
      </c>
      <c r="I97" s="22">
        <v>8</v>
      </c>
    </row>
    <row r="98" spans="1:9" x14ac:dyDescent="0.2">
      <c r="A98" s="60" t="s">
        <v>85</v>
      </c>
      <c r="B98" s="26">
        <v>3</v>
      </c>
      <c r="C98" s="75">
        <v>6</v>
      </c>
      <c r="D98" s="62">
        <v>5</v>
      </c>
      <c r="E98" s="75">
        <v>3</v>
      </c>
      <c r="F98" s="26">
        <v>2</v>
      </c>
      <c r="G98" s="22">
        <v>3</v>
      </c>
      <c r="H98" s="62">
        <v>2</v>
      </c>
      <c r="I98" s="22">
        <v>2</v>
      </c>
    </row>
    <row r="99" spans="1:9" x14ac:dyDescent="0.2">
      <c r="A99" s="60" t="s">
        <v>86</v>
      </c>
      <c r="B99" s="26">
        <v>3</v>
      </c>
      <c r="C99" s="75">
        <v>1</v>
      </c>
      <c r="D99" s="62">
        <v>1</v>
      </c>
      <c r="E99" s="75">
        <v>4</v>
      </c>
      <c r="F99" s="26">
        <v>2</v>
      </c>
      <c r="G99" s="22">
        <v>0</v>
      </c>
      <c r="H99" s="62">
        <v>3</v>
      </c>
      <c r="I99" s="22">
        <v>1</v>
      </c>
    </row>
    <row r="100" spans="1:9" x14ac:dyDescent="0.2">
      <c r="A100" s="65" t="s">
        <v>34</v>
      </c>
      <c r="B100" s="40">
        <v>4</v>
      </c>
      <c r="C100" s="76">
        <v>5</v>
      </c>
      <c r="D100" s="45">
        <v>3</v>
      </c>
      <c r="E100" s="76">
        <v>3</v>
      </c>
      <c r="F100" s="40">
        <v>13</v>
      </c>
      <c r="G100" s="42">
        <v>7</v>
      </c>
      <c r="H100" s="45">
        <v>6</v>
      </c>
      <c r="I100" s="42">
        <v>7</v>
      </c>
    </row>
    <row r="101" spans="1:9" x14ac:dyDescent="0.2">
      <c r="A101" s="60"/>
      <c r="B101" s="26"/>
      <c r="C101" s="75"/>
      <c r="D101" s="62"/>
      <c r="E101" s="75"/>
      <c r="F101" s="26"/>
      <c r="G101" s="22"/>
      <c r="H101" s="62"/>
      <c r="I101" s="22"/>
    </row>
    <row r="102" spans="1:9" x14ac:dyDescent="0.2">
      <c r="A102" s="58" t="s">
        <v>87</v>
      </c>
      <c r="B102" s="25">
        <f t="shared" ref="B102:I102" si="7">SUM(B103:B106)</f>
        <v>119</v>
      </c>
      <c r="C102" s="56">
        <f t="shared" si="7"/>
        <v>93</v>
      </c>
      <c r="D102" s="59">
        <f t="shared" si="7"/>
        <v>106</v>
      </c>
      <c r="E102" s="56">
        <f t="shared" si="7"/>
        <v>84</v>
      </c>
      <c r="F102" s="25">
        <f t="shared" si="7"/>
        <v>131</v>
      </c>
      <c r="G102" s="21">
        <f t="shared" si="7"/>
        <v>75</v>
      </c>
      <c r="H102" s="59">
        <f t="shared" si="7"/>
        <v>124</v>
      </c>
      <c r="I102" s="21">
        <f t="shared" si="7"/>
        <v>71</v>
      </c>
    </row>
    <row r="103" spans="1:9" x14ac:dyDescent="0.2">
      <c r="A103" s="60" t="s">
        <v>88</v>
      </c>
      <c r="B103" s="26">
        <v>21</v>
      </c>
      <c r="C103" s="75">
        <v>28</v>
      </c>
      <c r="D103" s="62">
        <v>31</v>
      </c>
      <c r="E103" s="75">
        <v>28</v>
      </c>
      <c r="F103" s="33">
        <v>13</v>
      </c>
      <c r="G103" s="43">
        <v>2</v>
      </c>
      <c r="H103" s="63">
        <v>7</v>
      </c>
      <c r="I103" s="43">
        <v>5</v>
      </c>
    </row>
    <row r="104" spans="1:9" x14ac:dyDescent="0.2">
      <c r="A104" s="60" t="s">
        <v>89</v>
      </c>
      <c r="B104" s="26">
        <v>67</v>
      </c>
      <c r="C104" s="75">
        <v>48</v>
      </c>
      <c r="D104" s="62">
        <v>63</v>
      </c>
      <c r="E104" s="75">
        <v>43</v>
      </c>
      <c r="F104" s="33">
        <v>40</v>
      </c>
      <c r="G104" s="43">
        <v>26</v>
      </c>
      <c r="H104" s="63">
        <v>41</v>
      </c>
      <c r="I104" s="43">
        <v>20</v>
      </c>
    </row>
    <row r="105" spans="1:9" x14ac:dyDescent="0.2">
      <c r="A105" s="60" t="s">
        <v>90</v>
      </c>
      <c r="B105" s="26">
        <v>23</v>
      </c>
      <c r="C105" s="75">
        <v>14</v>
      </c>
      <c r="D105" s="62">
        <v>8</v>
      </c>
      <c r="E105" s="75">
        <v>8</v>
      </c>
      <c r="F105" s="33">
        <v>20</v>
      </c>
      <c r="G105" s="43">
        <v>6</v>
      </c>
      <c r="H105" s="63">
        <v>17</v>
      </c>
      <c r="I105" s="43">
        <v>9</v>
      </c>
    </row>
    <row r="106" spans="1:9" x14ac:dyDescent="0.2">
      <c r="A106" s="65" t="s">
        <v>91</v>
      </c>
      <c r="B106" s="40">
        <v>8</v>
      </c>
      <c r="C106" s="76">
        <v>3</v>
      </c>
      <c r="D106" s="45">
        <v>4</v>
      </c>
      <c r="E106" s="76">
        <v>5</v>
      </c>
      <c r="F106" s="36">
        <v>58</v>
      </c>
      <c r="G106" s="44">
        <v>41</v>
      </c>
      <c r="H106" s="67">
        <v>59</v>
      </c>
      <c r="I106" s="44">
        <v>37</v>
      </c>
    </row>
    <row r="107" spans="1:9" x14ac:dyDescent="0.2">
      <c r="A107" s="60"/>
      <c r="B107" s="26"/>
      <c r="C107" s="75"/>
      <c r="D107" s="62"/>
      <c r="E107" s="75"/>
      <c r="F107" s="26"/>
      <c r="G107" s="22"/>
      <c r="H107" s="62"/>
      <c r="I107" s="22"/>
    </row>
    <row r="108" spans="1:9" s="7" customFormat="1" x14ac:dyDescent="0.2">
      <c r="A108" s="58" t="s">
        <v>92</v>
      </c>
      <c r="B108" s="25">
        <f t="shared" ref="B108:I108" si="8">SUM(B109:B117)</f>
        <v>201</v>
      </c>
      <c r="C108" s="56">
        <f t="shared" si="8"/>
        <v>146</v>
      </c>
      <c r="D108" s="59">
        <f t="shared" si="8"/>
        <v>178</v>
      </c>
      <c r="E108" s="56">
        <f t="shared" si="8"/>
        <v>114</v>
      </c>
      <c r="F108" s="25">
        <f t="shared" si="8"/>
        <v>186</v>
      </c>
      <c r="G108" s="21">
        <f t="shared" si="8"/>
        <v>120</v>
      </c>
      <c r="H108" s="59">
        <f t="shared" si="8"/>
        <v>167</v>
      </c>
      <c r="I108" s="21">
        <f t="shared" si="8"/>
        <v>121</v>
      </c>
    </row>
    <row r="109" spans="1:9" x14ac:dyDescent="0.2">
      <c r="A109" s="60" t="s">
        <v>93</v>
      </c>
      <c r="B109" s="26">
        <v>36</v>
      </c>
      <c r="C109" s="75">
        <v>24</v>
      </c>
      <c r="D109" s="62">
        <v>41</v>
      </c>
      <c r="E109" s="75">
        <v>22</v>
      </c>
      <c r="F109" s="26">
        <v>33</v>
      </c>
      <c r="G109" s="22">
        <v>34</v>
      </c>
      <c r="H109" s="62">
        <v>40</v>
      </c>
      <c r="I109" s="22">
        <v>26</v>
      </c>
    </row>
    <row r="110" spans="1:9" x14ac:dyDescent="0.2">
      <c r="A110" s="60" t="s">
        <v>94</v>
      </c>
      <c r="B110" s="26">
        <v>5</v>
      </c>
      <c r="C110" s="75">
        <v>7</v>
      </c>
      <c r="D110" s="62">
        <v>18</v>
      </c>
      <c r="E110" s="75">
        <v>5</v>
      </c>
      <c r="F110" s="26">
        <v>17</v>
      </c>
      <c r="G110" s="22">
        <v>6</v>
      </c>
      <c r="H110" s="62">
        <v>14</v>
      </c>
      <c r="I110" s="22">
        <v>8</v>
      </c>
    </row>
    <row r="111" spans="1:9" x14ac:dyDescent="0.2">
      <c r="A111" s="60" t="s">
        <v>95</v>
      </c>
      <c r="B111" s="26">
        <v>19</v>
      </c>
      <c r="C111" s="75">
        <v>12</v>
      </c>
      <c r="D111" s="62">
        <v>13</v>
      </c>
      <c r="E111" s="75">
        <v>14</v>
      </c>
      <c r="F111" s="26">
        <v>15</v>
      </c>
      <c r="G111" s="22">
        <v>8</v>
      </c>
      <c r="H111" s="62">
        <v>13</v>
      </c>
      <c r="I111" s="22">
        <v>8</v>
      </c>
    </row>
    <row r="112" spans="1:9" x14ac:dyDescent="0.2">
      <c r="A112" s="60" t="s">
        <v>96</v>
      </c>
      <c r="B112" s="26">
        <v>14</v>
      </c>
      <c r="C112" s="75">
        <v>8</v>
      </c>
      <c r="D112" s="62">
        <v>7</v>
      </c>
      <c r="E112" s="75">
        <v>9</v>
      </c>
      <c r="F112" s="26">
        <v>7</v>
      </c>
      <c r="G112" s="22">
        <v>6</v>
      </c>
      <c r="H112" s="62">
        <v>6</v>
      </c>
      <c r="I112" s="22">
        <v>7</v>
      </c>
    </row>
    <row r="113" spans="1:9" x14ac:dyDescent="0.2">
      <c r="A113" s="60" t="s">
        <v>97</v>
      </c>
      <c r="B113" s="26">
        <v>18</v>
      </c>
      <c r="C113" s="75">
        <v>9</v>
      </c>
      <c r="D113" s="62">
        <v>10</v>
      </c>
      <c r="E113" s="75">
        <v>10</v>
      </c>
      <c r="F113" s="26">
        <v>7</v>
      </c>
      <c r="G113" s="22">
        <v>5</v>
      </c>
      <c r="H113" s="62">
        <v>7</v>
      </c>
      <c r="I113" s="22">
        <v>7</v>
      </c>
    </row>
    <row r="114" spans="1:9" x14ac:dyDescent="0.2">
      <c r="A114" s="60" t="s">
        <v>98</v>
      </c>
      <c r="B114" s="26">
        <v>25</v>
      </c>
      <c r="C114" s="75">
        <v>20</v>
      </c>
      <c r="D114" s="62">
        <v>15</v>
      </c>
      <c r="E114" s="75">
        <v>4</v>
      </c>
      <c r="F114" s="26">
        <v>24</v>
      </c>
      <c r="G114" s="22">
        <v>13</v>
      </c>
      <c r="H114" s="62">
        <v>15</v>
      </c>
      <c r="I114" s="22">
        <v>10</v>
      </c>
    </row>
    <row r="115" spans="1:9" x14ac:dyDescent="0.2">
      <c r="A115" s="60" t="s">
        <v>99</v>
      </c>
      <c r="B115" s="26">
        <v>10</v>
      </c>
      <c r="C115" s="75">
        <v>11</v>
      </c>
      <c r="D115" s="62">
        <v>6</v>
      </c>
      <c r="E115" s="75">
        <v>12</v>
      </c>
      <c r="F115" s="26">
        <v>47</v>
      </c>
      <c r="G115" s="22">
        <v>3</v>
      </c>
      <c r="H115" s="62">
        <v>8</v>
      </c>
      <c r="I115" s="22">
        <v>6</v>
      </c>
    </row>
    <row r="116" spans="1:9" x14ac:dyDescent="0.2">
      <c r="A116" s="60" t="s">
        <v>100</v>
      </c>
      <c r="B116" s="26">
        <v>45</v>
      </c>
      <c r="C116" s="75">
        <v>29</v>
      </c>
      <c r="D116" s="62">
        <v>42</v>
      </c>
      <c r="E116" s="75">
        <v>24</v>
      </c>
      <c r="F116" s="26">
        <v>30</v>
      </c>
      <c r="G116" s="22">
        <v>27</v>
      </c>
      <c r="H116" s="62">
        <v>31</v>
      </c>
      <c r="I116" s="22">
        <v>26</v>
      </c>
    </row>
    <row r="117" spans="1:9" x14ac:dyDescent="0.2">
      <c r="A117" s="65" t="s">
        <v>101</v>
      </c>
      <c r="B117" s="40">
        <v>29</v>
      </c>
      <c r="C117" s="76">
        <v>26</v>
      </c>
      <c r="D117" s="45">
        <v>26</v>
      </c>
      <c r="E117" s="76">
        <v>14</v>
      </c>
      <c r="F117" s="40">
        <v>6</v>
      </c>
      <c r="G117" s="42">
        <v>18</v>
      </c>
      <c r="H117" s="45">
        <v>33</v>
      </c>
      <c r="I117" s="42">
        <v>23</v>
      </c>
    </row>
    <row r="118" spans="1:9" x14ac:dyDescent="0.2">
      <c r="A118" s="60"/>
      <c r="B118" s="26"/>
      <c r="C118" s="56"/>
      <c r="D118" s="62"/>
      <c r="E118" s="56"/>
      <c r="F118" s="26"/>
      <c r="G118" s="21"/>
      <c r="H118" s="62"/>
      <c r="I118" s="21"/>
    </row>
    <row r="119" spans="1:9" x14ac:dyDescent="0.2">
      <c r="A119" s="58" t="s">
        <v>102</v>
      </c>
      <c r="B119" s="25">
        <f t="shared" ref="B119:G119" si="9">SUM(B120:B127)</f>
        <v>103</v>
      </c>
      <c r="C119" s="56">
        <f t="shared" si="9"/>
        <v>91</v>
      </c>
      <c r="D119" s="59">
        <f t="shared" si="9"/>
        <v>94</v>
      </c>
      <c r="E119" s="56">
        <f t="shared" si="9"/>
        <v>68</v>
      </c>
      <c r="F119" s="25">
        <f t="shared" si="9"/>
        <v>98</v>
      </c>
      <c r="G119" s="21">
        <f t="shared" si="9"/>
        <v>55</v>
      </c>
      <c r="H119" s="59">
        <f>SUM(H120:H127)</f>
        <v>99</v>
      </c>
      <c r="I119" s="21">
        <f>SUM(I120:I127)</f>
        <v>50</v>
      </c>
    </row>
    <row r="120" spans="1:9" x14ac:dyDescent="0.2">
      <c r="A120" s="60" t="s">
        <v>103</v>
      </c>
      <c r="B120" s="26">
        <v>21</v>
      </c>
      <c r="C120" s="75">
        <v>19</v>
      </c>
      <c r="D120" s="62">
        <v>26</v>
      </c>
      <c r="E120" s="75">
        <v>18</v>
      </c>
      <c r="F120" s="33">
        <v>30</v>
      </c>
      <c r="G120" s="43">
        <v>17</v>
      </c>
      <c r="H120" s="63">
        <v>32</v>
      </c>
      <c r="I120" s="63">
        <v>11</v>
      </c>
    </row>
    <row r="121" spans="1:9" x14ac:dyDescent="0.2">
      <c r="A121" s="60" t="s">
        <v>104</v>
      </c>
      <c r="B121" s="26">
        <v>12</v>
      </c>
      <c r="C121" s="75">
        <v>12</v>
      </c>
      <c r="D121" s="62">
        <v>18</v>
      </c>
      <c r="E121" s="75">
        <v>11</v>
      </c>
      <c r="F121" s="33">
        <v>19</v>
      </c>
      <c r="G121" s="43">
        <v>8</v>
      </c>
      <c r="H121" s="63">
        <v>11</v>
      </c>
      <c r="I121" s="63">
        <v>11</v>
      </c>
    </row>
    <row r="122" spans="1:9" x14ac:dyDescent="0.2">
      <c r="A122" s="60" t="s">
        <v>105</v>
      </c>
      <c r="B122" s="26">
        <v>12</v>
      </c>
      <c r="C122" s="75">
        <v>12</v>
      </c>
      <c r="D122" s="62">
        <v>14</v>
      </c>
      <c r="E122" s="75">
        <v>11</v>
      </c>
      <c r="F122" s="33">
        <v>19</v>
      </c>
      <c r="G122" s="43">
        <v>9</v>
      </c>
      <c r="H122" s="63">
        <v>17</v>
      </c>
      <c r="I122" s="63">
        <v>10</v>
      </c>
    </row>
    <row r="123" spans="1:9" x14ac:dyDescent="0.2">
      <c r="A123" s="60" t="s">
        <v>106</v>
      </c>
      <c r="B123" s="26">
        <v>16</v>
      </c>
      <c r="C123" s="75">
        <v>18</v>
      </c>
      <c r="D123" s="62">
        <v>18</v>
      </c>
      <c r="E123" s="75">
        <v>7</v>
      </c>
      <c r="F123" s="33">
        <v>8</v>
      </c>
      <c r="G123" s="43">
        <v>6</v>
      </c>
      <c r="H123" s="63">
        <v>7</v>
      </c>
      <c r="I123" s="63">
        <v>0</v>
      </c>
    </row>
    <row r="124" spans="1:9" x14ac:dyDescent="0.2">
      <c r="A124" s="68" t="s">
        <v>107</v>
      </c>
      <c r="B124" s="27">
        <v>16</v>
      </c>
      <c r="C124" s="75">
        <v>12</v>
      </c>
      <c r="D124" s="69">
        <v>8</v>
      </c>
      <c r="E124" s="75">
        <v>3</v>
      </c>
      <c r="F124" s="38">
        <v>8</v>
      </c>
      <c r="G124" s="43">
        <v>3</v>
      </c>
      <c r="H124" s="70">
        <v>8</v>
      </c>
      <c r="I124" s="70">
        <v>4</v>
      </c>
    </row>
    <row r="125" spans="1:9" x14ac:dyDescent="0.2">
      <c r="A125" s="60" t="s">
        <v>108</v>
      </c>
      <c r="B125" s="26">
        <v>10</v>
      </c>
      <c r="C125" s="75">
        <v>3</v>
      </c>
      <c r="D125" s="62">
        <v>3</v>
      </c>
      <c r="E125" s="75">
        <v>10</v>
      </c>
      <c r="F125" s="33">
        <v>6</v>
      </c>
      <c r="G125" s="43">
        <v>1</v>
      </c>
      <c r="H125" s="63">
        <v>3</v>
      </c>
      <c r="I125" s="63">
        <v>3</v>
      </c>
    </row>
    <row r="126" spans="1:9" x14ac:dyDescent="0.2">
      <c r="A126" s="60" t="s">
        <v>81</v>
      </c>
      <c r="B126" s="26">
        <v>6</v>
      </c>
      <c r="C126" s="75">
        <v>12</v>
      </c>
      <c r="D126" s="62">
        <v>3</v>
      </c>
      <c r="E126" s="75">
        <v>4</v>
      </c>
      <c r="F126" s="33">
        <v>7</v>
      </c>
      <c r="G126" s="43">
        <v>6</v>
      </c>
      <c r="H126" s="63">
        <v>3</v>
      </c>
      <c r="I126" s="63">
        <v>3</v>
      </c>
    </row>
    <row r="127" spans="1:9" x14ac:dyDescent="0.2">
      <c r="A127" s="65" t="s">
        <v>109</v>
      </c>
      <c r="B127" s="40">
        <v>10</v>
      </c>
      <c r="C127" s="76">
        <v>3</v>
      </c>
      <c r="D127" s="45">
        <v>4</v>
      </c>
      <c r="E127" s="76">
        <v>4</v>
      </c>
      <c r="F127" s="36">
        <v>1</v>
      </c>
      <c r="G127" s="44">
        <v>5</v>
      </c>
      <c r="H127" s="67">
        <v>18</v>
      </c>
      <c r="I127" s="67">
        <v>8</v>
      </c>
    </row>
    <row r="128" spans="1:9" x14ac:dyDescent="0.2">
      <c r="A128" s="60"/>
      <c r="B128" s="26"/>
      <c r="C128" s="56"/>
      <c r="D128" s="62"/>
      <c r="E128" s="56"/>
      <c r="F128" s="26"/>
      <c r="G128" s="21"/>
      <c r="H128" s="62"/>
      <c r="I128" s="21"/>
    </row>
    <row r="129" spans="1:9" x14ac:dyDescent="0.2">
      <c r="A129" s="58" t="s">
        <v>110</v>
      </c>
      <c r="B129" s="25">
        <f t="shared" ref="B129:I129" si="10">SUM(B130:B139)</f>
        <v>97</v>
      </c>
      <c r="C129" s="56">
        <f t="shared" si="10"/>
        <v>80</v>
      </c>
      <c r="D129" s="59">
        <f t="shared" si="10"/>
        <v>111</v>
      </c>
      <c r="E129" s="56">
        <f t="shared" si="10"/>
        <v>80</v>
      </c>
      <c r="F129" s="25">
        <f t="shared" si="10"/>
        <v>110</v>
      </c>
      <c r="G129" s="21">
        <f t="shared" si="10"/>
        <v>83</v>
      </c>
      <c r="H129" s="59">
        <f t="shared" si="10"/>
        <v>102</v>
      </c>
      <c r="I129" s="21">
        <f t="shared" si="10"/>
        <v>62</v>
      </c>
    </row>
    <row r="130" spans="1:9" x14ac:dyDescent="0.2">
      <c r="A130" s="60" t="s">
        <v>111</v>
      </c>
      <c r="B130" s="26">
        <v>1</v>
      </c>
      <c r="C130" s="75">
        <v>2</v>
      </c>
      <c r="D130" s="62">
        <v>6</v>
      </c>
      <c r="E130" s="75">
        <v>8</v>
      </c>
      <c r="F130" s="33">
        <v>3</v>
      </c>
      <c r="G130" s="43">
        <v>2</v>
      </c>
      <c r="H130" s="63">
        <v>0</v>
      </c>
      <c r="I130" s="63">
        <v>2</v>
      </c>
    </row>
    <row r="131" spans="1:9" x14ac:dyDescent="0.2">
      <c r="A131" s="60" t="s">
        <v>112</v>
      </c>
      <c r="B131" s="26">
        <v>11</v>
      </c>
      <c r="C131" s="75">
        <v>3</v>
      </c>
      <c r="D131" s="62">
        <v>8</v>
      </c>
      <c r="E131" s="75">
        <v>4</v>
      </c>
      <c r="F131" s="33">
        <v>2</v>
      </c>
      <c r="G131" s="43">
        <v>5</v>
      </c>
      <c r="H131" s="63">
        <v>8</v>
      </c>
      <c r="I131" s="63">
        <v>6</v>
      </c>
    </row>
    <row r="132" spans="1:9" x14ac:dyDescent="0.2">
      <c r="A132" s="60" t="s">
        <v>113</v>
      </c>
      <c r="B132" s="26">
        <v>2</v>
      </c>
      <c r="C132" s="75">
        <v>4</v>
      </c>
      <c r="D132" s="62">
        <v>7</v>
      </c>
      <c r="E132" s="75">
        <v>7</v>
      </c>
      <c r="F132" s="33">
        <v>5</v>
      </c>
      <c r="G132" s="43">
        <v>7</v>
      </c>
      <c r="H132" s="63">
        <v>14</v>
      </c>
      <c r="I132" s="63">
        <v>3</v>
      </c>
    </row>
    <row r="133" spans="1:9" x14ac:dyDescent="0.2">
      <c r="A133" s="60" t="s">
        <v>114</v>
      </c>
      <c r="B133" s="26">
        <v>18</v>
      </c>
      <c r="C133" s="75">
        <v>15</v>
      </c>
      <c r="D133" s="62">
        <v>26</v>
      </c>
      <c r="E133" s="75">
        <v>17</v>
      </c>
      <c r="F133" s="33">
        <v>32</v>
      </c>
      <c r="G133" s="43">
        <v>19</v>
      </c>
      <c r="H133" s="63">
        <v>24</v>
      </c>
      <c r="I133" s="63">
        <v>20</v>
      </c>
    </row>
    <row r="134" spans="1:9" x14ac:dyDescent="0.2">
      <c r="A134" s="60" t="s">
        <v>115</v>
      </c>
      <c r="B134" s="26">
        <v>7</v>
      </c>
      <c r="C134" s="75">
        <v>2</v>
      </c>
      <c r="D134" s="62">
        <v>1</v>
      </c>
      <c r="E134" s="75">
        <v>0</v>
      </c>
      <c r="F134" s="33">
        <v>6</v>
      </c>
      <c r="G134" s="43">
        <v>3</v>
      </c>
      <c r="H134" s="63">
        <v>2</v>
      </c>
      <c r="I134" s="63">
        <v>1</v>
      </c>
    </row>
    <row r="135" spans="1:9" x14ac:dyDescent="0.2">
      <c r="A135" s="68" t="s">
        <v>116</v>
      </c>
      <c r="B135" s="27">
        <v>7</v>
      </c>
      <c r="C135" s="75">
        <v>10</v>
      </c>
      <c r="D135" s="69">
        <v>11</v>
      </c>
      <c r="E135" s="75">
        <v>6</v>
      </c>
      <c r="F135" s="38">
        <v>9</v>
      </c>
      <c r="G135" s="43">
        <v>15</v>
      </c>
      <c r="H135" s="70">
        <v>6</v>
      </c>
      <c r="I135" s="70">
        <v>5</v>
      </c>
    </row>
    <row r="136" spans="1:9" x14ac:dyDescent="0.2">
      <c r="A136" s="68" t="s">
        <v>117</v>
      </c>
      <c r="B136" s="27">
        <v>6</v>
      </c>
      <c r="C136" s="75">
        <v>8</v>
      </c>
      <c r="D136" s="69">
        <v>7</v>
      </c>
      <c r="E136" s="75">
        <v>5</v>
      </c>
      <c r="F136" s="38">
        <v>5</v>
      </c>
      <c r="G136" s="43">
        <v>3</v>
      </c>
      <c r="H136" s="70">
        <v>5</v>
      </c>
      <c r="I136" s="70">
        <v>4</v>
      </c>
    </row>
    <row r="137" spans="1:9" x14ac:dyDescent="0.2">
      <c r="A137" s="60" t="s">
        <v>118</v>
      </c>
      <c r="B137" s="26">
        <v>15</v>
      </c>
      <c r="C137" s="75">
        <v>11</v>
      </c>
      <c r="D137" s="62">
        <v>11</v>
      </c>
      <c r="E137" s="75">
        <v>12</v>
      </c>
      <c r="F137" s="33">
        <v>16</v>
      </c>
      <c r="G137" s="43">
        <v>3</v>
      </c>
      <c r="H137" s="63">
        <v>13</v>
      </c>
      <c r="I137" s="63">
        <v>4</v>
      </c>
    </row>
    <row r="138" spans="1:9" x14ac:dyDescent="0.2">
      <c r="A138" s="60" t="s">
        <v>10</v>
      </c>
      <c r="B138" s="26">
        <v>2</v>
      </c>
      <c r="C138" s="75">
        <v>0</v>
      </c>
      <c r="D138" s="62">
        <v>0</v>
      </c>
      <c r="E138" s="75">
        <v>1</v>
      </c>
      <c r="F138" s="33">
        <v>0</v>
      </c>
      <c r="G138" s="43">
        <v>1</v>
      </c>
      <c r="H138" s="63">
        <v>4</v>
      </c>
      <c r="I138" s="63">
        <v>0</v>
      </c>
    </row>
    <row r="139" spans="1:9" x14ac:dyDescent="0.2">
      <c r="A139" s="65" t="s">
        <v>119</v>
      </c>
      <c r="B139" s="40">
        <v>28</v>
      </c>
      <c r="C139" s="76">
        <v>25</v>
      </c>
      <c r="D139" s="45">
        <v>34</v>
      </c>
      <c r="E139" s="76">
        <v>20</v>
      </c>
      <c r="F139" s="36">
        <v>32</v>
      </c>
      <c r="G139" s="44">
        <v>25</v>
      </c>
      <c r="H139" s="67">
        <v>26</v>
      </c>
      <c r="I139" s="67">
        <v>17</v>
      </c>
    </row>
    <row r="140" spans="1:9" x14ac:dyDescent="0.2">
      <c r="A140" s="60"/>
      <c r="B140" s="26"/>
      <c r="C140" s="56"/>
      <c r="D140" s="62"/>
      <c r="E140" s="56"/>
      <c r="F140" s="26"/>
      <c r="G140" s="21"/>
      <c r="H140" s="62"/>
      <c r="I140" s="21"/>
    </row>
    <row r="141" spans="1:9" x14ac:dyDescent="0.2">
      <c r="A141" s="58" t="s">
        <v>120</v>
      </c>
      <c r="B141" s="25">
        <f t="shared" ref="B141:I141" si="11">SUM(B142:B146)</f>
        <v>11</v>
      </c>
      <c r="C141" s="56">
        <f t="shared" si="11"/>
        <v>14</v>
      </c>
      <c r="D141" s="59">
        <f t="shared" si="11"/>
        <v>13</v>
      </c>
      <c r="E141" s="56">
        <f t="shared" si="11"/>
        <v>12</v>
      </c>
      <c r="F141" s="25">
        <f t="shared" si="11"/>
        <v>14</v>
      </c>
      <c r="G141" s="21">
        <f t="shared" si="11"/>
        <v>10</v>
      </c>
      <c r="H141" s="59">
        <f t="shared" si="11"/>
        <v>16</v>
      </c>
      <c r="I141" s="21">
        <f t="shared" si="11"/>
        <v>13</v>
      </c>
    </row>
    <row r="142" spans="1:9" x14ac:dyDescent="0.2">
      <c r="A142" s="60" t="s">
        <v>121</v>
      </c>
      <c r="B142" s="26">
        <v>1</v>
      </c>
      <c r="C142" s="75">
        <v>4</v>
      </c>
      <c r="D142" s="62">
        <v>3</v>
      </c>
      <c r="E142" s="75">
        <v>4</v>
      </c>
      <c r="F142" s="26">
        <v>5</v>
      </c>
      <c r="G142" s="22">
        <v>3</v>
      </c>
      <c r="H142" s="62">
        <v>5</v>
      </c>
      <c r="I142" s="22">
        <v>6</v>
      </c>
    </row>
    <row r="143" spans="1:9" x14ac:dyDescent="0.2">
      <c r="A143" s="60" t="s">
        <v>122</v>
      </c>
      <c r="B143" s="26">
        <v>0</v>
      </c>
      <c r="C143" s="75">
        <v>1</v>
      </c>
      <c r="D143" s="62">
        <v>1</v>
      </c>
      <c r="E143" s="75">
        <v>1</v>
      </c>
      <c r="F143" s="26">
        <v>0</v>
      </c>
      <c r="G143" s="22">
        <v>1</v>
      </c>
      <c r="H143" s="62">
        <v>1</v>
      </c>
      <c r="I143" s="22">
        <v>1</v>
      </c>
    </row>
    <row r="144" spans="1:9" x14ac:dyDescent="0.2">
      <c r="A144" s="60" t="s">
        <v>123</v>
      </c>
      <c r="B144" s="26">
        <v>2</v>
      </c>
      <c r="C144" s="75">
        <v>2</v>
      </c>
      <c r="D144" s="62">
        <v>2</v>
      </c>
      <c r="E144" s="75">
        <v>4</v>
      </c>
      <c r="F144" s="26">
        <v>2</v>
      </c>
      <c r="G144" s="22">
        <v>1</v>
      </c>
      <c r="H144" s="62">
        <v>3</v>
      </c>
      <c r="I144" s="22">
        <v>2</v>
      </c>
    </row>
    <row r="145" spans="1:9" x14ac:dyDescent="0.2">
      <c r="A145" s="60" t="s">
        <v>124</v>
      </c>
      <c r="B145" s="26">
        <v>7</v>
      </c>
      <c r="C145" s="75">
        <v>7</v>
      </c>
      <c r="D145" s="62">
        <v>7</v>
      </c>
      <c r="E145" s="75">
        <v>2</v>
      </c>
      <c r="F145" s="26">
        <v>7</v>
      </c>
      <c r="G145" s="22">
        <v>5</v>
      </c>
      <c r="H145" s="62">
        <v>7</v>
      </c>
      <c r="I145" s="22">
        <v>3</v>
      </c>
    </row>
    <row r="146" spans="1:9" x14ac:dyDescent="0.2">
      <c r="A146" s="65" t="s">
        <v>125</v>
      </c>
      <c r="B146" s="40">
        <v>1</v>
      </c>
      <c r="C146" s="76">
        <v>0</v>
      </c>
      <c r="D146" s="45">
        <v>0</v>
      </c>
      <c r="E146" s="76">
        <v>1</v>
      </c>
      <c r="F146" s="40">
        <v>0</v>
      </c>
      <c r="G146" s="42">
        <v>0</v>
      </c>
      <c r="H146" s="45">
        <v>0</v>
      </c>
      <c r="I146" s="42">
        <v>1</v>
      </c>
    </row>
    <row r="147" spans="1:9" x14ac:dyDescent="0.2">
      <c r="A147" s="60"/>
      <c r="B147" s="26"/>
      <c r="C147" s="56"/>
      <c r="D147" s="62"/>
      <c r="E147" s="56"/>
      <c r="F147" s="26"/>
      <c r="G147" s="21"/>
      <c r="H147" s="62"/>
      <c r="I147" s="21"/>
    </row>
    <row r="148" spans="1:9" x14ac:dyDescent="0.2">
      <c r="A148" s="53" t="s">
        <v>126</v>
      </c>
      <c r="B148" s="25">
        <f t="shared" ref="B148:I148" si="12">SUM(B149:B156)</f>
        <v>61</v>
      </c>
      <c r="C148" s="56">
        <f t="shared" si="12"/>
        <v>41</v>
      </c>
      <c r="D148" s="59">
        <f t="shared" si="12"/>
        <v>55</v>
      </c>
      <c r="E148" s="56">
        <f t="shared" si="12"/>
        <v>46</v>
      </c>
      <c r="F148" s="25">
        <f t="shared" si="12"/>
        <v>45</v>
      </c>
      <c r="G148" s="21">
        <f t="shared" si="12"/>
        <v>29</v>
      </c>
      <c r="H148" s="59">
        <f t="shared" si="12"/>
        <v>44</v>
      </c>
      <c r="I148" s="21">
        <f t="shared" si="12"/>
        <v>41</v>
      </c>
    </row>
    <row r="149" spans="1:9" x14ac:dyDescent="0.2">
      <c r="A149" s="60" t="s">
        <v>127</v>
      </c>
      <c r="B149" s="26">
        <v>1</v>
      </c>
      <c r="C149" s="75">
        <v>0</v>
      </c>
      <c r="D149" s="62">
        <v>1</v>
      </c>
      <c r="E149" s="75">
        <v>0</v>
      </c>
      <c r="F149" s="26">
        <v>0</v>
      </c>
      <c r="G149" s="22">
        <v>1</v>
      </c>
      <c r="H149" s="62">
        <v>1</v>
      </c>
      <c r="I149" s="22">
        <v>0</v>
      </c>
    </row>
    <row r="150" spans="1:9" x14ac:dyDescent="0.2">
      <c r="A150" s="60" t="s">
        <v>128</v>
      </c>
      <c r="B150" s="26">
        <v>3</v>
      </c>
      <c r="C150" s="75">
        <v>1</v>
      </c>
      <c r="D150" s="62">
        <v>3</v>
      </c>
      <c r="E150" s="75">
        <v>5</v>
      </c>
      <c r="F150" s="26">
        <v>3</v>
      </c>
      <c r="G150" s="22">
        <v>1</v>
      </c>
      <c r="H150" s="62">
        <v>4</v>
      </c>
      <c r="I150" s="22">
        <v>3</v>
      </c>
    </row>
    <row r="151" spans="1:9" x14ac:dyDescent="0.2">
      <c r="A151" s="60" t="s">
        <v>129</v>
      </c>
      <c r="B151" s="26">
        <v>19</v>
      </c>
      <c r="C151" s="75">
        <v>19</v>
      </c>
      <c r="D151" s="62">
        <v>22</v>
      </c>
      <c r="E151" s="75">
        <v>12</v>
      </c>
      <c r="F151" s="26">
        <v>12</v>
      </c>
      <c r="G151" s="22">
        <v>13</v>
      </c>
      <c r="H151" s="62">
        <v>18</v>
      </c>
      <c r="I151" s="22">
        <v>23</v>
      </c>
    </row>
    <row r="152" spans="1:9" x14ac:dyDescent="0.2">
      <c r="A152" s="60" t="s">
        <v>130</v>
      </c>
      <c r="B152" s="26">
        <v>14</v>
      </c>
      <c r="C152" s="75">
        <v>11</v>
      </c>
      <c r="D152" s="62">
        <v>8</v>
      </c>
      <c r="E152" s="75">
        <v>8</v>
      </c>
      <c r="F152" s="26">
        <v>3</v>
      </c>
      <c r="G152" s="22">
        <v>3</v>
      </c>
      <c r="H152" s="62">
        <v>8</v>
      </c>
      <c r="I152" s="22">
        <v>9</v>
      </c>
    </row>
    <row r="153" spans="1:9" x14ac:dyDescent="0.2">
      <c r="A153" s="60" t="s">
        <v>131</v>
      </c>
      <c r="B153" s="26">
        <v>5</v>
      </c>
      <c r="C153" s="75">
        <v>3</v>
      </c>
      <c r="D153" s="62">
        <v>9</v>
      </c>
      <c r="E153" s="75">
        <v>3</v>
      </c>
      <c r="F153" s="26">
        <v>14</v>
      </c>
      <c r="G153" s="22">
        <v>4</v>
      </c>
      <c r="H153" s="62">
        <v>7</v>
      </c>
      <c r="I153" s="22">
        <v>0</v>
      </c>
    </row>
    <row r="154" spans="1:9" x14ac:dyDescent="0.2">
      <c r="A154" s="60" t="s">
        <v>132</v>
      </c>
      <c r="B154" s="26">
        <v>10</v>
      </c>
      <c r="C154" s="75">
        <v>3</v>
      </c>
      <c r="D154" s="62">
        <v>7</v>
      </c>
      <c r="E154" s="75">
        <v>12</v>
      </c>
      <c r="F154" s="26">
        <v>4</v>
      </c>
      <c r="G154" s="22">
        <v>0</v>
      </c>
      <c r="H154" s="62">
        <v>2</v>
      </c>
      <c r="I154" s="22">
        <v>2</v>
      </c>
    </row>
    <row r="155" spans="1:9" x14ac:dyDescent="0.2">
      <c r="A155" s="60" t="s">
        <v>133</v>
      </c>
      <c r="B155" s="26">
        <v>6</v>
      </c>
      <c r="C155" s="75">
        <v>2</v>
      </c>
      <c r="D155" s="62">
        <v>5</v>
      </c>
      <c r="E155" s="75">
        <v>3</v>
      </c>
      <c r="F155" s="26">
        <v>3</v>
      </c>
      <c r="G155" s="22">
        <v>3</v>
      </c>
      <c r="H155" s="62">
        <v>4</v>
      </c>
      <c r="I155" s="22">
        <v>3</v>
      </c>
    </row>
    <row r="156" spans="1:9" x14ac:dyDescent="0.2">
      <c r="A156" s="65" t="s">
        <v>68</v>
      </c>
      <c r="B156" s="40">
        <v>3</v>
      </c>
      <c r="C156" s="76">
        <v>2</v>
      </c>
      <c r="D156" s="45">
        <v>0</v>
      </c>
      <c r="E156" s="76">
        <v>3</v>
      </c>
      <c r="F156" s="40">
        <v>6</v>
      </c>
      <c r="G156" s="42">
        <v>4</v>
      </c>
      <c r="H156" s="45">
        <v>0</v>
      </c>
      <c r="I156" s="42">
        <v>1</v>
      </c>
    </row>
    <row r="157" spans="1:9" x14ac:dyDescent="0.2">
      <c r="A157" s="60"/>
      <c r="B157" s="26"/>
      <c r="C157" s="56"/>
      <c r="D157" s="62"/>
      <c r="E157" s="56"/>
      <c r="F157" s="26"/>
      <c r="G157" s="21"/>
      <c r="H157" s="62"/>
      <c r="I157" s="21"/>
    </row>
    <row r="158" spans="1:9" x14ac:dyDescent="0.2">
      <c r="A158" s="58" t="s">
        <v>134</v>
      </c>
      <c r="B158" s="25">
        <f t="shared" ref="B158:I158" si="13">SUM(B159:B163)</f>
        <v>56</v>
      </c>
      <c r="C158" s="56">
        <f t="shared" si="13"/>
        <v>34</v>
      </c>
      <c r="D158" s="59">
        <f t="shared" si="13"/>
        <v>52</v>
      </c>
      <c r="E158" s="56">
        <f t="shared" si="13"/>
        <v>34</v>
      </c>
      <c r="F158" s="25">
        <f t="shared" si="13"/>
        <v>55</v>
      </c>
      <c r="G158" s="21">
        <f t="shared" si="13"/>
        <v>23</v>
      </c>
      <c r="H158" s="59">
        <f t="shared" si="13"/>
        <v>43</v>
      </c>
      <c r="I158" s="21">
        <f t="shared" si="13"/>
        <v>28</v>
      </c>
    </row>
    <row r="159" spans="1:9" x14ac:dyDescent="0.2">
      <c r="A159" s="60" t="s">
        <v>135</v>
      </c>
      <c r="B159" s="26">
        <v>18</v>
      </c>
      <c r="C159" s="75">
        <v>16</v>
      </c>
      <c r="D159" s="62">
        <v>10</v>
      </c>
      <c r="E159" s="75">
        <v>11</v>
      </c>
      <c r="F159" s="26">
        <v>14</v>
      </c>
      <c r="G159" s="22">
        <v>9</v>
      </c>
      <c r="H159" s="62">
        <v>12</v>
      </c>
      <c r="I159" s="22">
        <v>7</v>
      </c>
    </row>
    <row r="160" spans="1:9" x14ac:dyDescent="0.2">
      <c r="A160" s="60" t="s">
        <v>136</v>
      </c>
      <c r="B160" s="26">
        <v>10</v>
      </c>
      <c r="C160" s="75">
        <v>4</v>
      </c>
      <c r="D160" s="62">
        <v>13</v>
      </c>
      <c r="E160" s="75">
        <v>10</v>
      </c>
      <c r="F160" s="26">
        <v>9</v>
      </c>
      <c r="G160" s="22">
        <v>8</v>
      </c>
      <c r="H160" s="62">
        <v>9</v>
      </c>
      <c r="I160" s="22">
        <v>7</v>
      </c>
    </row>
    <row r="161" spans="1:9" x14ac:dyDescent="0.2">
      <c r="A161" s="60" t="s">
        <v>54</v>
      </c>
      <c r="B161" s="26">
        <v>3</v>
      </c>
      <c r="C161" s="75">
        <v>5</v>
      </c>
      <c r="D161" s="62">
        <v>4</v>
      </c>
      <c r="E161" s="75">
        <v>2</v>
      </c>
      <c r="F161" s="26">
        <v>6</v>
      </c>
      <c r="G161" s="22">
        <v>1</v>
      </c>
      <c r="H161" s="62">
        <v>3</v>
      </c>
      <c r="I161" s="22">
        <v>2</v>
      </c>
    </row>
    <row r="162" spans="1:9" x14ac:dyDescent="0.2">
      <c r="A162" s="60" t="s">
        <v>137</v>
      </c>
      <c r="B162" s="26">
        <v>2</v>
      </c>
      <c r="C162" s="75">
        <v>4</v>
      </c>
      <c r="D162" s="62">
        <v>2</v>
      </c>
      <c r="E162" s="75">
        <v>4</v>
      </c>
      <c r="F162" s="26">
        <v>4</v>
      </c>
      <c r="G162" s="22">
        <v>1</v>
      </c>
      <c r="H162" s="62">
        <v>1</v>
      </c>
      <c r="I162" s="22">
        <v>0</v>
      </c>
    </row>
    <row r="163" spans="1:9" x14ac:dyDescent="0.2">
      <c r="A163" s="65" t="s">
        <v>138</v>
      </c>
      <c r="B163" s="40">
        <v>23</v>
      </c>
      <c r="C163" s="76">
        <v>5</v>
      </c>
      <c r="D163" s="45">
        <v>23</v>
      </c>
      <c r="E163" s="76">
        <v>7</v>
      </c>
      <c r="F163" s="40">
        <v>22</v>
      </c>
      <c r="G163" s="42">
        <v>4</v>
      </c>
      <c r="H163" s="45">
        <v>18</v>
      </c>
      <c r="I163" s="42">
        <v>12</v>
      </c>
    </row>
    <row r="164" spans="1:9" x14ac:dyDescent="0.2">
      <c r="A164" s="77"/>
      <c r="B164" s="25"/>
      <c r="C164" s="56"/>
      <c r="D164" s="59"/>
      <c r="E164" s="56"/>
      <c r="F164" s="25"/>
      <c r="G164" s="21"/>
      <c r="H164" s="59"/>
      <c r="I164" s="21"/>
    </row>
    <row r="165" spans="1:9" x14ac:dyDescent="0.2">
      <c r="A165" s="58" t="s">
        <v>139</v>
      </c>
      <c r="B165" s="25">
        <f t="shared" ref="B165:I165" si="14">SUM(B166:B171)</f>
        <v>55</v>
      </c>
      <c r="C165" s="56">
        <f t="shared" si="14"/>
        <v>43</v>
      </c>
      <c r="D165" s="59">
        <f t="shared" si="14"/>
        <v>67</v>
      </c>
      <c r="E165" s="56">
        <f t="shared" si="14"/>
        <v>27</v>
      </c>
      <c r="F165" s="25">
        <f t="shared" si="14"/>
        <v>60</v>
      </c>
      <c r="G165" s="21">
        <f t="shared" si="14"/>
        <v>41</v>
      </c>
      <c r="H165" s="59">
        <f t="shared" si="14"/>
        <v>58</v>
      </c>
      <c r="I165" s="21">
        <f t="shared" si="14"/>
        <v>39</v>
      </c>
    </row>
    <row r="166" spans="1:9" x14ac:dyDescent="0.2">
      <c r="A166" s="60" t="s">
        <v>71</v>
      </c>
      <c r="B166" s="26">
        <v>6</v>
      </c>
      <c r="C166" s="75">
        <v>8</v>
      </c>
      <c r="D166" s="62">
        <v>10</v>
      </c>
      <c r="E166" s="75">
        <v>2</v>
      </c>
      <c r="F166" s="26">
        <v>28</v>
      </c>
      <c r="G166" s="22">
        <v>19</v>
      </c>
      <c r="H166" s="62">
        <v>8</v>
      </c>
      <c r="I166" s="22">
        <v>4</v>
      </c>
    </row>
    <row r="167" spans="1:9" x14ac:dyDescent="0.2">
      <c r="A167" s="60" t="s">
        <v>140</v>
      </c>
      <c r="B167" s="26">
        <v>6</v>
      </c>
      <c r="C167" s="75">
        <v>4</v>
      </c>
      <c r="D167" s="62">
        <v>6</v>
      </c>
      <c r="E167" s="75">
        <v>2</v>
      </c>
      <c r="F167" s="26">
        <v>4</v>
      </c>
      <c r="G167" s="22">
        <v>3</v>
      </c>
      <c r="H167" s="62">
        <v>2</v>
      </c>
      <c r="I167" s="22">
        <v>3</v>
      </c>
    </row>
    <row r="168" spans="1:9" x14ac:dyDescent="0.2">
      <c r="A168" s="60" t="s">
        <v>141</v>
      </c>
      <c r="B168" s="26">
        <v>1</v>
      </c>
      <c r="C168" s="75">
        <v>0</v>
      </c>
      <c r="D168" s="62">
        <v>1</v>
      </c>
      <c r="E168" s="75">
        <v>3</v>
      </c>
      <c r="F168" s="26">
        <v>3</v>
      </c>
      <c r="G168" s="22">
        <v>3</v>
      </c>
      <c r="H168" s="62">
        <v>5</v>
      </c>
      <c r="I168" s="22">
        <v>0</v>
      </c>
    </row>
    <row r="169" spans="1:9" x14ac:dyDescent="0.2">
      <c r="A169" s="60" t="s">
        <v>142</v>
      </c>
      <c r="B169" s="26">
        <v>7</v>
      </c>
      <c r="C169" s="75">
        <v>5</v>
      </c>
      <c r="D169" s="62">
        <v>11</v>
      </c>
      <c r="E169" s="75">
        <v>4</v>
      </c>
      <c r="F169" s="26">
        <v>9</v>
      </c>
      <c r="G169" s="22">
        <v>3</v>
      </c>
      <c r="H169" s="62">
        <v>7</v>
      </c>
      <c r="I169" s="22">
        <v>7</v>
      </c>
    </row>
    <row r="170" spans="1:9" x14ac:dyDescent="0.2">
      <c r="A170" s="60" t="s">
        <v>143</v>
      </c>
      <c r="B170" s="26">
        <v>11</v>
      </c>
      <c r="C170" s="75">
        <v>5</v>
      </c>
      <c r="D170" s="62">
        <v>9</v>
      </c>
      <c r="E170" s="75">
        <v>5</v>
      </c>
      <c r="F170" s="26">
        <v>10</v>
      </c>
      <c r="G170" s="22">
        <v>5</v>
      </c>
      <c r="H170" s="62">
        <v>6</v>
      </c>
      <c r="I170" s="22">
        <v>2</v>
      </c>
    </row>
    <row r="171" spans="1:9" x14ac:dyDescent="0.2">
      <c r="A171" s="65" t="s">
        <v>144</v>
      </c>
      <c r="B171" s="40">
        <v>24</v>
      </c>
      <c r="C171" s="76">
        <v>21</v>
      </c>
      <c r="D171" s="45">
        <v>30</v>
      </c>
      <c r="E171" s="76">
        <v>11</v>
      </c>
      <c r="F171" s="40">
        <v>6</v>
      </c>
      <c r="G171" s="42">
        <v>8</v>
      </c>
      <c r="H171" s="45">
        <v>30</v>
      </c>
      <c r="I171" s="42">
        <v>23</v>
      </c>
    </row>
    <row r="172" spans="1:9" x14ac:dyDescent="0.2">
      <c r="A172" s="60"/>
      <c r="B172" s="26"/>
      <c r="C172" s="56"/>
      <c r="D172" s="62"/>
      <c r="E172" s="56"/>
      <c r="F172" s="26"/>
      <c r="G172" s="21"/>
      <c r="H172" s="62"/>
      <c r="I172" s="21"/>
    </row>
    <row r="173" spans="1:9" x14ac:dyDescent="0.2">
      <c r="A173" s="58" t="s">
        <v>145</v>
      </c>
      <c r="B173" s="25">
        <f t="shared" ref="B173:I173" si="15">SUM(B174:B186)</f>
        <v>132</v>
      </c>
      <c r="C173" s="56">
        <f t="shared" si="15"/>
        <v>96</v>
      </c>
      <c r="D173" s="59">
        <f t="shared" si="15"/>
        <v>137</v>
      </c>
      <c r="E173" s="56">
        <f t="shared" si="15"/>
        <v>74</v>
      </c>
      <c r="F173" s="25">
        <f t="shared" si="15"/>
        <v>122</v>
      </c>
      <c r="G173" s="21">
        <f t="shared" si="15"/>
        <v>76</v>
      </c>
      <c r="H173" s="59">
        <f t="shared" si="15"/>
        <v>126</v>
      </c>
      <c r="I173" s="78">
        <f t="shared" si="15"/>
        <v>79</v>
      </c>
    </row>
    <row r="174" spans="1:9" x14ac:dyDescent="0.2">
      <c r="A174" s="60" t="s">
        <v>146</v>
      </c>
      <c r="B174" s="26">
        <v>3</v>
      </c>
      <c r="C174" s="75">
        <v>3</v>
      </c>
      <c r="D174" s="62">
        <v>5</v>
      </c>
      <c r="E174" s="75">
        <v>3</v>
      </c>
      <c r="F174" s="26">
        <v>3</v>
      </c>
      <c r="G174" s="22">
        <v>4</v>
      </c>
      <c r="H174" s="62">
        <v>3</v>
      </c>
      <c r="I174" s="22">
        <v>0</v>
      </c>
    </row>
    <row r="175" spans="1:9" x14ac:dyDescent="0.2">
      <c r="A175" s="60" t="s">
        <v>195</v>
      </c>
      <c r="B175" s="26">
        <v>6</v>
      </c>
      <c r="C175" s="75">
        <v>9</v>
      </c>
      <c r="D175" s="62">
        <v>10</v>
      </c>
      <c r="E175" s="75">
        <v>7</v>
      </c>
      <c r="F175" s="26">
        <v>13</v>
      </c>
      <c r="G175" s="22">
        <v>5</v>
      </c>
      <c r="H175" s="62">
        <v>9</v>
      </c>
      <c r="I175" s="22">
        <v>6</v>
      </c>
    </row>
    <row r="176" spans="1:9" x14ac:dyDescent="0.2">
      <c r="A176" s="60" t="s">
        <v>147</v>
      </c>
      <c r="B176" s="26">
        <v>27</v>
      </c>
      <c r="C176" s="75">
        <v>14</v>
      </c>
      <c r="D176" s="62">
        <v>16</v>
      </c>
      <c r="E176" s="75">
        <v>10</v>
      </c>
      <c r="F176" s="26">
        <v>18</v>
      </c>
      <c r="G176" s="22">
        <v>9</v>
      </c>
      <c r="H176" s="62">
        <v>17</v>
      </c>
      <c r="I176" s="22">
        <v>3</v>
      </c>
    </row>
    <row r="177" spans="1:9" x14ac:dyDescent="0.2">
      <c r="A177" s="60" t="s">
        <v>148</v>
      </c>
      <c r="B177" s="26">
        <v>7</v>
      </c>
      <c r="C177" s="75">
        <v>5</v>
      </c>
      <c r="D177" s="62">
        <v>10</v>
      </c>
      <c r="E177" s="75">
        <v>6</v>
      </c>
      <c r="F177" s="26">
        <v>9</v>
      </c>
      <c r="G177" s="22">
        <v>11</v>
      </c>
      <c r="H177" s="62">
        <v>4</v>
      </c>
      <c r="I177" s="22">
        <v>14</v>
      </c>
    </row>
    <row r="178" spans="1:9" x14ac:dyDescent="0.2">
      <c r="A178" s="60" t="s">
        <v>101</v>
      </c>
      <c r="B178" s="26">
        <v>13</v>
      </c>
      <c r="C178" s="75">
        <v>9</v>
      </c>
      <c r="D178" s="62">
        <v>12</v>
      </c>
      <c r="E178" s="75">
        <v>5</v>
      </c>
      <c r="F178" s="26">
        <v>11</v>
      </c>
      <c r="G178" s="22">
        <v>4</v>
      </c>
      <c r="H178" s="62">
        <v>14</v>
      </c>
      <c r="I178" s="22">
        <v>4</v>
      </c>
    </row>
    <row r="179" spans="1:9" x14ac:dyDescent="0.2">
      <c r="A179" s="60" t="s">
        <v>149</v>
      </c>
      <c r="B179" s="26">
        <v>4</v>
      </c>
      <c r="C179" s="75">
        <v>6</v>
      </c>
      <c r="D179" s="62">
        <v>1</v>
      </c>
      <c r="E179" s="75">
        <v>5</v>
      </c>
      <c r="F179" s="26">
        <v>3</v>
      </c>
      <c r="G179" s="22">
        <v>7</v>
      </c>
      <c r="H179" s="62">
        <v>5</v>
      </c>
      <c r="I179" s="22">
        <v>12</v>
      </c>
    </row>
    <row r="180" spans="1:9" x14ac:dyDescent="0.2">
      <c r="A180" s="60" t="s">
        <v>150</v>
      </c>
      <c r="B180" s="26">
        <v>6</v>
      </c>
      <c r="C180" s="75">
        <v>3</v>
      </c>
      <c r="D180" s="62">
        <v>5</v>
      </c>
      <c r="E180" s="75">
        <v>3</v>
      </c>
      <c r="F180" s="26">
        <v>5</v>
      </c>
      <c r="G180" s="22">
        <v>1</v>
      </c>
      <c r="H180" s="62">
        <v>7</v>
      </c>
      <c r="I180" s="22">
        <v>4</v>
      </c>
    </row>
    <row r="181" spans="1:9" x14ac:dyDescent="0.2">
      <c r="A181" s="60" t="s">
        <v>151</v>
      </c>
      <c r="B181" s="26">
        <v>24</v>
      </c>
      <c r="C181" s="75">
        <v>14</v>
      </c>
      <c r="D181" s="62">
        <v>28</v>
      </c>
      <c r="E181" s="75">
        <v>13</v>
      </c>
      <c r="F181" s="26">
        <v>18</v>
      </c>
      <c r="G181" s="22">
        <v>4</v>
      </c>
      <c r="H181" s="62">
        <v>21</v>
      </c>
      <c r="I181" s="22">
        <v>2</v>
      </c>
    </row>
    <row r="182" spans="1:9" x14ac:dyDescent="0.2">
      <c r="A182" s="60" t="s">
        <v>152</v>
      </c>
      <c r="B182" s="26">
        <v>4</v>
      </c>
      <c r="C182" s="75">
        <v>4</v>
      </c>
      <c r="D182" s="62">
        <v>7</v>
      </c>
      <c r="E182" s="75">
        <v>5</v>
      </c>
      <c r="F182" s="26">
        <v>0</v>
      </c>
      <c r="G182" s="22">
        <v>17</v>
      </c>
      <c r="H182" s="62">
        <v>3</v>
      </c>
      <c r="I182" s="22">
        <v>11</v>
      </c>
    </row>
    <row r="183" spans="1:9" x14ac:dyDescent="0.2">
      <c r="A183" s="60" t="s">
        <v>153</v>
      </c>
      <c r="B183" s="26">
        <v>18</v>
      </c>
      <c r="C183" s="75">
        <v>9</v>
      </c>
      <c r="D183" s="62">
        <v>21</v>
      </c>
      <c r="E183" s="75">
        <v>6</v>
      </c>
      <c r="F183" s="26">
        <v>11</v>
      </c>
      <c r="G183" s="22">
        <v>0</v>
      </c>
      <c r="H183" s="62">
        <v>8</v>
      </c>
      <c r="I183" s="22">
        <v>3</v>
      </c>
    </row>
    <row r="184" spans="1:9" x14ac:dyDescent="0.2">
      <c r="A184" s="60" t="s">
        <v>154</v>
      </c>
      <c r="B184" s="26">
        <v>9</v>
      </c>
      <c r="C184" s="75">
        <v>7</v>
      </c>
      <c r="D184" s="62">
        <v>11</v>
      </c>
      <c r="E184" s="75">
        <v>4</v>
      </c>
      <c r="F184" s="26">
        <v>18</v>
      </c>
      <c r="G184" s="22">
        <v>7</v>
      </c>
      <c r="H184" s="62">
        <v>20</v>
      </c>
      <c r="I184" s="22">
        <v>17</v>
      </c>
    </row>
    <row r="185" spans="1:9" x14ac:dyDescent="0.2">
      <c r="A185" s="60" t="s">
        <v>155</v>
      </c>
      <c r="B185" s="26">
        <v>5</v>
      </c>
      <c r="C185" s="75">
        <v>9</v>
      </c>
      <c r="D185" s="62">
        <v>9</v>
      </c>
      <c r="E185" s="75">
        <v>6</v>
      </c>
      <c r="F185" s="26">
        <v>9</v>
      </c>
      <c r="G185" s="22">
        <v>6</v>
      </c>
      <c r="H185" s="62">
        <v>9</v>
      </c>
      <c r="I185" s="22">
        <v>2</v>
      </c>
    </row>
    <row r="186" spans="1:9" x14ac:dyDescent="0.2">
      <c r="A186" s="65" t="s">
        <v>112</v>
      </c>
      <c r="B186" s="40">
        <v>6</v>
      </c>
      <c r="C186" s="76">
        <v>4</v>
      </c>
      <c r="D186" s="45">
        <v>2</v>
      </c>
      <c r="E186" s="76">
        <v>1</v>
      </c>
      <c r="F186" s="45">
        <v>4</v>
      </c>
      <c r="G186" s="42">
        <v>1</v>
      </c>
      <c r="H186" s="45">
        <v>6</v>
      </c>
      <c r="I186" s="42">
        <v>1</v>
      </c>
    </row>
    <row r="187" spans="1:9" x14ac:dyDescent="0.2">
      <c r="A187" s="60"/>
      <c r="B187" s="26"/>
      <c r="C187" s="56"/>
      <c r="D187" s="62"/>
      <c r="E187" s="56"/>
      <c r="F187" s="26"/>
      <c r="G187" s="21"/>
      <c r="H187" s="62"/>
      <c r="I187" s="21"/>
    </row>
    <row r="188" spans="1:9" x14ac:dyDescent="0.2">
      <c r="A188" s="58" t="s">
        <v>156</v>
      </c>
      <c r="B188" s="25">
        <f t="shared" ref="B188:I188" si="16">SUM(B189:B199)</f>
        <v>185</v>
      </c>
      <c r="C188" s="56">
        <f t="shared" si="16"/>
        <v>163</v>
      </c>
      <c r="D188" s="59">
        <f t="shared" si="16"/>
        <v>214</v>
      </c>
      <c r="E188" s="56">
        <f t="shared" si="16"/>
        <v>158</v>
      </c>
      <c r="F188" s="25">
        <f t="shared" si="16"/>
        <v>224</v>
      </c>
      <c r="G188" s="21">
        <f t="shared" si="16"/>
        <v>162</v>
      </c>
      <c r="H188" s="59">
        <f t="shared" si="16"/>
        <v>211</v>
      </c>
      <c r="I188" s="79">
        <f t="shared" si="16"/>
        <v>155</v>
      </c>
    </row>
    <row r="189" spans="1:9" x14ac:dyDescent="0.2">
      <c r="A189" s="60" t="s">
        <v>157</v>
      </c>
      <c r="B189" s="26">
        <v>8</v>
      </c>
      <c r="C189" s="75">
        <v>1</v>
      </c>
      <c r="D189" s="62">
        <v>9</v>
      </c>
      <c r="E189" s="75">
        <v>4</v>
      </c>
      <c r="F189" s="26">
        <v>26</v>
      </c>
      <c r="G189" s="22">
        <v>12</v>
      </c>
      <c r="H189" s="62">
        <v>13</v>
      </c>
      <c r="I189" s="22">
        <v>6</v>
      </c>
    </row>
    <row r="190" spans="1:9" x14ac:dyDescent="0.2">
      <c r="A190" s="60" t="s">
        <v>158</v>
      </c>
      <c r="B190" s="26">
        <v>17</v>
      </c>
      <c r="C190" s="75">
        <v>12</v>
      </c>
      <c r="D190" s="62">
        <v>12</v>
      </c>
      <c r="E190" s="75">
        <v>12</v>
      </c>
      <c r="F190" s="26">
        <v>30</v>
      </c>
      <c r="G190" s="22">
        <v>39</v>
      </c>
      <c r="H190" s="62">
        <v>12</v>
      </c>
      <c r="I190" s="22">
        <v>9</v>
      </c>
    </row>
    <row r="191" spans="1:9" x14ac:dyDescent="0.2">
      <c r="A191" s="60" t="s">
        <v>159</v>
      </c>
      <c r="B191" s="26">
        <v>10</v>
      </c>
      <c r="C191" s="75">
        <v>9</v>
      </c>
      <c r="D191" s="62">
        <v>7</v>
      </c>
      <c r="E191" s="75">
        <v>5</v>
      </c>
      <c r="F191" s="26">
        <v>12</v>
      </c>
      <c r="G191" s="22">
        <v>5</v>
      </c>
      <c r="H191" s="62">
        <v>11</v>
      </c>
      <c r="I191" s="22">
        <v>6</v>
      </c>
    </row>
    <row r="192" spans="1:9" x14ac:dyDescent="0.2">
      <c r="A192" s="60" t="s">
        <v>160</v>
      </c>
      <c r="B192" s="26">
        <v>1</v>
      </c>
      <c r="C192" s="75">
        <v>2</v>
      </c>
      <c r="D192" s="62">
        <v>3</v>
      </c>
      <c r="E192" s="75">
        <v>2</v>
      </c>
      <c r="F192" s="26">
        <v>11</v>
      </c>
      <c r="G192" s="22">
        <v>7</v>
      </c>
      <c r="H192" s="62">
        <v>0</v>
      </c>
      <c r="I192" s="22">
        <v>0</v>
      </c>
    </row>
    <row r="193" spans="1:9" x14ac:dyDescent="0.2">
      <c r="A193" s="60" t="s">
        <v>161</v>
      </c>
      <c r="B193" s="26">
        <v>54</v>
      </c>
      <c r="C193" s="75">
        <v>49</v>
      </c>
      <c r="D193" s="62">
        <v>55</v>
      </c>
      <c r="E193" s="75">
        <v>47</v>
      </c>
      <c r="F193" s="26">
        <v>29</v>
      </c>
      <c r="G193" s="22">
        <v>24</v>
      </c>
      <c r="H193" s="62">
        <v>75</v>
      </c>
      <c r="I193" s="22">
        <v>51</v>
      </c>
    </row>
    <row r="194" spans="1:9" x14ac:dyDescent="0.2">
      <c r="A194" s="60" t="s">
        <v>162</v>
      </c>
      <c r="B194" s="26">
        <v>17</v>
      </c>
      <c r="C194" s="75">
        <v>16</v>
      </c>
      <c r="D194" s="62">
        <v>14</v>
      </c>
      <c r="E194" s="75">
        <v>15</v>
      </c>
      <c r="F194" s="26">
        <v>4</v>
      </c>
      <c r="G194" s="22">
        <v>7</v>
      </c>
      <c r="H194" s="62">
        <v>19</v>
      </c>
      <c r="I194" s="22">
        <v>20</v>
      </c>
    </row>
    <row r="195" spans="1:9" x14ac:dyDescent="0.2">
      <c r="A195" s="60" t="s">
        <v>163</v>
      </c>
      <c r="B195" s="26">
        <v>28</v>
      </c>
      <c r="C195" s="75">
        <v>21</v>
      </c>
      <c r="D195" s="62">
        <v>45</v>
      </c>
      <c r="E195" s="75">
        <v>36</v>
      </c>
      <c r="F195" s="26">
        <v>11</v>
      </c>
      <c r="G195" s="22">
        <v>4</v>
      </c>
      <c r="H195" s="62">
        <v>31</v>
      </c>
      <c r="I195" s="22">
        <v>26</v>
      </c>
    </row>
    <row r="196" spans="1:9" x14ac:dyDescent="0.2">
      <c r="A196" s="60" t="s">
        <v>164</v>
      </c>
      <c r="B196" s="26">
        <v>22</v>
      </c>
      <c r="C196" s="75">
        <v>16</v>
      </c>
      <c r="D196" s="62">
        <v>10</v>
      </c>
      <c r="E196" s="75">
        <v>12</v>
      </c>
      <c r="F196" s="26">
        <v>3</v>
      </c>
      <c r="G196" s="22">
        <v>2</v>
      </c>
      <c r="H196" s="62">
        <v>13</v>
      </c>
      <c r="I196" s="22">
        <v>14</v>
      </c>
    </row>
    <row r="197" spans="1:9" x14ac:dyDescent="0.2">
      <c r="A197" s="60" t="s">
        <v>165</v>
      </c>
      <c r="B197" s="26">
        <v>17</v>
      </c>
      <c r="C197" s="75">
        <v>15</v>
      </c>
      <c r="D197" s="62">
        <v>36</v>
      </c>
      <c r="E197" s="75">
        <v>17</v>
      </c>
      <c r="F197" s="26">
        <v>13</v>
      </c>
      <c r="G197" s="22">
        <v>1</v>
      </c>
      <c r="H197" s="62">
        <v>17</v>
      </c>
      <c r="I197" s="22">
        <v>13</v>
      </c>
    </row>
    <row r="198" spans="1:9" x14ac:dyDescent="0.2">
      <c r="A198" s="60" t="s">
        <v>166</v>
      </c>
      <c r="B198" s="26">
        <v>7</v>
      </c>
      <c r="C198" s="75">
        <v>15</v>
      </c>
      <c r="D198" s="62">
        <v>15</v>
      </c>
      <c r="E198" s="75">
        <v>5</v>
      </c>
      <c r="F198" s="26">
        <v>8</v>
      </c>
      <c r="G198" s="22">
        <v>5</v>
      </c>
      <c r="H198" s="62">
        <v>11</v>
      </c>
      <c r="I198" s="22">
        <v>5</v>
      </c>
    </row>
    <row r="199" spans="1:9" x14ac:dyDescent="0.2">
      <c r="A199" s="65" t="s">
        <v>196</v>
      </c>
      <c r="B199" s="40">
        <v>4</v>
      </c>
      <c r="C199" s="76">
        <v>7</v>
      </c>
      <c r="D199" s="45">
        <v>8</v>
      </c>
      <c r="E199" s="76">
        <v>3</v>
      </c>
      <c r="F199" s="40">
        <v>77</v>
      </c>
      <c r="G199" s="42">
        <v>56</v>
      </c>
      <c r="H199" s="45">
        <v>9</v>
      </c>
      <c r="I199" s="42">
        <v>5</v>
      </c>
    </row>
    <row r="200" spans="1:9" x14ac:dyDescent="0.2">
      <c r="A200" s="60"/>
      <c r="B200" s="26"/>
      <c r="C200" s="56"/>
      <c r="D200" s="62"/>
      <c r="E200" s="56"/>
      <c r="F200" s="26"/>
      <c r="G200" s="21"/>
      <c r="H200" s="62"/>
      <c r="I200" s="21"/>
    </row>
    <row r="201" spans="1:9" x14ac:dyDescent="0.2">
      <c r="A201" s="58" t="s">
        <v>167</v>
      </c>
      <c r="B201" s="25">
        <f t="shared" ref="B201:I201" si="17">SUM(B202:B210)</f>
        <v>116</v>
      </c>
      <c r="C201" s="56">
        <f t="shared" si="17"/>
        <v>93</v>
      </c>
      <c r="D201" s="59">
        <f t="shared" si="17"/>
        <v>135</v>
      </c>
      <c r="E201" s="56">
        <f t="shared" si="17"/>
        <v>83</v>
      </c>
      <c r="F201" s="25">
        <f t="shared" si="17"/>
        <v>108</v>
      </c>
      <c r="G201" s="21">
        <f t="shared" si="17"/>
        <v>73</v>
      </c>
      <c r="H201" s="80">
        <f t="shared" si="17"/>
        <v>103</v>
      </c>
      <c r="I201" s="21">
        <f t="shared" si="17"/>
        <v>100</v>
      </c>
    </row>
    <row r="202" spans="1:9" x14ac:dyDescent="0.2">
      <c r="A202" s="60" t="s">
        <v>168</v>
      </c>
      <c r="B202" s="26">
        <v>5</v>
      </c>
      <c r="C202" s="75">
        <v>6</v>
      </c>
      <c r="D202" s="62">
        <v>3</v>
      </c>
      <c r="E202" s="75">
        <v>4</v>
      </c>
      <c r="F202" s="26">
        <v>35</v>
      </c>
      <c r="G202" s="22">
        <v>16</v>
      </c>
      <c r="H202" s="62">
        <v>2</v>
      </c>
      <c r="I202" s="22">
        <v>3</v>
      </c>
    </row>
    <row r="203" spans="1:9" x14ac:dyDescent="0.2">
      <c r="A203" s="60" t="s">
        <v>169</v>
      </c>
      <c r="B203" s="26">
        <v>33</v>
      </c>
      <c r="C203" s="75">
        <v>27</v>
      </c>
      <c r="D203" s="62">
        <v>48</v>
      </c>
      <c r="E203" s="75">
        <v>28</v>
      </c>
      <c r="F203" s="26">
        <v>25</v>
      </c>
      <c r="G203" s="22">
        <v>17</v>
      </c>
      <c r="H203" s="62">
        <v>29</v>
      </c>
      <c r="I203" s="22">
        <v>31</v>
      </c>
    </row>
    <row r="204" spans="1:9" x14ac:dyDescent="0.2">
      <c r="A204" s="60" t="s">
        <v>164</v>
      </c>
      <c r="B204" s="26">
        <v>21</v>
      </c>
      <c r="C204" s="75">
        <v>14</v>
      </c>
      <c r="D204" s="62">
        <v>20</v>
      </c>
      <c r="E204" s="75">
        <v>18</v>
      </c>
      <c r="F204" s="26">
        <v>6</v>
      </c>
      <c r="G204" s="22">
        <v>5</v>
      </c>
      <c r="H204" s="62">
        <v>23</v>
      </c>
      <c r="I204" s="22">
        <v>33</v>
      </c>
    </row>
    <row r="205" spans="1:9" x14ac:dyDescent="0.2">
      <c r="A205" s="60" t="s">
        <v>138</v>
      </c>
      <c r="B205" s="26">
        <v>7</v>
      </c>
      <c r="C205" s="75">
        <v>8</v>
      </c>
      <c r="D205" s="62">
        <v>13</v>
      </c>
      <c r="E205" s="75">
        <v>6</v>
      </c>
      <c r="F205" s="26">
        <v>6</v>
      </c>
      <c r="G205" s="22">
        <v>11</v>
      </c>
      <c r="H205" s="62">
        <v>6</v>
      </c>
      <c r="I205" s="22">
        <v>9</v>
      </c>
    </row>
    <row r="206" spans="1:9" x14ac:dyDescent="0.2">
      <c r="A206" s="60" t="s">
        <v>170</v>
      </c>
      <c r="B206" s="26">
        <v>16</v>
      </c>
      <c r="C206" s="75">
        <v>7</v>
      </c>
      <c r="D206" s="62">
        <v>12</v>
      </c>
      <c r="E206" s="75">
        <v>6</v>
      </c>
      <c r="F206" s="26">
        <v>4</v>
      </c>
      <c r="G206" s="22">
        <v>6</v>
      </c>
      <c r="H206" s="62">
        <v>12</v>
      </c>
      <c r="I206" s="22">
        <v>7</v>
      </c>
    </row>
    <row r="207" spans="1:9" x14ac:dyDescent="0.2">
      <c r="A207" s="60" t="s">
        <v>171</v>
      </c>
      <c r="B207" s="26">
        <v>5</v>
      </c>
      <c r="C207" s="75">
        <v>3</v>
      </c>
      <c r="D207" s="62">
        <v>3</v>
      </c>
      <c r="E207" s="75">
        <v>1</v>
      </c>
      <c r="F207" s="26">
        <v>4</v>
      </c>
      <c r="G207" s="22">
        <v>1</v>
      </c>
      <c r="H207" s="62">
        <v>7</v>
      </c>
      <c r="I207" s="22">
        <v>0</v>
      </c>
    </row>
    <row r="208" spans="1:9" x14ac:dyDescent="0.2">
      <c r="A208" s="60" t="s">
        <v>172</v>
      </c>
      <c r="B208" s="26">
        <v>1</v>
      </c>
      <c r="C208" s="75">
        <v>3</v>
      </c>
      <c r="D208" s="62">
        <v>4</v>
      </c>
      <c r="E208" s="75">
        <v>4</v>
      </c>
      <c r="F208" s="26">
        <v>21</v>
      </c>
      <c r="G208" s="22">
        <v>7</v>
      </c>
      <c r="H208" s="62">
        <v>0</v>
      </c>
      <c r="I208" s="22">
        <v>0</v>
      </c>
    </row>
    <row r="209" spans="1:9" x14ac:dyDescent="0.2">
      <c r="A209" s="60" t="s">
        <v>173</v>
      </c>
      <c r="B209" s="26">
        <v>18</v>
      </c>
      <c r="C209" s="75">
        <v>17</v>
      </c>
      <c r="D209" s="62">
        <v>30</v>
      </c>
      <c r="E209" s="75">
        <v>9</v>
      </c>
      <c r="F209" s="26">
        <v>2</v>
      </c>
      <c r="G209" s="22">
        <v>6</v>
      </c>
      <c r="H209" s="62">
        <v>18</v>
      </c>
      <c r="I209" s="22">
        <v>11</v>
      </c>
    </row>
    <row r="210" spans="1:9" x14ac:dyDescent="0.2">
      <c r="A210" s="65" t="s">
        <v>174</v>
      </c>
      <c r="B210" s="40">
        <v>10</v>
      </c>
      <c r="C210" s="76">
        <v>8</v>
      </c>
      <c r="D210" s="45">
        <v>2</v>
      </c>
      <c r="E210" s="76">
        <v>7</v>
      </c>
      <c r="F210" s="40">
        <v>5</v>
      </c>
      <c r="G210" s="42">
        <v>4</v>
      </c>
      <c r="H210" s="45">
        <v>6</v>
      </c>
      <c r="I210" s="42">
        <v>6</v>
      </c>
    </row>
    <row r="211" spans="1:9" x14ac:dyDescent="0.2">
      <c r="A211" s="60"/>
      <c r="B211" s="26"/>
      <c r="C211" s="56"/>
      <c r="D211" s="62"/>
      <c r="E211" s="56"/>
      <c r="F211" s="26"/>
      <c r="G211" s="21"/>
      <c r="H211" s="62"/>
      <c r="I211" s="21"/>
    </row>
    <row r="212" spans="1:9" x14ac:dyDescent="0.2">
      <c r="A212" s="58" t="s">
        <v>175</v>
      </c>
      <c r="B212" s="25">
        <f t="shared" ref="B212:I212" si="18">SUM(B213:B221)</f>
        <v>159</v>
      </c>
      <c r="C212" s="56">
        <f t="shared" si="18"/>
        <v>109</v>
      </c>
      <c r="D212" s="59">
        <f t="shared" si="18"/>
        <v>177</v>
      </c>
      <c r="E212" s="56">
        <f t="shared" si="18"/>
        <v>120</v>
      </c>
      <c r="F212" s="25">
        <f t="shared" si="18"/>
        <v>137</v>
      </c>
      <c r="G212" s="21">
        <f t="shared" si="18"/>
        <v>117</v>
      </c>
      <c r="H212" s="80">
        <f t="shared" si="18"/>
        <v>158</v>
      </c>
      <c r="I212" s="78">
        <f t="shared" si="18"/>
        <v>120</v>
      </c>
    </row>
    <row r="213" spans="1:9" x14ac:dyDescent="0.2">
      <c r="A213" s="60" t="s">
        <v>176</v>
      </c>
      <c r="B213" s="26">
        <v>9</v>
      </c>
      <c r="C213" s="75">
        <v>7</v>
      </c>
      <c r="D213" s="62">
        <v>5</v>
      </c>
      <c r="E213" s="75">
        <v>7</v>
      </c>
      <c r="F213" s="26">
        <v>5</v>
      </c>
      <c r="G213" s="22">
        <v>11</v>
      </c>
      <c r="H213" s="62">
        <v>15</v>
      </c>
      <c r="I213" s="22">
        <v>42</v>
      </c>
    </row>
    <row r="214" spans="1:9" x14ac:dyDescent="0.2">
      <c r="A214" s="60" t="s">
        <v>177</v>
      </c>
      <c r="B214" s="26">
        <v>13</v>
      </c>
      <c r="C214" s="75">
        <v>5</v>
      </c>
      <c r="D214" s="62">
        <v>15</v>
      </c>
      <c r="E214" s="75">
        <v>10</v>
      </c>
      <c r="F214" s="26">
        <v>14</v>
      </c>
      <c r="G214" s="22">
        <v>9</v>
      </c>
      <c r="H214" s="62">
        <v>11</v>
      </c>
      <c r="I214" s="22">
        <v>11</v>
      </c>
    </row>
    <row r="215" spans="1:9" x14ac:dyDescent="0.2">
      <c r="A215" s="60" t="s">
        <v>178</v>
      </c>
      <c r="B215" s="26">
        <v>3</v>
      </c>
      <c r="C215" s="75">
        <v>10</v>
      </c>
      <c r="D215" s="62">
        <v>11</v>
      </c>
      <c r="E215" s="75">
        <v>9</v>
      </c>
      <c r="F215" s="26">
        <v>5</v>
      </c>
      <c r="G215" s="22">
        <v>4</v>
      </c>
      <c r="H215" s="62">
        <v>11</v>
      </c>
      <c r="I215" s="22">
        <v>10</v>
      </c>
    </row>
    <row r="216" spans="1:9" x14ac:dyDescent="0.2">
      <c r="A216" s="60" t="s">
        <v>179</v>
      </c>
      <c r="B216" s="26">
        <v>17</v>
      </c>
      <c r="C216" s="75">
        <v>22</v>
      </c>
      <c r="D216" s="62">
        <v>29</v>
      </c>
      <c r="E216" s="75">
        <v>13</v>
      </c>
      <c r="F216" s="26">
        <v>20</v>
      </c>
      <c r="G216" s="22">
        <v>11</v>
      </c>
      <c r="H216" s="62">
        <v>19</v>
      </c>
      <c r="I216" s="22">
        <v>6</v>
      </c>
    </row>
    <row r="217" spans="1:9" x14ac:dyDescent="0.2">
      <c r="A217" s="60" t="s">
        <v>180</v>
      </c>
      <c r="B217" s="26">
        <v>3</v>
      </c>
      <c r="C217" s="75">
        <v>1</v>
      </c>
      <c r="D217" s="62">
        <v>8</v>
      </c>
      <c r="E217" s="75">
        <v>6</v>
      </c>
      <c r="F217" s="26">
        <v>6</v>
      </c>
      <c r="G217" s="22">
        <v>5</v>
      </c>
      <c r="H217" s="62">
        <v>13</v>
      </c>
      <c r="I217" s="22">
        <v>9</v>
      </c>
    </row>
    <row r="218" spans="1:9" x14ac:dyDescent="0.2">
      <c r="A218" s="60" t="s">
        <v>61</v>
      </c>
      <c r="B218" s="26">
        <v>7</v>
      </c>
      <c r="C218" s="75">
        <v>8</v>
      </c>
      <c r="D218" s="62">
        <v>18</v>
      </c>
      <c r="E218" s="75">
        <v>8</v>
      </c>
      <c r="F218" s="26">
        <v>13</v>
      </c>
      <c r="G218" s="22">
        <v>13</v>
      </c>
      <c r="H218" s="62">
        <v>10</v>
      </c>
      <c r="I218" s="22">
        <v>4</v>
      </c>
    </row>
    <row r="219" spans="1:9" x14ac:dyDescent="0.2">
      <c r="A219" s="60" t="s">
        <v>181</v>
      </c>
      <c r="B219" s="26">
        <v>0</v>
      </c>
      <c r="C219" s="75">
        <v>2</v>
      </c>
      <c r="D219" s="62">
        <v>5</v>
      </c>
      <c r="E219" s="75">
        <v>4</v>
      </c>
      <c r="F219" s="26">
        <v>2</v>
      </c>
      <c r="G219" s="22">
        <v>7</v>
      </c>
      <c r="H219" s="62">
        <v>5</v>
      </c>
      <c r="I219" s="22">
        <v>12</v>
      </c>
    </row>
    <row r="220" spans="1:9" x14ac:dyDescent="0.2">
      <c r="A220" s="60" t="s">
        <v>182</v>
      </c>
      <c r="B220" s="26">
        <v>19</v>
      </c>
      <c r="C220" s="75">
        <v>12</v>
      </c>
      <c r="D220" s="62">
        <v>16</v>
      </c>
      <c r="E220" s="75">
        <v>7</v>
      </c>
      <c r="F220" s="26">
        <v>11</v>
      </c>
      <c r="G220" s="22">
        <v>11</v>
      </c>
      <c r="H220" s="62">
        <v>14</v>
      </c>
      <c r="I220" s="22">
        <v>8</v>
      </c>
    </row>
    <row r="221" spans="1:9" x14ac:dyDescent="0.2">
      <c r="A221" s="65" t="s">
        <v>122</v>
      </c>
      <c r="B221" s="40">
        <v>88</v>
      </c>
      <c r="C221" s="76">
        <v>42</v>
      </c>
      <c r="D221" s="45">
        <v>70</v>
      </c>
      <c r="E221" s="76">
        <v>56</v>
      </c>
      <c r="F221" s="40">
        <v>61</v>
      </c>
      <c r="G221" s="42">
        <v>46</v>
      </c>
      <c r="H221" s="45">
        <v>60</v>
      </c>
      <c r="I221" s="42">
        <v>18</v>
      </c>
    </row>
    <row r="222" spans="1:9" x14ac:dyDescent="0.2">
      <c r="A222" s="60"/>
      <c r="B222" s="26"/>
      <c r="C222" s="56"/>
      <c r="D222" s="62"/>
      <c r="E222" s="56"/>
      <c r="F222" s="26"/>
      <c r="G222" s="21"/>
      <c r="H222" s="62"/>
      <c r="I222" s="21"/>
    </row>
    <row r="223" spans="1:9" x14ac:dyDescent="0.2">
      <c r="A223" s="58" t="s">
        <v>183</v>
      </c>
      <c r="B223" s="32">
        <v>136</v>
      </c>
      <c r="C223" s="56">
        <v>85</v>
      </c>
      <c r="D223" s="57">
        <f t="shared" ref="D223:H223" si="19">D224</f>
        <v>138</v>
      </c>
      <c r="E223" s="56">
        <f t="shared" si="19"/>
        <v>101</v>
      </c>
      <c r="F223" s="32">
        <f t="shared" si="19"/>
        <v>143</v>
      </c>
      <c r="G223" s="21">
        <f t="shared" si="19"/>
        <v>101</v>
      </c>
      <c r="H223" s="57">
        <f t="shared" si="19"/>
        <v>145</v>
      </c>
      <c r="I223" s="21">
        <v>49</v>
      </c>
    </row>
    <row r="224" spans="1:9" x14ac:dyDescent="0.2">
      <c r="A224" s="65" t="s">
        <v>184</v>
      </c>
      <c r="B224" s="40">
        <v>136</v>
      </c>
      <c r="C224" s="76">
        <v>85</v>
      </c>
      <c r="D224" s="45">
        <v>138</v>
      </c>
      <c r="E224" s="76">
        <v>101</v>
      </c>
      <c r="F224" s="40">
        <v>143</v>
      </c>
      <c r="G224" s="42">
        <v>101</v>
      </c>
      <c r="H224" s="45">
        <v>145</v>
      </c>
      <c r="I224" s="42">
        <v>49</v>
      </c>
    </row>
    <row r="225" spans="1:17" x14ac:dyDescent="0.2">
      <c r="A225" s="60"/>
      <c r="B225" s="26"/>
      <c r="C225" s="56"/>
      <c r="D225" s="62"/>
      <c r="E225" s="56"/>
      <c r="F225" s="26"/>
      <c r="G225" s="21"/>
      <c r="H225" s="62"/>
      <c r="I225" s="21"/>
    </row>
    <row r="226" spans="1:17" x14ac:dyDescent="0.2">
      <c r="A226" s="58" t="s">
        <v>185</v>
      </c>
      <c r="B226" s="25">
        <f t="shared" ref="B226:I226" si="20">SUM(B227:B232)</f>
        <v>272</v>
      </c>
      <c r="C226" s="56">
        <f t="shared" si="20"/>
        <v>206</v>
      </c>
      <c r="D226" s="59">
        <f t="shared" si="20"/>
        <v>301</v>
      </c>
      <c r="E226" s="56">
        <f t="shared" si="20"/>
        <v>227</v>
      </c>
      <c r="F226" s="25">
        <f t="shared" si="20"/>
        <v>286</v>
      </c>
      <c r="G226" s="21">
        <f t="shared" si="20"/>
        <v>180</v>
      </c>
      <c r="H226" s="59">
        <f t="shared" si="20"/>
        <v>296</v>
      </c>
      <c r="I226" s="21">
        <f t="shared" si="20"/>
        <v>175</v>
      </c>
    </row>
    <row r="227" spans="1:17" x14ac:dyDescent="0.2">
      <c r="A227" s="60" t="s">
        <v>71</v>
      </c>
      <c r="B227" s="26">
        <v>24</v>
      </c>
      <c r="C227" s="75">
        <v>24</v>
      </c>
      <c r="D227" s="62">
        <v>40</v>
      </c>
      <c r="E227" s="75">
        <v>26</v>
      </c>
      <c r="F227" s="26">
        <v>22</v>
      </c>
      <c r="G227" s="22">
        <v>18</v>
      </c>
      <c r="H227" s="62">
        <v>29</v>
      </c>
      <c r="I227" s="22">
        <v>82</v>
      </c>
    </row>
    <row r="228" spans="1:17" x14ac:dyDescent="0.2">
      <c r="A228" s="60" t="s">
        <v>165</v>
      </c>
      <c r="B228" s="26">
        <v>138</v>
      </c>
      <c r="C228" s="75">
        <v>94</v>
      </c>
      <c r="D228" s="62">
        <v>158</v>
      </c>
      <c r="E228" s="75">
        <v>100</v>
      </c>
      <c r="F228" s="26">
        <v>164</v>
      </c>
      <c r="G228" s="22">
        <v>80</v>
      </c>
      <c r="H228" s="62">
        <v>148</v>
      </c>
      <c r="I228" s="22">
        <v>17</v>
      </c>
    </row>
    <row r="229" spans="1:17" x14ac:dyDescent="0.2">
      <c r="A229" s="60" t="s">
        <v>186</v>
      </c>
      <c r="B229" s="26">
        <v>40</v>
      </c>
      <c r="C229" s="75">
        <v>21</v>
      </c>
      <c r="D229" s="62">
        <v>33</v>
      </c>
      <c r="E229" s="75">
        <v>32</v>
      </c>
      <c r="F229" s="26">
        <v>28</v>
      </c>
      <c r="G229" s="22">
        <v>23</v>
      </c>
      <c r="H229" s="62">
        <v>27</v>
      </c>
      <c r="I229" s="22">
        <v>12</v>
      </c>
    </row>
    <row r="230" spans="1:17" x14ac:dyDescent="0.2">
      <c r="A230" s="60" t="s">
        <v>35</v>
      </c>
      <c r="B230" s="26">
        <v>42</v>
      </c>
      <c r="C230" s="75">
        <v>34</v>
      </c>
      <c r="D230" s="62">
        <v>43</v>
      </c>
      <c r="E230" s="75">
        <v>43</v>
      </c>
      <c r="F230" s="26">
        <v>44</v>
      </c>
      <c r="G230" s="22">
        <v>39</v>
      </c>
      <c r="H230" s="62">
        <v>47</v>
      </c>
      <c r="I230" s="22">
        <v>22</v>
      </c>
    </row>
    <row r="231" spans="1:17" x14ac:dyDescent="0.2">
      <c r="A231" s="60" t="s">
        <v>187</v>
      </c>
      <c r="B231" s="26">
        <v>19</v>
      </c>
      <c r="C231" s="75">
        <v>24</v>
      </c>
      <c r="D231" s="62">
        <v>19</v>
      </c>
      <c r="E231" s="75">
        <v>16</v>
      </c>
      <c r="F231" s="26">
        <v>15</v>
      </c>
      <c r="G231" s="22">
        <v>12</v>
      </c>
      <c r="H231" s="62">
        <v>36</v>
      </c>
      <c r="I231" s="22">
        <v>33</v>
      </c>
    </row>
    <row r="232" spans="1:17" x14ac:dyDescent="0.2">
      <c r="A232" s="81" t="s">
        <v>188</v>
      </c>
      <c r="B232" s="46">
        <v>9</v>
      </c>
      <c r="C232" s="82">
        <v>9</v>
      </c>
      <c r="D232" s="83">
        <v>8</v>
      </c>
      <c r="E232" s="82">
        <v>10</v>
      </c>
      <c r="F232" s="46">
        <v>13</v>
      </c>
      <c r="G232" s="23">
        <v>8</v>
      </c>
      <c r="H232" s="83">
        <v>9</v>
      </c>
      <c r="I232" s="23">
        <v>9</v>
      </c>
    </row>
    <row r="233" spans="1:17" ht="15" x14ac:dyDescent="0.25">
      <c r="A233" s="9" t="s">
        <v>190</v>
      </c>
      <c r="B233" s="11"/>
      <c r="C233" s="11"/>
      <c r="D233" s="11"/>
      <c r="E233" s="11"/>
      <c r="F233" s="11"/>
      <c r="G233" s="11"/>
      <c r="H233" s="11"/>
      <c r="I233" s="11"/>
      <c r="J233" s="1"/>
      <c r="K233" s="1"/>
      <c r="L233" s="1"/>
      <c r="M233" s="1"/>
      <c r="N233" s="1"/>
      <c r="O233" s="1"/>
      <c r="P233" s="1"/>
      <c r="Q233" s="1"/>
    </row>
  </sheetData>
  <mergeCells count="6">
    <mergeCell ref="A3:A4"/>
    <mergeCell ref="B3:C3"/>
    <mergeCell ref="D3:E3"/>
    <mergeCell ref="F3:G3"/>
    <mergeCell ref="A1:I1"/>
    <mergeCell ref="H3:I3"/>
  </mergeCells>
  <pageMargins left="0.7" right="0.7" top="0.75" bottom="0.75" header="0.3" footer="0.3"/>
  <pageSetup paperSize="9" scale="54" orientation="portrait" r:id="rId1"/>
  <rowBreaks count="2" manualBreakCount="2">
    <brk id="106" max="9" man="1"/>
    <brk id="210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3.25</vt:lpstr>
      <vt:lpstr>'3.25'!Print_Area</vt:lpstr>
      <vt:lpstr>'3.25'!Print_Titles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2023-05-16T06:13:05Z</cp:lastPrinted>
  <dcterms:created xsi:type="dcterms:W3CDTF">2019-07-22T06:02:33Z</dcterms:created>
  <dcterms:modified xsi:type="dcterms:W3CDTF">2023-09-14T05:02:50Z</dcterms:modified>
</cp:coreProperties>
</file>