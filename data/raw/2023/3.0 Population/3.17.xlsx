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6CE42875-2BC7-4832-8EAF-76E3FA64E6DC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7" sheetId="17" r:id="rId1"/>
  </sheets>
  <externalReferences>
    <externalReference r:id="rId2"/>
    <externalReference r:id="rId3"/>
  </externalReferences>
  <definedNames>
    <definedName name="_xlnm.Print_Area" localSheetId="0">'3.17'!$A$1:$U$85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17" l="1"/>
  <c r="T9" i="17"/>
  <c r="S10" i="17"/>
  <c r="T10" i="17"/>
  <c r="S11" i="17"/>
  <c r="T11" i="17"/>
  <c r="S12" i="17"/>
  <c r="T12" i="17"/>
  <c r="S13" i="17"/>
  <c r="T13" i="17"/>
  <c r="S14" i="17"/>
  <c r="T14" i="17"/>
  <c r="S15" i="17"/>
  <c r="T15" i="17"/>
  <c r="S16" i="17"/>
  <c r="T16" i="17"/>
  <c r="S17" i="17"/>
  <c r="T17" i="17"/>
  <c r="S18" i="17"/>
  <c r="T18" i="17"/>
  <c r="S19" i="17"/>
  <c r="T19" i="17"/>
  <c r="S20" i="17"/>
  <c r="T20" i="17"/>
  <c r="S21" i="17"/>
  <c r="T21" i="17"/>
  <c r="S22" i="17"/>
  <c r="T22" i="17"/>
  <c r="S23" i="17"/>
  <c r="T23" i="17"/>
  <c r="S24" i="17"/>
  <c r="T24" i="17"/>
  <c r="S25" i="17"/>
  <c r="T25" i="17"/>
  <c r="S26" i="17"/>
  <c r="T26" i="17"/>
  <c r="S27" i="17"/>
  <c r="T27" i="17"/>
  <c r="S28" i="17"/>
  <c r="T28" i="17"/>
  <c r="S29" i="17"/>
  <c r="T29" i="17"/>
  <c r="S30" i="17"/>
  <c r="T30" i="17"/>
  <c r="S31" i="17"/>
  <c r="T31" i="17"/>
  <c r="S8" i="17"/>
  <c r="T8" i="17"/>
  <c r="BE43" i="17"/>
  <c r="BD43" i="17"/>
  <c r="BC43" i="17"/>
  <c r="BB43" i="17"/>
  <c r="BA43" i="17"/>
  <c r="AZ43" i="17"/>
  <c r="AY43" i="17"/>
  <c r="AX43" i="17"/>
  <c r="BE42" i="17"/>
  <c r="BD42" i="17"/>
  <c r="BC42" i="17"/>
  <c r="BB42" i="17"/>
  <c r="BA42" i="17"/>
  <c r="AZ42" i="17"/>
  <c r="AY42" i="17"/>
  <c r="AX42" i="17"/>
  <c r="R11" i="17"/>
  <c r="R8" i="17" s="1"/>
  <c r="Q11" i="17"/>
  <c r="Q8" i="17" s="1"/>
  <c r="P11" i="17"/>
  <c r="BE44" i="17" s="1"/>
  <c r="O11" i="17"/>
  <c r="BD44" i="17" s="1"/>
  <c r="N11" i="17"/>
  <c r="N8" i="17" s="1"/>
  <c r="M11" i="17"/>
  <c r="M8" i="17" s="1"/>
  <c r="L11" i="17"/>
  <c r="K11" i="17"/>
  <c r="J11" i="17"/>
  <c r="J8" i="17" s="1"/>
  <c r="I11" i="17"/>
  <c r="I8" i="17" s="1"/>
  <c r="H11" i="17"/>
  <c r="BA44" i="17" s="1"/>
  <c r="G11" i="17"/>
  <c r="G8" i="17" s="1"/>
  <c r="F11" i="17"/>
  <c r="F8" i="17" s="1"/>
  <c r="E11" i="17"/>
  <c r="E8" i="17" s="1"/>
  <c r="D11" i="17"/>
  <c r="D8" i="17" s="1"/>
  <c r="C11" i="17"/>
  <c r="AX44" i="17" s="1"/>
  <c r="O8" i="17"/>
  <c r="P8" i="17" l="1"/>
  <c r="H8" i="17"/>
  <c r="K8" i="17"/>
  <c r="C8" i="17"/>
  <c r="AY44" i="17"/>
  <c r="BB44" i="17"/>
  <c r="L8" i="17"/>
  <c r="BC44" i="17"/>
</calcChain>
</file>

<file path=xl/sharedStrings.xml><?xml version="1.0" encoding="utf-8"?>
<sst xmlns="http://schemas.openxmlformats.org/spreadsheetml/2006/main" count="93" uniqueCount="40">
  <si>
    <t>Locality</t>
  </si>
  <si>
    <t>Republic</t>
  </si>
  <si>
    <t>Hulhumale'</t>
  </si>
  <si>
    <t>Male'</t>
  </si>
  <si>
    <t>Atolls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</si>
  <si>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</si>
  <si>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</si>
  <si>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</si>
  <si>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</si>
  <si>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</si>
  <si>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</si>
  <si>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</si>
  <si>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</si>
  <si>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</si>
  <si>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</si>
  <si>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</si>
  <si>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</si>
  <si>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</si>
  <si>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</si>
  <si>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</si>
  <si>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</si>
  <si>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</si>
  <si>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</si>
  <si>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</si>
  <si>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K</t>
  </si>
  <si>
    <t>% Change over previous year of</t>
  </si>
  <si>
    <t>ކައިވެނި</t>
  </si>
  <si>
    <t>ވަރި</t>
  </si>
  <si>
    <t>ފަސްޚް</t>
  </si>
  <si>
    <t>ތަފްރީޤް</t>
  </si>
  <si>
    <t>Marriages</t>
  </si>
  <si>
    <t>Divorces</t>
  </si>
  <si>
    <t>Faskh</t>
  </si>
  <si>
    <t>Thafreeq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</si>
  <si>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</si>
  <si>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</si>
  <si>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Marriages </t>
  </si>
  <si>
    <t xml:space="preserve">Divorces </t>
  </si>
  <si>
    <t>Table 3.17 :  MARRIAGES AND DIVORCES IN MALE' AND ATOLLS, 2018 - 2021</t>
  </si>
  <si>
    <t>ތާވަލު 3.17: މާލެ އާއި އަތޮޅުތަކުގައި ކުރެވުނު ކައިވެންޏާއި ވަރި، 2018 - 2021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</si>
</sst>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1"/>
      <name val="Faruma"/>
    </font>
    <font>
      <b/>
      <sz val="10"/>
      <name val="Faruma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Calibri"/>
      <family val="2"/>
    </font>
    <font>
      <sz val="9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</borders>
  <cellStyleXfs count="25">
    <xf numFmtId="0" fontId="0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4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165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6">
    <xf numFmtId="0" fontId="0" fillId="0" borderId="0" xfId="0"/>
    <xf numFmtId="167" fontId="12" fillId="2" borderId="0" xfId="11" applyNumberFormat="1" applyFont="1" applyFill="1" applyAlignment="1" applyProtection="1">
      <alignment vertical="center"/>
      <protection locked="0"/>
    </xf>
    <xf numFmtId="167" fontId="11" fillId="2" borderId="0" xfId="11" applyNumberFormat="1" applyFont="1" applyFill="1" applyAlignment="1" applyProtection="1">
      <alignment vertical="center"/>
      <protection locked="0"/>
    </xf>
    <xf numFmtId="167" fontId="15" fillId="2" borderId="0" xfId="11" applyNumberFormat="1" applyFont="1" applyFill="1" applyAlignment="1" applyProtection="1">
      <alignment horizontal="center" vertical="center" wrapText="1"/>
      <protection locked="0"/>
    </xf>
    <xf numFmtId="167" fontId="11" fillId="2" borderId="0" xfId="11" applyNumberFormat="1" applyFont="1" applyFill="1" applyAlignment="1" applyProtection="1">
      <alignment horizontal="center" vertical="center" wrapText="1"/>
      <protection locked="0"/>
    </xf>
    <xf numFmtId="1" fontId="11" fillId="2" borderId="0" xfId="11" applyNumberFormat="1" applyFont="1" applyFill="1" applyAlignment="1" applyProtection="1">
      <alignment horizontal="center" vertical="center" wrapText="1"/>
      <protection locked="0"/>
    </xf>
    <xf numFmtId="167" fontId="15" fillId="2" borderId="0" xfId="11" applyNumberFormat="1" applyFont="1" applyFill="1" applyAlignment="1" applyProtection="1">
      <alignment horizontal="center" vertical="center"/>
      <protection locked="0"/>
    </xf>
    <xf numFmtId="167" fontId="6" fillId="2" borderId="0" xfId="11" applyNumberFormat="1" applyFont="1" applyFill="1" applyAlignment="1" applyProtection="1">
      <alignment horizontal="right" vertical="center"/>
      <protection locked="0"/>
    </xf>
    <xf numFmtId="167" fontId="6" fillId="2" borderId="4" xfId="11" applyNumberFormat="1" applyFont="1" applyFill="1" applyBorder="1" applyAlignment="1" applyProtection="1">
      <alignment horizontal="right" vertical="center"/>
      <protection locked="0"/>
    </xf>
    <xf numFmtId="1" fontId="15" fillId="2" borderId="1" xfId="11" applyNumberFormat="1" applyFont="1" applyFill="1" applyBorder="1" applyAlignment="1" applyProtection="1">
      <alignment horizontal="right" vertical="center"/>
      <protection locked="0"/>
    </xf>
    <xf numFmtId="1" fontId="15" fillId="2" borderId="5" xfId="11" applyNumberFormat="1" applyFont="1" applyFill="1" applyBorder="1" applyAlignment="1" applyProtection="1">
      <alignment horizontal="right" vertical="center"/>
      <protection locked="0"/>
    </xf>
    <xf numFmtId="1" fontId="11" fillId="2" borderId="1" xfId="11" applyNumberFormat="1" applyFont="1" applyFill="1" applyBorder="1" applyAlignment="1" applyProtection="1">
      <alignment horizontal="right" vertical="center"/>
      <protection locked="0"/>
    </xf>
    <xf numFmtId="1" fontId="15" fillId="2" borderId="4" xfId="11" applyNumberFormat="1" applyFont="1" applyFill="1" applyBorder="1" applyAlignment="1" applyProtection="1">
      <alignment horizontal="right" vertical="center"/>
      <protection locked="0"/>
    </xf>
    <xf numFmtId="1" fontId="11" fillId="2" borderId="0" xfId="11" applyNumberFormat="1" applyFont="1" applyFill="1" applyAlignment="1" applyProtection="1">
      <alignment horizontal="right" vertical="center"/>
      <protection locked="0"/>
    </xf>
    <xf numFmtId="167" fontId="11" fillId="2" borderId="0" xfId="11" applyNumberFormat="1" applyFont="1" applyFill="1" applyAlignment="1" applyProtection="1">
      <alignment horizontal="right" vertical="center"/>
      <protection locked="0"/>
    </xf>
    <xf numFmtId="167" fontId="9" fillId="2" borderId="0" xfId="11" applyNumberFormat="1" applyFont="1" applyFill="1" applyAlignment="1" applyProtection="1">
      <alignment vertical="center"/>
      <protection locked="0"/>
    </xf>
    <xf numFmtId="3" fontId="9" fillId="2" borderId="0" xfId="11" applyNumberFormat="1" applyFont="1" applyFill="1" applyAlignment="1" applyProtection="1">
      <alignment vertical="center"/>
      <protection locked="0"/>
    </xf>
    <xf numFmtId="3" fontId="9" fillId="2" borderId="0" xfId="11" applyNumberFormat="1" applyFont="1" applyFill="1" applyAlignment="1" applyProtection="1">
      <alignment horizontal="right" vertical="center"/>
      <protection hidden="1"/>
    </xf>
    <xf numFmtId="3" fontId="9" fillId="2" borderId="4" xfId="11" applyNumberFormat="1" applyFont="1" applyFill="1" applyBorder="1" applyAlignment="1" applyProtection="1">
      <alignment horizontal="right" vertical="center"/>
      <protection hidden="1"/>
    </xf>
    <xf numFmtId="1" fontId="11" fillId="2" borderId="0" xfId="11" applyNumberFormat="1" applyFont="1" applyFill="1" applyAlignment="1" applyProtection="1">
      <alignment vertical="center"/>
      <protection locked="0"/>
    </xf>
    <xf numFmtId="167" fontId="11" fillId="2" borderId="0" xfId="11" applyNumberFormat="1" applyFont="1" applyFill="1" applyAlignment="1" applyProtection="1">
      <alignment vertical="center"/>
      <protection hidden="1"/>
    </xf>
    <xf numFmtId="3" fontId="9" fillId="2" borderId="0" xfId="11" applyNumberFormat="1" applyFont="1" applyFill="1" applyAlignment="1" applyProtection="1">
      <alignment horizontal="right" vertical="center"/>
      <protection locked="0"/>
    </xf>
    <xf numFmtId="3" fontId="9" fillId="2" borderId="4" xfId="11" applyNumberFormat="1" applyFont="1" applyFill="1" applyBorder="1" applyAlignment="1" applyProtection="1">
      <alignment horizontal="right" vertical="center"/>
      <protection locked="0"/>
    </xf>
    <xf numFmtId="167" fontId="9" fillId="2" borderId="0" xfId="11" applyNumberFormat="1" applyFont="1" applyFill="1" applyAlignment="1" applyProtection="1">
      <alignment horizontal="left" vertical="center"/>
      <protection locked="0"/>
    </xf>
    <xf numFmtId="1" fontId="12" fillId="2" borderId="0" xfId="11" applyNumberFormat="1" applyFont="1" applyFill="1" applyAlignment="1" applyProtection="1">
      <alignment vertical="center"/>
      <protection locked="0"/>
    </xf>
    <xf numFmtId="167" fontId="10" fillId="2" borderId="0" xfId="11" applyNumberFormat="1" applyFont="1" applyFill="1" applyAlignment="1" applyProtection="1">
      <alignment horizontal="left" vertical="center" indent="1"/>
      <protection locked="0"/>
    </xf>
    <xf numFmtId="3" fontId="10" fillId="2" borderId="0" xfId="11" applyNumberFormat="1" applyFont="1" applyFill="1" applyAlignment="1" applyProtection="1">
      <alignment vertical="center"/>
      <protection locked="0"/>
    </xf>
    <xf numFmtId="3" fontId="10" fillId="2" borderId="0" xfId="11" applyNumberFormat="1" applyFont="1" applyFill="1" applyAlignment="1" applyProtection="1">
      <alignment horizontal="right" vertical="center"/>
      <protection locked="0"/>
    </xf>
    <xf numFmtId="3" fontId="10" fillId="2" borderId="4" xfId="11" applyNumberFormat="1" applyFont="1" applyFill="1" applyBorder="1" applyAlignment="1" applyProtection="1">
      <alignment horizontal="right" vertical="center"/>
      <protection locked="0"/>
    </xf>
    <xf numFmtId="167" fontId="12" fillId="2" borderId="0" xfId="11" applyNumberFormat="1" applyFont="1" applyFill="1" applyAlignment="1" applyProtection="1">
      <alignment vertical="center"/>
      <protection hidden="1"/>
    </xf>
    <xf numFmtId="167" fontId="12" fillId="2" borderId="0" xfId="11" applyNumberFormat="1" applyFont="1" applyFill="1" applyAlignment="1" applyProtection="1">
      <alignment horizontal="center"/>
      <protection locked="0"/>
    </xf>
    <xf numFmtId="3" fontId="10" fillId="2" borderId="1" xfId="11" applyNumberFormat="1" applyFont="1" applyFill="1" applyBorder="1" applyAlignment="1" applyProtection="1">
      <alignment horizontal="left" vertical="center" indent="1"/>
      <protection locked="0"/>
    </xf>
    <xf numFmtId="3" fontId="10" fillId="2" borderId="1" xfId="11" applyNumberFormat="1" applyFont="1" applyFill="1" applyBorder="1" applyAlignment="1" applyProtection="1">
      <alignment horizontal="right" vertical="center"/>
      <protection locked="0"/>
    </xf>
    <xf numFmtId="3" fontId="10" fillId="2" borderId="5" xfId="11" applyNumberFormat="1" applyFont="1" applyFill="1" applyBorder="1" applyAlignment="1" applyProtection="1">
      <alignment horizontal="right" vertical="center"/>
      <protection locked="0"/>
    </xf>
    <xf numFmtId="167" fontId="17" fillId="2" borderId="0" xfId="11" applyNumberFormat="1" applyFont="1" applyFill="1" applyProtection="1">
      <protection locked="0"/>
    </xf>
    <xf numFmtId="167" fontId="17" fillId="2" borderId="0" xfId="11" applyNumberFormat="1" applyFont="1" applyFill="1" applyProtection="1">
      <protection hidden="1"/>
    </xf>
    <xf numFmtId="167" fontId="16" fillId="2" borderId="2" xfId="11" applyNumberFormat="1" applyFont="1" applyFill="1" applyBorder="1" applyProtection="1">
      <protection hidden="1"/>
    </xf>
    <xf numFmtId="1" fontId="13" fillId="2" borderId="0" xfId="11" applyNumberFormat="1" applyFont="1" applyFill="1" applyProtection="1">
      <protection hidden="1"/>
    </xf>
    <xf numFmtId="0" fontId="18" fillId="2" borderId="0" xfId="0" applyFont="1" applyFill="1"/>
    <xf numFmtId="167" fontId="12" fillId="2" borderId="0" xfId="11" applyNumberFormat="1" applyFont="1" applyFill="1" applyAlignment="1" applyProtection="1">
      <alignment horizontal="left" vertical="center"/>
      <protection locked="0"/>
    </xf>
    <xf numFmtId="167" fontId="12" fillId="2" borderId="0" xfId="11" applyNumberFormat="1" applyFont="1" applyFill="1" applyProtection="1">
      <protection locked="0"/>
    </xf>
    <xf numFmtId="1" fontId="12" fillId="2" borderId="0" xfId="11" applyNumberFormat="1" applyFont="1" applyFill="1" applyProtection="1">
      <protection locked="0"/>
    </xf>
    <xf numFmtId="3" fontId="11" fillId="2" borderId="0" xfId="11" applyNumberFormat="1" applyFont="1" applyFill="1" applyAlignment="1" applyProtection="1">
      <alignment horizontal="right" vertical="center"/>
      <protection locked="0"/>
    </xf>
    <xf numFmtId="167" fontId="11" fillId="2" borderId="0" xfId="11" applyNumberFormat="1" applyFont="1" applyFill="1" applyAlignment="1" applyProtection="1">
      <alignment horizontal="left" vertical="center"/>
      <protection locked="0"/>
    </xf>
    <xf numFmtId="3" fontId="11" fillId="2" borderId="0" xfId="11" applyNumberFormat="1" applyFont="1" applyFill="1" applyAlignment="1" applyProtection="1">
      <alignment horizontal="right" vertical="center"/>
      <protection hidden="1"/>
    </xf>
    <xf numFmtId="3" fontId="12" fillId="2" borderId="0" xfId="11" applyNumberFormat="1" applyFont="1" applyFill="1" applyAlignment="1" applyProtection="1">
      <alignment horizontal="right" vertical="center"/>
      <protection locked="0"/>
    </xf>
    <xf numFmtId="3" fontId="12" fillId="2" borderId="0" xfId="11" applyNumberFormat="1" applyFont="1" applyFill="1" applyAlignment="1" applyProtection="1">
      <alignment vertical="center"/>
      <protection locked="0"/>
    </xf>
    <xf numFmtId="167" fontId="12" fillId="2" borderId="0" xfId="11" applyNumberFormat="1" applyFont="1" applyFill="1" applyProtection="1">
      <protection hidden="1"/>
    </xf>
    <xf numFmtId="1" fontId="12" fillId="2" borderId="0" xfId="11" applyNumberFormat="1" applyFont="1" applyFill="1" applyProtection="1">
      <protection hidden="1"/>
    </xf>
    <xf numFmtId="1" fontId="7" fillId="2" borderId="4" xfId="11" applyNumberFormat="1" applyFont="1" applyFill="1" applyBorder="1" applyAlignment="1" applyProtection="1">
      <alignment vertical="center"/>
      <protection locked="0"/>
    </xf>
    <xf numFmtId="1" fontId="7" fillId="2" borderId="5" xfId="11" applyNumberFormat="1" applyFont="1" applyFill="1" applyBorder="1" applyAlignment="1" applyProtection="1">
      <alignment vertical="center"/>
      <protection locked="0"/>
    </xf>
    <xf numFmtId="1" fontId="7" fillId="2" borderId="1" xfId="11" applyNumberFormat="1" applyFont="1" applyFill="1" applyBorder="1" applyAlignment="1" applyProtection="1">
      <alignment vertical="center"/>
      <protection locked="0"/>
    </xf>
    <xf numFmtId="167" fontId="12" fillId="2" borderId="1" xfId="11" applyNumberFormat="1" applyFont="1" applyFill="1" applyBorder="1" applyAlignment="1" applyProtection="1">
      <alignment vertical="center"/>
      <protection locked="0"/>
    </xf>
    <xf numFmtId="167" fontId="15" fillId="2" borderId="2" xfId="11" applyNumberFormat="1" applyFont="1" applyFill="1" applyBorder="1" applyAlignment="1" applyProtection="1">
      <alignment horizontal="center" vertical="center"/>
      <protection locked="0"/>
    </xf>
    <xf numFmtId="167" fontId="5" fillId="2" borderId="0" xfId="11" applyNumberFormat="1" applyFont="1" applyFill="1" applyAlignment="1" applyProtection="1">
      <alignment horizontal="center" vertical="center"/>
      <protection locked="0"/>
    </xf>
    <xf numFmtId="167" fontId="4" fillId="2" borderId="0" xfId="11" applyNumberFormat="1" applyFont="1" applyFill="1" applyAlignment="1" applyProtection="1">
      <alignment horizontal="center" vertical="center" wrapText="1"/>
      <protection locked="0"/>
    </xf>
    <xf numFmtId="1" fontId="7" fillId="2" borderId="6" xfId="11" applyNumberFormat="1" applyFont="1" applyFill="1" applyBorder="1" applyAlignment="1" applyProtection="1">
      <alignment vertical="center"/>
      <protection locked="0"/>
    </xf>
    <xf numFmtId="1" fontId="7" fillId="2" borderId="2" xfId="11" applyNumberFormat="1" applyFont="1" applyFill="1" applyBorder="1" applyAlignment="1" applyProtection="1">
      <alignment vertical="center"/>
      <protection locked="0"/>
    </xf>
    <xf numFmtId="1" fontId="11" fillId="2" borderId="0" xfId="11" applyNumberFormat="1" applyFont="1" applyFill="1" applyAlignment="1" applyProtection="1">
      <alignment horizontal="center" vertical="center"/>
      <protection locked="0"/>
    </xf>
    <xf numFmtId="167" fontId="15" fillId="2" borderId="6" xfId="11" applyNumberFormat="1" applyFont="1" applyFill="1" applyBorder="1" applyAlignment="1" applyProtection="1">
      <alignment horizontal="center" vertical="center"/>
      <protection locked="0"/>
    </xf>
    <xf numFmtId="167" fontId="15" fillId="2" borderId="2" xfId="11" applyNumberFormat="1" applyFont="1" applyFill="1" applyBorder="1" applyAlignment="1" applyProtection="1">
      <alignment horizontal="center" vertical="center"/>
      <protection locked="0"/>
    </xf>
    <xf numFmtId="167" fontId="15" fillId="2" borderId="7" xfId="11" applyNumberFormat="1" applyFont="1" applyFill="1" applyBorder="1" applyAlignment="1" applyProtection="1">
      <alignment horizontal="center" vertical="center"/>
      <protection locked="0"/>
    </xf>
    <xf numFmtId="167" fontId="15" fillId="2" borderId="3" xfId="11" applyNumberFormat="1" applyFont="1" applyFill="1" applyBorder="1" applyAlignment="1" applyProtection="1">
      <alignment horizontal="center" vertical="center"/>
      <protection locked="0"/>
    </xf>
    <xf numFmtId="167" fontId="5" fillId="2" borderId="0" xfId="11" applyNumberFormat="1" applyFont="1" applyFill="1" applyAlignment="1" applyProtection="1">
      <alignment horizontal="center" vertical="center"/>
      <protection locked="0"/>
    </xf>
    <xf numFmtId="167" fontId="9" fillId="2" borderId="0" xfId="11" applyNumberFormat="1" applyFont="1" applyFill="1" applyAlignment="1" applyProtection="1">
      <alignment horizontal="center" vertical="center" wrapText="1"/>
      <protection locked="0"/>
    </xf>
    <xf numFmtId="167" fontId="15" fillId="2" borderId="2" xfId="11" applyNumberFormat="1" applyFont="1" applyFill="1" applyBorder="1" applyAlignment="1" applyProtection="1">
      <alignment horizontal="left" vertical="center"/>
      <protection locked="0"/>
    </xf>
    <xf numFmtId="167" fontId="15" fillId="2" borderId="0" xfId="11" applyNumberFormat="1" applyFont="1" applyFill="1" applyAlignment="1" applyProtection="1">
      <alignment horizontal="left" vertical="center"/>
      <protection locked="0"/>
    </xf>
    <xf numFmtId="167" fontId="15" fillId="2" borderId="1" xfId="11" applyNumberFormat="1" applyFont="1" applyFill="1" applyBorder="1" applyAlignment="1" applyProtection="1">
      <alignment horizontal="left" vertical="center"/>
      <protection locked="0"/>
    </xf>
    <xf numFmtId="1" fontId="15" fillId="2" borderId="6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2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7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3" xfId="11" applyNumberFormat="1" applyFont="1" applyFill="1" applyBorder="1" applyAlignment="1" applyProtection="1">
      <alignment horizontal="center" vertical="center" wrapText="1"/>
      <protection locked="0"/>
    </xf>
    <xf numFmtId="167" fontId="12" fillId="2" borderId="0" xfId="11" applyNumberFormat="1" applyFont="1" applyFill="1" applyAlignment="1" applyProtection="1">
      <alignment horizontal="center"/>
      <protection locked="0"/>
    </xf>
    <xf numFmtId="1" fontId="7" fillId="2" borderId="0" xfId="11" applyNumberFormat="1" applyFont="1" applyFill="1" applyBorder="1" applyAlignment="1" applyProtection="1">
      <alignment vertical="center"/>
      <protection locked="0"/>
    </xf>
    <xf numFmtId="167" fontId="6" fillId="2" borderId="0" xfId="11" applyNumberFormat="1" applyFont="1" applyFill="1" applyBorder="1" applyAlignment="1" applyProtection="1">
      <alignment horizontal="right" vertical="center"/>
      <protection locked="0"/>
    </xf>
    <xf numFmtId="1" fontId="15" fillId="2" borderId="0" xfId="11" applyNumberFormat="1" applyFont="1" applyFill="1" applyBorder="1" applyAlignment="1" applyProtection="1">
      <alignment horizontal="right" vertical="center"/>
      <protection locked="0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_3 - Population" xfId="11" xr:uid="{00000000-0005-0000-0000-00001C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/>
              <a:t>Figure 3.19: Marriages and Divorces in Male', Hulhumale'  and Atolls, 2018 - 2021</a:t>
            </a:r>
          </a:p>
        </c:rich>
      </c:tx>
      <c:layout>
        <c:manualLayout>
          <c:xMode val="edge"/>
          <c:yMode val="edge"/>
          <c:x val="0.18862319043834039"/>
          <c:y val="5.31356112661737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29094401141506E-2"/>
          <c:y val="0.17123845223492679"/>
          <c:w val="0.8782754341900284"/>
          <c:h val="0.6076788688342912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'3.17'!$AG$42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multiLvlStrRef>
              <c:f>'3.17'!$AX$40:$BE$41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2018 </c:v>
                  </c:pt>
                  <c:pt idx="2">
                    <c:v>2019 </c:v>
                  </c:pt>
                  <c:pt idx="4">
                    <c:v>2020 </c:v>
                  </c:pt>
                  <c:pt idx="6">
                    <c:v>2021 </c:v>
                  </c:pt>
                </c:lvl>
              </c:multiLvlStrCache>
            </c:multiLvlStrRef>
          </c:cat>
          <c:val>
            <c:numRef>
              <c:f>'3.17'!$AX$42:$BE$42</c:f>
              <c:numCache>
                <c:formatCode>General_)</c:formatCode>
                <c:ptCount val="8"/>
                <c:pt idx="0">
                  <c:v>2191</c:v>
                </c:pt>
                <c:pt idx="1">
                  <c:v>1156</c:v>
                </c:pt>
                <c:pt idx="2">
                  <c:v>2055</c:v>
                </c:pt>
                <c:pt idx="3">
                  <c:v>1260</c:v>
                </c:pt>
                <c:pt idx="4">
                  <c:v>1995</c:v>
                </c:pt>
                <c:pt idx="5">
                  <c:v>928</c:v>
                </c:pt>
                <c:pt idx="6">
                  <c:v>2396</c:v>
                </c:pt>
                <c:pt idx="7">
                  <c:v>1191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5-4C59-A154-E1DB424A89EF}"/>
            </c:ext>
          </c:extLst>
        </c:ser>
        <c:ser>
          <c:idx val="7"/>
          <c:order val="1"/>
          <c:tx>
            <c:strRef>
              <c:f>'3.17'!$AG$43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multiLvlStrRef>
              <c:f>'3.17'!$AX$40:$BE$41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2018 </c:v>
                  </c:pt>
                  <c:pt idx="2">
                    <c:v>2019 </c:v>
                  </c:pt>
                  <c:pt idx="4">
                    <c:v>2020 </c:v>
                  </c:pt>
                  <c:pt idx="6">
                    <c:v>2021 </c:v>
                  </c:pt>
                </c:lvl>
              </c:multiLvlStrCache>
            </c:multiLvlStrRef>
          </c:cat>
          <c:val>
            <c:numRef>
              <c:f>'3.17'!$AX$43:$BE$43</c:f>
              <c:numCache>
                <c:formatCode>General_)</c:formatCode>
                <c:ptCount val="8"/>
                <c:pt idx="0">
                  <c:v>258</c:v>
                </c:pt>
                <c:pt idx="1">
                  <c:v>217</c:v>
                </c:pt>
                <c:pt idx="2">
                  <c:v>312</c:v>
                </c:pt>
                <c:pt idx="3">
                  <c:v>359</c:v>
                </c:pt>
                <c:pt idx="4">
                  <c:v>237</c:v>
                </c:pt>
                <c:pt idx="5">
                  <c:v>173</c:v>
                </c:pt>
                <c:pt idx="6">
                  <c:v>330</c:v>
                </c:pt>
                <c:pt idx="7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5-4C59-A154-E1DB424A89EF}"/>
            </c:ext>
          </c:extLst>
        </c:ser>
        <c:ser>
          <c:idx val="0"/>
          <c:order val="2"/>
          <c:tx>
            <c:strRef>
              <c:f>'3.17'!$AG$44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multiLvlStrRef>
              <c:f>'3.17'!$AX$40:$BE$41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2018 </c:v>
                  </c:pt>
                  <c:pt idx="2">
                    <c:v>2019 </c:v>
                  </c:pt>
                  <c:pt idx="4">
                    <c:v>2020 </c:v>
                  </c:pt>
                  <c:pt idx="6">
                    <c:v>2021 </c:v>
                  </c:pt>
                </c:lvl>
              </c:multiLvlStrCache>
            </c:multiLvlStrRef>
          </c:cat>
          <c:val>
            <c:numRef>
              <c:f>'3.17'!$AX$44:$BE$44</c:f>
              <c:numCache>
                <c:formatCode>General_)</c:formatCode>
                <c:ptCount val="8"/>
                <c:pt idx="0">
                  <c:v>2841</c:v>
                </c:pt>
                <c:pt idx="1">
                  <c:v>1793</c:v>
                </c:pt>
                <c:pt idx="2">
                  <c:v>2702</c:v>
                </c:pt>
                <c:pt idx="3">
                  <c:v>1931</c:v>
                </c:pt>
                <c:pt idx="4">
                  <c:v>2766</c:v>
                </c:pt>
                <c:pt idx="5">
                  <c:v>1883</c:v>
                </c:pt>
                <c:pt idx="6">
                  <c:v>2688</c:v>
                </c:pt>
                <c:pt idx="7">
                  <c:v>1804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C5-4C59-A154-E1DB424A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13480"/>
        <c:axId val="504216224"/>
      </c:barChart>
      <c:catAx>
        <c:axId val="50421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6224"/>
        <c:crosses val="autoZero"/>
        <c:auto val="1"/>
        <c:lblAlgn val="ctr"/>
        <c:lblOffset val="100"/>
        <c:noMultiLvlLbl val="0"/>
      </c:catAx>
      <c:valAx>
        <c:axId val="504216224"/>
        <c:scaling>
          <c:orientation val="minMax"/>
          <c:max val="4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116306707395364E-2"/>
              <c:y val="5.520890969709867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3480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4026545316647705"/>
          <c:y val="0.20319973516823911"/>
          <c:w val="0.327658906117964"/>
          <c:h val="9.4525391533265529E-2"/>
        </c:manualLayout>
      </c:layout>
      <c:overlay val="0"/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/>
              <a:t>Figure 3.20: Marriages and Divorces by Atolls, 2021</a:t>
            </a:r>
          </a:p>
        </c:rich>
      </c:tx>
      <c:layout>
        <c:manualLayout>
          <c:xMode val="edge"/>
          <c:yMode val="edge"/>
          <c:x val="0.24892840351615703"/>
          <c:y val="4.80721901898892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30214770483917E-2"/>
          <c:y val="0.17163971611049528"/>
          <c:w val="0.91379665618722206"/>
          <c:h val="0.724822356222581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'3.17'!$O$7</c:f>
              <c:strCache>
                <c:ptCount val="1"/>
                <c:pt idx="0">
                  <c:v>Marriages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'3.17'!$A$12:$A$31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'3.17'!$O$12:$O$31</c:f>
              <c:numCache>
                <c:formatCode>#,##0</c:formatCode>
                <c:ptCount val="20"/>
                <c:pt idx="0">
                  <c:v>121</c:v>
                </c:pt>
                <c:pt idx="1">
                  <c:v>242</c:v>
                </c:pt>
                <c:pt idx="2">
                  <c:v>141</c:v>
                </c:pt>
                <c:pt idx="3">
                  <c:v>146</c:v>
                </c:pt>
                <c:pt idx="4">
                  <c:v>212</c:v>
                </c:pt>
                <c:pt idx="5">
                  <c:v>107</c:v>
                </c:pt>
                <c:pt idx="6">
                  <c:v>131</c:v>
                </c:pt>
                <c:pt idx="7">
                  <c:v>186</c:v>
                </c:pt>
                <c:pt idx="8">
                  <c:v>98</c:v>
                </c:pt>
                <c:pt idx="9">
                  <c:v>110</c:v>
                </c:pt>
                <c:pt idx="10">
                  <c:v>14</c:v>
                </c:pt>
                <c:pt idx="11">
                  <c:v>45</c:v>
                </c:pt>
                <c:pt idx="12">
                  <c:v>55</c:v>
                </c:pt>
                <c:pt idx="13">
                  <c:v>60</c:v>
                </c:pt>
                <c:pt idx="14">
                  <c:v>122</c:v>
                </c:pt>
                <c:pt idx="15">
                  <c:v>224</c:v>
                </c:pt>
                <c:pt idx="16">
                  <c:v>108</c:v>
                </c:pt>
                <c:pt idx="17">
                  <c:v>137</c:v>
                </c:pt>
                <c:pt idx="18">
                  <c:v>143</c:v>
                </c:pt>
                <c:pt idx="19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E-4DC1-8E7A-D34232CDBAFB}"/>
            </c:ext>
          </c:extLst>
        </c:ser>
        <c:ser>
          <c:idx val="2"/>
          <c:order val="1"/>
          <c:tx>
            <c:strRef>
              <c:f>'3.17'!$P$7</c:f>
              <c:strCache>
                <c:ptCount val="1"/>
                <c:pt idx="0">
                  <c:v>Divorces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'3.17'!$A$12:$A$31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'3.17'!$P$12:$P$31</c:f>
              <c:numCache>
                <c:formatCode>General_)</c:formatCode>
                <c:ptCount val="20"/>
                <c:pt idx="0">
                  <c:v>82</c:v>
                </c:pt>
                <c:pt idx="1">
                  <c:v>158</c:v>
                </c:pt>
                <c:pt idx="2">
                  <c:v>99</c:v>
                </c:pt>
                <c:pt idx="3">
                  <c:v>133</c:v>
                </c:pt>
                <c:pt idx="4">
                  <c:v>128</c:v>
                </c:pt>
                <c:pt idx="5">
                  <c:v>59</c:v>
                </c:pt>
                <c:pt idx="6">
                  <c:v>75</c:v>
                </c:pt>
                <c:pt idx="7">
                  <c:v>120</c:v>
                </c:pt>
                <c:pt idx="8">
                  <c:v>55</c:v>
                </c:pt>
                <c:pt idx="9">
                  <c:v>83</c:v>
                </c:pt>
                <c:pt idx="10">
                  <c:v>10</c:v>
                </c:pt>
                <c:pt idx="11">
                  <c:v>29</c:v>
                </c:pt>
                <c:pt idx="12">
                  <c:v>23</c:v>
                </c:pt>
                <c:pt idx="13">
                  <c:v>41</c:v>
                </c:pt>
                <c:pt idx="14">
                  <c:v>76</c:v>
                </c:pt>
                <c:pt idx="15">
                  <c:v>162</c:v>
                </c:pt>
                <c:pt idx="16">
                  <c:v>73</c:v>
                </c:pt>
                <c:pt idx="17">
                  <c:v>117</c:v>
                </c:pt>
                <c:pt idx="18">
                  <c:v>101</c:v>
                </c:pt>
                <c:pt idx="19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E-4DC1-8E7A-D34232CD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16616"/>
        <c:axId val="504218184"/>
      </c:barChart>
      <c:catAx>
        <c:axId val="50421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8184"/>
        <c:crosses val="autoZero"/>
        <c:auto val="1"/>
        <c:lblAlgn val="ctr"/>
        <c:lblOffset val="100"/>
        <c:noMultiLvlLbl val="0"/>
      </c:catAx>
      <c:valAx>
        <c:axId val="504218184"/>
        <c:scaling>
          <c:orientation val="minMax"/>
          <c:max val="300"/>
        </c:scaling>
        <c:delete val="0"/>
        <c:axPos val="l"/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6616"/>
        <c:crosses val="autoZero"/>
        <c:crossBetween val="between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39325367379924964"/>
          <c:y val="0.24805558879608133"/>
          <c:w val="0.24075626139952849"/>
          <c:h val="7.7567112621560602E-2"/>
        </c:manualLayout>
      </c:layout>
      <c:overlay val="0"/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32</xdr:row>
      <xdr:rowOff>165651</xdr:rowOff>
    </xdr:from>
    <xdr:to>
      <xdr:col>19</xdr:col>
      <xdr:colOff>247650</xdr:colOff>
      <xdr:row>54</xdr:row>
      <xdr:rowOff>13803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7326</xdr:colOff>
      <xdr:row>54</xdr:row>
      <xdr:rowOff>145221</xdr:rowOff>
    </xdr:from>
    <xdr:to>
      <xdr:col>19</xdr:col>
      <xdr:colOff>285749</xdr:colOff>
      <xdr:row>77</xdr:row>
      <xdr:rowOff>69020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BL1039"/>
  <sheetViews>
    <sheetView tabSelected="1" zoomScale="80" zoomScaleNormal="80" zoomScaleSheetLayoutView="28" workbookViewId="0">
      <selection activeCell="W32" sqref="W32"/>
    </sheetView>
  </sheetViews>
  <sheetFormatPr defaultRowHeight="12.75" x14ac:dyDescent="0.2"/>
  <cols>
    <col min="1" max="1" width="16.7109375" style="47" customWidth="1"/>
    <col min="2" max="2" width="1.7109375" style="48" customWidth="1"/>
    <col min="3" max="18" width="8.85546875" style="48" customWidth="1"/>
    <col min="19" max="19" width="11.140625" style="48" customWidth="1"/>
    <col min="20" max="21" width="11.85546875" style="47" customWidth="1"/>
    <col min="22" max="31" width="18" style="40" customWidth="1"/>
    <col min="32" max="32" width="6.28515625" style="40" customWidth="1"/>
    <col min="33" max="33" width="7" style="40" customWidth="1"/>
    <col min="34" max="39" width="6.28515625" style="40" hidden="1" customWidth="1"/>
    <col min="40" max="43" width="0" style="40" hidden="1" customWidth="1"/>
    <col min="44" max="64" width="9.140625" style="40"/>
    <col min="65" max="16384" width="9.140625" style="47"/>
  </cols>
  <sheetData>
    <row r="1" spans="1:64" s="1" customFormat="1" ht="16.5" customHeight="1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54"/>
    </row>
    <row r="2" spans="1:64" s="2" customFormat="1" ht="14.25" customHeight="1" x14ac:dyDescent="0.25">
      <c r="A2" s="64" t="s">
        <v>38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55"/>
    </row>
    <row r="3" spans="1:64" s="2" customFormat="1" ht="9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spans="1:64" s="2" customFormat="1" ht="9.75" customHeight="1" x14ac:dyDescent="0.25">
      <c r="A4" s="65" t="s">
        <v>0</v>
      </c>
      <c r="B4" s="53"/>
      <c r="C4" s="59">
        <v>2018</v>
      </c>
      <c r="D4" s="60"/>
      <c r="E4" s="60"/>
      <c r="F4" s="60"/>
      <c r="G4" s="59">
        <v>2019</v>
      </c>
      <c r="H4" s="60"/>
      <c r="I4" s="60"/>
      <c r="J4" s="60"/>
      <c r="K4" s="59">
        <v>2020</v>
      </c>
      <c r="L4" s="60"/>
      <c r="M4" s="60"/>
      <c r="N4" s="60"/>
      <c r="O4" s="59">
        <v>2021</v>
      </c>
      <c r="P4" s="60"/>
      <c r="Q4" s="60"/>
      <c r="R4" s="60"/>
      <c r="S4" s="68" t="s">
        <v>25</v>
      </c>
      <c r="T4" s="69"/>
      <c r="U4" s="5"/>
    </row>
    <row r="5" spans="1:64" s="2" customFormat="1" ht="19.899999999999999" customHeight="1" x14ac:dyDescent="0.25">
      <c r="A5" s="66"/>
      <c r="B5" s="6"/>
      <c r="C5" s="61"/>
      <c r="D5" s="62"/>
      <c r="E5" s="62"/>
      <c r="F5" s="62"/>
      <c r="G5" s="61"/>
      <c r="H5" s="62"/>
      <c r="I5" s="62"/>
      <c r="J5" s="62"/>
      <c r="K5" s="61"/>
      <c r="L5" s="62"/>
      <c r="M5" s="62"/>
      <c r="N5" s="62"/>
      <c r="O5" s="61"/>
      <c r="P5" s="62"/>
      <c r="Q5" s="62"/>
      <c r="R5" s="62"/>
      <c r="S5" s="70"/>
      <c r="T5" s="71"/>
      <c r="U5" s="5"/>
    </row>
    <row r="6" spans="1:64" s="2" customFormat="1" ht="15.75" customHeight="1" x14ac:dyDescent="0.25">
      <c r="A6" s="66"/>
      <c r="B6" s="6"/>
      <c r="C6" s="8" t="s">
        <v>26</v>
      </c>
      <c r="D6" s="7" t="s">
        <v>27</v>
      </c>
      <c r="E6" s="7" t="s">
        <v>28</v>
      </c>
      <c r="F6" s="7" t="s">
        <v>29</v>
      </c>
      <c r="G6" s="8" t="s">
        <v>26</v>
      </c>
      <c r="H6" s="7" t="s">
        <v>27</v>
      </c>
      <c r="I6" s="7" t="s">
        <v>28</v>
      </c>
      <c r="J6" s="7" t="s">
        <v>29</v>
      </c>
      <c r="K6" s="8" t="s">
        <v>26</v>
      </c>
      <c r="L6" s="7" t="s">
        <v>27</v>
      </c>
      <c r="M6" s="7" t="s">
        <v>28</v>
      </c>
      <c r="N6" s="7" t="s">
        <v>29</v>
      </c>
      <c r="O6" s="8" t="s">
        <v>26</v>
      </c>
      <c r="P6" s="7" t="s">
        <v>27</v>
      </c>
      <c r="Q6" s="7" t="s">
        <v>28</v>
      </c>
      <c r="R6" s="7" t="s">
        <v>29</v>
      </c>
      <c r="S6" s="8" t="s">
        <v>26</v>
      </c>
      <c r="T6" s="74" t="s">
        <v>27</v>
      </c>
      <c r="U6" s="7"/>
    </row>
    <row r="7" spans="1:64" s="14" customFormat="1" ht="15" customHeight="1" x14ac:dyDescent="0.25">
      <c r="A7" s="67"/>
      <c r="B7" s="9"/>
      <c r="C7" s="10" t="s">
        <v>30</v>
      </c>
      <c r="D7" s="9" t="s">
        <v>31</v>
      </c>
      <c r="E7" s="9" t="s">
        <v>32</v>
      </c>
      <c r="F7" s="9" t="s">
        <v>33</v>
      </c>
      <c r="G7" s="10" t="s">
        <v>30</v>
      </c>
      <c r="H7" s="9" t="s">
        <v>31</v>
      </c>
      <c r="I7" s="9" t="s">
        <v>32</v>
      </c>
      <c r="J7" s="9" t="s">
        <v>33</v>
      </c>
      <c r="K7" s="10" t="s">
        <v>30</v>
      </c>
      <c r="L7" s="9" t="s">
        <v>31</v>
      </c>
      <c r="M7" s="9" t="s">
        <v>32</v>
      </c>
      <c r="N7" s="9" t="s">
        <v>33</v>
      </c>
      <c r="O7" s="10" t="s">
        <v>30</v>
      </c>
      <c r="P7" s="9" t="s">
        <v>31</v>
      </c>
      <c r="Q7" s="9" t="s">
        <v>32</v>
      </c>
      <c r="R7" s="9" t="s">
        <v>33</v>
      </c>
      <c r="S7" s="12" t="s">
        <v>30</v>
      </c>
      <c r="T7" s="75" t="s">
        <v>31</v>
      </c>
      <c r="U7" s="13"/>
      <c r="V7" s="2"/>
      <c r="W7" s="2"/>
      <c r="X7" s="2"/>
      <c r="Y7" s="2"/>
    </row>
    <row r="8" spans="1:64" s="20" customFormat="1" ht="15" x14ac:dyDescent="0.25">
      <c r="A8" s="15" t="s">
        <v>1</v>
      </c>
      <c r="B8" s="16"/>
      <c r="C8" s="18">
        <f t="shared" ref="C8:J8" si="0">SUM(C9:C11)</f>
        <v>5290</v>
      </c>
      <c r="D8" s="17">
        <f t="shared" si="0"/>
        <v>3166</v>
      </c>
      <c r="E8" s="17">
        <f t="shared" si="0"/>
        <v>8</v>
      </c>
      <c r="F8" s="17">
        <f t="shared" si="0"/>
        <v>111</v>
      </c>
      <c r="G8" s="18">
        <f t="shared" si="0"/>
        <v>5069</v>
      </c>
      <c r="H8" s="17">
        <f t="shared" si="0"/>
        <v>3550</v>
      </c>
      <c r="I8" s="17">
        <f t="shared" si="0"/>
        <v>2</v>
      </c>
      <c r="J8" s="17">
        <f t="shared" si="0"/>
        <v>119</v>
      </c>
      <c r="K8" s="18">
        <f t="shared" ref="K8:R8" si="1">SUM(K9:K11)</f>
        <v>4998</v>
      </c>
      <c r="L8" s="17">
        <f t="shared" si="1"/>
        <v>2984</v>
      </c>
      <c r="M8" s="17">
        <f t="shared" si="1"/>
        <v>3</v>
      </c>
      <c r="N8" s="17">
        <f t="shared" si="1"/>
        <v>83</v>
      </c>
      <c r="O8" s="18">
        <f t="shared" si="1"/>
        <v>5414</v>
      </c>
      <c r="P8" s="17">
        <f t="shared" si="1"/>
        <v>3242</v>
      </c>
      <c r="Q8" s="17">
        <f t="shared" si="1"/>
        <v>1</v>
      </c>
      <c r="R8" s="17">
        <f t="shared" si="1"/>
        <v>97</v>
      </c>
      <c r="S8" s="56">
        <f>(O8-K8)/K8*100</f>
        <v>8.3233293317326922</v>
      </c>
      <c r="T8" s="57">
        <f>(P8-L8)/L8*100</f>
        <v>8.6461126005361937</v>
      </c>
      <c r="U8" s="19"/>
      <c r="V8" s="2"/>
      <c r="W8" s="2"/>
      <c r="X8" s="2"/>
      <c r="Y8" s="2"/>
      <c r="Z8" s="19"/>
      <c r="AA8" s="19"/>
      <c r="AB8" s="19"/>
      <c r="AC8" s="19"/>
      <c r="AD8" s="19"/>
      <c r="AE8" s="19"/>
      <c r="AF8" s="19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4" s="20" customFormat="1" ht="15" x14ac:dyDescent="0.25">
      <c r="A9" s="15" t="s">
        <v>3</v>
      </c>
      <c r="B9" s="21"/>
      <c r="C9" s="22">
        <v>2191</v>
      </c>
      <c r="D9" s="21">
        <v>1156</v>
      </c>
      <c r="E9" s="21">
        <v>0</v>
      </c>
      <c r="F9" s="21">
        <v>46</v>
      </c>
      <c r="G9" s="22">
        <v>2055</v>
      </c>
      <c r="H9" s="21">
        <v>1260</v>
      </c>
      <c r="I9" s="21">
        <v>1</v>
      </c>
      <c r="J9" s="21">
        <v>43</v>
      </c>
      <c r="K9" s="22">
        <v>1995</v>
      </c>
      <c r="L9" s="21">
        <v>928</v>
      </c>
      <c r="M9" s="21">
        <v>0</v>
      </c>
      <c r="N9" s="21">
        <v>32</v>
      </c>
      <c r="O9" s="22">
        <v>2396</v>
      </c>
      <c r="P9" s="21">
        <v>1191</v>
      </c>
      <c r="Q9" s="21">
        <v>0</v>
      </c>
      <c r="R9" s="21">
        <v>45</v>
      </c>
      <c r="S9" s="49">
        <f t="shared" ref="S9:S31" si="2">(O9-K9)/K9*100</f>
        <v>20.100250626566414</v>
      </c>
      <c r="T9" s="73">
        <f t="shared" ref="T9:T31" si="3">(P9-L9)/L9*100</f>
        <v>28.34051724137931</v>
      </c>
      <c r="U9" s="19"/>
      <c r="V9" s="2"/>
      <c r="W9" s="2"/>
      <c r="X9" s="2"/>
      <c r="Y9" s="2"/>
      <c r="Z9" s="19"/>
      <c r="AA9" s="19"/>
      <c r="AB9" s="19"/>
      <c r="AC9" s="19"/>
      <c r="AD9" s="19"/>
      <c r="AE9" s="19"/>
      <c r="AF9" s="19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4" s="20" customFormat="1" ht="15" x14ac:dyDescent="0.25">
      <c r="A10" s="23" t="s">
        <v>2</v>
      </c>
      <c r="B10" s="21"/>
      <c r="C10" s="18">
        <v>258</v>
      </c>
      <c r="D10" s="17">
        <v>217</v>
      </c>
      <c r="E10" s="17">
        <v>0</v>
      </c>
      <c r="F10" s="17">
        <v>3</v>
      </c>
      <c r="G10" s="18">
        <v>312</v>
      </c>
      <c r="H10" s="17">
        <v>359</v>
      </c>
      <c r="I10" s="17">
        <v>0</v>
      </c>
      <c r="J10" s="17">
        <v>0</v>
      </c>
      <c r="K10" s="18">
        <v>237</v>
      </c>
      <c r="L10" s="17">
        <v>173</v>
      </c>
      <c r="M10" s="17">
        <v>0</v>
      </c>
      <c r="N10" s="17">
        <v>0</v>
      </c>
      <c r="O10" s="18">
        <v>330</v>
      </c>
      <c r="P10" s="17">
        <v>247</v>
      </c>
      <c r="Q10" s="17">
        <v>0</v>
      </c>
      <c r="R10" s="17">
        <v>1</v>
      </c>
      <c r="S10" s="49">
        <f t="shared" si="2"/>
        <v>39.24050632911392</v>
      </c>
      <c r="T10" s="73">
        <f t="shared" si="3"/>
        <v>42.774566473988443</v>
      </c>
      <c r="U10" s="24"/>
      <c r="V10" s="2"/>
      <c r="W10" s="2"/>
      <c r="X10" s="2"/>
      <c r="Y10" s="2"/>
      <c r="Z10" s="19"/>
      <c r="AA10" s="19"/>
      <c r="AB10" s="19"/>
      <c r="AC10" s="19"/>
      <c r="AD10" s="19"/>
      <c r="AE10" s="19"/>
      <c r="AF10" s="19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spans="1:64" s="20" customFormat="1" ht="15" x14ac:dyDescent="0.25">
      <c r="A11" s="15" t="s">
        <v>4</v>
      </c>
      <c r="B11" s="21"/>
      <c r="C11" s="18">
        <f t="shared" ref="C11:J11" si="4">SUM(C12:C31)</f>
        <v>2841</v>
      </c>
      <c r="D11" s="17">
        <f t="shared" si="4"/>
        <v>1793</v>
      </c>
      <c r="E11" s="17">
        <f t="shared" si="4"/>
        <v>8</v>
      </c>
      <c r="F11" s="17">
        <f t="shared" si="4"/>
        <v>62</v>
      </c>
      <c r="G11" s="18">
        <f t="shared" si="4"/>
        <v>2702</v>
      </c>
      <c r="H11" s="21">
        <f>SUM(H12:H31)</f>
        <v>1931</v>
      </c>
      <c r="I11" s="17">
        <f>SUM(I12:I31)</f>
        <v>1</v>
      </c>
      <c r="J11" s="17">
        <f t="shared" si="4"/>
        <v>76</v>
      </c>
      <c r="K11" s="18">
        <f t="shared" ref="K11:R11" si="5">SUM(K12:K31)</f>
        <v>2766</v>
      </c>
      <c r="L11" s="21">
        <f t="shared" si="5"/>
        <v>1883</v>
      </c>
      <c r="M11" s="17">
        <f t="shared" si="5"/>
        <v>3</v>
      </c>
      <c r="N11" s="17">
        <f t="shared" si="5"/>
        <v>51</v>
      </c>
      <c r="O11" s="18">
        <f t="shared" si="5"/>
        <v>2688</v>
      </c>
      <c r="P11" s="21">
        <f t="shared" si="5"/>
        <v>1804</v>
      </c>
      <c r="Q11" s="17">
        <f t="shared" si="5"/>
        <v>1</v>
      </c>
      <c r="R11" s="17">
        <f t="shared" si="5"/>
        <v>51</v>
      </c>
      <c r="S11" s="49">
        <f t="shared" si="2"/>
        <v>-2.8199566160520604</v>
      </c>
      <c r="T11" s="73">
        <f t="shared" si="3"/>
        <v>-4.1954328199681363</v>
      </c>
      <c r="U11" s="19"/>
      <c r="V11" s="2"/>
      <c r="W11" s="2"/>
      <c r="X11" s="2"/>
      <c r="Y11" s="2"/>
      <c r="Z11" s="19"/>
      <c r="AA11" s="19"/>
      <c r="AB11" s="19"/>
      <c r="AC11" s="19"/>
      <c r="AD11" s="19"/>
      <c r="AE11" s="19"/>
      <c r="AF11" s="19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64" s="20" customFormat="1" ht="15" x14ac:dyDescent="0.25">
      <c r="A12" s="25" t="s">
        <v>5</v>
      </c>
      <c r="B12" s="26"/>
      <c r="C12" s="28">
        <v>160</v>
      </c>
      <c r="D12" s="27">
        <v>94</v>
      </c>
      <c r="E12" s="27">
        <v>1</v>
      </c>
      <c r="F12" s="27">
        <v>2</v>
      </c>
      <c r="G12" s="28">
        <v>156</v>
      </c>
      <c r="H12" s="1">
        <v>80</v>
      </c>
      <c r="I12" s="27">
        <v>0</v>
      </c>
      <c r="J12" s="27">
        <v>1</v>
      </c>
      <c r="K12" s="28">
        <v>134</v>
      </c>
      <c r="L12" s="1">
        <v>85</v>
      </c>
      <c r="M12" s="27">
        <v>0</v>
      </c>
      <c r="N12" s="27">
        <v>1</v>
      </c>
      <c r="O12" s="28">
        <v>121</v>
      </c>
      <c r="P12" s="1">
        <v>82</v>
      </c>
      <c r="Q12" s="27">
        <v>0</v>
      </c>
      <c r="R12" s="27">
        <v>2</v>
      </c>
      <c r="S12" s="49">
        <f t="shared" si="2"/>
        <v>-9.7014925373134329</v>
      </c>
      <c r="T12" s="73">
        <f t="shared" si="3"/>
        <v>-3.5294117647058822</v>
      </c>
      <c r="U12" s="24"/>
      <c r="V12" s="2"/>
      <c r="W12" s="2"/>
      <c r="X12" s="2"/>
      <c r="Y12" s="2"/>
      <c r="Z12" s="19"/>
      <c r="AA12" s="19"/>
      <c r="AB12" s="19"/>
      <c r="AC12" s="19"/>
      <c r="AD12" s="19"/>
      <c r="AE12" s="19"/>
      <c r="AF12" s="19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1:64" s="20" customFormat="1" ht="15" x14ac:dyDescent="0.25">
      <c r="A13" s="25" t="s">
        <v>6</v>
      </c>
      <c r="B13" s="27"/>
      <c r="C13" s="28">
        <v>290</v>
      </c>
      <c r="D13" s="27">
        <v>147</v>
      </c>
      <c r="E13" s="27">
        <v>0</v>
      </c>
      <c r="F13" s="27">
        <v>6</v>
      </c>
      <c r="G13" s="28">
        <v>256</v>
      </c>
      <c r="H13" s="1">
        <v>158</v>
      </c>
      <c r="I13" s="27">
        <v>1</v>
      </c>
      <c r="J13" s="27">
        <v>11</v>
      </c>
      <c r="K13" s="28">
        <v>271</v>
      </c>
      <c r="L13" s="1">
        <v>170</v>
      </c>
      <c r="M13" s="27">
        <v>0</v>
      </c>
      <c r="N13" s="27">
        <v>8</v>
      </c>
      <c r="O13" s="28">
        <v>242</v>
      </c>
      <c r="P13" s="1">
        <v>158</v>
      </c>
      <c r="Q13" s="27">
        <v>1</v>
      </c>
      <c r="R13" s="27">
        <v>8</v>
      </c>
      <c r="S13" s="49">
        <f t="shared" si="2"/>
        <v>-10.701107011070111</v>
      </c>
      <c r="T13" s="73">
        <f t="shared" si="3"/>
        <v>-7.0588235294117645</v>
      </c>
      <c r="U13" s="24"/>
      <c r="V13" s="2"/>
      <c r="W13" s="2"/>
      <c r="X13" s="2"/>
      <c r="Y13" s="2"/>
      <c r="Z13" s="19"/>
      <c r="AA13" s="19"/>
      <c r="AB13" s="19"/>
      <c r="AC13" s="19"/>
      <c r="AD13" s="19"/>
      <c r="AE13" s="19"/>
      <c r="AF13" s="19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</row>
    <row r="14" spans="1:64" s="20" customFormat="1" ht="15" x14ac:dyDescent="0.25">
      <c r="A14" s="25" t="s">
        <v>7</v>
      </c>
      <c r="B14" s="27"/>
      <c r="C14" s="28">
        <v>164</v>
      </c>
      <c r="D14" s="27">
        <v>77</v>
      </c>
      <c r="E14" s="27">
        <v>0</v>
      </c>
      <c r="F14" s="27">
        <v>2</v>
      </c>
      <c r="G14" s="28">
        <v>152</v>
      </c>
      <c r="H14" s="1">
        <v>90</v>
      </c>
      <c r="I14" s="27">
        <v>0</v>
      </c>
      <c r="J14" s="27">
        <v>3</v>
      </c>
      <c r="K14" s="28">
        <v>158</v>
      </c>
      <c r="L14" s="1">
        <v>92</v>
      </c>
      <c r="M14" s="27">
        <v>0</v>
      </c>
      <c r="N14" s="27">
        <v>6</v>
      </c>
      <c r="O14" s="28">
        <v>141</v>
      </c>
      <c r="P14" s="1">
        <v>99</v>
      </c>
      <c r="Q14" s="27">
        <v>0</v>
      </c>
      <c r="R14" s="27">
        <v>3</v>
      </c>
      <c r="S14" s="49">
        <f t="shared" si="2"/>
        <v>-10.759493670886076</v>
      </c>
      <c r="T14" s="73">
        <f t="shared" si="3"/>
        <v>7.608695652173914</v>
      </c>
      <c r="U14" s="24"/>
      <c r="V14" s="2"/>
      <c r="W14" s="2"/>
      <c r="X14" s="2"/>
      <c r="Y14" s="2"/>
      <c r="Z14" s="19"/>
      <c r="AA14" s="19"/>
      <c r="AB14" s="19"/>
      <c r="AC14" s="19"/>
      <c r="AD14" s="19"/>
      <c r="AE14" s="19"/>
      <c r="AF14" s="19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spans="1:64" s="20" customFormat="1" ht="15" x14ac:dyDescent="0.25">
      <c r="A15" s="25" t="s">
        <v>9</v>
      </c>
      <c r="B15" s="27"/>
      <c r="C15" s="28">
        <v>140</v>
      </c>
      <c r="D15" s="27">
        <v>96</v>
      </c>
      <c r="E15" s="27">
        <v>0</v>
      </c>
      <c r="F15" s="27">
        <v>3</v>
      </c>
      <c r="G15" s="28">
        <v>148</v>
      </c>
      <c r="H15" s="1">
        <v>105</v>
      </c>
      <c r="I15" s="27">
        <v>0</v>
      </c>
      <c r="J15" s="27">
        <v>2</v>
      </c>
      <c r="K15" s="28">
        <v>127</v>
      </c>
      <c r="L15" s="1">
        <v>101</v>
      </c>
      <c r="M15" s="27">
        <v>0</v>
      </c>
      <c r="N15" s="27">
        <v>2</v>
      </c>
      <c r="O15" s="28">
        <v>146</v>
      </c>
      <c r="P15" s="1">
        <v>133</v>
      </c>
      <c r="Q15" s="27">
        <v>0</v>
      </c>
      <c r="R15" s="27">
        <v>6</v>
      </c>
      <c r="S15" s="49">
        <f t="shared" si="2"/>
        <v>14.960629921259844</v>
      </c>
      <c r="T15" s="73">
        <f t="shared" si="3"/>
        <v>31.683168316831683</v>
      </c>
      <c r="U15" s="24"/>
      <c r="V15" s="2"/>
      <c r="W15" s="2"/>
      <c r="X15" s="2"/>
      <c r="Y15" s="2"/>
      <c r="Z15" s="19"/>
      <c r="AA15" s="19"/>
      <c r="AB15" s="19"/>
      <c r="AC15" s="19"/>
      <c r="AD15" s="19"/>
      <c r="AE15" s="19"/>
      <c r="AF15" s="19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</row>
    <row r="16" spans="1:64" s="20" customFormat="1" ht="15" x14ac:dyDescent="0.25">
      <c r="A16" s="25" t="s">
        <v>10</v>
      </c>
      <c r="B16" s="27"/>
      <c r="C16" s="28">
        <v>197</v>
      </c>
      <c r="D16" s="27">
        <v>110</v>
      </c>
      <c r="E16" s="27">
        <v>0</v>
      </c>
      <c r="F16" s="27">
        <v>3</v>
      </c>
      <c r="G16" s="28">
        <v>193</v>
      </c>
      <c r="H16" s="1">
        <v>134</v>
      </c>
      <c r="I16" s="27">
        <v>0</v>
      </c>
      <c r="J16" s="27">
        <v>8</v>
      </c>
      <c r="K16" s="28">
        <v>198</v>
      </c>
      <c r="L16" s="1">
        <v>133</v>
      </c>
      <c r="M16" s="27">
        <v>0</v>
      </c>
      <c r="N16" s="27">
        <v>11</v>
      </c>
      <c r="O16" s="28">
        <v>212</v>
      </c>
      <c r="P16" s="1">
        <v>128</v>
      </c>
      <c r="Q16" s="27">
        <v>0</v>
      </c>
      <c r="R16" s="27">
        <v>4</v>
      </c>
      <c r="S16" s="49">
        <f t="shared" si="2"/>
        <v>7.0707070707070701</v>
      </c>
      <c r="T16" s="73">
        <f t="shared" si="3"/>
        <v>-3.7593984962406015</v>
      </c>
      <c r="U16" s="24"/>
      <c r="V16" s="2"/>
      <c r="W16" s="2"/>
      <c r="X16" s="2"/>
      <c r="Y16" s="2"/>
      <c r="Z16" s="19"/>
      <c r="AA16" s="19"/>
      <c r="AB16" s="19"/>
      <c r="AC16" s="19"/>
      <c r="AD16" s="19"/>
      <c r="AE16" s="19"/>
      <c r="AF16" s="19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 spans="1:64" s="20" customFormat="1" ht="15" x14ac:dyDescent="0.25">
      <c r="A17" s="25" t="s">
        <v>11</v>
      </c>
      <c r="B17" s="27"/>
      <c r="C17" s="28">
        <v>116</v>
      </c>
      <c r="D17" s="27">
        <v>65</v>
      </c>
      <c r="E17" s="27">
        <v>0</v>
      </c>
      <c r="F17" s="27">
        <v>1</v>
      </c>
      <c r="G17" s="28">
        <v>94</v>
      </c>
      <c r="H17" s="1">
        <v>70</v>
      </c>
      <c r="I17" s="27">
        <v>0</v>
      </c>
      <c r="J17" s="27">
        <v>4</v>
      </c>
      <c r="K17" s="28">
        <v>100</v>
      </c>
      <c r="L17" s="1">
        <v>74</v>
      </c>
      <c r="M17" s="27">
        <v>0</v>
      </c>
      <c r="N17" s="27">
        <v>4</v>
      </c>
      <c r="O17" s="28">
        <v>107</v>
      </c>
      <c r="P17" s="1">
        <v>59</v>
      </c>
      <c r="Q17" s="27">
        <v>0</v>
      </c>
      <c r="R17" s="27">
        <v>2</v>
      </c>
      <c r="S17" s="49">
        <f t="shared" si="2"/>
        <v>7.0000000000000009</v>
      </c>
      <c r="T17" s="73">
        <f t="shared" si="3"/>
        <v>-20.27027027027027</v>
      </c>
      <c r="U17" s="24"/>
      <c r="V17" s="2"/>
      <c r="W17" s="2"/>
      <c r="X17" s="2"/>
      <c r="Y17" s="2"/>
      <c r="Z17" s="19"/>
      <c r="AA17" s="19"/>
      <c r="AB17" s="19"/>
      <c r="AC17" s="19"/>
      <c r="AD17" s="19"/>
      <c r="AE17" s="19"/>
      <c r="AF17" s="19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spans="1:64" s="20" customFormat="1" ht="15" x14ac:dyDescent="0.25">
      <c r="A18" s="25" t="s">
        <v>12</v>
      </c>
      <c r="B18" s="27"/>
      <c r="C18" s="28">
        <v>118</v>
      </c>
      <c r="D18" s="27">
        <v>80</v>
      </c>
      <c r="E18" s="27">
        <v>0</v>
      </c>
      <c r="F18" s="27">
        <v>4</v>
      </c>
      <c r="G18" s="28">
        <v>119</v>
      </c>
      <c r="H18" s="1">
        <v>93</v>
      </c>
      <c r="I18" s="27">
        <v>0</v>
      </c>
      <c r="J18" s="27">
        <v>6</v>
      </c>
      <c r="K18" s="28">
        <v>106</v>
      </c>
      <c r="L18" s="1">
        <v>84</v>
      </c>
      <c r="M18" s="27">
        <v>0</v>
      </c>
      <c r="N18" s="27">
        <v>1</v>
      </c>
      <c r="O18" s="28">
        <v>131</v>
      </c>
      <c r="P18" s="1">
        <v>75</v>
      </c>
      <c r="Q18" s="27">
        <v>0</v>
      </c>
      <c r="R18" s="27">
        <v>2</v>
      </c>
      <c r="S18" s="49">
        <f t="shared" si="2"/>
        <v>23.584905660377359</v>
      </c>
      <c r="T18" s="73">
        <f t="shared" si="3"/>
        <v>-10.714285714285714</v>
      </c>
      <c r="U18" s="24"/>
      <c r="V18" s="2"/>
      <c r="W18" s="2"/>
      <c r="X18" s="2"/>
      <c r="Y18" s="2"/>
      <c r="Z18" s="19"/>
      <c r="AA18" s="19"/>
      <c r="AB18" s="19"/>
      <c r="AC18" s="19"/>
      <c r="AD18" s="19"/>
      <c r="AE18" s="19"/>
      <c r="AF18" s="19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spans="1:64" s="20" customFormat="1" ht="15" x14ac:dyDescent="0.25">
      <c r="A19" s="25" t="s">
        <v>24</v>
      </c>
      <c r="B19" s="27"/>
      <c r="C19" s="28">
        <v>180</v>
      </c>
      <c r="D19" s="27">
        <v>120</v>
      </c>
      <c r="E19" s="27">
        <v>2</v>
      </c>
      <c r="F19" s="27">
        <v>1</v>
      </c>
      <c r="G19" s="28">
        <v>201</v>
      </c>
      <c r="H19" s="1">
        <v>146</v>
      </c>
      <c r="I19" s="27">
        <v>0</v>
      </c>
      <c r="J19" s="27">
        <v>3</v>
      </c>
      <c r="K19" s="28">
        <v>178</v>
      </c>
      <c r="L19" s="1">
        <v>114</v>
      </c>
      <c r="M19" s="27">
        <v>1</v>
      </c>
      <c r="N19" s="27">
        <v>3</v>
      </c>
      <c r="O19" s="28">
        <v>186</v>
      </c>
      <c r="P19" s="1">
        <v>120</v>
      </c>
      <c r="Q19" s="27">
        <v>0</v>
      </c>
      <c r="R19" s="27">
        <v>4</v>
      </c>
      <c r="S19" s="49">
        <f t="shared" si="2"/>
        <v>4.4943820224719104</v>
      </c>
      <c r="T19" s="73">
        <f t="shared" si="3"/>
        <v>5.2631578947368416</v>
      </c>
      <c r="U19" s="24"/>
      <c r="V19" s="2"/>
      <c r="W19" s="2"/>
      <c r="X19" s="2"/>
      <c r="Y19" s="2"/>
      <c r="Z19" s="19"/>
      <c r="AA19" s="19"/>
      <c r="AB19" s="19"/>
      <c r="AC19" s="19"/>
      <c r="AD19" s="19"/>
      <c r="AE19" s="19"/>
      <c r="AF19" s="19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spans="1:64" s="20" customFormat="1" ht="15" x14ac:dyDescent="0.25">
      <c r="A20" s="25" t="s">
        <v>13</v>
      </c>
      <c r="B20" s="27"/>
      <c r="C20" s="28">
        <v>109</v>
      </c>
      <c r="D20" s="27">
        <v>64</v>
      </c>
      <c r="E20" s="27">
        <v>0</v>
      </c>
      <c r="F20" s="27">
        <v>3</v>
      </c>
      <c r="G20" s="28">
        <v>103</v>
      </c>
      <c r="H20" s="1">
        <v>91</v>
      </c>
      <c r="I20" s="27">
        <v>0</v>
      </c>
      <c r="J20" s="27">
        <v>3</v>
      </c>
      <c r="K20" s="28">
        <v>94</v>
      </c>
      <c r="L20" s="1">
        <v>68</v>
      </c>
      <c r="M20" s="27">
        <v>0</v>
      </c>
      <c r="N20" s="27">
        <v>2</v>
      </c>
      <c r="O20" s="28">
        <v>98</v>
      </c>
      <c r="P20" s="1">
        <v>55</v>
      </c>
      <c r="Q20" s="27">
        <v>0</v>
      </c>
      <c r="R20" s="27">
        <v>0</v>
      </c>
      <c r="S20" s="49">
        <f t="shared" si="2"/>
        <v>4.2553191489361701</v>
      </c>
      <c r="T20" s="73">
        <f t="shared" si="3"/>
        <v>-19.117647058823529</v>
      </c>
      <c r="U20" s="24"/>
      <c r="V20" s="2"/>
      <c r="W20" s="2"/>
      <c r="X20" s="2"/>
      <c r="Y20" s="2"/>
      <c r="Z20" s="19"/>
      <c r="AA20" s="19"/>
      <c r="AB20" s="19"/>
      <c r="AC20" s="19"/>
      <c r="AD20" s="19"/>
      <c r="AE20" s="19"/>
      <c r="AF20" s="19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 spans="1:64" s="29" customFormat="1" ht="15" x14ac:dyDescent="0.25">
      <c r="A21" s="25" t="s">
        <v>14</v>
      </c>
      <c r="B21" s="27"/>
      <c r="C21" s="28">
        <v>112</v>
      </c>
      <c r="D21" s="27">
        <v>79</v>
      </c>
      <c r="E21" s="27">
        <v>0</v>
      </c>
      <c r="F21" s="27">
        <v>1</v>
      </c>
      <c r="G21" s="28">
        <v>97</v>
      </c>
      <c r="H21" s="1">
        <v>80</v>
      </c>
      <c r="I21" s="27">
        <v>0</v>
      </c>
      <c r="J21" s="27">
        <v>3</v>
      </c>
      <c r="K21" s="28">
        <v>111</v>
      </c>
      <c r="L21" s="1">
        <v>80</v>
      </c>
      <c r="M21" s="27">
        <v>0</v>
      </c>
      <c r="N21" s="27">
        <v>2</v>
      </c>
      <c r="O21" s="28">
        <v>110</v>
      </c>
      <c r="P21" s="1">
        <v>83</v>
      </c>
      <c r="Q21" s="27">
        <v>0</v>
      </c>
      <c r="R21" s="27">
        <v>2</v>
      </c>
      <c r="S21" s="49">
        <f t="shared" si="2"/>
        <v>-0.90090090090090091</v>
      </c>
      <c r="T21" s="73">
        <f t="shared" si="3"/>
        <v>3.75</v>
      </c>
      <c r="U21" s="24"/>
      <c r="V21" s="2"/>
      <c r="W21" s="2"/>
      <c r="X21" s="2"/>
      <c r="Y21" s="2"/>
      <c r="Z21" s="19"/>
      <c r="AA21" s="19"/>
      <c r="AB21" s="19"/>
      <c r="AC21" s="19"/>
      <c r="AD21" s="19"/>
      <c r="AE21" s="19"/>
      <c r="AF21" s="19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s="29" customFormat="1" ht="15" x14ac:dyDescent="0.25">
      <c r="A22" s="25" t="s">
        <v>15</v>
      </c>
      <c r="B22" s="27"/>
      <c r="C22" s="28">
        <v>19</v>
      </c>
      <c r="D22" s="27">
        <v>24</v>
      </c>
      <c r="E22" s="27">
        <v>0</v>
      </c>
      <c r="F22" s="27">
        <v>0</v>
      </c>
      <c r="G22" s="28">
        <v>11</v>
      </c>
      <c r="H22" s="1">
        <v>14</v>
      </c>
      <c r="I22" s="27">
        <v>0</v>
      </c>
      <c r="J22" s="27">
        <v>0</v>
      </c>
      <c r="K22" s="28">
        <v>13</v>
      </c>
      <c r="L22" s="1">
        <v>12</v>
      </c>
      <c r="M22" s="27">
        <v>0</v>
      </c>
      <c r="N22" s="27">
        <v>0</v>
      </c>
      <c r="O22" s="28">
        <v>14</v>
      </c>
      <c r="P22" s="1">
        <v>10</v>
      </c>
      <c r="Q22" s="27">
        <v>0</v>
      </c>
      <c r="R22" s="27">
        <v>1</v>
      </c>
      <c r="S22" s="49">
        <f t="shared" si="2"/>
        <v>7.6923076923076925</v>
      </c>
      <c r="T22" s="73">
        <f t="shared" si="3"/>
        <v>-16.666666666666664</v>
      </c>
      <c r="U22" s="24"/>
      <c r="V22" s="2"/>
      <c r="W22" s="2"/>
      <c r="X22" s="2"/>
      <c r="Y22" s="2"/>
      <c r="Z22" s="19"/>
      <c r="AA22" s="19"/>
      <c r="AB22" s="19"/>
      <c r="AC22" s="19"/>
      <c r="AD22" s="19"/>
      <c r="AE22" s="19"/>
      <c r="AF22" s="19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s="29" customFormat="1" ht="15" x14ac:dyDescent="0.25">
      <c r="A23" s="25" t="s">
        <v>16</v>
      </c>
      <c r="B23" s="27"/>
      <c r="C23" s="28">
        <v>64</v>
      </c>
      <c r="D23" s="27">
        <v>44</v>
      </c>
      <c r="E23" s="27">
        <v>1</v>
      </c>
      <c r="F23" s="27">
        <v>1</v>
      </c>
      <c r="G23" s="28">
        <v>61</v>
      </c>
      <c r="H23" s="1">
        <v>41</v>
      </c>
      <c r="I23" s="27">
        <v>0</v>
      </c>
      <c r="J23" s="27">
        <v>1</v>
      </c>
      <c r="K23" s="28">
        <v>55</v>
      </c>
      <c r="L23" s="1">
        <v>46</v>
      </c>
      <c r="M23" s="27">
        <v>0</v>
      </c>
      <c r="N23" s="27">
        <v>3</v>
      </c>
      <c r="O23" s="28">
        <v>45</v>
      </c>
      <c r="P23" s="1">
        <v>29</v>
      </c>
      <c r="Q23" s="27">
        <v>0</v>
      </c>
      <c r="R23" s="27">
        <v>1</v>
      </c>
      <c r="S23" s="49">
        <f t="shared" si="2"/>
        <v>-18.181818181818183</v>
      </c>
      <c r="T23" s="73">
        <f t="shared" si="3"/>
        <v>-36.95652173913043</v>
      </c>
      <c r="U23" s="24"/>
      <c r="V23" s="2"/>
      <c r="W23" s="2"/>
      <c r="X23" s="2"/>
      <c r="Y23" s="2"/>
      <c r="Z23" s="19"/>
      <c r="AA23" s="19"/>
      <c r="AB23" s="19"/>
      <c r="AC23" s="19"/>
      <c r="AD23" s="19"/>
      <c r="AE23" s="19"/>
      <c r="AF23" s="19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s="29" customFormat="1" ht="15" x14ac:dyDescent="0.25">
      <c r="A24" s="25" t="s">
        <v>17</v>
      </c>
      <c r="B24" s="27"/>
      <c r="C24" s="28">
        <v>56</v>
      </c>
      <c r="D24" s="27">
        <v>32</v>
      </c>
      <c r="E24" s="27">
        <v>0</v>
      </c>
      <c r="F24" s="27">
        <v>3</v>
      </c>
      <c r="G24" s="28">
        <v>56</v>
      </c>
      <c r="H24" s="1">
        <v>34</v>
      </c>
      <c r="I24" s="27">
        <v>0</v>
      </c>
      <c r="J24" s="27">
        <v>1</v>
      </c>
      <c r="K24" s="28">
        <v>52</v>
      </c>
      <c r="L24" s="1">
        <v>34</v>
      </c>
      <c r="M24" s="27">
        <v>0</v>
      </c>
      <c r="N24" s="27">
        <v>0</v>
      </c>
      <c r="O24" s="28">
        <v>55</v>
      </c>
      <c r="P24" s="1">
        <v>23</v>
      </c>
      <c r="Q24" s="27">
        <v>0</v>
      </c>
      <c r="R24" s="27">
        <v>0</v>
      </c>
      <c r="S24" s="49">
        <f t="shared" si="2"/>
        <v>5.7692307692307692</v>
      </c>
      <c r="T24" s="73">
        <f t="shared" si="3"/>
        <v>-32.352941176470587</v>
      </c>
      <c r="U24" s="24"/>
      <c r="V24" s="2"/>
      <c r="W24" s="2"/>
      <c r="X24" s="2"/>
      <c r="Y24" s="2"/>
      <c r="Z24" s="19"/>
      <c r="AA24" s="19"/>
      <c r="AB24" s="19"/>
      <c r="AC24" s="19"/>
      <c r="AD24" s="19"/>
      <c r="AE24" s="19"/>
      <c r="AF24" s="19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s="29" customFormat="1" ht="15" x14ac:dyDescent="0.25">
      <c r="A25" s="25" t="s">
        <v>18</v>
      </c>
      <c r="B25" s="27"/>
      <c r="C25" s="28">
        <v>67</v>
      </c>
      <c r="D25" s="27">
        <v>34</v>
      </c>
      <c r="E25" s="27">
        <v>1</v>
      </c>
      <c r="F25" s="27">
        <v>3</v>
      </c>
      <c r="G25" s="28">
        <v>55</v>
      </c>
      <c r="H25" s="1">
        <v>43</v>
      </c>
      <c r="I25" s="27">
        <v>0</v>
      </c>
      <c r="J25" s="27">
        <v>4</v>
      </c>
      <c r="K25" s="28">
        <v>67</v>
      </c>
      <c r="L25" s="1">
        <v>27</v>
      </c>
      <c r="M25" s="27">
        <v>0</v>
      </c>
      <c r="N25" s="27">
        <v>0</v>
      </c>
      <c r="O25" s="28">
        <v>60</v>
      </c>
      <c r="P25" s="1">
        <v>41</v>
      </c>
      <c r="Q25" s="27">
        <v>0</v>
      </c>
      <c r="R25" s="27">
        <v>2</v>
      </c>
      <c r="S25" s="49">
        <f t="shared" si="2"/>
        <v>-10.44776119402985</v>
      </c>
      <c r="T25" s="73">
        <f t="shared" si="3"/>
        <v>51.851851851851848</v>
      </c>
      <c r="U25" s="24"/>
      <c r="V25" s="2"/>
      <c r="W25" s="2"/>
      <c r="X25" s="2"/>
      <c r="Y25" s="2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2"/>
      <c r="AU25" s="2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s="29" customFormat="1" ht="15" x14ac:dyDescent="0.25">
      <c r="A26" s="25" t="s">
        <v>19</v>
      </c>
      <c r="B26" s="27"/>
      <c r="C26" s="28">
        <v>109</v>
      </c>
      <c r="D26" s="27">
        <v>75</v>
      </c>
      <c r="E26" s="27">
        <v>0</v>
      </c>
      <c r="F26" s="27">
        <v>5</v>
      </c>
      <c r="G26" s="28">
        <v>132</v>
      </c>
      <c r="H26" s="1">
        <v>96</v>
      </c>
      <c r="I26" s="27">
        <v>0</v>
      </c>
      <c r="J26" s="27">
        <v>6</v>
      </c>
      <c r="K26" s="28">
        <v>137</v>
      </c>
      <c r="L26" s="1">
        <v>74</v>
      </c>
      <c r="M26" s="27">
        <v>0</v>
      </c>
      <c r="N26" s="27">
        <v>0</v>
      </c>
      <c r="O26" s="28">
        <v>122</v>
      </c>
      <c r="P26" s="1">
        <v>76</v>
      </c>
      <c r="Q26" s="27">
        <v>0</v>
      </c>
      <c r="R26" s="27">
        <v>2</v>
      </c>
      <c r="S26" s="49">
        <f t="shared" si="2"/>
        <v>-10.948905109489052</v>
      </c>
      <c r="T26" s="73">
        <f t="shared" si="3"/>
        <v>2.7027027027027026</v>
      </c>
      <c r="U26" s="24"/>
      <c r="V26" s="2"/>
      <c r="W26" s="2"/>
      <c r="X26" s="2"/>
      <c r="Y26" s="2"/>
      <c r="Z26" s="19"/>
      <c r="AA26" s="19"/>
      <c r="AB26" s="19"/>
      <c r="AC26" s="19"/>
      <c r="AD26" s="19"/>
      <c r="AE26" s="19"/>
      <c r="AF26" s="19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s="29" customFormat="1" ht="15" x14ac:dyDescent="0.25">
      <c r="A27" s="25" t="s">
        <v>20</v>
      </c>
      <c r="B27" s="27"/>
      <c r="C27" s="28">
        <v>204</v>
      </c>
      <c r="D27" s="27">
        <v>135</v>
      </c>
      <c r="E27" s="27">
        <v>0</v>
      </c>
      <c r="F27" s="27">
        <v>3</v>
      </c>
      <c r="G27" s="28">
        <v>185</v>
      </c>
      <c r="H27" s="1">
        <v>163</v>
      </c>
      <c r="I27" s="27">
        <v>0</v>
      </c>
      <c r="J27" s="27">
        <v>2</v>
      </c>
      <c r="K27" s="28">
        <v>214</v>
      </c>
      <c r="L27" s="1">
        <v>158</v>
      </c>
      <c r="M27" s="27">
        <v>0</v>
      </c>
      <c r="N27" s="27">
        <v>1</v>
      </c>
      <c r="O27" s="28">
        <v>224</v>
      </c>
      <c r="P27" s="1">
        <v>162</v>
      </c>
      <c r="Q27" s="27">
        <v>0</v>
      </c>
      <c r="R27" s="27">
        <v>1</v>
      </c>
      <c r="S27" s="49">
        <f t="shared" si="2"/>
        <v>4.6728971962616823</v>
      </c>
      <c r="T27" s="73">
        <f t="shared" si="3"/>
        <v>2.5316455696202533</v>
      </c>
      <c r="U27" s="24"/>
      <c r="V27" s="2"/>
      <c r="W27" s="2"/>
      <c r="X27" s="2"/>
      <c r="Y27" s="2"/>
      <c r="Z27" s="19"/>
      <c r="AA27" s="19"/>
      <c r="AB27" s="19"/>
      <c r="AC27" s="19"/>
      <c r="AD27" s="19"/>
      <c r="AE27" s="19"/>
      <c r="AF27" s="19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s="29" customFormat="1" ht="15" x14ac:dyDescent="0.25">
      <c r="A28" s="25" t="s">
        <v>21</v>
      </c>
      <c r="B28" s="27"/>
      <c r="C28" s="28">
        <v>123</v>
      </c>
      <c r="D28" s="27">
        <v>82</v>
      </c>
      <c r="E28" s="27">
        <v>0</v>
      </c>
      <c r="F28" s="27">
        <v>2</v>
      </c>
      <c r="G28" s="28">
        <v>116</v>
      </c>
      <c r="H28" s="1">
        <v>93</v>
      </c>
      <c r="I28" s="27">
        <v>0</v>
      </c>
      <c r="J28" s="27">
        <v>7</v>
      </c>
      <c r="K28" s="28">
        <v>135</v>
      </c>
      <c r="L28" s="1">
        <v>83</v>
      </c>
      <c r="M28" s="27">
        <v>0</v>
      </c>
      <c r="N28" s="27">
        <v>2</v>
      </c>
      <c r="O28" s="28">
        <v>108</v>
      </c>
      <c r="P28" s="1">
        <v>73</v>
      </c>
      <c r="Q28" s="27">
        <v>0</v>
      </c>
      <c r="R28" s="27">
        <v>5</v>
      </c>
      <c r="S28" s="49">
        <f t="shared" si="2"/>
        <v>-20</v>
      </c>
      <c r="T28" s="73">
        <f t="shared" si="3"/>
        <v>-12.048192771084338</v>
      </c>
      <c r="U28" s="24"/>
      <c r="V28" s="2"/>
      <c r="W28" s="2"/>
      <c r="X28" s="2"/>
      <c r="Y28" s="2"/>
      <c r="Z28" s="19"/>
      <c r="AA28" s="19"/>
      <c r="AB28" s="19"/>
      <c r="AC28" s="19"/>
      <c r="AD28" s="19"/>
      <c r="AE28" s="19"/>
      <c r="AF28" s="19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s="29" customFormat="1" ht="15" x14ac:dyDescent="0.25">
      <c r="A29" s="25" t="s">
        <v>22</v>
      </c>
      <c r="B29" s="27"/>
      <c r="C29" s="28">
        <v>187</v>
      </c>
      <c r="D29" s="27">
        <v>130</v>
      </c>
      <c r="E29" s="27">
        <v>0</v>
      </c>
      <c r="F29" s="27">
        <v>5</v>
      </c>
      <c r="G29" s="28">
        <v>159</v>
      </c>
      <c r="H29" s="1">
        <v>109</v>
      </c>
      <c r="I29" s="27">
        <v>0</v>
      </c>
      <c r="J29" s="27">
        <v>6</v>
      </c>
      <c r="K29" s="28">
        <v>177</v>
      </c>
      <c r="L29" s="1">
        <v>120</v>
      </c>
      <c r="M29" s="27">
        <v>2</v>
      </c>
      <c r="N29" s="27">
        <v>3</v>
      </c>
      <c r="O29" s="28">
        <v>137</v>
      </c>
      <c r="P29" s="1">
        <v>117</v>
      </c>
      <c r="Q29" s="27">
        <v>0</v>
      </c>
      <c r="R29" s="27">
        <v>1</v>
      </c>
      <c r="S29" s="49">
        <f t="shared" si="2"/>
        <v>-22.598870056497177</v>
      </c>
      <c r="T29" s="73">
        <f t="shared" si="3"/>
        <v>-2.5</v>
      </c>
      <c r="U29" s="24"/>
      <c r="V29" s="2"/>
      <c r="W29" s="2"/>
      <c r="X29" s="2"/>
      <c r="Y29" s="2"/>
      <c r="Z29" s="19"/>
      <c r="AA29" s="19"/>
      <c r="AB29" s="19"/>
      <c r="AC29" s="19"/>
      <c r="AD29" s="19"/>
      <c r="AE29" s="19"/>
      <c r="AF29" s="19"/>
      <c r="AH29" s="2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s="29" customFormat="1" ht="15" x14ac:dyDescent="0.2">
      <c r="A30" s="25" t="s">
        <v>23</v>
      </c>
      <c r="B30" s="27"/>
      <c r="C30" s="28">
        <v>160</v>
      </c>
      <c r="D30" s="27">
        <v>103</v>
      </c>
      <c r="E30" s="27">
        <v>3</v>
      </c>
      <c r="F30" s="27">
        <v>4</v>
      </c>
      <c r="G30" s="28">
        <v>136</v>
      </c>
      <c r="H30" s="1">
        <v>85</v>
      </c>
      <c r="I30" s="27">
        <v>0</v>
      </c>
      <c r="J30" s="27">
        <v>0</v>
      </c>
      <c r="K30" s="28">
        <v>138</v>
      </c>
      <c r="L30" s="1">
        <v>101</v>
      </c>
      <c r="M30" s="27">
        <v>0</v>
      </c>
      <c r="N30" s="27">
        <v>0</v>
      </c>
      <c r="O30" s="28">
        <v>143</v>
      </c>
      <c r="P30" s="1">
        <v>101</v>
      </c>
      <c r="Q30" s="27">
        <v>0</v>
      </c>
      <c r="R30" s="27">
        <v>0</v>
      </c>
      <c r="S30" s="49">
        <f t="shared" si="2"/>
        <v>3.6231884057971016</v>
      </c>
      <c r="T30" s="73">
        <f t="shared" si="3"/>
        <v>0</v>
      </c>
      <c r="U30" s="24"/>
      <c r="V30" s="2"/>
      <c r="W30" s="2"/>
      <c r="X30" s="2"/>
      <c r="Y30" s="2"/>
      <c r="Z30" s="19"/>
      <c r="AA30" s="19"/>
      <c r="AB30" s="19"/>
      <c r="AC30" s="19"/>
      <c r="AD30" s="19"/>
      <c r="AE30" s="19"/>
      <c r="AF30" s="19"/>
      <c r="AH30" s="30"/>
      <c r="AI30" s="58"/>
      <c r="AJ30" s="58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s="35" customFormat="1" ht="15" x14ac:dyDescent="0.2">
      <c r="A31" s="31" t="s">
        <v>8</v>
      </c>
      <c r="B31" s="32"/>
      <c r="C31" s="33">
        <v>266</v>
      </c>
      <c r="D31" s="32">
        <v>202</v>
      </c>
      <c r="E31" s="32">
        <v>0</v>
      </c>
      <c r="F31" s="32">
        <v>10</v>
      </c>
      <c r="G31" s="33">
        <v>272</v>
      </c>
      <c r="H31" s="52">
        <v>206</v>
      </c>
      <c r="I31" s="32">
        <v>0</v>
      </c>
      <c r="J31" s="32">
        <v>5</v>
      </c>
      <c r="K31" s="33">
        <v>301</v>
      </c>
      <c r="L31" s="52">
        <v>227</v>
      </c>
      <c r="M31" s="32">
        <v>0</v>
      </c>
      <c r="N31" s="32">
        <v>2</v>
      </c>
      <c r="O31" s="33">
        <v>286</v>
      </c>
      <c r="P31" s="52">
        <v>180</v>
      </c>
      <c r="Q31" s="32">
        <v>0</v>
      </c>
      <c r="R31" s="32">
        <v>5</v>
      </c>
      <c r="S31" s="50">
        <f t="shared" si="2"/>
        <v>-4.9833887043189371</v>
      </c>
      <c r="T31" s="51">
        <f t="shared" si="3"/>
        <v>-20.704845814977972</v>
      </c>
      <c r="U31" s="19"/>
      <c r="V31" s="2"/>
      <c r="W31" s="2"/>
      <c r="X31" s="2"/>
      <c r="Y31" s="2"/>
      <c r="Z31" s="19"/>
      <c r="AA31" s="19"/>
      <c r="AB31" s="19"/>
      <c r="AC31" s="19"/>
      <c r="AD31" s="19"/>
      <c r="AE31" s="19"/>
      <c r="AF31" s="19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</row>
    <row r="32" spans="1:64" s="1" customFormat="1" ht="17.25" x14ac:dyDescent="0.45">
      <c r="A32" s="36" t="s">
        <v>34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8" t="s">
        <v>35</v>
      </c>
      <c r="V32" s="2"/>
      <c r="W32" s="2"/>
      <c r="X32" s="2"/>
      <c r="Y32" s="2"/>
      <c r="Z32" s="39"/>
      <c r="AA32" s="39"/>
      <c r="AB32" s="39"/>
      <c r="AC32" s="39"/>
      <c r="AD32" s="39"/>
      <c r="AE32" s="39"/>
      <c r="AF32" s="40"/>
      <c r="AG32" s="40"/>
      <c r="AH32" s="40"/>
      <c r="AI32" s="40"/>
      <c r="AJ32" s="40"/>
      <c r="AK32" s="40"/>
    </row>
    <row r="33" spans="2:57" s="40" customFormat="1" x14ac:dyDescent="0.2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V33" s="2"/>
      <c r="W33" s="2"/>
      <c r="X33" s="2"/>
      <c r="Y33" s="2"/>
      <c r="Z33" s="39"/>
      <c r="AA33" s="39"/>
      <c r="AB33" s="39"/>
      <c r="AC33" s="39"/>
      <c r="AD33" s="39"/>
      <c r="AE33" s="39"/>
    </row>
    <row r="34" spans="2:57" s="40" customFormat="1" x14ac:dyDescent="0.2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V34" s="2"/>
      <c r="W34" s="2"/>
      <c r="X34" s="2"/>
      <c r="Y34" s="2"/>
    </row>
    <row r="35" spans="2:57" s="40" customFormat="1" x14ac:dyDescent="0.2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V35" s="2"/>
      <c r="W35" s="2"/>
      <c r="X35" s="2"/>
      <c r="Y35" s="2"/>
      <c r="AG35" s="58"/>
      <c r="AH35" s="58"/>
      <c r="AI35" s="58"/>
      <c r="AJ35" s="58"/>
      <c r="AK35" s="58"/>
      <c r="AL35" s="58"/>
      <c r="AM35" s="58"/>
      <c r="AN35" s="58"/>
    </row>
    <row r="36" spans="2:57" s="40" customFormat="1" x14ac:dyDescent="0.2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V36" s="2"/>
      <c r="W36" s="2"/>
      <c r="X36" s="2"/>
      <c r="Y36" s="2"/>
      <c r="AG36" s="13"/>
      <c r="AH36" s="13"/>
      <c r="AI36" s="13"/>
      <c r="AJ36" s="13"/>
      <c r="AK36" s="13"/>
      <c r="AL36" s="13"/>
      <c r="AM36" s="13"/>
      <c r="AN36" s="13"/>
    </row>
    <row r="37" spans="2:57" s="40" customFormat="1" x14ac:dyDescent="0.2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AF37" s="2"/>
      <c r="AG37" s="42"/>
      <c r="AH37" s="42"/>
      <c r="AI37" s="42"/>
      <c r="AJ37" s="42"/>
      <c r="AK37" s="42"/>
      <c r="AL37" s="42"/>
      <c r="AM37" s="42"/>
      <c r="AN37" s="42"/>
    </row>
    <row r="38" spans="2:57" s="40" customFormat="1" x14ac:dyDescent="0.2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AF38" s="43"/>
      <c r="AG38" s="42"/>
      <c r="AH38" s="42"/>
      <c r="AI38" s="42"/>
      <c r="AJ38" s="42"/>
      <c r="AK38" s="42"/>
      <c r="AL38" s="42"/>
      <c r="AM38" s="42"/>
      <c r="AN38" s="42"/>
    </row>
    <row r="39" spans="2:57" s="40" customFormat="1" x14ac:dyDescent="0.2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</row>
    <row r="40" spans="2:57" s="40" customFormat="1" x14ac:dyDescent="0.2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AH40" s="72">
        <v>2010</v>
      </c>
      <c r="AI40" s="72"/>
      <c r="AJ40" s="72">
        <v>2011</v>
      </c>
      <c r="AK40" s="72"/>
      <c r="AL40" s="72">
        <v>2012</v>
      </c>
      <c r="AM40" s="72"/>
      <c r="AN40" s="72">
        <v>2013</v>
      </c>
      <c r="AO40" s="72"/>
      <c r="AP40" s="72">
        <v>2014</v>
      </c>
      <c r="AQ40" s="72"/>
      <c r="AR40" s="72">
        <v>2015</v>
      </c>
      <c r="AS40" s="72"/>
      <c r="AT40" s="72">
        <v>2016</v>
      </c>
      <c r="AU40" s="72"/>
      <c r="AV40" s="72">
        <v>2017</v>
      </c>
      <c r="AW40" s="72"/>
      <c r="AX40" s="72">
        <v>2018</v>
      </c>
      <c r="AY40" s="72"/>
      <c r="AZ40" s="72">
        <v>2019</v>
      </c>
      <c r="BA40" s="72"/>
      <c r="BB40" s="72">
        <v>2020</v>
      </c>
      <c r="BC40" s="72"/>
      <c r="BD40" s="72">
        <v>2021</v>
      </c>
      <c r="BE40" s="72"/>
    </row>
    <row r="41" spans="2:57" s="40" customFormat="1" x14ac:dyDescent="0.2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AH41" s="11" t="s">
        <v>36</v>
      </c>
      <c r="AI41" s="11" t="s">
        <v>37</v>
      </c>
      <c r="AJ41" s="11" t="s">
        <v>36</v>
      </c>
      <c r="AK41" s="11" t="s">
        <v>37</v>
      </c>
      <c r="AL41" s="11" t="s">
        <v>36</v>
      </c>
      <c r="AM41" s="11" t="s">
        <v>37</v>
      </c>
      <c r="AN41" s="11" t="s">
        <v>36</v>
      </c>
      <c r="AO41" s="11" t="s">
        <v>37</v>
      </c>
      <c r="AP41" s="11" t="s">
        <v>36</v>
      </c>
      <c r="AQ41" s="11" t="s">
        <v>37</v>
      </c>
      <c r="AR41" s="11" t="s">
        <v>36</v>
      </c>
      <c r="AS41" s="11" t="s">
        <v>37</v>
      </c>
      <c r="AT41" s="11" t="s">
        <v>36</v>
      </c>
      <c r="AU41" s="11" t="s">
        <v>37</v>
      </c>
      <c r="AV41" s="11" t="s">
        <v>36</v>
      </c>
      <c r="AW41" s="11" t="s">
        <v>37</v>
      </c>
      <c r="AX41" s="11" t="s">
        <v>36</v>
      </c>
      <c r="AY41" s="11" t="s">
        <v>37</v>
      </c>
      <c r="AZ41" s="11" t="s">
        <v>36</v>
      </c>
      <c r="BA41" s="11" t="s">
        <v>37</v>
      </c>
      <c r="BB41" s="11" t="s">
        <v>36</v>
      </c>
      <c r="BC41" s="11" t="s">
        <v>37</v>
      </c>
      <c r="BD41" s="11" t="s">
        <v>36</v>
      </c>
      <c r="BE41" s="11" t="s">
        <v>37</v>
      </c>
    </row>
    <row r="42" spans="2:57" s="40" customFormat="1" x14ac:dyDescent="0.2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AG42" s="2" t="s">
        <v>3</v>
      </c>
      <c r="AH42" s="42">
        <v>2491</v>
      </c>
      <c r="AI42" s="42">
        <v>1248</v>
      </c>
      <c r="AJ42" s="42">
        <v>2366</v>
      </c>
      <c r="AK42" s="42">
        <v>1209</v>
      </c>
      <c r="AL42" s="42">
        <v>2404</v>
      </c>
      <c r="AM42" s="42">
        <v>1320</v>
      </c>
      <c r="AN42" s="40">
        <v>2463</v>
      </c>
      <c r="AO42" s="40">
        <v>1508</v>
      </c>
      <c r="AP42" s="40">
        <v>2357</v>
      </c>
      <c r="AQ42" s="40">
        <v>1368</v>
      </c>
      <c r="AR42" s="40">
        <v>2417</v>
      </c>
      <c r="AS42" s="40">
        <v>1288</v>
      </c>
      <c r="AT42" s="40">
        <v>2304</v>
      </c>
      <c r="AU42" s="40">
        <v>1341</v>
      </c>
      <c r="AV42" s="40">
        <v>2168</v>
      </c>
      <c r="AW42" s="40">
        <v>1248</v>
      </c>
      <c r="AX42" s="40">
        <f t="shared" ref="AX42:AY44" si="6">C9</f>
        <v>2191</v>
      </c>
      <c r="AY42" s="40">
        <f t="shared" si="6"/>
        <v>1156</v>
      </c>
      <c r="AZ42" s="40">
        <f>G9</f>
        <v>2055</v>
      </c>
      <c r="BA42" s="40">
        <f>H9</f>
        <v>1260</v>
      </c>
      <c r="BB42" s="40">
        <f t="shared" ref="BB42:BC44" si="7">K9</f>
        <v>1995</v>
      </c>
      <c r="BC42" s="40">
        <f t="shared" si="7"/>
        <v>928</v>
      </c>
      <c r="BD42" s="40">
        <f t="shared" ref="BD42:BE44" si="8">O9</f>
        <v>2396</v>
      </c>
      <c r="BE42" s="40">
        <f t="shared" si="8"/>
        <v>1191</v>
      </c>
    </row>
    <row r="43" spans="2:57" s="40" customFormat="1" ht="15" x14ac:dyDescent="0.2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AG43" s="23" t="s">
        <v>2</v>
      </c>
      <c r="AP43" s="40">
        <v>125</v>
      </c>
      <c r="AQ43" s="40">
        <v>98</v>
      </c>
      <c r="AR43" s="40">
        <v>193</v>
      </c>
      <c r="AS43" s="40">
        <v>167</v>
      </c>
      <c r="AT43" s="40">
        <v>223</v>
      </c>
      <c r="AU43" s="40">
        <v>155</v>
      </c>
      <c r="AV43" s="40">
        <v>207</v>
      </c>
      <c r="AW43" s="40">
        <v>149</v>
      </c>
      <c r="AX43" s="40">
        <f t="shared" si="6"/>
        <v>258</v>
      </c>
      <c r="AY43" s="40">
        <f t="shared" si="6"/>
        <v>217</v>
      </c>
      <c r="AZ43" s="40">
        <f>G10</f>
        <v>312</v>
      </c>
      <c r="BA43" s="40">
        <f>H10</f>
        <v>359</v>
      </c>
      <c r="BB43" s="40">
        <f t="shared" si="7"/>
        <v>237</v>
      </c>
      <c r="BC43" s="40">
        <f t="shared" si="7"/>
        <v>173</v>
      </c>
      <c r="BD43" s="40">
        <f t="shared" si="8"/>
        <v>330</v>
      </c>
      <c r="BE43" s="40">
        <f t="shared" si="8"/>
        <v>247</v>
      </c>
    </row>
    <row r="44" spans="2:57" s="40" customFormat="1" x14ac:dyDescent="0.2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AG44" s="43" t="s">
        <v>4</v>
      </c>
      <c r="AH44" s="42">
        <v>3645</v>
      </c>
      <c r="AI44" s="42">
        <v>1547</v>
      </c>
      <c r="AJ44" s="42">
        <v>3649</v>
      </c>
      <c r="AK44" s="42">
        <v>1807</v>
      </c>
      <c r="AL44" s="44">
        <v>3295</v>
      </c>
      <c r="AM44" s="44">
        <v>1691</v>
      </c>
      <c r="AN44" s="40">
        <v>3157</v>
      </c>
      <c r="AO44" s="40">
        <v>1823</v>
      </c>
      <c r="AP44" s="40">
        <v>3230</v>
      </c>
      <c r="AQ44" s="40">
        <v>1936</v>
      </c>
      <c r="AR44" s="40">
        <v>3153</v>
      </c>
      <c r="AS44" s="40">
        <v>1903</v>
      </c>
      <c r="AT44" s="40">
        <v>2961</v>
      </c>
      <c r="AU44" s="40">
        <v>1921</v>
      </c>
      <c r="AV44" s="40">
        <v>2862</v>
      </c>
      <c r="AW44" s="40">
        <v>1814</v>
      </c>
      <c r="AX44" s="40">
        <f t="shared" si="6"/>
        <v>2841</v>
      </c>
      <c r="AY44" s="40">
        <f t="shared" si="6"/>
        <v>1793</v>
      </c>
      <c r="AZ44" s="40">
        <v>2702</v>
      </c>
      <c r="BA44" s="40">
        <f>H11</f>
        <v>1931</v>
      </c>
      <c r="BB44" s="40">
        <f t="shared" si="7"/>
        <v>2766</v>
      </c>
      <c r="BC44" s="40">
        <f t="shared" si="7"/>
        <v>1883</v>
      </c>
      <c r="BD44" s="40">
        <f t="shared" si="8"/>
        <v>2688</v>
      </c>
      <c r="BE44" s="40">
        <f t="shared" si="8"/>
        <v>1804</v>
      </c>
    </row>
    <row r="45" spans="2:57" s="40" customFormat="1" x14ac:dyDescent="0.2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</row>
    <row r="46" spans="2:57" s="40" customFormat="1" x14ac:dyDescent="0.2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</row>
    <row r="47" spans="2:57" s="40" customFormat="1" x14ac:dyDescent="0.2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</row>
    <row r="48" spans="2:57" s="40" customFormat="1" x14ac:dyDescent="0.2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</row>
    <row r="49" spans="2:41" s="40" customFormat="1" x14ac:dyDescent="0.2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</row>
    <row r="50" spans="2:41" s="40" customFormat="1" x14ac:dyDescent="0.2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</row>
    <row r="51" spans="2:41" s="40" customFormat="1" x14ac:dyDescent="0.2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</row>
    <row r="52" spans="2:41" s="40" customFormat="1" x14ac:dyDescent="0.2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</row>
    <row r="53" spans="2:41" s="40" customFormat="1" x14ac:dyDescent="0.2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</row>
    <row r="54" spans="2:41" s="40" customFormat="1" x14ac:dyDescent="0.2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</row>
    <row r="55" spans="2:41" s="40" customFormat="1" x14ac:dyDescent="0.2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</row>
    <row r="56" spans="2:41" s="40" customFormat="1" x14ac:dyDescent="0.2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</row>
    <row r="57" spans="2:41" s="40" customFormat="1" x14ac:dyDescent="0.2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AI57" s="13"/>
      <c r="AJ57" s="13"/>
      <c r="AN57" s="13"/>
      <c r="AO57" s="13"/>
    </row>
    <row r="58" spans="2:41" s="40" customFormat="1" x14ac:dyDescent="0.2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AH58" s="39"/>
      <c r="AI58" s="45"/>
      <c r="AJ58" s="45"/>
      <c r="AM58" s="39"/>
      <c r="AN58" s="45"/>
      <c r="AO58" s="45"/>
    </row>
    <row r="59" spans="2:41" s="40" customFormat="1" x14ac:dyDescent="0.2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AH59" s="39"/>
      <c r="AI59" s="45"/>
      <c r="AJ59" s="45"/>
      <c r="AM59" s="39"/>
      <c r="AN59" s="45"/>
      <c r="AO59" s="45"/>
    </row>
    <row r="60" spans="2:41" s="40" customFormat="1" x14ac:dyDescent="0.2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AH60" s="39"/>
      <c r="AI60" s="45"/>
      <c r="AJ60" s="45"/>
      <c r="AM60" s="39"/>
      <c r="AN60" s="45"/>
      <c r="AO60" s="45"/>
    </row>
    <row r="61" spans="2:41" s="40" customFormat="1" x14ac:dyDescent="0.2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AH61" s="39"/>
      <c r="AI61" s="45"/>
      <c r="AJ61" s="45"/>
      <c r="AM61" s="39"/>
      <c r="AN61" s="45"/>
      <c r="AO61" s="45"/>
    </row>
    <row r="62" spans="2:41" s="40" customFormat="1" x14ac:dyDescent="0.2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AH62" s="39"/>
      <c r="AI62" s="45"/>
      <c r="AJ62" s="45"/>
      <c r="AM62" s="39"/>
      <c r="AN62" s="45"/>
      <c r="AO62" s="45"/>
    </row>
    <row r="63" spans="2:41" s="40" customFormat="1" x14ac:dyDescent="0.2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AH63" s="39"/>
      <c r="AI63" s="45"/>
      <c r="AJ63" s="45"/>
      <c r="AM63" s="39"/>
      <c r="AN63" s="45"/>
      <c r="AO63" s="45"/>
    </row>
    <row r="64" spans="2:41" s="40" customFormat="1" x14ac:dyDescent="0.2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AH64" s="39"/>
      <c r="AI64" s="45"/>
      <c r="AJ64" s="45"/>
      <c r="AM64" s="39"/>
      <c r="AN64" s="45"/>
      <c r="AO64" s="45"/>
    </row>
    <row r="65" spans="2:41" s="40" customFormat="1" x14ac:dyDescent="0.2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AH65" s="39"/>
      <c r="AI65" s="45"/>
      <c r="AJ65" s="45"/>
      <c r="AM65" s="39"/>
      <c r="AN65" s="45"/>
      <c r="AO65" s="45"/>
    </row>
    <row r="66" spans="2:41" s="40" customFormat="1" x14ac:dyDescent="0.2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AH66" s="39"/>
      <c r="AI66" s="45"/>
      <c r="AJ66" s="45"/>
      <c r="AM66" s="39"/>
      <c r="AN66" s="45"/>
      <c r="AO66" s="45"/>
    </row>
    <row r="67" spans="2:41" s="40" customFormat="1" x14ac:dyDescent="0.2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AH67" s="39"/>
      <c r="AI67" s="45"/>
      <c r="AJ67" s="45"/>
      <c r="AM67" s="39"/>
      <c r="AN67" s="45"/>
      <c r="AO67" s="45"/>
    </row>
    <row r="68" spans="2:41" s="40" customFormat="1" x14ac:dyDescent="0.2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AH68" s="39"/>
      <c r="AI68" s="45"/>
      <c r="AJ68" s="45"/>
      <c r="AM68" s="39"/>
      <c r="AN68" s="45"/>
      <c r="AO68" s="45"/>
    </row>
    <row r="69" spans="2:41" s="40" customFormat="1" x14ac:dyDescent="0.2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AH69" s="39"/>
      <c r="AI69" s="45"/>
      <c r="AJ69" s="45"/>
      <c r="AM69" s="39"/>
      <c r="AN69" s="45"/>
      <c r="AO69" s="45"/>
    </row>
    <row r="70" spans="2:41" s="40" customFormat="1" x14ac:dyDescent="0.2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AH70" s="39"/>
      <c r="AI70" s="45"/>
      <c r="AJ70" s="45"/>
      <c r="AM70" s="39"/>
      <c r="AN70" s="45"/>
      <c r="AO70" s="45"/>
    </row>
    <row r="71" spans="2:41" s="40" customFormat="1" x14ac:dyDescent="0.2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AH71" s="39"/>
      <c r="AI71" s="45"/>
      <c r="AJ71" s="45"/>
      <c r="AM71" s="39"/>
      <c r="AN71" s="45"/>
      <c r="AO71" s="45"/>
    </row>
    <row r="72" spans="2:41" s="40" customFormat="1" x14ac:dyDescent="0.2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AH72" s="39"/>
      <c r="AI72" s="45"/>
      <c r="AJ72" s="45"/>
      <c r="AM72" s="39"/>
      <c r="AN72" s="45"/>
      <c r="AO72" s="45"/>
    </row>
    <row r="73" spans="2:41" s="40" customFormat="1" x14ac:dyDescent="0.2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AH73" s="39"/>
      <c r="AI73" s="45"/>
      <c r="AJ73" s="45"/>
      <c r="AM73" s="39"/>
      <c r="AN73" s="45"/>
      <c r="AO73" s="45"/>
    </row>
    <row r="74" spans="2:41" s="40" customFormat="1" x14ac:dyDescent="0.2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AH74" s="39"/>
      <c r="AI74" s="45"/>
      <c r="AJ74" s="45"/>
      <c r="AM74" s="39"/>
      <c r="AN74" s="45"/>
      <c r="AO74" s="45"/>
    </row>
    <row r="75" spans="2:41" s="40" customFormat="1" x14ac:dyDescent="0.2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AH75" s="39"/>
      <c r="AI75" s="45"/>
      <c r="AJ75" s="45"/>
      <c r="AM75" s="39"/>
      <c r="AN75" s="45"/>
      <c r="AO75" s="45"/>
    </row>
    <row r="76" spans="2:41" s="40" customFormat="1" x14ac:dyDescent="0.2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AH76" s="39"/>
      <c r="AI76" s="45"/>
      <c r="AJ76" s="45"/>
      <c r="AM76" s="39"/>
      <c r="AN76" s="45"/>
      <c r="AO76" s="45"/>
    </row>
    <row r="77" spans="2:41" s="40" customFormat="1" x14ac:dyDescent="0.2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AH77" s="46"/>
      <c r="AI77" s="45"/>
      <c r="AJ77" s="45"/>
      <c r="AM77" s="46"/>
      <c r="AN77" s="45"/>
      <c r="AO77" s="45"/>
    </row>
    <row r="78" spans="2:41" s="40" customFormat="1" x14ac:dyDescent="0.2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</row>
    <row r="79" spans="2:41" s="40" customFormat="1" x14ac:dyDescent="0.2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</row>
    <row r="80" spans="2:41" s="40" customFormat="1" x14ac:dyDescent="0.2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</row>
    <row r="81" spans="2:19" s="40" customFormat="1" x14ac:dyDescent="0.2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</row>
    <row r="82" spans="2:19" s="40" customFormat="1" x14ac:dyDescent="0.2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</row>
    <row r="83" spans="2:19" s="40" customFormat="1" x14ac:dyDescent="0.2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</row>
    <row r="84" spans="2:19" s="40" customFormat="1" x14ac:dyDescent="0.2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</row>
    <row r="85" spans="2:19" s="40" customFormat="1" x14ac:dyDescent="0.2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</row>
    <row r="86" spans="2:19" s="40" customFormat="1" x14ac:dyDescent="0.2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</row>
    <row r="87" spans="2:19" s="40" customFormat="1" x14ac:dyDescent="0.2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</row>
    <row r="88" spans="2:19" s="40" customFormat="1" x14ac:dyDescent="0.2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</row>
    <row r="89" spans="2:19" s="40" customFormat="1" x14ac:dyDescent="0.2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</row>
    <row r="90" spans="2:19" s="40" customFormat="1" x14ac:dyDescent="0.2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</row>
    <row r="91" spans="2:19" s="40" customFormat="1" x14ac:dyDescent="0.2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</row>
    <row r="92" spans="2:19" s="40" customFormat="1" x14ac:dyDescent="0.2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</row>
    <row r="93" spans="2:19" s="40" customFormat="1" x14ac:dyDescent="0.2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</row>
    <row r="94" spans="2:19" s="40" customFormat="1" x14ac:dyDescent="0.2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</row>
    <row r="95" spans="2:19" s="40" customFormat="1" x14ac:dyDescent="0.2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</row>
    <row r="96" spans="2:19" s="40" customFormat="1" x14ac:dyDescent="0.2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</row>
    <row r="97" spans="2:19" s="40" customFormat="1" x14ac:dyDescent="0.2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</row>
    <row r="98" spans="2:19" s="40" customFormat="1" x14ac:dyDescent="0.2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</row>
    <row r="99" spans="2:19" s="40" customFormat="1" x14ac:dyDescent="0.2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</row>
    <row r="100" spans="2:19" s="40" customFormat="1" x14ac:dyDescent="0.2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</row>
    <row r="101" spans="2:19" s="40" customFormat="1" x14ac:dyDescent="0.2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</row>
    <row r="102" spans="2:19" s="40" customFormat="1" x14ac:dyDescent="0.2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</row>
    <row r="103" spans="2:19" s="40" customFormat="1" x14ac:dyDescent="0.2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</row>
    <row r="104" spans="2:19" s="40" customFormat="1" x14ac:dyDescent="0.2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</row>
    <row r="105" spans="2:19" s="40" customFormat="1" x14ac:dyDescent="0.2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</row>
    <row r="106" spans="2:19" s="40" customFormat="1" x14ac:dyDescent="0.2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</row>
    <row r="107" spans="2:19" s="40" customFormat="1" x14ac:dyDescent="0.2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</row>
    <row r="108" spans="2:19" s="40" customFormat="1" x14ac:dyDescent="0.2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</row>
    <row r="109" spans="2:19" s="40" customFormat="1" x14ac:dyDescent="0.2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</row>
    <row r="110" spans="2:19" s="40" customFormat="1" x14ac:dyDescent="0.2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</row>
    <row r="111" spans="2:19" s="40" customFormat="1" x14ac:dyDescent="0.2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</row>
    <row r="112" spans="2:19" s="40" customFormat="1" x14ac:dyDescent="0.2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</row>
    <row r="113" spans="2:19" s="40" customFormat="1" x14ac:dyDescent="0.2"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</row>
    <row r="114" spans="2:19" s="40" customFormat="1" x14ac:dyDescent="0.2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</row>
    <row r="115" spans="2:19" s="40" customFormat="1" x14ac:dyDescent="0.2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</row>
    <row r="116" spans="2:19" s="40" customFormat="1" x14ac:dyDescent="0.2"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</row>
    <row r="117" spans="2:19" s="40" customFormat="1" x14ac:dyDescent="0.2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</row>
    <row r="118" spans="2:19" s="40" customFormat="1" x14ac:dyDescent="0.2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</row>
    <row r="119" spans="2:19" s="40" customFormat="1" x14ac:dyDescent="0.2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</row>
    <row r="120" spans="2:19" s="40" customFormat="1" x14ac:dyDescent="0.2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</row>
    <row r="121" spans="2:19" s="40" customFormat="1" x14ac:dyDescent="0.2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</row>
    <row r="122" spans="2:19" s="40" customFormat="1" x14ac:dyDescent="0.2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</row>
    <row r="123" spans="2:19" s="40" customFormat="1" x14ac:dyDescent="0.2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</row>
    <row r="124" spans="2:19" s="40" customFormat="1" x14ac:dyDescent="0.2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</row>
    <row r="125" spans="2:19" s="40" customFormat="1" x14ac:dyDescent="0.2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</row>
    <row r="126" spans="2:19" s="40" customFormat="1" x14ac:dyDescent="0.2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</row>
    <row r="127" spans="2:19" s="40" customFormat="1" x14ac:dyDescent="0.2"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</row>
    <row r="128" spans="2:19" s="40" customFormat="1" x14ac:dyDescent="0.2"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</row>
    <row r="129" spans="2:19" s="40" customFormat="1" x14ac:dyDescent="0.2"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</row>
    <row r="130" spans="2:19" s="40" customFormat="1" x14ac:dyDescent="0.2"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</row>
    <row r="131" spans="2:19" s="40" customFormat="1" x14ac:dyDescent="0.2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</row>
    <row r="132" spans="2:19" s="40" customFormat="1" x14ac:dyDescent="0.2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</row>
    <row r="133" spans="2:19" s="40" customFormat="1" x14ac:dyDescent="0.2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</row>
    <row r="134" spans="2:19" s="40" customFormat="1" x14ac:dyDescent="0.2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</row>
    <row r="135" spans="2:19" s="40" customFormat="1" x14ac:dyDescent="0.2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</row>
    <row r="136" spans="2:19" s="40" customFormat="1" x14ac:dyDescent="0.2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</row>
    <row r="137" spans="2:19" s="40" customFormat="1" x14ac:dyDescent="0.2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</row>
    <row r="138" spans="2:19" s="40" customFormat="1" x14ac:dyDescent="0.2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</row>
    <row r="139" spans="2:19" s="40" customFormat="1" x14ac:dyDescent="0.2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</row>
    <row r="140" spans="2:19" s="40" customFormat="1" x14ac:dyDescent="0.2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</row>
    <row r="141" spans="2:19" s="40" customFormat="1" x14ac:dyDescent="0.2"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</row>
    <row r="142" spans="2:19" s="40" customFormat="1" x14ac:dyDescent="0.2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</row>
    <row r="143" spans="2:19" s="40" customFormat="1" x14ac:dyDescent="0.2"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</row>
    <row r="144" spans="2:19" s="40" customFormat="1" x14ac:dyDescent="0.2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</row>
    <row r="145" spans="2:19" s="40" customFormat="1" x14ac:dyDescent="0.2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</row>
    <row r="146" spans="2:19" s="40" customFormat="1" x14ac:dyDescent="0.2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</row>
    <row r="147" spans="2:19" s="40" customFormat="1" x14ac:dyDescent="0.2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</row>
    <row r="148" spans="2:19" s="40" customFormat="1" x14ac:dyDescent="0.2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</row>
    <row r="149" spans="2:19" s="40" customFormat="1" x14ac:dyDescent="0.2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</row>
    <row r="150" spans="2:19" s="40" customFormat="1" x14ac:dyDescent="0.2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</row>
    <row r="151" spans="2:19" s="40" customFormat="1" x14ac:dyDescent="0.2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</row>
    <row r="152" spans="2:19" s="40" customFormat="1" x14ac:dyDescent="0.2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</row>
    <row r="153" spans="2:19" s="40" customFormat="1" x14ac:dyDescent="0.2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</row>
    <row r="154" spans="2:19" s="40" customFormat="1" x14ac:dyDescent="0.2"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</row>
    <row r="155" spans="2:19" s="40" customFormat="1" x14ac:dyDescent="0.2"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</row>
    <row r="156" spans="2:19" s="40" customFormat="1" x14ac:dyDescent="0.2"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</row>
    <row r="157" spans="2:19" s="40" customFormat="1" x14ac:dyDescent="0.2"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</row>
    <row r="158" spans="2:19" s="40" customFormat="1" x14ac:dyDescent="0.2"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</row>
    <row r="159" spans="2:19" s="40" customFormat="1" x14ac:dyDescent="0.2"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</row>
    <row r="160" spans="2:19" s="40" customFormat="1" x14ac:dyDescent="0.2"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</row>
    <row r="161" spans="2:19" s="40" customFormat="1" x14ac:dyDescent="0.2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</row>
    <row r="162" spans="2:19" s="40" customFormat="1" x14ac:dyDescent="0.2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</row>
    <row r="163" spans="2:19" s="40" customFormat="1" x14ac:dyDescent="0.2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</row>
    <row r="164" spans="2:19" s="40" customFormat="1" x14ac:dyDescent="0.2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</row>
    <row r="165" spans="2:19" s="40" customFormat="1" x14ac:dyDescent="0.2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</row>
    <row r="166" spans="2:19" s="40" customFormat="1" x14ac:dyDescent="0.2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</row>
    <row r="167" spans="2:19" s="40" customFormat="1" x14ac:dyDescent="0.2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</row>
    <row r="168" spans="2:19" s="40" customFormat="1" x14ac:dyDescent="0.2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</row>
    <row r="169" spans="2:19" s="40" customFormat="1" x14ac:dyDescent="0.2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</row>
    <row r="170" spans="2:19" s="40" customFormat="1" x14ac:dyDescent="0.2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</row>
    <row r="171" spans="2:19" s="40" customFormat="1" x14ac:dyDescent="0.2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</row>
    <row r="172" spans="2:19" s="40" customFormat="1" x14ac:dyDescent="0.2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</row>
    <row r="173" spans="2:19" s="40" customFormat="1" x14ac:dyDescent="0.2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</row>
    <row r="174" spans="2:19" s="40" customFormat="1" x14ac:dyDescent="0.2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</row>
    <row r="175" spans="2:19" s="40" customFormat="1" x14ac:dyDescent="0.2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</row>
    <row r="176" spans="2:19" s="40" customFormat="1" x14ac:dyDescent="0.2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</row>
    <row r="177" spans="2:19" s="40" customFormat="1" x14ac:dyDescent="0.2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</row>
    <row r="178" spans="2:19" s="40" customFormat="1" x14ac:dyDescent="0.2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</row>
    <row r="179" spans="2:19" s="40" customFormat="1" x14ac:dyDescent="0.2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</row>
    <row r="180" spans="2:19" s="40" customFormat="1" x14ac:dyDescent="0.2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</row>
    <row r="181" spans="2:19" s="40" customFormat="1" x14ac:dyDescent="0.2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</row>
    <row r="182" spans="2:19" s="40" customFormat="1" x14ac:dyDescent="0.2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</row>
    <row r="183" spans="2:19" s="40" customFormat="1" x14ac:dyDescent="0.2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</row>
    <row r="184" spans="2:19" s="40" customFormat="1" x14ac:dyDescent="0.2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</row>
    <row r="185" spans="2:19" s="40" customFormat="1" x14ac:dyDescent="0.2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</row>
    <row r="186" spans="2:19" s="40" customFormat="1" x14ac:dyDescent="0.2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</row>
    <row r="187" spans="2:19" s="40" customFormat="1" x14ac:dyDescent="0.2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</row>
    <row r="188" spans="2:19" s="40" customFormat="1" x14ac:dyDescent="0.2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</row>
    <row r="189" spans="2:19" s="40" customFormat="1" x14ac:dyDescent="0.2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</row>
    <row r="190" spans="2:19" s="40" customFormat="1" x14ac:dyDescent="0.2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</row>
    <row r="191" spans="2:19" s="40" customFormat="1" x14ac:dyDescent="0.2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</row>
    <row r="192" spans="2:19" s="40" customFormat="1" x14ac:dyDescent="0.2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</row>
    <row r="193" spans="2:19" s="40" customFormat="1" x14ac:dyDescent="0.2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</row>
    <row r="194" spans="2:19" s="40" customFormat="1" x14ac:dyDescent="0.2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</row>
    <row r="195" spans="2:19" s="40" customFormat="1" x14ac:dyDescent="0.2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</row>
    <row r="196" spans="2:19" s="40" customFormat="1" x14ac:dyDescent="0.2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</row>
    <row r="197" spans="2:19" s="40" customFormat="1" x14ac:dyDescent="0.2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</row>
    <row r="198" spans="2:19" s="40" customFormat="1" x14ac:dyDescent="0.2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</row>
    <row r="199" spans="2:19" s="40" customFormat="1" x14ac:dyDescent="0.2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</row>
    <row r="200" spans="2:19" s="40" customFormat="1" x14ac:dyDescent="0.2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</row>
    <row r="201" spans="2:19" s="40" customFormat="1" x14ac:dyDescent="0.2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</row>
    <row r="202" spans="2:19" s="40" customFormat="1" x14ac:dyDescent="0.2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</row>
    <row r="203" spans="2:19" s="40" customFormat="1" x14ac:dyDescent="0.2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</row>
    <row r="204" spans="2:19" s="40" customFormat="1" x14ac:dyDescent="0.2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</row>
    <row r="205" spans="2:19" s="40" customFormat="1" x14ac:dyDescent="0.2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</row>
    <row r="206" spans="2:19" s="40" customFormat="1" x14ac:dyDescent="0.2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</row>
    <row r="207" spans="2:19" s="40" customFormat="1" x14ac:dyDescent="0.2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</row>
    <row r="208" spans="2:19" s="40" customFormat="1" x14ac:dyDescent="0.2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</row>
    <row r="209" spans="2:19" s="40" customFormat="1" x14ac:dyDescent="0.2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</row>
    <row r="210" spans="2:19" s="40" customFormat="1" x14ac:dyDescent="0.2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</row>
    <row r="211" spans="2:19" s="40" customFormat="1" x14ac:dyDescent="0.2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</row>
    <row r="212" spans="2:19" s="40" customFormat="1" x14ac:dyDescent="0.2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</row>
    <row r="213" spans="2:19" s="40" customFormat="1" x14ac:dyDescent="0.2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</row>
    <row r="214" spans="2:19" s="40" customFormat="1" x14ac:dyDescent="0.2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</row>
    <row r="215" spans="2:19" s="40" customFormat="1" x14ac:dyDescent="0.2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</row>
    <row r="216" spans="2:19" s="40" customFormat="1" x14ac:dyDescent="0.2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</row>
    <row r="217" spans="2:19" s="40" customFormat="1" x14ac:dyDescent="0.2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</row>
    <row r="218" spans="2:19" s="40" customFormat="1" x14ac:dyDescent="0.2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</row>
    <row r="219" spans="2:19" s="40" customFormat="1" x14ac:dyDescent="0.2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</row>
    <row r="220" spans="2:19" s="40" customFormat="1" x14ac:dyDescent="0.2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</row>
    <row r="221" spans="2:19" s="40" customFormat="1" x14ac:dyDescent="0.2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</row>
    <row r="222" spans="2:19" s="40" customFormat="1" x14ac:dyDescent="0.2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</row>
    <row r="223" spans="2:19" s="40" customFormat="1" x14ac:dyDescent="0.2"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</row>
    <row r="224" spans="2:19" s="40" customFormat="1" x14ac:dyDescent="0.2"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</row>
    <row r="225" spans="2:19" s="40" customFormat="1" x14ac:dyDescent="0.2"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</row>
    <row r="226" spans="2:19" s="40" customFormat="1" x14ac:dyDescent="0.2"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</row>
    <row r="227" spans="2:19" s="40" customFormat="1" x14ac:dyDescent="0.2"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</row>
    <row r="228" spans="2:19" s="40" customFormat="1" x14ac:dyDescent="0.2"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</row>
    <row r="229" spans="2:19" s="40" customFormat="1" x14ac:dyDescent="0.2"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</row>
    <row r="230" spans="2:19" s="40" customFormat="1" x14ac:dyDescent="0.2"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</row>
    <row r="231" spans="2:19" s="40" customFormat="1" x14ac:dyDescent="0.2"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</row>
    <row r="232" spans="2:19" s="40" customFormat="1" x14ac:dyDescent="0.2"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</row>
    <row r="233" spans="2:19" s="40" customFormat="1" x14ac:dyDescent="0.2"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</row>
    <row r="234" spans="2:19" s="40" customFormat="1" x14ac:dyDescent="0.2"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</row>
    <row r="235" spans="2:19" s="40" customFormat="1" x14ac:dyDescent="0.2"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</row>
    <row r="236" spans="2:19" s="40" customFormat="1" x14ac:dyDescent="0.2"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</row>
    <row r="237" spans="2:19" s="40" customFormat="1" x14ac:dyDescent="0.2"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</row>
    <row r="238" spans="2:19" s="40" customFormat="1" x14ac:dyDescent="0.2"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</row>
    <row r="239" spans="2:19" s="40" customFormat="1" x14ac:dyDescent="0.2"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</row>
    <row r="240" spans="2:19" s="40" customFormat="1" x14ac:dyDescent="0.2"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</row>
    <row r="241" spans="2:19" s="40" customFormat="1" x14ac:dyDescent="0.2"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</row>
    <row r="242" spans="2:19" s="40" customFormat="1" x14ac:dyDescent="0.2"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</row>
    <row r="243" spans="2:19" s="40" customFormat="1" x14ac:dyDescent="0.2"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</row>
    <row r="244" spans="2:19" s="40" customFormat="1" x14ac:dyDescent="0.2"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</row>
    <row r="245" spans="2:19" s="40" customFormat="1" x14ac:dyDescent="0.2"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</row>
    <row r="246" spans="2:19" s="40" customFormat="1" x14ac:dyDescent="0.2"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</row>
    <row r="247" spans="2:19" s="40" customFormat="1" x14ac:dyDescent="0.2"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</row>
    <row r="248" spans="2:19" s="40" customFormat="1" x14ac:dyDescent="0.2"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</row>
    <row r="249" spans="2:19" s="40" customFormat="1" x14ac:dyDescent="0.2"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</row>
    <row r="250" spans="2:19" s="40" customFormat="1" x14ac:dyDescent="0.2"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</row>
    <row r="251" spans="2:19" s="40" customFormat="1" x14ac:dyDescent="0.2"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</row>
    <row r="252" spans="2:19" s="40" customFormat="1" x14ac:dyDescent="0.2"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</row>
    <row r="253" spans="2:19" s="40" customFormat="1" x14ac:dyDescent="0.2"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</row>
    <row r="254" spans="2:19" s="40" customFormat="1" x14ac:dyDescent="0.2"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</row>
    <row r="255" spans="2:19" s="40" customFormat="1" x14ac:dyDescent="0.2"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</row>
    <row r="256" spans="2:19" s="40" customFormat="1" x14ac:dyDescent="0.2"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</row>
    <row r="257" spans="2:19" s="40" customFormat="1" x14ac:dyDescent="0.2"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</row>
    <row r="258" spans="2:19" s="40" customFormat="1" x14ac:dyDescent="0.2"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</row>
    <row r="259" spans="2:19" s="40" customFormat="1" x14ac:dyDescent="0.2"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</row>
    <row r="260" spans="2:19" s="40" customFormat="1" x14ac:dyDescent="0.2"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</row>
    <row r="261" spans="2:19" s="40" customFormat="1" x14ac:dyDescent="0.2"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</row>
    <row r="262" spans="2:19" s="40" customFormat="1" x14ac:dyDescent="0.2"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</row>
    <row r="263" spans="2:19" s="40" customFormat="1" x14ac:dyDescent="0.2"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</row>
    <row r="264" spans="2:19" s="40" customFormat="1" x14ac:dyDescent="0.2"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</row>
    <row r="265" spans="2:19" s="40" customFormat="1" x14ac:dyDescent="0.2"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</row>
    <row r="266" spans="2:19" s="40" customFormat="1" x14ac:dyDescent="0.2"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</row>
    <row r="267" spans="2:19" s="40" customFormat="1" x14ac:dyDescent="0.2"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</row>
    <row r="268" spans="2:19" s="40" customFormat="1" x14ac:dyDescent="0.2"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</row>
    <row r="269" spans="2:19" s="40" customFormat="1" x14ac:dyDescent="0.2"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</row>
    <row r="270" spans="2:19" s="40" customFormat="1" x14ac:dyDescent="0.2"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</row>
    <row r="271" spans="2:19" s="40" customFormat="1" x14ac:dyDescent="0.2"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</row>
    <row r="272" spans="2:19" s="40" customFormat="1" x14ac:dyDescent="0.2"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</row>
    <row r="273" spans="2:19" s="40" customFormat="1" x14ac:dyDescent="0.2"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</row>
    <row r="274" spans="2:19" s="40" customFormat="1" x14ac:dyDescent="0.2"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</row>
    <row r="275" spans="2:19" s="40" customFormat="1" x14ac:dyDescent="0.2"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</row>
    <row r="276" spans="2:19" s="40" customFormat="1" x14ac:dyDescent="0.2"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</row>
    <row r="277" spans="2:19" s="40" customFormat="1" x14ac:dyDescent="0.2"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</row>
    <row r="278" spans="2:19" s="40" customFormat="1" x14ac:dyDescent="0.2"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</row>
    <row r="279" spans="2:19" s="40" customFormat="1" x14ac:dyDescent="0.2"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</row>
    <row r="280" spans="2:19" s="40" customFormat="1" x14ac:dyDescent="0.2"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</row>
    <row r="281" spans="2:19" s="40" customFormat="1" x14ac:dyDescent="0.2"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</row>
    <row r="282" spans="2:19" s="40" customFormat="1" x14ac:dyDescent="0.2"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</row>
    <row r="283" spans="2:19" s="40" customFormat="1" x14ac:dyDescent="0.2"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</row>
    <row r="284" spans="2:19" s="40" customFormat="1" x14ac:dyDescent="0.2"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</row>
    <row r="285" spans="2:19" s="40" customFormat="1" x14ac:dyDescent="0.2"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</row>
    <row r="286" spans="2:19" s="40" customFormat="1" x14ac:dyDescent="0.2"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</row>
    <row r="287" spans="2:19" s="40" customFormat="1" x14ac:dyDescent="0.2"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</row>
    <row r="288" spans="2:19" s="40" customFormat="1" x14ac:dyDescent="0.2"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</row>
    <row r="289" spans="2:19" s="40" customFormat="1" x14ac:dyDescent="0.2"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</row>
    <row r="290" spans="2:19" s="40" customFormat="1" x14ac:dyDescent="0.2"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</row>
    <row r="291" spans="2:19" s="40" customFormat="1" x14ac:dyDescent="0.2"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</row>
    <row r="292" spans="2:19" s="40" customFormat="1" x14ac:dyDescent="0.2"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</row>
    <row r="293" spans="2:19" s="40" customFormat="1" x14ac:dyDescent="0.2"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</row>
    <row r="294" spans="2:19" s="40" customFormat="1" x14ac:dyDescent="0.2"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</row>
    <row r="295" spans="2:19" s="40" customFormat="1" x14ac:dyDescent="0.2"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</row>
    <row r="296" spans="2:19" s="40" customFormat="1" x14ac:dyDescent="0.2"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</row>
    <row r="297" spans="2:19" s="40" customFormat="1" x14ac:dyDescent="0.2"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</row>
    <row r="298" spans="2:19" s="40" customFormat="1" x14ac:dyDescent="0.2"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</row>
    <row r="299" spans="2:19" s="40" customFormat="1" x14ac:dyDescent="0.2"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</row>
    <row r="300" spans="2:19" s="40" customFormat="1" x14ac:dyDescent="0.2"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</row>
    <row r="301" spans="2:19" s="40" customFormat="1" x14ac:dyDescent="0.2"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</row>
    <row r="302" spans="2:19" s="40" customFormat="1" x14ac:dyDescent="0.2"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</row>
    <row r="303" spans="2:19" s="40" customFormat="1" x14ac:dyDescent="0.2"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</row>
    <row r="304" spans="2:19" s="40" customFormat="1" x14ac:dyDescent="0.2"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</row>
    <row r="305" spans="2:19" s="40" customFormat="1" x14ac:dyDescent="0.2"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</row>
    <row r="306" spans="2:19" s="40" customFormat="1" x14ac:dyDescent="0.2"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</row>
    <row r="307" spans="2:19" s="40" customFormat="1" x14ac:dyDescent="0.2"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</row>
    <row r="308" spans="2:19" s="40" customFormat="1" x14ac:dyDescent="0.2"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</row>
    <row r="309" spans="2:19" s="40" customFormat="1" x14ac:dyDescent="0.2"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</row>
    <row r="310" spans="2:19" s="40" customFormat="1" x14ac:dyDescent="0.2"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</row>
    <row r="311" spans="2:19" s="40" customFormat="1" x14ac:dyDescent="0.2"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</row>
    <row r="312" spans="2:19" s="40" customFormat="1" x14ac:dyDescent="0.2"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</row>
    <row r="313" spans="2:19" s="40" customFormat="1" x14ac:dyDescent="0.2"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</row>
    <row r="314" spans="2:19" s="40" customFormat="1" x14ac:dyDescent="0.2"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</row>
    <row r="315" spans="2:19" s="40" customFormat="1" x14ac:dyDescent="0.2"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</row>
    <row r="316" spans="2:19" s="40" customFormat="1" x14ac:dyDescent="0.2"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</row>
    <row r="317" spans="2:19" s="40" customFormat="1" x14ac:dyDescent="0.2"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</row>
    <row r="318" spans="2:19" s="40" customFormat="1" x14ac:dyDescent="0.2"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</row>
    <row r="319" spans="2:19" s="40" customFormat="1" x14ac:dyDescent="0.2"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</row>
    <row r="320" spans="2:19" s="40" customFormat="1" x14ac:dyDescent="0.2"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</row>
    <row r="321" spans="2:19" s="40" customFormat="1" x14ac:dyDescent="0.2"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</row>
    <row r="322" spans="2:19" s="40" customFormat="1" x14ac:dyDescent="0.2"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</row>
    <row r="323" spans="2:19" s="40" customFormat="1" x14ac:dyDescent="0.2"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</row>
    <row r="324" spans="2:19" s="40" customFormat="1" x14ac:dyDescent="0.2"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</row>
    <row r="325" spans="2:19" s="40" customFormat="1" x14ac:dyDescent="0.2"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</row>
    <row r="326" spans="2:19" s="40" customFormat="1" x14ac:dyDescent="0.2"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</row>
    <row r="327" spans="2:19" s="40" customFormat="1" x14ac:dyDescent="0.2"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</row>
    <row r="328" spans="2:19" s="40" customFormat="1" x14ac:dyDescent="0.2"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</row>
    <row r="329" spans="2:19" s="40" customFormat="1" x14ac:dyDescent="0.2"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</row>
    <row r="330" spans="2:19" s="40" customFormat="1" x14ac:dyDescent="0.2"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</row>
    <row r="331" spans="2:19" s="40" customFormat="1" x14ac:dyDescent="0.2"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</row>
    <row r="332" spans="2:19" s="40" customFormat="1" x14ac:dyDescent="0.2"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</row>
    <row r="333" spans="2:19" s="40" customFormat="1" x14ac:dyDescent="0.2"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</row>
    <row r="334" spans="2:19" s="40" customFormat="1" x14ac:dyDescent="0.2"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</row>
    <row r="335" spans="2:19" s="40" customFormat="1" x14ac:dyDescent="0.2"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</row>
    <row r="336" spans="2:19" s="40" customFormat="1" x14ac:dyDescent="0.2"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</row>
    <row r="337" spans="2:19" s="40" customFormat="1" x14ac:dyDescent="0.2"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</row>
    <row r="338" spans="2:19" s="40" customFormat="1" x14ac:dyDescent="0.2"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</row>
    <row r="339" spans="2:19" s="40" customFormat="1" x14ac:dyDescent="0.2"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</row>
    <row r="340" spans="2:19" s="40" customFormat="1" x14ac:dyDescent="0.2"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</row>
    <row r="341" spans="2:19" s="40" customFormat="1" x14ac:dyDescent="0.2"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</row>
    <row r="342" spans="2:19" s="40" customFormat="1" x14ac:dyDescent="0.2"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</row>
    <row r="343" spans="2:19" s="40" customFormat="1" x14ac:dyDescent="0.2"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</row>
    <row r="344" spans="2:19" s="40" customFormat="1" x14ac:dyDescent="0.2"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</row>
    <row r="345" spans="2:19" s="40" customFormat="1" x14ac:dyDescent="0.2"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</row>
    <row r="346" spans="2:19" s="40" customFormat="1" x14ac:dyDescent="0.2"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</row>
    <row r="347" spans="2:19" s="40" customFormat="1" x14ac:dyDescent="0.2"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</row>
    <row r="348" spans="2:19" s="40" customFormat="1" x14ac:dyDescent="0.2"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</row>
    <row r="349" spans="2:19" s="40" customFormat="1" x14ac:dyDescent="0.2"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</row>
    <row r="350" spans="2:19" s="40" customFormat="1" x14ac:dyDescent="0.2"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</row>
    <row r="351" spans="2:19" s="40" customFormat="1" x14ac:dyDescent="0.2"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</row>
    <row r="352" spans="2:19" s="40" customFormat="1" x14ac:dyDescent="0.2"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</row>
    <row r="353" spans="2:19" s="40" customFormat="1" x14ac:dyDescent="0.2"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</row>
    <row r="354" spans="2:19" s="40" customFormat="1" x14ac:dyDescent="0.2"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</row>
    <row r="355" spans="2:19" s="40" customFormat="1" x14ac:dyDescent="0.2"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</row>
    <row r="356" spans="2:19" s="40" customFormat="1" x14ac:dyDescent="0.2"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</row>
    <row r="357" spans="2:19" s="40" customFormat="1" x14ac:dyDescent="0.2"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</row>
    <row r="358" spans="2:19" s="40" customFormat="1" x14ac:dyDescent="0.2"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</row>
    <row r="359" spans="2:19" s="40" customFormat="1" x14ac:dyDescent="0.2"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</row>
    <row r="360" spans="2:19" s="40" customFormat="1" x14ac:dyDescent="0.2"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</row>
    <row r="361" spans="2:19" s="40" customFormat="1" x14ac:dyDescent="0.2"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</row>
    <row r="362" spans="2:19" s="40" customFormat="1" x14ac:dyDescent="0.2"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</row>
    <row r="363" spans="2:19" s="40" customFormat="1" x14ac:dyDescent="0.2"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</row>
    <row r="364" spans="2:19" s="40" customFormat="1" x14ac:dyDescent="0.2"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</row>
    <row r="365" spans="2:19" s="40" customFormat="1" x14ac:dyDescent="0.2"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</row>
    <row r="366" spans="2:19" s="40" customFormat="1" x14ac:dyDescent="0.2"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</row>
    <row r="367" spans="2:19" s="40" customFormat="1" x14ac:dyDescent="0.2"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</row>
    <row r="368" spans="2:19" s="40" customFormat="1" x14ac:dyDescent="0.2"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</row>
    <row r="369" spans="2:19" s="40" customFormat="1" x14ac:dyDescent="0.2"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</row>
    <row r="370" spans="2:19" s="40" customFormat="1" x14ac:dyDescent="0.2"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</row>
    <row r="371" spans="2:19" s="40" customFormat="1" x14ac:dyDescent="0.2"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</row>
    <row r="372" spans="2:19" s="40" customFormat="1" x14ac:dyDescent="0.2"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</row>
    <row r="373" spans="2:19" s="40" customFormat="1" x14ac:dyDescent="0.2"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</row>
    <row r="374" spans="2:19" s="40" customFormat="1" x14ac:dyDescent="0.2"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</row>
    <row r="375" spans="2:19" s="40" customFormat="1" x14ac:dyDescent="0.2"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</row>
    <row r="376" spans="2:19" s="40" customFormat="1" x14ac:dyDescent="0.2"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</row>
    <row r="377" spans="2:19" s="40" customFormat="1" x14ac:dyDescent="0.2"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</row>
    <row r="378" spans="2:19" s="40" customFormat="1" x14ac:dyDescent="0.2"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</row>
    <row r="379" spans="2:19" s="40" customFormat="1" x14ac:dyDescent="0.2"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</row>
    <row r="380" spans="2:19" s="40" customFormat="1" x14ac:dyDescent="0.2"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</row>
    <row r="381" spans="2:19" s="40" customFormat="1" x14ac:dyDescent="0.2"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</row>
    <row r="382" spans="2:19" s="40" customFormat="1" x14ac:dyDescent="0.2"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</row>
    <row r="383" spans="2:19" s="40" customFormat="1" x14ac:dyDescent="0.2"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</row>
    <row r="384" spans="2:19" s="40" customFormat="1" x14ac:dyDescent="0.2"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</row>
    <row r="385" spans="2:19" s="40" customFormat="1" x14ac:dyDescent="0.2"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</row>
    <row r="386" spans="2:19" s="40" customFormat="1" x14ac:dyDescent="0.2"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</row>
    <row r="387" spans="2:19" s="40" customFormat="1" x14ac:dyDescent="0.2"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</row>
    <row r="388" spans="2:19" s="40" customFormat="1" x14ac:dyDescent="0.2"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</row>
    <row r="389" spans="2:19" s="40" customFormat="1" x14ac:dyDescent="0.2"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</row>
    <row r="390" spans="2:19" s="40" customFormat="1" x14ac:dyDescent="0.2"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</row>
    <row r="391" spans="2:19" s="40" customFormat="1" x14ac:dyDescent="0.2"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</row>
    <row r="392" spans="2:19" s="40" customFormat="1" x14ac:dyDescent="0.2"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</row>
    <row r="393" spans="2:19" s="40" customFormat="1" x14ac:dyDescent="0.2"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</row>
    <row r="394" spans="2:19" s="40" customFormat="1" x14ac:dyDescent="0.2"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</row>
    <row r="395" spans="2:19" s="40" customFormat="1" x14ac:dyDescent="0.2"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</row>
    <row r="396" spans="2:19" s="40" customFormat="1" x14ac:dyDescent="0.2"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</row>
    <row r="397" spans="2:19" s="40" customFormat="1" x14ac:dyDescent="0.2"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</row>
    <row r="398" spans="2:19" s="40" customFormat="1" x14ac:dyDescent="0.2"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</row>
    <row r="399" spans="2:19" s="40" customFormat="1" x14ac:dyDescent="0.2"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</row>
    <row r="400" spans="2:19" s="40" customFormat="1" x14ac:dyDescent="0.2"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</row>
    <row r="401" spans="2:19" s="40" customFormat="1" x14ac:dyDescent="0.2"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</row>
    <row r="402" spans="2:19" s="40" customFormat="1" x14ac:dyDescent="0.2"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</row>
    <row r="403" spans="2:19" s="40" customFormat="1" x14ac:dyDescent="0.2"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</row>
    <row r="404" spans="2:19" s="40" customFormat="1" x14ac:dyDescent="0.2"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</row>
    <row r="405" spans="2:19" s="40" customFormat="1" x14ac:dyDescent="0.2"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</row>
    <row r="406" spans="2:19" s="40" customFormat="1" x14ac:dyDescent="0.2"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</row>
    <row r="407" spans="2:19" s="40" customFormat="1" x14ac:dyDescent="0.2"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</row>
    <row r="408" spans="2:19" s="40" customFormat="1" x14ac:dyDescent="0.2"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</row>
    <row r="409" spans="2:19" s="40" customFormat="1" x14ac:dyDescent="0.2"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</row>
    <row r="410" spans="2:19" s="40" customFormat="1" x14ac:dyDescent="0.2"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</row>
    <row r="411" spans="2:19" s="40" customFormat="1" x14ac:dyDescent="0.2"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</row>
    <row r="412" spans="2:19" s="40" customFormat="1" x14ac:dyDescent="0.2"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</row>
    <row r="413" spans="2:19" s="40" customFormat="1" x14ac:dyDescent="0.2"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</row>
    <row r="414" spans="2:19" s="40" customFormat="1" x14ac:dyDescent="0.2"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</row>
    <row r="415" spans="2:19" s="40" customFormat="1" x14ac:dyDescent="0.2"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</row>
    <row r="416" spans="2:19" s="40" customFormat="1" x14ac:dyDescent="0.2"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</row>
    <row r="417" spans="2:19" s="40" customFormat="1" x14ac:dyDescent="0.2"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</row>
    <row r="418" spans="2:19" s="40" customFormat="1" x14ac:dyDescent="0.2"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</row>
    <row r="419" spans="2:19" s="40" customFormat="1" x14ac:dyDescent="0.2"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</row>
    <row r="420" spans="2:19" s="40" customFormat="1" x14ac:dyDescent="0.2"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</row>
    <row r="421" spans="2:19" s="40" customFormat="1" x14ac:dyDescent="0.2"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</row>
    <row r="422" spans="2:19" s="40" customFormat="1" x14ac:dyDescent="0.2"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</row>
    <row r="423" spans="2:19" s="40" customFormat="1" x14ac:dyDescent="0.2"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</row>
    <row r="424" spans="2:19" s="40" customFormat="1" x14ac:dyDescent="0.2"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</row>
    <row r="425" spans="2:19" s="40" customFormat="1" x14ac:dyDescent="0.2"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</row>
    <row r="426" spans="2:19" s="40" customFormat="1" x14ac:dyDescent="0.2"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</row>
    <row r="427" spans="2:19" s="40" customFormat="1" x14ac:dyDescent="0.2"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</row>
    <row r="428" spans="2:19" s="40" customFormat="1" x14ac:dyDescent="0.2"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</row>
    <row r="429" spans="2:19" s="40" customFormat="1" x14ac:dyDescent="0.2"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</row>
    <row r="430" spans="2:19" s="40" customFormat="1" x14ac:dyDescent="0.2"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</row>
    <row r="431" spans="2:19" s="40" customFormat="1" x14ac:dyDescent="0.2"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</row>
    <row r="432" spans="2:19" s="40" customFormat="1" x14ac:dyDescent="0.2"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</row>
    <row r="433" spans="2:19" s="40" customFormat="1" x14ac:dyDescent="0.2"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</row>
    <row r="434" spans="2:19" s="40" customFormat="1" x14ac:dyDescent="0.2"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</row>
    <row r="435" spans="2:19" s="40" customFormat="1" x14ac:dyDescent="0.2"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</row>
    <row r="436" spans="2:19" s="40" customFormat="1" x14ac:dyDescent="0.2"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</row>
    <row r="437" spans="2:19" s="40" customFormat="1" x14ac:dyDescent="0.2"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</row>
    <row r="438" spans="2:19" s="40" customFormat="1" x14ac:dyDescent="0.2"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</row>
    <row r="439" spans="2:19" s="40" customFormat="1" x14ac:dyDescent="0.2"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</row>
    <row r="440" spans="2:19" s="40" customFormat="1" x14ac:dyDescent="0.2"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</row>
    <row r="441" spans="2:19" s="40" customFormat="1" x14ac:dyDescent="0.2"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</row>
    <row r="442" spans="2:19" s="40" customFormat="1" x14ac:dyDescent="0.2"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</row>
    <row r="443" spans="2:19" s="40" customFormat="1" x14ac:dyDescent="0.2"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</row>
    <row r="444" spans="2:19" s="40" customFormat="1" x14ac:dyDescent="0.2"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</row>
    <row r="445" spans="2:19" s="40" customFormat="1" x14ac:dyDescent="0.2"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</row>
    <row r="446" spans="2:19" s="40" customFormat="1" x14ac:dyDescent="0.2"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</row>
    <row r="447" spans="2:19" s="40" customFormat="1" x14ac:dyDescent="0.2"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</row>
    <row r="448" spans="2:19" s="40" customFormat="1" x14ac:dyDescent="0.2"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</row>
    <row r="449" spans="2:19" s="40" customFormat="1" x14ac:dyDescent="0.2"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</row>
    <row r="450" spans="2:19" s="40" customFormat="1" x14ac:dyDescent="0.2"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</row>
    <row r="451" spans="2:19" s="40" customFormat="1" x14ac:dyDescent="0.2"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</row>
    <row r="452" spans="2:19" s="40" customFormat="1" x14ac:dyDescent="0.2"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</row>
    <row r="453" spans="2:19" s="40" customFormat="1" x14ac:dyDescent="0.2"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</row>
    <row r="454" spans="2:19" s="40" customFormat="1" x14ac:dyDescent="0.2"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</row>
    <row r="455" spans="2:19" s="40" customFormat="1" x14ac:dyDescent="0.2"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</row>
    <row r="456" spans="2:19" s="40" customFormat="1" x14ac:dyDescent="0.2"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</row>
    <row r="457" spans="2:19" s="40" customFormat="1" x14ac:dyDescent="0.2"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</row>
    <row r="458" spans="2:19" s="40" customFormat="1" x14ac:dyDescent="0.2"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</row>
    <row r="459" spans="2:19" s="40" customFormat="1" x14ac:dyDescent="0.2"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</row>
    <row r="460" spans="2:19" s="40" customFormat="1" x14ac:dyDescent="0.2"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</row>
    <row r="461" spans="2:19" s="40" customFormat="1" x14ac:dyDescent="0.2"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</row>
    <row r="462" spans="2:19" s="40" customFormat="1" x14ac:dyDescent="0.2"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</row>
    <row r="463" spans="2:19" s="40" customFormat="1" x14ac:dyDescent="0.2"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</row>
    <row r="464" spans="2:19" s="40" customFormat="1" x14ac:dyDescent="0.2"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</row>
    <row r="465" spans="2:19" s="40" customFormat="1" x14ac:dyDescent="0.2"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</row>
    <row r="466" spans="2:19" s="40" customFormat="1" x14ac:dyDescent="0.2"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</row>
    <row r="467" spans="2:19" s="40" customFormat="1" x14ac:dyDescent="0.2"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</row>
    <row r="468" spans="2:19" s="40" customFormat="1" x14ac:dyDescent="0.2"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</row>
    <row r="469" spans="2:19" s="40" customFormat="1" x14ac:dyDescent="0.2"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</row>
    <row r="470" spans="2:19" s="40" customFormat="1" x14ac:dyDescent="0.2"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</row>
    <row r="471" spans="2:19" s="40" customFormat="1" x14ac:dyDescent="0.2"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</row>
    <row r="472" spans="2:19" s="40" customFormat="1" x14ac:dyDescent="0.2"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</row>
    <row r="473" spans="2:19" s="40" customFormat="1" x14ac:dyDescent="0.2"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</row>
    <row r="474" spans="2:19" s="40" customFormat="1" x14ac:dyDescent="0.2"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</row>
    <row r="475" spans="2:19" s="40" customFormat="1" x14ac:dyDescent="0.2"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</row>
    <row r="476" spans="2:19" s="40" customFormat="1" x14ac:dyDescent="0.2"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</row>
    <row r="477" spans="2:19" s="40" customFormat="1" x14ac:dyDescent="0.2"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</row>
    <row r="478" spans="2:19" s="40" customFormat="1" x14ac:dyDescent="0.2"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</row>
    <row r="479" spans="2:19" s="40" customFormat="1" x14ac:dyDescent="0.2"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</row>
    <row r="480" spans="2:19" s="40" customFormat="1" x14ac:dyDescent="0.2"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</row>
    <row r="481" spans="2:19" s="40" customFormat="1" x14ac:dyDescent="0.2"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</row>
    <row r="482" spans="2:19" s="40" customFormat="1" x14ac:dyDescent="0.2"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</row>
    <row r="483" spans="2:19" s="40" customFormat="1" x14ac:dyDescent="0.2"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</row>
    <row r="484" spans="2:19" s="40" customFormat="1" x14ac:dyDescent="0.2"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</row>
    <row r="485" spans="2:19" s="40" customFormat="1" x14ac:dyDescent="0.2"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</row>
    <row r="486" spans="2:19" s="40" customFormat="1" x14ac:dyDescent="0.2"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</row>
    <row r="487" spans="2:19" s="40" customFormat="1" x14ac:dyDescent="0.2"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</row>
    <row r="488" spans="2:19" s="40" customFormat="1" x14ac:dyDescent="0.2"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</row>
    <row r="489" spans="2:19" s="40" customFormat="1" x14ac:dyDescent="0.2"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</row>
    <row r="490" spans="2:19" s="40" customFormat="1" x14ac:dyDescent="0.2"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</row>
    <row r="491" spans="2:19" s="40" customFormat="1" x14ac:dyDescent="0.2"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</row>
    <row r="492" spans="2:19" s="40" customFormat="1" x14ac:dyDescent="0.2"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</row>
    <row r="493" spans="2:19" s="40" customFormat="1" x14ac:dyDescent="0.2"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</row>
    <row r="494" spans="2:19" s="40" customFormat="1" x14ac:dyDescent="0.2"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</row>
    <row r="495" spans="2:19" s="40" customFormat="1" x14ac:dyDescent="0.2"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</row>
    <row r="496" spans="2:19" s="40" customFormat="1" x14ac:dyDescent="0.2"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</row>
    <row r="497" spans="2:19" s="40" customFormat="1" x14ac:dyDescent="0.2"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</row>
    <row r="498" spans="2:19" s="40" customFormat="1" x14ac:dyDescent="0.2"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</row>
    <row r="499" spans="2:19" s="40" customFormat="1" x14ac:dyDescent="0.2"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</row>
    <row r="500" spans="2:19" s="40" customFormat="1" x14ac:dyDescent="0.2"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</row>
    <row r="501" spans="2:19" s="40" customFormat="1" x14ac:dyDescent="0.2"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</row>
    <row r="502" spans="2:19" s="40" customFormat="1" x14ac:dyDescent="0.2"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</row>
    <row r="503" spans="2:19" s="40" customFormat="1" x14ac:dyDescent="0.2"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</row>
    <row r="504" spans="2:19" s="40" customFormat="1" x14ac:dyDescent="0.2"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</row>
    <row r="505" spans="2:19" s="40" customFormat="1" x14ac:dyDescent="0.2"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</row>
    <row r="506" spans="2:19" s="40" customFormat="1" x14ac:dyDescent="0.2"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</row>
    <row r="507" spans="2:19" s="40" customFormat="1" x14ac:dyDescent="0.2"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</row>
    <row r="508" spans="2:19" s="40" customFormat="1" x14ac:dyDescent="0.2"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</row>
    <row r="509" spans="2:19" s="40" customFormat="1" x14ac:dyDescent="0.2"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</row>
    <row r="510" spans="2:19" s="40" customFormat="1" x14ac:dyDescent="0.2"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</row>
    <row r="511" spans="2:19" s="40" customFormat="1" x14ac:dyDescent="0.2"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</row>
    <row r="512" spans="2:19" s="40" customFormat="1" x14ac:dyDescent="0.2"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</row>
    <row r="513" spans="2:19" s="40" customFormat="1" x14ac:dyDescent="0.2"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</row>
    <row r="514" spans="2:19" s="40" customFormat="1" x14ac:dyDescent="0.2"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</row>
    <row r="515" spans="2:19" s="40" customFormat="1" x14ac:dyDescent="0.2"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</row>
    <row r="516" spans="2:19" s="40" customFormat="1" x14ac:dyDescent="0.2"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</row>
    <row r="517" spans="2:19" s="40" customFormat="1" x14ac:dyDescent="0.2"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</row>
    <row r="518" spans="2:19" s="40" customFormat="1" x14ac:dyDescent="0.2"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</row>
    <row r="519" spans="2:19" s="40" customFormat="1" x14ac:dyDescent="0.2"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</row>
    <row r="520" spans="2:19" s="40" customFormat="1" x14ac:dyDescent="0.2"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</row>
    <row r="521" spans="2:19" s="40" customFormat="1" x14ac:dyDescent="0.2"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</row>
    <row r="522" spans="2:19" s="40" customFormat="1" x14ac:dyDescent="0.2"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</row>
    <row r="523" spans="2:19" s="40" customFormat="1" x14ac:dyDescent="0.2"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</row>
    <row r="524" spans="2:19" s="40" customFormat="1" x14ac:dyDescent="0.2"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</row>
    <row r="525" spans="2:19" s="40" customFormat="1" x14ac:dyDescent="0.2"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</row>
    <row r="526" spans="2:19" s="40" customFormat="1" x14ac:dyDescent="0.2"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</row>
    <row r="527" spans="2:19" s="40" customFormat="1" x14ac:dyDescent="0.2"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</row>
    <row r="528" spans="2:19" s="40" customFormat="1" x14ac:dyDescent="0.2"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</row>
    <row r="529" spans="2:19" s="40" customFormat="1" x14ac:dyDescent="0.2"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</row>
    <row r="530" spans="2:19" s="40" customFormat="1" x14ac:dyDescent="0.2"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</row>
    <row r="531" spans="2:19" s="40" customFormat="1" x14ac:dyDescent="0.2"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</row>
    <row r="532" spans="2:19" s="40" customFormat="1" x14ac:dyDescent="0.2"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</row>
    <row r="533" spans="2:19" s="40" customFormat="1" x14ac:dyDescent="0.2"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</row>
    <row r="534" spans="2:19" s="40" customFormat="1" x14ac:dyDescent="0.2"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</row>
    <row r="535" spans="2:19" s="40" customFormat="1" x14ac:dyDescent="0.2"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</row>
    <row r="536" spans="2:19" s="40" customFormat="1" x14ac:dyDescent="0.2"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</row>
    <row r="537" spans="2:19" s="40" customFormat="1" x14ac:dyDescent="0.2"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</row>
    <row r="538" spans="2:19" s="40" customFormat="1" x14ac:dyDescent="0.2"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</row>
    <row r="539" spans="2:19" s="40" customFormat="1" x14ac:dyDescent="0.2"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</row>
    <row r="540" spans="2:19" s="40" customFormat="1" x14ac:dyDescent="0.2"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</row>
    <row r="541" spans="2:19" s="40" customFormat="1" x14ac:dyDescent="0.2"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</row>
    <row r="542" spans="2:19" s="40" customFormat="1" x14ac:dyDescent="0.2"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</row>
    <row r="543" spans="2:19" s="40" customFormat="1" x14ac:dyDescent="0.2"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</row>
    <row r="544" spans="2:19" s="40" customFormat="1" x14ac:dyDescent="0.2"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</row>
    <row r="545" spans="2:19" s="40" customFormat="1" x14ac:dyDescent="0.2"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</row>
    <row r="546" spans="2:19" s="40" customFormat="1" x14ac:dyDescent="0.2"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</row>
    <row r="547" spans="2:19" s="40" customFormat="1" x14ac:dyDescent="0.2"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</row>
    <row r="548" spans="2:19" s="40" customFormat="1" x14ac:dyDescent="0.2"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</row>
    <row r="549" spans="2:19" s="40" customFormat="1" x14ac:dyDescent="0.2"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</row>
    <row r="550" spans="2:19" s="40" customFormat="1" x14ac:dyDescent="0.2"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</row>
    <row r="551" spans="2:19" s="40" customFormat="1" x14ac:dyDescent="0.2"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</row>
    <row r="552" spans="2:19" s="40" customFormat="1" x14ac:dyDescent="0.2"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</row>
    <row r="553" spans="2:19" s="40" customFormat="1" x14ac:dyDescent="0.2"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</row>
    <row r="554" spans="2:19" s="40" customFormat="1" x14ac:dyDescent="0.2"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</row>
    <row r="555" spans="2:19" s="40" customFormat="1" x14ac:dyDescent="0.2"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</row>
    <row r="556" spans="2:19" s="40" customFormat="1" x14ac:dyDescent="0.2"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</row>
    <row r="557" spans="2:19" s="40" customFormat="1" x14ac:dyDescent="0.2"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</row>
    <row r="558" spans="2:19" s="40" customFormat="1" x14ac:dyDescent="0.2"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</row>
    <row r="559" spans="2:19" s="40" customFormat="1" x14ac:dyDescent="0.2"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</row>
    <row r="560" spans="2:19" s="40" customFormat="1" x14ac:dyDescent="0.2"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</row>
    <row r="561" spans="2:19" s="40" customFormat="1" x14ac:dyDescent="0.2"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</row>
    <row r="562" spans="2:19" s="40" customFormat="1" x14ac:dyDescent="0.2"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</row>
    <row r="563" spans="2:19" s="40" customFormat="1" x14ac:dyDescent="0.2"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</row>
    <row r="564" spans="2:19" s="40" customFormat="1" x14ac:dyDescent="0.2"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</row>
    <row r="565" spans="2:19" s="40" customFormat="1" x14ac:dyDescent="0.2"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</row>
    <row r="566" spans="2:19" s="40" customFormat="1" x14ac:dyDescent="0.2"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</row>
    <row r="567" spans="2:19" s="40" customFormat="1" x14ac:dyDescent="0.2"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</row>
    <row r="568" spans="2:19" s="40" customFormat="1" x14ac:dyDescent="0.2"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</row>
    <row r="569" spans="2:19" s="40" customFormat="1" x14ac:dyDescent="0.2"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</row>
    <row r="570" spans="2:19" s="40" customFormat="1" x14ac:dyDescent="0.2"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</row>
    <row r="571" spans="2:19" s="40" customFormat="1" x14ac:dyDescent="0.2"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</row>
    <row r="572" spans="2:19" s="40" customFormat="1" x14ac:dyDescent="0.2"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</row>
    <row r="573" spans="2:19" s="40" customFormat="1" x14ac:dyDescent="0.2"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</row>
    <row r="574" spans="2:19" s="40" customFormat="1" x14ac:dyDescent="0.2"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</row>
    <row r="575" spans="2:19" s="40" customFormat="1" x14ac:dyDescent="0.2"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</row>
    <row r="576" spans="2:19" s="40" customFormat="1" x14ac:dyDescent="0.2"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</row>
    <row r="577" spans="2:19" s="40" customFormat="1" x14ac:dyDescent="0.2"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</row>
    <row r="578" spans="2:19" s="40" customFormat="1" x14ac:dyDescent="0.2"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</row>
    <row r="579" spans="2:19" s="40" customFormat="1" x14ac:dyDescent="0.2"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</row>
    <row r="580" spans="2:19" s="40" customFormat="1" x14ac:dyDescent="0.2"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</row>
    <row r="581" spans="2:19" s="40" customFormat="1" x14ac:dyDescent="0.2"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</row>
    <row r="582" spans="2:19" s="40" customFormat="1" x14ac:dyDescent="0.2"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</row>
    <row r="583" spans="2:19" s="40" customFormat="1" x14ac:dyDescent="0.2"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</row>
    <row r="584" spans="2:19" s="40" customFormat="1" x14ac:dyDescent="0.2"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</row>
    <row r="585" spans="2:19" s="40" customFormat="1" x14ac:dyDescent="0.2"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</row>
    <row r="586" spans="2:19" s="40" customFormat="1" x14ac:dyDescent="0.2"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</row>
    <row r="587" spans="2:19" s="40" customFormat="1" x14ac:dyDescent="0.2"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</row>
    <row r="588" spans="2:19" s="40" customFormat="1" x14ac:dyDescent="0.2"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</row>
    <row r="589" spans="2:19" s="40" customFormat="1" x14ac:dyDescent="0.2"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</row>
    <row r="590" spans="2:19" s="40" customFormat="1" x14ac:dyDescent="0.2"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</row>
    <row r="591" spans="2:19" s="40" customFormat="1" x14ac:dyDescent="0.2"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</row>
    <row r="592" spans="2:19" s="40" customFormat="1" x14ac:dyDescent="0.2"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</row>
    <row r="593" spans="2:19" s="40" customFormat="1" x14ac:dyDescent="0.2"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</row>
    <row r="594" spans="2:19" s="40" customFormat="1" x14ac:dyDescent="0.2"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</row>
    <row r="595" spans="2:19" s="40" customFormat="1" x14ac:dyDescent="0.2"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</row>
    <row r="596" spans="2:19" s="40" customFormat="1" x14ac:dyDescent="0.2"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</row>
    <row r="597" spans="2:19" s="40" customFormat="1" x14ac:dyDescent="0.2"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</row>
    <row r="598" spans="2:19" s="40" customFormat="1" x14ac:dyDescent="0.2"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</row>
    <row r="599" spans="2:19" s="40" customFormat="1" x14ac:dyDescent="0.2"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</row>
    <row r="600" spans="2:19" s="40" customFormat="1" x14ac:dyDescent="0.2"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</row>
    <row r="601" spans="2:19" s="40" customFormat="1" x14ac:dyDescent="0.2"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</row>
    <row r="602" spans="2:19" s="40" customFormat="1" x14ac:dyDescent="0.2"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</row>
    <row r="603" spans="2:19" s="40" customFormat="1" x14ac:dyDescent="0.2"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</row>
    <row r="604" spans="2:19" s="40" customFormat="1" x14ac:dyDescent="0.2"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</row>
    <row r="605" spans="2:19" s="40" customFormat="1" x14ac:dyDescent="0.2"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</row>
    <row r="606" spans="2:19" s="40" customFormat="1" x14ac:dyDescent="0.2"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</row>
    <row r="607" spans="2:19" s="40" customFormat="1" x14ac:dyDescent="0.2"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</row>
    <row r="608" spans="2:19" s="40" customFormat="1" x14ac:dyDescent="0.2"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</row>
    <row r="609" spans="2:19" s="40" customFormat="1" x14ac:dyDescent="0.2"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</row>
    <row r="610" spans="2:19" s="40" customFormat="1" x14ac:dyDescent="0.2"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</row>
    <row r="611" spans="2:19" s="40" customFormat="1" x14ac:dyDescent="0.2"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</row>
    <row r="612" spans="2:19" s="40" customFormat="1" x14ac:dyDescent="0.2"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</row>
    <row r="613" spans="2:19" s="40" customFormat="1" x14ac:dyDescent="0.2"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</row>
    <row r="614" spans="2:19" s="40" customFormat="1" x14ac:dyDescent="0.2"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</row>
    <row r="615" spans="2:19" s="40" customFormat="1" x14ac:dyDescent="0.2"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</row>
    <row r="616" spans="2:19" s="40" customFormat="1" x14ac:dyDescent="0.2"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</row>
    <row r="617" spans="2:19" s="40" customFormat="1" x14ac:dyDescent="0.2"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</row>
    <row r="618" spans="2:19" s="40" customFormat="1" x14ac:dyDescent="0.2"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</row>
    <row r="619" spans="2:19" s="40" customFormat="1" x14ac:dyDescent="0.2"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</row>
    <row r="620" spans="2:19" s="40" customFormat="1" x14ac:dyDescent="0.2"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</row>
    <row r="621" spans="2:19" s="40" customFormat="1" x14ac:dyDescent="0.2"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</row>
    <row r="622" spans="2:19" s="40" customFormat="1" x14ac:dyDescent="0.2"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</row>
    <row r="623" spans="2:19" s="40" customFormat="1" x14ac:dyDescent="0.2"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</row>
    <row r="624" spans="2:19" s="40" customFormat="1" x14ac:dyDescent="0.2"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</row>
    <row r="625" spans="2:19" s="40" customFormat="1" x14ac:dyDescent="0.2"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</row>
    <row r="626" spans="2:19" s="40" customFormat="1" x14ac:dyDescent="0.2"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</row>
    <row r="627" spans="2:19" s="40" customFormat="1" x14ac:dyDescent="0.2"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</row>
    <row r="628" spans="2:19" s="40" customFormat="1" x14ac:dyDescent="0.2"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</row>
    <row r="629" spans="2:19" s="40" customFormat="1" x14ac:dyDescent="0.2"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</row>
    <row r="630" spans="2:19" s="40" customFormat="1" x14ac:dyDescent="0.2"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</row>
    <row r="631" spans="2:19" s="40" customFormat="1" x14ac:dyDescent="0.2"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</row>
    <row r="632" spans="2:19" s="40" customFormat="1" x14ac:dyDescent="0.2"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</row>
    <row r="633" spans="2:19" s="40" customFormat="1" x14ac:dyDescent="0.2"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</row>
    <row r="634" spans="2:19" s="40" customFormat="1" x14ac:dyDescent="0.2"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</row>
    <row r="635" spans="2:19" s="40" customFormat="1" x14ac:dyDescent="0.2"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</row>
    <row r="636" spans="2:19" s="40" customFormat="1" x14ac:dyDescent="0.2"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</row>
    <row r="637" spans="2:19" s="40" customFormat="1" x14ac:dyDescent="0.2"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</row>
    <row r="638" spans="2:19" s="40" customFormat="1" x14ac:dyDescent="0.2"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</row>
    <row r="639" spans="2:19" s="40" customFormat="1" x14ac:dyDescent="0.2"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</row>
    <row r="640" spans="2:19" s="40" customFormat="1" x14ac:dyDescent="0.2"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</row>
    <row r="641" spans="2:19" s="40" customFormat="1" x14ac:dyDescent="0.2"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</row>
    <row r="642" spans="2:19" s="40" customFormat="1" x14ac:dyDescent="0.2"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</row>
    <row r="643" spans="2:19" s="40" customFormat="1" x14ac:dyDescent="0.2"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</row>
    <row r="644" spans="2:19" s="40" customFormat="1" x14ac:dyDescent="0.2"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</row>
    <row r="645" spans="2:19" s="40" customFormat="1" x14ac:dyDescent="0.2"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</row>
    <row r="646" spans="2:19" s="40" customFormat="1" x14ac:dyDescent="0.2"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</row>
    <row r="647" spans="2:19" s="40" customFormat="1" x14ac:dyDescent="0.2"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</row>
    <row r="648" spans="2:19" s="40" customFormat="1" x14ac:dyDescent="0.2"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</row>
    <row r="649" spans="2:19" s="40" customFormat="1" x14ac:dyDescent="0.2"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</row>
    <row r="650" spans="2:19" s="40" customFormat="1" x14ac:dyDescent="0.2"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</row>
    <row r="651" spans="2:19" s="40" customFormat="1" x14ac:dyDescent="0.2"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</row>
    <row r="652" spans="2:19" s="40" customFormat="1" x14ac:dyDescent="0.2"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</row>
    <row r="653" spans="2:19" s="40" customFormat="1" x14ac:dyDescent="0.2"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</row>
    <row r="654" spans="2:19" s="40" customFormat="1" x14ac:dyDescent="0.2"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</row>
    <row r="655" spans="2:19" s="40" customFormat="1" x14ac:dyDescent="0.2"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</row>
    <row r="656" spans="2:19" s="40" customFormat="1" x14ac:dyDescent="0.2"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</row>
    <row r="657" spans="2:19" s="40" customFormat="1" x14ac:dyDescent="0.2"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</row>
    <row r="658" spans="2:19" s="40" customFormat="1" x14ac:dyDescent="0.2"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</row>
    <row r="659" spans="2:19" s="40" customFormat="1" x14ac:dyDescent="0.2"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</row>
    <row r="660" spans="2:19" s="40" customFormat="1" x14ac:dyDescent="0.2"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</row>
    <row r="661" spans="2:19" s="40" customFormat="1" x14ac:dyDescent="0.2"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</row>
    <row r="662" spans="2:19" s="40" customFormat="1" x14ac:dyDescent="0.2"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</row>
    <row r="663" spans="2:19" s="40" customFormat="1" x14ac:dyDescent="0.2"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</row>
    <row r="664" spans="2:19" s="40" customFormat="1" x14ac:dyDescent="0.2"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</row>
    <row r="665" spans="2:19" s="40" customFormat="1" x14ac:dyDescent="0.2"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</row>
    <row r="666" spans="2:19" s="40" customFormat="1" x14ac:dyDescent="0.2"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</row>
    <row r="667" spans="2:19" s="40" customFormat="1" x14ac:dyDescent="0.2"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</row>
    <row r="668" spans="2:19" s="40" customFormat="1" x14ac:dyDescent="0.2"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</row>
    <row r="669" spans="2:19" s="40" customFormat="1" x14ac:dyDescent="0.2"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</row>
    <row r="670" spans="2:19" s="40" customFormat="1" x14ac:dyDescent="0.2"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</row>
    <row r="671" spans="2:19" s="40" customFormat="1" x14ac:dyDescent="0.2"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</row>
    <row r="672" spans="2:19" s="40" customFormat="1" x14ac:dyDescent="0.2"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</row>
    <row r="673" spans="2:19" s="40" customFormat="1" x14ac:dyDescent="0.2"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</row>
    <row r="674" spans="2:19" s="40" customFormat="1" x14ac:dyDescent="0.2"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</row>
    <row r="675" spans="2:19" s="40" customFormat="1" x14ac:dyDescent="0.2"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</row>
    <row r="676" spans="2:19" s="40" customFormat="1" x14ac:dyDescent="0.2"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</row>
    <row r="677" spans="2:19" s="40" customFormat="1" x14ac:dyDescent="0.2"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</row>
    <row r="678" spans="2:19" s="40" customFormat="1" x14ac:dyDescent="0.2"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</row>
    <row r="679" spans="2:19" s="40" customFormat="1" x14ac:dyDescent="0.2"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</row>
    <row r="680" spans="2:19" s="40" customFormat="1" x14ac:dyDescent="0.2"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</row>
    <row r="681" spans="2:19" s="40" customFormat="1" x14ac:dyDescent="0.2"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</row>
    <row r="682" spans="2:19" s="40" customFormat="1" x14ac:dyDescent="0.2"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</row>
    <row r="683" spans="2:19" s="40" customFormat="1" x14ac:dyDescent="0.2"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</row>
    <row r="684" spans="2:19" s="40" customFormat="1" x14ac:dyDescent="0.2"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</row>
    <row r="685" spans="2:19" s="40" customFormat="1" x14ac:dyDescent="0.2"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</row>
    <row r="686" spans="2:19" s="40" customFormat="1" x14ac:dyDescent="0.2"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</row>
    <row r="687" spans="2:19" s="40" customFormat="1" x14ac:dyDescent="0.2"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</row>
    <row r="688" spans="2:19" s="40" customFormat="1" x14ac:dyDescent="0.2"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</row>
    <row r="689" spans="2:19" s="40" customFormat="1" x14ac:dyDescent="0.2"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</row>
    <row r="690" spans="2:19" s="40" customFormat="1" x14ac:dyDescent="0.2"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</row>
    <row r="691" spans="2:19" s="40" customFormat="1" x14ac:dyDescent="0.2"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</row>
    <row r="692" spans="2:19" s="40" customFormat="1" x14ac:dyDescent="0.2"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</row>
    <row r="693" spans="2:19" s="40" customFormat="1" x14ac:dyDescent="0.2"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</row>
    <row r="694" spans="2:19" s="40" customFormat="1" x14ac:dyDescent="0.2"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</row>
    <row r="695" spans="2:19" s="40" customFormat="1" x14ac:dyDescent="0.2"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</row>
    <row r="696" spans="2:19" s="40" customFormat="1" x14ac:dyDescent="0.2"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</row>
    <row r="697" spans="2:19" s="40" customFormat="1" x14ac:dyDescent="0.2"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</row>
    <row r="698" spans="2:19" s="40" customFormat="1" x14ac:dyDescent="0.2"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</row>
    <row r="699" spans="2:19" s="40" customFormat="1" x14ac:dyDescent="0.2"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</row>
    <row r="700" spans="2:19" s="40" customFormat="1" x14ac:dyDescent="0.2"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</row>
    <row r="701" spans="2:19" s="40" customFormat="1" x14ac:dyDescent="0.2"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</row>
    <row r="702" spans="2:19" s="40" customFormat="1" x14ac:dyDescent="0.2"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</row>
    <row r="703" spans="2:19" s="40" customFormat="1" x14ac:dyDescent="0.2"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</row>
    <row r="704" spans="2:19" s="40" customFormat="1" x14ac:dyDescent="0.2"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</row>
    <row r="705" spans="2:19" s="40" customFormat="1" x14ac:dyDescent="0.2"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</row>
    <row r="706" spans="2:19" s="40" customFormat="1" x14ac:dyDescent="0.2"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</row>
    <row r="707" spans="2:19" s="40" customFormat="1" x14ac:dyDescent="0.2"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</row>
    <row r="708" spans="2:19" s="40" customFormat="1" x14ac:dyDescent="0.2"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</row>
    <row r="709" spans="2:19" s="40" customFormat="1" x14ac:dyDescent="0.2"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</row>
    <row r="710" spans="2:19" s="40" customFormat="1" x14ac:dyDescent="0.2"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</row>
    <row r="711" spans="2:19" s="40" customFormat="1" x14ac:dyDescent="0.2"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</row>
    <row r="712" spans="2:19" s="40" customFormat="1" x14ac:dyDescent="0.2"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</row>
    <row r="713" spans="2:19" s="40" customFormat="1" x14ac:dyDescent="0.2"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</row>
    <row r="714" spans="2:19" s="40" customFormat="1" x14ac:dyDescent="0.2"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</row>
    <row r="715" spans="2:19" s="40" customFormat="1" x14ac:dyDescent="0.2"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</row>
    <row r="716" spans="2:19" s="40" customFormat="1" x14ac:dyDescent="0.2"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</row>
    <row r="717" spans="2:19" s="40" customFormat="1" x14ac:dyDescent="0.2"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</row>
    <row r="718" spans="2:19" s="40" customFormat="1" x14ac:dyDescent="0.2"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</row>
    <row r="719" spans="2:19" s="40" customFormat="1" x14ac:dyDescent="0.2"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</row>
    <row r="720" spans="2:19" s="40" customFormat="1" x14ac:dyDescent="0.2"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</row>
    <row r="721" spans="2:19" s="40" customFormat="1" x14ac:dyDescent="0.2"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</row>
    <row r="722" spans="2:19" s="40" customFormat="1" x14ac:dyDescent="0.2"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</row>
    <row r="723" spans="2:19" s="40" customFormat="1" x14ac:dyDescent="0.2"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</row>
    <row r="724" spans="2:19" s="40" customFormat="1" x14ac:dyDescent="0.2"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</row>
    <row r="725" spans="2:19" s="40" customFormat="1" x14ac:dyDescent="0.2"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</row>
    <row r="726" spans="2:19" s="40" customFormat="1" x14ac:dyDescent="0.2"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</row>
    <row r="727" spans="2:19" s="40" customFormat="1" x14ac:dyDescent="0.2"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</row>
    <row r="728" spans="2:19" s="40" customFormat="1" x14ac:dyDescent="0.2"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</row>
    <row r="729" spans="2:19" s="40" customFormat="1" x14ac:dyDescent="0.2"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</row>
    <row r="730" spans="2:19" s="40" customFormat="1" x14ac:dyDescent="0.2"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</row>
    <row r="731" spans="2:19" s="40" customFormat="1" x14ac:dyDescent="0.2"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</row>
    <row r="732" spans="2:19" s="40" customFormat="1" x14ac:dyDescent="0.2"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</row>
    <row r="733" spans="2:19" s="40" customFormat="1" x14ac:dyDescent="0.2"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</row>
    <row r="734" spans="2:19" s="40" customFormat="1" x14ac:dyDescent="0.2"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</row>
    <row r="735" spans="2:19" s="40" customFormat="1" x14ac:dyDescent="0.2"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</row>
    <row r="736" spans="2:19" s="40" customFormat="1" x14ac:dyDescent="0.2"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</row>
    <row r="737" spans="2:19" s="40" customFormat="1" x14ac:dyDescent="0.2"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</row>
    <row r="738" spans="2:19" s="40" customFormat="1" x14ac:dyDescent="0.2"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</row>
    <row r="739" spans="2:19" s="40" customFormat="1" x14ac:dyDescent="0.2"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</row>
    <row r="740" spans="2:19" s="40" customFormat="1" x14ac:dyDescent="0.2"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</row>
    <row r="741" spans="2:19" s="40" customFormat="1" x14ac:dyDescent="0.2"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</row>
    <row r="742" spans="2:19" s="40" customFormat="1" x14ac:dyDescent="0.2"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</row>
    <row r="743" spans="2:19" s="40" customFormat="1" x14ac:dyDescent="0.2"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</row>
    <row r="744" spans="2:19" s="40" customFormat="1" x14ac:dyDescent="0.2"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</row>
    <row r="745" spans="2:19" s="40" customFormat="1" x14ac:dyDescent="0.2"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</row>
    <row r="746" spans="2:19" s="40" customFormat="1" x14ac:dyDescent="0.2"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</row>
    <row r="747" spans="2:19" s="40" customFormat="1" x14ac:dyDescent="0.2"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</row>
    <row r="748" spans="2:19" s="40" customFormat="1" x14ac:dyDescent="0.2"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</row>
    <row r="749" spans="2:19" s="40" customFormat="1" x14ac:dyDescent="0.2"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</row>
    <row r="750" spans="2:19" s="40" customFormat="1" x14ac:dyDescent="0.2"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</row>
    <row r="751" spans="2:19" s="40" customFormat="1" x14ac:dyDescent="0.2"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</row>
    <row r="752" spans="2:19" s="40" customFormat="1" x14ac:dyDescent="0.2"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</row>
    <row r="753" spans="2:19" s="40" customFormat="1" x14ac:dyDescent="0.2"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</row>
    <row r="754" spans="2:19" s="40" customFormat="1" x14ac:dyDescent="0.2"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</row>
    <row r="755" spans="2:19" s="40" customFormat="1" x14ac:dyDescent="0.2"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</row>
    <row r="756" spans="2:19" s="40" customFormat="1" x14ac:dyDescent="0.2"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</row>
    <row r="757" spans="2:19" s="40" customFormat="1" x14ac:dyDescent="0.2"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</row>
    <row r="758" spans="2:19" s="40" customFormat="1" x14ac:dyDescent="0.2"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</row>
    <row r="759" spans="2:19" s="40" customFormat="1" x14ac:dyDescent="0.2"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</row>
    <row r="760" spans="2:19" s="40" customFormat="1" x14ac:dyDescent="0.2"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</row>
    <row r="761" spans="2:19" s="40" customFormat="1" x14ac:dyDescent="0.2"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</row>
    <row r="762" spans="2:19" s="40" customFormat="1" x14ac:dyDescent="0.2"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</row>
    <row r="763" spans="2:19" s="40" customFormat="1" x14ac:dyDescent="0.2"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</row>
    <row r="764" spans="2:19" s="40" customFormat="1" x14ac:dyDescent="0.2"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</row>
    <row r="765" spans="2:19" s="40" customFormat="1" x14ac:dyDescent="0.2"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</row>
    <row r="766" spans="2:19" s="40" customFormat="1" x14ac:dyDescent="0.2"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</row>
    <row r="767" spans="2:19" s="40" customFormat="1" x14ac:dyDescent="0.2"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</row>
    <row r="768" spans="2:19" s="40" customFormat="1" x14ac:dyDescent="0.2"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</row>
    <row r="769" spans="2:19" s="40" customFormat="1" x14ac:dyDescent="0.2"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</row>
    <row r="770" spans="2:19" s="40" customFormat="1" x14ac:dyDescent="0.2"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</row>
    <row r="771" spans="2:19" s="40" customFormat="1" x14ac:dyDescent="0.2"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</row>
    <row r="772" spans="2:19" s="40" customFormat="1" x14ac:dyDescent="0.2"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</row>
    <row r="773" spans="2:19" s="40" customFormat="1" x14ac:dyDescent="0.2"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</row>
    <row r="774" spans="2:19" s="40" customFormat="1" x14ac:dyDescent="0.2"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</row>
    <row r="775" spans="2:19" s="40" customFormat="1" x14ac:dyDescent="0.2"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</row>
    <row r="776" spans="2:19" s="40" customFormat="1" x14ac:dyDescent="0.2"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</row>
    <row r="777" spans="2:19" s="40" customFormat="1" x14ac:dyDescent="0.2"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</row>
    <row r="778" spans="2:19" s="40" customFormat="1" x14ac:dyDescent="0.2"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</row>
    <row r="779" spans="2:19" s="40" customFormat="1" x14ac:dyDescent="0.2"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</row>
    <row r="780" spans="2:19" s="40" customFormat="1" x14ac:dyDescent="0.2"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</row>
    <row r="781" spans="2:19" s="40" customFormat="1" x14ac:dyDescent="0.2"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</row>
    <row r="782" spans="2:19" s="40" customFormat="1" x14ac:dyDescent="0.2"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</row>
    <row r="783" spans="2:19" s="40" customFormat="1" x14ac:dyDescent="0.2"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</row>
    <row r="784" spans="2:19" s="40" customFormat="1" x14ac:dyDescent="0.2"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</row>
    <row r="785" spans="2:19" s="40" customFormat="1" x14ac:dyDescent="0.2"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</row>
    <row r="786" spans="2:19" s="40" customFormat="1" x14ac:dyDescent="0.2"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</row>
    <row r="787" spans="2:19" s="40" customFormat="1" x14ac:dyDescent="0.2"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</row>
    <row r="788" spans="2:19" s="40" customFormat="1" x14ac:dyDescent="0.2"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</row>
    <row r="789" spans="2:19" s="40" customFormat="1" x14ac:dyDescent="0.2"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</row>
    <row r="790" spans="2:19" s="40" customFormat="1" x14ac:dyDescent="0.2"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</row>
    <row r="791" spans="2:19" s="40" customFormat="1" x14ac:dyDescent="0.2"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</row>
    <row r="792" spans="2:19" s="40" customFormat="1" x14ac:dyDescent="0.2"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</row>
    <row r="793" spans="2:19" s="40" customFormat="1" x14ac:dyDescent="0.2"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</row>
    <row r="794" spans="2:19" s="40" customFormat="1" x14ac:dyDescent="0.2"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</row>
    <row r="795" spans="2:19" s="40" customFormat="1" x14ac:dyDescent="0.2"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</row>
    <row r="796" spans="2:19" s="40" customFormat="1" x14ac:dyDescent="0.2"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</row>
    <row r="797" spans="2:19" s="40" customFormat="1" x14ac:dyDescent="0.2"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</row>
    <row r="798" spans="2:19" s="40" customFormat="1" x14ac:dyDescent="0.2"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</row>
    <row r="799" spans="2:19" s="40" customFormat="1" x14ac:dyDescent="0.2"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</row>
    <row r="800" spans="2:19" s="40" customFormat="1" x14ac:dyDescent="0.2"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</row>
    <row r="801" spans="2:19" s="40" customFormat="1" x14ac:dyDescent="0.2"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</row>
    <row r="802" spans="2:19" s="40" customFormat="1" x14ac:dyDescent="0.2"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</row>
    <row r="803" spans="2:19" s="40" customFormat="1" x14ac:dyDescent="0.2"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</row>
    <row r="804" spans="2:19" s="40" customFormat="1" x14ac:dyDescent="0.2"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</row>
    <row r="805" spans="2:19" s="40" customFormat="1" x14ac:dyDescent="0.2"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</row>
    <row r="806" spans="2:19" s="40" customFormat="1" x14ac:dyDescent="0.2"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</row>
    <row r="807" spans="2:19" s="40" customFormat="1" x14ac:dyDescent="0.2"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</row>
    <row r="808" spans="2:19" s="40" customFormat="1" x14ac:dyDescent="0.2"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</row>
    <row r="809" spans="2:19" s="40" customFormat="1" x14ac:dyDescent="0.2"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</row>
    <row r="810" spans="2:19" s="40" customFormat="1" x14ac:dyDescent="0.2"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</row>
    <row r="811" spans="2:19" s="40" customFormat="1" x14ac:dyDescent="0.2"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</row>
    <row r="812" spans="2:19" s="40" customFormat="1" x14ac:dyDescent="0.2"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</row>
    <row r="813" spans="2:19" s="40" customFormat="1" x14ac:dyDescent="0.2"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</row>
    <row r="814" spans="2:19" s="40" customFormat="1" x14ac:dyDescent="0.2"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</row>
    <row r="815" spans="2:19" s="40" customFormat="1" x14ac:dyDescent="0.2"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</row>
    <row r="816" spans="2:19" s="40" customFormat="1" x14ac:dyDescent="0.2"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</row>
    <row r="817" spans="2:19" s="40" customFormat="1" x14ac:dyDescent="0.2"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</row>
    <row r="818" spans="2:19" s="40" customFormat="1" x14ac:dyDescent="0.2"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</row>
    <row r="819" spans="2:19" s="40" customFormat="1" x14ac:dyDescent="0.2"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</row>
    <row r="820" spans="2:19" s="40" customFormat="1" x14ac:dyDescent="0.2"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</row>
    <row r="821" spans="2:19" s="40" customFormat="1" x14ac:dyDescent="0.2"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</row>
    <row r="822" spans="2:19" s="40" customFormat="1" x14ac:dyDescent="0.2"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</row>
    <row r="823" spans="2:19" s="40" customFormat="1" x14ac:dyDescent="0.2"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</row>
    <row r="824" spans="2:19" s="40" customFormat="1" x14ac:dyDescent="0.2"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</row>
    <row r="825" spans="2:19" s="40" customFormat="1" x14ac:dyDescent="0.2"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</row>
    <row r="826" spans="2:19" s="40" customFormat="1" x14ac:dyDescent="0.2"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</row>
    <row r="827" spans="2:19" s="40" customFormat="1" x14ac:dyDescent="0.2"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</row>
    <row r="828" spans="2:19" s="40" customFormat="1" x14ac:dyDescent="0.2"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</row>
    <row r="829" spans="2:19" s="40" customFormat="1" x14ac:dyDescent="0.2"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</row>
    <row r="830" spans="2:19" s="40" customFormat="1" x14ac:dyDescent="0.2"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</row>
    <row r="831" spans="2:19" s="40" customFormat="1" x14ac:dyDescent="0.2"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</row>
    <row r="832" spans="2:19" s="40" customFormat="1" x14ac:dyDescent="0.2"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</row>
    <row r="833" spans="2:19" s="40" customFormat="1" x14ac:dyDescent="0.2"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</row>
    <row r="834" spans="2:19" s="40" customFormat="1" x14ac:dyDescent="0.2"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</row>
    <row r="835" spans="2:19" s="40" customFormat="1" x14ac:dyDescent="0.2"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</row>
    <row r="836" spans="2:19" s="40" customFormat="1" x14ac:dyDescent="0.2"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</row>
    <row r="837" spans="2:19" s="40" customFormat="1" x14ac:dyDescent="0.2"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</row>
    <row r="838" spans="2:19" s="40" customFormat="1" x14ac:dyDescent="0.2"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</row>
    <row r="839" spans="2:19" s="40" customFormat="1" x14ac:dyDescent="0.2"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</row>
    <row r="840" spans="2:19" s="40" customFormat="1" x14ac:dyDescent="0.2"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</row>
    <row r="841" spans="2:19" s="40" customFormat="1" x14ac:dyDescent="0.2"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</row>
    <row r="842" spans="2:19" s="40" customFormat="1" x14ac:dyDescent="0.2"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</row>
    <row r="843" spans="2:19" s="40" customFormat="1" x14ac:dyDescent="0.2"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</row>
    <row r="844" spans="2:19" s="40" customFormat="1" x14ac:dyDescent="0.2"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</row>
    <row r="845" spans="2:19" s="40" customFormat="1" x14ac:dyDescent="0.2"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</row>
    <row r="846" spans="2:19" s="40" customFormat="1" x14ac:dyDescent="0.2"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</row>
    <row r="847" spans="2:19" s="40" customFormat="1" x14ac:dyDescent="0.2"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</row>
    <row r="848" spans="2:19" s="40" customFormat="1" x14ac:dyDescent="0.2"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</row>
    <row r="849" spans="2:19" s="40" customFormat="1" x14ac:dyDescent="0.2"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</row>
    <row r="850" spans="2:19" s="40" customFormat="1" x14ac:dyDescent="0.2"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</row>
    <row r="851" spans="2:19" s="40" customFormat="1" x14ac:dyDescent="0.2"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</row>
    <row r="852" spans="2:19" s="40" customFormat="1" x14ac:dyDescent="0.2"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</row>
    <row r="853" spans="2:19" s="40" customFormat="1" x14ac:dyDescent="0.2"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</row>
    <row r="854" spans="2:19" s="40" customFormat="1" x14ac:dyDescent="0.2"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</row>
    <row r="855" spans="2:19" s="40" customFormat="1" x14ac:dyDescent="0.2"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</row>
    <row r="856" spans="2:19" s="40" customFormat="1" x14ac:dyDescent="0.2"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</row>
    <row r="857" spans="2:19" s="40" customFormat="1" x14ac:dyDescent="0.2"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</row>
    <row r="858" spans="2:19" s="40" customFormat="1" x14ac:dyDescent="0.2"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</row>
    <row r="859" spans="2:19" s="40" customFormat="1" x14ac:dyDescent="0.2"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</row>
    <row r="860" spans="2:19" s="40" customFormat="1" x14ac:dyDescent="0.2"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</row>
    <row r="861" spans="2:19" s="40" customFormat="1" x14ac:dyDescent="0.2"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</row>
    <row r="862" spans="2:19" s="40" customFormat="1" x14ac:dyDescent="0.2"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</row>
    <row r="863" spans="2:19" s="40" customFormat="1" x14ac:dyDescent="0.2"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</row>
    <row r="864" spans="2:19" s="40" customFormat="1" x14ac:dyDescent="0.2"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</row>
    <row r="865" spans="2:19" s="40" customFormat="1" x14ac:dyDescent="0.2"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</row>
    <row r="866" spans="2:19" s="40" customFormat="1" x14ac:dyDescent="0.2"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</row>
    <row r="867" spans="2:19" s="40" customFormat="1" x14ac:dyDescent="0.2"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</row>
    <row r="868" spans="2:19" s="40" customFormat="1" x14ac:dyDescent="0.2"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</row>
    <row r="869" spans="2:19" s="40" customFormat="1" x14ac:dyDescent="0.2"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</row>
    <row r="870" spans="2:19" s="40" customFormat="1" x14ac:dyDescent="0.2"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</row>
    <row r="871" spans="2:19" s="40" customFormat="1" x14ac:dyDescent="0.2"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</row>
    <row r="872" spans="2:19" s="40" customFormat="1" x14ac:dyDescent="0.2"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</row>
    <row r="873" spans="2:19" s="40" customFormat="1" x14ac:dyDescent="0.2"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</row>
    <row r="874" spans="2:19" s="40" customFormat="1" x14ac:dyDescent="0.2"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</row>
    <row r="875" spans="2:19" s="40" customFormat="1" x14ac:dyDescent="0.2"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</row>
    <row r="876" spans="2:19" s="40" customFormat="1" x14ac:dyDescent="0.2"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</row>
    <row r="877" spans="2:19" s="40" customFormat="1" x14ac:dyDescent="0.2"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</row>
    <row r="878" spans="2:19" s="40" customFormat="1" x14ac:dyDescent="0.2"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</row>
    <row r="879" spans="2:19" s="40" customFormat="1" x14ac:dyDescent="0.2"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</row>
    <row r="880" spans="2:19" s="40" customFormat="1" x14ac:dyDescent="0.2"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</row>
    <row r="881" spans="2:19" s="40" customFormat="1" x14ac:dyDescent="0.2"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</row>
    <row r="882" spans="2:19" s="40" customFormat="1" x14ac:dyDescent="0.2"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</row>
    <row r="883" spans="2:19" s="40" customFormat="1" x14ac:dyDescent="0.2"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</row>
    <row r="884" spans="2:19" s="40" customFormat="1" x14ac:dyDescent="0.2"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</row>
    <row r="885" spans="2:19" s="40" customFormat="1" x14ac:dyDescent="0.2"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</row>
    <row r="886" spans="2:19" s="40" customFormat="1" x14ac:dyDescent="0.2"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</row>
    <row r="887" spans="2:19" s="40" customFormat="1" x14ac:dyDescent="0.2"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</row>
    <row r="888" spans="2:19" s="40" customFormat="1" x14ac:dyDescent="0.2"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</row>
    <row r="889" spans="2:19" s="40" customFormat="1" x14ac:dyDescent="0.2"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</row>
    <row r="890" spans="2:19" s="40" customFormat="1" x14ac:dyDescent="0.2"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</row>
    <row r="891" spans="2:19" s="40" customFormat="1" x14ac:dyDescent="0.2"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</row>
    <row r="892" spans="2:19" s="40" customFormat="1" x14ac:dyDescent="0.2"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</row>
    <row r="893" spans="2:19" s="40" customFormat="1" x14ac:dyDescent="0.2"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</row>
    <row r="894" spans="2:19" s="40" customFormat="1" x14ac:dyDescent="0.2"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</row>
    <row r="895" spans="2:19" s="40" customFormat="1" x14ac:dyDescent="0.2"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</row>
    <row r="896" spans="2:19" s="40" customFormat="1" x14ac:dyDescent="0.2"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</row>
    <row r="897" spans="2:19" s="40" customFormat="1" x14ac:dyDescent="0.2"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</row>
    <row r="898" spans="2:19" s="40" customFormat="1" x14ac:dyDescent="0.2"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</row>
    <row r="899" spans="2:19" s="40" customFormat="1" x14ac:dyDescent="0.2"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</row>
    <row r="900" spans="2:19" s="40" customFormat="1" x14ac:dyDescent="0.2"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</row>
    <row r="901" spans="2:19" s="40" customFormat="1" x14ac:dyDescent="0.2"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</row>
    <row r="902" spans="2:19" s="40" customFormat="1" x14ac:dyDescent="0.2"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</row>
    <row r="903" spans="2:19" s="40" customFormat="1" x14ac:dyDescent="0.2"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</row>
    <row r="904" spans="2:19" s="40" customFormat="1" x14ac:dyDescent="0.2"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</row>
    <row r="905" spans="2:19" s="40" customFormat="1" x14ac:dyDescent="0.2"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</row>
    <row r="906" spans="2:19" s="40" customFormat="1" x14ac:dyDescent="0.2"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</row>
    <row r="907" spans="2:19" s="40" customFormat="1" x14ac:dyDescent="0.2"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</row>
    <row r="908" spans="2:19" s="40" customFormat="1" x14ac:dyDescent="0.2"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</row>
    <row r="909" spans="2:19" s="40" customFormat="1" x14ac:dyDescent="0.2"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</row>
    <row r="910" spans="2:19" s="40" customFormat="1" x14ac:dyDescent="0.2"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</row>
    <row r="911" spans="2:19" s="40" customFormat="1" x14ac:dyDescent="0.2"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</row>
    <row r="912" spans="2:19" s="40" customFormat="1" x14ac:dyDescent="0.2"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</row>
    <row r="913" spans="2:19" s="40" customFormat="1" x14ac:dyDescent="0.2"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</row>
    <row r="914" spans="2:19" s="40" customFormat="1" x14ac:dyDescent="0.2"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</row>
    <row r="915" spans="2:19" s="40" customFormat="1" x14ac:dyDescent="0.2"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</row>
    <row r="916" spans="2:19" s="40" customFormat="1" x14ac:dyDescent="0.2"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</row>
    <row r="917" spans="2:19" s="40" customFormat="1" x14ac:dyDescent="0.2"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</row>
    <row r="918" spans="2:19" s="40" customFormat="1" x14ac:dyDescent="0.2"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</row>
    <row r="919" spans="2:19" s="40" customFormat="1" x14ac:dyDescent="0.2"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</row>
    <row r="920" spans="2:19" s="40" customFormat="1" x14ac:dyDescent="0.2"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</row>
    <row r="921" spans="2:19" s="40" customFormat="1" x14ac:dyDescent="0.2"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</row>
    <row r="922" spans="2:19" s="40" customFormat="1" x14ac:dyDescent="0.2"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</row>
    <row r="923" spans="2:19" s="40" customFormat="1" x14ac:dyDescent="0.2"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</row>
    <row r="924" spans="2:19" s="40" customFormat="1" x14ac:dyDescent="0.2"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</row>
    <row r="925" spans="2:19" s="40" customFormat="1" x14ac:dyDescent="0.2"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</row>
    <row r="926" spans="2:19" s="40" customFormat="1" x14ac:dyDescent="0.2"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</row>
    <row r="927" spans="2:19" s="40" customFormat="1" x14ac:dyDescent="0.2"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</row>
    <row r="928" spans="2:19" s="40" customFormat="1" x14ac:dyDescent="0.2"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</row>
    <row r="929" spans="2:19" s="40" customFormat="1" x14ac:dyDescent="0.2"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</row>
    <row r="930" spans="2:19" s="40" customFormat="1" x14ac:dyDescent="0.2"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</row>
    <row r="931" spans="2:19" s="40" customFormat="1" x14ac:dyDescent="0.2"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</row>
    <row r="932" spans="2:19" s="40" customFormat="1" x14ac:dyDescent="0.2"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</row>
    <row r="933" spans="2:19" s="40" customFormat="1" x14ac:dyDescent="0.2"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</row>
    <row r="934" spans="2:19" s="40" customFormat="1" x14ac:dyDescent="0.2"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</row>
    <row r="935" spans="2:19" s="40" customFormat="1" x14ac:dyDescent="0.2"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</row>
    <row r="936" spans="2:19" s="40" customFormat="1" x14ac:dyDescent="0.2"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</row>
    <row r="937" spans="2:19" s="40" customFormat="1" x14ac:dyDescent="0.2"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</row>
    <row r="938" spans="2:19" s="40" customFormat="1" x14ac:dyDescent="0.2"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</row>
    <row r="939" spans="2:19" s="40" customFormat="1" x14ac:dyDescent="0.2"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</row>
    <row r="940" spans="2:19" s="40" customFormat="1" x14ac:dyDescent="0.2"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</row>
    <row r="941" spans="2:19" s="40" customFormat="1" x14ac:dyDescent="0.2"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</row>
    <row r="942" spans="2:19" s="40" customFormat="1" x14ac:dyDescent="0.2"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</row>
    <row r="943" spans="2:19" s="40" customFormat="1" x14ac:dyDescent="0.2"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</row>
    <row r="944" spans="2:19" s="40" customFormat="1" x14ac:dyDescent="0.2"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</row>
    <row r="945" spans="2:19" s="40" customFormat="1" x14ac:dyDescent="0.2"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</row>
    <row r="946" spans="2:19" s="40" customFormat="1" x14ac:dyDescent="0.2"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</row>
    <row r="947" spans="2:19" s="40" customFormat="1" x14ac:dyDescent="0.2"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</row>
    <row r="948" spans="2:19" s="40" customFormat="1" x14ac:dyDescent="0.2"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</row>
    <row r="949" spans="2:19" s="40" customFormat="1" x14ac:dyDescent="0.2"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</row>
    <row r="950" spans="2:19" s="40" customFormat="1" x14ac:dyDescent="0.2"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</row>
    <row r="951" spans="2:19" s="40" customFormat="1" x14ac:dyDescent="0.2"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</row>
    <row r="952" spans="2:19" s="40" customFormat="1" x14ac:dyDescent="0.2"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</row>
    <row r="953" spans="2:19" s="40" customFormat="1" x14ac:dyDescent="0.2"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</row>
    <row r="954" spans="2:19" s="40" customFormat="1" x14ac:dyDescent="0.2"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</row>
    <row r="955" spans="2:19" s="40" customFormat="1" x14ac:dyDescent="0.2"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</row>
    <row r="956" spans="2:19" s="40" customFormat="1" x14ac:dyDescent="0.2"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</row>
    <row r="957" spans="2:19" s="40" customFormat="1" x14ac:dyDescent="0.2"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</row>
    <row r="958" spans="2:19" s="40" customFormat="1" x14ac:dyDescent="0.2"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</row>
    <row r="959" spans="2:19" s="40" customFormat="1" x14ac:dyDescent="0.2"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</row>
    <row r="960" spans="2:19" s="40" customFormat="1" x14ac:dyDescent="0.2"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</row>
    <row r="961" spans="2:19" s="40" customFormat="1" x14ac:dyDescent="0.2"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</row>
    <row r="962" spans="2:19" s="40" customFormat="1" x14ac:dyDescent="0.2"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</row>
    <row r="963" spans="2:19" s="40" customFormat="1" x14ac:dyDescent="0.2"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</row>
    <row r="964" spans="2:19" s="40" customFormat="1" x14ac:dyDescent="0.2"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</row>
    <row r="965" spans="2:19" s="40" customFormat="1" x14ac:dyDescent="0.2"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</row>
    <row r="966" spans="2:19" s="40" customFormat="1" x14ac:dyDescent="0.2"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</row>
    <row r="967" spans="2:19" s="40" customFormat="1" x14ac:dyDescent="0.2"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</row>
    <row r="968" spans="2:19" s="40" customFormat="1" x14ac:dyDescent="0.2"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</row>
    <row r="969" spans="2:19" s="40" customFormat="1" x14ac:dyDescent="0.2"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</row>
    <row r="970" spans="2:19" s="40" customFormat="1" x14ac:dyDescent="0.2"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</row>
    <row r="971" spans="2:19" s="40" customFormat="1" x14ac:dyDescent="0.2"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</row>
    <row r="972" spans="2:19" s="40" customFormat="1" x14ac:dyDescent="0.2"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</row>
    <row r="973" spans="2:19" s="40" customFormat="1" x14ac:dyDescent="0.2"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</row>
    <row r="974" spans="2:19" s="40" customFormat="1" x14ac:dyDescent="0.2"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</row>
    <row r="975" spans="2:19" s="40" customFormat="1" x14ac:dyDescent="0.2"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</row>
    <row r="976" spans="2:19" s="40" customFormat="1" x14ac:dyDescent="0.2"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</row>
    <row r="977" spans="2:19" s="40" customFormat="1" x14ac:dyDescent="0.2"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</row>
    <row r="978" spans="2:19" s="40" customFormat="1" x14ac:dyDescent="0.2"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</row>
    <row r="979" spans="2:19" s="40" customFormat="1" x14ac:dyDescent="0.2"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</row>
    <row r="980" spans="2:19" s="40" customFormat="1" x14ac:dyDescent="0.2"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</row>
    <row r="981" spans="2:19" s="40" customFormat="1" x14ac:dyDescent="0.2"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</row>
    <row r="982" spans="2:19" s="40" customFormat="1" x14ac:dyDescent="0.2"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</row>
    <row r="983" spans="2:19" s="40" customFormat="1" x14ac:dyDescent="0.2"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</row>
    <row r="984" spans="2:19" s="40" customFormat="1" x14ac:dyDescent="0.2"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</row>
    <row r="985" spans="2:19" s="40" customFormat="1" x14ac:dyDescent="0.2"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</row>
    <row r="986" spans="2:19" s="40" customFormat="1" x14ac:dyDescent="0.2"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</row>
    <row r="987" spans="2:19" s="40" customFormat="1" x14ac:dyDescent="0.2"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</row>
    <row r="988" spans="2:19" s="40" customFormat="1" x14ac:dyDescent="0.2"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</row>
    <row r="989" spans="2:19" s="40" customFormat="1" x14ac:dyDescent="0.2"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</row>
    <row r="990" spans="2:19" s="40" customFormat="1" x14ac:dyDescent="0.2"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</row>
    <row r="991" spans="2:19" s="40" customFormat="1" x14ac:dyDescent="0.2"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</row>
    <row r="992" spans="2:19" s="40" customFormat="1" x14ac:dyDescent="0.2"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</row>
    <row r="993" spans="2:19" s="40" customFormat="1" x14ac:dyDescent="0.2"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</row>
    <row r="994" spans="2:19" s="40" customFormat="1" x14ac:dyDescent="0.2"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</row>
    <row r="995" spans="2:19" s="40" customFormat="1" x14ac:dyDescent="0.2"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</row>
    <row r="996" spans="2:19" s="40" customFormat="1" x14ac:dyDescent="0.2"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</row>
    <row r="997" spans="2:19" s="40" customFormat="1" x14ac:dyDescent="0.2"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</row>
    <row r="998" spans="2:19" s="40" customFormat="1" x14ac:dyDescent="0.2"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</row>
    <row r="999" spans="2:19" s="40" customFormat="1" x14ac:dyDescent="0.2"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</row>
    <row r="1000" spans="2:19" s="40" customFormat="1" x14ac:dyDescent="0.2"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</row>
    <row r="1001" spans="2:19" s="40" customFormat="1" x14ac:dyDescent="0.2"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</row>
    <row r="1002" spans="2:19" s="40" customFormat="1" x14ac:dyDescent="0.2"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</row>
    <row r="1003" spans="2:19" s="40" customFormat="1" x14ac:dyDescent="0.2"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</row>
    <row r="1004" spans="2:19" s="40" customFormat="1" x14ac:dyDescent="0.2"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</row>
    <row r="1005" spans="2:19" s="40" customFormat="1" x14ac:dyDescent="0.2"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</row>
    <row r="1006" spans="2:19" s="40" customFormat="1" x14ac:dyDescent="0.2"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</row>
    <row r="1007" spans="2:19" s="40" customFormat="1" x14ac:dyDescent="0.2"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</row>
    <row r="1008" spans="2:19" s="40" customFormat="1" x14ac:dyDescent="0.2"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</row>
    <row r="1009" spans="2:19" s="40" customFormat="1" x14ac:dyDescent="0.2"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</row>
    <row r="1010" spans="2:19" s="40" customFormat="1" x14ac:dyDescent="0.2"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</row>
    <row r="1011" spans="2:19" s="40" customFormat="1" x14ac:dyDescent="0.2"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</row>
    <row r="1012" spans="2:19" s="40" customFormat="1" x14ac:dyDescent="0.2"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</row>
    <row r="1013" spans="2:19" s="40" customFormat="1" x14ac:dyDescent="0.2"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</row>
    <row r="1014" spans="2:19" s="40" customFormat="1" x14ac:dyDescent="0.2"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</row>
    <row r="1015" spans="2:19" s="40" customFormat="1" x14ac:dyDescent="0.2"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</row>
    <row r="1016" spans="2:19" s="40" customFormat="1" x14ac:dyDescent="0.2"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</row>
    <row r="1017" spans="2:19" s="40" customFormat="1" x14ac:dyDescent="0.2"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</row>
    <row r="1018" spans="2:19" s="40" customFormat="1" x14ac:dyDescent="0.2"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</row>
    <row r="1019" spans="2:19" s="40" customFormat="1" x14ac:dyDescent="0.2"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</row>
    <row r="1020" spans="2:19" s="40" customFormat="1" x14ac:dyDescent="0.2"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</row>
    <row r="1021" spans="2:19" s="40" customFormat="1" x14ac:dyDescent="0.2"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</row>
    <row r="1022" spans="2:19" s="40" customFormat="1" x14ac:dyDescent="0.2"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</row>
    <row r="1023" spans="2:19" s="40" customFormat="1" x14ac:dyDescent="0.2"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</row>
    <row r="1024" spans="2:19" s="40" customFormat="1" x14ac:dyDescent="0.2"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</row>
    <row r="1025" spans="2:19" s="40" customFormat="1" x14ac:dyDescent="0.2"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</row>
    <row r="1026" spans="2:19" s="40" customFormat="1" x14ac:dyDescent="0.2"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</row>
    <row r="1027" spans="2:19" s="40" customFormat="1" x14ac:dyDescent="0.2"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</row>
    <row r="1028" spans="2:19" s="40" customFormat="1" x14ac:dyDescent="0.2"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</row>
    <row r="1029" spans="2:19" s="40" customFormat="1" x14ac:dyDescent="0.2"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</row>
    <row r="1030" spans="2:19" s="40" customFormat="1" x14ac:dyDescent="0.2"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</row>
    <row r="1031" spans="2:19" s="40" customFormat="1" x14ac:dyDescent="0.2"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</row>
    <row r="1032" spans="2:19" s="40" customFormat="1" x14ac:dyDescent="0.2"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</row>
    <row r="1033" spans="2:19" s="40" customFormat="1" x14ac:dyDescent="0.2"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</row>
    <row r="1034" spans="2:19" s="40" customFormat="1" x14ac:dyDescent="0.2"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</row>
    <row r="1035" spans="2:19" s="40" customFormat="1" x14ac:dyDescent="0.2"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</row>
    <row r="1036" spans="2:19" s="40" customFormat="1" x14ac:dyDescent="0.2"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</row>
    <row r="1037" spans="2:19" s="40" customFormat="1" x14ac:dyDescent="0.2"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</row>
    <row r="1038" spans="2:19" s="40" customFormat="1" x14ac:dyDescent="0.2"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</row>
    <row r="1039" spans="2:19" s="40" customFormat="1" x14ac:dyDescent="0.2"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</row>
  </sheetData>
  <mergeCells count="25">
    <mergeCell ref="BD40:BE40"/>
    <mergeCell ref="BB40:BC40"/>
    <mergeCell ref="AZ40:BA40"/>
    <mergeCell ref="AT40:AU40"/>
    <mergeCell ref="AV40:AW40"/>
    <mergeCell ref="AX40:AY40"/>
    <mergeCell ref="AK35:AL35"/>
    <mergeCell ref="AM35:AN35"/>
    <mergeCell ref="AP40:AQ40"/>
    <mergeCell ref="AR40:AS40"/>
    <mergeCell ref="AH40:AI40"/>
    <mergeCell ref="AJ40:AK40"/>
    <mergeCell ref="AL40:AM40"/>
    <mergeCell ref="AN40:AO40"/>
    <mergeCell ref="AI30:AJ30"/>
    <mergeCell ref="AG35:AH35"/>
    <mergeCell ref="G4:J5"/>
    <mergeCell ref="A1:T1"/>
    <mergeCell ref="A2:T2"/>
    <mergeCell ref="A4:A7"/>
    <mergeCell ref="C4:F5"/>
    <mergeCell ref="S4:T5"/>
    <mergeCell ref="K4:N5"/>
    <mergeCell ref="AI35:AJ35"/>
    <mergeCell ref="O4:R5"/>
  </mergeCells>
  <pageMargins left="0.7" right="0.7" top="0.75" bottom="0.75" header="0.3" footer="0.3"/>
  <pageSetup scale="42" orientation="portrait" r:id="rId1"/>
  <ignoredErrors>
    <ignoredError sqref="S8:T3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3.17</vt:lpstr>
      <vt:lpstr>'3.17'!Print_Area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2023-05-16T02:55:32Z</cp:lastPrinted>
  <dcterms:created xsi:type="dcterms:W3CDTF">2019-07-22T06:02:33Z</dcterms:created>
  <dcterms:modified xsi:type="dcterms:W3CDTF">2023-05-16T02:55:41Z</dcterms:modified>
</cp:coreProperties>
</file>