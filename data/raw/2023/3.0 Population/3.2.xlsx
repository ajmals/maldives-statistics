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FBB9959E-14CA-401C-A3D7-DD1DFB1490CE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2" sheetId="2" r:id="rId1"/>
  </sheets>
  <externalReferences>
    <externalReference r:id="rId2"/>
    <externalReference r:id="rId3"/>
    <externalReference r:id="rId4"/>
  </externalReferences>
  <definedNames>
    <definedName name="_xlnm.Print_Area" localSheetId="0">'3.2'!$A$1:$U$65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19" i="2" l="1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O94" i="2"/>
  <c r="AO96" i="2" s="1"/>
  <c r="AN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O80" i="2"/>
  <c r="AM80" i="2" s="1"/>
  <c r="AN80" i="2"/>
  <c r="AO79" i="2"/>
  <c r="AM79" i="2" s="1"/>
  <c r="AN79" i="2"/>
  <c r="AO72" i="2"/>
  <c r="AN72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O58" i="2"/>
  <c r="AN58" i="2"/>
  <c r="AM58" i="2"/>
  <c r="AO57" i="2"/>
  <c r="AN57" i="2"/>
  <c r="AM57" i="2"/>
  <c r="AO55" i="2"/>
  <c r="AO47" i="2"/>
  <c r="AN47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O33" i="2"/>
  <c r="AN33" i="2"/>
  <c r="AM33" i="2"/>
  <c r="AO32" i="2"/>
  <c r="AM32" i="2" s="1"/>
  <c r="AN32" i="2"/>
  <c r="R32" i="2"/>
  <c r="N32" i="2"/>
  <c r="N31" i="2"/>
  <c r="N30" i="2"/>
  <c r="N29" i="2"/>
  <c r="N28" i="2"/>
  <c r="N27" i="2"/>
  <c r="N26" i="2"/>
  <c r="N25" i="2"/>
  <c r="N24" i="2"/>
  <c r="AO23" i="2"/>
  <c r="AN23" i="2"/>
  <c r="AM23" i="2"/>
  <c r="N23" i="2"/>
  <c r="AM22" i="2"/>
  <c r="N22" i="2"/>
  <c r="AM21" i="2"/>
  <c r="N21" i="2"/>
  <c r="AM20" i="2"/>
  <c r="N20" i="2"/>
  <c r="AM19" i="2"/>
  <c r="N19" i="2"/>
  <c r="AM18" i="2"/>
  <c r="N18" i="2"/>
  <c r="AM17" i="2"/>
  <c r="N17" i="2"/>
  <c r="AM16" i="2"/>
  <c r="N16" i="2"/>
  <c r="AM15" i="2"/>
  <c r="N15" i="2"/>
  <c r="AM14" i="2"/>
  <c r="N14" i="2"/>
  <c r="AM13" i="2"/>
  <c r="N13" i="2"/>
  <c r="AM12" i="2"/>
  <c r="N12" i="2"/>
  <c r="AM11" i="2"/>
  <c r="N11" i="2"/>
  <c r="AM10" i="2"/>
  <c r="N10" i="2"/>
  <c r="AO9" i="2"/>
  <c r="AM9" i="2" s="1"/>
  <c r="AN9" i="2"/>
  <c r="AO8" i="2"/>
  <c r="AN8" i="2"/>
  <c r="AM8" i="2"/>
  <c r="T8" i="2"/>
  <c r="S8" i="2"/>
  <c r="R8" i="2"/>
  <c r="P8" i="2"/>
  <c r="O8" i="2"/>
  <c r="N8" i="2"/>
  <c r="H8" i="2"/>
  <c r="G8" i="2"/>
  <c r="F8" i="2"/>
  <c r="D8" i="2"/>
  <c r="C8" i="2"/>
  <c r="B8" i="2"/>
  <c r="AM94" i="2" l="1"/>
</calcChain>
</file>

<file path=xl/sharedStrings.xml><?xml version="1.0" encoding="utf-8"?>
<sst xmlns="http://schemas.openxmlformats.org/spreadsheetml/2006/main" count="162" uniqueCount="51">
  <si>
    <t>cscnijed</t>
  </si>
  <si>
    <t>cnehirif</t>
  </si>
  <si>
    <t>cnehcnwa</t>
  </si>
  <si>
    <t>Both Sexes</t>
  </si>
  <si>
    <t>Male</t>
  </si>
  <si>
    <t>Female</t>
  </si>
  <si>
    <t>1995 Census</t>
  </si>
  <si>
    <t>1995 cnunemihOb</t>
  </si>
  <si>
    <t>2000 Census</t>
  </si>
  <si>
    <t>2000 cnunemihOb</t>
  </si>
  <si>
    <t>2006 Census</t>
  </si>
  <si>
    <t>2006 cnunemihOb</t>
  </si>
  <si>
    <t>2014 Census</t>
  </si>
  <si>
    <t>2014 cnunemihOb</t>
  </si>
  <si>
    <t>Wrufurumua</t>
  </si>
  <si>
    <t>Age group</t>
  </si>
  <si>
    <t>wlcmuj</t>
  </si>
  <si>
    <t>Total</t>
  </si>
  <si>
    <t>0-4</t>
  </si>
  <si>
    <t xml:space="preserve">cSwdcnurwhwa 1 </t>
  </si>
  <si>
    <t>5 - 9</t>
  </si>
  <si>
    <t>Less than 1 year</t>
  </si>
  <si>
    <t>10 - 14</t>
  </si>
  <si>
    <t>1 - 4</t>
  </si>
  <si>
    <t>15 - 19</t>
  </si>
  <si>
    <t>5</t>
  </si>
  <si>
    <t>20 - 24</t>
  </si>
  <si>
    <t>6 - 9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</si>
  <si>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</si>
  <si>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</si>
  <si>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</si>
  <si>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</si>
  <si>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</si>
  <si>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</si>
  <si>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</si>
  <si>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</si>
  <si>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</si>
  <si>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</si>
  <si>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75+</t>
  </si>
  <si>
    <t>75 - 79</t>
  </si>
  <si>
    <t>80 - 84</t>
  </si>
  <si>
    <t>85 - 89</t>
  </si>
  <si>
    <t>90 - 94</t>
  </si>
  <si>
    <t>95 years and over</t>
  </si>
  <si>
    <t>Age not stated</t>
  </si>
  <si>
    <t>Source: Maldives Bureau of Statistics</t>
  </si>
  <si>
    <t>މައުލޫމާތު ދެއްވި ފަރާތް: މޯލްޑިވްސް ބިއުރޯ އޮފް ސްޓެޓިސްޓިކްސް</t>
  </si>
  <si>
    <t>2022 cnunemihOb</t>
  </si>
  <si>
    <t>2022 Census</t>
  </si>
  <si>
    <t>Table 3.2 : TOTAL MALDIVIAN POPULATION BY AGE AND SEX, CENSUS, 1995, 2000,  2006 , 2014 AND 2022</t>
  </si>
  <si>
    <t xml:space="preserve">  2022 idwa 2014 , 2006 ، 2000 ,1995 cnunemihOb ,cnutog egcscnij iaWaWrufurumua IdWbWa egcnihevid : 3.2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</si>
</sst>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3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A_Randhoo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10"/>
      <name val="A_Randhoo"/>
    </font>
    <font>
      <sz val="11"/>
      <name val="Courier"/>
      <family val="3"/>
    </font>
    <font>
      <sz val="7"/>
      <name val="Arial"/>
      <family val="2"/>
    </font>
    <font>
      <b/>
      <sz val="8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A_Faseyha"/>
    </font>
    <font>
      <sz val="10"/>
      <name val="A_Faseyha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7">
    <xf numFmtId="0" fontId="0" fillId="0" borderId="0"/>
    <xf numFmtId="167" fontId="2" fillId="0" borderId="0"/>
    <xf numFmtId="0" fontId="13" fillId="0" borderId="0"/>
    <xf numFmtId="0" fontId="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21" fillId="0" borderId="0"/>
    <xf numFmtId="0" fontId="13" fillId="0" borderId="0"/>
    <xf numFmtId="0" fontId="13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5">
    <xf numFmtId="0" fontId="0" fillId="0" borderId="0" xfId="0"/>
    <xf numFmtId="167" fontId="3" fillId="3" borderId="0" xfId="1" applyFont="1" applyFill="1"/>
    <xf numFmtId="2" fontId="12" fillId="3" borderId="0" xfId="1" applyNumberFormat="1" applyFont="1" applyFill="1" applyAlignment="1" applyProtection="1">
      <alignment vertical="center"/>
      <protection locked="0"/>
    </xf>
    <xf numFmtId="37" fontId="9" fillId="3" borderId="0" xfId="1" applyNumberFormat="1" applyFont="1" applyFill="1" applyAlignment="1" applyProtection="1">
      <alignment horizontal="right" vertical="center"/>
      <protection locked="0"/>
    </xf>
    <xf numFmtId="4" fontId="9" fillId="3" borderId="0" xfId="1" applyNumberFormat="1" applyFont="1" applyFill="1" applyAlignment="1" applyProtection="1">
      <alignment horizontal="right" vertical="center"/>
      <protection locked="0"/>
    </xf>
    <xf numFmtId="167" fontId="3" fillId="3" borderId="0" xfId="1" applyFont="1" applyFill="1" applyAlignment="1">
      <alignment horizontal="right" vertical="center"/>
    </xf>
    <xf numFmtId="49" fontId="9" fillId="3" borderId="0" xfId="3" applyNumberFormat="1" applyFont="1" applyFill="1" applyAlignment="1">
      <alignment horizontal="center"/>
    </xf>
    <xf numFmtId="3" fontId="9" fillId="3" borderId="0" xfId="3" applyNumberFormat="1" applyFont="1" applyFill="1"/>
    <xf numFmtId="0" fontId="3" fillId="3" borderId="0" xfId="3" applyFill="1"/>
    <xf numFmtId="0" fontId="3" fillId="3" borderId="1" xfId="3" applyFill="1" applyBorder="1"/>
    <xf numFmtId="0" fontId="5" fillId="3" borderId="0" xfId="3" applyFont="1" applyFill="1"/>
    <xf numFmtId="0" fontId="14" fillId="3" borderId="3" xfId="3" applyFont="1" applyFill="1" applyBorder="1" applyAlignment="1">
      <alignment horizontal="centerContinuous" vertical="center"/>
    </xf>
    <xf numFmtId="0" fontId="9" fillId="3" borderId="3" xfId="3" applyFont="1" applyFill="1" applyBorder="1" applyAlignment="1">
      <alignment horizontal="left" vertical="center"/>
    </xf>
    <xf numFmtId="0" fontId="6" fillId="3" borderId="0" xfId="3" applyFont="1" applyFill="1" applyAlignment="1">
      <alignment horizontal="center" vertical="center"/>
    </xf>
    <xf numFmtId="0" fontId="13" fillId="3" borderId="3" xfId="3" applyFont="1" applyFill="1" applyBorder="1"/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 applyAlignment="1">
      <alignment horizontal="right"/>
    </xf>
    <xf numFmtId="3" fontId="3" fillId="3" borderId="0" xfId="3" applyNumberFormat="1" applyFill="1"/>
    <xf numFmtId="0" fontId="8" fillId="3" borderId="0" xfId="3" applyFont="1" applyFill="1" applyAlignment="1">
      <alignment horizontal="center" vertical="center"/>
    </xf>
    <xf numFmtId="0" fontId="5" fillId="3" borderId="0" xfId="3" applyFont="1" applyFill="1" applyAlignment="1">
      <alignment vertical="center"/>
    </xf>
    <xf numFmtId="0" fontId="9" fillId="3" borderId="0" xfId="3" applyFont="1" applyFill="1"/>
    <xf numFmtId="0" fontId="13" fillId="3" borderId="0" xfId="3" applyFont="1" applyFill="1"/>
    <xf numFmtId="0" fontId="14" fillId="3" borderId="0" xfId="3" applyFont="1" applyFill="1" applyAlignment="1">
      <alignment horizontal="center"/>
    </xf>
    <xf numFmtId="3" fontId="4" fillId="3" borderId="0" xfId="3" applyNumberFormat="1" applyFont="1" applyFill="1"/>
    <xf numFmtId="3" fontId="4" fillId="3" borderId="0" xfId="0" applyNumberFormat="1" applyFont="1" applyFill="1"/>
    <xf numFmtId="0" fontId="15" fillId="3" borderId="0" xfId="3" applyFont="1" applyFill="1"/>
    <xf numFmtId="49" fontId="16" fillId="3" borderId="0" xfId="3" applyNumberFormat="1" applyFont="1" applyFill="1" applyAlignment="1">
      <alignment horizontal="center"/>
    </xf>
    <xf numFmtId="167" fontId="9" fillId="3" borderId="0" xfId="1" applyFont="1" applyFill="1"/>
    <xf numFmtId="0" fontId="17" fillId="3" borderId="0" xfId="3" applyFont="1" applyFill="1" applyAlignment="1">
      <alignment horizontal="center" vertical="center"/>
    </xf>
    <xf numFmtId="3" fontId="15" fillId="3" borderId="0" xfId="3" applyNumberFormat="1" applyFont="1" applyFill="1"/>
    <xf numFmtId="3" fontId="15" fillId="3" borderId="0" xfId="0" applyNumberFormat="1" applyFont="1" applyFill="1"/>
    <xf numFmtId="0" fontId="16" fillId="3" borderId="0" xfId="3" applyFont="1" applyFill="1" applyAlignment="1">
      <alignment horizontal="center" vertical="top"/>
    </xf>
    <xf numFmtId="3" fontId="10" fillId="3" borderId="0" xfId="3" applyNumberFormat="1" applyFont="1" applyFill="1" applyAlignment="1">
      <alignment horizontal="right" vertical="center"/>
    </xf>
    <xf numFmtId="3" fontId="10" fillId="3" borderId="0" xfId="0" applyNumberFormat="1" applyFont="1" applyFill="1" applyAlignment="1">
      <alignment horizontal="right" vertical="center"/>
    </xf>
    <xf numFmtId="0" fontId="15" fillId="3" borderId="0" xfId="3" applyFont="1" applyFill="1" applyAlignment="1">
      <alignment horizontal="right" vertical="center"/>
    </xf>
    <xf numFmtId="0" fontId="3" fillId="3" borderId="0" xfId="3" applyFill="1" applyAlignment="1">
      <alignment vertical="top"/>
    </xf>
    <xf numFmtId="3" fontId="10" fillId="3" borderId="0" xfId="2" applyNumberFormat="1" applyFont="1" applyFill="1"/>
    <xf numFmtId="167" fontId="18" fillId="3" borderId="0" xfId="1" applyFont="1" applyFill="1" applyAlignment="1">
      <alignment horizontal="right" vertical="center"/>
    </xf>
    <xf numFmtId="0" fontId="10" fillId="3" borderId="0" xfId="3" applyFont="1" applyFill="1" applyAlignment="1">
      <alignment horizontal="right" vertical="center"/>
    </xf>
    <xf numFmtId="0" fontId="16" fillId="3" borderId="1" xfId="3" applyFont="1" applyFill="1" applyBorder="1" applyAlignment="1">
      <alignment horizontal="center"/>
    </xf>
    <xf numFmtId="0" fontId="10" fillId="3" borderId="1" xfId="3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167" fontId="18" fillId="3" borderId="1" xfId="1" applyFont="1" applyFill="1" applyBorder="1" applyAlignment="1">
      <alignment horizontal="right" vertical="center"/>
    </xf>
    <xf numFmtId="0" fontId="3" fillId="3" borderId="2" xfId="3" applyFill="1" applyBorder="1"/>
    <xf numFmtId="167" fontId="2" fillId="3" borderId="0" xfId="1" applyFill="1"/>
    <xf numFmtId="0" fontId="9" fillId="3" borderId="0" xfId="3" applyFont="1" applyFill="1" applyAlignment="1">
      <alignment vertical="center"/>
    </xf>
    <xf numFmtId="49" fontId="9" fillId="3" borderId="0" xfId="1" applyNumberFormat="1" applyFont="1" applyFill="1" applyAlignment="1">
      <alignment horizontal="right" vertical="center"/>
    </xf>
    <xf numFmtId="167" fontId="19" fillId="3" borderId="0" xfId="1" applyFont="1" applyFill="1" applyAlignment="1">
      <alignment horizontal="right" vertical="center"/>
    </xf>
    <xf numFmtId="37" fontId="7" fillId="3" borderId="0" xfId="1" applyNumberFormat="1" applyFont="1" applyFill="1" applyAlignment="1">
      <alignment horizontal="right" vertical="center"/>
    </xf>
    <xf numFmtId="167" fontId="5" fillId="3" borderId="0" xfId="1" applyFont="1" applyFill="1" applyAlignment="1">
      <alignment horizontal="right" vertical="center"/>
    </xf>
    <xf numFmtId="0" fontId="20" fillId="3" borderId="0" xfId="0" applyFont="1" applyFill="1" applyAlignment="1">
      <alignment horizontal="center" vertical="center" readingOrder="1"/>
    </xf>
    <xf numFmtId="167" fontId="11" fillId="2" borderId="0" xfId="1" applyFont="1" applyFill="1" applyAlignment="1">
      <alignment horizontal="left" vertical="center"/>
    </xf>
    <xf numFmtId="2" fontId="12" fillId="2" borderId="0" xfId="1" applyNumberFormat="1" applyFont="1" applyFill="1" applyAlignment="1" applyProtection="1">
      <alignment vertical="center"/>
      <protection locked="0"/>
    </xf>
    <xf numFmtId="0" fontId="22" fillId="3" borderId="0" xfId="3" applyFont="1" applyFill="1" applyAlignment="1">
      <alignment horizontal="right" vertical="center"/>
    </xf>
    <xf numFmtId="0" fontId="22" fillId="3" borderId="0" xfId="3" applyFont="1" applyFill="1" applyAlignment="1">
      <alignment horizontal="center" vertical="center"/>
    </xf>
    <xf numFmtId="0" fontId="23" fillId="3" borderId="0" xfId="3" applyFont="1" applyFill="1"/>
    <xf numFmtId="0" fontId="22" fillId="3" borderId="3" xfId="3" applyFont="1" applyFill="1" applyBorder="1" applyAlignment="1">
      <alignment horizontal="right" vertical="center"/>
    </xf>
    <xf numFmtId="173" fontId="0" fillId="0" borderId="5" xfId="15" applyNumberFormat="1" applyFont="1" applyBorder="1"/>
    <xf numFmtId="0" fontId="14" fillId="3" borderId="4" xfId="3" applyFont="1" applyFill="1" applyBorder="1" applyAlignment="1">
      <alignment horizontal="centerContinuous" vertical="center"/>
    </xf>
    <xf numFmtId="0" fontId="13" fillId="3" borderId="4" xfId="3" applyFont="1" applyFill="1" applyBorder="1"/>
    <xf numFmtId="0" fontId="22" fillId="3" borderId="4" xfId="3" applyFont="1" applyFill="1" applyBorder="1" applyAlignment="1">
      <alignment horizontal="right" vertical="center"/>
    </xf>
    <xf numFmtId="3" fontId="0" fillId="0" borderId="5" xfId="15" applyNumberFormat="1" applyFont="1" applyBorder="1"/>
    <xf numFmtId="0" fontId="22" fillId="3" borderId="0" xfId="3" applyFont="1" applyFill="1" applyAlignment="1">
      <alignment horizontal="center" vertical="center"/>
    </xf>
    <xf numFmtId="0" fontId="4" fillId="3" borderId="0" xfId="3" applyFont="1" applyFill="1" applyAlignment="1">
      <alignment horizontal="center" vertical="center"/>
    </xf>
  </cellXfs>
  <cellStyles count="27">
    <cellStyle name="1" xfId="16" xr:uid="{00000000-0005-0000-0000-000000000000}"/>
    <cellStyle name="Comma" xfId="15" builtinId="3"/>
    <cellStyle name="Comma 2" xfId="14" xr:uid="{00000000-0005-0000-0000-000002000000}"/>
    <cellStyle name="Comma 2 2" xfId="25" xr:uid="{00000000-0005-0000-0000-000003000000}"/>
    <cellStyle name="Comma 3" xfId="7" xr:uid="{00000000-0005-0000-0000-000004000000}"/>
    <cellStyle name="Comma 3 2" xfId="18" xr:uid="{00000000-0005-0000-0000-000005000000}"/>
    <cellStyle name="Comma 3 3" xfId="26" xr:uid="{00000000-0005-0000-0000-000006000000}"/>
    <cellStyle name="Comma 4" xfId="5" xr:uid="{00000000-0005-0000-0000-000007000000}"/>
    <cellStyle name="Comma 4 2" xfId="21" xr:uid="{00000000-0005-0000-0000-000008000000}"/>
    <cellStyle name="Comma 7" xfId="17" xr:uid="{00000000-0005-0000-0000-000009000000}"/>
    <cellStyle name="Normal" xfId="0" builtinId="0"/>
    <cellStyle name="Normal 11" xfId="8" xr:uid="{00000000-0005-0000-0000-00000E000000}"/>
    <cellStyle name="Normal 2" xfId="6" xr:uid="{00000000-0005-0000-0000-00000F000000}"/>
    <cellStyle name="Normal 2 2" xfId="22" xr:uid="{00000000-0005-0000-0000-000010000000}"/>
    <cellStyle name="Normal 20" xfId="4" xr:uid="{00000000-0005-0000-0000-000011000000}"/>
    <cellStyle name="Normal 20 2" xfId="20" xr:uid="{00000000-0005-0000-0000-000012000000}"/>
    <cellStyle name="Normal 3" xfId="13" xr:uid="{00000000-0005-0000-0000-000013000000}"/>
    <cellStyle name="Normal 32" xfId="9" xr:uid="{00000000-0005-0000-0000-000014000000}"/>
    <cellStyle name="Normal 32 2" xfId="23" xr:uid="{00000000-0005-0000-0000-000015000000}"/>
    <cellStyle name="Normal 4" xfId="12" xr:uid="{00000000-0005-0000-0000-000016000000}"/>
    <cellStyle name="Normal 44" xfId="10" xr:uid="{00000000-0005-0000-0000-000017000000}"/>
    <cellStyle name="Normal 44 2" xfId="24" xr:uid="{00000000-0005-0000-0000-000018000000}"/>
    <cellStyle name="Normal 48" xfId="11" xr:uid="{00000000-0005-0000-0000-000019000000}"/>
    <cellStyle name="Normal 5" xfId="2" xr:uid="{00000000-0005-0000-0000-00001A000000}"/>
    <cellStyle name="Normal 5 2" xfId="19" xr:uid="{00000000-0005-0000-0000-00001B000000}"/>
    <cellStyle name="Normal_3 Population." xfId="1" xr:uid="{00000000-0005-0000-0000-00001D000000}"/>
    <cellStyle name="Normal_II-14(Population)" xfId="3" xr:uid="{00000000-0005-0000-0000-000020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1995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'3.2'!$AN$7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'3.2'!$AL$8:$AL$23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'3.2'!$AN$8:$AN$23</c:f>
              <c:numCache>
                <c:formatCode>#,##0</c:formatCode>
                <c:ptCount val="16"/>
                <c:pt idx="0">
                  <c:v>17859</c:v>
                </c:pt>
                <c:pt idx="1">
                  <c:v>19919</c:v>
                </c:pt>
                <c:pt idx="2">
                  <c:v>17584</c:v>
                </c:pt>
                <c:pt idx="3">
                  <c:v>12562</c:v>
                </c:pt>
                <c:pt idx="4">
                  <c:v>11077</c:v>
                </c:pt>
                <c:pt idx="5">
                  <c:v>9389</c:v>
                </c:pt>
                <c:pt idx="6">
                  <c:v>7785</c:v>
                </c:pt>
                <c:pt idx="7">
                  <c:v>6317</c:v>
                </c:pt>
                <c:pt idx="8">
                  <c:v>3297</c:v>
                </c:pt>
                <c:pt idx="9">
                  <c:v>3215</c:v>
                </c:pt>
                <c:pt idx="10">
                  <c:v>3042</c:v>
                </c:pt>
                <c:pt idx="11">
                  <c:v>2722</c:v>
                </c:pt>
                <c:pt idx="12">
                  <c:v>2284</c:v>
                </c:pt>
                <c:pt idx="13">
                  <c:v>1304</c:v>
                </c:pt>
                <c:pt idx="14">
                  <c:v>822</c:v>
                </c:pt>
                <c:pt idx="15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9-409C-846C-416F5A6AA65A}"/>
            </c:ext>
          </c:extLst>
        </c:ser>
        <c:ser>
          <c:idx val="1"/>
          <c:order val="1"/>
          <c:tx>
            <c:strRef>
              <c:f>'3.2'!$AM$7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'3.2'!$AL$8:$AL$23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'3.2'!$AM$8:$AM$23</c:f>
              <c:numCache>
                <c:formatCode>General_)</c:formatCode>
                <c:ptCount val="16"/>
                <c:pt idx="0">
                  <c:v>-19113</c:v>
                </c:pt>
                <c:pt idx="1">
                  <c:v>-20840</c:v>
                </c:pt>
                <c:pt idx="2">
                  <c:v>-18286</c:v>
                </c:pt>
                <c:pt idx="3">
                  <c:v>-12343</c:v>
                </c:pt>
                <c:pt idx="4">
                  <c:v>-9944</c:v>
                </c:pt>
                <c:pt idx="5">
                  <c:v>-8802</c:v>
                </c:pt>
                <c:pt idx="6">
                  <c:v>-7579</c:v>
                </c:pt>
                <c:pt idx="7">
                  <c:v>-6315</c:v>
                </c:pt>
                <c:pt idx="8">
                  <c:v>-3625</c:v>
                </c:pt>
                <c:pt idx="9">
                  <c:v>-3369</c:v>
                </c:pt>
                <c:pt idx="10">
                  <c:v>-3205</c:v>
                </c:pt>
                <c:pt idx="11">
                  <c:v>-3240</c:v>
                </c:pt>
                <c:pt idx="12">
                  <c:v>-3010</c:v>
                </c:pt>
                <c:pt idx="13">
                  <c:v>-1897</c:v>
                </c:pt>
                <c:pt idx="14">
                  <c:v>-1279</c:v>
                </c:pt>
                <c:pt idx="15">
                  <c:v>-1384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9-409C-846C-416F5A6A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5714656"/>
        <c:axId val="385716224"/>
      </c:barChart>
      <c:dateAx>
        <c:axId val="385714656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6224"/>
        <c:crosses val="autoZero"/>
        <c:auto val="0"/>
        <c:lblOffset val="100"/>
        <c:baseTimeUnit val="days"/>
      </c:dateAx>
      <c:valAx>
        <c:axId val="38571622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4656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1995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[1]Sheet1!$B$61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[1]Sheet1!$B$62:$B$77</c:f>
              <c:numCache>
                <c:formatCode>General</c:formatCode>
                <c:ptCount val="16"/>
                <c:pt idx="0">
                  <c:v>19113</c:v>
                </c:pt>
                <c:pt idx="1">
                  <c:v>20840</c:v>
                </c:pt>
                <c:pt idx="2">
                  <c:v>18286</c:v>
                </c:pt>
                <c:pt idx="3">
                  <c:v>12343</c:v>
                </c:pt>
                <c:pt idx="4">
                  <c:v>9944</c:v>
                </c:pt>
                <c:pt idx="5">
                  <c:v>8802</c:v>
                </c:pt>
                <c:pt idx="6">
                  <c:v>7579</c:v>
                </c:pt>
                <c:pt idx="7">
                  <c:v>6315</c:v>
                </c:pt>
                <c:pt idx="8">
                  <c:v>3625</c:v>
                </c:pt>
                <c:pt idx="9">
                  <c:v>3369</c:v>
                </c:pt>
                <c:pt idx="10">
                  <c:v>3205</c:v>
                </c:pt>
                <c:pt idx="11">
                  <c:v>3240</c:v>
                </c:pt>
                <c:pt idx="12">
                  <c:v>3010</c:v>
                </c:pt>
                <c:pt idx="13">
                  <c:v>1897</c:v>
                </c:pt>
                <c:pt idx="14">
                  <c:v>1279</c:v>
                </c:pt>
                <c:pt idx="15">
                  <c:v>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3-4F0C-89FF-081E252C2486}"/>
            </c:ext>
          </c:extLst>
        </c:ser>
        <c:ser>
          <c:idx val="1"/>
          <c:order val="1"/>
          <c:tx>
            <c:strRef>
              <c:f>[1]Sheet1!$C$61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[1]Sheet1!$C$62:$C$77</c:f>
              <c:numCache>
                <c:formatCode>General</c:formatCode>
                <c:ptCount val="16"/>
                <c:pt idx="0">
                  <c:v>-17859</c:v>
                </c:pt>
                <c:pt idx="1">
                  <c:v>-19919</c:v>
                </c:pt>
                <c:pt idx="2">
                  <c:v>-17584</c:v>
                </c:pt>
                <c:pt idx="3">
                  <c:v>-12562</c:v>
                </c:pt>
                <c:pt idx="4">
                  <c:v>-11077</c:v>
                </c:pt>
                <c:pt idx="5">
                  <c:v>-9389</c:v>
                </c:pt>
                <c:pt idx="6">
                  <c:v>-7785</c:v>
                </c:pt>
                <c:pt idx="7">
                  <c:v>-6317</c:v>
                </c:pt>
                <c:pt idx="8">
                  <c:v>-3297</c:v>
                </c:pt>
                <c:pt idx="9">
                  <c:v>-3215</c:v>
                </c:pt>
                <c:pt idx="10">
                  <c:v>-3042</c:v>
                </c:pt>
                <c:pt idx="11">
                  <c:v>-2722</c:v>
                </c:pt>
                <c:pt idx="12">
                  <c:v>-2284</c:v>
                </c:pt>
                <c:pt idx="13">
                  <c:v>-1304</c:v>
                </c:pt>
                <c:pt idx="14">
                  <c:v>-822</c:v>
                </c:pt>
                <c:pt idx="15">
                  <c:v>-862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3-4F0C-89FF-081E252C2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85717400"/>
        <c:axId val="385718968"/>
      </c:barChart>
      <c:catAx>
        <c:axId val="385717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5718968"/>
        <c:crosses val="autoZero"/>
        <c:auto val="1"/>
        <c:lblAlgn val="ctr"/>
        <c:lblOffset val="100"/>
        <c:tickLblSkip val="9"/>
        <c:tickMarkSkip val="1"/>
        <c:noMultiLvlLbl val="0"/>
      </c:catAx>
      <c:valAx>
        <c:axId val="385718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57174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[1]Sheet1!$B$87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[1]Sheet1!$B$88:$B$103</c:f>
              <c:numCache>
                <c:formatCode>General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8-4F64-8B0C-E4D03F6886A9}"/>
            </c:ext>
          </c:extLst>
        </c:ser>
        <c:ser>
          <c:idx val="1"/>
          <c:order val="1"/>
          <c:tx>
            <c:strRef>
              <c:f>[1]Sheet1!$C$87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[1]Sheet1!$C$88:$C$103</c:f>
              <c:numCache>
                <c:formatCode>General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8-4F64-8B0C-E4D03F68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497988848"/>
        <c:axId val="497992376"/>
      </c:barChart>
      <c:catAx>
        <c:axId val="497988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60000" vert="horz"/>
              <a:lstStyle/>
              <a:p>
                <a:pPr algn="ctr"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7992376"/>
        <c:crossesAt val="0"/>
        <c:auto val="0"/>
        <c:lblAlgn val="ctr"/>
        <c:lblOffset val="100"/>
        <c:tickLblSkip val="2"/>
        <c:tickMarkSkip val="1"/>
        <c:noMultiLvlLbl val="0"/>
      </c:catAx>
      <c:valAx>
        <c:axId val="497992376"/>
        <c:scaling>
          <c:orientation val="minMax"/>
          <c:max val="30000"/>
          <c:min val="-30000"/>
        </c:scaling>
        <c:delete val="0"/>
        <c:axPos val="b"/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7988848"/>
        <c:crosses val="autoZero"/>
        <c:crossBetween val="between"/>
        <c:majorUnit val="10000"/>
        <c:minorUnit val="2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2014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'3.2'!$AN$78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'3.2'!$AL$79:$AL$94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'3.2'!$AN$79:$AN$94</c:f>
              <c:numCache>
                <c:formatCode>#,##0</c:formatCode>
                <c:ptCount val="16"/>
                <c:pt idx="0">
                  <c:v>17223</c:v>
                </c:pt>
                <c:pt idx="1">
                  <c:v>15616</c:v>
                </c:pt>
                <c:pt idx="2">
                  <c:v>12787</c:v>
                </c:pt>
                <c:pt idx="3">
                  <c:v>15461</c:v>
                </c:pt>
                <c:pt idx="4">
                  <c:v>18537</c:v>
                </c:pt>
                <c:pt idx="5">
                  <c:v>19738</c:v>
                </c:pt>
                <c:pt idx="6">
                  <c:v>15868</c:v>
                </c:pt>
                <c:pt idx="7">
                  <c:v>11518</c:v>
                </c:pt>
                <c:pt idx="8">
                  <c:v>10064</c:v>
                </c:pt>
                <c:pt idx="9">
                  <c:v>8795</c:v>
                </c:pt>
                <c:pt idx="10">
                  <c:v>7405</c:v>
                </c:pt>
                <c:pt idx="11">
                  <c:v>5672</c:v>
                </c:pt>
                <c:pt idx="12">
                  <c:v>2922</c:v>
                </c:pt>
                <c:pt idx="13">
                  <c:v>2426</c:v>
                </c:pt>
                <c:pt idx="14">
                  <c:v>2372</c:v>
                </c:pt>
                <c:pt idx="15">
                  <c:v>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BD-4796-9A8F-2B78C860658C}"/>
            </c:ext>
          </c:extLst>
        </c:ser>
        <c:ser>
          <c:idx val="2"/>
          <c:order val="1"/>
          <c:tx>
            <c:strRef>
              <c:f>'3.2'!$AM$78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'3.2'!$AL$79:$AL$94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'3.2'!$AM$79:$AM$94</c:f>
              <c:numCache>
                <c:formatCode>General_)</c:formatCode>
                <c:ptCount val="16"/>
                <c:pt idx="0">
                  <c:v>-18863</c:v>
                </c:pt>
                <c:pt idx="1">
                  <c:v>-16364</c:v>
                </c:pt>
                <c:pt idx="2">
                  <c:v>-13571</c:v>
                </c:pt>
                <c:pt idx="3">
                  <c:v>-15922</c:v>
                </c:pt>
                <c:pt idx="4">
                  <c:v>-19349</c:v>
                </c:pt>
                <c:pt idx="5">
                  <c:v>-19451</c:v>
                </c:pt>
                <c:pt idx="6">
                  <c:v>-15494</c:v>
                </c:pt>
                <c:pt idx="7">
                  <c:v>-11386</c:v>
                </c:pt>
                <c:pt idx="8">
                  <c:v>-9811</c:v>
                </c:pt>
                <c:pt idx="9">
                  <c:v>-8784</c:v>
                </c:pt>
                <c:pt idx="10">
                  <c:v>-7645</c:v>
                </c:pt>
                <c:pt idx="11">
                  <c:v>-6031</c:v>
                </c:pt>
                <c:pt idx="12">
                  <c:v>-3327</c:v>
                </c:pt>
                <c:pt idx="13">
                  <c:v>-2445</c:v>
                </c:pt>
                <c:pt idx="14">
                  <c:v>-2471</c:v>
                </c:pt>
                <c:pt idx="15">
                  <c:v>-3752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BD-4796-9A8F-2B78C860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92731112"/>
        <c:axId val="392734640"/>
      </c:barChart>
      <c:dateAx>
        <c:axId val="39273111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4640"/>
        <c:crosses val="autoZero"/>
        <c:auto val="0"/>
        <c:lblOffset val="100"/>
        <c:baseTimeUnit val="days"/>
      </c:dateAx>
      <c:valAx>
        <c:axId val="392734640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111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'3.2'!$AN$31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'3.2'!$AL$32:$AL$47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'3.2'!$AN$32:$AN$47</c:f>
              <c:numCache>
                <c:formatCode>#,##0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8-44E6-BB45-19C88B456203}"/>
            </c:ext>
          </c:extLst>
        </c:ser>
        <c:ser>
          <c:idx val="0"/>
          <c:order val="1"/>
          <c:tx>
            <c:strRef>
              <c:f>'3.2'!$AM$31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'3.2'!$AL$32:$AL$47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'3.2'!$AM$32:$AM$47</c:f>
              <c:numCache>
                <c:formatCode>General_)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8-44E6-BB45-19C88B45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92732288"/>
        <c:axId val="343053784"/>
      </c:barChart>
      <c:dateAx>
        <c:axId val="392732288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3053784"/>
        <c:crosses val="autoZero"/>
        <c:auto val="0"/>
        <c:lblOffset val="100"/>
        <c:baseTimeUnit val="days"/>
      </c:dateAx>
      <c:valAx>
        <c:axId val="34305378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2288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2006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'3.2'!$AN$56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'3.2'!$AL$57:$AL$72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'3.2'!$AN$57:$AN$72</c:f>
              <c:numCache>
                <c:formatCode>#,##0</c:formatCode>
                <c:ptCount val="16"/>
                <c:pt idx="0">
                  <c:v>12809</c:v>
                </c:pt>
                <c:pt idx="1">
                  <c:v>14515</c:v>
                </c:pt>
                <c:pt idx="2">
                  <c:v>17888</c:v>
                </c:pt>
                <c:pt idx="3">
                  <c:v>19749</c:v>
                </c:pt>
                <c:pt idx="4">
                  <c:v>17876</c:v>
                </c:pt>
                <c:pt idx="5">
                  <c:v>12666</c:v>
                </c:pt>
                <c:pt idx="6">
                  <c:v>10613</c:v>
                </c:pt>
                <c:pt idx="7">
                  <c:v>9394</c:v>
                </c:pt>
                <c:pt idx="8">
                  <c:v>8043</c:v>
                </c:pt>
                <c:pt idx="9">
                  <c:v>6697</c:v>
                </c:pt>
                <c:pt idx="10">
                  <c:v>3789</c:v>
                </c:pt>
                <c:pt idx="11">
                  <c:v>2813</c:v>
                </c:pt>
                <c:pt idx="12">
                  <c:v>2714</c:v>
                </c:pt>
                <c:pt idx="13">
                  <c:v>2664</c:v>
                </c:pt>
                <c:pt idx="14">
                  <c:v>1853</c:v>
                </c:pt>
                <c:pt idx="15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6-4915-B2C7-EE0CC8C75F93}"/>
            </c:ext>
          </c:extLst>
        </c:ser>
        <c:ser>
          <c:idx val="1"/>
          <c:order val="1"/>
          <c:tx>
            <c:strRef>
              <c:f>'3.2'!$AM$56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'3.2'!$AL$57:$AL$72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'3.2'!$AM$57:$AM$72</c:f>
              <c:numCache>
                <c:formatCode>General_)</c:formatCode>
                <c:ptCount val="16"/>
                <c:pt idx="0">
                  <c:v>-13362</c:v>
                </c:pt>
                <c:pt idx="1">
                  <c:v>-15352</c:v>
                </c:pt>
                <c:pt idx="2">
                  <c:v>-19111</c:v>
                </c:pt>
                <c:pt idx="3">
                  <c:v>-20155</c:v>
                </c:pt>
                <c:pt idx="4">
                  <c:v>-16933</c:v>
                </c:pt>
                <c:pt idx="5">
                  <c:v>-11915</c:v>
                </c:pt>
                <c:pt idx="6">
                  <c:v>-10022</c:v>
                </c:pt>
                <c:pt idx="7">
                  <c:v>-8780</c:v>
                </c:pt>
                <c:pt idx="8">
                  <c:v>-7828</c:v>
                </c:pt>
                <c:pt idx="9">
                  <c:v>-6872</c:v>
                </c:pt>
                <c:pt idx="10">
                  <c:v>-4147</c:v>
                </c:pt>
                <c:pt idx="11">
                  <c:v>-3046</c:v>
                </c:pt>
                <c:pt idx="12">
                  <c:v>-2852</c:v>
                </c:pt>
                <c:pt idx="13">
                  <c:v>-3014</c:v>
                </c:pt>
                <c:pt idx="14">
                  <c:v>-2333</c:v>
                </c:pt>
                <c:pt idx="15">
                  <c:v>-2443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6-4915-B2C7-EE0CC8C7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6716128"/>
        <c:axId val="496722008"/>
      </c:barChart>
      <c:dateAx>
        <c:axId val="496716128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008"/>
        <c:crosses val="autoZero"/>
        <c:auto val="0"/>
        <c:lblOffset val="100"/>
        <c:baseTimeUnit val="days"/>
      </c:dateAx>
      <c:valAx>
        <c:axId val="496722008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6128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2022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'3.2'!$AN$103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'3.2'!$AL$104:$AL$119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'3.2'!$AN$104:$AN$119</c:f>
              <c:numCache>
                <c:formatCode>_(* #,##0_);_(* \(#,##0\);_(* "-"??_);_(@_)</c:formatCode>
                <c:ptCount val="16"/>
                <c:pt idx="0">
                  <c:v>14380</c:v>
                </c:pt>
                <c:pt idx="1">
                  <c:v>16855</c:v>
                </c:pt>
                <c:pt idx="2">
                  <c:v>17699</c:v>
                </c:pt>
                <c:pt idx="3">
                  <c:v>13376</c:v>
                </c:pt>
                <c:pt idx="4">
                  <c:v>12407</c:v>
                </c:pt>
                <c:pt idx="5">
                  <c:v>16650</c:v>
                </c:pt>
                <c:pt idx="6">
                  <c:v>19163</c:v>
                </c:pt>
                <c:pt idx="7">
                  <c:v>18873</c:v>
                </c:pt>
                <c:pt idx="8">
                  <c:v>13633</c:v>
                </c:pt>
                <c:pt idx="9">
                  <c:v>10840</c:v>
                </c:pt>
                <c:pt idx="10">
                  <c:v>9557</c:v>
                </c:pt>
                <c:pt idx="11">
                  <c:v>7730</c:v>
                </c:pt>
                <c:pt idx="12">
                  <c:v>6531</c:v>
                </c:pt>
                <c:pt idx="13">
                  <c:v>3959</c:v>
                </c:pt>
                <c:pt idx="14">
                  <c:v>2365</c:v>
                </c:pt>
                <c:pt idx="15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6-46AC-9EE3-54F6C9B4AAEB}"/>
            </c:ext>
          </c:extLst>
        </c:ser>
        <c:ser>
          <c:idx val="2"/>
          <c:order val="1"/>
          <c:tx>
            <c:strRef>
              <c:f>'3.2'!$AM$103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'3.2'!$AL$104:$AL$119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'3.2'!$AM$104:$AM$119</c:f>
              <c:numCache>
                <c:formatCode>#,##0</c:formatCode>
                <c:ptCount val="16"/>
                <c:pt idx="0">
                  <c:v>-14671</c:v>
                </c:pt>
                <c:pt idx="1">
                  <c:v>-17308</c:v>
                </c:pt>
                <c:pt idx="2">
                  <c:v>-18856</c:v>
                </c:pt>
                <c:pt idx="3">
                  <c:v>-14096</c:v>
                </c:pt>
                <c:pt idx="4">
                  <c:v>-13514</c:v>
                </c:pt>
                <c:pt idx="5">
                  <c:v>-18398</c:v>
                </c:pt>
                <c:pt idx="6">
                  <c:v>-20671</c:v>
                </c:pt>
                <c:pt idx="7">
                  <c:v>-19156</c:v>
                </c:pt>
                <c:pt idx="8">
                  <c:v>-13730</c:v>
                </c:pt>
                <c:pt idx="9">
                  <c:v>-10651</c:v>
                </c:pt>
                <c:pt idx="10">
                  <c:v>-9376</c:v>
                </c:pt>
                <c:pt idx="11">
                  <c:v>-7600</c:v>
                </c:pt>
                <c:pt idx="12">
                  <c:v>-6718</c:v>
                </c:pt>
                <c:pt idx="13">
                  <c:v>-4168</c:v>
                </c:pt>
                <c:pt idx="14">
                  <c:v>-2356</c:v>
                </c:pt>
                <c:pt idx="15">
                  <c:v>-3784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6-46AC-9EE3-54F6C9B4A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92731112"/>
        <c:axId val="392734640"/>
      </c:barChart>
      <c:dateAx>
        <c:axId val="39273111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4640"/>
        <c:crosses val="autoZero"/>
        <c:auto val="0"/>
        <c:lblOffset val="100"/>
        <c:baseTimeUnit val="days"/>
      </c:dateAx>
      <c:valAx>
        <c:axId val="392734640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111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93453</xdr:colOff>
      <xdr:row>33</xdr:row>
      <xdr:rowOff>180975</xdr:rowOff>
    </xdr:from>
    <xdr:to>
      <xdr:col>6</xdr:col>
      <xdr:colOff>45828</xdr:colOff>
      <xdr:row>46</xdr:row>
      <xdr:rowOff>123825</xdr:rowOff>
    </xdr:to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352425</xdr:colOff>
      <xdr:row>33</xdr:row>
      <xdr:rowOff>0</xdr:rowOff>
    </xdr:from>
    <xdr:to>
      <xdr:col>7</xdr:col>
      <xdr:colOff>457200</xdr:colOff>
      <xdr:row>33</xdr:row>
      <xdr:rowOff>28575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067300" y="7058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171450</xdr:colOff>
      <xdr:row>26</xdr:row>
      <xdr:rowOff>0</xdr:rowOff>
    </xdr:from>
    <xdr:to>
      <xdr:col>18</xdr:col>
      <xdr:colOff>266700</xdr:colOff>
      <xdr:row>26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1677650" y="5467350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95250</xdr:colOff>
      <xdr:row>33</xdr:row>
      <xdr:rowOff>38100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38225" y="7058025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228600</xdr:colOff>
      <xdr:row>33</xdr:row>
      <xdr:rowOff>0</xdr:rowOff>
    </xdr:from>
    <xdr:to>
      <xdr:col>11</xdr:col>
      <xdr:colOff>247650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628650</xdr:colOff>
      <xdr:row>26</xdr:row>
      <xdr:rowOff>0</xdr:rowOff>
    </xdr:from>
    <xdr:to>
      <xdr:col>22</xdr:col>
      <xdr:colOff>457200</xdr:colOff>
      <xdr:row>26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70036</xdr:colOff>
      <xdr:row>45</xdr:row>
      <xdr:rowOff>161084</xdr:rowOff>
    </xdr:from>
    <xdr:to>
      <xdr:col>3</xdr:col>
      <xdr:colOff>581306</xdr:colOff>
      <xdr:row>46</xdr:row>
      <xdr:rowOff>105054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832161" y="9514634"/>
          <a:ext cx="1235170" cy="13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700"/>
        </a:p>
      </xdr:txBody>
    </xdr:sp>
    <xdr:clientData/>
  </xdr:twoCellAnchor>
  <xdr:twoCellAnchor>
    <xdr:from>
      <xdr:col>10</xdr:col>
      <xdr:colOff>70572</xdr:colOff>
      <xdr:row>45</xdr:row>
      <xdr:rowOff>141784</xdr:rowOff>
    </xdr:from>
    <xdr:to>
      <xdr:col>12</xdr:col>
      <xdr:colOff>91584</xdr:colOff>
      <xdr:row>46</xdr:row>
      <xdr:rowOff>138149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309447" y="9495334"/>
          <a:ext cx="1392612" cy="186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400"/>
        </a:p>
      </xdr:txBody>
    </xdr:sp>
    <xdr:clientData/>
  </xdr:twoCellAnchor>
  <xdr:twoCellAnchor>
    <xdr:from>
      <xdr:col>1</xdr:col>
      <xdr:colOff>219075</xdr:colOff>
      <xdr:row>48</xdr:row>
      <xdr:rowOff>142875</xdr:rowOff>
    </xdr:from>
    <xdr:to>
      <xdr:col>7</xdr:col>
      <xdr:colOff>561975</xdr:colOff>
      <xdr:row>62</xdr:row>
      <xdr:rowOff>123825</xdr:rowOff>
    </xdr:to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175701</xdr:colOff>
      <xdr:row>33</xdr:row>
      <xdr:rowOff>187034</xdr:rowOff>
    </xdr:from>
    <xdr:to>
      <xdr:col>13</xdr:col>
      <xdr:colOff>431797</xdr:colOff>
      <xdr:row>46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555138</xdr:colOff>
      <xdr:row>34</xdr:row>
      <xdr:rowOff>2766</xdr:rowOff>
    </xdr:from>
    <xdr:to>
      <xdr:col>20</xdr:col>
      <xdr:colOff>45819</xdr:colOff>
      <xdr:row>47</xdr:row>
      <xdr:rowOff>0</xdr:rowOff>
    </xdr:to>
    <xdr:graphicFrame macro="">
      <xdr:nvGraphicFramePr>
        <xdr:cNvPr id="15" name="Chart 1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11988</xdr:colOff>
      <xdr:row>45</xdr:row>
      <xdr:rowOff>130064</xdr:rowOff>
    </xdr:from>
    <xdr:to>
      <xdr:col>18</xdr:col>
      <xdr:colOff>265879</xdr:colOff>
      <xdr:row>47</xdr:row>
      <xdr:rowOff>10510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9898938" y="9483614"/>
          <a:ext cx="1158766" cy="232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9</xdr:col>
      <xdr:colOff>247650</xdr:colOff>
      <xdr:row>48</xdr:row>
      <xdr:rowOff>152400</xdr:rowOff>
    </xdr:from>
    <xdr:to>
      <xdr:col>15</xdr:col>
      <xdr:colOff>615593</xdr:colOff>
      <xdr:row>62</xdr:row>
      <xdr:rowOff>133350</xdr:rowOff>
    </xdr:to>
    <xdr:graphicFrame macro="">
      <xdr:nvGraphicFramePr>
        <xdr:cNvPr id="11" name="Chart 13">
          <a:extLst>
            <a:ext uri="{FF2B5EF4-FFF2-40B4-BE49-F238E27FC236}">
              <a16:creationId xmlns:a16="http://schemas.microsoft.com/office/drawing/2014/main" id="{6D31238C-590B-41D8-B32F-B27CE792E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O119"/>
  <sheetViews>
    <sheetView tabSelected="1" topLeftCell="B1" zoomScaleNormal="100" workbookViewId="0">
      <selection activeCell="X1" sqref="X1:AC1048576"/>
    </sheetView>
  </sheetViews>
  <sheetFormatPr defaultRowHeight="12.75" x14ac:dyDescent="0.2"/>
  <cols>
    <col min="1" max="1" width="15.5703125" style="8" customWidth="1"/>
    <col min="2" max="4" width="10.85546875" style="8" customWidth="1"/>
    <col min="5" max="5" width="2.28515625" style="8" customWidth="1"/>
    <col min="6" max="8" width="10.140625" style="8" customWidth="1"/>
    <col min="9" max="9" width="2.42578125" style="8" customWidth="1"/>
    <col min="10" max="12" width="10.28515625" style="8" customWidth="1"/>
    <col min="13" max="13" width="2.85546875" style="8" customWidth="1"/>
    <col min="14" max="16" width="10.42578125" style="8" customWidth="1"/>
    <col min="17" max="17" width="1.42578125" style="8" customWidth="1"/>
    <col min="18" max="18" width="12.140625" style="8" customWidth="1"/>
    <col min="19" max="19" width="11.85546875" style="8" bestFit="1" customWidth="1"/>
    <col min="20" max="20" width="10.5703125" style="8" bestFit="1" customWidth="1"/>
    <col min="21" max="21" width="3.85546875" style="8" customWidth="1"/>
    <col min="22" max="22" width="11.85546875" style="8" bestFit="1" customWidth="1"/>
    <col min="23" max="23" width="10.5703125" style="8" bestFit="1" customWidth="1"/>
    <col min="24" max="31" width="10.5703125" style="8" customWidth="1"/>
    <col min="32" max="38" width="9.140625" style="8"/>
    <col min="39" max="39" width="11.85546875" style="8" bestFit="1" customWidth="1"/>
    <col min="40" max="40" width="10.85546875" style="8" customWidth="1"/>
    <col min="41" max="262" width="9.140625" style="8"/>
    <col min="263" max="263" width="15.5703125" style="8" customWidth="1"/>
    <col min="264" max="266" width="10.85546875" style="8" customWidth="1"/>
    <col min="267" max="267" width="2.28515625" style="8" customWidth="1"/>
    <col min="268" max="270" width="10.140625" style="8" customWidth="1"/>
    <col min="271" max="271" width="2.42578125" style="8" customWidth="1"/>
    <col min="272" max="274" width="10.28515625" style="8" customWidth="1"/>
    <col min="275" max="275" width="2.85546875" style="8" customWidth="1"/>
    <col min="276" max="278" width="10.42578125" style="8" customWidth="1"/>
    <col min="279" max="280" width="12.140625" style="8" customWidth="1"/>
    <col min="281" max="281" width="11.85546875" style="8" bestFit="1" customWidth="1"/>
    <col min="282" max="283" width="10.5703125" style="8" bestFit="1" customWidth="1"/>
    <col min="284" max="284" width="11.85546875" style="8" bestFit="1" customWidth="1"/>
    <col min="285" max="285" width="10.5703125" style="8" bestFit="1" customWidth="1"/>
    <col min="286" max="287" width="10.5703125" style="8" customWidth="1"/>
    <col min="288" max="295" width="9.140625" style="8"/>
    <col min="296" max="296" width="10.85546875" style="8" customWidth="1"/>
    <col min="297" max="518" width="9.140625" style="8"/>
    <col min="519" max="519" width="15.5703125" style="8" customWidth="1"/>
    <col min="520" max="522" width="10.85546875" style="8" customWidth="1"/>
    <col min="523" max="523" width="2.28515625" style="8" customWidth="1"/>
    <col min="524" max="526" width="10.140625" style="8" customWidth="1"/>
    <col min="527" max="527" width="2.42578125" style="8" customWidth="1"/>
    <col min="528" max="530" width="10.28515625" style="8" customWidth="1"/>
    <col min="531" max="531" width="2.85546875" style="8" customWidth="1"/>
    <col min="532" max="534" width="10.42578125" style="8" customWidth="1"/>
    <col min="535" max="536" width="12.140625" style="8" customWidth="1"/>
    <col min="537" max="537" width="11.85546875" style="8" bestFit="1" customWidth="1"/>
    <col min="538" max="539" width="10.5703125" style="8" bestFit="1" customWidth="1"/>
    <col min="540" max="540" width="11.85546875" style="8" bestFit="1" customWidth="1"/>
    <col min="541" max="541" width="10.5703125" style="8" bestFit="1" customWidth="1"/>
    <col min="542" max="543" width="10.5703125" style="8" customWidth="1"/>
    <col min="544" max="551" width="9.140625" style="8"/>
    <col min="552" max="552" width="10.85546875" style="8" customWidth="1"/>
    <col min="553" max="774" width="9.140625" style="8"/>
    <col min="775" max="775" width="15.5703125" style="8" customWidth="1"/>
    <col min="776" max="778" width="10.85546875" style="8" customWidth="1"/>
    <col min="779" max="779" width="2.28515625" style="8" customWidth="1"/>
    <col min="780" max="782" width="10.140625" style="8" customWidth="1"/>
    <col min="783" max="783" width="2.42578125" style="8" customWidth="1"/>
    <col min="784" max="786" width="10.28515625" style="8" customWidth="1"/>
    <col min="787" max="787" width="2.85546875" style="8" customWidth="1"/>
    <col min="788" max="790" width="10.42578125" style="8" customWidth="1"/>
    <col min="791" max="792" width="12.140625" style="8" customWidth="1"/>
    <col min="793" max="793" width="11.85546875" style="8" bestFit="1" customWidth="1"/>
    <col min="794" max="795" width="10.5703125" style="8" bestFit="1" customWidth="1"/>
    <col min="796" max="796" width="11.85546875" style="8" bestFit="1" customWidth="1"/>
    <col min="797" max="797" width="10.5703125" style="8" bestFit="1" customWidth="1"/>
    <col min="798" max="799" width="10.5703125" style="8" customWidth="1"/>
    <col min="800" max="807" width="9.140625" style="8"/>
    <col min="808" max="808" width="10.85546875" style="8" customWidth="1"/>
    <col min="809" max="1030" width="9.140625" style="8"/>
    <col min="1031" max="1031" width="15.5703125" style="8" customWidth="1"/>
    <col min="1032" max="1034" width="10.85546875" style="8" customWidth="1"/>
    <col min="1035" max="1035" width="2.28515625" style="8" customWidth="1"/>
    <col min="1036" max="1038" width="10.140625" style="8" customWidth="1"/>
    <col min="1039" max="1039" width="2.42578125" style="8" customWidth="1"/>
    <col min="1040" max="1042" width="10.28515625" style="8" customWidth="1"/>
    <col min="1043" max="1043" width="2.85546875" style="8" customWidth="1"/>
    <col min="1044" max="1046" width="10.42578125" style="8" customWidth="1"/>
    <col min="1047" max="1048" width="12.140625" style="8" customWidth="1"/>
    <col min="1049" max="1049" width="11.85546875" style="8" bestFit="1" customWidth="1"/>
    <col min="1050" max="1051" width="10.5703125" style="8" bestFit="1" customWidth="1"/>
    <col min="1052" max="1052" width="11.85546875" style="8" bestFit="1" customWidth="1"/>
    <col min="1053" max="1053" width="10.5703125" style="8" bestFit="1" customWidth="1"/>
    <col min="1054" max="1055" width="10.5703125" style="8" customWidth="1"/>
    <col min="1056" max="1063" width="9.140625" style="8"/>
    <col min="1064" max="1064" width="10.85546875" style="8" customWidth="1"/>
    <col min="1065" max="1286" width="9.140625" style="8"/>
    <col min="1287" max="1287" width="15.5703125" style="8" customWidth="1"/>
    <col min="1288" max="1290" width="10.85546875" style="8" customWidth="1"/>
    <col min="1291" max="1291" width="2.28515625" style="8" customWidth="1"/>
    <col min="1292" max="1294" width="10.140625" style="8" customWidth="1"/>
    <col min="1295" max="1295" width="2.42578125" style="8" customWidth="1"/>
    <col min="1296" max="1298" width="10.28515625" style="8" customWidth="1"/>
    <col min="1299" max="1299" width="2.85546875" style="8" customWidth="1"/>
    <col min="1300" max="1302" width="10.42578125" style="8" customWidth="1"/>
    <col min="1303" max="1304" width="12.140625" style="8" customWidth="1"/>
    <col min="1305" max="1305" width="11.85546875" style="8" bestFit="1" customWidth="1"/>
    <col min="1306" max="1307" width="10.5703125" style="8" bestFit="1" customWidth="1"/>
    <col min="1308" max="1308" width="11.85546875" style="8" bestFit="1" customWidth="1"/>
    <col min="1309" max="1309" width="10.5703125" style="8" bestFit="1" customWidth="1"/>
    <col min="1310" max="1311" width="10.5703125" style="8" customWidth="1"/>
    <col min="1312" max="1319" width="9.140625" style="8"/>
    <col min="1320" max="1320" width="10.85546875" style="8" customWidth="1"/>
    <col min="1321" max="1542" width="9.140625" style="8"/>
    <col min="1543" max="1543" width="15.5703125" style="8" customWidth="1"/>
    <col min="1544" max="1546" width="10.85546875" style="8" customWidth="1"/>
    <col min="1547" max="1547" width="2.28515625" style="8" customWidth="1"/>
    <col min="1548" max="1550" width="10.140625" style="8" customWidth="1"/>
    <col min="1551" max="1551" width="2.42578125" style="8" customWidth="1"/>
    <col min="1552" max="1554" width="10.28515625" style="8" customWidth="1"/>
    <col min="1555" max="1555" width="2.85546875" style="8" customWidth="1"/>
    <col min="1556" max="1558" width="10.42578125" style="8" customWidth="1"/>
    <col min="1559" max="1560" width="12.140625" style="8" customWidth="1"/>
    <col min="1561" max="1561" width="11.85546875" style="8" bestFit="1" customWidth="1"/>
    <col min="1562" max="1563" width="10.5703125" style="8" bestFit="1" customWidth="1"/>
    <col min="1564" max="1564" width="11.85546875" style="8" bestFit="1" customWidth="1"/>
    <col min="1565" max="1565" width="10.5703125" style="8" bestFit="1" customWidth="1"/>
    <col min="1566" max="1567" width="10.5703125" style="8" customWidth="1"/>
    <col min="1568" max="1575" width="9.140625" style="8"/>
    <col min="1576" max="1576" width="10.85546875" style="8" customWidth="1"/>
    <col min="1577" max="1798" width="9.140625" style="8"/>
    <col min="1799" max="1799" width="15.5703125" style="8" customWidth="1"/>
    <col min="1800" max="1802" width="10.85546875" style="8" customWidth="1"/>
    <col min="1803" max="1803" width="2.28515625" style="8" customWidth="1"/>
    <col min="1804" max="1806" width="10.140625" style="8" customWidth="1"/>
    <col min="1807" max="1807" width="2.42578125" style="8" customWidth="1"/>
    <col min="1808" max="1810" width="10.28515625" style="8" customWidth="1"/>
    <col min="1811" max="1811" width="2.85546875" style="8" customWidth="1"/>
    <col min="1812" max="1814" width="10.42578125" style="8" customWidth="1"/>
    <col min="1815" max="1816" width="12.140625" style="8" customWidth="1"/>
    <col min="1817" max="1817" width="11.85546875" style="8" bestFit="1" customWidth="1"/>
    <col min="1818" max="1819" width="10.5703125" style="8" bestFit="1" customWidth="1"/>
    <col min="1820" max="1820" width="11.85546875" style="8" bestFit="1" customWidth="1"/>
    <col min="1821" max="1821" width="10.5703125" style="8" bestFit="1" customWidth="1"/>
    <col min="1822" max="1823" width="10.5703125" style="8" customWidth="1"/>
    <col min="1824" max="1831" width="9.140625" style="8"/>
    <col min="1832" max="1832" width="10.85546875" style="8" customWidth="1"/>
    <col min="1833" max="2054" width="9.140625" style="8"/>
    <col min="2055" max="2055" width="15.5703125" style="8" customWidth="1"/>
    <col min="2056" max="2058" width="10.85546875" style="8" customWidth="1"/>
    <col min="2059" max="2059" width="2.28515625" style="8" customWidth="1"/>
    <col min="2060" max="2062" width="10.140625" style="8" customWidth="1"/>
    <col min="2063" max="2063" width="2.42578125" style="8" customWidth="1"/>
    <col min="2064" max="2066" width="10.28515625" style="8" customWidth="1"/>
    <col min="2067" max="2067" width="2.85546875" style="8" customWidth="1"/>
    <col min="2068" max="2070" width="10.42578125" style="8" customWidth="1"/>
    <col min="2071" max="2072" width="12.140625" style="8" customWidth="1"/>
    <col min="2073" max="2073" width="11.85546875" style="8" bestFit="1" customWidth="1"/>
    <col min="2074" max="2075" width="10.5703125" style="8" bestFit="1" customWidth="1"/>
    <col min="2076" max="2076" width="11.85546875" style="8" bestFit="1" customWidth="1"/>
    <col min="2077" max="2077" width="10.5703125" style="8" bestFit="1" customWidth="1"/>
    <col min="2078" max="2079" width="10.5703125" style="8" customWidth="1"/>
    <col min="2080" max="2087" width="9.140625" style="8"/>
    <col min="2088" max="2088" width="10.85546875" style="8" customWidth="1"/>
    <col min="2089" max="2310" width="9.140625" style="8"/>
    <col min="2311" max="2311" width="15.5703125" style="8" customWidth="1"/>
    <col min="2312" max="2314" width="10.85546875" style="8" customWidth="1"/>
    <col min="2315" max="2315" width="2.28515625" style="8" customWidth="1"/>
    <col min="2316" max="2318" width="10.140625" style="8" customWidth="1"/>
    <col min="2319" max="2319" width="2.42578125" style="8" customWidth="1"/>
    <col min="2320" max="2322" width="10.28515625" style="8" customWidth="1"/>
    <col min="2323" max="2323" width="2.85546875" style="8" customWidth="1"/>
    <col min="2324" max="2326" width="10.42578125" style="8" customWidth="1"/>
    <col min="2327" max="2328" width="12.140625" style="8" customWidth="1"/>
    <col min="2329" max="2329" width="11.85546875" style="8" bestFit="1" customWidth="1"/>
    <col min="2330" max="2331" width="10.5703125" style="8" bestFit="1" customWidth="1"/>
    <col min="2332" max="2332" width="11.85546875" style="8" bestFit="1" customWidth="1"/>
    <col min="2333" max="2333" width="10.5703125" style="8" bestFit="1" customWidth="1"/>
    <col min="2334" max="2335" width="10.5703125" style="8" customWidth="1"/>
    <col min="2336" max="2343" width="9.140625" style="8"/>
    <col min="2344" max="2344" width="10.85546875" style="8" customWidth="1"/>
    <col min="2345" max="2566" width="9.140625" style="8"/>
    <col min="2567" max="2567" width="15.5703125" style="8" customWidth="1"/>
    <col min="2568" max="2570" width="10.85546875" style="8" customWidth="1"/>
    <col min="2571" max="2571" width="2.28515625" style="8" customWidth="1"/>
    <col min="2572" max="2574" width="10.140625" style="8" customWidth="1"/>
    <col min="2575" max="2575" width="2.42578125" style="8" customWidth="1"/>
    <col min="2576" max="2578" width="10.28515625" style="8" customWidth="1"/>
    <col min="2579" max="2579" width="2.85546875" style="8" customWidth="1"/>
    <col min="2580" max="2582" width="10.42578125" style="8" customWidth="1"/>
    <col min="2583" max="2584" width="12.140625" style="8" customWidth="1"/>
    <col min="2585" max="2585" width="11.85546875" style="8" bestFit="1" customWidth="1"/>
    <col min="2586" max="2587" width="10.5703125" style="8" bestFit="1" customWidth="1"/>
    <col min="2588" max="2588" width="11.85546875" style="8" bestFit="1" customWidth="1"/>
    <col min="2589" max="2589" width="10.5703125" style="8" bestFit="1" customWidth="1"/>
    <col min="2590" max="2591" width="10.5703125" style="8" customWidth="1"/>
    <col min="2592" max="2599" width="9.140625" style="8"/>
    <col min="2600" max="2600" width="10.85546875" style="8" customWidth="1"/>
    <col min="2601" max="2822" width="9.140625" style="8"/>
    <col min="2823" max="2823" width="15.5703125" style="8" customWidth="1"/>
    <col min="2824" max="2826" width="10.85546875" style="8" customWidth="1"/>
    <col min="2827" max="2827" width="2.28515625" style="8" customWidth="1"/>
    <col min="2828" max="2830" width="10.140625" style="8" customWidth="1"/>
    <col min="2831" max="2831" width="2.42578125" style="8" customWidth="1"/>
    <col min="2832" max="2834" width="10.28515625" style="8" customWidth="1"/>
    <col min="2835" max="2835" width="2.85546875" style="8" customWidth="1"/>
    <col min="2836" max="2838" width="10.42578125" style="8" customWidth="1"/>
    <col min="2839" max="2840" width="12.140625" style="8" customWidth="1"/>
    <col min="2841" max="2841" width="11.85546875" style="8" bestFit="1" customWidth="1"/>
    <col min="2842" max="2843" width="10.5703125" style="8" bestFit="1" customWidth="1"/>
    <col min="2844" max="2844" width="11.85546875" style="8" bestFit="1" customWidth="1"/>
    <col min="2845" max="2845" width="10.5703125" style="8" bestFit="1" customWidth="1"/>
    <col min="2846" max="2847" width="10.5703125" style="8" customWidth="1"/>
    <col min="2848" max="2855" width="9.140625" style="8"/>
    <col min="2856" max="2856" width="10.85546875" style="8" customWidth="1"/>
    <col min="2857" max="3078" width="9.140625" style="8"/>
    <col min="3079" max="3079" width="15.5703125" style="8" customWidth="1"/>
    <col min="3080" max="3082" width="10.85546875" style="8" customWidth="1"/>
    <col min="3083" max="3083" width="2.28515625" style="8" customWidth="1"/>
    <col min="3084" max="3086" width="10.140625" style="8" customWidth="1"/>
    <col min="3087" max="3087" width="2.42578125" style="8" customWidth="1"/>
    <col min="3088" max="3090" width="10.28515625" style="8" customWidth="1"/>
    <col min="3091" max="3091" width="2.85546875" style="8" customWidth="1"/>
    <col min="3092" max="3094" width="10.42578125" style="8" customWidth="1"/>
    <col min="3095" max="3096" width="12.140625" style="8" customWidth="1"/>
    <col min="3097" max="3097" width="11.85546875" style="8" bestFit="1" customWidth="1"/>
    <col min="3098" max="3099" width="10.5703125" style="8" bestFit="1" customWidth="1"/>
    <col min="3100" max="3100" width="11.85546875" style="8" bestFit="1" customWidth="1"/>
    <col min="3101" max="3101" width="10.5703125" style="8" bestFit="1" customWidth="1"/>
    <col min="3102" max="3103" width="10.5703125" style="8" customWidth="1"/>
    <col min="3104" max="3111" width="9.140625" style="8"/>
    <col min="3112" max="3112" width="10.85546875" style="8" customWidth="1"/>
    <col min="3113" max="3334" width="9.140625" style="8"/>
    <col min="3335" max="3335" width="15.5703125" style="8" customWidth="1"/>
    <col min="3336" max="3338" width="10.85546875" style="8" customWidth="1"/>
    <col min="3339" max="3339" width="2.28515625" style="8" customWidth="1"/>
    <col min="3340" max="3342" width="10.140625" style="8" customWidth="1"/>
    <col min="3343" max="3343" width="2.42578125" style="8" customWidth="1"/>
    <col min="3344" max="3346" width="10.28515625" style="8" customWidth="1"/>
    <col min="3347" max="3347" width="2.85546875" style="8" customWidth="1"/>
    <col min="3348" max="3350" width="10.42578125" style="8" customWidth="1"/>
    <col min="3351" max="3352" width="12.140625" style="8" customWidth="1"/>
    <col min="3353" max="3353" width="11.85546875" style="8" bestFit="1" customWidth="1"/>
    <col min="3354" max="3355" width="10.5703125" style="8" bestFit="1" customWidth="1"/>
    <col min="3356" max="3356" width="11.85546875" style="8" bestFit="1" customWidth="1"/>
    <col min="3357" max="3357" width="10.5703125" style="8" bestFit="1" customWidth="1"/>
    <col min="3358" max="3359" width="10.5703125" style="8" customWidth="1"/>
    <col min="3360" max="3367" width="9.140625" style="8"/>
    <col min="3368" max="3368" width="10.85546875" style="8" customWidth="1"/>
    <col min="3369" max="3590" width="9.140625" style="8"/>
    <col min="3591" max="3591" width="15.5703125" style="8" customWidth="1"/>
    <col min="3592" max="3594" width="10.85546875" style="8" customWidth="1"/>
    <col min="3595" max="3595" width="2.28515625" style="8" customWidth="1"/>
    <col min="3596" max="3598" width="10.140625" style="8" customWidth="1"/>
    <col min="3599" max="3599" width="2.42578125" style="8" customWidth="1"/>
    <col min="3600" max="3602" width="10.28515625" style="8" customWidth="1"/>
    <col min="3603" max="3603" width="2.85546875" style="8" customWidth="1"/>
    <col min="3604" max="3606" width="10.42578125" style="8" customWidth="1"/>
    <col min="3607" max="3608" width="12.140625" style="8" customWidth="1"/>
    <col min="3609" max="3609" width="11.85546875" style="8" bestFit="1" customWidth="1"/>
    <col min="3610" max="3611" width="10.5703125" style="8" bestFit="1" customWidth="1"/>
    <col min="3612" max="3612" width="11.85546875" style="8" bestFit="1" customWidth="1"/>
    <col min="3613" max="3613" width="10.5703125" style="8" bestFit="1" customWidth="1"/>
    <col min="3614" max="3615" width="10.5703125" style="8" customWidth="1"/>
    <col min="3616" max="3623" width="9.140625" style="8"/>
    <col min="3624" max="3624" width="10.85546875" style="8" customWidth="1"/>
    <col min="3625" max="3846" width="9.140625" style="8"/>
    <col min="3847" max="3847" width="15.5703125" style="8" customWidth="1"/>
    <col min="3848" max="3850" width="10.85546875" style="8" customWidth="1"/>
    <col min="3851" max="3851" width="2.28515625" style="8" customWidth="1"/>
    <col min="3852" max="3854" width="10.140625" style="8" customWidth="1"/>
    <col min="3855" max="3855" width="2.42578125" style="8" customWidth="1"/>
    <col min="3856" max="3858" width="10.28515625" style="8" customWidth="1"/>
    <col min="3859" max="3859" width="2.85546875" style="8" customWidth="1"/>
    <col min="3860" max="3862" width="10.42578125" style="8" customWidth="1"/>
    <col min="3863" max="3864" width="12.140625" style="8" customWidth="1"/>
    <col min="3865" max="3865" width="11.85546875" style="8" bestFit="1" customWidth="1"/>
    <col min="3866" max="3867" width="10.5703125" style="8" bestFit="1" customWidth="1"/>
    <col min="3868" max="3868" width="11.85546875" style="8" bestFit="1" customWidth="1"/>
    <col min="3869" max="3869" width="10.5703125" style="8" bestFit="1" customWidth="1"/>
    <col min="3870" max="3871" width="10.5703125" style="8" customWidth="1"/>
    <col min="3872" max="3879" width="9.140625" style="8"/>
    <col min="3880" max="3880" width="10.85546875" style="8" customWidth="1"/>
    <col min="3881" max="4102" width="9.140625" style="8"/>
    <col min="4103" max="4103" width="15.5703125" style="8" customWidth="1"/>
    <col min="4104" max="4106" width="10.85546875" style="8" customWidth="1"/>
    <col min="4107" max="4107" width="2.28515625" style="8" customWidth="1"/>
    <col min="4108" max="4110" width="10.140625" style="8" customWidth="1"/>
    <col min="4111" max="4111" width="2.42578125" style="8" customWidth="1"/>
    <col min="4112" max="4114" width="10.28515625" style="8" customWidth="1"/>
    <col min="4115" max="4115" width="2.85546875" style="8" customWidth="1"/>
    <col min="4116" max="4118" width="10.42578125" style="8" customWidth="1"/>
    <col min="4119" max="4120" width="12.140625" style="8" customWidth="1"/>
    <col min="4121" max="4121" width="11.85546875" style="8" bestFit="1" customWidth="1"/>
    <col min="4122" max="4123" width="10.5703125" style="8" bestFit="1" customWidth="1"/>
    <col min="4124" max="4124" width="11.85546875" style="8" bestFit="1" customWidth="1"/>
    <col min="4125" max="4125" width="10.5703125" style="8" bestFit="1" customWidth="1"/>
    <col min="4126" max="4127" width="10.5703125" style="8" customWidth="1"/>
    <col min="4128" max="4135" width="9.140625" style="8"/>
    <col min="4136" max="4136" width="10.85546875" style="8" customWidth="1"/>
    <col min="4137" max="4358" width="9.140625" style="8"/>
    <col min="4359" max="4359" width="15.5703125" style="8" customWidth="1"/>
    <col min="4360" max="4362" width="10.85546875" style="8" customWidth="1"/>
    <col min="4363" max="4363" width="2.28515625" style="8" customWidth="1"/>
    <col min="4364" max="4366" width="10.140625" style="8" customWidth="1"/>
    <col min="4367" max="4367" width="2.42578125" style="8" customWidth="1"/>
    <col min="4368" max="4370" width="10.28515625" style="8" customWidth="1"/>
    <col min="4371" max="4371" width="2.85546875" style="8" customWidth="1"/>
    <col min="4372" max="4374" width="10.42578125" style="8" customWidth="1"/>
    <col min="4375" max="4376" width="12.140625" style="8" customWidth="1"/>
    <col min="4377" max="4377" width="11.85546875" style="8" bestFit="1" customWidth="1"/>
    <col min="4378" max="4379" width="10.5703125" style="8" bestFit="1" customWidth="1"/>
    <col min="4380" max="4380" width="11.85546875" style="8" bestFit="1" customWidth="1"/>
    <col min="4381" max="4381" width="10.5703125" style="8" bestFit="1" customWidth="1"/>
    <col min="4382" max="4383" width="10.5703125" style="8" customWidth="1"/>
    <col min="4384" max="4391" width="9.140625" style="8"/>
    <col min="4392" max="4392" width="10.85546875" style="8" customWidth="1"/>
    <col min="4393" max="4614" width="9.140625" style="8"/>
    <col min="4615" max="4615" width="15.5703125" style="8" customWidth="1"/>
    <col min="4616" max="4618" width="10.85546875" style="8" customWidth="1"/>
    <col min="4619" max="4619" width="2.28515625" style="8" customWidth="1"/>
    <col min="4620" max="4622" width="10.140625" style="8" customWidth="1"/>
    <col min="4623" max="4623" width="2.42578125" style="8" customWidth="1"/>
    <col min="4624" max="4626" width="10.28515625" style="8" customWidth="1"/>
    <col min="4627" max="4627" width="2.85546875" style="8" customWidth="1"/>
    <col min="4628" max="4630" width="10.42578125" style="8" customWidth="1"/>
    <col min="4631" max="4632" width="12.140625" style="8" customWidth="1"/>
    <col min="4633" max="4633" width="11.85546875" style="8" bestFit="1" customWidth="1"/>
    <col min="4634" max="4635" width="10.5703125" style="8" bestFit="1" customWidth="1"/>
    <col min="4636" max="4636" width="11.85546875" style="8" bestFit="1" customWidth="1"/>
    <col min="4637" max="4637" width="10.5703125" style="8" bestFit="1" customWidth="1"/>
    <col min="4638" max="4639" width="10.5703125" style="8" customWidth="1"/>
    <col min="4640" max="4647" width="9.140625" style="8"/>
    <col min="4648" max="4648" width="10.85546875" style="8" customWidth="1"/>
    <col min="4649" max="4870" width="9.140625" style="8"/>
    <col min="4871" max="4871" width="15.5703125" style="8" customWidth="1"/>
    <col min="4872" max="4874" width="10.85546875" style="8" customWidth="1"/>
    <col min="4875" max="4875" width="2.28515625" style="8" customWidth="1"/>
    <col min="4876" max="4878" width="10.140625" style="8" customWidth="1"/>
    <col min="4879" max="4879" width="2.42578125" style="8" customWidth="1"/>
    <col min="4880" max="4882" width="10.28515625" style="8" customWidth="1"/>
    <col min="4883" max="4883" width="2.85546875" style="8" customWidth="1"/>
    <col min="4884" max="4886" width="10.42578125" style="8" customWidth="1"/>
    <col min="4887" max="4888" width="12.140625" style="8" customWidth="1"/>
    <col min="4889" max="4889" width="11.85546875" style="8" bestFit="1" customWidth="1"/>
    <col min="4890" max="4891" width="10.5703125" style="8" bestFit="1" customWidth="1"/>
    <col min="4892" max="4892" width="11.85546875" style="8" bestFit="1" customWidth="1"/>
    <col min="4893" max="4893" width="10.5703125" style="8" bestFit="1" customWidth="1"/>
    <col min="4894" max="4895" width="10.5703125" style="8" customWidth="1"/>
    <col min="4896" max="4903" width="9.140625" style="8"/>
    <col min="4904" max="4904" width="10.85546875" style="8" customWidth="1"/>
    <col min="4905" max="5126" width="9.140625" style="8"/>
    <col min="5127" max="5127" width="15.5703125" style="8" customWidth="1"/>
    <col min="5128" max="5130" width="10.85546875" style="8" customWidth="1"/>
    <col min="5131" max="5131" width="2.28515625" style="8" customWidth="1"/>
    <col min="5132" max="5134" width="10.140625" style="8" customWidth="1"/>
    <col min="5135" max="5135" width="2.42578125" style="8" customWidth="1"/>
    <col min="5136" max="5138" width="10.28515625" style="8" customWidth="1"/>
    <col min="5139" max="5139" width="2.85546875" style="8" customWidth="1"/>
    <col min="5140" max="5142" width="10.42578125" style="8" customWidth="1"/>
    <col min="5143" max="5144" width="12.140625" style="8" customWidth="1"/>
    <col min="5145" max="5145" width="11.85546875" style="8" bestFit="1" customWidth="1"/>
    <col min="5146" max="5147" width="10.5703125" style="8" bestFit="1" customWidth="1"/>
    <col min="5148" max="5148" width="11.85546875" style="8" bestFit="1" customWidth="1"/>
    <col min="5149" max="5149" width="10.5703125" style="8" bestFit="1" customWidth="1"/>
    <col min="5150" max="5151" width="10.5703125" style="8" customWidth="1"/>
    <col min="5152" max="5159" width="9.140625" style="8"/>
    <col min="5160" max="5160" width="10.85546875" style="8" customWidth="1"/>
    <col min="5161" max="5382" width="9.140625" style="8"/>
    <col min="5383" max="5383" width="15.5703125" style="8" customWidth="1"/>
    <col min="5384" max="5386" width="10.85546875" style="8" customWidth="1"/>
    <col min="5387" max="5387" width="2.28515625" style="8" customWidth="1"/>
    <col min="5388" max="5390" width="10.140625" style="8" customWidth="1"/>
    <col min="5391" max="5391" width="2.42578125" style="8" customWidth="1"/>
    <col min="5392" max="5394" width="10.28515625" style="8" customWidth="1"/>
    <col min="5395" max="5395" width="2.85546875" style="8" customWidth="1"/>
    <col min="5396" max="5398" width="10.42578125" style="8" customWidth="1"/>
    <col min="5399" max="5400" width="12.140625" style="8" customWidth="1"/>
    <col min="5401" max="5401" width="11.85546875" style="8" bestFit="1" customWidth="1"/>
    <col min="5402" max="5403" width="10.5703125" style="8" bestFit="1" customWidth="1"/>
    <col min="5404" max="5404" width="11.85546875" style="8" bestFit="1" customWidth="1"/>
    <col min="5405" max="5405" width="10.5703125" style="8" bestFit="1" customWidth="1"/>
    <col min="5406" max="5407" width="10.5703125" style="8" customWidth="1"/>
    <col min="5408" max="5415" width="9.140625" style="8"/>
    <col min="5416" max="5416" width="10.85546875" style="8" customWidth="1"/>
    <col min="5417" max="5638" width="9.140625" style="8"/>
    <col min="5639" max="5639" width="15.5703125" style="8" customWidth="1"/>
    <col min="5640" max="5642" width="10.85546875" style="8" customWidth="1"/>
    <col min="5643" max="5643" width="2.28515625" style="8" customWidth="1"/>
    <col min="5644" max="5646" width="10.140625" style="8" customWidth="1"/>
    <col min="5647" max="5647" width="2.42578125" style="8" customWidth="1"/>
    <col min="5648" max="5650" width="10.28515625" style="8" customWidth="1"/>
    <col min="5651" max="5651" width="2.85546875" style="8" customWidth="1"/>
    <col min="5652" max="5654" width="10.42578125" style="8" customWidth="1"/>
    <col min="5655" max="5656" width="12.140625" style="8" customWidth="1"/>
    <col min="5657" max="5657" width="11.85546875" style="8" bestFit="1" customWidth="1"/>
    <col min="5658" max="5659" width="10.5703125" style="8" bestFit="1" customWidth="1"/>
    <col min="5660" max="5660" width="11.85546875" style="8" bestFit="1" customWidth="1"/>
    <col min="5661" max="5661" width="10.5703125" style="8" bestFit="1" customWidth="1"/>
    <col min="5662" max="5663" width="10.5703125" style="8" customWidth="1"/>
    <col min="5664" max="5671" width="9.140625" style="8"/>
    <col min="5672" max="5672" width="10.85546875" style="8" customWidth="1"/>
    <col min="5673" max="5894" width="9.140625" style="8"/>
    <col min="5895" max="5895" width="15.5703125" style="8" customWidth="1"/>
    <col min="5896" max="5898" width="10.85546875" style="8" customWidth="1"/>
    <col min="5899" max="5899" width="2.28515625" style="8" customWidth="1"/>
    <col min="5900" max="5902" width="10.140625" style="8" customWidth="1"/>
    <col min="5903" max="5903" width="2.42578125" style="8" customWidth="1"/>
    <col min="5904" max="5906" width="10.28515625" style="8" customWidth="1"/>
    <col min="5907" max="5907" width="2.85546875" style="8" customWidth="1"/>
    <col min="5908" max="5910" width="10.42578125" style="8" customWidth="1"/>
    <col min="5911" max="5912" width="12.140625" style="8" customWidth="1"/>
    <col min="5913" max="5913" width="11.85546875" style="8" bestFit="1" customWidth="1"/>
    <col min="5914" max="5915" width="10.5703125" style="8" bestFit="1" customWidth="1"/>
    <col min="5916" max="5916" width="11.85546875" style="8" bestFit="1" customWidth="1"/>
    <col min="5917" max="5917" width="10.5703125" style="8" bestFit="1" customWidth="1"/>
    <col min="5918" max="5919" width="10.5703125" style="8" customWidth="1"/>
    <col min="5920" max="5927" width="9.140625" style="8"/>
    <col min="5928" max="5928" width="10.85546875" style="8" customWidth="1"/>
    <col min="5929" max="6150" width="9.140625" style="8"/>
    <col min="6151" max="6151" width="15.5703125" style="8" customWidth="1"/>
    <col min="6152" max="6154" width="10.85546875" style="8" customWidth="1"/>
    <col min="6155" max="6155" width="2.28515625" style="8" customWidth="1"/>
    <col min="6156" max="6158" width="10.140625" style="8" customWidth="1"/>
    <col min="6159" max="6159" width="2.42578125" style="8" customWidth="1"/>
    <col min="6160" max="6162" width="10.28515625" style="8" customWidth="1"/>
    <col min="6163" max="6163" width="2.85546875" style="8" customWidth="1"/>
    <col min="6164" max="6166" width="10.42578125" style="8" customWidth="1"/>
    <col min="6167" max="6168" width="12.140625" style="8" customWidth="1"/>
    <col min="6169" max="6169" width="11.85546875" style="8" bestFit="1" customWidth="1"/>
    <col min="6170" max="6171" width="10.5703125" style="8" bestFit="1" customWidth="1"/>
    <col min="6172" max="6172" width="11.85546875" style="8" bestFit="1" customWidth="1"/>
    <col min="6173" max="6173" width="10.5703125" style="8" bestFit="1" customWidth="1"/>
    <col min="6174" max="6175" width="10.5703125" style="8" customWidth="1"/>
    <col min="6176" max="6183" width="9.140625" style="8"/>
    <col min="6184" max="6184" width="10.85546875" style="8" customWidth="1"/>
    <col min="6185" max="6406" width="9.140625" style="8"/>
    <col min="6407" max="6407" width="15.5703125" style="8" customWidth="1"/>
    <col min="6408" max="6410" width="10.85546875" style="8" customWidth="1"/>
    <col min="6411" max="6411" width="2.28515625" style="8" customWidth="1"/>
    <col min="6412" max="6414" width="10.140625" style="8" customWidth="1"/>
    <col min="6415" max="6415" width="2.42578125" style="8" customWidth="1"/>
    <col min="6416" max="6418" width="10.28515625" style="8" customWidth="1"/>
    <col min="6419" max="6419" width="2.85546875" style="8" customWidth="1"/>
    <col min="6420" max="6422" width="10.42578125" style="8" customWidth="1"/>
    <col min="6423" max="6424" width="12.140625" style="8" customWidth="1"/>
    <col min="6425" max="6425" width="11.85546875" style="8" bestFit="1" customWidth="1"/>
    <col min="6426" max="6427" width="10.5703125" style="8" bestFit="1" customWidth="1"/>
    <col min="6428" max="6428" width="11.85546875" style="8" bestFit="1" customWidth="1"/>
    <col min="6429" max="6429" width="10.5703125" style="8" bestFit="1" customWidth="1"/>
    <col min="6430" max="6431" width="10.5703125" style="8" customWidth="1"/>
    <col min="6432" max="6439" width="9.140625" style="8"/>
    <col min="6440" max="6440" width="10.85546875" style="8" customWidth="1"/>
    <col min="6441" max="6662" width="9.140625" style="8"/>
    <col min="6663" max="6663" width="15.5703125" style="8" customWidth="1"/>
    <col min="6664" max="6666" width="10.85546875" style="8" customWidth="1"/>
    <col min="6667" max="6667" width="2.28515625" style="8" customWidth="1"/>
    <col min="6668" max="6670" width="10.140625" style="8" customWidth="1"/>
    <col min="6671" max="6671" width="2.42578125" style="8" customWidth="1"/>
    <col min="6672" max="6674" width="10.28515625" style="8" customWidth="1"/>
    <col min="6675" max="6675" width="2.85546875" style="8" customWidth="1"/>
    <col min="6676" max="6678" width="10.42578125" style="8" customWidth="1"/>
    <col min="6679" max="6680" width="12.140625" style="8" customWidth="1"/>
    <col min="6681" max="6681" width="11.85546875" style="8" bestFit="1" customWidth="1"/>
    <col min="6682" max="6683" width="10.5703125" style="8" bestFit="1" customWidth="1"/>
    <col min="6684" max="6684" width="11.85546875" style="8" bestFit="1" customWidth="1"/>
    <col min="6685" max="6685" width="10.5703125" style="8" bestFit="1" customWidth="1"/>
    <col min="6686" max="6687" width="10.5703125" style="8" customWidth="1"/>
    <col min="6688" max="6695" width="9.140625" style="8"/>
    <col min="6696" max="6696" width="10.85546875" style="8" customWidth="1"/>
    <col min="6697" max="6918" width="9.140625" style="8"/>
    <col min="6919" max="6919" width="15.5703125" style="8" customWidth="1"/>
    <col min="6920" max="6922" width="10.85546875" style="8" customWidth="1"/>
    <col min="6923" max="6923" width="2.28515625" style="8" customWidth="1"/>
    <col min="6924" max="6926" width="10.140625" style="8" customWidth="1"/>
    <col min="6927" max="6927" width="2.42578125" style="8" customWidth="1"/>
    <col min="6928" max="6930" width="10.28515625" style="8" customWidth="1"/>
    <col min="6931" max="6931" width="2.85546875" style="8" customWidth="1"/>
    <col min="6932" max="6934" width="10.42578125" style="8" customWidth="1"/>
    <col min="6935" max="6936" width="12.140625" style="8" customWidth="1"/>
    <col min="6937" max="6937" width="11.85546875" style="8" bestFit="1" customWidth="1"/>
    <col min="6938" max="6939" width="10.5703125" style="8" bestFit="1" customWidth="1"/>
    <col min="6940" max="6940" width="11.85546875" style="8" bestFit="1" customWidth="1"/>
    <col min="6941" max="6941" width="10.5703125" style="8" bestFit="1" customWidth="1"/>
    <col min="6942" max="6943" width="10.5703125" style="8" customWidth="1"/>
    <col min="6944" max="6951" width="9.140625" style="8"/>
    <col min="6952" max="6952" width="10.85546875" style="8" customWidth="1"/>
    <col min="6953" max="7174" width="9.140625" style="8"/>
    <col min="7175" max="7175" width="15.5703125" style="8" customWidth="1"/>
    <col min="7176" max="7178" width="10.85546875" style="8" customWidth="1"/>
    <col min="7179" max="7179" width="2.28515625" style="8" customWidth="1"/>
    <col min="7180" max="7182" width="10.140625" style="8" customWidth="1"/>
    <col min="7183" max="7183" width="2.42578125" style="8" customWidth="1"/>
    <col min="7184" max="7186" width="10.28515625" style="8" customWidth="1"/>
    <col min="7187" max="7187" width="2.85546875" style="8" customWidth="1"/>
    <col min="7188" max="7190" width="10.42578125" style="8" customWidth="1"/>
    <col min="7191" max="7192" width="12.140625" style="8" customWidth="1"/>
    <col min="7193" max="7193" width="11.85546875" style="8" bestFit="1" customWidth="1"/>
    <col min="7194" max="7195" width="10.5703125" style="8" bestFit="1" customWidth="1"/>
    <col min="7196" max="7196" width="11.85546875" style="8" bestFit="1" customWidth="1"/>
    <col min="7197" max="7197" width="10.5703125" style="8" bestFit="1" customWidth="1"/>
    <col min="7198" max="7199" width="10.5703125" style="8" customWidth="1"/>
    <col min="7200" max="7207" width="9.140625" style="8"/>
    <col min="7208" max="7208" width="10.85546875" style="8" customWidth="1"/>
    <col min="7209" max="7430" width="9.140625" style="8"/>
    <col min="7431" max="7431" width="15.5703125" style="8" customWidth="1"/>
    <col min="7432" max="7434" width="10.85546875" style="8" customWidth="1"/>
    <col min="7435" max="7435" width="2.28515625" style="8" customWidth="1"/>
    <col min="7436" max="7438" width="10.140625" style="8" customWidth="1"/>
    <col min="7439" max="7439" width="2.42578125" style="8" customWidth="1"/>
    <col min="7440" max="7442" width="10.28515625" style="8" customWidth="1"/>
    <col min="7443" max="7443" width="2.85546875" style="8" customWidth="1"/>
    <col min="7444" max="7446" width="10.42578125" style="8" customWidth="1"/>
    <col min="7447" max="7448" width="12.140625" style="8" customWidth="1"/>
    <col min="7449" max="7449" width="11.85546875" style="8" bestFit="1" customWidth="1"/>
    <col min="7450" max="7451" width="10.5703125" style="8" bestFit="1" customWidth="1"/>
    <col min="7452" max="7452" width="11.85546875" style="8" bestFit="1" customWidth="1"/>
    <col min="7453" max="7453" width="10.5703125" style="8" bestFit="1" customWidth="1"/>
    <col min="7454" max="7455" width="10.5703125" style="8" customWidth="1"/>
    <col min="7456" max="7463" width="9.140625" style="8"/>
    <col min="7464" max="7464" width="10.85546875" style="8" customWidth="1"/>
    <col min="7465" max="7686" width="9.140625" style="8"/>
    <col min="7687" max="7687" width="15.5703125" style="8" customWidth="1"/>
    <col min="7688" max="7690" width="10.85546875" style="8" customWidth="1"/>
    <col min="7691" max="7691" width="2.28515625" style="8" customWidth="1"/>
    <col min="7692" max="7694" width="10.140625" style="8" customWidth="1"/>
    <col min="7695" max="7695" width="2.42578125" style="8" customWidth="1"/>
    <col min="7696" max="7698" width="10.28515625" style="8" customWidth="1"/>
    <col min="7699" max="7699" width="2.85546875" style="8" customWidth="1"/>
    <col min="7700" max="7702" width="10.42578125" style="8" customWidth="1"/>
    <col min="7703" max="7704" width="12.140625" style="8" customWidth="1"/>
    <col min="7705" max="7705" width="11.85546875" style="8" bestFit="1" customWidth="1"/>
    <col min="7706" max="7707" width="10.5703125" style="8" bestFit="1" customWidth="1"/>
    <col min="7708" max="7708" width="11.85546875" style="8" bestFit="1" customWidth="1"/>
    <col min="7709" max="7709" width="10.5703125" style="8" bestFit="1" customWidth="1"/>
    <col min="7710" max="7711" width="10.5703125" style="8" customWidth="1"/>
    <col min="7712" max="7719" width="9.140625" style="8"/>
    <col min="7720" max="7720" width="10.85546875" style="8" customWidth="1"/>
    <col min="7721" max="7942" width="9.140625" style="8"/>
    <col min="7943" max="7943" width="15.5703125" style="8" customWidth="1"/>
    <col min="7944" max="7946" width="10.85546875" style="8" customWidth="1"/>
    <col min="7947" max="7947" width="2.28515625" style="8" customWidth="1"/>
    <col min="7948" max="7950" width="10.140625" style="8" customWidth="1"/>
    <col min="7951" max="7951" width="2.42578125" style="8" customWidth="1"/>
    <col min="7952" max="7954" width="10.28515625" style="8" customWidth="1"/>
    <col min="7955" max="7955" width="2.85546875" style="8" customWidth="1"/>
    <col min="7956" max="7958" width="10.42578125" style="8" customWidth="1"/>
    <col min="7959" max="7960" width="12.140625" style="8" customWidth="1"/>
    <col min="7961" max="7961" width="11.85546875" style="8" bestFit="1" customWidth="1"/>
    <col min="7962" max="7963" width="10.5703125" style="8" bestFit="1" customWidth="1"/>
    <col min="7964" max="7964" width="11.85546875" style="8" bestFit="1" customWidth="1"/>
    <col min="7965" max="7965" width="10.5703125" style="8" bestFit="1" customWidth="1"/>
    <col min="7966" max="7967" width="10.5703125" style="8" customWidth="1"/>
    <col min="7968" max="7975" width="9.140625" style="8"/>
    <col min="7976" max="7976" width="10.85546875" style="8" customWidth="1"/>
    <col min="7977" max="8198" width="9.140625" style="8"/>
    <col min="8199" max="8199" width="15.5703125" style="8" customWidth="1"/>
    <col min="8200" max="8202" width="10.85546875" style="8" customWidth="1"/>
    <col min="8203" max="8203" width="2.28515625" style="8" customWidth="1"/>
    <col min="8204" max="8206" width="10.140625" style="8" customWidth="1"/>
    <col min="8207" max="8207" width="2.42578125" style="8" customWidth="1"/>
    <col min="8208" max="8210" width="10.28515625" style="8" customWidth="1"/>
    <col min="8211" max="8211" width="2.85546875" style="8" customWidth="1"/>
    <col min="8212" max="8214" width="10.42578125" style="8" customWidth="1"/>
    <col min="8215" max="8216" width="12.140625" style="8" customWidth="1"/>
    <col min="8217" max="8217" width="11.85546875" style="8" bestFit="1" customWidth="1"/>
    <col min="8218" max="8219" width="10.5703125" style="8" bestFit="1" customWidth="1"/>
    <col min="8220" max="8220" width="11.85546875" style="8" bestFit="1" customWidth="1"/>
    <col min="8221" max="8221" width="10.5703125" style="8" bestFit="1" customWidth="1"/>
    <col min="8222" max="8223" width="10.5703125" style="8" customWidth="1"/>
    <col min="8224" max="8231" width="9.140625" style="8"/>
    <col min="8232" max="8232" width="10.85546875" style="8" customWidth="1"/>
    <col min="8233" max="8454" width="9.140625" style="8"/>
    <col min="8455" max="8455" width="15.5703125" style="8" customWidth="1"/>
    <col min="8456" max="8458" width="10.85546875" style="8" customWidth="1"/>
    <col min="8459" max="8459" width="2.28515625" style="8" customWidth="1"/>
    <col min="8460" max="8462" width="10.140625" style="8" customWidth="1"/>
    <col min="8463" max="8463" width="2.42578125" style="8" customWidth="1"/>
    <col min="8464" max="8466" width="10.28515625" style="8" customWidth="1"/>
    <col min="8467" max="8467" width="2.85546875" style="8" customWidth="1"/>
    <col min="8468" max="8470" width="10.42578125" style="8" customWidth="1"/>
    <col min="8471" max="8472" width="12.140625" style="8" customWidth="1"/>
    <col min="8473" max="8473" width="11.85546875" style="8" bestFit="1" customWidth="1"/>
    <col min="8474" max="8475" width="10.5703125" style="8" bestFit="1" customWidth="1"/>
    <col min="8476" max="8476" width="11.85546875" style="8" bestFit="1" customWidth="1"/>
    <col min="8477" max="8477" width="10.5703125" style="8" bestFit="1" customWidth="1"/>
    <col min="8478" max="8479" width="10.5703125" style="8" customWidth="1"/>
    <col min="8480" max="8487" width="9.140625" style="8"/>
    <col min="8488" max="8488" width="10.85546875" style="8" customWidth="1"/>
    <col min="8489" max="8710" width="9.140625" style="8"/>
    <col min="8711" max="8711" width="15.5703125" style="8" customWidth="1"/>
    <col min="8712" max="8714" width="10.85546875" style="8" customWidth="1"/>
    <col min="8715" max="8715" width="2.28515625" style="8" customWidth="1"/>
    <col min="8716" max="8718" width="10.140625" style="8" customWidth="1"/>
    <col min="8719" max="8719" width="2.42578125" style="8" customWidth="1"/>
    <col min="8720" max="8722" width="10.28515625" style="8" customWidth="1"/>
    <col min="8723" max="8723" width="2.85546875" style="8" customWidth="1"/>
    <col min="8724" max="8726" width="10.42578125" style="8" customWidth="1"/>
    <col min="8727" max="8728" width="12.140625" style="8" customWidth="1"/>
    <col min="8729" max="8729" width="11.85546875" style="8" bestFit="1" customWidth="1"/>
    <col min="8730" max="8731" width="10.5703125" style="8" bestFit="1" customWidth="1"/>
    <col min="8732" max="8732" width="11.85546875" style="8" bestFit="1" customWidth="1"/>
    <col min="8733" max="8733" width="10.5703125" style="8" bestFit="1" customWidth="1"/>
    <col min="8734" max="8735" width="10.5703125" style="8" customWidth="1"/>
    <col min="8736" max="8743" width="9.140625" style="8"/>
    <col min="8744" max="8744" width="10.85546875" style="8" customWidth="1"/>
    <col min="8745" max="8966" width="9.140625" style="8"/>
    <col min="8967" max="8967" width="15.5703125" style="8" customWidth="1"/>
    <col min="8968" max="8970" width="10.85546875" style="8" customWidth="1"/>
    <col min="8971" max="8971" width="2.28515625" style="8" customWidth="1"/>
    <col min="8972" max="8974" width="10.140625" style="8" customWidth="1"/>
    <col min="8975" max="8975" width="2.42578125" style="8" customWidth="1"/>
    <col min="8976" max="8978" width="10.28515625" style="8" customWidth="1"/>
    <col min="8979" max="8979" width="2.85546875" style="8" customWidth="1"/>
    <col min="8980" max="8982" width="10.42578125" style="8" customWidth="1"/>
    <col min="8983" max="8984" width="12.140625" style="8" customWidth="1"/>
    <col min="8985" max="8985" width="11.85546875" style="8" bestFit="1" customWidth="1"/>
    <col min="8986" max="8987" width="10.5703125" style="8" bestFit="1" customWidth="1"/>
    <col min="8988" max="8988" width="11.85546875" style="8" bestFit="1" customWidth="1"/>
    <col min="8989" max="8989" width="10.5703125" style="8" bestFit="1" customWidth="1"/>
    <col min="8990" max="8991" width="10.5703125" style="8" customWidth="1"/>
    <col min="8992" max="8999" width="9.140625" style="8"/>
    <col min="9000" max="9000" width="10.85546875" style="8" customWidth="1"/>
    <col min="9001" max="9222" width="9.140625" style="8"/>
    <col min="9223" max="9223" width="15.5703125" style="8" customWidth="1"/>
    <col min="9224" max="9226" width="10.85546875" style="8" customWidth="1"/>
    <col min="9227" max="9227" width="2.28515625" style="8" customWidth="1"/>
    <col min="9228" max="9230" width="10.140625" style="8" customWidth="1"/>
    <col min="9231" max="9231" width="2.42578125" style="8" customWidth="1"/>
    <col min="9232" max="9234" width="10.28515625" style="8" customWidth="1"/>
    <col min="9235" max="9235" width="2.85546875" style="8" customWidth="1"/>
    <col min="9236" max="9238" width="10.42578125" style="8" customWidth="1"/>
    <col min="9239" max="9240" width="12.140625" style="8" customWidth="1"/>
    <col min="9241" max="9241" width="11.85546875" style="8" bestFit="1" customWidth="1"/>
    <col min="9242" max="9243" width="10.5703125" style="8" bestFit="1" customWidth="1"/>
    <col min="9244" max="9244" width="11.85546875" style="8" bestFit="1" customWidth="1"/>
    <col min="9245" max="9245" width="10.5703125" style="8" bestFit="1" customWidth="1"/>
    <col min="9246" max="9247" width="10.5703125" style="8" customWidth="1"/>
    <col min="9248" max="9255" width="9.140625" style="8"/>
    <col min="9256" max="9256" width="10.85546875" style="8" customWidth="1"/>
    <col min="9257" max="9478" width="9.140625" style="8"/>
    <col min="9479" max="9479" width="15.5703125" style="8" customWidth="1"/>
    <col min="9480" max="9482" width="10.85546875" style="8" customWidth="1"/>
    <col min="9483" max="9483" width="2.28515625" style="8" customWidth="1"/>
    <col min="9484" max="9486" width="10.140625" style="8" customWidth="1"/>
    <col min="9487" max="9487" width="2.42578125" style="8" customWidth="1"/>
    <col min="9488" max="9490" width="10.28515625" style="8" customWidth="1"/>
    <col min="9491" max="9491" width="2.85546875" style="8" customWidth="1"/>
    <col min="9492" max="9494" width="10.42578125" style="8" customWidth="1"/>
    <col min="9495" max="9496" width="12.140625" style="8" customWidth="1"/>
    <col min="9497" max="9497" width="11.85546875" style="8" bestFit="1" customWidth="1"/>
    <col min="9498" max="9499" width="10.5703125" style="8" bestFit="1" customWidth="1"/>
    <col min="9500" max="9500" width="11.85546875" style="8" bestFit="1" customWidth="1"/>
    <col min="9501" max="9501" width="10.5703125" style="8" bestFit="1" customWidth="1"/>
    <col min="9502" max="9503" width="10.5703125" style="8" customWidth="1"/>
    <col min="9504" max="9511" width="9.140625" style="8"/>
    <col min="9512" max="9512" width="10.85546875" style="8" customWidth="1"/>
    <col min="9513" max="9734" width="9.140625" style="8"/>
    <col min="9735" max="9735" width="15.5703125" style="8" customWidth="1"/>
    <col min="9736" max="9738" width="10.85546875" style="8" customWidth="1"/>
    <col min="9739" max="9739" width="2.28515625" style="8" customWidth="1"/>
    <col min="9740" max="9742" width="10.140625" style="8" customWidth="1"/>
    <col min="9743" max="9743" width="2.42578125" style="8" customWidth="1"/>
    <col min="9744" max="9746" width="10.28515625" style="8" customWidth="1"/>
    <col min="9747" max="9747" width="2.85546875" style="8" customWidth="1"/>
    <col min="9748" max="9750" width="10.42578125" style="8" customWidth="1"/>
    <col min="9751" max="9752" width="12.140625" style="8" customWidth="1"/>
    <col min="9753" max="9753" width="11.85546875" style="8" bestFit="1" customWidth="1"/>
    <col min="9754" max="9755" width="10.5703125" style="8" bestFit="1" customWidth="1"/>
    <col min="9756" max="9756" width="11.85546875" style="8" bestFit="1" customWidth="1"/>
    <col min="9757" max="9757" width="10.5703125" style="8" bestFit="1" customWidth="1"/>
    <col min="9758" max="9759" width="10.5703125" style="8" customWidth="1"/>
    <col min="9760" max="9767" width="9.140625" style="8"/>
    <col min="9768" max="9768" width="10.85546875" style="8" customWidth="1"/>
    <col min="9769" max="9990" width="9.140625" style="8"/>
    <col min="9991" max="9991" width="15.5703125" style="8" customWidth="1"/>
    <col min="9992" max="9994" width="10.85546875" style="8" customWidth="1"/>
    <col min="9995" max="9995" width="2.28515625" style="8" customWidth="1"/>
    <col min="9996" max="9998" width="10.140625" style="8" customWidth="1"/>
    <col min="9999" max="9999" width="2.42578125" style="8" customWidth="1"/>
    <col min="10000" max="10002" width="10.28515625" style="8" customWidth="1"/>
    <col min="10003" max="10003" width="2.85546875" style="8" customWidth="1"/>
    <col min="10004" max="10006" width="10.42578125" style="8" customWidth="1"/>
    <col min="10007" max="10008" width="12.140625" style="8" customWidth="1"/>
    <col min="10009" max="10009" width="11.85546875" style="8" bestFit="1" customWidth="1"/>
    <col min="10010" max="10011" width="10.5703125" style="8" bestFit="1" customWidth="1"/>
    <col min="10012" max="10012" width="11.85546875" style="8" bestFit="1" customWidth="1"/>
    <col min="10013" max="10013" width="10.5703125" style="8" bestFit="1" customWidth="1"/>
    <col min="10014" max="10015" width="10.5703125" style="8" customWidth="1"/>
    <col min="10016" max="10023" width="9.140625" style="8"/>
    <col min="10024" max="10024" width="10.85546875" style="8" customWidth="1"/>
    <col min="10025" max="10246" width="9.140625" style="8"/>
    <col min="10247" max="10247" width="15.5703125" style="8" customWidth="1"/>
    <col min="10248" max="10250" width="10.85546875" style="8" customWidth="1"/>
    <col min="10251" max="10251" width="2.28515625" style="8" customWidth="1"/>
    <col min="10252" max="10254" width="10.140625" style="8" customWidth="1"/>
    <col min="10255" max="10255" width="2.42578125" style="8" customWidth="1"/>
    <col min="10256" max="10258" width="10.28515625" style="8" customWidth="1"/>
    <col min="10259" max="10259" width="2.85546875" style="8" customWidth="1"/>
    <col min="10260" max="10262" width="10.42578125" style="8" customWidth="1"/>
    <col min="10263" max="10264" width="12.140625" style="8" customWidth="1"/>
    <col min="10265" max="10265" width="11.85546875" style="8" bestFit="1" customWidth="1"/>
    <col min="10266" max="10267" width="10.5703125" style="8" bestFit="1" customWidth="1"/>
    <col min="10268" max="10268" width="11.85546875" style="8" bestFit="1" customWidth="1"/>
    <col min="10269" max="10269" width="10.5703125" style="8" bestFit="1" customWidth="1"/>
    <col min="10270" max="10271" width="10.5703125" style="8" customWidth="1"/>
    <col min="10272" max="10279" width="9.140625" style="8"/>
    <col min="10280" max="10280" width="10.85546875" style="8" customWidth="1"/>
    <col min="10281" max="10502" width="9.140625" style="8"/>
    <col min="10503" max="10503" width="15.5703125" style="8" customWidth="1"/>
    <col min="10504" max="10506" width="10.85546875" style="8" customWidth="1"/>
    <col min="10507" max="10507" width="2.28515625" style="8" customWidth="1"/>
    <col min="10508" max="10510" width="10.140625" style="8" customWidth="1"/>
    <col min="10511" max="10511" width="2.42578125" style="8" customWidth="1"/>
    <col min="10512" max="10514" width="10.28515625" style="8" customWidth="1"/>
    <col min="10515" max="10515" width="2.85546875" style="8" customWidth="1"/>
    <col min="10516" max="10518" width="10.42578125" style="8" customWidth="1"/>
    <col min="10519" max="10520" width="12.140625" style="8" customWidth="1"/>
    <col min="10521" max="10521" width="11.85546875" style="8" bestFit="1" customWidth="1"/>
    <col min="10522" max="10523" width="10.5703125" style="8" bestFit="1" customWidth="1"/>
    <col min="10524" max="10524" width="11.85546875" style="8" bestFit="1" customWidth="1"/>
    <col min="10525" max="10525" width="10.5703125" style="8" bestFit="1" customWidth="1"/>
    <col min="10526" max="10527" width="10.5703125" style="8" customWidth="1"/>
    <col min="10528" max="10535" width="9.140625" style="8"/>
    <col min="10536" max="10536" width="10.85546875" style="8" customWidth="1"/>
    <col min="10537" max="10758" width="9.140625" style="8"/>
    <col min="10759" max="10759" width="15.5703125" style="8" customWidth="1"/>
    <col min="10760" max="10762" width="10.85546875" style="8" customWidth="1"/>
    <col min="10763" max="10763" width="2.28515625" style="8" customWidth="1"/>
    <col min="10764" max="10766" width="10.140625" style="8" customWidth="1"/>
    <col min="10767" max="10767" width="2.42578125" style="8" customWidth="1"/>
    <col min="10768" max="10770" width="10.28515625" style="8" customWidth="1"/>
    <col min="10771" max="10771" width="2.85546875" style="8" customWidth="1"/>
    <col min="10772" max="10774" width="10.42578125" style="8" customWidth="1"/>
    <col min="10775" max="10776" width="12.140625" style="8" customWidth="1"/>
    <col min="10777" max="10777" width="11.85546875" style="8" bestFit="1" customWidth="1"/>
    <col min="10778" max="10779" width="10.5703125" style="8" bestFit="1" customWidth="1"/>
    <col min="10780" max="10780" width="11.85546875" style="8" bestFit="1" customWidth="1"/>
    <col min="10781" max="10781" width="10.5703125" style="8" bestFit="1" customWidth="1"/>
    <col min="10782" max="10783" width="10.5703125" style="8" customWidth="1"/>
    <col min="10784" max="10791" width="9.140625" style="8"/>
    <col min="10792" max="10792" width="10.85546875" style="8" customWidth="1"/>
    <col min="10793" max="11014" width="9.140625" style="8"/>
    <col min="11015" max="11015" width="15.5703125" style="8" customWidth="1"/>
    <col min="11016" max="11018" width="10.85546875" style="8" customWidth="1"/>
    <col min="11019" max="11019" width="2.28515625" style="8" customWidth="1"/>
    <col min="11020" max="11022" width="10.140625" style="8" customWidth="1"/>
    <col min="11023" max="11023" width="2.42578125" style="8" customWidth="1"/>
    <col min="11024" max="11026" width="10.28515625" style="8" customWidth="1"/>
    <col min="11027" max="11027" width="2.85546875" style="8" customWidth="1"/>
    <col min="11028" max="11030" width="10.42578125" style="8" customWidth="1"/>
    <col min="11031" max="11032" width="12.140625" style="8" customWidth="1"/>
    <col min="11033" max="11033" width="11.85546875" style="8" bestFit="1" customWidth="1"/>
    <col min="11034" max="11035" width="10.5703125" style="8" bestFit="1" customWidth="1"/>
    <col min="11036" max="11036" width="11.85546875" style="8" bestFit="1" customWidth="1"/>
    <col min="11037" max="11037" width="10.5703125" style="8" bestFit="1" customWidth="1"/>
    <col min="11038" max="11039" width="10.5703125" style="8" customWidth="1"/>
    <col min="11040" max="11047" width="9.140625" style="8"/>
    <col min="11048" max="11048" width="10.85546875" style="8" customWidth="1"/>
    <col min="11049" max="11270" width="9.140625" style="8"/>
    <col min="11271" max="11271" width="15.5703125" style="8" customWidth="1"/>
    <col min="11272" max="11274" width="10.85546875" style="8" customWidth="1"/>
    <col min="11275" max="11275" width="2.28515625" style="8" customWidth="1"/>
    <col min="11276" max="11278" width="10.140625" style="8" customWidth="1"/>
    <col min="11279" max="11279" width="2.42578125" style="8" customWidth="1"/>
    <col min="11280" max="11282" width="10.28515625" style="8" customWidth="1"/>
    <col min="11283" max="11283" width="2.85546875" style="8" customWidth="1"/>
    <col min="11284" max="11286" width="10.42578125" style="8" customWidth="1"/>
    <col min="11287" max="11288" width="12.140625" style="8" customWidth="1"/>
    <col min="11289" max="11289" width="11.85546875" style="8" bestFit="1" customWidth="1"/>
    <col min="11290" max="11291" width="10.5703125" style="8" bestFit="1" customWidth="1"/>
    <col min="11292" max="11292" width="11.85546875" style="8" bestFit="1" customWidth="1"/>
    <col min="11293" max="11293" width="10.5703125" style="8" bestFit="1" customWidth="1"/>
    <col min="11294" max="11295" width="10.5703125" style="8" customWidth="1"/>
    <col min="11296" max="11303" width="9.140625" style="8"/>
    <col min="11304" max="11304" width="10.85546875" style="8" customWidth="1"/>
    <col min="11305" max="11526" width="9.140625" style="8"/>
    <col min="11527" max="11527" width="15.5703125" style="8" customWidth="1"/>
    <col min="11528" max="11530" width="10.85546875" style="8" customWidth="1"/>
    <col min="11531" max="11531" width="2.28515625" style="8" customWidth="1"/>
    <col min="11532" max="11534" width="10.140625" style="8" customWidth="1"/>
    <col min="11535" max="11535" width="2.42578125" style="8" customWidth="1"/>
    <col min="11536" max="11538" width="10.28515625" style="8" customWidth="1"/>
    <col min="11539" max="11539" width="2.85546875" style="8" customWidth="1"/>
    <col min="11540" max="11542" width="10.42578125" style="8" customWidth="1"/>
    <col min="11543" max="11544" width="12.140625" style="8" customWidth="1"/>
    <col min="11545" max="11545" width="11.85546875" style="8" bestFit="1" customWidth="1"/>
    <col min="11546" max="11547" width="10.5703125" style="8" bestFit="1" customWidth="1"/>
    <col min="11548" max="11548" width="11.85546875" style="8" bestFit="1" customWidth="1"/>
    <col min="11549" max="11549" width="10.5703125" style="8" bestFit="1" customWidth="1"/>
    <col min="11550" max="11551" width="10.5703125" style="8" customWidth="1"/>
    <col min="11552" max="11559" width="9.140625" style="8"/>
    <col min="11560" max="11560" width="10.85546875" style="8" customWidth="1"/>
    <col min="11561" max="11782" width="9.140625" style="8"/>
    <col min="11783" max="11783" width="15.5703125" style="8" customWidth="1"/>
    <col min="11784" max="11786" width="10.85546875" style="8" customWidth="1"/>
    <col min="11787" max="11787" width="2.28515625" style="8" customWidth="1"/>
    <col min="11788" max="11790" width="10.140625" style="8" customWidth="1"/>
    <col min="11791" max="11791" width="2.42578125" style="8" customWidth="1"/>
    <col min="11792" max="11794" width="10.28515625" style="8" customWidth="1"/>
    <col min="11795" max="11795" width="2.85546875" style="8" customWidth="1"/>
    <col min="11796" max="11798" width="10.42578125" style="8" customWidth="1"/>
    <col min="11799" max="11800" width="12.140625" style="8" customWidth="1"/>
    <col min="11801" max="11801" width="11.85546875" style="8" bestFit="1" customWidth="1"/>
    <col min="11802" max="11803" width="10.5703125" style="8" bestFit="1" customWidth="1"/>
    <col min="11804" max="11804" width="11.85546875" style="8" bestFit="1" customWidth="1"/>
    <col min="11805" max="11805" width="10.5703125" style="8" bestFit="1" customWidth="1"/>
    <col min="11806" max="11807" width="10.5703125" style="8" customWidth="1"/>
    <col min="11808" max="11815" width="9.140625" style="8"/>
    <col min="11816" max="11816" width="10.85546875" style="8" customWidth="1"/>
    <col min="11817" max="12038" width="9.140625" style="8"/>
    <col min="12039" max="12039" width="15.5703125" style="8" customWidth="1"/>
    <col min="12040" max="12042" width="10.85546875" style="8" customWidth="1"/>
    <col min="12043" max="12043" width="2.28515625" style="8" customWidth="1"/>
    <col min="12044" max="12046" width="10.140625" style="8" customWidth="1"/>
    <col min="12047" max="12047" width="2.42578125" style="8" customWidth="1"/>
    <col min="12048" max="12050" width="10.28515625" style="8" customWidth="1"/>
    <col min="12051" max="12051" width="2.85546875" style="8" customWidth="1"/>
    <col min="12052" max="12054" width="10.42578125" style="8" customWidth="1"/>
    <col min="12055" max="12056" width="12.140625" style="8" customWidth="1"/>
    <col min="12057" max="12057" width="11.85546875" style="8" bestFit="1" customWidth="1"/>
    <col min="12058" max="12059" width="10.5703125" style="8" bestFit="1" customWidth="1"/>
    <col min="12060" max="12060" width="11.85546875" style="8" bestFit="1" customWidth="1"/>
    <col min="12061" max="12061" width="10.5703125" style="8" bestFit="1" customWidth="1"/>
    <col min="12062" max="12063" width="10.5703125" style="8" customWidth="1"/>
    <col min="12064" max="12071" width="9.140625" style="8"/>
    <col min="12072" max="12072" width="10.85546875" style="8" customWidth="1"/>
    <col min="12073" max="12294" width="9.140625" style="8"/>
    <col min="12295" max="12295" width="15.5703125" style="8" customWidth="1"/>
    <col min="12296" max="12298" width="10.85546875" style="8" customWidth="1"/>
    <col min="12299" max="12299" width="2.28515625" style="8" customWidth="1"/>
    <col min="12300" max="12302" width="10.140625" style="8" customWidth="1"/>
    <col min="12303" max="12303" width="2.42578125" style="8" customWidth="1"/>
    <col min="12304" max="12306" width="10.28515625" style="8" customWidth="1"/>
    <col min="12307" max="12307" width="2.85546875" style="8" customWidth="1"/>
    <col min="12308" max="12310" width="10.42578125" style="8" customWidth="1"/>
    <col min="12311" max="12312" width="12.140625" style="8" customWidth="1"/>
    <col min="12313" max="12313" width="11.85546875" style="8" bestFit="1" customWidth="1"/>
    <col min="12314" max="12315" width="10.5703125" style="8" bestFit="1" customWidth="1"/>
    <col min="12316" max="12316" width="11.85546875" style="8" bestFit="1" customWidth="1"/>
    <col min="12317" max="12317" width="10.5703125" style="8" bestFit="1" customWidth="1"/>
    <col min="12318" max="12319" width="10.5703125" style="8" customWidth="1"/>
    <col min="12320" max="12327" width="9.140625" style="8"/>
    <col min="12328" max="12328" width="10.85546875" style="8" customWidth="1"/>
    <col min="12329" max="12550" width="9.140625" style="8"/>
    <col min="12551" max="12551" width="15.5703125" style="8" customWidth="1"/>
    <col min="12552" max="12554" width="10.85546875" style="8" customWidth="1"/>
    <col min="12555" max="12555" width="2.28515625" style="8" customWidth="1"/>
    <col min="12556" max="12558" width="10.140625" style="8" customWidth="1"/>
    <col min="12559" max="12559" width="2.42578125" style="8" customWidth="1"/>
    <col min="12560" max="12562" width="10.28515625" style="8" customWidth="1"/>
    <col min="12563" max="12563" width="2.85546875" style="8" customWidth="1"/>
    <col min="12564" max="12566" width="10.42578125" style="8" customWidth="1"/>
    <col min="12567" max="12568" width="12.140625" style="8" customWidth="1"/>
    <col min="12569" max="12569" width="11.85546875" style="8" bestFit="1" customWidth="1"/>
    <col min="12570" max="12571" width="10.5703125" style="8" bestFit="1" customWidth="1"/>
    <col min="12572" max="12572" width="11.85546875" style="8" bestFit="1" customWidth="1"/>
    <col min="12573" max="12573" width="10.5703125" style="8" bestFit="1" customWidth="1"/>
    <col min="12574" max="12575" width="10.5703125" style="8" customWidth="1"/>
    <col min="12576" max="12583" width="9.140625" style="8"/>
    <col min="12584" max="12584" width="10.85546875" style="8" customWidth="1"/>
    <col min="12585" max="12806" width="9.140625" style="8"/>
    <col min="12807" max="12807" width="15.5703125" style="8" customWidth="1"/>
    <col min="12808" max="12810" width="10.85546875" style="8" customWidth="1"/>
    <col min="12811" max="12811" width="2.28515625" style="8" customWidth="1"/>
    <col min="12812" max="12814" width="10.140625" style="8" customWidth="1"/>
    <col min="12815" max="12815" width="2.42578125" style="8" customWidth="1"/>
    <col min="12816" max="12818" width="10.28515625" style="8" customWidth="1"/>
    <col min="12819" max="12819" width="2.85546875" style="8" customWidth="1"/>
    <col min="12820" max="12822" width="10.42578125" style="8" customWidth="1"/>
    <col min="12823" max="12824" width="12.140625" style="8" customWidth="1"/>
    <col min="12825" max="12825" width="11.85546875" style="8" bestFit="1" customWidth="1"/>
    <col min="12826" max="12827" width="10.5703125" style="8" bestFit="1" customWidth="1"/>
    <col min="12828" max="12828" width="11.85546875" style="8" bestFit="1" customWidth="1"/>
    <col min="12829" max="12829" width="10.5703125" style="8" bestFit="1" customWidth="1"/>
    <col min="12830" max="12831" width="10.5703125" style="8" customWidth="1"/>
    <col min="12832" max="12839" width="9.140625" style="8"/>
    <col min="12840" max="12840" width="10.85546875" style="8" customWidth="1"/>
    <col min="12841" max="13062" width="9.140625" style="8"/>
    <col min="13063" max="13063" width="15.5703125" style="8" customWidth="1"/>
    <col min="13064" max="13066" width="10.85546875" style="8" customWidth="1"/>
    <col min="13067" max="13067" width="2.28515625" style="8" customWidth="1"/>
    <col min="13068" max="13070" width="10.140625" style="8" customWidth="1"/>
    <col min="13071" max="13071" width="2.42578125" style="8" customWidth="1"/>
    <col min="13072" max="13074" width="10.28515625" style="8" customWidth="1"/>
    <col min="13075" max="13075" width="2.85546875" style="8" customWidth="1"/>
    <col min="13076" max="13078" width="10.42578125" style="8" customWidth="1"/>
    <col min="13079" max="13080" width="12.140625" style="8" customWidth="1"/>
    <col min="13081" max="13081" width="11.85546875" style="8" bestFit="1" customWidth="1"/>
    <col min="13082" max="13083" width="10.5703125" style="8" bestFit="1" customWidth="1"/>
    <col min="13084" max="13084" width="11.85546875" style="8" bestFit="1" customWidth="1"/>
    <col min="13085" max="13085" width="10.5703125" style="8" bestFit="1" customWidth="1"/>
    <col min="13086" max="13087" width="10.5703125" style="8" customWidth="1"/>
    <col min="13088" max="13095" width="9.140625" style="8"/>
    <col min="13096" max="13096" width="10.85546875" style="8" customWidth="1"/>
    <col min="13097" max="13318" width="9.140625" style="8"/>
    <col min="13319" max="13319" width="15.5703125" style="8" customWidth="1"/>
    <col min="13320" max="13322" width="10.85546875" style="8" customWidth="1"/>
    <col min="13323" max="13323" width="2.28515625" style="8" customWidth="1"/>
    <col min="13324" max="13326" width="10.140625" style="8" customWidth="1"/>
    <col min="13327" max="13327" width="2.42578125" style="8" customWidth="1"/>
    <col min="13328" max="13330" width="10.28515625" style="8" customWidth="1"/>
    <col min="13331" max="13331" width="2.85546875" style="8" customWidth="1"/>
    <col min="13332" max="13334" width="10.42578125" style="8" customWidth="1"/>
    <col min="13335" max="13336" width="12.140625" style="8" customWidth="1"/>
    <col min="13337" max="13337" width="11.85546875" style="8" bestFit="1" customWidth="1"/>
    <col min="13338" max="13339" width="10.5703125" style="8" bestFit="1" customWidth="1"/>
    <col min="13340" max="13340" width="11.85546875" style="8" bestFit="1" customWidth="1"/>
    <col min="13341" max="13341" width="10.5703125" style="8" bestFit="1" customWidth="1"/>
    <col min="13342" max="13343" width="10.5703125" style="8" customWidth="1"/>
    <col min="13344" max="13351" width="9.140625" style="8"/>
    <col min="13352" max="13352" width="10.85546875" style="8" customWidth="1"/>
    <col min="13353" max="13574" width="9.140625" style="8"/>
    <col min="13575" max="13575" width="15.5703125" style="8" customWidth="1"/>
    <col min="13576" max="13578" width="10.85546875" style="8" customWidth="1"/>
    <col min="13579" max="13579" width="2.28515625" style="8" customWidth="1"/>
    <col min="13580" max="13582" width="10.140625" style="8" customWidth="1"/>
    <col min="13583" max="13583" width="2.42578125" style="8" customWidth="1"/>
    <col min="13584" max="13586" width="10.28515625" style="8" customWidth="1"/>
    <col min="13587" max="13587" width="2.85546875" style="8" customWidth="1"/>
    <col min="13588" max="13590" width="10.42578125" style="8" customWidth="1"/>
    <col min="13591" max="13592" width="12.140625" style="8" customWidth="1"/>
    <col min="13593" max="13593" width="11.85546875" style="8" bestFit="1" customWidth="1"/>
    <col min="13594" max="13595" width="10.5703125" style="8" bestFit="1" customWidth="1"/>
    <col min="13596" max="13596" width="11.85546875" style="8" bestFit="1" customWidth="1"/>
    <col min="13597" max="13597" width="10.5703125" style="8" bestFit="1" customWidth="1"/>
    <col min="13598" max="13599" width="10.5703125" style="8" customWidth="1"/>
    <col min="13600" max="13607" width="9.140625" style="8"/>
    <col min="13608" max="13608" width="10.85546875" style="8" customWidth="1"/>
    <col min="13609" max="13830" width="9.140625" style="8"/>
    <col min="13831" max="13831" width="15.5703125" style="8" customWidth="1"/>
    <col min="13832" max="13834" width="10.85546875" style="8" customWidth="1"/>
    <col min="13835" max="13835" width="2.28515625" style="8" customWidth="1"/>
    <col min="13836" max="13838" width="10.140625" style="8" customWidth="1"/>
    <col min="13839" max="13839" width="2.42578125" style="8" customWidth="1"/>
    <col min="13840" max="13842" width="10.28515625" style="8" customWidth="1"/>
    <col min="13843" max="13843" width="2.85546875" style="8" customWidth="1"/>
    <col min="13844" max="13846" width="10.42578125" style="8" customWidth="1"/>
    <col min="13847" max="13848" width="12.140625" style="8" customWidth="1"/>
    <col min="13849" max="13849" width="11.85546875" style="8" bestFit="1" customWidth="1"/>
    <col min="13850" max="13851" width="10.5703125" style="8" bestFit="1" customWidth="1"/>
    <col min="13852" max="13852" width="11.85546875" style="8" bestFit="1" customWidth="1"/>
    <col min="13853" max="13853" width="10.5703125" style="8" bestFit="1" customWidth="1"/>
    <col min="13854" max="13855" width="10.5703125" style="8" customWidth="1"/>
    <col min="13856" max="13863" width="9.140625" style="8"/>
    <col min="13864" max="13864" width="10.85546875" style="8" customWidth="1"/>
    <col min="13865" max="14086" width="9.140625" style="8"/>
    <col min="14087" max="14087" width="15.5703125" style="8" customWidth="1"/>
    <col min="14088" max="14090" width="10.85546875" style="8" customWidth="1"/>
    <col min="14091" max="14091" width="2.28515625" style="8" customWidth="1"/>
    <col min="14092" max="14094" width="10.140625" style="8" customWidth="1"/>
    <col min="14095" max="14095" width="2.42578125" style="8" customWidth="1"/>
    <col min="14096" max="14098" width="10.28515625" style="8" customWidth="1"/>
    <col min="14099" max="14099" width="2.85546875" style="8" customWidth="1"/>
    <col min="14100" max="14102" width="10.42578125" style="8" customWidth="1"/>
    <col min="14103" max="14104" width="12.140625" style="8" customWidth="1"/>
    <col min="14105" max="14105" width="11.85546875" style="8" bestFit="1" customWidth="1"/>
    <col min="14106" max="14107" width="10.5703125" style="8" bestFit="1" customWidth="1"/>
    <col min="14108" max="14108" width="11.85546875" style="8" bestFit="1" customWidth="1"/>
    <col min="14109" max="14109" width="10.5703125" style="8" bestFit="1" customWidth="1"/>
    <col min="14110" max="14111" width="10.5703125" style="8" customWidth="1"/>
    <col min="14112" max="14119" width="9.140625" style="8"/>
    <col min="14120" max="14120" width="10.85546875" style="8" customWidth="1"/>
    <col min="14121" max="14342" width="9.140625" style="8"/>
    <col min="14343" max="14343" width="15.5703125" style="8" customWidth="1"/>
    <col min="14344" max="14346" width="10.85546875" style="8" customWidth="1"/>
    <col min="14347" max="14347" width="2.28515625" style="8" customWidth="1"/>
    <col min="14348" max="14350" width="10.140625" style="8" customWidth="1"/>
    <col min="14351" max="14351" width="2.42578125" style="8" customWidth="1"/>
    <col min="14352" max="14354" width="10.28515625" style="8" customWidth="1"/>
    <col min="14355" max="14355" width="2.85546875" style="8" customWidth="1"/>
    <col min="14356" max="14358" width="10.42578125" style="8" customWidth="1"/>
    <col min="14359" max="14360" width="12.140625" style="8" customWidth="1"/>
    <col min="14361" max="14361" width="11.85546875" style="8" bestFit="1" customWidth="1"/>
    <col min="14362" max="14363" width="10.5703125" style="8" bestFit="1" customWidth="1"/>
    <col min="14364" max="14364" width="11.85546875" style="8" bestFit="1" customWidth="1"/>
    <col min="14365" max="14365" width="10.5703125" style="8" bestFit="1" customWidth="1"/>
    <col min="14366" max="14367" width="10.5703125" style="8" customWidth="1"/>
    <col min="14368" max="14375" width="9.140625" style="8"/>
    <col min="14376" max="14376" width="10.85546875" style="8" customWidth="1"/>
    <col min="14377" max="14598" width="9.140625" style="8"/>
    <col min="14599" max="14599" width="15.5703125" style="8" customWidth="1"/>
    <col min="14600" max="14602" width="10.85546875" style="8" customWidth="1"/>
    <col min="14603" max="14603" width="2.28515625" style="8" customWidth="1"/>
    <col min="14604" max="14606" width="10.140625" style="8" customWidth="1"/>
    <col min="14607" max="14607" width="2.42578125" style="8" customWidth="1"/>
    <col min="14608" max="14610" width="10.28515625" style="8" customWidth="1"/>
    <col min="14611" max="14611" width="2.85546875" style="8" customWidth="1"/>
    <col min="14612" max="14614" width="10.42578125" style="8" customWidth="1"/>
    <col min="14615" max="14616" width="12.140625" style="8" customWidth="1"/>
    <col min="14617" max="14617" width="11.85546875" style="8" bestFit="1" customWidth="1"/>
    <col min="14618" max="14619" width="10.5703125" style="8" bestFit="1" customWidth="1"/>
    <col min="14620" max="14620" width="11.85546875" style="8" bestFit="1" customWidth="1"/>
    <col min="14621" max="14621" width="10.5703125" style="8" bestFit="1" customWidth="1"/>
    <col min="14622" max="14623" width="10.5703125" style="8" customWidth="1"/>
    <col min="14624" max="14631" width="9.140625" style="8"/>
    <col min="14632" max="14632" width="10.85546875" style="8" customWidth="1"/>
    <col min="14633" max="14854" width="9.140625" style="8"/>
    <col min="14855" max="14855" width="15.5703125" style="8" customWidth="1"/>
    <col min="14856" max="14858" width="10.85546875" style="8" customWidth="1"/>
    <col min="14859" max="14859" width="2.28515625" style="8" customWidth="1"/>
    <col min="14860" max="14862" width="10.140625" style="8" customWidth="1"/>
    <col min="14863" max="14863" width="2.42578125" style="8" customWidth="1"/>
    <col min="14864" max="14866" width="10.28515625" style="8" customWidth="1"/>
    <col min="14867" max="14867" width="2.85546875" style="8" customWidth="1"/>
    <col min="14868" max="14870" width="10.42578125" style="8" customWidth="1"/>
    <col min="14871" max="14872" width="12.140625" style="8" customWidth="1"/>
    <col min="14873" max="14873" width="11.85546875" style="8" bestFit="1" customWidth="1"/>
    <col min="14874" max="14875" width="10.5703125" style="8" bestFit="1" customWidth="1"/>
    <col min="14876" max="14876" width="11.85546875" style="8" bestFit="1" customWidth="1"/>
    <col min="14877" max="14877" width="10.5703125" style="8" bestFit="1" customWidth="1"/>
    <col min="14878" max="14879" width="10.5703125" style="8" customWidth="1"/>
    <col min="14880" max="14887" width="9.140625" style="8"/>
    <col min="14888" max="14888" width="10.85546875" style="8" customWidth="1"/>
    <col min="14889" max="15110" width="9.140625" style="8"/>
    <col min="15111" max="15111" width="15.5703125" style="8" customWidth="1"/>
    <col min="15112" max="15114" width="10.85546875" style="8" customWidth="1"/>
    <col min="15115" max="15115" width="2.28515625" style="8" customWidth="1"/>
    <col min="15116" max="15118" width="10.140625" style="8" customWidth="1"/>
    <col min="15119" max="15119" width="2.42578125" style="8" customWidth="1"/>
    <col min="15120" max="15122" width="10.28515625" style="8" customWidth="1"/>
    <col min="15123" max="15123" width="2.85546875" style="8" customWidth="1"/>
    <col min="15124" max="15126" width="10.42578125" style="8" customWidth="1"/>
    <col min="15127" max="15128" width="12.140625" style="8" customWidth="1"/>
    <col min="15129" max="15129" width="11.85546875" style="8" bestFit="1" customWidth="1"/>
    <col min="15130" max="15131" width="10.5703125" style="8" bestFit="1" customWidth="1"/>
    <col min="15132" max="15132" width="11.85546875" style="8" bestFit="1" customWidth="1"/>
    <col min="15133" max="15133" width="10.5703125" style="8" bestFit="1" customWidth="1"/>
    <col min="15134" max="15135" width="10.5703125" style="8" customWidth="1"/>
    <col min="15136" max="15143" width="9.140625" style="8"/>
    <col min="15144" max="15144" width="10.85546875" style="8" customWidth="1"/>
    <col min="15145" max="15366" width="9.140625" style="8"/>
    <col min="15367" max="15367" width="15.5703125" style="8" customWidth="1"/>
    <col min="15368" max="15370" width="10.85546875" style="8" customWidth="1"/>
    <col min="15371" max="15371" width="2.28515625" style="8" customWidth="1"/>
    <col min="15372" max="15374" width="10.140625" style="8" customWidth="1"/>
    <col min="15375" max="15375" width="2.42578125" style="8" customWidth="1"/>
    <col min="15376" max="15378" width="10.28515625" style="8" customWidth="1"/>
    <col min="15379" max="15379" width="2.85546875" style="8" customWidth="1"/>
    <col min="15380" max="15382" width="10.42578125" style="8" customWidth="1"/>
    <col min="15383" max="15384" width="12.140625" style="8" customWidth="1"/>
    <col min="15385" max="15385" width="11.85546875" style="8" bestFit="1" customWidth="1"/>
    <col min="15386" max="15387" width="10.5703125" style="8" bestFit="1" customWidth="1"/>
    <col min="15388" max="15388" width="11.85546875" style="8" bestFit="1" customWidth="1"/>
    <col min="15389" max="15389" width="10.5703125" style="8" bestFit="1" customWidth="1"/>
    <col min="15390" max="15391" width="10.5703125" style="8" customWidth="1"/>
    <col min="15392" max="15399" width="9.140625" style="8"/>
    <col min="15400" max="15400" width="10.85546875" style="8" customWidth="1"/>
    <col min="15401" max="15622" width="9.140625" style="8"/>
    <col min="15623" max="15623" width="15.5703125" style="8" customWidth="1"/>
    <col min="15624" max="15626" width="10.85546875" style="8" customWidth="1"/>
    <col min="15627" max="15627" width="2.28515625" style="8" customWidth="1"/>
    <col min="15628" max="15630" width="10.140625" style="8" customWidth="1"/>
    <col min="15631" max="15631" width="2.42578125" style="8" customWidth="1"/>
    <col min="15632" max="15634" width="10.28515625" style="8" customWidth="1"/>
    <col min="15635" max="15635" width="2.85546875" style="8" customWidth="1"/>
    <col min="15636" max="15638" width="10.42578125" style="8" customWidth="1"/>
    <col min="15639" max="15640" width="12.140625" style="8" customWidth="1"/>
    <col min="15641" max="15641" width="11.85546875" style="8" bestFit="1" customWidth="1"/>
    <col min="15642" max="15643" width="10.5703125" style="8" bestFit="1" customWidth="1"/>
    <col min="15644" max="15644" width="11.85546875" style="8" bestFit="1" customWidth="1"/>
    <col min="15645" max="15645" width="10.5703125" style="8" bestFit="1" customWidth="1"/>
    <col min="15646" max="15647" width="10.5703125" style="8" customWidth="1"/>
    <col min="15648" max="15655" width="9.140625" style="8"/>
    <col min="15656" max="15656" width="10.85546875" style="8" customWidth="1"/>
    <col min="15657" max="15878" width="9.140625" style="8"/>
    <col min="15879" max="15879" width="15.5703125" style="8" customWidth="1"/>
    <col min="15880" max="15882" width="10.85546875" style="8" customWidth="1"/>
    <col min="15883" max="15883" width="2.28515625" style="8" customWidth="1"/>
    <col min="15884" max="15886" width="10.140625" style="8" customWidth="1"/>
    <col min="15887" max="15887" width="2.42578125" style="8" customWidth="1"/>
    <col min="15888" max="15890" width="10.28515625" style="8" customWidth="1"/>
    <col min="15891" max="15891" width="2.85546875" style="8" customWidth="1"/>
    <col min="15892" max="15894" width="10.42578125" style="8" customWidth="1"/>
    <col min="15895" max="15896" width="12.140625" style="8" customWidth="1"/>
    <col min="15897" max="15897" width="11.85546875" style="8" bestFit="1" customWidth="1"/>
    <col min="15898" max="15899" width="10.5703125" style="8" bestFit="1" customWidth="1"/>
    <col min="15900" max="15900" width="11.85546875" style="8" bestFit="1" customWidth="1"/>
    <col min="15901" max="15901" width="10.5703125" style="8" bestFit="1" customWidth="1"/>
    <col min="15902" max="15903" width="10.5703125" style="8" customWidth="1"/>
    <col min="15904" max="15911" width="9.140625" style="8"/>
    <col min="15912" max="15912" width="10.85546875" style="8" customWidth="1"/>
    <col min="15913" max="16134" width="9.140625" style="8"/>
    <col min="16135" max="16135" width="15.5703125" style="8" customWidth="1"/>
    <col min="16136" max="16138" width="10.85546875" style="8" customWidth="1"/>
    <col min="16139" max="16139" width="2.28515625" style="8" customWidth="1"/>
    <col min="16140" max="16142" width="10.140625" style="8" customWidth="1"/>
    <col min="16143" max="16143" width="2.42578125" style="8" customWidth="1"/>
    <col min="16144" max="16146" width="10.28515625" style="8" customWidth="1"/>
    <col min="16147" max="16147" width="2.85546875" style="8" customWidth="1"/>
    <col min="16148" max="16150" width="10.42578125" style="8" customWidth="1"/>
    <col min="16151" max="16152" width="12.140625" style="8" customWidth="1"/>
    <col min="16153" max="16153" width="11.85546875" style="8" bestFit="1" customWidth="1"/>
    <col min="16154" max="16155" width="10.5703125" style="8" bestFit="1" customWidth="1"/>
    <col min="16156" max="16156" width="11.85546875" style="8" bestFit="1" customWidth="1"/>
    <col min="16157" max="16157" width="10.5703125" style="8" bestFit="1" customWidth="1"/>
    <col min="16158" max="16159" width="10.5703125" style="8" customWidth="1"/>
    <col min="16160" max="16167" width="9.140625" style="8"/>
    <col min="16168" max="16168" width="10.85546875" style="8" customWidth="1"/>
    <col min="16169" max="16384" width="9.140625" style="8"/>
  </cols>
  <sheetData>
    <row r="1" spans="1:41" ht="17.25" customHeight="1" x14ac:dyDescent="0.2">
      <c r="A1" s="63" t="s">
        <v>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41" ht="17.25" customHeight="1" x14ac:dyDescent="0.2">
      <c r="A2" s="64" t="s">
        <v>49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</row>
    <row r="3" spans="1:41" ht="5.2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41" ht="17.25" customHeight="1" x14ac:dyDescent="0.2">
      <c r="A4" s="10"/>
      <c r="B4" s="11" t="s">
        <v>6</v>
      </c>
      <c r="C4" s="12"/>
      <c r="D4" s="57" t="s">
        <v>7</v>
      </c>
      <c r="E4" s="13"/>
      <c r="F4" s="11" t="s">
        <v>8</v>
      </c>
      <c r="G4" s="14"/>
      <c r="H4" s="57" t="s">
        <v>9</v>
      </c>
      <c r="I4" s="13"/>
      <c r="J4" s="11" t="s">
        <v>10</v>
      </c>
      <c r="K4" s="14"/>
      <c r="L4" s="57" t="s">
        <v>11</v>
      </c>
      <c r="N4" s="11" t="s">
        <v>12</v>
      </c>
      <c r="O4" s="14"/>
      <c r="P4" s="57" t="s">
        <v>13</v>
      </c>
      <c r="Q4" s="44"/>
      <c r="R4" s="59" t="s">
        <v>48</v>
      </c>
      <c r="S4" s="60"/>
      <c r="T4" s="61" t="s">
        <v>47</v>
      </c>
      <c r="AL4" s="8">
        <v>1995</v>
      </c>
    </row>
    <row r="5" spans="1:41" ht="17.25" customHeight="1" x14ac:dyDescent="0.4">
      <c r="A5" s="55" t="s">
        <v>14</v>
      </c>
      <c r="B5" s="54" t="s">
        <v>0</v>
      </c>
      <c r="C5" s="54" t="s">
        <v>1</v>
      </c>
      <c r="D5" s="54" t="s">
        <v>2</v>
      </c>
      <c r="E5" s="55"/>
      <c r="F5" s="54" t="s">
        <v>0</v>
      </c>
      <c r="G5" s="54" t="s">
        <v>1</v>
      </c>
      <c r="H5" s="54" t="s">
        <v>2</v>
      </c>
      <c r="I5" s="54"/>
      <c r="J5" s="54" t="s">
        <v>0</v>
      </c>
      <c r="K5" s="54" t="s">
        <v>1</v>
      </c>
      <c r="L5" s="54" t="s">
        <v>2</v>
      </c>
      <c r="M5" s="56"/>
      <c r="N5" s="54" t="s">
        <v>0</v>
      </c>
      <c r="O5" s="54" t="s">
        <v>1</v>
      </c>
      <c r="P5" s="54" t="s">
        <v>2</v>
      </c>
      <c r="Q5" s="56"/>
      <c r="R5" s="54" t="s">
        <v>0</v>
      </c>
      <c r="S5" s="54" t="s">
        <v>1</v>
      </c>
      <c r="T5" s="54" t="s">
        <v>2</v>
      </c>
    </row>
    <row r="6" spans="1:41" ht="16.5" customHeight="1" x14ac:dyDescent="0.25">
      <c r="A6" s="15" t="s">
        <v>15</v>
      </c>
      <c r="B6" s="16" t="s">
        <v>3</v>
      </c>
      <c r="C6" s="16" t="s">
        <v>4</v>
      </c>
      <c r="D6" s="16" t="s">
        <v>5</v>
      </c>
      <c r="E6" s="15"/>
      <c r="F6" s="16" t="s">
        <v>3</v>
      </c>
      <c r="G6" s="16" t="s">
        <v>4</v>
      </c>
      <c r="H6" s="16" t="s">
        <v>5</v>
      </c>
      <c r="I6" s="16"/>
      <c r="J6" s="16" t="s">
        <v>3</v>
      </c>
      <c r="K6" s="16" t="s">
        <v>4</v>
      </c>
      <c r="L6" s="16" t="s">
        <v>5</v>
      </c>
      <c r="M6" s="9"/>
      <c r="N6" s="16" t="s">
        <v>3</v>
      </c>
      <c r="O6" s="16" t="s">
        <v>4</v>
      </c>
      <c r="P6" s="16" t="s">
        <v>5</v>
      </c>
      <c r="Q6" s="9"/>
      <c r="R6" s="16" t="s">
        <v>3</v>
      </c>
      <c r="S6" s="16" t="s">
        <v>4</v>
      </c>
      <c r="T6" s="16" t="s">
        <v>5</v>
      </c>
      <c r="AO6" s="17"/>
    </row>
    <row r="7" spans="1:41" ht="15" customHeight="1" x14ac:dyDescent="0.2">
      <c r="A7" s="18" t="s">
        <v>16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  <c r="N7" s="19"/>
      <c r="O7" s="19"/>
      <c r="P7" s="19"/>
      <c r="Q7" s="20"/>
      <c r="R7" s="19"/>
      <c r="S7" s="19"/>
      <c r="T7" s="19"/>
      <c r="AM7" s="21" t="s">
        <v>4</v>
      </c>
      <c r="AN7" s="21" t="s">
        <v>5</v>
      </c>
    </row>
    <row r="8" spans="1:41" ht="15" customHeight="1" x14ac:dyDescent="0.25">
      <c r="A8" s="22" t="s">
        <v>17</v>
      </c>
      <c r="B8" s="23">
        <f>SUM(B10:B32)</f>
        <v>244814</v>
      </c>
      <c r="C8" s="23">
        <f>SUM(C10:C32)</f>
        <v>124622</v>
      </c>
      <c r="D8" s="23">
        <f>SUM(D10:D32)</f>
        <v>120192</v>
      </c>
      <c r="E8" s="23"/>
      <c r="F8" s="23">
        <f>SUM(F10:F32)</f>
        <v>270101</v>
      </c>
      <c r="G8" s="23">
        <f>SUM(G10:G32)</f>
        <v>137200</v>
      </c>
      <c r="H8" s="23">
        <f>SUM(H10:H32)</f>
        <v>132901</v>
      </c>
      <c r="I8" s="23"/>
      <c r="J8" s="24">
        <v>298968</v>
      </c>
      <c r="K8" s="24">
        <v>151459</v>
      </c>
      <c r="L8" s="24">
        <v>147509</v>
      </c>
      <c r="M8" s="25"/>
      <c r="N8" s="24">
        <f>O8+P8</f>
        <v>344023</v>
      </c>
      <c r="O8" s="24">
        <f>SUM(O10:O32)</f>
        <v>174666</v>
      </c>
      <c r="P8" s="24">
        <f>SUM(P10:P32)</f>
        <v>169357</v>
      </c>
      <c r="Q8" s="25"/>
      <c r="R8" s="24">
        <f>S8+T8</f>
        <v>382751</v>
      </c>
      <c r="S8" s="24">
        <f>SUM(S10:S32)</f>
        <v>195053</v>
      </c>
      <c r="T8" s="24">
        <f>SUM(T10:T32)</f>
        <v>187698</v>
      </c>
      <c r="AL8" s="26" t="s">
        <v>18</v>
      </c>
      <c r="AM8" s="27">
        <f>-1*AO8</f>
        <v>-19113</v>
      </c>
      <c r="AN8" s="17">
        <f>D10+D11</f>
        <v>17859</v>
      </c>
      <c r="AO8" s="17">
        <f>C10+C11</f>
        <v>19113</v>
      </c>
    </row>
    <row r="9" spans="1:41" ht="10.5" customHeight="1" x14ac:dyDescent="0.2">
      <c r="A9" s="28" t="s">
        <v>19</v>
      </c>
      <c r="B9" s="29"/>
      <c r="C9" s="29"/>
      <c r="D9" s="29"/>
      <c r="E9" s="29"/>
      <c r="F9" s="29"/>
      <c r="G9" s="29"/>
      <c r="H9" s="29"/>
      <c r="I9" s="29"/>
      <c r="J9" s="30"/>
      <c r="K9" s="30"/>
      <c r="L9" s="30"/>
      <c r="M9" s="25"/>
      <c r="N9" s="30"/>
      <c r="O9" s="30"/>
      <c r="P9" s="30"/>
      <c r="Q9" s="25"/>
      <c r="R9" s="30"/>
      <c r="S9" s="30"/>
      <c r="T9" s="30"/>
      <c r="AL9" s="26" t="s">
        <v>20</v>
      </c>
      <c r="AM9" s="27">
        <f t="shared" ref="AM9:AM23" si="0">-1*AO9</f>
        <v>-20840</v>
      </c>
      <c r="AN9" s="17">
        <f>D12+D13</f>
        <v>19919</v>
      </c>
      <c r="AO9" s="17">
        <f>C12+C13</f>
        <v>20840</v>
      </c>
    </row>
    <row r="10" spans="1:41" s="35" customFormat="1" ht="11.25" customHeight="1" x14ac:dyDescent="0.2">
      <c r="A10" s="31" t="s">
        <v>21</v>
      </c>
      <c r="B10" s="32">
        <v>7044</v>
      </c>
      <c r="C10" s="32">
        <v>3593</v>
      </c>
      <c r="D10" s="32">
        <v>3451</v>
      </c>
      <c r="E10" s="32"/>
      <c r="F10" s="32">
        <v>5515</v>
      </c>
      <c r="G10" s="32">
        <v>2780</v>
      </c>
      <c r="H10" s="32">
        <v>2735</v>
      </c>
      <c r="I10" s="32"/>
      <c r="J10" s="33">
        <v>5462</v>
      </c>
      <c r="K10" s="33">
        <v>2777</v>
      </c>
      <c r="L10" s="33">
        <v>2685</v>
      </c>
      <c r="M10" s="34"/>
      <c r="N10" s="33">
        <f>O10+P10</f>
        <v>7017</v>
      </c>
      <c r="O10" s="33">
        <v>3634</v>
      </c>
      <c r="P10" s="33">
        <v>3383</v>
      </c>
      <c r="Q10" s="34"/>
      <c r="R10" s="33">
        <v>4960</v>
      </c>
      <c r="S10" s="33">
        <v>2514</v>
      </c>
      <c r="T10" s="33">
        <v>2446</v>
      </c>
      <c r="U10" s="8"/>
      <c r="AL10" s="26" t="s">
        <v>22</v>
      </c>
      <c r="AM10" s="27">
        <f t="shared" si="0"/>
        <v>-18286</v>
      </c>
      <c r="AN10" s="32">
        <v>17584</v>
      </c>
      <c r="AO10" s="32">
        <v>18286</v>
      </c>
    </row>
    <row r="11" spans="1:41" ht="18" customHeight="1" x14ac:dyDescent="0.2">
      <c r="A11" s="26" t="s">
        <v>23</v>
      </c>
      <c r="B11" s="32">
        <v>29928</v>
      </c>
      <c r="C11" s="32">
        <v>15520</v>
      </c>
      <c r="D11" s="32">
        <v>14408</v>
      </c>
      <c r="E11" s="32"/>
      <c r="F11" s="32">
        <v>25397</v>
      </c>
      <c r="G11" s="32">
        <v>12919</v>
      </c>
      <c r="H11" s="32">
        <v>12478</v>
      </c>
      <c r="I11" s="32"/>
      <c r="J11" s="33">
        <v>20709</v>
      </c>
      <c r="K11" s="33">
        <v>10585</v>
      </c>
      <c r="L11" s="33">
        <v>10124</v>
      </c>
      <c r="M11" s="34"/>
      <c r="N11" s="33">
        <f t="shared" ref="N11:N32" si="1">O11+P11</f>
        <v>29069</v>
      </c>
      <c r="O11" s="33">
        <v>15229</v>
      </c>
      <c r="P11" s="33">
        <v>13840</v>
      </c>
      <c r="Q11" s="34"/>
      <c r="R11" s="33">
        <v>24091</v>
      </c>
      <c r="S11" s="33">
        <v>12157</v>
      </c>
      <c r="T11" s="33">
        <v>11934</v>
      </c>
      <c r="AL11" s="26" t="s">
        <v>24</v>
      </c>
      <c r="AM11" s="27">
        <f t="shared" si="0"/>
        <v>-12343</v>
      </c>
      <c r="AN11" s="32">
        <v>12562</v>
      </c>
      <c r="AO11" s="32">
        <v>12343</v>
      </c>
    </row>
    <row r="12" spans="1:41" ht="18" customHeight="1" x14ac:dyDescent="0.25">
      <c r="A12" s="26" t="s">
        <v>25</v>
      </c>
      <c r="B12" s="32">
        <v>8625</v>
      </c>
      <c r="C12" s="32">
        <v>4375</v>
      </c>
      <c r="D12" s="32">
        <v>4250</v>
      </c>
      <c r="E12" s="32"/>
      <c r="F12" s="32">
        <v>7114</v>
      </c>
      <c r="G12" s="32">
        <v>3572</v>
      </c>
      <c r="H12" s="32">
        <v>3542</v>
      </c>
      <c r="I12" s="32"/>
      <c r="J12" s="33">
        <v>5514</v>
      </c>
      <c r="K12" s="33">
        <v>2849</v>
      </c>
      <c r="L12" s="33">
        <v>2665</v>
      </c>
      <c r="M12" s="34"/>
      <c r="N12" s="33">
        <f t="shared" si="1"/>
        <v>7302</v>
      </c>
      <c r="O12" s="33">
        <v>3680</v>
      </c>
      <c r="P12" s="33">
        <v>3622</v>
      </c>
      <c r="Q12" s="34"/>
      <c r="R12" s="33">
        <v>6544</v>
      </c>
      <c r="S12" s="33">
        <v>3232</v>
      </c>
      <c r="T12" s="33">
        <v>3312</v>
      </c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L12" s="26" t="s">
        <v>26</v>
      </c>
      <c r="AM12" s="27">
        <f t="shared" si="0"/>
        <v>-9944</v>
      </c>
      <c r="AN12" s="32">
        <v>11077</v>
      </c>
      <c r="AO12" s="32">
        <v>9944</v>
      </c>
    </row>
    <row r="13" spans="1:41" ht="18" customHeight="1" x14ac:dyDescent="0.25">
      <c r="A13" s="26" t="s">
        <v>27</v>
      </c>
      <c r="B13" s="32">
        <v>32134</v>
      </c>
      <c r="C13" s="32">
        <v>16465</v>
      </c>
      <c r="D13" s="32">
        <v>15669</v>
      </c>
      <c r="E13" s="32"/>
      <c r="F13" s="32">
        <v>30813</v>
      </c>
      <c r="G13" s="32">
        <v>15764</v>
      </c>
      <c r="H13" s="32">
        <v>15049</v>
      </c>
      <c r="I13" s="32"/>
      <c r="J13" s="33">
        <v>24353</v>
      </c>
      <c r="K13" s="33">
        <v>12503</v>
      </c>
      <c r="L13" s="33">
        <v>11850</v>
      </c>
      <c r="M13" s="34"/>
      <c r="N13" s="33">
        <f t="shared" si="1"/>
        <v>24678</v>
      </c>
      <c r="O13" s="33">
        <v>12684</v>
      </c>
      <c r="P13" s="33">
        <v>11994</v>
      </c>
      <c r="Q13" s="34"/>
      <c r="R13" s="33">
        <v>27619</v>
      </c>
      <c r="S13" s="33">
        <v>14076</v>
      </c>
      <c r="T13" s="33">
        <v>13543</v>
      </c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L13" s="26" t="s">
        <v>28</v>
      </c>
      <c r="AM13" s="27">
        <f t="shared" si="0"/>
        <v>-8802</v>
      </c>
      <c r="AN13" s="32">
        <v>9389</v>
      </c>
      <c r="AO13" s="32">
        <v>8802</v>
      </c>
    </row>
    <row r="14" spans="1:41" ht="18" customHeight="1" x14ac:dyDescent="0.2">
      <c r="A14" s="26" t="s">
        <v>22</v>
      </c>
      <c r="B14" s="32">
        <v>35870</v>
      </c>
      <c r="C14" s="32">
        <v>18286</v>
      </c>
      <c r="D14" s="32">
        <v>17584</v>
      </c>
      <c r="E14" s="32"/>
      <c r="F14" s="32">
        <v>41089</v>
      </c>
      <c r="G14" s="32">
        <v>20897</v>
      </c>
      <c r="H14" s="32">
        <v>20192</v>
      </c>
      <c r="I14" s="32"/>
      <c r="J14" s="33">
        <v>36999</v>
      </c>
      <c r="K14" s="33">
        <v>19111</v>
      </c>
      <c r="L14" s="33">
        <v>17888</v>
      </c>
      <c r="M14" s="34"/>
      <c r="N14" s="33">
        <f t="shared" si="1"/>
        <v>26358</v>
      </c>
      <c r="O14" s="33">
        <v>13571</v>
      </c>
      <c r="P14" s="33">
        <v>12787</v>
      </c>
      <c r="Q14" s="34"/>
      <c r="R14" s="33">
        <v>36555</v>
      </c>
      <c r="S14" s="33">
        <v>18856</v>
      </c>
      <c r="T14" s="33">
        <v>17699</v>
      </c>
      <c r="AL14" s="26" t="s">
        <v>29</v>
      </c>
      <c r="AM14" s="27">
        <f t="shared" si="0"/>
        <v>-7579</v>
      </c>
      <c r="AN14" s="32">
        <v>7785</v>
      </c>
      <c r="AO14" s="32">
        <v>7579</v>
      </c>
    </row>
    <row r="15" spans="1:41" ht="18" customHeight="1" x14ac:dyDescent="0.2">
      <c r="A15" s="26" t="s">
        <v>24</v>
      </c>
      <c r="B15" s="32">
        <v>24905</v>
      </c>
      <c r="C15" s="32">
        <v>12343</v>
      </c>
      <c r="D15" s="32">
        <v>12562</v>
      </c>
      <c r="E15" s="32"/>
      <c r="F15" s="32">
        <v>33266</v>
      </c>
      <c r="G15" s="32">
        <v>16590</v>
      </c>
      <c r="H15" s="32">
        <v>16676</v>
      </c>
      <c r="I15" s="32"/>
      <c r="J15" s="33">
        <v>39904</v>
      </c>
      <c r="K15" s="33">
        <v>20155</v>
      </c>
      <c r="L15" s="33">
        <v>19749</v>
      </c>
      <c r="M15" s="34"/>
      <c r="N15" s="33">
        <f t="shared" si="1"/>
        <v>31383</v>
      </c>
      <c r="O15" s="33">
        <v>15922</v>
      </c>
      <c r="P15" s="33">
        <v>15461</v>
      </c>
      <c r="Q15" s="34"/>
      <c r="R15" s="33">
        <v>27472</v>
      </c>
      <c r="S15" s="33">
        <v>14096</v>
      </c>
      <c r="T15" s="33">
        <v>13376</v>
      </c>
      <c r="AL15" s="26" t="s">
        <v>30</v>
      </c>
      <c r="AM15" s="27">
        <f t="shared" si="0"/>
        <v>-6315</v>
      </c>
      <c r="AN15" s="32">
        <v>6317</v>
      </c>
      <c r="AO15" s="32">
        <v>6315</v>
      </c>
    </row>
    <row r="16" spans="1:41" ht="18" customHeight="1" x14ac:dyDescent="0.2">
      <c r="A16" s="26" t="s">
        <v>26</v>
      </c>
      <c r="B16" s="32">
        <v>21021</v>
      </c>
      <c r="C16" s="32">
        <v>9944</v>
      </c>
      <c r="D16" s="32">
        <v>11077</v>
      </c>
      <c r="E16" s="32"/>
      <c r="F16" s="32">
        <v>23514</v>
      </c>
      <c r="G16" s="32">
        <v>11620</v>
      </c>
      <c r="H16" s="32">
        <v>11894</v>
      </c>
      <c r="I16" s="32"/>
      <c r="J16" s="33">
        <v>34809</v>
      </c>
      <c r="K16" s="33">
        <v>16933</v>
      </c>
      <c r="L16" s="33">
        <v>17876</v>
      </c>
      <c r="M16" s="34"/>
      <c r="N16" s="33">
        <f t="shared" si="1"/>
        <v>37886</v>
      </c>
      <c r="O16" s="33">
        <v>19349</v>
      </c>
      <c r="P16" s="33">
        <v>18537</v>
      </c>
      <c r="Q16" s="34"/>
      <c r="R16" s="33">
        <v>25921</v>
      </c>
      <c r="S16" s="33">
        <v>13514</v>
      </c>
      <c r="T16" s="33">
        <v>12407</v>
      </c>
      <c r="AL16" s="26" t="s">
        <v>31</v>
      </c>
      <c r="AM16" s="27">
        <f t="shared" si="0"/>
        <v>-3625</v>
      </c>
      <c r="AN16" s="32">
        <v>3297</v>
      </c>
      <c r="AO16" s="32">
        <v>3625</v>
      </c>
    </row>
    <row r="17" spans="1:41" ht="18" customHeight="1" x14ac:dyDescent="0.2">
      <c r="A17" s="26" t="s">
        <v>28</v>
      </c>
      <c r="B17" s="32">
        <v>18191</v>
      </c>
      <c r="C17" s="32">
        <v>8802</v>
      </c>
      <c r="D17" s="32">
        <v>9389</v>
      </c>
      <c r="E17" s="32"/>
      <c r="F17" s="32">
        <v>20090</v>
      </c>
      <c r="G17" s="32">
        <v>9805</v>
      </c>
      <c r="H17" s="32">
        <v>10285</v>
      </c>
      <c r="I17" s="32"/>
      <c r="J17" s="33">
        <v>24581</v>
      </c>
      <c r="K17" s="33">
        <v>11915</v>
      </c>
      <c r="L17" s="33">
        <v>12666</v>
      </c>
      <c r="M17" s="34"/>
      <c r="N17" s="33">
        <f t="shared" si="1"/>
        <v>39189</v>
      </c>
      <c r="O17" s="33">
        <v>19451</v>
      </c>
      <c r="P17" s="33">
        <v>19738</v>
      </c>
      <c r="Q17" s="34"/>
      <c r="R17" s="33">
        <v>35048</v>
      </c>
      <c r="S17" s="33">
        <v>18398</v>
      </c>
      <c r="T17" s="33">
        <v>16650</v>
      </c>
      <c r="AL17" s="26" t="s">
        <v>32</v>
      </c>
      <c r="AM17" s="27">
        <f t="shared" si="0"/>
        <v>-3369</v>
      </c>
      <c r="AN17" s="32">
        <v>3215</v>
      </c>
      <c r="AO17" s="32">
        <v>3369</v>
      </c>
    </row>
    <row r="18" spans="1:41" ht="18" customHeight="1" x14ac:dyDescent="0.2">
      <c r="A18" s="26" t="s">
        <v>29</v>
      </c>
      <c r="B18" s="32">
        <v>15364</v>
      </c>
      <c r="C18" s="32">
        <v>7579</v>
      </c>
      <c r="D18" s="32">
        <v>7785</v>
      </c>
      <c r="E18" s="32"/>
      <c r="F18" s="32">
        <v>18161</v>
      </c>
      <c r="G18" s="32">
        <v>8890</v>
      </c>
      <c r="H18" s="32">
        <v>9271</v>
      </c>
      <c r="I18" s="32"/>
      <c r="J18" s="33">
        <v>20635</v>
      </c>
      <c r="K18" s="33">
        <v>10022</v>
      </c>
      <c r="L18" s="33">
        <v>10613</v>
      </c>
      <c r="M18" s="34"/>
      <c r="N18" s="33">
        <f t="shared" si="1"/>
        <v>31362</v>
      </c>
      <c r="O18" s="33">
        <v>15494</v>
      </c>
      <c r="P18" s="33">
        <v>15868</v>
      </c>
      <c r="Q18" s="34"/>
      <c r="R18" s="33">
        <v>39834</v>
      </c>
      <c r="S18" s="33">
        <v>20671</v>
      </c>
      <c r="T18" s="33">
        <v>19163</v>
      </c>
      <c r="AL18" s="26" t="s">
        <v>33</v>
      </c>
      <c r="AM18" s="27">
        <f t="shared" si="0"/>
        <v>-3205</v>
      </c>
      <c r="AN18" s="32">
        <v>3042</v>
      </c>
      <c r="AO18" s="32">
        <v>3205</v>
      </c>
    </row>
    <row r="19" spans="1:41" ht="18" customHeight="1" x14ac:dyDescent="0.2">
      <c r="A19" s="26" t="s">
        <v>30</v>
      </c>
      <c r="B19" s="32">
        <v>12632</v>
      </c>
      <c r="C19" s="32">
        <v>6315</v>
      </c>
      <c r="D19" s="32">
        <v>6317</v>
      </c>
      <c r="E19" s="32"/>
      <c r="F19" s="32">
        <v>15699</v>
      </c>
      <c r="G19" s="32">
        <v>7828</v>
      </c>
      <c r="H19" s="32">
        <v>7871</v>
      </c>
      <c r="I19" s="32"/>
      <c r="J19" s="33">
        <v>18174</v>
      </c>
      <c r="K19" s="33">
        <v>8780</v>
      </c>
      <c r="L19" s="33">
        <v>9394</v>
      </c>
      <c r="M19" s="34"/>
      <c r="N19" s="33">
        <f t="shared" si="1"/>
        <v>22904</v>
      </c>
      <c r="O19" s="33">
        <v>11386</v>
      </c>
      <c r="P19" s="33">
        <v>11518</v>
      </c>
      <c r="Q19" s="34"/>
      <c r="R19" s="33">
        <v>38029</v>
      </c>
      <c r="S19" s="33">
        <v>19156</v>
      </c>
      <c r="T19" s="33">
        <v>18873</v>
      </c>
      <c r="AL19" s="26" t="s">
        <v>34</v>
      </c>
      <c r="AM19" s="27">
        <f t="shared" si="0"/>
        <v>-3240</v>
      </c>
      <c r="AN19" s="32">
        <v>2722</v>
      </c>
      <c r="AO19" s="32">
        <v>3240</v>
      </c>
    </row>
    <row r="20" spans="1:41" ht="18" customHeight="1" x14ac:dyDescent="0.2">
      <c r="A20" s="26" t="s">
        <v>31</v>
      </c>
      <c r="B20" s="32">
        <v>6922</v>
      </c>
      <c r="C20" s="32">
        <v>3625</v>
      </c>
      <c r="D20" s="32">
        <v>3297</v>
      </c>
      <c r="E20" s="32"/>
      <c r="F20" s="32">
        <v>12402</v>
      </c>
      <c r="G20" s="32">
        <v>6272</v>
      </c>
      <c r="H20" s="32">
        <v>6130</v>
      </c>
      <c r="I20" s="32"/>
      <c r="J20" s="33">
        <v>15871</v>
      </c>
      <c r="K20" s="33">
        <v>7828</v>
      </c>
      <c r="L20" s="33">
        <v>8043</v>
      </c>
      <c r="M20" s="34"/>
      <c r="N20" s="33">
        <f t="shared" si="1"/>
        <v>19875</v>
      </c>
      <c r="O20" s="33">
        <v>9811</v>
      </c>
      <c r="P20" s="33">
        <v>10064</v>
      </c>
      <c r="Q20" s="34"/>
      <c r="R20" s="33">
        <v>27363</v>
      </c>
      <c r="S20" s="33">
        <v>13730</v>
      </c>
      <c r="T20" s="33">
        <v>13633</v>
      </c>
      <c r="AL20" s="26" t="s">
        <v>35</v>
      </c>
      <c r="AM20" s="27">
        <f t="shared" si="0"/>
        <v>-3010</v>
      </c>
      <c r="AN20" s="32">
        <v>2284</v>
      </c>
      <c r="AO20" s="32">
        <v>3010</v>
      </c>
    </row>
    <row r="21" spans="1:41" ht="18" customHeight="1" x14ac:dyDescent="0.2">
      <c r="A21" s="26" t="s">
        <v>32</v>
      </c>
      <c r="B21" s="32">
        <v>6584</v>
      </c>
      <c r="C21" s="32">
        <v>3369</v>
      </c>
      <c r="D21" s="32">
        <v>3215</v>
      </c>
      <c r="E21" s="32"/>
      <c r="F21" s="32">
        <v>7461</v>
      </c>
      <c r="G21" s="32">
        <v>3977</v>
      </c>
      <c r="H21" s="32">
        <v>3484</v>
      </c>
      <c r="I21" s="32"/>
      <c r="J21" s="33">
        <v>13569</v>
      </c>
      <c r="K21" s="33">
        <v>6872</v>
      </c>
      <c r="L21" s="33">
        <v>6697</v>
      </c>
      <c r="M21" s="34"/>
      <c r="N21" s="33">
        <f t="shared" si="1"/>
        <v>17579</v>
      </c>
      <c r="O21" s="33">
        <v>8784</v>
      </c>
      <c r="P21" s="33">
        <v>8795</v>
      </c>
      <c r="Q21" s="34"/>
      <c r="R21" s="33">
        <v>21491</v>
      </c>
      <c r="S21" s="33">
        <v>10651</v>
      </c>
      <c r="T21" s="33">
        <v>10840</v>
      </c>
      <c r="AL21" s="26" t="s">
        <v>36</v>
      </c>
      <c r="AM21" s="27">
        <f t="shared" si="0"/>
        <v>-1897</v>
      </c>
      <c r="AN21" s="32">
        <v>1304</v>
      </c>
      <c r="AO21" s="32">
        <v>1897</v>
      </c>
    </row>
    <row r="22" spans="1:41" ht="18" customHeight="1" x14ac:dyDescent="0.2">
      <c r="A22" s="26" t="s">
        <v>33</v>
      </c>
      <c r="B22" s="32">
        <v>6247</v>
      </c>
      <c r="C22" s="32">
        <v>3205</v>
      </c>
      <c r="D22" s="32">
        <v>3042</v>
      </c>
      <c r="E22" s="32"/>
      <c r="F22" s="32">
        <v>5967</v>
      </c>
      <c r="G22" s="32">
        <v>3051</v>
      </c>
      <c r="H22" s="32">
        <v>2916</v>
      </c>
      <c r="I22" s="32"/>
      <c r="J22" s="33">
        <v>7936</v>
      </c>
      <c r="K22" s="33">
        <v>4147</v>
      </c>
      <c r="L22" s="33">
        <v>3789</v>
      </c>
      <c r="M22" s="34"/>
      <c r="N22" s="33">
        <f t="shared" si="1"/>
        <v>15050</v>
      </c>
      <c r="O22" s="33">
        <v>7645</v>
      </c>
      <c r="P22" s="33">
        <v>7405</v>
      </c>
      <c r="Q22" s="34"/>
      <c r="R22" s="33">
        <v>18933</v>
      </c>
      <c r="S22" s="33">
        <v>9376</v>
      </c>
      <c r="T22" s="33">
        <v>9557</v>
      </c>
      <c r="AL22" s="26" t="s">
        <v>37</v>
      </c>
      <c r="AM22" s="27">
        <f t="shared" si="0"/>
        <v>-1279</v>
      </c>
      <c r="AN22" s="32">
        <v>822</v>
      </c>
      <c r="AO22" s="32">
        <v>1279</v>
      </c>
    </row>
    <row r="23" spans="1:41" ht="18" customHeight="1" x14ac:dyDescent="0.2">
      <c r="A23" s="26" t="s">
        <v>34</v>
      </c>
      <c r="B23" s="32">
        <v>5962</v>
      </c>
      <c r="C23" s="32">
        <v>3240</v>
      </c>
      <c r="D23" s="32">
        <v>2722</v>
      </c>
      <c r="E23" s="32"/>
      <c r="F23" s="32">
        <v>5996</v>
      </c>
      <c r="G23" s="32">
        <v>3131</v>
      </c>
      <c r="H23" s="32">
        <v>2865</v>
      </c>
      <c r="I23" s="32"/>
      <c r="J23" s="33">
        <v>5859</v>
      </c>
      <c r="K23" s="33">
        <v>3046</v>
      </c>
      <c r="L23" s="33">
        <v>2813</v>
      </c>
      <c r="M23" s="34"/>
      <c r="N23" s="33">
        <f t="shared" si="1"/>
        <v>11703</v>
      </c>
      <c r="O23" s="33">
        <v>6031</v>
      </c>
      <c r="P23" s="33">
        <v>5672</v>
      </c>
      <c r="Q23" s="34"/>
      <c r="R23" s="33">
        <v>15330</v>
      </c>
      <c r="S23" s="33">
        <v>7600</v>
      </c>
      <c r="T23" s="33">
        <v>7730</v>
      </c>
      <c r="AL23" s="26" t="s">
        <v>38</v>
      </c>
      <c r="AM23" s="27">
        <f t="shared" si="0"/>
        <v>-1384</v>
      </c>
      <c r="AN23" s="17">
        <f>D27+D28+D29+D30+D31</f>
        <v>862</v>
      </c>
      <c r="AO23" s="17">
        <f>C27+C28+C29+C30+C31</f>
        <v>1384</v>
      </c>
    </row>
    <row r="24" spans="1:41" ht="18" customHeight="1" x14ac:dyDescent="0.2">
      <c r="A24" s="26" t="s">
        <v>35</v>
      </c>
      <c r="B24" s="32">
        <v>5294</v>
      </c>
      <c r="C24" s="32">
        <v>3010</v>
      </c>
      <c r="D24" s="32">
        <v>2284</v>
      </c>
      <c r="E24" s="32"/>
      <c r="F24" s="32">
        <v>6312</v>
      </c>
      <c r="G24" s="32">
        <v>3370</v>
      </c>
      <c r="H24" s="32">
        <v>2942</v>
      </c>
      <c r="I24" s="32"/>
      <c r="J24" s="33">
        <v>5566</v>
      </c>
      <c r="K24" s="33">
        <v>2852</v>
      </c>
      <c r="L24" s="33">
        <v>2714</v>
      </c>
      <c r="M24" s="34"/>
      <c r="N24" s="33">
        <f t="shared" si="1"/>
        <v>6249</v>
      </c>
      <c r="O24" s="33">
        <v>3327</v>
      </c>
      <c r="P24" s="33">
        <v>2922</v>
      </c>
      <c r="Q24" s="34"/>
      <c r="R24" s="33">
        <v>13249</v>
      </c>
      <c r="S24" s="33">
        <v>6718</v>
      </c>
      <c r="T24" s="33">
        <v>6531</v>
      </c>
      <c r="AL24" s="26"/>
      <c r="AM24" s="26"/>
      <c r="AN24" s="26"/>
    </row>
    <row r="25" spans="1:41" ht="18" customHeight="1" x14ac:dyDescent="0.2">
      <c r="A25" s="26" t="s">
        <v>36</v>
      </c>
      <c r="B25" s="32">
        <v>3201</v>
      </c>
      <c r="C25" s="32">
        <v>1897</v>
      </c>
      <c r="D25" s="32">
        <v>1304</v>
      </c>
      <c r="E25" s="32"/>
      <c r="F25" s="32">
        <v>4611</v>
      </c>
      <c r="G25" s="32">
        <v>2650</v>
      </c>
      <c r="H25" s="32">
        <v>1961</v>
      </c>
      <c r="I25" s="32"/>
      <c r="J25" s="33">
        <v>5678</v>
      </c>
      <c r="K25" s="33">
        <v>3014</v>
      </c>
      <c r="L25" s="33">
        <v>2664</v>
      </c>
      <c r="M25" s="34"/>
      <c r="N25" s="33">
        <f t="shared" si="1"/>
        <v>4871</v>
      </c>
      <c r="O25" s="33">
        <v>2445</v>
      </c>
      <c r="P25" s="33">
        <v>2426</v>
      </c>
      <c r="Q25" s="34"/>
      <c r="R25" s="33">
        <v>8127</v>
      </c>
      <c r="S25" s="33">
        <v>4168</v>
      </c>
      <c r="T25" s="33">
        <v>3959</v>
      </c>
    </row>
    <row r="26" spans="1:41" ht="18" customHeight="1" x14ac:dyDescent="0.2">
      <c r="A26" s="26" t="s">
        <v>37</v>
      </c>
      <c r="B26" s="32">
        <v>2101</v>
      </c>
      <c r="C26" s="32">
        <v>1279</v>
      </c>
      <c r="D26" s="32">
        <v>822</v>
      </c>
      <c r="E26" s="32"/>
      <c r="F26" s="32">
        <v>2873</v>
      </c>
      <c r="G26" s="32">
        <v>1737</v>
      </c>
      <c r="H26" s="32">
        <v>1136</v>
      </c>
      <c r="I26" s="32"/>
      <c r="J26" s="33">
        <v>4186</v>
      </c>
      <c r="K26" s="33">
        <v>2333</v>
      </c>
      <c r="L26" s="33">
        <v>1853</v>
      </c>
      <c r="M26" s="34"/>
      <c r="N26" s="33">
        <f t="shared" si="1"/>
        <v>4843</v>
      </c>
      <c r="O26" s="33">
        <v>2471</v>
      </c>
      <c r="P26" s="33">
        <v>2372</v>
      </c>
      <c r="Q26" s="34"/>
      <c r="R26" s="33">
        <v>4721</v>
      </c>
      <c r="S26" s="33">
        <v>2356</v>
      </c>
      <c r="T26" s="33">
        <v>2365</v>
      </c>
    </row>
    <row r="27" spans="1:41" ht="18" customHeight="1" x14ac:dyDescent="0.2">
      <c r="A27" s="26" t="s">
        <v>39</v>
      </c>
      <c r="B27" s="32">
        <v>968</v>
      </c>
      <c r="C27" s="32">
        <v>617</v>
      </c>
      <c r="D27" s="32">
        <v>351</v>
      </c>
      <c r="E27" s="32"/>
      <c r="F27" s="32">
        <v>1410</v>
      </c>
      <c r="G27" s="32">
        <v>859</v>
      </c>
      <c r="H27" s="32">
        <v>551</v>
      </c>
      <c r="I27" s="32"/>
      <c r="J27" s="33">
        <v>2377</v>
      </c>
      <c r="K27" s="33">
        <v>1444</v>
      </c>
      <c r="L27" s="33">
        <v>933</v>
      </c>
      <c r="M27" s="37"/>
      <c r="N27" s="33">
        <f t="shared" si="1"/>
        <v>3723</v>
      </c>
      <c r="O27" s="33">
        <v>1968</v>
      </c>
      <c r="P27" s="33">
        <v>1755</v>
      </c>
      <c r="Q27" s="37"/>
      <c r="R27" s="33">
        <v>3220</v>
      </c>
      <c r="S27" s="33">
        <v>1556</v>
      </c>
      <c r="T27" s="33">
        <v>1664</v>
      </c>
    </row>
    <row r="28" spans="1:41" ht="18" customHeight="1" x14ac:dyDescent="0.2">
      <c r="A28" s="26" t="s">
        <v>40</v>
      </c>
      <c r="B28" s="32">
        <v>695</v>
      </c>
      <c r="C28" s="32">
        <v>394</v>
      </c>
      <c r="D28" s="32">
        <v>301</v>
      </c>
      <c r="E28" s="32"/>
      <c r="F28" s="32">
        <v>679</v>
      </c>
      <c r="G28" s="32">
        <v>407</v>
      </c>
      <c r="H28" s="32">
        <v>272</v>
      </c>
      <c r="I28" s="32"/>
      <c r="J28" s="33">
        <v>1064</v>
      </c>
      <c r="K28" s="33">
        <v>617</v>
      </c>
      <c r="L28" s="33">
        <v>447</v>
      </c>
      <c r="M28" s="37"/>
      <c r="N28" s="33">
        <f t="shared" si="1"/>
        <v>1949</v>
      </c>
      <c r="O28" s="33">
        <v>1155</v>
      </c>
      <c r="P28" s="33">
        <v>794</v>
      </c>
      <c r="Q28" s="37"/>
      <c r="R28" s="33">
        <v>2486</v>
      </c>
      <c r="S28" s="33">
        <v>1222</v>
      </c>
      <c r="T28" s="33">
        <v>1264</v>
      </c>
      <c r="AL28" s="8">
        <v>2000</v>
      </c>
    </row>
    <row r="29" spans="1:41" ht="18" customHeight="1" x14ac:dyDescent="0.2">
      <c r="A29" s="26" t="s">
        <v>41</v>
      </c>
      <c r="B29" s="32">
        <v>326</v>
      </c>
      <c r="C29" s="32">
        <v>220</v>
      </c>
      <c r="D29" s="32">
        <v>106</v>
      </c>
      <c r="E29" s="32"/>
      <c r="F29" s="32">
        <v>284</v>
      </c>
      <c r="G29" s="32">
        <v>162</v>
      </c>
      <c r="H29" s="32">
        <v>122</v>
      </c>
      <c r="I29" s="32"/>
      <c r="J29" s="33">
        <v>396</v>
      </c>
      <c r="K29" s="33">
        <v>241</v>
      </c>
      <c r="L29" s="33">
        <v>155</v>
      </c>
      <c r="M29" s="37"/>
      <c r="N29" s="33">
        <f t="shared" si="1"/>
        <v>725</v>
      </c>
      <c r="O29" s="33">
        <v>442</v>
      </c>
      <c r="P29" s="33">
        <v>283</v>
      </c>
      <c r="Q29" s="37"/>
      <c r="R29" s="33">
        <v>1255</v>
      </c>
      <c r="S29" s="33">
        <v>691</v>
      </c>
      <c r="T29" s="33">
        <v>564</v>
      </c>
    </row>
    <row r="30" spans="1:41" ht="18" customHeight="1" x14ac:dyDescent="0.2">
      <c r="A30" s="26" t="s">
        <v>42</v>
      </c>
      <c r="B30" s="32">
        <v>163</v>
      </c>
      <c r="C30" s="32">
        <v>86</v>
      </c>
      <c r="D30" s="32">
        <v>77</v>
      </c>
      <c r="E30" s="32"/>
      <c r="F30" s="32">
        <v>96</v>
      </c>
      <c r="G30" s="32">
        <v>59</v>
      </c>
      <c r="H30" s="32">
        <v>37</v>
      </c>
      <c r="I30" s="32"/>
      <c r="J30" s="33">
        <v>159</v>
      </c>
      <c r="K30" s="33">
        <v>89</v>
      </c>
      <c r="L30" s="33">
        <v>70</v>
      </c>
      <c r="M30" s="37"/>
      <c r="N30" s="33">
        <f t="shared" si="1"/>
        <v>225</v>
      </c>
      <c r="O30" s="33">
        <v>140</v>
      </c>
      <c r="P30" s="33">
        <v>85</v>
      </c>
      <c r="Q30" s="37"/>
      <c r="R30" s="33">
        <v>392</v>
      </c>
      <c r="S30" s="33">
        <v>246</v>
      </c>
      <c r="T30" s="33">
        <v>146</v>
      </c>
      <c r="AO30" s="17"/>
    </row>
    <row r="31" spans="1:41" ht="18" customHeight="1" x14ac:dyDescent="0.2">
      <c r="A31" s="26" t="s">
        <v>43</v>
      </c>
      <c r="B31" s="38">
        <v>94</v>
      </c>
      <c r="C31" s="38">
        <v>67</v>
      </c>
      <c r="D31" s="38">
        <v>27</v>
      </c>
      <c r="E31" s="38"/>
      <c r="F31" s="32">
        <v>76</v>
      </c>
      <c r="G31" s="32">
        <v>45</v>
      </c>
      <c r="H31" s="32">
        <v>31</v>
      </c>
      <c r="I31" s="32"/>
      <c r="J31" s="33">
        <v>84</v>
      </c>
      <c r="K31" s="33">
        <v>52</v>
      </c>
      <c r="L31" s="33">
        <v>32</v>
      </c>
      <c r="M31" s="37"/>
      <c r="N31" s="33">
        <f t="shared" si="1"/>
        <v>83</v>
      </c>
      <c r="O31" s="33">
        <v>47</v>
      </c>
      <c r="P31" s="33">
        <v>36</v>
      </c>
      <c r="Q31" s="37"/>
      <c r="R31" s="33">
        <v>111</v>
      </c>
      <c r="S31" s="33">
        <v>69</v>
      </c>
      <c r="T31" s="33">
        <v>42</v>
      </c>
      <c r="AM31" s="21" t="s">
        <v>4</v>
      </c>
      <c r="AN31" s="21" t="s">
        <v>5</v>
      </c>
    </row>
    <row r="32" spans="1:41" ht="18" customHeight="1" x14ac:dyDescent="0.2">
      <c r="A32" s="39" t="s">
        <v>44</v>
      </c>
      <c r="B32" s="40">
        <v>543</v>
      </c>
      <c r="C32" s="40">
        <v>391</v>
      </c>
      <c r="D32" s="40">
        <v>152</v>
      </c>
      <c r="E32" s="40"/>
      <c r="F32" s="41">
        <v>1276</v>
      </c>
      <c r="G32" s="41">
        <v>815</v>
      </c>
      <c r="H32" s="41">
        <v>461</v>
      </c>
      <c r="I32" s="41"/>
      <c r="J32" s="42">
        <v>5083</v>
      </c>
      <c r="K32" s="42">
        <v>3294</v>
      </c>
      <c r="L32" s="42">
        <v>1789</v>
      </c>
      <c r="M32" s="43"/>
      <c r="N32" s="33">
        <f t="shared" si="1"/>
        <v>0</v>
      </c>
      <c r="O32" s="42">
        <v>0</v>
      </c>
      <c r="P32" s="42">
        <v>0</v>
      </c>
      <c r="Q32" s="43"/>
      <c r="R32" s="42">
        <f t="shared" ref="R32" si="2">S32+T32</f>
        <v>0</v>
      </c>
      <c r="S32" s="42">
        <v>0</v>
      </c>
      <c r="T32" s="42">
        <v>0</v>
      </c>
      <c r="V32" s="7"/>
      <c r="AL32" s="26" t="s">
        <v>18</v>
      </c>
      <c r="AM32" s="27">
        <f>-1*AO32</f>
        <v>-15699</v>
      </c>
      <c r="AN32" s="17">
        <f>H10+H11</f>
        <v>15213</v>
      </c>
      <c r="AO32" s="17">
        <f>G10+G11</f>
        <v>15699</v>
      </c>
    </row>
    <row r="33" spans="1:41" ht="17.25" x14ac:dyDescent="0.2">
      <c r="A33" s="52" t="s">
        <v>45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2"/>
      <c r="N33" s="44"/>
      <c r="O33" s="44"/>
      <c r="P33" s="2"/>
      <c r="Q33" s="6"/>
      <c r="R33" s="7"/>
      <c r="S33" s="7"/>
      <c r="T33" s="53" t="s">
        <v>46</v>
      </c>
      <c r="V33" s="7"/>
      <c r="W33" s="26"/>
      <c r="X33" s="26"/>
      <c r="Y33" s="26"/>
      <c r="Z33" s="26"/>
      <c r="AA33" s="26"/>
      <c r="AB33" s="26"/>
      <c r="AC33" s="26"/>
      <c r="AD33" s="26"/>
      <c r="AE33" s="26"/>
      <c r="AL33" s="26" t="s">
        <v>20</v>
      </c>
      <c r="AM33" s="27">
        <f t="shared" ref="AM33:AM47" si="3">-1*AO33</f>
        <v>-19336</v>
      </c>
      <c r="AN33" s="17">
        <f>H12+H13</f>
        <v>18591</v>
      </c>
      <c r="AO33" s="17">
        <f>G12+G13</f>
        <v>19336</v>
      </c>
    </row>
    <row r="34" spans="1:41" ht="15.75" x14ac:dyDescent="0.2">
      <c r="A34" s="45"/>
      <c r="B34" s="28"/>
      <c r="C34" s="45"/>
      <c r="D34" s="45"/>
      <c r="E34" s="45"/>
      <c r="F34" s="7"/>
      <c r="G34" s="7"/>
      <c r="H34" s="7"/>
      <c r="I34" s="7"/>
      <c r="J34" s="7"/>
      <c r="K34" s="7"/>
      <c r="L34" s="45"/>
      <c r="M34" s="45"/>
      <c r="N34" s="7"/>
      <c r="O34" s="7"/>
      <c r="P34" s="45"/>
      <c r="Q34" s="6"/>
      <c r="R34" s="7"/>
      <c r="S34" s="7"/>
      <c r="T34" s="7"/>
      <c r="U34" s="7"/>
      <c r="V34" s="7"/>
      <c r="W34" s="26"/>
      <c r="X34" s="26"/>
      <c r="Y34" s="26"/>
      <c r="Z34" s="26"/>
      <c r="AA34" s="26"/>
      <c r="AB34" s="26"/>
      <c r="AC34" s="26"/>
      <c r="AD34" s="26"/>
      <c r="AE34" s="26"/>
      <c r="AL34" s="26" t="s">
        <v>22</v>
      </c>
      <c r="AM34" s="27">
        <f t="shared" si="3"/>
        <v>-20897</v>
      </c>
      <c r="AN34" s="32">
        <v>20192</v>
      </c>
      <c r="AO34" s="32">
        <v>20897</v>
      </c>
    </row>
    <row r="35" spans="1:41" ht="15" x14ac:dyDescent="0.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6"/>
      <c r="R35" s="7"/>
      <c r="S35" s="7"/>
      <c r="T35" s="7"/>
      <c r="U35" s="7"/>
      <c r="V35" s="7"/>
      <c r="W35" s="26"/>
      <c r="X35" s="26"/>
      <c r="Y35" s="26"/>
      <c r="Z35" s="26"/>
      <c r="AA35" s="26"/>
      <c r="AB35" s="26"/>
      <c r="AC35" s="26"/>
      <c r="AD35" s="26"/>
      <c r="AE35" s="26"/>
      <c r="AL35" s="26" t="s">
        <v>24</v>
      </c>
      <c r="AM35" s="27">
        <f t="shared" si="3"/>
        <v>-16590</v>
      </c>
      <c r="AN35" s="32">
        <v>16676</v>
      </c>
      <c r="AO35" s="32">
        <v>16590</v>
      </c>
    </row>
    <row r="36" spans="1:41" ht="15" x14ac:dyDescent="0.2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6"/>
      <c r="R36" s="7"/>
      <c r="S36" s="7"/>
      <c r="T36" s="7"/>
      <c r="U36" s="7"/>
      <c r="V36" s="7"/>
      <c r="W36" s="26"/>
      <c r="X36" s="26"/>
      <c r="Y36" s="26"/>
      <c r="Z36" s="26"/>
      <c r="AA36" s="26"/>
      <c r="AB36" s="26"/>
      <c r="AC36" s="26"/>
      <c r="AD36" s="26"/>
      <c r="AE36" s="26"/>
      <c r="AL36" s="26" t="s">
        <v>26</v>
      </c>
      <c r="AM36" s="27">
        <f t="shared" si="3"/>
        <v>-11620</v>
      </c>
      <c r="AN36" s="32">
        <v>11894</v>
      </c>
      <c r="AO36" s="32">
        <v>11620</v>
      </c>
    </row>
    <row r="37" spans="1:41" ht="15" x14ac:dyDescent="0.2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L37" s="26" t="s">
        <v>28</v>
      </c>
      <c r="AM37" s="27">
        <f t="shared" si="3"/>
        <v>-9805</v>
      </c>
      <c r="AN37" s="32">
        <v>10285</v>
      </c>
      <c r="AO37" s="32">
        <v>9805</v>
      </c>
    </row>
    <row r="38" spans="1:41" ht="15" x14ac:dyDescent="0.2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L38" s="26" t="s">
        <v>29</v>
      </c>
      <c r="AM38" s="27">
        <f t="shared" si="3"/>
        <v>-8890</v>
      </c>
      <c r="AN38" s="32">
        <v>9271</v>
      </c>
      <c r="AO38" s="32">
        <v>8890</v>
      </c>
    </row>
    <row r="39" spans="1:41" ht="15" x14ac:dyDescent="0.2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L39" s="26" t="s">
        <v>30</v>
      </c>
      <c r="AM39" s="27">
        <f t="shared" si="3"/>
        <v>-7828</v>
      </c>
      <c r="AN39" s="32">
        <v>7871</v>
      </c>
      <c r="AO39" s="32">
        <v>7828</v>
      </c>
    </row>
    <row r="40" spans="1:41" ht="15" x14ac:dyDescent="0.2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L40" s="26" t="s">
        <v>31</v>
      </c>
      <c r="AM40" s="27">
        <f t="shared" si="3"/>
        <v>-6272</v>
      </c>
      <c r="AN40" s="32">
        <v>6130</v>
      </c>
      <c r="AO40" s="32">
        <v>6272</v>
      </c>
    </row>
    <row r="41" spans="1:41" ht="15" x14ac:dyDescent="0.2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L41" s="26" t="s">
        <v>32</v>
      </c>
      <c r="AM41" s="27">
        <f t="shared" si="3"/>
        <v>-3977</v>
      </c>
      <c r="AN41" s="32">
        <v>3484</v>
      </c>
      <c r="AO41" s="32">
        <v>3977</v>
      </c>
    </row>
    <row r="42" spans="1:41" ht="15" x14ac:dyDescent="0.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L42" s="26" t="s">
        <v>33</v>
      </c>
      <c r="AM42" s="27">
        <f t="shared" si="3"/>
        <v>-3051</v>
      </c>
      <c r="AN42" s="32">
        <v>2916</v>
      </c>
      <c r="AO42" s="32">
        <v>3051</v>
      </c>
    </row>
    <row r="43" spans="1:41" ht="15" x14ac:dyDescent="0.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L43" s="26" t="s">
        <v>34</v>
      </c>
      <c r="AM43" s="27">
        <f t="shared" si="3"/>
        <v>-3131</v>
      </c>
      <c r="AN43" s="32">
        <v>2865</v>
      </c>
      <c r="AO43" s="32">
        <v>3131</v>
      </c>
    </row>
    <row r="44" spans="1:41" ht="15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L44" s="26" t="s">
        <v>35</v>
      </c>
      <c r="AM44" s="27">
        <f t="shared" si="3"/>
        <v>-3370</v>
      </c>
      <c r="AN44" s="32">
        <v>2942</v>
      </c>
      <c r="AO44" s="32">
        <v>3370</v>
      </c>
    </row>
    <row r="45" spans="1:41" ht="15" x14ac:dyDescent="0.2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L45" s="26" t="s">
        <v>36</v>
      </c>
      <c r="AM45" s="27">
        <f t="shared" si="3"/>
        <v>-2650</v>
      </c>
      <c r="AN45" s="32">
        <v>1961</v>
      </c>
      <c r="AO45" s="32">
        <v>2650</v>
      </c>
    </row>
    <row r="46" spans="1:41" ht="15" x14ac:dyDescent="0.2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L46" s="26" t="s">
        <v>37</v>
      </c>
      <c r="AM46" s="27">
        <f t="shared" si="3"/>
        <v>-1737</v>
      </c>
      <c r="AN46" s="32">
        <v>1136</v>
      </c>
      <c r="AO46" s="32">
        <v>1737</v>
      </c>
    </row>
    <row r="47" spans="1:41" x14ac:dyDescent="0.2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L47" s="26" t="s">
        <v>38</v>
      </c>
      <c r="AM47" s="27">
        <f t="shared" si="3"/>
        <v>-1532</v>
      </c>
      <c r="AN47" s="17">
        <f>H27+H28+H29+H30+H31</f>
        <v>1013</v>
      </c>
      <c r="AO47" s="17">
        <f>G27+G28+G29+G30+G31</f>
        <v>1532</v>
      </c>
    </row>
    <row r="48" spans="1:41" x14ac:dyDescent="0.2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L48" s="26"/>
      <c r="AM48" s="26"/>
      <c r="AN48" s="26"/>
    </row>
    <row r="49" spans="1:41" x14ac:dyDescent="0.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</row>
    <row r="50" spans="1:41" x14ac:dyDescent="0.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</row>
    <row r="51" spans="1:41" x14ac:dyDescent="0.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</row>
    <row r="52" spans="1:41" s="46" customFormat="1" ht="14.2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5"/>
      <c r="O52" s="45"/>
      <c r="P52" s="45"/>
    </row>
    <row r="53" spans="1:41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5"/>
      <c r="O53" s="45"/>
      <c r="P53" s="45"/>
      <c r="AL53" s="8">
        <v>2006</v>
      </c>
    </row>
    <row r="54" spans="1:41" x14ac:dyDescent="0.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45"/>
      <c r="O54" s="45"/>
      <c r="P54" s="45"/>
    </row>
    <row r="55" spans="1:41" x14ac:dyDescent="0.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5"/>
      <c r="O55" s="45"/>
      <c r="P55" s="45"/>
      <c r="AO55" s="17">
        <f>W50+W51</f>
        <v>0</v>
      </c>
    </row>
    <row r="56" spans="1:41" x14ac:dyDescent="0.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5"/>
      <c r="O56" s="45"/>
      <c r="P56" s="45"/>
      <c r="AM56" s="21" t="s">
        <v>4</v>
      </c>
      <c r="AN56" s="21" t="s">
        <v>5</v>
      </c>
    </row>
    <row r="57" spans="1:41" x14ac:dyDescent="0.2">
      <c r="B57" s="45"/>
      <c r="C57" s="45"/>
      <c r="D57" s="45"/>
      <c r="E57" s="45"/>
      <c r="F57" s="45"/>
      <c r="G57" s="45"/>
      <c r="H57" s="45"/>
      <c r="I57" s="45"/>
      <c r="J57" s="45"/>
      <c r="K57" s="45"/>
      <c r="N57" s="45"/>
      <c r="O57" s="45"/>
      <c r="AL57" s="26" t="s">
        <v>18</v>
      </c>
      <c r="AM57" s="27">
        <f>-1*AO57</f>
        <v>-13362</v>
      </c>
      <c r="AN57" s="17">
        <f>L10+L11</f>
        <v>12809</v>
      </c>
      <c r="AO57" s="17">
        <f>K10+K11</f>
        <v>13362</v>
      </c>
    </row>
    <row r="58" spans="1:41" s="1" customFormat="1" x14ac:dyDescent="0.2">
      <c r="B58" s="47"/>
      <c r="C58" s="47"/>
      <c r="D58" s="48"/>
      <c r="E58" s="49"/>
      <c r="F58" s="3"/>
      <c r="G58" s="3"/>
      <c r="H58" s="50"/>
      <c r="I58" s="3"/>
      <c r="J58" s="4"/>
      <c r="K58" s="4"/>
      <c r="L58" s="5"/>
      <c r="N58" s="4"/>
      <c r="O58" s="4"/>
      <c r="P58" s="5"/>
      <c r="AL58" s="26" t="s">
        <v>20</v>
      </c>
      <c r="AM58" s="27">
        <f t="shared" ref="AM58:AM72" si="4">-1*AO58</f>
        <v>-15352</v>
      </c>
      <c r="AN58" s="17">
        <f>L12+L13</f>
        <v>14515</v>
      </c>
      <c r="AO58" s="17">
        <f>K12+K13</f>
        <v>15352</v>
      </c>
    </row>
    <row r="59" spans="1:41" ht="15" x14ac:dyDescent="0.2">
      <c r="A59" s="46"/>
      <c r="AL59" s="26" t="s">
        <v>22</v>
      </c>
      <c r="AM59" s="27">
        <f t="shared" si="4"/>
        <v>-19111</v>
      </c>
      <c r="AN59" s="33">
        <v>17888</v>
      </c>
      <c r="AO59" s="33">
        <v>19111</v>
      </c>
    </row>
    <row r="60" spans="1:41" ht="15" x14ac:dyDescent="0.2">
      <c r="AL60" s="26" t="s">
        <v>24</v>
      </c>
      <c r="AM60" s="27">
        <f t="shared" si="4"/>
        <v>-20155</v>
      </c>
      <c r="AN60" s="33">
        <v>19749</v>
      </c>
      <c r="AO60" s="33">
        <v>20155</v>
      </c>
    </row>
    <row r="61" spans="1:41" ht="15" x14ac:dyDescent="0.2">
      <c r="AL61" s="26" t="s">
        <v>26</v>
      </c>
      <c r="AM61" s="27">
        <f t="shared" si="4"/>
        <v>-16933</v>
      </c>
      <c r="AN61" s="33">
        <v>17876</v>
      </c>
      <c r="AO61" s="33">
        <v>16933</v>
      </c>
    </row>
    <row r="62" spans="1:41" ht="15" x14ac:dyDescent="0.2">
      <c r="AL62" s="26" t="s">
        <v>28</v>
      </c>
      <c r="AM62" s="27">
        <f t="shared" si="4"/>
        <v>-11915</v>
      </c>
      <c r="AN62" s="33">
        <v>12666</v>
      </c>
      <c r="AO62" s="33">
        <v>11915</v>
      </c>
    </row>
    <row r="63" spans="1:41" ht="15" x14ac:dyDescent="0.2">
      <c r="AL63" s="26" t="s">
        <v>29</v>
      </c>
      <c r="AM63" s="27">
        <f t="shared" si="4"/>
        <v>-10022</v>
      </c>
      <c r="AN63" s="33">
        <v>10613</v>
      </c>
      <c r="AO63" s="33">
        <v>10022</v>
      </c>
    </row>
    <row r="64" spans="1:41" ht="15" x14ac:dyDescent="0.2">
      <c r="AL64" s="26" t="s">
        <v>30</v>
      </c>
      <c r="AM64" s="27">
        <f t="shared" si="4"/>
        <v>-8780</v>
      </c>
      <c r="AN64" s="33">
        <v>9394</v>
      </c>
      <c r="AO64" s="33">
        <v>8780</v>
      </c>
    </row>
    <row r="65" spans="7:41" ht="15" x14ac:dyDescent="0.2">
      <c r="AL65" s="26" t="s">
        <v>31</v>
      </c>
      <c r="AM65" s="27">
        <f t="shared" si="4"/>
        <v>-7828</v>
      </c>
      <c r="AN65" s="33">
        <v>8043</v>
      </c>
      <c r="AO65" s="33">
        <v>7828</v>
      </c>
    </row>
    <row r="66" spans="7:41" ht="15" x14ac:dyDescent="0.2">
      <c r="G66" s="51"/>
      <c r="AL66" s="26" t="s">
        <v>32</v>
      </c>
      <c r="AM66" s="27">
        <f t="shared" si="4"/>
        <v>-6872</v>
      </c>
      <c r="AN66" s="33">
        <v>6697</v>
      </c>
      <c r="AO66" s="33">
        <v>6872</v>
      </c>
    </row>
    <row r="67" spans="7:41" ht="15" x14ac:dyDescent="0.2">
      <c r="AL67" s="26" t="s">
        <v>33</v>
      </c>
      <c r="AM67" s="27">
        <f t="shared" si="4"/>
        <v>-4147</v>
      </c>
      <c r="AN67" s="33">
        <v>3789</v>
      </c>
      <c r="AO67" s="33">
        <v>4147</v>
      </c>
    </row>
    <row r="68" spans="7:41" ht="15" x14ac:dyDescent="0.2">
      <c r="AL68" s="26" t="s">
        <v>34</v>
      </c>
      <c r="AM68" s="27">
        <f t="shared" si="4"/>
        <v>-3046</v>
      </c>
      <c r="AN68" s="33">
        <v>2813</v>
      </c>
      <c r="AO68" s="33">
        <v>3046</v>
      </c>
    </row>
    <row r="69" spans="7:41" ht="15" x14ac:dyDescent="0.2">
      <c r="AL69" s="26" t="s">
        <v>35</v>
      </c>
      <c r="AM69" s="27">
        <f t="shared" si="4"/>
        <v>-2852</v>
      </c>
      <c r="AN69" s="33">
        <v>2714</v>
      </c>
      <c r="AO69" s="33">
        <v>2852</v>
      </c>
    </row>
    <row r="70" spans="7:41" ht="15" x14ac:dyDescent="0.2">
      <c r="AL70" s="26" t="s">
        <v>36</v>
      </c>
      <c r="AM70" s="27">
        <f t="shared" si="4"/>
        <v>-3014</v>
      </c>
      <c r="AN70" s="33">
        <v>2664</v>
      </c>
      <c r="AO70" s="33">
        <v>3014</v>
      </c>
    </row>
    <row r="71" spans="7:41" ht="15" x14ac:dyDescent="0.2">
      <c r="AL71" s="26" t="s">
        <v>37</v>
      </c>
      <c r="AM71" s="27">
        <f t="shared" si="4"/>
        <v>-2333</v>
      </c>
      <c r="AN71" s="33">
        <v>1853</v>
      </c>
      <c r="AO71" s="33">
        <v>2333</v>
      </c>
    </row>
    <row r="72" spans="7:41" x14ac:dyDescent="0.2">
      <c r="AL72" s="26" t="s">
        <v>38</v>
      </c>
      <c r="AM72" s="27">
        <f t="shared" si="4"/>
        <v>-2443</v>
      </c>
      <c r="AN72" s="17">
        <f>L27+L28+L29+L30+L31</f>
        <v>1637</v>
      </c>
      <c r="AO72" s="17">
        <f>K27+K28+K29+K30+K31</f>
        <v>2443</v>
      </c>
    </row>
    <row r="73" spans="7:41" x14ac:dyDescent="0.2">
      <c r="AL73" s="26"/>
      <c r="AM73" s="26"/>
      <c r="AN73" s="26"/>
    </row>
    <row r="76" spans="7:41" x14ac:dyDescent="0.2">
      <c r="AL76" s="8">
        <v>2014</v>
      </c>
    </row>
    <row r="77" spans="7:41" x14ac:dyDescent="0.2">
      <c r="AO77" s="17"/>
    </row>
    <row r="78" spans="7:41" x14ac:dyDescent="0.2">
      <c r="AM78" s="21" t="s">
        <v>4</v>
      </c>
      <c r="AN78" s="21" t="s">
        <v>5</v>
      </c>
    </row>
    <row r="79" spans="7:41" x14ac:dyDescent="0.2">
      <c r="AL79" s="26" t="s">
        <v>18</v>
      </c>
      <c r="AM79" s="27">
        <f>-1*AO79</f>
        <v>-18863</v>
      </c>
      <c r="AN79" s="17">
        <f>P10+P11</f>
        <v>17223</v>
      </c>
      <c r="AO79" s="17">
        <f>O10+O11</f>
        <v>18863</v>
      </c>
    </row>
    <row r="80" spans="7:41" x14ac:dyDescent="0.2">
      <c r="AL80" s="26" t="s">
        <v>20</v>
      </c>
      <c r="AM80" s="27">
        <f t="shared" ref="AM80:AM94" si="5">-1*AO80</f>
        <v>-16364</v>
      </c>
      <c r="AN80" s="17">
        <f>P12+P13</f>
        <v>15616</v>
      </c>
      <c r="AO80" s="17">
        <f>O12+O13</f>
        <v>16364</v>
      </c>
    </row>
    <row r="81" spans="38:41" ht="15" x14ac:dyDescent="0.2">
      <c r="AL81" s="26" t="s">
        <v>22</v>
      </c>
      <c r="AM81" s="27">
        <f t="shared" si="5"/>
        <v>-13571</v>
      </c>
      <c r="AN81" s="33">
        <v>12787</v>
      </c>
      <c r="AO81" s="33">
        <v>13571</v>
      </c>
    </row>
    <row r="82" spans="38:41" ht="15" x14ac:dyDescent="0.2">
      <c r="AL82" s="26" t="s">
        <v>24</v>
      </c>
      <c r="AM82" s="27">
        <f t="shared" si="5"/>
        <v>-15922</v>
      </c>
      <c r="AN82" s="33">
        <v>15461</v>
      </c>
      <c r="AO82" s="33">
        <v>15922</v>
      </c>
    </row>
    <row r="83" spans="38:41" ht="15" x14ac:dyDescent="0.2">
      <c r="AL83" s="26" t="s">
        <v>26</v>
      </c>
      <c r="AM83" s="27">
        <f t="shared" si="5"/>
        <v>-19349</v>
      </c>
      <c r="AN83" s="33">
        <v>18537</v>
      </c>
      <c r="AO83" s="33">
        <v>19349</v>
      </c>
    </row>
    <row r="84" spans="38:41" ht="15" x14ac:dyDescent="0.2">
      <c r="AL84" s="26" t="s">
        <v>28</v>
      </c>
      <c r="AM84" s="27">
        <f t="shared" si="5"/>
        <v>-19451</v>
      </c>
      <c r="AN84" s="33">
        <v>19738</v>
      </c>
      <c r="AO84" s="33">
        <v>19451</v>
      </c>
    </row>
    <row r="85" spans="38:41" ht="15" x14ac:dyDescent="0.2">
      <c r="AL85" s="26" t="s">
        <v>29</v>
      </c>
      <c r="AM85" s="27">
        <f t="shared" si="5"/>
        <v>-15494</v>
      </c>
      <c r="AN85" s="33">
        <v>15868</v>
      </c>
      <c r="AO85" s="33">
        <v>15494</v>
      </c>
    </row>
    <row r="86" spans="38:41" ht="15" x14ac:dyDescent="0.2">
      <c r="AL86" s="26" t="s">
        <v>30</v>
      </c>
      <c r="AM86" s="27">
        <f t="shared" si="5"/>
        <v>-11386</v>
      </c>
      <c r="AN86" s="33">
        <v>11518</v>
      </c>
      <c r="AO86" s="33">
        <v>11386</v>
      </c>
    </row>
    <row r="87" spans="38:41" ht="15" x14ac:dyDescent="0.2">
      <c r="AL87" s="26" t="s">
        <v>31</v>
      </c>
      <c r="AM87" s="27">
        <f t="shared" si="5"/>
        <v>-9811</v>
      </c>
      <c r="AN87" s="33">
        <v>10064</v>
      </c>
      <c r="AO87" s="33">
        <v>9811</v>
      </c>
    </row>
    <row r="88" spans="38:41" ht="15" x14ac:dyDescent="0.2">
      <c r="AL88" s="26" t="s">
        <v>32</v>
      </c>
      <c r="AM88" s="27">
        <f t="shared" si="5"/>
        <v>-8784</v>
      </c>
      <c r="AN88" s="33">
        <v>8795</v>
      </c>
      <c r="AO88" s="33">
        <v>8784</v>
      </c>
    </row>
    <row r="89" spans="38:41" ht="15" x14ac:dyDescent="0.2">
      <c r="AL89" s="26" t="s">
        <v>33</v>
      </c>
      <c r="AM89" s="27">
        <f t="shared" si="5"/>
        <v>-7645</v>
      </c>
      <c r="AN89" s="33">
        <v>7405</v>
      </c>
      <c r="AO89" s="33">
        <v>7645</v>
      </c>
    </row>
    <row r="90" spans="38:41" ht="15" x14ac:dyDescent="0.2">
      <c r="AL90" s="26" t="s">
        <v>34</v>
      </c>
      <c r="AM90" s="27">
        <f t="shared" si="5"/>
        <v>-6031</v>
      </c>
      <c r="AN90" s="33">
        <v>5672</v>
      </c>
      <c r="AO90" s="33">
        <v>6031</v>
      </c>
    </row>
    <row r="91" spans="38:41" ht="15" x14ac:dyDescent="0.2">
      <c r="AL91" s="26" t="s">
        <v>35</v>
      </c>
      <c r="AM91" s="27">
        <f t="shared" si="5"/>
        <v>-3327</v>
      </c>
      <c r="AN91" s="33">
        <v>2922</v>
      </c>
      <c r="AO91" s="33">
        <v>3327</v>
      </c>
    </row>
    <row r="92" spans="38:41" ht="15" x14ac:dyDescent="0.2">
      <c r="AL92" s="26" t="s">
        <v>36</v>
      </c>
      <c r="AM92" s="27">
        <f t="shared" si="5"/>
        <v>-2445</v>
      </c>
      <c r="AN92" s="33">
        <v>2426</v>
      </c>
      <c r="AO92" s="33">
        <v>2445</v>
      </c>
    </row>
    <row r="93" spans="38:41" ht="15" x14ac:dyDescent="0.2">
      <c r="AL93" s="26" t="s">
        <v>37</v>
      </c>
      <c r="AM93" s="27">
        <f t="shared" si="5"/>
        <v>-2471</v>
      </c>
      <c r="AN93" s="33">
        <v>2372</v>
      </c>
      <c r="AO93" s="33">
        <v>2471</v>
      </c>
    </row>
    <row r="94" spans="38:41" x14ac:dyDescent="0.2">
      <c r="AL94" s="26" t="s">
        <v>38</v>
      </c>
      <c r="AM94" s="27">
        <f t="shared" si="5"/>
        <v>-3752</v>
      </c>
      <c r="AN94" s="17">
        <f>P27+P28+P29+P30+P31+P32</f>
        <v>2953</v>
      </c>
      <c r="AO94" s="17">
        <f>O27+O28+O29+O30+O31+O32</f>
        <v>3752</v>
      </c>
    </row>
    <row r="96" spans="38:41" x14ac:dyDescent="0.2">
      <c r="AO96" s="17">
        <f>SUM(AO92:AO94)</f>
        <v>8668</v>
      </c>
    </row>
    <row r="101" spans="38:41" x14ac:dyDescent="0.2">
      <c r="AL101" s="8">
        <v>2022</v>
      </c>
    </row>
    <row r="102" spans="38:41" x14ac:dyDescent="0.2">
      <c r="AO102" s="17"/>
    </row>
    <row r="103" spans="38:41" x14ac:dyDescent="0.2">
      <c r="AM103" s="21" t="s">
        <v>4</v>
      </c>
      <c r="AN103" s="21" t="s">
        <v>5</v>
      </c>
    </row>
    <row r="104" spans="38:41" ht="15" x14ac:dyDescent="0.25">
      <c r="AL104" s="26" t="s">
        <v>18</v>
      </c>
      <c r="AM104" s="62">
        <f>AO104*-1</f>
        <v>-14671</v>
      </c>
      <c r="AN104" s="58">
        <v>14380</v>
      </c>
      <c r="AO104" s="58">
        <v>14671</v>
      </c>
    </row>
    <row r="105" spans="38:41" ht="15" x14ac:dyDescent="0.25">
      <c r="AL105" s="26" t="s">
        <v>20</v>
      </c>
      <c r="AM105" s="62">
        <f t="shared" ref="AM105:AM119" si="6">AO105*-1</f>
        <v>-17308</v>
      </c>
      <c r="AN105" s="58">
        <v>16855</v>
      </c>
      <c r="AO105" s="58">
        <v>17308</v>
      </c>
    </row>
    <row r="106" spans="38:41" ht="15" x14ac:dyDescent="0.25">
      <c r="AL106" s="26" t="s">
        <v>22</v>
      </c>
      <c r="AM106" s="62">
        <f t="shared" si="6"/>
        <v>-18856</v>
      </c>
      <c r="AN106" s="58">
        <v>17699</v>
      </c>
      <c r="AO106" s="58">
        <v>18856</v>
      </c>
    </row>
    <row r="107" spans="38:41" ht="15" x14ac:dyDescent="0.25">
      <c r="AL107" s="26" t="s">
        <v>24</v>
      </c>
      <c r="AM107" s="62">
        <f t="shared" si="6"/>
        <v>-14096</v>
      </c>
      <c r="AN107" s="58">
        <v>13376</v>
      </c>
      <c r="AO107" s="58">
        <v>14096</v>
      </c>
    </row>
    <row r="108" spans="38:41" ht="15" x14ac:dyDescent="0.25">
      <c r="AL108" s="26" t="s">
        <v>26</v>
      </c>
      <c r="AM108" s="62">
        <f t="shared" si="6"/>
        <v>-13514</v>
      </c>
      <c r="AN108" s="58">
        <v>12407</v>
      </c>
      <c r="AO108" s="58">
        <v>13514</v>
      </c>
    </row>
    <row r="109" spans="38:41" ht="15" x14ac:dyDescent="0.25">
      <c r="AL109" s="26" t="s">
        <v>28</v>
      </c>
      <c r="AM109" s="62">
        <f t="shared" si="6"/>
        <v>-18398</v>
      </c>
      <c r="AN109" s="58">
        <v>16650</v>
      </c>
      <c r="AO109" s="58">
        <v>18398</v>
      </c>
    </row>
    <row r="110" spans="38:41" ht="15" x14ac:dyDescent="0.25">
      <c r="AL110" s="26" t="s">
        <v>29</v>
      </c>
      <c r="AM110" s="62">
        <f t="shared" si="6"/>
        <v>-20671</v>
      </c>
      <c r="AN110" s="58">
        <v>19163</v>
      </c>
      <c r="AO110" s="58">
        <v>20671</v>
      </c>
    </row>
    <row r="111" spans="38:41" ht="15" x14ac:dyDescent="0.25">
      <c r="AL111" s="26" t="s">
        <v>30</v>
      </c>
      <c r="AM111" s="62">
        <f t="shared" si="6"/>
        <v>-19156</v>
      </c>
      <c r="AN111" s="58">
        <v>18873</v>
      </c>
      <c r="AO111" s="58">
        <v>19156</v>
      </c>
    </row>
    <row r="112" spans="38:41" ht="15" x14ac:dyDescent="0.25">
      <c r="AL112" s="26" t="s">
        <v>31</v>
      </c>
      <c r="AM112" s="62">
        <f t="shared" si="6"/>
        <v>-13730</v>
      </c>
      <c r="AN112" s="58">
        <v>13633</v>
      </c>
      <c r="AO112" s="58">
        <v>13730</v>
      </c>
    </row>
    <row r="113" spans="38:41" ht="15" x14ac:dyDescent="0.25">
      <c r="AL113" s="26" t="s">
        <v>32</v>
      </c>
      <c r="AM113" s="62">
        <f t="shared" si="6"/>
        <v>-10651</v>
      </c>
      <c r="AN113" s="58">
        <v>10840</v>
      </c>
      <c r="AO113" s="58">
        <v>10651</v>
      </c>
    </row>
    <row r="114" spans="38:41" ht="15" x14ac:dyDescent="0.25">
      <c r="AL114" s="26" t="s">
        <v>33</v>
      </c>
      <c r="AM114" s="62">
        <f t="shared" si="6"/>
        <v>-9376</v>
      </c>
      <c r="AN114" s="58">
        <v>9557</v>
      </c>
      <c r="AO114" s="58">
        <v>9376</v>
      </c>
    </row>
    <row r="115" spans="38:41" ht="15" x14ac:dyDescent="0.25">
      <c r="AL115" s="26" t="s">
        <v>34</v>
      </c>
      <c r="AM115" s="62">
        <f t="shared" si="6"/>
        <v>-7600</v>
      </c>
      <c r="AN115" s="58">
        <v>7730</v>
      </c>
      <c r="AO115" s="58">
        <v>7600</v>
      </c>
    </row>
    <row r="116" spans="38:41" ht="15" x14ac:dyDescent="0.25">
      <c r="AL116" s="26" t="s">
        <v>35</v>
      </c>
      <c r="AM116" s="62">
        <f t="shared" si="6"/>
        <v>-6718</v>
      </c>
      <c r="AN116" s="58">
        <v>6531</v>
      </c>
      <c r="AO116" s="58">
        <v>6718</v>
      </c>
    </row>
    <row r="117" spans="38:41" ht="15" x14ac:dyDescent="0.25">
      <c r="AL117" s="26" t="s">
        <v>36</v>
      </c>
      <c r="AM117" s="62">
        <f t="shared" si="6"/>
        <v>-4168</v>
      </c>
      <c r="AN117" s="58">
        <v>3959</v>
      </c>
      <c r="AO117" s="58">
        <v>4168</v>
      </c>
    </row>
    <row r="118" spans="38:41" ht="15" x14ac:dyDescent="0.25">
      <c r="AL118" s="26" t="s">
        <v>37</v>
      </c>
      <c r="AM118" s="62">
        <f t="shared" si="6"/>
        <v>-2356</v>
      </c>
      <c r="AN118" s="58">
        <v>2365</v>
      </c>
      <c r="AO118" s="58">
        <v>2356</v>
      </c>
    </row>
    <row r="119" spans="38:41" ht="15" x14ac:dyDescent="0.25">
      <c r="AL119" s="26" t="s">
        <v>38</v>
      </c>
      <c r="AM119" s="62">
        <f t="shared" si="6"/>
        <v>-3784</v>
      </c>
      <c r="AN119" s="58">
        <v>3680</v>
      </c>
      <c r="AO119" s="58">
        <v>3784</v>
      </c>
    </row>
  </sheetData>
  <mergeCells count="2">
    <mergeCell ref="A1:T1"/>
    <mergeCell ref="A2:T2"/>
  </mergeCells>
  <phoneticPr fontId="24" type="noConversion"/>
  <pageMargins left="0.7" right="0.7" top="0.75" bottom="0.75" header="0.3" footer="0.3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</vt:lpstr>
      <vt:lpstr>'3.2'!Print_Area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2023-04-26T04:26:35Z</cp:lastPrinted>
  <dcterms:created xsi:type="dcterms:W3CDTF">2019-07-22T06:02:33Z</dcterms:created>
  <dcterms:modified xsi:type="dcterms:W3CDTF">2023-04-26T04:26:52Z</dcterms:modified>
</cp:coreProperties>
</file>