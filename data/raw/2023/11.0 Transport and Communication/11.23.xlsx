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DBDEE2CF-29A6-486B-B89B-B2A42769EEC4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3" sheetId="8" r:id="rId2"/>
  </sheets>
  <externalReferences>
    <externalReference r:id="rId3"/>
    <externalReference r:id="rId4"/>
  </externalReferences>
  <definedNames>
    <definedName name="_xlnm.Print_Area" localSheetId="1">'11.23'!$A$1:$J$46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B6" i="8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42" i="8" l="1"/>
  <c r="B41" i="8"/>
  <c r="B40" i="8"/>
  <c r="B39" i="8"/>
  <c r="B38" i="8"/>
  <c r="B37" i="8"/>
  <c r="B36" i="8"/>
  <c r="B35" i="8"/>
  <c r="B34" i="8"/>
  <c r="B33" i="8"/>
  <c r="B32" i="8"/>
  <c r="B31" i="8"/>
  <c r="H30" i="8"/>
  <c r="G30" i="8"/>
  <c r="F30" i="8"/>
  <c r="E30" i="8"/>
  <c r="D30" i="8"/>
  <c r="C30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30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<sst xmlns="http://schemas.openxmlformats.org/spreadsheetml/2006/main" count="265" uniqueCount="77">
  <si>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</si>
  <si>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</si>
  <si>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</si>
  <si>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</si>
  <si>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</si>
  <si>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</si>
  <si>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</si>
  <si>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</si>
  <si>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</si>
  <si>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</si>
  <si>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</si>
  <si>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</si>
  <si>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</si>
  <si>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</si>
  <si>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</si>
  <si>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</si>
  <si>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</si>
  <si>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</si>
  <si>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</si>
  <si>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</si>
  <si>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</si>
  <si>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</si>
  <si>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</si>
  <si>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</si>
  <si>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</si>
  <si>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</si>
  <si>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</si>
  <si>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</si>
  <si>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</si>
  <si>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</si>
  <si>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</si>
  <si>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</si>
  <si>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</si>
  <si>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</si>
  <si>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</si>
  <si>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</si>
  <si>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</si>
  <si>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</si>
  <si>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</si>
  <si>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</si>
  <si>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</si>
  <si>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</si>
  <si>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</si>
  <si>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</si>
  <si>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</si>
  <si>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</si>
  <si>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</si>
  <si>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</si>
  <si>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</si>
  <si>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</si>
  <si>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</si>
  <si>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</si>
  <si>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</si>
  <si>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</si>
  <si>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</si>
  <si>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</si>
  <si>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</si>
  <si>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</si>
  <si>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</si>
  <si>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</si>
  <si>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</si>
  <si>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</si>
  <si>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</si>
  <si>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</si>
  <si>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</si>
  <si>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</si>
  <si>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</si>
  <si>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</si>
  <si>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</si>
  <si>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</si>
  <si>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</si>
  <si>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</si>
  <si>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</si>
  <si>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11.23: މަސްމަހުގެ ގޮތުން ގަން އިންޓަރނޭޝަނަލް އެއަރޕޯޓުން އުފުލުނު މުދާ، 2022</t>
  </si>
  <si>
    <t>Table 11.23 :  CARGO HANDLED AT GAN INTERNATIONAL AIRPORT BY MONTH, 2022</t>
  </si>
  <si>
    <t>Table 11.23 :  CARGO HANDLED AT GAN INTERNATIONAL AIRPORT BY MONTH, 2021</t>
  </si>
  <si>
    <t>ތާވަލު 11.23: މަސްމަހުގެ ގޮތުން ގަން އިންޓަރނޭޝަނަލް އެއަރޕޯޓުން އުފުލުނު މުދާ،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</si>
</sst>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0" fillId="0" borderId="0"/>
    <xf numFmtId="43" fontId="4" fillId="0" borderId="0" applyFont="0" applyFill="0" applyBorder="0" applyAlignment="0" applyProtection="0"/>
    <xf numFmtId="0" fontId="4" fillId="0" borderId="0"/>
  </cellStyleXfs>
  <cellXfs count="172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38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23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0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3" fontId="14" fillId="2" borderId="29" xfId="3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64" fontId="15" fillId="2" borderId="0" xfId="2" applyFont="1" applyFill="1"/>
    <xf numFmtId="0" fontId="23" fillId="2" borderId="2" xfId="0" applyFont="1" applyFill="1" applyBorder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5" fillId="2" borderId="11" xfId="2" applyFont="1" applyFill="1" applyBorder="1" applyAlignment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/>
    </xf>
    <xf numFmtId="38" fontId="5" fillId="2" borderId="13" xfId="3" applyNumberFormat="1" applyFont="1" applyFill="1" applyBorder="1" applyAlignment="1" applyProtection="1">
      <alignment horizontal="right" vertical="center"/>
    </xf>
    <xf numFmtId="38" fontId="5" fillId="2" borderId="12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6" xfId="2" applyNumberFormat="1" applyFont="1" applyFill="1" applyBorder="1" applyAlignment="1" applyProtection="1">
      <alignment horizontal="right" vertical="center"/>
      <protection locked="0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38" fontId="14" fillId="2" borderId="5" xfId="2" applyNumberFormat="1" applyFont="1" applyFill="1" applyBorder="1" applyAlignment="1">
      <alignment horizontal="right" vertical="center"/>
    </xf>
    <xf numFmtId="38" fontId="14" fillId="2" borderId="17" xfId="2" applyNumberFormat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25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45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9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0" fontId="29" fillId="2" borderId="0" xfId="5" applyFont="1" applyFill="1" applyAlignment="1">
      <alignment horizontal="right"/>
    </xf>
    <xf numFmtId="0" fontId="34" fillId="2" borderId="0" xfId="5" applyFont="1" applyFill="1" applyAlignment="1">
      <alignment horizontal="right"/>
    </xf>
    <xf numFmtId="0" fontId="34" fillId="2" borderId="45" xfId="5" applyFont="1" applyFill="1" applyBorder="1" applyAlignment="1">
      <alignment horizontal="right"/>
    </xf>
    <xf numFmtId="164" fontId="29" fillId="2" borderId="0" xfId="2" applyFont="1" applyFill="1" applyAlignment="1">
      <alignment horizontal="right" vertical="center"/>
    </xf>
    <xf numFmtId="164" fontId="28" fillId="2" borderId="0" xfId="0" applyNumberFormat="1" applyFont="1" applyFill="1"/>
    <xf numFmtId="0" fontId="34" fillId="2" borderId="15" xfId="5" applyFont="1" applyFill="1" applyBorder="1" applyAlignment="1">
      <alignment horizontal="right"/>
    </xf>
    <xf numFmtId="0" fontId="34" fillId="2" borderId="17" xfId="5" applyFont="1" applyFill="1" applyBorder="1" applyAlignment="1">
      <alignment horizontal="right"/>
    </xf>
    <xf numFmtId="0" fontId="29" fillId="2" borderId="19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25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9" xfId="2" applyFont="1" applyFill="1" applyBorder="1" applyAlignment="1">
      <alignment vertical="center" wrapText="1"/>
    </xf>
    <xf numFmtId="38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1" fillId="2" borderId="24" xfId="2" applyFont="1" applyFill="1" applyBorder="1" applyAlignment="1">
      <alignment horizontal="left" vertical="center"/>
    </xf>
    <xf numFmtId="164" fontId="41" fillId="2" borderId="25" xfId="2" applyFont="1" applyFill="1" applyBorder="1" applyAlignment="1">
      <alignment vertical="center"/>
    </xf>
    <xf numFmtId="164" fontId="33" fillId="2" borderId="25" xfId="2" applyFont="1" applyFill="1" applyBorder="1" applyAlignment="1">
      <alignment vertical="center"/>
    </xf>
    <xf numFmtId="164" fontId="26" fillId="2" borderId="1" xfId="2" applyFont="1" applyFill="1" applyBorder="1" applyAlignment="1">
      <alignment horizontal="center" vertical="center"/>
    </xf>
    <xf numFmtId="164" fontId="26" fillId="2" borderId="29" xfId="2" applyFont="1" applyFill="1" applyBorder="1" applyAlignment="1">
      <alignment vertical="center" wrapText="1"/>
    </xf>
    <xf numFmtId="164" fontId="27" fillId="2" borderId="5" xfId="2" applyFont="1" applyFill="1" applyBorder="1" applyAlignment="1">
      <alignment horizontal="left" vertical="center"/>
    </xf>
    <xf numFmtId="0" fontId="42" fillId="2" borderId="33" xfId="2" applyNumberFormat="1" applyFont="1" applyFill="1" applyBorder="1" applyAlignment="1">
      <alignment horizontal="center" vertical="center"/>
    </xf>
    <xf numFmtId="0" fontId="42" fillId="2" borderId="34" xfId="2" applyNumberFormat="1" applyFont="1" applyFill="1" applyBorder="1" applyAlignment="1">
      <alignment horizontal="center" vertical="center"/>
    </xf>
    <xf numFmtId="0" fontId="42" fillId="2" borderId="35" xfId="2" applyNumberFormat="1" applyFont="1" applyFill="1" applyBorder="1" applyAlignment="1">
      <alignment horizontal="center" vertical="center"/>
    </xf>
    <xf numFmtId="0" fontId="42" fillId="2" borderId="36" xfId="2" applyNumberFormat="1" applyFont="1" applyFill="1" applyBorder="1" applyAlignment="1">
      <alignment horizontal="center" vertical="center"/>
    </xf>
    <xf numFmtId="0" fontId="42" fillId="2" borderId="37" xfId="2" applyNumberFormat="1" applyFont="1" applyFill="1" applyBorder="1" applyAlignment="1">
      <alignment horizontal="center" vertical="center"/>
    </xf>
    <xf numFmtId="0" fontId="42" fillId="2" borderId="38" xfId="2" applyNumberFormat="1" applyFont="1" applyFill="1" applyBorder="1" applyAlignment="1">
      <alignment horizontal="center" vertical="center"/>
    </xf>
    <xf numFmtId="0" fontId="42" fillId="2" borderId="45" xfId="2" applyNumberFormat="1" applyFont="1" applyFill="1" applyBorder="1" applyAlignment="1">
      <alignment horizontal="center" vertical="center"/>
    </xf>
    <xf numFmtId="0" fontId="42" fillId="2" borderId="39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5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center" vertical="center"/>
    </xf>
    <xf numFmtId="164" fontId="5" fillId="2" borderId="20" xfId="2" applyFont="1" applyFill="1" applyBorder="1" applyAlignment="1">
      <alignment horizontal="center" vertical="center"/>
    </xf>
    <xf numFmtId="0" fontId="29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9" fillId="2" borderId="45" xfId="5" applyFont="1" applyFill="1" applyBorder="1" applyAlignment="1">
      <alignment horizontal="right" vertical="center"/>
    </xf>
    <xf numFmtId="164" fontId="19" fillId="2" borderId="45" xfId="2" applyFont="1" applyFill="1" applyBorder="1" applyAlignment="1">
      <alignment horizontal="center" vertical="center" wrapText="1"/>
    </xf>
    <xf numFmtId="164" fontId="35" fillId="2" borderId="8" xfId="2" applyFont="1" applyFill="1" applyBorder="1" applyAlignment="1">
      <alignment horizontal="center" vertical="center"/>
    </xf>
    <xf numFmtId="164" fontId="30" fillId="2" borderId="0" xfId="2" applyFont="1" applyFill="1" applyAlignment="1">
      <alignment horizontal="center" vertical="center"/>
    </xf>
    <xf numFmtId="164" fontId="29" fillId="2" borderId="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29" fillId="2" borderId="45" xfId="2" applyFont="1" applyFill="1" applyBorder="1" applyAlignment="1">
      <alignment horizontal="right" vertical="center"/>
    </xf>
    <xf numFmtId="164" fontId="8" fillId="2" borderId="24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3" fillId="2" borderId="14" xfId="2" applyFont="1" applyFill="1" applyBorder="1" applyAlignment="1">
      <alignment horizontal="center" vertical="center"/>
    </xf>
    <xf numFmtId="164" fontId="33" fillId="2" borderId="25" xfId="2" applyFont="1" applyFill="1" applyBorder="1" applyAlignment="1">
      <alignment horizontal="center" vertical="center"/>
    </xf>
    <xf numFmtId="164" fontId="33" fillId="2" borderId="26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6" fillId="2" borderId="22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0" fontId="29" fillId="2" borderId="12" xfId="5" applyFont="1" applyFill="1" applyBorder="1" applyAlignment="1">
      <alignment horizontal="right" vertical="center"/>
    </xf>
    <xf numFmtId="0" fontId="29" fillId="2" borderId="15" xfId="5" applyFont="1" applyFill="1" applyBorder="1" applyAlignment="1">
      <alignment horizontal="right" vertical="center"/>
    </xf>
    <xf numFmtId="0" fontId="29" fillId="2" borderId="17" xfId="5" applyFont="1" applyFill="1" applyBorder="1" applyAlignment="1">
      <alignment horizontal="right" vertical="center"/>
    </xf>
    <xf numFmtId="164" fontId="26" fillId="2" borderId="6" xfId="2" applyFont="1" applyFill="1" applyBorder="1" applyAlignment="1">
      <alignment horizontal="center" vertical="center" wrapText="1"/>
    </xf>
    <xf numFmtId="164" fontId="26" fillId="2" borderId="29" xfId="2" applyFont="1" applyFill="1" applyBorder="1" applyAlignment="1">
      <alignment horizontal="center" vertical="center" wrapText="1"/>
    </xf>
    <xf numFmtId="164" fontId="26" fillId="2" borderId="30" xfId="2" applyFont="1" applyFill="1" applyBorder="1" applyAlignment="1">
      <alignment horizontal="center" vertical="center" wrapText="1"/>
    </xf>
    <xf numFmtId="164" fontId="26" fillId="2" borderId="21" xfId="2" applyFont="1" applyFill="1" applyBorder="1" applyAlignment="1">
      <alignment horizontal="center" vertical="center" wrapText="1"/>
    </xf>
    <xf numFmtId="164" fontId="26" fillId="2" borderId="0" xfId="2" applyFont="1" applyFill="1" applyAlignment="1">
      <alignment horizontal="center" vertical="center" wrapText="1"/>
    </xf>
    <xf numFmtId="164" fontId="17" fillId="2" borderId="21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17" fillId="2" borderId="45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36" fillId="2" borderId="28" xfId="2" applyFont="1" applyFill="1" applyBorder="1" applyAlignment="1">
      <alignment horizontal="center" vertical="center"/>
    </xf>
    <xf numFmtId="164" fontId="36" fillId="2" borderId="27" xfId="2" applyFont="1" applyFill="1" applyBorder="1" applyAlignment="1">
      <alignment horizontal="center" vertical="center"/>
    </xf>
    <xf numFmtId="164" fontId="36" fillId="2" borderId="25" xfId="2" applyFont="1" applyFill="1" applyBorder="1" applyAlignment="1">
      <alignment horizontal="center" vertical="center"/>
    </xf>
    <xf numFmtId="164" fontId="36" fillId="2" borderId="26" xfId="2" applyFont="1" applyFill="1" applyBorder="1" applyAlignment="1">
      <alignment horizontal="center" vertical="center"/>
    </xf>
    <xf numFmtId="164" fontId="8" fillId="2" borderId="0" xfId="2" applyFont="1" applyFill="1" applyAlignment="1">
      <alignment horizontal="center" vertical="center"/>
    </xf>
    <xf numFmtId="164" fontId="5" fillId="2" borderId="45" xfId="2" applyFont="1" applyFill="1" applyBorder="1" applyAlignment="1">
      <alignment horizontal="center" vertical="center"/>
    </xf>
    <xf numFmtId="164" fontId="24" fillId="2" borderId="0" xfId="0" applyNumberFormat="1" applyFont="1" applyFill="1" applyAlignment="1">
      <alignment horizontal="center"/>
    </xf>
    <xf numFmtId="164" fontId="8" fillId="2" borderId="8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</cellXfs>
  <cellStyles count="17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3" t="s">
        <v>71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9" ht="15.75" x14ac:dyDescent="0.25">
      <c r="A2" s="122" t="s">
        <v>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4" spans="1:29" s="13" customFormat="1" ht="19.5" x14ac:dyDescent="0.15">
      <c r="A4" s="123" t="s">
        <v>9</v>
      </c>
      <c r="B4" s="132" t="s">
        <v>36</v>
      </c>
      <c r="C4" s="132"/>
      <c r="D4" s="89"/>
      <c r="E4" s="132" t="s">
        <v>37</v>
      </c>
      <c r="F4" s="132"/>
      <c r="G4" s="89"/>
      <c r="H4" s="132" t="s">
        <v>38</v>
      </c>
      <c r="I4" s="132"/>
      <c r="J4" s="89"/>
      <c r="K4" s="132" t="s">
        <v>39</v>
      </c>
      <c r="L4" s="132"/>
      <c r="M4" s="89"/>
      <c r="N4" s="132" t="s">
        <v>40</v>
      </c>
      <c r="O4" s="132"/>
      <c r="P4" s="89"/>
      <c r="Q4" s="132" t="s">
        <v>41</v>
      </c>
      <c r="R4" s="132"/>
      <c r="S4" s="89"/>
      <c r="T4" s="132" t="s">
        <v>42</v>
      </c>
      <c r="U4" s="132"/>
      <c r="V4" s="89"/>
      <c r="W4" s="132" t="s">
        <v>43</v>
      </c>
      <c r="X4" s="132"/>
      <c r="Y4" s="89"/>
      <c r="Z4" s="132" t="s">
        <v>44</v>
      </c>
      <c r="AA4" s="132"/>
      <c r="AB4" s="134" t="s">
        <v>11</v>
      </c>
    </row>
    <row r="5" spans="1:29" s="17" customFormat="1" ht="15" customHeight="1" x14ac:dyDescent="0.25">
      <c r="A5" s="124"/>
      <c r="B5" s="131" t="s">
        <v>45</v>
      </c>
      <c r="C5" s="131"/>
      <c r="D5" s="16"/>
      <c r="E5" s="131" t="s">
        <v>46</v>
      </c>
      <c r="F5" s="131"/>
      <c r="G5" s="16"/>
      <c r="H5" s="131" t="s">
        <v>47</v>
      </c>
      <c r="I5" s="131"/>
      <c r="J5" s="16"/>
      <c r="K5" s="131" t="s">
        <v>48</v>
      </c>
      <c r="L5" s="131"/>
      <c r="M5" s="16"/>
      <c r="N5" s="131" t="s">
        <v>49</v>
      </c>
      <c r="O5" s="131"/>
      <c r="P5" s="16"/>
      <c r="Q5" s="131" t="s">
        <v>50</v>
      </c>
      <c r="R5" s="131"/>
      <c r="S5" s="16"/>
      <c r="T5" s="131" t="s">
        <v>51</v>
      </c>
      <c r="U5" s="131"/>
      <c r="V5" s="16"/>
      <c r="W5" s="131" t="s">
        <v>52</v>
      </c>
      <c r="X5" s="131"/>
      <c r="Y5" s="16"/>
      <c r="Z5" s="131" t="s">
        <v>53</v>
      </c>
      <c r="AA5" s="131"/>
      <c r="AB5" s="135"/>
      <c r="AC5" s="3"/>
    </row>
    <row r="6" spans="1:29" s="85" customFormat="1" ht="14.25" x14ac:dyDescent="0.2">
      <c r="A6" s="124"/>
      <c r="B6" s="77" t="s">
        <v>0</v>
      </c>
      <c r="C6" s="77" t="s">
        <v>1</v>
      </c>
      <c r="D6" s="77"/>
      <c r="E6" s="77" t="s">
        <v>0</v>
      </c>
      <c r="F6" s="77" t="s">
        <v>1</v>
      </c>
      <c r="G6" s="77"/>
      <c r="H6" s="77" t="s">
        <v>0</v>
      </c>
      <c r="I6" s="77" t="s">
        <v>1</v>
      </c>
      <c r="J6" s="77"/>
      <c r="K6" s="77" t="s">
        <v>0</v>
      </c>
      <c r="L6" s="77" t="s">
        <v>1</v>
      </c>
      <c r="M6" s="77"/>
      <c r="N6" s="77" t="s">
        <v>0</v>
      </c>
      <c r="O6" s="77" t="s">
        <v>1</v>
      </c>
      <c r="P6" s="77"/>
      <c r="Q6" s="77" t="s">
        <v>0</v>
      </c>
      <c r="R6" s="77" t="s">
        <v>1</v>
      </c>
      <c r="S6" s="77"/>
      <c r="T6" s="77" t="s">
        <v>0</v>
      </c>
      <c r="U6" s="77" t="s">
        <v>1</v>
      </c>
      <c r="V6" s="77"/>
      <c r="W6" s="77" t="s">
        <v>0</v>
      </c>
      <c r="X6" s="77" t="s">
        <v>1</v>
      </c>
      <c r="Y6" s="77"/>
      <c r="Z6" s="77" t="s">
        <v>0</v>
      </c>
      <c r="AA6" s="77" t="s">
        <v>1</v>
      </c>
      <c r="AB6" s="135"/>
    </row>
    <row r="7" spans="1:29" s="17" customFormat="1" ht="14.25" x14ac:dyDescent="0.2">
      <c r="A7" s="128"/>
      <c r="B7" s="79" t="s">
        <v>2</v>
      </c>
      <c r="C7" s="79" t="s">
        <v>3</v>
      </c>
      <c r="D7" s="79"/>
      <c r="E7" s="79" t="s">
        <v>2</v>
      </c>
      <c r="F7" s="79" t="s">
        <v>3</v>
      </c>
      <c r="G7" s="79"/>
      <c r="H7" s="79" t="s">
        <v>2</v>
      </c>
      <c r="I7" s="79" t="s">
        <v>3</v>
      </c>
      <c r="J7" s="79"/>
      <c r="K7" s="79" t="s">
        <v>2</v>
      </c>
      <c r="L7" s="79" t="s">
        <v>3</v>
      </c>
      <c r="M7" s="79"/>
      <c r="N7" s="79" t="s">
        <v>2</v>
      </c>
      <c r="O7" s="79" t="s">
        <v>3</v>
      </c>
      <c r="P7" s="79"/>
      <c r="Q7" s="79" t="s">
        <v>2</v>
      </c>
      <c r="R7" s="79" t="s">
        <v>3</v>
      </c>
      <c r="S7" s="79"/>
      <c r="T7" s="79" t="s">
        <v>2</v>
      </c>
      <c r="U7" s="79" t="s">
        <v>3</v>
      </c>
      <c r="V7" s="79"/>
      <c r="W7" s="79" t="s">
        <v>2</v>
      </c>
      <c r="X7" s="79" t="s">
        <v>3</v>
      </c>
      <c r="Y7" s="79"/>
      <c r="Z7" s="79" t="s">
        <v>2</v>
      </c>
      <c r="AA7" s="79" t="s">
        <v>3</v>
      </c>
      <c r="AB7" s="136"/>
    </row>
    <row r="8" spans="1:29" s="13" customFormat="1" ht="15.75" x14ac:dyDescent="0.15">
      <c r="A8" s="5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84" t="s">
        <v>5</v>
      </c>
    </row>
    <row r="9" spans="1:29" s="13" customFormat="1" ht="15.75" x14ac:dyDescent="0.4">
      <c r="A9" s="6" t="s">
        <v>12</v>
      </c>
      <c r="B9" s="97"/>
      <c r="C9" s="97"/>
      <c r="D9" s="97"/>
      <c r="E9" s="98"/>
      <c r="F9" s="98"/>
      <c r="G9" s="98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9"/>
      <c r="Z9" s="99"/>
      <c r="AA9" s="99"/>
      <c r="AB9" s="86" t="s">
        <v>13</v>
      </c>
    </row>
    <row r="10" spans="1:29" s="13" customFormat="1" ht="15.75" x14ac:dyDescent="0.4">
      <c r="A10" s="6" t="s">
        <v>14</v>
      </c>
      <c r="B10" s="97"/>
      <c r="C10" s="97"/>
      <c r="D10" s="97"/>
      <c r="E10" s="98"/>
      <c r="F10" s="98"/>
      <c r="G10" s="98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9"/>
      <c r="Z10" s="99"/>
      <c r="AA10" s="99"/>
      <c r="AB10" s="86" t="s">
        <v>15</v>
      </c>
    </row>
    <row r="11" spans="1:29" s="13" customFormat="1" ht="15.75" x14ac:dyDescent="0.4">
      <c r="A11" s="6" t="s">
        <v>16</v>
      </c>
      <c r="B11" s="97"/>
      <c r="C11" s="97"/>
      <c r="D11" s="97"/>
      <c r="E11" s="98"/>
      <c r="F11" s="98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9"/>
      <c r="Z11" s="99"/>
      <c r="AA11" s="99"/>
      <c r="AB11" s="86" t="s">
        <v>17</v>
      </c>
    </row>
    <row r="12" spans="1:29" s="13" customFormat="1" ht="15.75" x14ac:dyDescent="0.4">
      <c r="A12" s="6" t="s">
        <v>18</v>
      </c>
      <c r="B12" s="97"/>
      <c r="C12" s="97"/>
      <c r="D12" s="97"/>
      <c r="E12" s="98"/>
      <c r="F12" s="98"/>
      <c r="G12" s="98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9"/>
      <c r="Z12" s="99"/>
      <c r="AA12" s="99"/>
      <c r="AB12" s="86" t="s">
        <v>19</v>
      </c>
    </row>
    <row r="13" spans="1:29" s="13" customFormat="1" ht="15.75" x14ac:dyDescent="0.4">
      <c r="A13" s="6" t="s">
        <v>20</v>
      </c>
      <c r="B13" s="97"/>
      <c r="C13" s="97"/>
      <c r="D13" s="97"/>
      <c r="E13" s="98"/>
      <c r="F13" s="98"/>
      <c r="G13" s="98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9"/>
      <c r="Z13" s="99"/>
      <c r="AA13" s="99"/>
      <c r="AB13" s="86" t="s">
        <v>21</v>
      </c>
    </row>
    <row r="14" spans="1:29" s="13" customFormat="1" ht="15.75" x14ac:dyDescent="0.4">
      <c r="A14" s="6" t="s">
        <v>22</v>
      </c>
      <c r="B14" s="97"/>
      <c r="C14" s="97"/>
      <c r="D14" s="97"/>
      <c r="E14" s="98"/>
      <c r="F14" s="98"/>
      <c r="G14" s="98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9"/>
      <c r="Z14" s="99"/>
      <c r="AA14" s="99"/>
      <c r="AB14" s="86" t="s">
        <v>23</v>
      </c>
    </row>
    <row r="15" spans="1:29" s="13" customFormat="1" ht="15.75" x14ac:dyDescent="0.4">
      <c r="A15" s="6" t="s">
        <v>24</v>
      </c>
      <c r="B15" s="97"/>
      <c r="C15" s="97"/>
      <c r="D15" s="97"/>
      <c r="E15" s="98"/>
      <c r="F15" s="98"/>
      <c r="G15" s="98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9"/>
      <c r="Z15" s="99"/>
      <c r="AA15" s="99"/>
      <c r="AB15" s="86" t="s">
        <v>25</v>
      </c>
    </row>
    <row r="16" spans="1:29" s="13" customFormat="1" ht="15.75" x14ac:dyDescent="0.4">
      <c r="A16" s="6" t="s">
        <v>26</v>
      </c>
      <c r="B16" s="97"/>
      <c r="C16" s="97"/>
      <c r="D16" s="97"/>
      <c r="E16" s="98"/>
      <c r="F16" s="98"/>
      <c r="G16" s="98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9"/>
      <c r="Z16" s="99"/>
      <c r="AA16" s="99"/>
      <c r="AB16" s="86" t="s">
        <v>27</v>
      </c>
    </row>
    <row r="17" spans="1:44" s="13" customFormat="1" ht="15.75" x14ac:dyDescent="0.4">
      <c r="A17" s="6" t="s">
        <v>28</v>
      </c>
      <c r="B17" s="97"/>
      <c r="C17" s="97"/>
      <c r="D17" s="97"/>
      <c r="E17" s="98"/>
      <c r="F17" s="98"/>
      <c r="G17" s="98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9"/>
      <c r="Z17" s="99"/>
      <c r="AA17" s="99"/>
      <c r="AB17" s="86" t="s">
        <v>29</v>
      </c>
    </row>
    <row r="18" spans="1:44" s="13" customFormat="1" ht="15.75" x14ac:dyDescent="0.4">
      <c r="A18" s="6" t="s">
        <v>30</v>
      </c>
      <c r="B18" s="97"/>
      <c r="C18" s="97"/>
      <c r="D18" s="97"/>
      <c r="E18" s="98"/>
      <c r="F18" s="98"/>
      <c r="G18" s="98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9"/>
      <c r="Z18" s="99"/>
      <c r="AA18" s="99"/>
      <c r="AB18" s="86" t="s">
        <v>31</v>
      </c>
    </row>
    <row r="19" spans="1:44" s="13" customFormat="1" ht="15.75" x14ac:dyDescent="0.4">
      <c r="A19" s="6" t="s">
        <v>32</v>
      </c>
      <c r="B19" s="97"/>
      <c r="C19" s="97"/>
      <c r="D19" s="97"/>
      <c r="E19" s="98"/>
      <c r="F19" s="98"/>
      <c r="G19" s="98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9"/>
      <c r="Z19" s="99"/>
      <c r="AA19" s="99"/>
      <c r="AB19" s="86" t="s">
        <v>33</v>
      </c>
    </row>
    <row r="20" spans="1:44" s="13" customFormat="1" ht="15.75" x14ac:dyDescent="0.4">
      <c r="A20" s="78" t="s">
        <v>34</v>
      </c>
      <c r="B20" s="100"/>
      <c r="C20" s="100"/>
      <c r="D20" s="100"/>
      <c r="E20" s="101"/>
      <c r="F20" s="101"/>
      <c r="G20" s="101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2"/>
      <c r="Z20" s="102"/>
      <c r="AA20" s="102"/>
      <c r="AB20" s="87" t="s">
        <v>35</v>
      </c>
    </row>
    <row r="21" spans="1:44" ht="18.75" x14ac:dyDescent="0.25">
      <c r="A21" s="7" t="s">
        <v>7</v>
      </c>
      <c r="AB21" s="11" t="s">
        <v>8</v>
      </c>
      <c r="AO21" s="13"/>
      <c r="AP21" s="76" t="s">
        <v>2</v>
      </c>
      <c r="AQ21" s="76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3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15"/>
      <c r="T24" s="15"/>
      <c r="W24" s="15"/>
      <c r="AO24" s="13" t="str">
        <f>H5</f>
        <v xml:space="preserve">Gn.Fuvahmulah </v>
      </c>
      <c r="AP24" s="1">
        <f>H8</f>
        <v>0</v>
      </c>
      <c r="AQ24" s="1">
        <f>I8</f>
        <v>0</v>
      </c>
    </row>
    <row r="25" spans="1:44" s="13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3" customFormat="1" ht="21.75" customHeight="1" x14ac:dyDescent="0.55000000000000004">
      <c r="A44" s="137" t="s">
        <v>9</v>
      </c>
      <c r="B44" s="105"/>
      <c r="D44" s="106"/>
      <c r="F44" s="106"/>
      <c r="G44" s="140" t="s">
        <v>36</v>
      </c>
      <c r="H44" s="141"/>
      <c r="I44" s="141"/>
      <c r="J44" s="141"/>
      <c r="K44" s="142"/>
      <c r="L44" s="92"/>
      <c r="M44" s="107"/>
      <c r="N44" s="92"/>
      <c r="O44" s="107"/>
      <c r="P44" s="143" t="s">
        <v>37</v>
      </c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06"/>
      <c r="AC44" s="145" t="s">
        <v>38</v>
      </c>
      <c r="AD44" s="146"/>
      <c r="AE44" s="146"/>
      <c r="AF44" s="146"/>
      <c r="AG44" s="146"/>
      <c r="AH44" s="146"/>
      <c r="AI44" s="146"/>
      <c r="AJ44" s="146"/>
      <c r="AK44" s="91"/>
      <c r="AL44" s="145" t="s">
        <v>39</v>
      </c>
      <c r="AM44" s="146"/>
      <c r="AN44" s="146"/>
      <c r="AO44" s="146"/>
      <c r="AP44" s="146"/>
      <c r="AQ44" s="146"/>
      <c r="AR44" s="146"/>
      <c r="AS44" s="91"/>
      <c r="AT44" s="145" t="s">
        <v>40</v>
      </c>
      <c r="AU44" s="146"/>
      <c r="AV44" s="146"/>
      <c r="AW44" s="146"/>
      <c r="AX44" s="146"/>
      <c r="AY44" s="103"/>
      <c r="AZ44" s="91"/>
      <c r="BA44" s="145" t="s">
        <v>41</v>
      </c>
      <c r="BB44" s="146"/>
      <c r="BC44" s="146"/>
      <c r="BD44" s="146"/>
      <c r="BE44" s="163"/>
      <c r="BF44" s="90"/>
      <c r="BG44" s="164" t="s">
        <v>42</v>
      </c>
      <c r="BH44" s="165"/>
      <c r="BI44" s="165"/>
      <c r="BJ44" s="165"/>
      <c r="BK44" s="166"/>
      <c r="BL44" s="145" t="s">
        <v>43</v>
      </c>
      <c r="BM44" s="146"/>
      <c r="BN44" s="146"/>
      <c r="BO44" s="146"/>
      <c r="BP44" s="163"/>
      <c r="BQ44" s="145" t="s">
        <v>44</v>
      </c>
      <c r="BR44" s="146"/>
      <c r="BS44" s="146"/>
      <c r="BT44" s="147" t="s">
        <v>11</v>
      </c>
    </row>
    <row r="45" spans="1:80" s="94" customFormat="1" ht="16.5" customHeight="1" x14ac:dyDescent="0.25">
      <c r="A45" s="138"/>
      <c r="B45" s="108"/>
      <c r="D45" s="109"/>
      <c r="F45" s="109"/>
      <c r="G45" s="150" t="s">
        <v>45</v>
      </c>
      <c r="H45" s="151"/>
      <c r="I45" s="151"/>
      <c r="J45" s="151"/>
      <c r="K45" s="152"/>
      <c r="M45" s="109"/>
      <c r="O45" s="109"/>
      <c r="P45" s="153" t="s">
        <v>46</v>
      </c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09"/>
      <c r="AC45" s="155" t="s">
        <v>64</v>
      </c>
      <c r="AD45" s="156"/>
      <c r="AE45" s="156"/>
      <c r="AF45" s="156"/>
      <c r="AG45" s="156"/>
      <c r="AH45" s="156"/>
      <c r="AI45" s="156"/>
      <c r="AJ45" s="156"/>
      <c r="AK45" s="95"/>
      <c r="AL45" s="155" t="s">
        <v>65</v>
      </c>
      <c r="AM45" s="156"/>
      <c r="AN45" s="156"/>
      <c r="AO45" s="156"/>
      <c r="AP45" s="156"/>
      <c r="AQ45" s="156"/>
      <c r="AR45" s="156"/>
      <c r="AS45" s="95"/>
      <c r="AT45" s="155" t="s">
        <v>66</v>
      </c>
      <c r="AU45" s="156"/>
      <c r="AV45" s="156"/>
      <c r="AW45" s="156"/>
      <c r="AX45" s="156"/>
      <c r="AY45" s="104"/>
      <c r="AZ45" s="95"/>
      <c r="BA45" s="157" t="s">
        <v>67</v>
      </c>
      <c r="BB45" s="158"/>
      <c r="BC45" s="158"/>
      <c r="BD45" s="158"/>
      <c r="BE45" s="159"/>
      <c r="BG45" s="160" t="s">
        <v>68</v>
      </c>
      <c r="BH45" s="161"/>
      <c r="BI45" s="161"/>
      <c r="BJ45" s="161"/>
      <c r="BK45" s="162"/>
      <c r="BL45" s="157" t="s">
        <v>69</v>
      </c>
      <c r="BM45" s="158"/>
      <c r="BN45" s="158"/>
      <c r="BO45" s="158"/>
      <c r="BP45" s="159"/>
      <c r="BQ45" s="157" t="s">
        <v>70</v>
      </c>
      <c r="BR45" s="158"/>
      <c r="BS45" s="158"/>
      <c r="BT45" s="148"/>
    </row>
    <row r="46" spans="1:80" ht="23.25" customHeight="1" x14ac:dyDescent="0.25">
      <c r="A46" s="139"/>
      <c r="B46" s="110"/>
      <c r="C46" s="111">
        <v>2011</v>
      </c>
      <c r="D46" s="111">
        <v>2012</v>
      </c>
      <c r="E46" s="112">
        <v>2013</v>
      </c>
      <c r="F46" s="113">
        <v>2014</v>
      </c>
      <c r="G46" s="114">
        <v>2015</v>
      </c>
      <c r="H46" s="115">
        <v>2016</v>
      </c>
      <c r="I46" s="116">
        <v>2017</v>
      </c>
      <c r="J46" s="116">
        <v>2018</v>
      </c>
      <c r="K46" s="116">
        <v>2019</v>
      </c>
      <c r="L46" s="117">
        <v>2011</v>
      </c>
      <c r="M46" s="117">
        <v>2012</v>
      </c>
      <c r="N46" s="117">
        <v>2013</v>
      </c>
      <c r="O46" s="116">
        <v>2014</v>
      </c>
      <c r="P46" s="114">
        <v>2015</v>
      </c>
      <c r="Q46" s="116">
        <v>2016</v>
      </c>
      <c r="R46" s="117">
        <v>2011</v>
      </c>
      <c r="S46" s="117">
        <v>2012</v>
      </c>
      <c r="T46" s="116">
        <v>2013</v>
      </c>
      <c r="U46" s="116">
        <v>2014</v>
      </c>
      <c r="V46" s="117">
        <v>2011</v>
      </c>
      <c r="W46" s="117">
        <v>2012</v>
      </c>
      <c r="X46" s="116">
        <v>2013</v>
      </c>
      <c r="Y46" s="116">
        <v>2017</v>
      </c>
      <c r="Z46" s="116">
        <v>2018</v>
      </c>
      <c r="AA46" s="118">
        <v>2019</v>
      </c>
      <c r="AB46" s="116">
        <v>2014</v>
      </c>
      <c r="AC46" s="27">
        <v>2015</v>
      </c>
      <c r="AD46" s="27">
        <v>2016</v>
      </c>
      <c r="AE46" s="80">
        <v>2011</v>
      </c>
      <c r="AF46" s="80">
        <v>2012</v>
      </c>
      <c r="AG46" s="80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80">
        <v>2012</v>
      </c>
      <c r="AQ46" s="80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80">
        <v>2013</v>
      </c>
      <c r="AW46" s="27">
        <v>2017</v>
      </c>
      <c r="AX46" s="27">
        <v>2018</v>
      </c>
      <c r="AY46" s="27">
        <v>2019</v>
      </c>
      <c r="AZ46" s="80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80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49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8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6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6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6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6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6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6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6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6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6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6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6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7" t="s">
        <v>35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20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46"/>
  <sheetViews>
    <sheetView tabSelected="1" zoomScale="142" zoomScaleNormal="142" workbookViewId="0">
      <selection activeCell="N18" sqref="N18"/>
    </sheetView>
  </sheetViews>
  <sheetFormatPr defaultColWidth="9.140625" defaultRowHeight="15" x14ac:dyDescent="0.25"/>
  <cols>
    <col min="1" max="1" width="12.140625" style="12" customWidth="1"/>
    <col min="2" max="9" width="14.5703125" style="12" customWidth="1"/>
    <col min="10" max="10" width="5.7109375" style="12" customWidth="1"/>
    <col min="11" max="11" width="8.85546875" style="12" customWidth="1"/>
    <col min="12" max="16384" width="9.140625" style="12"/>
  </cols>
  <sheetData>
    <row r="1" spans="1:11" ht="21" x14ac:dyDescent="0.55000000000000004">
      <c r="A1" s="169" t="s">
        <v>73</v>
      </c>
      <c r="B1" s="169"/>
      <c r="C1" s="169"/>
      <c r="D1" s="169"/>
      <c r="E1" s="169"/>
      <c r="F1" s="169"/>
      <c r="G1" s="169"/>
      <c r="H1" s="169"/>
      <c r="I1" s="169"/>
    </row>
    <row r="2" spans="1:11" x14ac:dyDescent="0.25">
      <c r="A2" s="167" t="s">
        <v>74</v>
      </c>
      <c r="B2" s="167"/>
      <c r="C2" s="167"/>
      <c r="D2" s="167"/>
      <c r="E2" s="167"/>
      <c r="F2" s="167"/>
      <c r="G2" s="167"/>
      <c r="H2" s="167"/>
      <c r="I2" s="167"/>
      <c r="J2" s="4"/>
      <c r="K2" s="4"/>
    </row>
    <row r="3" spans="1:11" x14ac:dyDescent="0.25">
      <c r="A3" s="168" t="s">
        <v>58</v>
      </c>
      <c r="B3" s="168"/>
      <c r="C3" s="168"/>
      <c r="D3" s="168"/>
      <c r="E3" s="168"/>
      <c r="F3" s="168"/>
      <c r="G3" s="168"/>
      <c r="H3" s="168"/>
      <c r="I3" s="168"/>
      <c r="J3" s="4"/>
      <c r="K3" s="4"/>
    </row>
    <row r="4" spans="1:11" x14ac:dyDescent="0.25">
      <c r="A4" s="123" t="s">
        <v>9</v>
      </c>
      <c r="B4" s="170" t="s">
        <v>61</v>
      </c>
      <c r="C4" s="125" t="s">
        <v>10</v>
      </c>
      <c r="D4" s="125"/>
      <c r="E4" s="129"/>
      <c r="F4" s="126" t="s">
        <v>6</v>
      </c>
      <c r="G4" s="125"/>
      <c r="H4" s="125"/>
      <c r="I4" s="127" t="s">
        <v>11</v>
      </c>
      <c r="J4" s="4"/>
      <c r="K4" s="4"/>
    </row>
    <row r="5" spans="1:11" x14ac:dyDescent="0.25">
      <c r="A5" s="128"/>
      <c r="B5" s="171"/>
      <c r="C5" s="14" t="s">
        <v>59</v>
      </c>
      <c r="D5" s="14" t="s">
        <v>60</v>
      </c>
      <c r="E5" s="59" t="s">
        <v>57</v>
      </c>
      <c r="F5" s="14" t="s">
        <v>59</v>
      </c>
      <c r="G5" s="14" t="s">
        <v>60</v>
      </c>
      <c r="H5" s="119" t="s">
        <v>57</v>
      </c>
      <c r="I5" s="130"/>
      <c r="J5" s="4"/>
      <c r="K5" s="4"/>
    </row>
    <row r="6" spans="1:11" ht="17.25" x14ac:dyDescent="0.4">
      <c r="A6" s="2" t="s">
        <v>4</v>
      </c>
      <c r="B6" s="60">
        <f>SUM(C6:H6)</f>
        <v>406279.62</v>
      </c>
      <c r="C6" s="61">
        <f t="shared" ref="C6:H6" si="0">SUM(C7:C18)</f>
        <v>247883.3</v>
      </c>
      <c r="D6" s="61">
        <f t="shared" si="0"/>
        <v>21427.32</v>
      </c>
      <c r="E6" s="62">
        <f t="shared" si="0"/>
        <v>14150</v>
      </c>
      <c r="F6" s="63">
        <f t="shared" si="0"/>
        <v>121466</v>
      </c>
      <c r="G6" s="61">
        <f t="shared" si="0"/>
        <v>1353</v>
      </c>
      <c r="H6" s="61">
        <f t="shared" si="0"/>
        <v>0</v>
      </c>
      <c r="I6" s="81" t="s">
        <v>5</v>
      </c>
      <c r="J6" s="4"/>
      <c r="K6" s="4"/>
    </row>
    <row r="7" spans="1:11" ht="17.25" x14ac:dyDescent="0.4">
      <c r="A7" s="120" t="s">
        <v>12</v>
      </c>
      <c r="B7" s="64">
        <f t="shared" ref="B7:B18" si="1">SUM(C7:E7)</f>
        <v>20049.599999999999</v>
      </c>
      <c r="C7" s="65">
        <v>17856.5</v>
      </c>
      <c r="D7" s="65">
        <v>1546.1</v>
      </c>
      <c r="E7" s="66">
        <v>647</v>
      </c>
      <c r="F7" s="67">
        <v>9895</v>
      </c>
      <c r="G7" s="65">
        <v>720</v>
      </c>
      <c r="H7" s="65">
        <v>0</v>
      </c>
      <c r="I7" s="82" t="s">
        <v>13</v>
      </c>
      <c r="J7" s="4"/>
      <c r="K7" s="4"/>
    </row>
    <row r="8" spans="1:11" ht="17.25" x14ac:dyDescent="0.4">
      <c r="A8" s="120" t="s">
        <v>14</v>
      </c>
      <c r="B8" s="64">
        <f t="shared" si="1"/>
        <v>22485.5</v>
      </c>
      <c r="C8" s="65">
        <v>18347</v>
      </c>
      <c r="D8" s="65">
        <v>2079.5</v>
      </c>
      <c r="E8" s="66">
        <v>2059</v>
      </c>
      <c r="F8" s="67">
        <v>8656</v>
      </c>
      <c r="G8" s="65">
        <v>0</v>
      </c>
      <c r="H8" s="65">
        <v>0</v>
      </c>
      <c r="I8" s="82" t="s">
        <v>15</v>
      </c>
      <c r="J8" s="4"/>
      <c r="K8" s="4"/>
    </row>
    <row r="9" spans="1:11" ht="17.25" x14ac:dyDescent="0.4">
      <c r="A9" s="120" t="s">
        <v>16</v>
      </c>
      <c r="B9" s="64">
        <f t="shared" si="1"/>
        <v>22891</v>
      </c>
      <c r="C9" s="65">
        <v>19157.5</v>
      </c>
      <c r="D9" s="65">
        <v>1226.5</v>
      </c>
      <c r="E9" s="66">
        <v>2507</v>
      </c>
      <c r="F9" s="67">
        <v>12467</v>
      </c>
      <c r="G9" s="65">
        <v>91</v>
      </c>
      <c r="H9" s="65">
        <v>0</v>
      </c>
      <c r="I9" s="82" t="s">
        <v>17</v>
      </c>
      <c r="J9" s="4"/>
      <c r="K9" s="4"/>
    </row>
    <row r="10" spans="1:11" ht="17.25" x14ac:dyDescent="0.4">
      <c r="A10" s="120" t="s">
        <v>18</v>
      </c>
      <c r="B10" s="64">
        <f t="shared" si="1"/>
        <v>26105.5</v>
      </c>
      <c r="C10" s="65">
        <v>22603.5</v>
      </c>
      <c r="D10" s="65">
        <v>1784</v>
      </c>
      <c r="E10" s="66">
        <v>1718</v>
      </c>
      <c r="F10" s="67">
        <v>13381</v>
      </c>
      <c r="G10" s="65">
        <v>0</v>
      </c>
      <c r="H10" s="65">
        <v>0</v>
      </c>
      <c r="I10" s="82" t="s">
        <v>19</v>
      </c>
      <c r="J10" s="4"/>
      <c r="K10" s="4"/>
    </row>
    <row r="11" spans="1:11" ht="17.25" x14ac:dyDescent="0.4">
      <c r="A11" s="120" t="s">
        <v>20</v>
      </c>
      <c r="B11" s="64">
        <f t="shared" si="1"/>
        <v>17813</v>
      </c>
      <c r="C11" s="65">
        <v>15104</v>
      </c>
      <c r="D11" s="65">
        <v>906</v>
      </c>
      <c r="E11" s="66">
        <v>1803</v>
      </c>
      <c r="F11" s="67">
        <v>12220</v>
      </c>
      <c r="G11" s="65">
        <v>243</v>
      </c>
      <c r="H11" s="65">
        <v>0</v>
      </c>
      <c r="I11" s="82" t="s">
        <v>21</v>
      </c>
      <c r="J11" s="4"/>
      <c r="K11" s="4"/>
    </row>
    <row r="12" spans="1:11" ht="17.25" x14ac:dyDescent="0.4">
      <c r="A12" s="120" t="s">
        <v>22</v>
      </c>
      <c r="B12" s="64">
        <f t="shared" si="1"/>
        <v>24329</v>
      </c>
      <c r="C12" s="65">
        <v>21675</v>
      </c>
      <c r="D12" s="65">
        <v>2110</v>
      </c>
      <c r="E12" s="66">
        <v>544</v>
      </c>
      <c r="F12" s="67">
        <v>2885</v>
      </c>
      <c r="G12" s="65">
        <v>0</v>
      </c>
      <c r="H12" s="65">
        <v>0</v>
      </c>
      <c r="I12" s="82" t="s">
        <v>23</v>
      </c>
      <c r="J12" s="4"/>
      <c r="K12" s="4"/>
    </row>
    <row r="13" spans="1:11" ht="17.25" x14ac:dyDescent="0.4">
      <c r="A13" s="120" t="s">
        <v>24</v>
      </c>
      <c r="B13" s="64">
        <f t="shared" si="1"/>
        <v>23072.799999999999</v>
      </c>
      <c r="C13" s="65">
        <v>20909</v>
      </c>
      <c r="D13" s="65">
        <v>1788.8</v>
      </c>
      <c r="E13" s="66">
        <v>375</v>
      </c>
      <c r="F13" s="67">
        <v>7377</v>
      </c>
      <c r="G13" s="65">
        <v>292</v>
      </c>
      <c r="H13" s="65">
        <v>0</v>
      </c>
      <c r="I13" s="82" t="s">
        <v>25</v>
      </c>
      <c r="J13" s="4"/>
      <c r="K13" s="4"/>
    </row>
    <row r="14" spans="1:11" ht="17.25" x14ac:dyDescent="0.4">
      <c r="A14" s="120" t="s">
        <v>26</v>
      </c>
      <c r="B14" s="64">
        <f t="shared" si="1"/>
        <v>24746.5</v>
      </c>
      <c r="C14" s="65">
        <v>22302</v>
      </c>
      <c r="D14" s="65">
        <v>1284.5</v>
      </c>
      <c r="E14" s="66">
        <v>1160</v>
      </c>
      <c r="F14" s="67">
        <v>10930</v>
      </c>
      <c r="G14" s="65">
        <v>0</v>
      </c>
      <c r="H14" s="65">
        <v>0</v>
      </c>
      <c r="I14" s="82" t="s">
        <v>27</v>
      </c>
      <c r="J14" s="4"/>
      <c r="K14" s="4"/>
    </row>
    <row r="15" spans="1:11" ht="17.25" x14ac:dyDescent="0.4">
      <c r="A15" s="120" t="s">
        <v>28</v>
      </c>
      <c r="B15" s="64">
        <f t="shared" si="1"/>
        <v>28687.5</v>
      </c>
      <c r="C15" s="65">
        <v>25785</v>
      </c>
      <c r="D15" s="65">
        <v>2264.5</v>
      </c>
      <c r="E15" s="66">
        <v>638</v>
      </c>
      <c r="F15" s="67">
        <v>8205</v>
      </c>
      <c r="G15" s="65">
        <v>7</v>
      </c>
      <c r="H15" s="65">
        <v>0</v>
      </c>
      <c r="I15" s="82" t="s">
        <v>29</v>
      </c>
      <c r="K15" s="4"/>
    </row>
    <row r="16" spans="1:11" ht="17.25" x14ac:dyDescent="0.4">
      <c r="A16" s="120" t="s">
        <v>30</v>
      </c>
      <c r="B16" s="64">
        <f t="shared" si="1"/>
        <v>23441.119999999999</v>
      </c>
      <c r="C16" s="65">
        <v>20023</v>
      </c>
      <c r="D16" s="65">
        <v>2670.12</v>
      </c>
      <c r="E16" s="66">
        <v>748</v>
      </c>
      <c r="F16" s="67">
        <v>12620</v>
      </c>
      <c r="G16" s="65">
        <v>0</v>
      </c>
      <c r="H16" s="65">
        <v>0</v>
      </c>
      <c r="I16" s="82" t="s">
        <v>31</v>
      </c>
      <c r="K16" s="4"/>
    </row>
    <row r="17" spans="1:15" ht="17.25" x14ac:dyDescent="0.4">
      <c r="A17" s="120" t="s">
        <v>32</v>
      </c>
      <c r="B17" s="64">
        <f t="shared" si="1"/>
        <v>28956.6</v>
      </c>
      <c r="C17" s="65">
        <v>25681.8</v>
      </c>
      <c r="D17" s="65">
        <v>1937.8</v>
      </c>
      <c r="E17" s="66">
        <v>1337</v>
      </c>
      <c r="F17" s="67">
        <v>9172</v>
      </c>
      <c r="G17" s="65">
        <v>0</v>
      </c>
      <c r="H17" s="65">
        <v>0</v>
      </c>
      <c r="I17" s="82" t="s">
        <v>33</v>
      </c>
      <c r="K17" s="4"/>
    </row>
    <row r="18" spans="1:15" ht="17.25" x14ac:dyDescent="0.4">
      <c r="A18" s="121" t="s">
        <v>34</v>
      </c>
      <c r="B18" s="68">
        <f t="shared" si="1"/>
        <v>20882.5</v>
      </c>
      <c r="C18" s="69">
        <v>18439</v>
      </c>
      <c r="D18" s="69">
        <v>1829.5</v>
      </c>
      <c r="E18" s="96">
        <v>614</v>
      </c>
      <c r="F18" s="70">
        <v>13658</v>
      </c>
      <c r="G18" s="69">
        <v>0</v>
      </c>
      <c r="H18" s="69">
        <v>0</v>
      </c>
      <c r="I18" s="83" t="s">
        <v>35</v>
      </c>
      <c r="K18" s="4"/>
    </row>
    <row r="19" spans="1:15" ht="12.75" customHeight="1" x14ac:dyDescent="0.4">
      <c r="A19" s="57" t="s">
        <v>62</v>
      </c>
      <c r="B19" s="7"/>
      <c r="C19" s="8"/>
      <c r="D19" s="8"/>
      <c r="E19" s="8"/>
      <c r="F19" s="8"/>
      <c r="G19" s="8"/>
      <c r="H19" s="8"/>
      <c r="I19" s="71" t="s">
        <v>63</v>
      </c>
      <c r="J19" s="8"/>
      <c r="K19" s="4"/>
      <c r="L19" s="10"/>
      <c r="N19" s="55"/>
      <c r="O19" s="10"/>
    </row>
    <row r="20" spans="1:15" ht="12.75" customHeight="1" x14ac:dyDescent="0.25">
      <c r="A20" s="7" t="s">
        <v>7</v>
      </c>
      <c r="B20" s="57"/>
      <c r="C20" s="57"/>
      <c r="D20" s="58"/>
      <c r="E20" s="58"/>
      <c r="F20" s="58"/>
      <c r="G20" s="58"/>
      <c r="H20" s="58"/>
      <c r="I20" s="56" t="s">
        <v>8</v>
      </c>
      <c r="J20" s="58"/>
      <c r="K20" s="4"/>
    </row>
    <row r="21" spans="1:15" s="72" customFormat="1" ht="15" customHeight="1" x14ac:dyDescent="0.25">
      <c r="K21" s="73"/>
    </row>
    <row r="22" spans="1:15" s="72" customFormat="1" ht="12" x14ac:dyDescent="0.25"/>
    <row r="23" spans="1:15" x14ac:dyDescent="0.25">
      <c r="A23" s="74"/>
      <c r="B23" s="75"/>
      <c r="C23" s="75"/>
      <c r="D23" s="75"/>
      <c r="E23" s="75"/>
      <c r="F23" s="75"/>
      <c r="G23" s="75"/>
      <c r="H23" s="75"/>
      <c r="I23" s="75"/>
    </row>
    <row r="24" spans="1:15" ht="17.25" x14ac:dyDescent="0.25">
      <c r="A24" s="75"/>
      <c r="B24" s="75"/>
      <c r="C24" s="75"/>
      <c r="D24" s="75"/>
      <c r="E24" s="75"/>
      <c r="F24" s="75"/>
      <c r="G24" s="75"/>
      <c r="H24" s="75"/>
      <c r="I24" s="75"/>
      <c r="J24" s="71"/>
    </row>
    <row r="25" spans="1:15" ht="21" x14ac:dyDescent="0.55000000000000004">
      <c r="A25" s="169" t="s">
        <v>76</v>
      </c>
      <c r="B25" s="169"/>
      <c r="C25" s="169"/>
      <c r="D25" s="169"/>
      <c r="E25" s="169"/>
      <c r="F25" s="169"/>
      <c r="G25" s="169"/>
      <c r="H25" s="169"/>
      <c r="I25" s="169"/>
    </row>
    <row r="26" spans="1:15" x14ac:dyDescent="0.25">
      <c r="A26" s="167" t="s">
        <v>75</v>
      </c>
      <c r="B26" s="167"/>
      <c r="C26" s="167"/>
      <c r="D26" s="167"/>
      <c r="E26" s="167"/>
      <c r="F26" s="167"/>
      <c r="G26" s="167"/>
      <c r="H26" s="167"/>
      <c r="I26" s="167"/>
      <c r="J26" s="4"/>
      <c r="K26" s="4"/>
    </row>
    <row r="27" spans="1:15" x14ac:dyDescent="0.25">
      <c r="A27" s="168" t="s">
        <v>58</v>
      </c>
      <c r="B27" s="168"/>
      <c r="C27" s="168"/>
      <c r="D27" s="168"/>
      <c r="E27" s="168"/>
      <c r="F27" s="168"/>
      <c r="G27" s="168"/>
      <c r="H27" s="168"/>
      <c r="I27" s="168"/>
      <c r="J27" s="4"/>
      <c r="K27" s="4"/>
    </row>
    <row r="28" spans="1:15" x14ac:dyDescent="0.25">
      <c r="A28" s="123" t="s">
        <v>9</v>
      </c>
      <c r="B28" s="170" t="s">
        <v>61</v>
      </c>
      <c r="C28" s="125" t="s">
        <v>10</v>
      </c>
      <c r="D28" s="125"/>
      <c r="E28" s="129"/>
      <c r="F28" s="126" t="s">
        <v>6</v>
      </c>
      <c r="G28" s="125"/>
      <c r="H28" s="125"/>
      <c r="I28" s="127" t="s">
        <v>11</v>
      </c>
      <c r="J28" s="4"/>
      <c r="K28" s="4"/>
    </row>
    <row r="29" spans="1:15" x14ac:dyDescent="0.25">
      <c r="A29" s="128"/>
      <c r="B29" s="171"/>
      <c r="C29" s="14" t="s">
        <v>59</v>
      </c>
      <c r="D29" s="14" t="s">
        <v>60</v>
      </c>
      <c r="E29" s="59" t="s">
        <v>57</v>
      </c>
      <c r="F29" s="14" t="s">
        <v>59</v>
      </c>
      <c r="G29" s="14" t="s">
        <v>60</v>
      </c>
      <c r="H29" s="119" t="s">
        <v>57</v>
      </c>
      <c r="I29" s="130"/>
      <c r="J29" s="4"/>
      <c r="K29" s="4"/>
    </row>
    <row r="30" spans="1:15" ht="17.25" x14ac:dyDescent="0.4">
      <c r="A30" s="2" t="s">
        <v>4</v>
      </c>
      <c r="B30" s="60">
        <f>SUM(C30:H30)</f>
        <v>225778.09</v>
      </c>
      <c r="C30" s="61">
        <f t="shared" ref="C30:H30" si="2">SUM(C31:C42)</f>
        <v>179777.5</v>
      </c>
      <c r="D30" s="61">
        <f t="shared" si="2"/>
        <v>17195.84</v>
      </c>
      <c r="E30" s="62">
        <f t="shared" si="2"/>
        <v>11389.75</v>
      </c>
      <c r="F30" s="63">
        <f t="shared" si="2"/>
        <v>16654</v>
      </c>
      <c r="G30" s="61">
        <f t="shared" si="2"/>
        <v>761</v>
      </c>
      <c r="H30" s="61">
        <f t="shared" si="2"/>
        <v>0</v>
      </c>
      <c r="I30" s="81" t="s">
        <v>5</v>
      </c>
      <c r="J30" s="4"/>
      <c r="K30" s="4"/>
    </row>
    <row r="31" spans="1:15" ht="17.25" x14ac:dyDescent="0.4">
      <c r="A31" s="120" t="s">
        <v>12</v>
      </c>
      <c r="B31" s="64">
        <f t="shared" ref="B31:B42" si="3">SUM(C31:E31)</f>
        <v>17675.3</v>
      </c>
      <c r="C31" s="65">
        <v>14151.5</v>
      </c>
      <c r="D31" s="65">
        <v>1720.8</v>
      </c>
      <c r="E31" s="66">
        <v>1803</v>
      </c>
      <c r="F31" s="67">
        <v>0</v>
      </c>
      <c r="G31" s="65">
        <v>0</v>
      </c>
      <c r="H31" s="65">
        <v>0</v>
      </c>
      <c r="I31" s="82" t="s">
        <v>13</v>
      </c>
      <c r="J31" s="4"/>
      <c r="K31" s="4"/>
    </row>
    <row r="32" spans="1:15" ht="17.25" x14ac:dyDescent="0.4">
      <c r="A32" s="120" t="s">
        <v>14</v>
      </c>
      <c r="B32" s="64">
        <f t="shared" si="3"/>
        <v>15106.599999999999</v>
      </c>
      <c r="C32" s="65">
        <v>12722.8</v>
      </c>
      <c r="D32" s="65">
        <v>1140.8</v>
      </c>
      <c r="E32" s="66">
        <v>1243</v>
      </c>
      <c r="F32" s="67">
        <v>0</v>
      </c>
      <c r="G32" s="65">
        <v>0</v>
      </c>
      <c r="H32" s="65">
        <v>0</v>
      </c>
      <c r="I32" s="82" t="s">
        <v>15</v>
      </c>
      <c r="J32" s="4"/>
      <c r="K32" s="4"/>
    </row>
    <row r="33" spans="1:15" ht="17.25" x14ac:dyDescent="0.4">
      <c r="A33" s="120" t="s">
        <v>16</v>
      </c>
      <c r="B33" s="64">
        <f t="shared" si="3"/>
        <v>18063.68</v>
      </c>
      <c r="C33" s="65">
        <v>15573</v>
      </c>
      <c r="D33" s="65">
        <v>1364.68</v>
      </c>
      <c r="E33" s="66">
        <v>1126</v>
      </c>
      <c r="F33" s="67">
        <v>0</v>
      </c>
      <c r="G33" s="65">
        <v>0</v>
      </c>
      <c r="H33" s="65">
        <v>0</v>
      </c>
      <c r="I33" s="82" t="s">
        <v>17</v>
      </c>
      <c r="J33" s="4"/>
      <c r="K33" s="4"/>
    </row>
    <row r="34" spans="1:15" ht="17.25" x14ac:dyDescent="0.4">
      <c r="A34" s="120" t="s">
        <v>18</v>
      </c>
      <c r="B34" s="64">
        <f t="shared" si="3"/>
        <v>19697.2</v>
      </c>
      <c r="C34" s="65">
        <v>17390.900000000001</v>
      </c>
      <c r="D34" s="65">
        <v>1536.3</v>
      </c>
      <c r="E34" s="66">
        <v>770</v>
      </c>
      <c r="F34" s="67">
        <v>0</v>
      </c>
      <c r="G34" s="65">
        <v>0</v>
      </c>
      <c r="H34" s="65">
        <v>0</v>
      </c>
      <c r="I34" s="82" t="s">
        <v>19</v>
      </c>
      <c r="J34" s="4"/>
      <c r="K34" s="4"/>
    </row>
    <row r="35" spans="1:15" ht="17.25" x14ac:dyDescent="0.4">
      <c r="A35" s="120" t="s">
        <v>20</v>
      </c>
      <c r="B35" s="64">
        <f t="shared" si="3"/>
        <v>15947.4</v>
      </c>
      <c r="C35" s="65">
        <v>13882.5</v>
      </c>
      <c r="D35" s="65">
        <v>1272.9000000000001</v>
      </c>
      <c r="E35" s="66">
        <v>792</v>
      </c>
      <c r="F35" s="67">
        <v>0</v>
      </c>
      <c r="G35" s="65">
        <v>0</v>
      </c>
      <c r="H35" s="65">
        <v>0</v>
      </c>
      <c r="I35" s="82" t="s">
        <v>21</v>
      </c>
      <c r="J35" s="4"/>
      <c r="K35" s="4"/>
    </row>
    <row r="36" spans="1:15" ht="17.25" x14ac:dyDescent="0.4">
      <c r="A36" s="120" t="s">
        <v>22</v>
      </c>
      <c r="B36" s="64">
        <f t="shared" si="3"/>
        <v>12324.1</v>
      </c>
      <c r="C36" s="65">
        <v>11091</v>
      </c>
      <c r="D36" s="65">
        <v>1179.0999999999999</v>
      </c>
      <c r="E36" s="66">
        <v>54</v>
      </c>
      <c r="F36" s="67">
        <v>0</v>
      </c>
      <c r="G36" s="65">
        <v>0</v>
      </c>
      <c r="H36" s="65">
        <v>0</v>
      </c>
      <c r="I36" s="82" t="s">
        <v>23</v>
      </c>
      <c r="J36" s="4"/>
      <c r="K36" s="4"/>
    </row>
    <row r="37" spans="1:15" ht="17.25" x14ac:dyDescent="0.4">
      <c r="A37" s="120" t="s">
        <v>24</v>
      </c>
      <c r="B37" s="64">
        <f t="shared" si="3"/>
        <v>17700.2</v>
      </c>
      <c r="C37" s="65">
        <v>15740</v>
      </c>
      <c r="D37" s="65">
        <v>1406.2</v>
      </c>
      <c r="E37" s="66">
        <v>554</v>
      </c>
      <c r="F37" s="67">
        <v>0</v>
      </c>
      <c r="G37" s="65">
        <v>0</v>
      </c>
      <c r="H37" s="65">
        <v>0</v>
      </c>
      <c r="I37" s="82" t="s">
        <v>25</v>
      </c>
      <c r="J37" s="4"/>
      <c r="K37" s="4"/>
    </row>
    <row r="38" spans="1:15" ht="17.25" x14ac:dyDescent="0.4">
      <c r="A38" s="120" t="s">
        <v>26</v>
      </c>
      <c r="B38" s="64">
        <f t="shared" si="3"/>
        <v>19846.099999999999</v>
      </c>
      <c r="C38" s="65">
        <v>17128.3</v>
      </c>
      <c r="D38" s="65">
        <v>1342.8</v>
      </c>
      <c r="E38" s="66">
        <v>1375</v>
      </c>
      <c r="F38" s="67">
        <v>3719</v>
      </c>
      <c r="G38" s="65">
        <v>0</v>
      </c>
      <c r="H38" s="65">
        <v>0</v>
      </c>
      <c r="I38" s="82" t="s">
        <v>27</v>
      </c>
      <c r="J38" s="4"/>
      <c r="K38" s="4"/>
    </row>
    <row r="39" spans="1:15" ht="17.25" x14ac:dyDescent="0.4">
      <c r="A39" s="120" t="s">
        <v>28</v>
      </c>
      <c r="B39" s="64">
        <f t="shared" si="3"/>
        <v>14269.25</v>
      </c>
      <c r="C39" s="65">
        <v>12323.5</v>
      </c>
      <c r="D39" s="65">
        <v>1248</v>
      </c>
      <c r="E39" s="66">
        <v>697.75</v>
      </c>
      <c r="F39" s="67">
        <v>1900</v>
      </c>
      <c r="G39" s="65">
        <v>78</v>
      </c>
      <c r="H39" s="65">
        <v>0</v>
      </c>
      <c r="I39" s="82" t="s">
        <v>29</v>
      </c>
      <c r="K39" s="4"/>
    </row>
    <row r="40" spans="1:15" ht="17.25" x14ac:dyDescent="0.4">
      <c r="A40" s="120" t="s">
        <v>30</v>
      </c>
      <c r="B40" s="64">
        <f t="shared" si="3"/>
        <v>19327.88</v>
      </c>
      <c r="C40" s="65">
        <v>17356</v>
      </c>
      <c r="D40" s="65">
        <v>1320.88</v>
      </c>
      <c r="E40" s="66">
        <v>651</v>
      </c>
      <c r="F40" s="67">
        <v>0</v>
      </c>
      <c r="G40" s="65">
        <v>0</v>
      </c>
      <c r="H40" s="65">
        <v>0</v>
      </c>
      <c r="I40" s="82" t="s">
        <v>31</v>
      </c>
      <c r="K40" s="4"/>
    </row>
    <row r="41" spans="1:15" ht="17.25" x14ac:dyDescent="0.4">
      <c r="A41" s="120" t="s">
        <v>32</v>
      </c>
      <c r="B41" s="64">
        <f t="shared" si="3"/>
        <v>22076.9</v>
      </c>
      <c r="C41" s="65">
        <v>19360</v>
      </c>
      <c r="D41" s="65">
        <v>1590.9</v>
      </c>
      <c r="E41" s="66">
        <v>1126</v>
      </c>
      <c r="F41" s="67">
        <v>0</v>
      </c>
      <c r="G41" s="65">
        <v>0</v>
      </c>
      <c r="H41" s="65">
        <v>0</v>
      </c>
      <c r="I41" s="82" t="s">
        <v>33</v>
      </c>
      <c r="K41" s="4"/>
    </row>
    <row r="42" spans="1:15" ht="17.25" x14ac:dyDescent="0.4">
      <c r="A42" s="121" t="s">
        <v>34</v>
      </c>
      <c r="B42" s="68">
        <f t="shared" si="3"/>
        <v>16328.48</v>
      </c>
      <c r="C42" s="69">
        <v>13058</v>
      </c>
      <c r="D42" s="69">
        <v>2072.48</v>
      </c>
      <c r="E42" s="96">
        <v>1198</v>
      </c>
      <c r="F42" s="70">
        <v>11035</v>
      </c>
      <c r="G42" s="69">
        <v>683</v>
      </c>
      <c r="H42" s="69">
        <v>0</v>
      </c>
      <c r="I42" s="83" t="s">
        <v>35</v>
      </c>
      <c r="K42" s="4"/>
    </row>
    <row r="43" spans="1:15" ht="12.75" customHeight="1" x14ac:dyDescent="0.4">
      <c r="A43" s="57" t="s">
        <v>62</v>
      </c>
      <c r="B43" s="7"/>
      <c r="C43" s="8"/>
      <c r="D43" s="8"/>
      <c r="E43" s="8"/>
      <c r="F43" s="8"/>
      <c r="G43" s="8"/>
      <c r="H43" s="8"/>
      <c r="I43" s="71" t="s">
        <v>63</v>
      </c>
      <c r="J43" s="8"/>
      <c r="K43" s="4"/>
      <c r="L43" s="10"/>
      <c r="N43" s="55"/>
      <c r="O43" s="10"/>
    </row>
    <row r="44" spans="1:15" ht="12.75" customHeight="1" x14ac:dyDescent="0.25">
      <c r="A44" s="7" t="s">
        <v>7</v>
      </c>
      <c r="B44" s="57"/>
      <c r="C44" s="57"/>
      <c r="D44" s="58"/>
      <c r="E44" s="58"/>
      <c r="F44" s="58"/>
      <c r="G44" s="58"/>
      <c r="H44" s="58"/>
      <c r="I44" s="56" t="s">
        <v>8</v>
      </c>
      <c r="J44" s="58"/>
      <c r="K44" s="4"/>
    </row>
    <row r="45" spans="1:15" s="72" customFormat="1" ht="15" customHeight="1" x14ac:dyDescent="0.25">
      <c r="K45" s="73"/>
    </row>
    <row r="46" spans="1:15" s="72" customFormat="1" ht="12" x14ac:dyDescent="0.25"/>
  </sheetData>
  <mergeCells count="16">
    <mergeCell ref="A1:I1"/>
    <mergeCell ref="A2:I2"/>
    <mergeCell ref="A3:I3"/>
    <mergeCell ref="A4:A5"/>
    <mergeCell ref="B4:B5"/>
    <mergeCell ref="C4:E4"/>
    <mergeCell ref="F4:H4"/>
    <mergeCell ref="I4:I5"/>
    <mergeCell ref="A25:I25"/>
    <mergeCell ref="A26:I26"/>
    <mergeCell ref="A27:I27"/>
    <mergeCell ref="A28:A29"/>
    <mergeCell ref="B28:B29"/>
    <mergeCell ref="C28:E28"/>
    <mergeCell ref="F28:H28"/>
    <mergeCell ref="I28:I29"/>
  </mergeCells>
  <pageMargins left="0.7" right="0.7" top="0.75" bottom="0.75" header="0.3" footer="0.3"/>
  <pageSetup scale="63" orientation="portrait" r:id="rId1"/>
  <ignoredErrors>
    <ignoredError sqref="B31:B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</vt:lpstr>
      <vt:lpstr>'11.23'!Print_Area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2023-07-17T08:18:14Z</cp:lastPrinted>
  <dcterms:created xsi:type="dcterms:W3CDTF">2019-03-24T03:32:16Z</dcterms:created>
  <dcterms:modified xsi:type="dcterms:W3CDTF">2023-07-17T08:18:19Z</dcterms:modified>
</cp:coreProperties>
</file>