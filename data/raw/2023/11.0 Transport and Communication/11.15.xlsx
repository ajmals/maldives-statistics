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2947D4D4-D76D-4CD0-8072-578AE059FB0B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11.15" sheetId="3" r:id="rId1"/>
  </sheets>
  <externalReferences>
    <externalReference r:id="rId2"/>
    <externalReference r:id="rId3"/>
  </externalReferences>
  <definedNames>
    <definedName name="_xlnm.Print_Area" localSheetId="0">'11.15'!$A$1:$G$42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E28" i="3" l="1"/>
  <c r="D28" i="3"/>
  <c r="C28" i="3"/>
  <c r="B28" i="3"/>
</calcChain>
</file>

<file path=xl/sharedStrings.xml><?xml version="1.0" encoding="utf-8"?>
<sst xmlns="http://schemas.openxmlformats.org/spreadsheetml/2006/main" count="76" uniqueCount="38">
  <si>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</si>
  <si>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</si>
  <si>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</si>
  <si>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</si>
  <si>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</si>
  <si>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</si>
  <si>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</si>
  <si>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</si>
  <si>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</si>
  <si>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</si>
  <si>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</si>
  <si>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</si>
  <si>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</si>
  <si>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</si>
  <si>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</si>
  <si>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</si>
  <si>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</si>
  <si>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</si>
  <si>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</si>
  <si>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</si>
  <si>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</si>
  <si>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</si>
  <si>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</si>
  <si>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</si>
  <si>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</si>
  <si>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</si>
  <si>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</si>
  <si>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</si>
  <si>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</si>
  <si>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</si>
  <si>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</si>
  <si>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</si>
  <si>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</si>
  <si>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</si>
  <si>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11.15: މަސްމަހުގެ ގޮތުން މާފަރު ބައިނަލްއަޤްވާމީ ވައިގެ ބަނދަރުގައި ފަސިންޖަރުންގެ ދަތުރުފަތުރު ހުރިގޮތް، 2021</t>
  </si>
  <si>
    <t>Table  11.15 :  PASSENGER MOVEMENT AT MAAFARU INTERNATIONAL AIRPORT BY MONTH, 2021</t>
  </si>
  <si>
    <t>Table  11.15 :  PASSENGER MOVEMENT AT MAAFARU INTERNATIONAL AIRPORT BY MONTH, 2022</t>
  </si>
  <si>
    <t>ތާވަލް 11.15: މަސްމަހުގެ ގޮތުން މާފަރު ބައިނަލްއަޤްވާމީ ވައިގެ ބަނދަރުގައި ފަސިންޖަރުންގެ ދަތުރުފަތުރު ހުރިގޮތް،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</si>
</sst>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6" fillId="0" borderId="0" applyFont="0" applyFill="0" applyBorder="0" applyAlignment="0" applyProtection="0"/>
    <xf numFmtId="0" fontId="3" fillId="0" borderId="0"/>
    <xf numFmtId="0" fontId="1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18" fillId="0" borderId="0"/>
    <xf numFmtId="43" fontId="3" fillId="0" borderId="0" applyFont="0" applyFill="0" applyBorder="0" applyAlignment="0" applyProtection="0"/>
    <xf numFmtId="0" fontId="3" fillId="0" borderId="0"/>
  </cellStyleXfs>
  <cellXfs count="38">
    <xf numFmtId="0" fontId="0" fillId="0" borderId="0" xfId="0"/>
    <xf numFmtId="164" fontId="0" fillId="2" borderId="0" xfId="0" applyNumberFormat="1" applyFill="1"/>
    <xf numFmtId="38" fontId="5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37" fontId="9" fillId="2" borderId="0" xfId="2" applyNumberFormat="1" applyFont="1" applyFill="1" applyAlignment="1">
      <alignment vertical="center"/>
    </xf>
    <xf numFmtId="0" fontId="10" fillId="2" borderId="0" xfId="4" applyFont="1" applyFill="1" applyAlignment="1">
      <alignment vertical="center"/>
    </xf>
    <xf numFmtId="164" fontId="4" fillId="2" borderId="0" xfId="2" applyFont="1" applyFill="1" applyAlignment="1">
      <alignment horizontal="right" vertical="center"/>
    </xf>
    <xf numFmtId="164" fontId="4" fillId="2" borderId="6" xfId="2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164" fontId="4" fillId="2" borderId="9" xfId="2" applyFont="1" applyFill="1" applyBorder="1" applyAlignment="1">
      <alignment horizontal="right" vertical="center"/>
    </xf>
    <xf numFmtId="164" fontId="4" fillId="2" borderId="4" xfId="2" applyFont="1" applyFill="1" applyBorder="1" applyAlignment="1">
      <alignment horizontal="left" vertical="center"/>
    </xf>
    <xf numFmtId="3" fontId="4" fillId="2" borderId="4" xfId="2" applyNumberFormat="1" applyFont="1" applyFill="1" applyBorder="1" applyAlignment="1">
      <alignment horizontal="right" vertical="center"/>
    </xf>
    <xf numFmtId="3" fontId="4" fillId="2" borderId="10" xfId="2" applyNumberFormat="1" applyFont="1" applyFill="1" applyBorder="1" applyAlignment="1">
      <alignment horizontal="right" vertical="center"/>
    </xf>
    <xf numFmtId="3" fontId="9" fillId="2" borderId="0" xfId="4" applyNumberFormat="1" applyFont="1" applyFill="1" applyAlignment="1">
      <alignment horizontal="right" vertical="center"/>
    </xf>
    <xf numFmtId="3" fontId="9" fillId="2" borderId="0" xfId="2" applyNumberFormat="1" applyFont="1" applyFill="1" applyAlignment="1" applyProtection="1">
      <alignment horizontal="right" vertical="center"/>
      <protection locked="0"/>
    </xf>
    <xf numFmtId="3" fontId="9" fillId="2" borderId="9" xfId="2" applyNumberFormat="1" applyFont="1" applyFill="1" applyBorder="1" applyAlignment="1" applyProtection="1">
      <alignment horizontal="right" vertical="center"/>
      <protection locked="0"/>
    </xf>
    <xf numFmtId="3" fontId="9" fillId="2" borderId="0" xfId="4" applyNumberFormat="1" applyFont="1" applyFill="1" applyAlignment="1">
      <alignment horizontal="right" vertical="center" wrapText="1"/>
    </xf>
    <xf numFmtId="3" fontId="9" fillId="2" borderId="11" xfId="2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Alignment="1">
      <alignment horizontal="right" vertical="center"/>
    </xf>
    <xf numFmtId="3" fontId="9" fillId="2" borderId="13" xfId="4" applyNumberFormat="1" applyFont="1" applyFill="1" applyBorder="1" applyAlignment="1">
      <alignment horizontal="right" vertical="center"/>
    </xf>
    <xf numFmtId="3" fontId="9" fillId="2" borderId="13" xfId="2" applyNumberFormat="1" applyFont="1" applyFill="1" applyBorder="1" applyAlignment="1" applyProtection="1">
      <alignment horizontal="right" vertical="center"/>
      <protection locked="0"/>
    </xf>
    <xf numFmtId="0" fontId="17" fillId="2" borderId="0" xfId="5" applyFont="1" applyFill="1" applyAlignment="1">
      <alignment horizontal="right"/>
    </xf>
    <xf numFmtId="0" fontId="17" fillId="2" borderId="13" xfId="5" applyFont="1" applyFill="1" applyBorder="1" applyAlignment="1">
      <alignment horizontal="right"/>
    </xf>
    <xf numFmtId="0" fontId="15" fillId="2" borderId="4" xfId="5" applyFont="1" applyFill="1" applyBorder="1" applyAlignment="1">
      <alignment horizontal="right"/>
    </xf>
    <xf numFmtId="0" fontId="7" fillId="2" borderId="12" xfId="0" applyFont="1" applyFill="1" applyBorder="1" applyAlignment="1">
      <alignment horizontal="right" vertical="center"/>
    </xf>
    <xf numFmtId="0" fontId="3" fillId="2" borderId="0" xfId="0" applyFont="1" applyFill="1" applyAlignment="1" applyProtection="1">
      <alignment vertical="center"/>
      <protection hidden="1"/>
    </xf>
    <xf numFmtId="169" fontId="11" fillId="2" borderId="0" xfId="1" applyNumberFormat="1" applyFont="1" applyFill="1" applyBorder="1" applyAlignment="1" applyProtection="1">
      <alignment vertical="center"/>
      <protection locked="0"/>
    </xf>
    <xf numFmtId="164" fontId="9" fillId="2" borderId="0" xfId="2" applyFont="1" applyFill="1" applyAlignment="1">
      <alignment horizontal="left" vertical="center" indent="1"/>
    </xf>
    <xf numFmtId="164" fontId="9" fillId="2" borderId="13" xfId="2" applyFont="1" applyFill="1" applyBorder="1" applyAlignment="1">
      <alignment horizontal="left" vertical="center" inden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4" fontId="12" fillId="2" borderId="3" xfId="2" applyFont="1" applyFill="1" applyBorder="1" applyAlignment="1">
      <alignment horizontal="center" vertical="top"/>
    </xf>
    <xf numFmtId="164" fontId="5" fillId="2" borderId="4" xfId="2" applyFont="1" applyFill="1" applyBorder="1" applyAlignment="1">
      <alignment horizontal="left" vertical="center"/>
    </xf>
    <xf numFmtId="164" fontId="5" fillId="2" borderId="0" xfId="2" applyFont="1" applyFill="1" applyAlignment="1">
      <alignment horizontal="left" vertical="center"/>
    </xf>
    <xf numFmtId="164" fontId="4" fillId="2" borderId="5" xfId="2" applyFont="1" applyFill="1" applyBorder="1" applyAlignment="1">
      <alignment horizontal="center" vertical="center"/>
    </xf>
    <xf numFmtId="164" fontId="4" fillId="2" borderId="8" xfId="2" applyFont="1" applyFill="1" applyBorder="1" applyAlignment="1">
      <alignment horizontal="center" vertical="center"/>
    </xf>
    <xf numFmtId="0" fontId="15" fillId="2" borderId="4" xfId="5" applyFont="1" applyFill="1" applyBorder="1" applyAlignment="1">
      <alignment horizontal="right" vertical="center"/>
    </xf>
    <xf numFmtId="0" fontId="15" fillId="2" borderId="0" xfId="5" applyFont="1" applyFill="1" applyAlignment="1">
      <alignment horizontal="right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42"/>
  <sheetViews>
    <sheetView tabSelected="1" zoomScale="148" zoomScaleNormal="148" workbookViewId="0">
      <selection activeCell="F50" sqref="F50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9" ht="16.5" customHeight="1" x14ac:dyDescent="0.25">
      <c r="H1" s="5"/>
      <c r="I1" s="5"/>
    </row>
    <row r="2" spans="1:9" ht="16.5" customHeight="1" x14ac:dyDescent="0.25">
      <c r="A2" s="29" t="s">
        <v>37</v>
      </c>
      <c r="B2" s="30"/>
      <c r="C2" s="30"/>
      <c r="D2" s="30"/>
      <c r="E2" s="30"/>
      <c r="F2" s="30"/>
      <c r="H2" s="5"/>
      <c r="I2" s="5"/>
    </row>
    <row r="3" spans="1:9" ht="16.5" customHeight="1" x14ac:dyDescent="0.25">
      <c r="A3" s="31" t="s">
        <v>36</v>
      </c>
      <c r="B3" s="31"/>
      <c r="C3" s="31"/>
      <c r="D3" s="31"/>
      <c r="E3" s="31"/>
      <c r="F3" s="31"/>
      <c r="H3" s="5"/>
      <c r="I3" s="5"/>
    </row>
    <row r="4" spans="1:9" ht="16.5" customHeight="1" x14ac:dyDescent="0.25">
      <c r="H4" s="5"/>
      <c r="I4" s="5"/>
    </row>
    <row r="5" spans="1:9" ht="16.5" customHeight="1" x14ac:dyDescent="0.25">
      <c r="A5" s="32" t="s">
        <v>5</v>
      </c>
      <c r="B5" s="34" t="s">
        <v>2</v>
      </c>
      <c r="C5" s="34"/>
      <c r="D5" s="35" t="s">
        <v>6</v>
      </c>
      <c r="E5" s="34"/>
      <c r="F5" s="36" t="s">
        <v>7</v>
      </c>
      <c r="H5" s="5"/>
      <c r="I5" s="5"/>
    </row>
    <row r="6" spans="1:9" ht="16.5" customHeight="1" x14ac:dyDescent="0.25">
      <c r="A6" s="33"/>
      <c r="B6" s="6" t="s">
        <v>8</v>
      </c>
      <c r="C6" s="6" t="s">
        <v>9</v>
      </c>
      <c r="D6" s="9" t="s">
        <v>8</v>
      </c>
      <c r="E6" s="7" t="s">
        <v>9</v>
      </c>
      <c r="F6" s="37"/>
      <c r="H6" s="5"/>
      <c r="I6" s="5"/>
    </row>
    <row r="7" spans="1:9" ht="16.5" customHeight="1" x14ac:dyDescent="0.4">
      <c r="A7" s="10" t="s">
        <v>0</v>
      </c>
      <c r="B7" s="11">
        <f>SUM(B8:B19)</f>
        <v>1516</v>
      </c>
      <c r="C7" s="11">
        <f>SUM(C8:C19)</f>
        <v>1302</v>
      </c>
      <c r="D7" s="12">
        <f>SUM(D8:D19)</f>
        <v>33989</v>
      </c>
      <c r="E7" s="11">
        <f>SUM(E8:E19)</f>
        <v>31836</v>
      </c>
      <c r="F7" s="23" t="s">
        <v>1</v>
      </c>
      <c r="H7" s="5"/>
      <c r="I7" s="5"/>
    </row>
    <row r="8" spans="1:9" ht="16.5" customHeight="1" x14ac:dyDescent="0.4">
      <c r="A8" s="27" t="s">
        <v>10</v>
      </c>
      <c r="B8" s="13">
        <v>202</v>
      </c>
      <c r="C8" s="14">
        <v>302</v>
      </c>
      <c r="D8" s="15">
        <v>3456</v>
      </c>
      <c r="E8" s="14">
        <v>2971</v>
      </c>
      <c r="F8" s="21" t="s">
        <v>11</v>
      </c>
      <c r="H8" s="5"/>
      <c r="I8" s="5"/>
    </row>
    <row r="9" spans="1:9" ht="16.5" customHeight="1" x14ac:dyDescent="0.4">
      <c r="A9" s="27" t="s">
        <v>12</v>
      </c>
      <c r="B9" s="13">
        <v>321</v>
      </c>
      <c r="C9" s="14">
        <v>294</v>
      </c>
      <c r="D9" s="15">
        <v>2859</v>
      </c>
      <c r="E9" s="14">
        <v>2506</v>
      </c>
      <c r="F9" s="21" t="s">
        <v>13</v>
      </c>
      <c r="H9" s="5"/>
      <c r="I9" s="5"/>
    </row>
    <row r="10" spans="1:9" ht="16.5" customHeight="1" x14ac:dyDescent="0.4">
      <c r="A10" s="27" t="s">
        <v>14</v>
      </c>
      <c r="B10" s="13">
        <v>192</v>
      </c>
      <c r="C10" s="14">
        <v>5</v>
      </c>
      <c r="D10" s="15">
        <v>3744</v>
      </c>
      <c r="E10" s="14">
        <v>3510</v>
      </c>
      <c r="F10" s="21" t="s">
        <v>15</v>
      </c>
      <c r="H10" s="5"/>
      <c r="I10" s="5"/>
    </row>
    <row r="11" spans="1:9" ht="16.5" customHeight="1" x14ac:dyDescent="0.4">
      <c r="A11" s="27" t="s">
        <v>16</v>
      </c>
      <c r="B11" s="16">
        <v>228</v>
      </c>
      <c r="C11" s="14">
        <v>194</v>
      </c>
      <c r="D11" s="15">
        <v>2806</v>
      </c>
      <c r="E11" s="14">
        <v>2231</v>
      </c>
      <c r="F11" s="21" t="s">
        <v>17</v>
      </c>
      <c r="H11" s="5"/>
      <c r="I11" s="5"/>
    </row>
    <row r="12" spans="1:9" ht="16.5" customHeight="1" x14ac:dyDescent="0.4">
      <c r="A12" s="27" t="s">
        <v>18</v>
      </c>
      <c r="B12" s="13">
        <v>29</v>
      </c>
      <c r="C12" s="14">
        <v>104</v>
      </c>
      <c r="D12" s="15">
        <v>2917</v>
      </c>
      <c r="E12" s="14">
        <v>3398</v>
      </c>
      <c r="F12" s="21" t="s">
        <v>19</v>
      </c>
      <c r="H12" s="5"/>
      <c r="I12" s="5"/>
    </row>
    <row r="13" spans="1:9" ht="16.5" customHeight="1" x14ac:dyDescent="0.4">
      <c r="A13" s="27" t="s">
        <v>20</v>
      </c>
      <c r="B13" s="13">
        <v>11</v>
      </c>
      <c r="C13" s="14">
        <v>12</v>
      </c>
      <c r="D13" s="15">
        <v>2328</v>
      </c>
      <c r="E13" s="14">
        <v>2156</v>
      </c>
      <c r="F13" s="21" t="s">
        <v>21</v>
      </c>
      <c r="H13" s="5"/>
      <c r="I13" s="5"/>
    </row>
    <row r="14" spans="1:9" ht="16.5" customHeight="1" x14ac:dyDescent="0.4">
      <c r="A14" s="27" t="s">
        <v>22</v>
      </c>
      <c r="B14" s="16">
        <v>46</v>
      </c>
      <c r="C14" s="14">
        <v>37</v>
      </c>
      <c r="D14" s="15">
        <v>3054</v>
      </c>
      <c r="E14" s="14">
        <v>2926</v>
      </c>
      <c r="F14" s="21" t="s">
        <v>23</v>
      </c>
      <c r="H14" s="5"/>
      <c r="I14" s="5"/>
    </row>
    <row r="15" spans="1:9" ht="16.5" customHeight="1" x14ac:dyDescent="0.4">
      <c r="A15" s="27" t="s">
        <v>24</v>
      </c>
      <c r="B15" s="13">
        <v>63</v>
      </c>
      <c r="C15" s="14">
        <v>72</v>
      </c>
      <c r="D15" s="15">
        <v>2546</v>
      </c>
      <c r="E15" s="14">
        <v>2531</v>
      </c>
      <c r="F15" s="21" t="s">
        <v>25</v>
      </c>
      <c r="H15" s="5"/>
      <c r="I15" s="5"/>
    </row>
    <row r="16" spans="1:9" ht="16.5" customHeight="1" x14ac:dyDescent="0.4">
      <c r="A16" s="27" t="s">
        <v>26</v>
      </c>
      <c r="B16" s="13">
        <v>22</v>
      </c>
      <c r="C16" s="14">
        <v>14</v>
      </c>
      <c r="D16" s="15">
        <v>2270</v>
      </c>
      <c r="E16" s="14">
        <v>2176</v>
      </c>
      <c r="F16" s="21" t="s">
        <v>27</v>
      </c>
      <c r="H16" s="5"/>
      <c r="I16" s="5"/>
    </row>
    <row r="17" spans="1:9" ht="16.5" customHeight="1" x14ac:dyDescent="0.4">
      <c r="A17" s="27" t="s">
        <v>28</v>
      </c>
      <c r="B17" s="13">
        <v>120</v>
      </c>
      <c r="C17" s="14">
        <v>82</v>
      </c>
      <c r="D17" s="15">
        <v>2656</v>
      </c>
      <c r="E17" s="14">
        <v>2349</v>
      </c>
      <c r="F17" s="21" t="s">
        <v>29</v>
      </c>
      <c r="H17" s="5"/>
      <c r="I17" s="5"/>
    </row>
    <row r="18" spans="1:9" ht="16.5" customHeight="1" x14ac:dyDescent="0.4">
      <c r="A18" s="27" t="s">
        <v>30</v>
      </c>
      <c r="B18" s="13">
        <v>51</v>
      </c>
      <c r="C18" s="14">
        <v>104</v>
      </c>
      <c r="D18" s="15">
        <v>2385</v>
      </c>
      <c r="E18" s="14">
        <v>2304</v>
      </c>
      <c r="F18" s="21" t="s">
        <v>31</v>
      </c>
      <c r="H18" s="5"/>
      <c r="I18" s="5"/>
    </row>
    <row r="19" spans="1:9" ht="16.5" customHeight="1" x14ac:dyDescent="0.4">
      <c r="A19" s="28" t="s">
        <v>32</v>
      </c>
      <c r="B19" s="19">
        <v>231</v>
      </c>
      <c r="C19" s="20">
        <v>82</v>
      </c>
      <c r="D19" s="17">
        <v>2968</v>
      </c>
      <c r="E19" s="20">
        <v>2778</v>
      </c>
      <c r="F19" s="22" t="s">
        <v>33</v>
      </c>
      <c r="H19" s="5"/>
      <c r="I19" s="5"/>
    </row>
    <row r="20" spans="1:9" ht="16.5" customHeight="1" x14ac:dyDescent="0.25">
      <c r="A20" s="3" t="s">
        <v>3</v>
      </c>
      <c r="B20" s="2"/>
      <c r="C20" s="2"/>
      <c r="D20" s="4"/>
      <c r="F20" s="8" t="s">
        <v>4</v>
      </c>
      <c r="H20" s="5"/>
      <c r="I20" s="5"/>
    </row>
    <row r="21" spans="1:9" ht="16.5" customHeight="1" x14ac:dyDescent="0.25">
      <c r="A21" s="3"/>
      <c r="B21" s="2"/>
      <c r="C21" s="2"/>
      <c r="D21" s="4"/>
      <c r="F21" s="18"/>
      <c r="H21" s="5"/>
      <c r="I21" s="5"/>
    </row>
    <row r="22" spans="1:9" ht="18.75" x14ac:dyDescent="0.25">
      <c r="A22" s="3"/>
      <c r="B22" s="2"/>
      <c r="C22" s="2"/>
      <c r="D22" s="4"/>
      <c r="F22" s="24"/>
    </row>
    <row r="23" spans="1:9" ht="21" x14ac:dyDescent="0.25">
      <c r="A23" s="29" t="s">
        <v>34</v>
      </c>
      <c r="B23" s="30"/>
      <c r="C23" s="30"/>
      <c r="D23" s="30"/>
      <c r="E23" s="30"/>
      <c r="F23" s="30"/>
    </row>
    <row r="24" spans="1:9" x14ac:dyDescent="0.25">
      <c r="A24" s="31" t="s">
        <v>35</v>
      </c>
      <c r="B24" s="31"/>
      <c r="C24" s="31"/>
      <c r="D24" s="31"/>
      <c r="E24" s="31"/>
      <c r="F24" s="31"/>
    </row>
    <row r="26" spans="1:9" ht="15" customHeight="1" x14ac:dyDescent="0.25">
      <c r="A26" s="32" t="s">
        <v>5</v>
      </c>
      <c r="B26" s="34" t="s">
        <v>2</v>
      </c>
      <c r="C26" s="34"/>
      <c r="D26" s="35" t="s">
        <v>6</v>
      </c>
      <c r="E26" s="34"/>
      <c r="F26" s="36" t="s">
        <v>7</v>
      </c>
    </row>
    <row r="27" spans="1:9" ht="15" customHeight="1" x14ac:dyDescent="0.25">
      <c r="A27" s="33"/>
      <c r="B27" s="6" t="s">
        <v>8</v>
      </c>
      <c r="C27" s="6" t="s">
        <v>9</v>
      </c>
      <c r="D27" s="9" t="s">
        <v>8</v>
      </c>
      <c r="E27" s="7" t="s">
        <v>9</v>
      </c>
      <c r="F27" s="37"/>
    </row>
    <row r="28" spans="1:9" ht="17.25" x14ac:dyDescent="0.4">
      <c r="A28" s="10" t="s">
        <v>0</v>
      </c>
      <c r="B28" s="11">
        <f>SUM(B29:B40)</f>
        <v>2379</v>
      </c>
      <c r="C28" s="11">
        <f>SUM(C29:C40)</f>
        <v>1679</v>
      </c>
      <c r="D28" s="12">
        <f>SUM(D29:D40)</f>
        <v>17193</v>
      </c>
      <c r="E28" s="11">
        <f>SUM(E29:E40)</f>
        <v>16141</v>
      </c>
      <c r="F28" s="23" t="s">
        <v>1</v>
      </c>
    </row>
    <row r="29" spans="1:9" ht="17.25" x14ac:dyDescent="0.4">
      <c r="A29" s="27" t="s">
        <v>10</v>
      </c>
      <c r="B29" s="13">
        <v>269</v>
      </c>
      <c r="C29" s="14">
        <v>384</v>
      </c>
      <c r="D29" s="15">
        <v>894</v>
      </c>
      <c r="E29" s="14">
        <v>1113</v>
      </c>
      <c r="F29" s="21" t="s">
        <v>11</v>
      </c>
    </row>
    <row r="30" spans="1:9" ht="17.25" x14ac:dyDescent="0.4">
      <c r="A30" s="27" t="s">
        <v>12</v>
      </c>
      <c r="B30" s="13">
        <v>243</v>
      </c>
      <c r="C30" s="14">
        <v>196</v>
      </c>
      <c r="D30" s="15">
        <v>719</v>
      </c>
      <c r="E30" s="14">
        <v>591</v>
      </c>
      <c r="F30" s="21" t="s">
        <v>13</v>
      </c>
    </row>
    <row r="31" spans="1:9" ht="17.25" x14ac:dyDescent="0.4">
      <c r="A31" s="27" t="s">
        <v>14</v>
      </c>
      <c r="B31" s="13">
        <v>380</v>
      </c>
      <c r="C31" s="14">
        <v>5</v>
      </c>
      <c r="D31" s="15">
        <v>829</v>
      </c>
      <c r="E31" s="14">
        <v>778</v>
      </c>
      <c r="F31" s="21" t="s">
        <v>15</v>
      </c>
    </row>
    <row r="32" spans="1:9" ht="17.25" x14ac:dyDescent="0.4">
      <c r="A32" s="27" t="s">
        <v>16</v>
      </c>
      <c r="B32" s="16">
        <v>311</v>
      </c>
      <c r="C32" s="14">
        <v>310</v>
      </c>
      <c r="D32" s="15">
        <v>751</v>
      </c>
      <c r="E32" s="14">
        <v>701</v>
      </c>
      <c r="F32" s="21" t="s">
        <v>17</v>
      </c>
    </row>
    <row r="33" spans="1:10" ht="17.25" x14ac:dyDescent="0.4">
      <c r="A33" s="27" t="s">
        <v>18</v>
      </c>
      <c r="B33" s="13">
        <v>121</v>
      </c>
      <c r="C33" s="14">
        <v>151</v>
      </c>
      <c r="D33" s="15">
        <v>484</v>
      </c>
      <c r="E33" s="14">
        <v>500</v>
      </c>
      <c r="F33" s="21" t="s">
        <v>19</v>
      </c>
    </row>
    <row r="34" spans="1:10" ht="17.25" x14ac:dyDescent="0.4">
      <c r="A34" s="27" t="s">
        <v>20</v>
      </c>
      <c r="B34" s="13">
        <v>2</v>
      </c>
      <c r="C34" s="14">
        <v>25</v>
      </c>
      <c r="D34" s="15">
        <v>691</v>
      </c>
      <c r="E34" s="14">
        <v>662</v>
      </c>
      <c r="F34" s="21" t="s">
        <v>21</v>
      </c>
    </row>
    <row r="35" spans="1:10" ht="17.25" x14ac:dyDescent="0.4">
      <c r="A35" s="27" t="s">
        <v>22</v>
      </c>
      <c r="B35" s="16">
        <v>97</v>
      </c>
      <c r="C35" s="14">
        <v>46</v>
      </c>
      <c r="D35" s="15">
        <v>1617</v>
      </c>
      <c r="E35" s="14">
        <v>1370</v>
      </c>
      <c r="F35" s="21" t="s">
        <v>23</v>
      </c>
    </row>
    <row r="36" spans="1:10" ht="17.25" x14ac:dyDescent="0.4">
      <c r="A36" s="27" t="s">
        <v>24</v>
      </c>
      <c r="B36" s="13">
        <v>168</v>
      </c>
      <c r="C36" s="14">
        <v>134</v>
      </c>
      <c r="D36" s="15">
        <v>1284</v>
      </c>
      <c r="E36" s="14">
        <v>1565</v>
      </c>
      <c r="F36" s="21" t="s">
        <v>25</v>
      </c>
      <c r="J36" s="25"/>
    </row>
    <row r="37" spans="1:10" ht="17.25" x14ac:dyDescent="0.4">
      <c r="A37" s="27" t="s">
        <v>26</v>
      </c>
      <c r="B37" s="13">
        <v>30</v>
      </c>
      <c r="C37" s="14">
        <v>29</v>
      </c>
      <c r="D37" s="15">
        <v>1249</v>
      </c>
      <c r="E37" s="14">
        <v>1231</v>
      </c>
      <c r="F37" s="21" t="s">
        <v>27</v>
      </c>
      <c r="J37" s="26"/>
    </row>
    <row r="38" spans="1:10" ht="17.25" x14ac:dyDescent="0.4">
      <c r="A38" s="27" t="s">
        <v>28</v>
      </c>
      <c r="B38" s="13">
        <v>203</v>
      </c>
      <c r="C38" s="14">
        <v>58</v>
      </c>
      <c r="D38" s="15">
        <v>1883</v>
      </c>
      <c r="E38" s="14">
        <v>1636</v>
      </c>
      <c r="F38" s="21" t="s">
        <v>29</v>
      </c>
      <c r="J38" s="26"/>
    </row>
    <row r="39" spans="1:10" ht="17.25" x14ac:dyDescent="0.4">
      <c r="A39" s="27" t="s">
        <v>30</v>
      </c>
      <c r="B39" s="13">
        <v>146</v>
      </c>
      <c r="C39" s="14">
        <v>126</v>
      </c>
      <c r="D39" s="15">
        <v>2913</v>
      </c>
      <c r="E39" s="14">
        <v>2373</v>
      </c>
      <c r="F39" s="21" t="s">
        <v>31</v>
      </c>
      <c r="J39" s="26"/>
    </row>
    <row r="40" spans="1:10" ht="17.25" x14ac:dyDescent="0.4">
      <c r="A40" s="28" t="s">
        <v>32</v>
      </c>
      <c r="B40" s="19">
        <v>409</v>
      </c>
      <c r="C40" s="20">
        <v>215</v>
      </c>
      <c r="D40" s="17">
        <v>3879</v>
      </c>
      <c r="E40" s="20">
        <v>3621</v>
      </c>
      <c r="F40" s="22" t="s">
        <v>33</v>
      </c>
      <c r="J40" s="26"/>
    </row>
    <row r="41" spans="1:10" ht="18.75" x14ac:dyDescent="0.25">
      <c r="A41" s="3" t="s">
        <v>3</v>
      </c>
      <c r="B41" s="2"/>
      <c r="C41" s="2"/>
      <c r="D41" s="4"/>
      <c r="F41" s="8" t="s">
        <v>4</v>
      </c>
      <c r="J41" s="26"/>
    </row>
    <row r="42" spans="1:10" ht="18.75" x14ac:dyDescent="0.25">
      <c r="A42" s="3"/>
      <c r="B42" s="2"/>
      <c r="C42" s="2"/>
      <c r="D42" s="4"/>
      <c r="F42" s="18"/>
      <c r="J42" s="26"/>
    </row>
  </sheetData>
  <mergeCells count="12">
    <mergeCell ref="A23:F23"/>
    <mergeCell ref="A24:F24"/>
    <mergeCell ref="A26:A27"/>
    <mergeCell ref="B26:C26"/>
    <mergeCell ref="D26:E26"/>
    <mergeCell ref="F26:F27"/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J37:J42" xr:uid="{00000000-0002-0000-0200-000000000000}">
      <formula1>0</formula1>
      <formula2>1000</formula2>
    </dataValidation>
  </dataValidations>
  <pageMargins left="0.7" right="0.7" top="0.75" bottom="0.75" header="0.3" footer="0.3"/>
  <pageSetup scale="85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2023-07-17T08:06:17Z</cp:lastPrinted>
  <dcterms:created xsi:type="dcterms:W3CDTF">2019-03-24T03:32:16Z</dcterms:created>
  <dcterms:modified xsi:type="dcterms:W3CDTF">2023-07-17T08:06:23Z</dcterms:modified>
</cp:coreProperties>
</file>