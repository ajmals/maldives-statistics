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DA3AEFEF-1BEB-44BB-A1B8-CE68D83FDF09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2" sheetId="7" r:id="rId2"/>
  </sheets>
  <externalReferences>
    <externalReference r:id="rId3"/>
    <externalReference r:id="rId4"/>
  </externalReferences>
  <definedNames>
    <definedName name="_xlnm.Print_Area" localSheetId="1">'11.22'!$A$1:$J$44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7" l="1"/>
  <c r="B39" i="7"/>
  <c r="B38" i="7"/>
  <c r="B37" i="7"/>
  <c r="B36" i="7"/>
  <c r="B35" i="7"/>
  <c r="B34" i="7"/>
  <c r="B33" i="7"/>
  <c r="B32" i="7"/>
  <c r="B31" i="7"/>
  <c r="B30" i="7"/>
  <c r="B29" i="7"/>
  <c r="H28" i="7"/>
  <c r="G28" i="7"/>
  <c r="F28" i="7"/>
  <c r="E28" i="7"/>
  <c r="D28" i="7"/>
  <c r="C28" i="7"/>
  <c r="B28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9" i="7" l="1"/>
  <c r="B18" i="7"/>
  <c r="B17" i="7"/>
  <c r="B16" i="7"/>
  <c r="B15" i="7"/>
  <c r="B14" i="7"/>
  <c r="B13" i="7"/>
  <c r="B12" i="7"/>
  <c r="B11" i="7"/>
  <c r="B10" i="7"/>
  <c r="B9" i="7"/>
  <c r="B8" i="7"/>
  <c r="H7" i="7"/>
  <c r="G7" i="7"/>
  <c r="F7" i="7"/>
  <c r="E7" i="7"/>
  <c r="D7" i="7"/>
  <c r="C7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7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<sst xmlns="http://schemas.openxmlformats.org/spreadsheetml/2006/main" count="261" uniqueCount="78">
  <si>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</si>
  <si>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</si>
  <si>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</si>
  <si>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</si>
  <si>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</si>
  <si>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</si>
  <si>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</si>
  <si>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</si>
  <si>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</si>
  <si>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</si>
  <si>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</si>
  <si>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</si>
  <si>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</si>
  <si>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</si>
  <si>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</si>
  <si>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</si>
  <si>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</si>
  <si>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</si>
  <si>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</si>
  <si>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</si>
  <si>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</si>
  <si>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</si>
  <si>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</si>
  <si>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</si>
  <si>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</si>
  <si>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</si>
  <si>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</si>
  <si>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</si>
  <si>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</si>
  <si>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</si>
  <si>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</si>
  <si>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</si>
  <si>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</si>
  <si>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</si>
  <si>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</si>
  <si>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</si>
  <si>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</si>
  <si>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</si>
  <si>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</si>
  <si>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</si>
  <si>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</si>
  <si>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</si>
  <si>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</si>
  <si>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</si>
  <si>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</si>
  <si>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</si>
  <si>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</si>
  <si>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</si>
  <si>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</si>
  <si>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</si>
  <si>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</si>
  <si>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</si>
  <si>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</si>
  <si>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</si>
  <si>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</si>
  <si>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</si>
  <si>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</si>
  <si>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</si>
  <si>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</si>
  <si>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</si>
  <si>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</si>
  <si>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</si>
  <si>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</si>
  <si>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</si>
  <si>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</si>
  <si>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</si>
  <si>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</si>
  <si>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</si>
  <si>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</si>
  <si>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</si>
  <si>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</si>
  <si>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</si>
  <si>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</si>
  <si>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</si>
  <si>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11.22: މަސްމަހުގެ ގޮތުން އިބްރާހީމް ނާސިރު އިންޓަރނޭޝަނަލް އެއަރޕޯޓުގައި ފަސިންޖަރުންގެ ދަތުރުފަތުރު ހުރި ގޮތް، 2022</t>
  </si>
  <si>
    <t>Table  11.22 :  CARGO HANDLED AT IBRAHIM NASIR INTERNATIONAL AIRPORT BY MONTH, 2022</t>
  </si>
  <si>
    <t>ތާވަލު 11.22: މަސްމަހުގެ ގޮތުން އިބްރާހީމް ނާސިރު އިންޓަރނޭޝަނަލް އެއަރޕޯޓުގައި ފަސިންޖަރުންގެ ދަތުރުފަތުރު ހުރި ގޮތް، 2021</t>
  </si>
  <si>
    <t>Table  11.22 :  CARGO HANDLED AT IBRAHIM NASIR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</si>
</sst>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6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0" fontId="8" fillId="2" borderId="0" xfId="6" applyFont="1" applyFill="1" applyAlignment="1">
      <alignment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5" fillId="2" borderId="8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7" fontId="14" fillId="2" borderId="0" xfId="2" applyNumberFormat="1" applyFont="1" applyFill="1" applyAlignment="1">
      <alignment vertical="top"/>
    </xf>
    <xf numFmtId="164" fontId="5" fillId="2" borderId="41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4" fillId="2" borderId="41" xfId="2" applyFont="1" applyFill="1" applyBorder="1" applyAlignment="1">
      <alignment horizontal="left" vertical="center"/>
    </xf>
    <xf numFmtId="164" fontId="18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8" fillId="2" borderId="41" xfId="2" applyFont="1" applyFill="1" applyBorder="1" applyAlignment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1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164" fontId="32" fillId="2" borderId="0" xfId="0" applyNumberFormat="1" applyFont="1" applyFill="1" applyAlignment="1">
      <alignment vertical="top"/>
    </xf>
    <xf numFmtId="164" fontId="5" fillId="2" borderId="40" xfId="2" applyFont="1" applyFill="1" applyBorder="1" applyAlignment="1">
      <alignment horizontal="right" vertical="center"/>
    </xf>
    <xf numFmtId="38" fontId="5" fillId="2" borderId="39" xfId="3" applyNumberFormat="1" applyFont="1" applyFill="1" applyBorder="1" applyAlignment="1" applyProtection="1">
      <alignment horizontal="right" vertical="center" wrapText="1"/>
    </xf>
    <xf numFmtId="38" fontId="14" fillId="2" borderId="39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0" xfId="3" applyNumberFormat="1" applyFont="1" applyFill="1" applyBorder="1" applyAlignment="1" applyProtection="1">
      <alignment horizontal="right"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right" vertical="center" wrapText="1"/>
    </xf>
    <xf numFmtId="164" fontId="5" fillId="2" borderId="0" xfId="2" applyFont="1" applyFill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15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18" fillId="2" borderId="41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center" vertical="center"/>
    </xf>
    <xf numFmtId="164" fontId="8" fillId="2" borderId="0" xfId="2" applyFont="1" applyFill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7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4" xr:uid="{00000000-0005-0000-0000-00000E000000}"/>
    <cellStyle name="Normal_IX-7(Trans &amp; Comm)" xfId="6" xr:uid="{00000000-0005-0000-0000-00000F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7" t="s">
        <v>72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9" ht="15.75" x14ac:dyDescent="0.25">
      <c r="A2" s="120" t="s">
        <v>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9" customFormat="1" ht="19.5" x14ac:dyDescent="0.15">
      <c r="A4" s="122" t="s">
        <v>9</v>
      </c>
      <c r="B4" s="126" t="s">
        <v>36</v>
      </c>
      <c r="C4" s="126"/>
      <c r="D4" s="82"/>
      <c r="E4" s="126" t="s">
        <v>37</v>
      </c>
      <c r="F4" s="126"/>
      <c r="G4" s="82"/>
      <c r="H4" s="126" t="s">
        <v>38</v>
      </c>
      <c r="I4" s="126"/>
      <c r="J4" s="82"/>
      <c r="K4" s="126" t="s">
        <v>39</v>
      </c>
      <c r="L4" s="126"/>
      <c r="M4" s="82"/>
      <c r="N4" s="126" t="s">
        <v>40</v>
      </c>
      <c r="O4" s="126"/>
      <c r="P4" s="82"/>
      <c r="Q4" s="126" t="s">
        <v>41</v>
      </c>
      <c r="R4" s="126"/>
      <c r="S4" s="82"/>
      <c r="T4" s="126" t="s">
        <v>42</v>
      </c>
      <c r="U4" s="126"/>
      <c r="V4" s="82"/>
      <c r="W4" s="126" t="s">
        <v>43</v>
      </c>
      <c r="X4" s="126"/>
      <c r="Y4" s="82"/>
      <c r="Z4" s="126" t="s">
        <v>44</v>
      </c>
      <c r="AA4" s="126"/>
      <c r="AB4" s="128" t="s">
        <v>11</v>
      </c>
    </row>
    <row r="5" spans="1:29" s="14" customFormat="1" ht="15" customHeight="1" x14ac:dyDescent="0.25">
      <c r="A5" s="123"/>
      <c r="B5" s="125" t="s">
        <v>45</v>
      </c>
      <c r="C5" s="125"/>
      <c r="D5" s="13"/>
      <c r="E5" s="125" t="s">
        <v>46</v>
      </c>
      <c r="F5" s="125"/>
      <c r="G5" s="13"/>
      <c r="H5" s="125" t="s">
        <v>47</v>
      </c>
      <c r="I5" s="125"/>
      <c r="J5" s="13"/>
      <c r="K5" s="125" t="s">
        <v>48</v>
      </c>
      <c r="L5" s="125"/>
      <c r="M5" s="13"/>
      <c r="N5" s="125" t="s">
        <v>49</v>
      </c>
      <c r="O5" s="125"/>
      <c r="P5" s="13"/>
      <c r="Q5" s="125" t="s">
        <v>50</v>
      </c>
      <c r="R5" s="125"/>
      <c r="S5" s="13"/>
      <c r="T5" s="125" t="s">
        <v>51</v>
      </c>
      <c r="U5" s="125"/>
      <c r="V5" s="13"/>
      <c r="W5" s="125" t="s">
        <v>52</v>
      </c>
      <c r="X5" s="125"/>
      <c r="Y5" s="13"/>
      <c r="Z5" s="125" t="s">
        <v>53</v>
      </c>
      <c r="AA5" s="125"/>
      <c r="AB5" s="129"/>
      <c r="AC5" s="3"/>
    </row>
    <row r="6" spans="1:29" s="78" customFormat="1" ht="14.25" x14ac:dyDescent="0.2">
      <c r="A6" s="123"/>
      <c r="B6" s="66" t="s">
        <v>0</v>
      </c>
      <c r="C6" s="66" t="s">
        <v>1</v>
      </c>
      <c r="D6" s="66"/>
      <c r="E6" s="66" t="s">
        <v>0</v>
      </c>
      <c r="F6" s="66" t="s">
        <v>1</v>
      </c>
      <c r="G6" s="66"/>
      <c r="H6" s="66" t="s">
        <v>0</v>
      </c>
      <c r="I6" s="66" t="s">
        <v>1</v>
      </c>
      <c r="J6" s="66"/>
      <c r="K6" s="66" t="s">
        <v>0</v>
      </c>
      <c r="L6" s="66" t="s">
        <v>1</v>
      </c>
      <c r="M6" s="66"/>
      <c r="N6" s="66" t="s">
        <v>0</v>
      </c>
      <c r="O6" s="66" t="s">
        <v>1</v>
      </c>
      <c r="P6" s="66"/>
      <c r="Q6" s="66" t="s">
        <v>0</v>
      </c>
      <c r="R6" s="66" t="s">
        <v>1</v>
      </c>
      <c r="S6" s="66"/>
      <c r="T6" s="66" t="s">
        <v>0</v>
      </c>
      <c r="U6" s="66" t="s">
        <v>1</v>
      </c>
      <c r="V6" s="66"/>
      <c r="W6" s="66" t="s">
        <v>0</v>
      </c>
      <c r="X6" s="66" t="s">
        <v>1</v>
      </c>
      <c r="Y6" s="66"/>
      <c r="Z6" s="66" t="s">
        <v>0</v>
      </c>
      <c r="AA6" s="66" t="s">
        <v>1</v>
      </c>
      <c r="AB6" s="129"/>
    </row>
    <row r="7" spans="1:29" s="14" customFormat="1" ht="14.25" x14ac:dyDescent="0.2">
      <c r="A7" s="124"/>
      <c r="B7" s="69" t="s">
        <v>2</v>
      </c>
      <c r="C7" s="69" t="s">
        <v>3</v>
      </c>
      <c r="D7" s="69"/>
      <c r="E7" s="69" t="s">
        <v>2</v>
      </c>
      <c r="F7" s="69" t="s">
        <v>3</v>
      </c>
      <c r="G7" s="69"/>
      <c r="H7" s="69" t="s">
        <v>2</v>
      </c>
      <c r="I7" s="69" t="s">
        <v>3</v>
      </c>
      <c r="J7" s="69"/>
      <c r="K7" s="69" t="s">
        <v>2</v>
      </c>
      <c r="L7" s="69" t="s">
        <v>3</v>
      </c>
      <c r="M7" s="69"/>
      <c r="N7" s="69" t="s">
        <v>2</v>
      </c>
      <c r="O7" s="69" t="s">
        <v>3</v>
      </c>
      <c r="P7" s="69"/>
      <c r="Q7" s="69" t="s">
        <v>2</v>
      </c>
      <c r="R7" s="69" t="s">
        <v>3</v>
      </c>
      <c r="S7" s="69"/>
      <c r="T7" s="69" t="s">
        <v>2</v>
      </c>
      <c r="U7" s="69" t="s">
        <v>3</v>
      </c>
      <c r="V7" s="69"/>
      <c r="W7" s="69" t="s">
        <v>2</v>
      </c>
      <c r="X7" s="69" t="s">
        <v>3</v>
      </c>
      <c r="Y7" s="69"/>
      <c r="Z7" s="69" t="s">
        <v>2</v>
      </c>
      <c r="AA7" s="69" t="s">
        <v>3</v>
      </c>
      <c r="AB7" s="130"/>
    </row>
    <row r="8" spans="1:29" s="9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75" t="s">
        <v>5</v>
      </c>
    </row>
    <row r="9" spans="1:29" s="9" customFormat="1" ht="15.75" x14ac:dyDescent="0.4">
      <c r="A9" s="5" t="s">
        <v>12</v>
      </c>
      <c r="B9" s="94"/>
      <c r="C9" s="94"/>
      <c r="D9" s="94"/>
      <c r="E9" s="95"/>
      <c r="F9" s="95"/>
      <c r="G9" s="95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6"/>
      <c r="Z9" s="96"/>
      <c r="AA9" s="96"/>
      <c r="AB9" s="79" t="s">
        <v>13</v>
      </c>
    </row>
    <row r="10" spans="1:29" s="9" customFormat="1" ht="15.75" x14ac:dyDescent="0.4">
      <c r="A10" s="5" t="s">
        <v>14</v>
      </c>
      <c r="B10" s="94"/>
      <c r="C10" s="94"/>
      <c r="D10" s="94"/>
      <c r="E10" s="95"/>
      <c r="F10" s="95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6"/>
      <c r="Z10" s="96"/>
      <c r="AA10" s="96"/>
      <c r="AB10" s="79" t="s">
        <v>15</v>
      </c>
    </row>
    <row r="11" spans="1:29" s="9" customFormat="1" ht="15.75" x14ac:dyDescent="0.4">
      <c r="A11" s="5" t="s">
        <v>16</v>
      </c>
      <c r="B11" s="94"/>
      <c r="C11" s="94"/>
      <c r="D11" s="94"/>
      <c r="E11" s="95"/>
      <c r="F11" s="95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6"/>
      <c r="Z11" s="96"/>
      <c r="AA11" s="96"/>
      <c r="AB11" s="79" t="s">
        <v>17</v>
      </c>
    </row>
    <row r="12" spans="1:29" s="9" customFormat="1" ht="15.75" x14ac:dyDescent="0.4">
      <c r="A12" s="5" t="s">
        <v>18</v>
      </c>
      <c r="B12" s="94"/>
      <c r="C12" s="94"/>
      <c r="D12" s="94"/>
      <c r="E12" s="95"/>
      <c r="F12" s="95"/>
      <c r="G12" s="95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6"/>
      <c r="Z12" s="96"/>
      <c r="AA12" s="96"/>
      <c r="AB12" s="79" t="s">
        <v>19</v>
      </c>
    </row>
    <row r="13" spans="1:29" s="9" customFormat="1" ht="15.75" x14ac:dyDescent="0.4">
      <c r="A13" s="5" t="s">
        <v>20</v>
      </c>
      <c r="B13" s="94"/>
      <c r="C13" s="94"/>
      <c r="D13" s="94"/>
      <c r="E13" s="95"/>
      <c r="F13" s="95"/>
      <c r="G13" s="95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6"/>
      <c r="Z13" s="96"/>
      <c r="AA13" s="96"/>
      <c r="AB13" s="79" t="s">
        <v>21</v>
      </c>
    </row>
    <row r="14" spans="1:29" s="9" customFormat="1" ht="15.75" x14ac:dyDescent="0.4">
      <c r="A14" s="5" t="s">
        <v>22</v>
      </c>
      <c r="B14" s="94"/>
      <c r="C14" s="94"/>
      <c r="D14" s="94"/>
      <c r="E14" s="95"/>
      <c r="F14" s="95"/>
      <c r="G14" s="95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6"/>
      <c r="Z14" s="96"/>
      <c r="AA14" s="96"/>
      <c r="AB14" s="79" t="s">
        <v>23</v>
      </c>
    </row>
    <row r="15" spans="1:29" s="9" customFormat="1" ht="15.75" x14ac:dyDescent="0.4">
      <c r="A15" s="5" t="s">
        <v>24</v>
      </c>
      <c r="B15" s="94"/>
      <c r="C15" s="94"/>
      <c r="D15" s="94"/>
      <c r="E15" s="95"/>
      <c r="F15" s="95"/>
      <c r="G15" s="95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6"/>
      <c r="Z15" s="96"/>
      <c r="AA15" s="96"/>
      <c r="AB15" s="79" t="s">
        <v>25</v>
      </c>
    </row>
    <row r="16" spans="1:29" s="9" customFormat="1" ht="15.75" x14ac:dyDescent="0.4">
      <c r="A16" s="5" t="s">
        <v>26</v>
      </c>
      <c r="B16" s="94"/>
      <c r="C16" s="94"/>
      <c r="D16" s="94"/>
      <c r="E16" s="95"/>
      <c r="F16" s="95"/>
      <c r="G16" s="9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6"/>
      <c r="Z16" s="96"/>
      <c r="AA16" s="96"/>
      <c r="AB16" s="79" t="s">
        <v>27</v>
      </c>
    </row>
    <row r="17" spans="1:44" s="9" customFormat="1" ht="15.75" x14ac:dyDescent="0.4">
      <c r="A17" s="5" t="s">
        <v>28</v>
      </c>
      <c r="B17" s="94"/>
      <c r="C17" s="94"/>
      <c r="D17" s="94"/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6"/>
      <c r="Z17" s="96"/>
      <c r="AA17" s="96"/>
      <c r="AB17" s="79" t="s">
        <v>29</v>
      </c>
    </row>
    <row r="18" spans="1:44" s="9" customFormat="1" ht="15.75" x14ac:dyDescent="0.4">
      <c r="A18" s="5" t="s">
        <v>30</v>
      </c>
      <c r="B18" s="94"/>
      <c r="C18" s="94"/>
      <c r="D18" s="94"/>
      <c r="E18" s="95"/>
      <c r="F18" s="95"/>
      <c r="G18" s="95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6"/>
      <c r="Z18" s="96"/>
      <c r="AA18" s="96"/>
      <c r="AB18" s="79" t="s">
        <v>31</v>
      </c>
    </row>
    <row r="19" spans="1:44" s="9" customFormat="1" ht="15.75" x14ac:dyDescent="0.4">
      <c r="A19" s="5" t="s">
        <v>32</v>
      </c>
      <c r="B19" s="94"/>
      <c r="C19" s="94"/>
      <c r="D19" s="94"/>
      <c r="E19" s="95"/>
      <c r="F19" s="95"/>
      <c r="G19" s="95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6"/>
      <c r="Z19" s="96"/>
      <c r="AA19" s="96"/>
      <c r="AB19" s="79" t="s">
        <v>33</v>
      </c>
    </row>
    <row r="20" spans="1:44" s="9" customFormat="1" ht="15.75" x14ac:dyDescent="0.4">
      <c r="A20" s="67" t="s">
        <v>34</v>
      </c>
      <c r="B20" s="97"/>
      <c r="C20" s="97"/>
      <c r="D20" s="97"/>
      <c r="E20" s="98"/>
      <c r="F20" s="98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9"/>
      <c r="Z20" s="99"/>
      <c r="AA20" s="99"/>
      <c r="AB20" s="80" t="s">
        <v>35</v>
      </c>
    </row>
    <row r="21" spans="1:44" ht="18.75" x14ac:dyDescent="0.25">
      <c r="A21" s="6" t="s">
        <v>7</v>
      </c>
      <c r="AB21" s="8" t="s">
        <v>8</v>
      </c>
      <c r="AO21" s="9"/>
      <c r="AP21" s="65" t="s">
        <v>2</v>
      </c>
      <c r="AQ21" s="65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57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6" customFormat="1" ht="21.75" customHeight="1" x14ac:dyDescent="0.55000000000000004">
      <c r="A44" s="131" t="s">
        <v>9</v>
      </c>
      <c r="B44" s="102"/>
      <c r="D44" s="103"/>
      <c r="F44" s="103"/>
      <c r="G44" s="134" t="s">
        <v>36</v>
      </c>
      <c r="H44" s="135"/>
      <c r="I44" s="135"/>
      <c r="J44" s="135"/>
      <c r="K44" s="136"/>
      <c r="L44" s="85"/>
      <c r="M44" s="104"/>
      <c r="N44" s="85"/>
      <c r="O44" s="104"/>
      <c r="P44" s="137" t="s">
        <v>37</v>
      </c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03"/>
      <c r="AC44" s="139" t="s">
        <v>38</v>
      </c>
      <c r="AD44" s="140"/>
      <c r="AE44" s="140"/>
      <c r="AF44" s="140"/>
      <c r="AG44" s="140"/>
      <c r="AH44" s="140"/>
      <c r="AI44" s="140"/>
      <c r="AJ44" s="140"/>
      <c r="AK44" s="84"/>
      <c r="AL44" s="139" t="s">
        <v>39</v>
      </c>
      <c r="AM44" s="140"/>
      <c r="AN44" s="140"/>
      <c r="AO44" s="140"/>
      <c r="AP44" s="140"/>
      <c r="AQ44" s="140"/>
      <c r="AR44" s="140"/>
      <c r="AS44" s="84"/>
      <c r="AT44" s="139" t="s">
        <v>40</v>
      </c>
      <c r="AU44" s="140"/>
      <c r="AV44" s="140"/>
      <c r="AW44" s="140"/>
      <c r="AX44" s="140"/>
      <c r="AY44" s="100"/>
      <c r="AZ44" s="84"/>
      <c r="BA44" s="139" t="s">
        <v>41</v>
      </c>
      <c r="BB44" s="140"/>
      <c r="BC44" s="140"/>
      <c r="BD44" s="140"/>
      <c r="BE44" s="157"/>
      <c r="BF44" s="83"/>
      <c r="BG44" s="158" t="s">
        <v>42</v>
      </c>
      <c r="BH44" s="159"/>
      <c r="BI44" s="159"/>
      <c r="BJ44" s="159"/>
      <c r="BK44" s="160"/>
      <c r="BL44" s="139" t="s">
        <v>43</v>
      </c>
      <c r="BM44" s="140"/>
      <c r="BN44" s="140"/>
      <c r="BO44" s="140"/>
      <c r="BP44" s="157"/>
      <c r="BQ44" s="139" t="s">
        <v>44</v>
      </c>
      <c r="BR44" s="140"/>
      <c r="BS44" s="140"/>
      <c r="BT44" s="141" t="s">
        <v>11</v>
      </c>
    </row>
    <row r="45" spans="1:80" s="87" customFormat="1" ht="16.5" customHeight="1" x14ac:dyDescent="0.25">
      <c r="A45" s="132"/>
      <c r="B45" s="105"/>
      <c r="D45" s="106"/>
      <c r="F45" s="106"/>
      <c r="G45" s="144" t="s">
        <v>45</v>
      </c>
      <c r="H45" s="145"/>
      <c r="I45" s="145"/>
      <c r="J45" s="145"/>
      <c r="K45" s="146"/>
      <c r="M45" s="106"/>
      <c r="O45" s="106"/>
      <c r="P45" s="147" t="s">
        <v>46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06"/>
      <c r="AC45" s="149" t="s">
        <v>65</v>
      </c>
      <c r="AD45" s="150"/>
      <c r="AE45" s="150"/>
      <c r="AF45" s="150"/>
      <c r="AG45" s="150"/>
      <c r="AH45" s="150"/>
      <c r="AI45" s="150"/>
      <c r="AJ45" s="150"/>
      <c r="AK45" s="88"/>
      <c r="AL45" s="149" t="s">
        <v>66</v>
      </c>
      <c r="AM45" s="150"/>
      <c r="AN45" s="150"/>
      <c r="AO45" s="150"/>
      <c r="AP45" s="150"/>
      <c r="AQ45" s="150"/>
      <c r="AR45" s="150"/>
      <c r="AS45" s="88"/>
      <c r="AT45" s="149" t="s">
        <v>67</v>
      </c>
      <c r="AU45" s="150"/>
      <c r="AV45" s="150"/>
      <c r="AW45" s="150"/>
      <c r="AX45" s="150"/>
      <c r="AY45" s="101"/>
      <c r="AZ45" s="88"/>
      <c r="BA45" s="151" t="s">
        <v>68</v>
      </c>
      <c r="BB45" s="152"/>
      <c r="BC45" s="152"/>
      <c r="BD45" s="152"/>
      <c r="BE45" s="153"/>
      <c r="BG45" s="154" t="s">
        <v>69</v>
      </c>
      <c r="BH45" s="155"/>
      <c r="BI45" s="155"/>
      <c r="BJ45" s="155"/>
      <c r="BK45" s="156"/>
      <c r="BL45" s="151" t="s">
        <v>70</v>
      </c>
      <c r="BM45" s="152"/>
      <c r="BN45" s="152"/>
      <c r="BO45" s="152"/>
      <c r="BP45" s="153"/>
      <c r="BQ45" s="151" t="s">
        <v>71</v>
      </c>
      <c r="BR45" s="152"/>
      <c r="BS45" s="152"/>
      <c r="BT45" s="142"/>
    </row>
    <row r="46" spans="1:80" ht="23.25" customHeight="1" x14ac:dyDescent="0.25">
      <c r="A46" s="133"/>
      <c r="B46" s="107"/>
      <c r="C46" s="108">
        <v>2011</v>
      </c>
      <c r="D46" s="108">
        <v>2012</v>
      </c>
      <c r="E46" s="109">
        <v>2013</v>
      </c>
      <c r="F46" s="110">
        <v>2014</v>
      </c>
      <c r="G46" s="111">
        <v>2015</v>
      </c>
      <c r="H46" s="112">
        <v>2016</v>
      </c>
      <c r="I46" s="113">
        <v>2017</v>
      </c>
      <c r="J46" s="113">
        <v>2018</v>
      </c>
      <c r="K46" s="113">
        <v>2019</v>
      </c>
      <c r="L46" s="114">
        <v>2011</v>
      </c>
      <c r="M46" s="114">
        <v>2012</v>
      </c>
      <c r="N46" s="114">
        <v>2013</v>
      </c>
      <c r="O46" s="113">
        <v>2014</v>
      </c>
      <c r="P46" s="111">
        <v>2015</v>
      </c>
      <c r="Q46" s="113">
        <v>2016</v>
      </c>
      <c r="R46" s="114">
        <v>2011</v>
      </c>
      <c r="S46" s="114">
        <v>2012</v>
      </c>
      <c r="T46" s="113">
        <v>2013</v>
      </c>
      <c r="U46" s="113">
        <v>2014</v>
      </c>
      <c r="V46" s="114">
        <v>2011</v>
      </c>
      <c r="W46" s="114">
        <v>2012</v>
      </c>
      <c r="X46" s="113">
        <v>2013</v>
      </c>
      <c r="Y46" s="113">
        <v>2017</v>
      </c>
      <c r="Z46" s="113">
        <v>2018</v>
      </c>
      <c r="AA46" s="115">
        <v>2019</v>
      </c>
      <c r="AB46" s="113">
        <v>2014</v>
      </c>
      <c r="AC46" s="24">
        <v>2015</v>
      </c>
      <c r="AD46" s="24">
        <v>2016</v>
      </c>
      <c r="AE46" s="70">
        <v>2011</v>
      </c>
      <c r="AF46" s="70">
        <v>2012</v>
      </c>
      <c r="AG46" s="70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70">
        <v>2012</v>
      </c>
      <c r="AQ46" s="70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70">
        <v>2013</v>
      </c>
      <c r="AW46" s="24">
        <v>2017</v>
      </c>
      <c r="AX46" s="24">
        <v>2018</v>
      </c>
      <c r="AY46" s="24">
        <v>2019</v>
      </c>
      <c r="AZ46" s="70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70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3"/>
      <c r="BU46" s="3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81" t="s">
        <v>5</v>
      </c>
    </row>
    <row r="48" spans="1:80" ht="23.25" customHeight="1" x14ac:dyDescent="0.4">
      <c r="A48" s="35" t="s">
        <v>12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58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58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58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59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59</v>
      </c>
      <c r="BR48" s="40">
        <v>171</v>
      </c>
      <c r="BS48" s="40">
        <v>176</v>
      </c>
      <c r="BT48" s="79" t="s">
        <v>13</v>
      </c>
      <c r="BY48" s="22"/>
      <c r="BZ48" s="22"/>
      <c r="CA48" s="22"/>
      <c r="CB48" s="22"/>
    </row>
    <row r="49" spans="1:80" ht="23.25" customHeight="1" x14ac:dyDescent="0.4">
      <c r="A49" s="35" t="s">
        <v>14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58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58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58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59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59</v>
      </c>
      <c r="BR49" s="40">
        <v>168</v>
      </c>
      <c r="BS49" s="40">
        <v>181</v>
      </c>
      <c r="BT49" s="79" t="s">
        <v>15</v>
      </c>
    </row>
    <row r="50" spans="1:80" ht="23.25" customHeight="1" x14ac:dyDescent="0.4">
      <c r="A50" s="35" t="s">
        <v>16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58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58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58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59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59</v>
      </c>
      <c r="BR50" s="40">
        <v>150</v>
      </c>
      <c r="BS50" s="40">
        <v>202</v>
      </c>
      <c r="BT50" s="79" t="s">
        <v>17</v>
      </c>
    </row>
    <row r="51" spans="1:80" ht="23.25" customHeight="1" x14ac:dyDescent="0.4">
      <c r="A51" s="35" t="s">
        <v>18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58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58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58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59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59</v>
      </c>
      <c r="BR51" s="40">
        <v>161</v>
      </c>
      <c r="BS51" s="40">
        <v>181</v>
      </c>
      <c r="BT51" s="79" t="s">
        <v>19</v>
      </c>
      <c r="BY51" s="22"/>
      <c r="BZ51" s="22"/>
      <c r="CA51" s="22"/>
      <c r="CB51" s="22"/>
    </row>
    <row r="52" spans="1:80" ht="23.25" customHeight="1" x14ac:dyDescent="0.4">
      <c r="A52" s="35" t="s">
        <v>20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58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58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58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59</v>
      </c>
      <c r="BR52" s="40">
        <v>148</v>
      </c>
      <c r="BS52" s="40">
        <v>184</v>
      </c>
      <c r="BT52" s="79" t="s">
        <v>21</v>
      </c>
    </row>
    <row r="53" spans="1:80" ht="23.25" customHeight="1" x14ac:dyDescent="0.4">
      <c r="A53" s="35" t="s">
        <v>22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58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58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58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59</v>
      </c>
      <c r="BR53" s="40">
        <v>123</v>
      </c>
      <c r="BS53" s="40">
        <v>166</v>
      </c>
      <c r="BT53" s="79" t="s">
        <v>23</v>
      </c>
    </row>
    <row r="54" spans="1:80" ht="23.25" customHeight="1" x14ac:dyDescent="0.4">
      <c r="A54" s="35" t="s">
        <v>24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58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58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58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59</v>
      </c>
      <c r="BR54" s="40">
        <v>157</v>
      </c>
      <c r="BS54" s="40">
        <v>176</v>
      </c>
      <c r="BT54" s="79" t="s">
        <v>25</v>
      </c>
      <c r="BY54" s="22"/>
      <c r="BZ54" s="22"/>
      <c r="CA54" s="22"/>
      <c r="CB54" s="22"/>
    </row>
    <row r="55" spans="1:80" ht="23.25" customHeight="1" x14ac:dyDescent="0.4">
      <c r="A55" s="35" t="s">
        <v>26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58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58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58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59</v>
      </c>
      <c r="BR55" s="40">
        <v>172</v>
      </c>
      <c r="BS55" s="40">
        <v>189</v>
      </c>
      <c r="BT55" s="79" t="s">
        <v>27</v>
      </c>
    </row>
    <row r="56" spans="1:80" ht="23.25" customHeight="1" x14ac:dyDescent="0.4">
      <c r="A56" s="35" t="s">
        <v>28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58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58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58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59</v>
      </c>
      <c r="BR56" s="40">
        <v>165</v>
      </c>
      <c r="BS56" s="40">
        <v>161</v>
      </c>
      <c r="BT56" s="79" t="s">
        <v>29</v>
      </c>
    </row>
    <row r="57" spans="1:80" ht="23.25" customHeight="1" x14ac:dyDescent="0.4">
      <c r="A57" s="35" t="s">
        <v>30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79" t="s">
        <v>31</v>
      </c>
      <c r="BY57" s="22"/>
      <c r="BZ57" s="22"/>
      <c r="CA57" s="22"/>
      <c r="CB57" s="22"/>
    </row>
    <row r="58" spans="1:80" ht="23.25" customHeight="1" x14ac:dyDescent="0.4">
      <c r="A58" s="35" t="s">
        <v>32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79" t="s">
        <v>33</v>
      </c>
    </row>
    <row r="59" spans="1:80" ht="23.25" customHeight="1" x14ac:dyDescent="0.4">
      <c r="A59" s="44" t="s">
        <v>34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80" t="s">
        <v>35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I42"/>
  <sheetViews>
    <sheetView tabSelected="1" zoomScale="112" zoomScaleNormal="112" workbookViewId="0">
      <selection activeCell="P13" sqref="P13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1" customWidth="1"/>
    <col min="10" max="10" width="7.85546875" style="1" customWidth="1"/>
    <col min="11" max="16384" width="9.140625" style="1"/>
  </cols>
  <sheetData>
    <row r="2" spans="1:9" ht="21" x14ac:dyDescent="0.25">
      <c r="A2" s="165" t="s">
        <v>74</v>
      </c>
      <c r="B2" s="165"/>
      <c r="C2" s="165"/>
      <c r="D2" s="165"/>
      <c r="E2" s="165"/>
      <c r="F2" s="165"/>
      <c r="G2" s="165"/>
      <c r="H2" s="165"/>
      <c r="I2" s="165"/>
    </row>
    <row r="3" spans="1:9" ht="18" customHeight="1" x14ac:dyDescent="0.25">
      <c r="A3" s="121" t="s">
        <v>75</v>
      </c>
      <c r="B3" s="121"/>
      <c r="C3" s="121"/>
      <c r="D3" s="121"/>
      <c r="E3" s="121"/>
      <c r="F3" s="121"/>
      <c r="G3" s="121"/>
      <c r="H3" s="121"/>
      <c r="I3" s="121"/>
    </row>
    <row r="4" spans="1:9" ht="16.5" customHeight="1" x14ac:dyDescent="0.25">
      <c r="A4" s="164" t="s">
        <v>62</v>
      </c>
      <c r="B4" s="164"/>
      <c r="C4" s="164"/>
      <c r="D4" s="164"/>
      <c r="E4" s="164"/>
      <c r="F4" s="164"/>
      <c r="G4" s="164"/>
      <c r="H4" s="164"/>
      <c r="I4" s="164"/>
    </row>
    <row r="5" spans="1:9" ht="15" x14ac:dyDescent="0.25">
      <c r="A5" s="116"/>
      <c r="B5" s="116"/>
      <c r="C5" s="161" t="s">
        <v>6</v>
      </c>
      <c r="D5" s="161"/>
      <c r="E5" s="162"/>
      <c r="F5" s="161" t="s">
        <v>10</v>
      </c>
      <c r="G5" s="161"/>
      <c r="H5" s="161"/>
      <c r="I5" s="128" t="s">
        <v>11</v>
      </c>
    </row>
    <row r="6" spans="1:9" ht="15" x14ac:dyDescent="0.25">
      <c r="A6" s="117" t="s">
        <v>9</v>
      </c>
      <c r="B6" s="72" t="s">
        <v>60</v>
      </c>
      <c r="C6" s="118" t="s">
        <v>63</v>
      </c>
      <c r="D6" s="118" t="s">
        <v>64</v>
      </c>
      <c r="E6" s="90" t="s">
        <v>61</v>
      </c>
      <c r="F6" s="118" t="s">
        <v>63</v>
      </c>
      <c r="G6" s="119" t="s">
        <v>64</v>
      </c>
      <c r="H6" s="10" t="s">
        <v>61</v>
      </c>
      <c r="I6" s="130"/>
    </row>
    <row r="7" spans="1:9" ht="15.75" x14ac:dyDescent="0.25">
      <c r="A7" s="2" t="s">
        <v>4</v>
      </c>
      <c r="B7" s="57">
        <f>SUM(C7:H7)</f>
        <v>51817269.399999999</v>
      </c>
      <c r="C7" s="58">
        <f t="shared" ref="C7:H7" si="0">SUM(C8:C19)</f>
        <v>30876623.799999997</v>
      </c>
      <c r="D7" s="58">
        <f t="shared" si="0"/>
        <v>7456491.0000000009</v>
      </c>
      <c r="E7" s="91">
        <f t="shared" si="0"/>
        <v>12804683.1</v>
      </c>
      <c r="F7" s="58">
        <f t="shared" si="0"/>
        <v>179245.7</v>
      </c>
      <c r="G7" s="59">
        <f t="shared" si="0"/>
        <v>465731.30000000005</v>
      </c>
      <c r="H7" s="59">
        <f t="shared" si="0"/>
        <v>34494.500000000007</v>
      </c>
      <c r="I7" s="75" t="s">
        <v>5</v>
      </c>
    </row>
    <row r="8" spans="1:9" ht="15.75" x14ac:dyDescent="0.25">
      <c r="A8" s="11" t="s">
        <v>12</v>
      </c>
      <c r="B8" s="57">
        <f t="shared" ref="B8:B19" si="1">SUM(C8:H8)</f>
        <v>4611509.0000000009</v>
      </c>
      <c r="C8" s="60">
        <v>2723969.4000000008</v>
      </c>
      <c r="D8" s="60">
        <v>868038.1</v>
      </c>
      <c r="E8" s="92">
        <v>969698.4</v>
      </c>
      <c r="F8" s="60">
        <v>13595.300000000001</v>
      </c>
      <c r="G8" s="61">
        <v>32440.799999999996</v>
      </c>
      <c r="H8" s="60">
        <v>3767</v>
      </c>
      <c r="I8" s="76" t="s">
        <v>13</v>
      </c>
    </row>
    <row r="9" spans="1:9" ht="15.75" x14ac:dyDescent="0.25">
      <c r="A9" s="11" t="s">
        <v>14</v>
      </c>
      <c r="B9" s="57">
        <f t="shared" si="1"/>
        <v>4249445</v>
      </c>
      <c r="C9" s="60">
        <v>2409091.0999999996</v>
      </c>
      <c r="D9" s="60">
        <v>821717</v>
      </c>
      <c r="E9" s="92">
        <v>960965.6</v>
      </c>
      <c r="F9" s="60">
        <v>12700.9</v>
      </c>
      <c r="G9" s="61">
        <v>40202.9</v>
      </c>
      <c r="H9" s="60">
        <v>4767.5</v>
      </c>
      <c r="I9" s="76" t="s">
        <v>15</v>
      </c>
    </row>
    <row r="10" spans="1:9" ht="15.75" x14ac:dyDescent="0.25">
      <c r="A10" s="11" t="s">
        <v>16</v>
      </c>
      <c r="B10" s="57">
        <f t="shared" si="1"/>
        <v>4410598.2</v>
      </c>
      <c r="C10" s="60">
        <v>2807073.7</v>
      </c>
      <c r="D10" s="60">
        <v>680307.5</v>
      </c>
      <c r="E10" s="92">
        <v>865364.39999999991</v>
      </c>
      <c r="F10" s="60">
        <v>12001.399999999998</v>
      </c>
      <c r="G10" s="61">
        <v>42664</v>
      </c>
      <c r="H10" s="60">
        <v>3187.2</v>
      </c>
      <c r="I10" s="76" t="s">
        <v>17</v>
      </c>
    </row>
    <row r="11" spans="1:9" ht="15.75" x14ac:dyDescent="0.25">
      <c r="A11" s="11" t="s">
        <v>18</v>
      </c>
      <c r="B11" s="57">
        <f t="shared" si="1"/>
        <v>3873249.6999999993</v>
      </c>
      <c r="C11" s="60">
        <v>2789673.3999999994</v>
      </c>
      <c r="D11" s="60">
        <v>334386.40000000002</v>
      </c>
      <c r="E11" s="92">
        <v>683766</v>
      </c>
      <c r="F11" s="60">
        <v>13783.999999999998</v>
      </c>
      <c r="G11" s="61">
        <v>46751.299999999996</v>
      </c>
      <c r="H11" s="60">
        <v>4888.6000000000004</v>
      </c>
      <c r="I11" s="76" t="s">
        <v>54</v>
      </c>
    </row>
    <row r="12" spans="1:9" ht="15.75" x14ac:dyDescent="0.25">
      <c r="A12" s="11" t="s">
        <v>20</v>
      </c>
      <c r="B12" s="57">
        <f t="shared" si="1"/>
        <v>2932364.4000000004</v>
      </c>
      <c r="C12" s="60">
        <v>2204087.5000000005</v>
      </c>
      <c r="D12" s="60">
        <v>231138</v>
      </c>
      <c r="E12" s="92">
        <v>445788.89999999997</v>
      </c>
      <c r="F12" s="60">
        <v>13401.299999999992</v>
      </c>
      <c r="G12" s="61">
        <v>36442.700000000004</v>
      </c>
      <c r="H12" s="60">
        <v>1506</v>
      </c>
      <c r="I12" s="76" t="s">
        <v>21</v>
      </c>
    </row>
    <row r="13" spans="1:9" ht="15.75" x14ac:dyDescent="0.25">
      <c r="A13" s="11" t="s">
        <v>22</v>
      </c>
      <c r="B13" s="57">
        <f t="shared" si="1"/>
        <v>4040604.8000000003</v>
      </c>
      <c r="C13" s="60">
        <v>2388393.5999999996</v>
      </c>
      <c r="D13" s="60">
        <v>649480.69999999995</v>
      </c>
      <c r="E13" s="92">
        <v>951030.2</v>
      </c>
      <c r="F13" s="60">
        <v>14733.099999999999</v>
      </c>
      <c r="G13" s="61">
        <v>32184.2</v>
      </c>
      <c r="H13" s="60">
        <v>4783</v>
      </c>
      <c r="I13" s="76" t="s">
        <v>23</v>
      </c>
    </row>
    <row r="14" spans="1:9" ht="15.75" x14ac:dyDescent="0.25">
      <c r="A14" s="11" t="s">
        <v>24</v>
      </c>
      <c r="B14" s="57">
        <f t="shared" si="1"/>
        <v>3906459.7000000007</v>
      </c>
      <c r="C14" s="60">
        <v>2392552.5000000005</v>
      </c>
      <c r="D14" s="60">
        <v>442730.4</v>
      </c>
      <c r="E14" s="92">
        <v>1023736.1000000001</v>
      </c>
      <c r="F14" s="60">
        <v>12527.199999999999</v>
      </c>
      <c r="G14" s="61">
        <v>32493</v>
      </c>
      <c r="H14" s="60">
        <v>2420.5</v>
      </c>
      <c r="I14" s="76" t="s">
        <v>25</v>
      </c>
    </row>
    <row r="15" spans="1:9" x14ac:dyDescent="0.25">
      <c r="A15" s="11" t="s">
        <v>26</v>
      </c>
      <c r="B15" s="57">
        <f t="shared" si="1"/>
        <v>4398114.3999999994</v>
      </c>
      <c r="C15" s="60">
        <v>2550554</v>
      </c>
      <c r="D15" s="60">
        <v>515082.80000000005</v>
      </c>
      <c r="E15" s="92">
        <v>1276605.3999999999</v>
      </c>
      <c r="F15" s="60">
        <v>16718.300000000003</v>
      </c>
      <c r="G15" s="61">
        <v>37008.199999999997</v>
      </c>
      <c r="H15" s="60">
        <v>2145.6999999999998</v>
      </c>
      <c r="I15" s="76" t="s">
        <v>55</v>
      </c>
    </row>
    <row r="16" spans="1:9" ht="15.75" x14ac:dyDescent="0.25">
      <c r="A16" s="11" t="s">
        <v>28</v>
      </c>
      <c r="B16" s="57">
        <f t="shared" si="1"/>
        <v>4528647.0999999996</v>
      </c>
      <c r="C16" s="60">
        <v>2285824.1999999997</v>
      </c>
      <c r="D16" s="60">
        <v>561753.4</v>
      </c>
      <c r="E16" s="92">
        <v>1613686.7000000002</v>
      </c>
      <c r="F16" s="60">
        <v>16000.300000000001</v>
      </c>
      <c r="G16" s="61">
        <v>50639.5</v>
      </c>
      <c r="H16" s="60">
        <v>743</v>
      </c>
      <c r="I16" s="76" t="s">
        <v>29</v>
      </c>
    </row>
    <row r="17" spans="1:9" ht="15.75" x14ac:dyDescent="0.25">
      <c r="A17" s="11" t="s">
        <v>30</v>
      </c>
      <c r="B17" s="57">
        <f t="shared" si="1"/>
        <v>4843370.7</v>
      </c>
      <c r="C17" s="60">
        <v>2491039.3999999994</v>
      </c>
      <c r="D17" s="60">
        <v>531523</v>
      </c>
      <c r="E17" s="92">
        <v>1759942.7999999998</v>
      </c>
      <c r="F17" s="60">
        <v>17610.400000000001</v>
      </c>
      <c r="G17" s="61">
        <v>41757.9</v>
      </c>
      <c r="H17" s="60">
        <v>1497.1999999999998</v>
      </c>
      <c r="I17" s="76" t="s">
        <v>56</v>
      </c>
    </row>
    <row r="18" spans="1:9" ht="15.75" x14ac:dyDescent="0.25">
      <c r="A18" s="11" t="s">
        <v>32</v>
      </c>
      <c r="B18" s="57">
        <f t="shared" si="1"/>
        <v>4788954</v>
      </c>
      <c r="C18" s="60">
        <v>2636170.5</v>
      </c>
      <c r="D18" s="60">
        <v>867989.7</v>
      </c>
      <c r="E18" s="92">
        <v>1229578.0000000002</v>
      </c>
      <c r="F18" s="60">
        <v>18759.100000000002</v>
      </c>
      <c r="G18" s="61">
        <v>34939.300000000003</v>
      </c>
      <c r="H18" s="60">
        <v>1517.3999999999999</v>
      </c>
      <c r="I18" s="76" t="s">
        <v>33</v>
      </c>
    </row>
    <row r="19" spans="1:9" ht="15.75" x14ac:dyDescent="0.25">
      <c r="A19" s="68" t="s">
        <v>34</v>
      </c>
      <c r="B19" s="73">
        <f t="shared" si="1"/>
        <v>5233952.4000000013</v>
      </c>
      <c r="C19" s="74">
        <v>3198194.5000000005</v>
      </c>
      <c r="D19" s="74">
        <v>952344.00000000012</v>
      </c>
      <c r="E19" s="93">
        <v>1024520.6000000001</v>
      </c>
      <c r="F19" s="74">
        <v>17414.399999999998</v>
      </c>
      <c r="G19" s="74">
        <v>38207.5</v>
      </c>
      <c r="H19" s="74">
        <v>3271.3999999999996</v>
      </c>
      <c r="I19" s="77" t="s">
        <v>35</v>
      </c>
    </row>
    <row r="20" spans="1:9" s="52" customFormat="1" ht="17.25" x14ac:dyDescent="0.25">
      <c r="A20" s="53" t="s">
        <v>7</v>
      </c>
      <c r="B20" s="62"/>
      <c r="C20" s="62"/>
      <c r="D20" s="63"/>
      <c r="E20" s="63"/>
      <c r="F20" s="63"/>
      <c r="G20" s="63"/>
      <c r="H20" s="63"/>
      <c r="I20" s="55" t="s">
        <v>8</v>
      </c>
    </row>
    <row r="21" spans="1:9" ht="18.75" x14ac:dyDescent="0.25">
      <c r="A21" s="52"/>
      <c r="B21" s="53"/>
      <c r="C21" s="64"/>
      <c r="D21" s="64"/>
      <c r="E21" s="64"/>
      <c r="F21" s="64"/>
      <c r="G21" s="64"/>
      <c r="H21" s="54"/>
      <c r="I21" s="89"/>
    </row>
    <row r="23" spans="1:9" ht="21" x14ac:dyDescent="0.25">
      <c r="A23" s="165" t="s">
        <v>76</v>
      </c>
      <c r="B23" s="165"/>
      <c r="C23" s="165"/>
      <c r="D23" s="165"/>
      <c r="E23" s="165"/>
      <c r="F23" s="165"/>
      <c r="G23" s="165"/>
      <c r="H23" s="165"/>
      <c r="I23" s="165"/>
    </row>
    <row r="24" spans="1:9" x14ac:dyDescent="0.45">
      <c r="A24" s="163" t="s">
        <v>77</v>
      </c>
      <c r="B24" s="163"/>
      <c r="C24" s="163"/>
      <c r="D24" s="163"/>
      <c r="E24" s="163"/>
      <c r="F24" s="163"/>
      <c r="G24" s="163"/>
      <c r="H24" s="163"/>
    </row>
    <row r="25" spans="1:9" x14ac:dyDescent="0.45">
      <c r="A25" s="164" t="s">
        <v>62</v>
      </c>
      <c r="B25" s="164"/>
      <c r="C25" s="164"/>
      <c r="D25" s="164"/>
      <c r="E25" s="164"/>
      <c r="F25" s="164"/>
      <c r="G25" s="164"/>
      <c r="H25" s="56"/>
    </row>
    <row r="26" spans="1:9" ht="15" x14ac:dyDescent="0.25">
      <c r="A26" s="116"/>
      <c r="B26" s="116"/>
      <c r="C26" s="161" t="s">
        <v>6</v>
      </c>
      <c r="D26" s="161"/>
      <c r="E26" s="162"/>
      <c r="F26" s="161" t="s">
        <v>10</v>
      </c>
      <c r="G26" s="161"/>
      <c r="H26" s="161"/>
      <c r="I26" s="128" t="s">
        <v>11</v>
      </c>
    </row>
    <row r="27" spans="1:9" ht="15" x14ac:dyDescent="0.25">
      <c r="A27" s="117" t="s">
        <v>9</v>
      </c>
      <c r="B27" s="72" t="s">
        <v>60</v>
      </c>
      <c r="C27" s="118" t="s">
        <v>63</v>
      </c>
      <c r="D27" s="118" t="s">
        <v>64</v>
      </c>
      <c r="E27" s="90" t="s">
        <v>61</v>
      </c>
      <c r="F27" s="118" t="s">
        <v>63</v>
      </c>
      <c r="G27" s="119" t="s">
        <v>64</v>
      </c>
      <c r="H27" s="10" t="s">
        <v>61</v>
      </c>
      <c r="I27" s="130"/>
    </row>
    <row r="28" spans="1:9" ht="15.75" x14ac:dyDescent="0.25">
      <c r="A28" s="2" t="s">
        <v>4</v>
      </c>
      <c r="B28" s="57">
        <f>SUM(C28:H28)</f>
        <v>50589039.5</v>
      </c>
      <c r="C28" s="58">
        <f t="shared" ref="C28:H28" si="2">SUM(C29:C40)</f>
        <v>29439877.099999998</v>
      </c>
      <c r="D28" s="58">
        <f t="shared" si="2"/>
        <v>8620567.2999999989</v>
      </c>
      <c r="E28" s="91">
        <f t="shared" si="2"/>
        <v>11904265.899999999</v>
      </c>
      <c r="F28" s="58">
        <f t="shared" si="2"/>
        <v>199401.90000000002</v>
      </c>
      <c r="G28" s="59">
        <f t="shared" si="2"/>
        <v>390174.19999999995</v>
      </c>
      <c r="H28" s="59">
        <f t="shared" si="2"/>
        <v>34753.1</v>
      </c>
      <c r="I28" s="75" t="s">
        <v>5</v>
      </c>
    </row>
    <row r="29" spans="1:9" ht="15.75" x14ac:dyDescent="0.25">
      <c r="A29" s="11" t="s">
        <v>12</v>
      </c>
      <c r="B29" s="57">
        <f t="shared" ref="B29:B40" si="3">SUM(C29:H29)</f>
        <v>4576070.4000000004</v>
      </c>
      <c r="C29" s="60">
        <v>3142935.8</v>
      </c>
      <c r="D29" s="60">
        <v>836265</v>
      </c>
      <c r="E29" s="92">
        <v>547902.5</v>
      </c>
      <c r="F29" s="60">
        <v>14611.7</v>
      </c>
      <c r="G29" s="61">
        <v>32921.899999999994</v>
      </c>
      <c r="H29" s="60">
        <v>1433.5</v>
      </c>
      <c r="I29" s="76" t="s">
        <v>13</v>
      </c>
    </row>
    <row r="30" spans="1:9" ht="15.75" x14ac:dyDescent="0.25">
      <c r="A30" s="11" t="s">
        <v>14</v>
      </c>
      <c r="B30" s="57">
        <f t="shared" si="3"/>
        <v>4605699.2000000011</v>
      </c>
      <c r="C30" s="60">
        <v>2906666.100000001</v>
      </c>
      <c r="D30" s="60">
        <v>800454.1</v>
      </c>
      <c r="E30" s="92">
        <v>848410.50000000012</v>
      </c>
      <c r="F30" s="60">
        <v>13755.499999999996</v>
      </c>
      <c r="G30" s="61">
        <v>32246</v>
      </c>
      <c r="H30" s="60">
        <v>4167</v>
      </c>
      <c r="I30" s="76" t="s">
        <v>15</v>
      </c>
    </row>
    <row r="31" spans="1:9" ht="15.75" x14ac:dyDescent="0.25">
      <c r="A31" s="11" t="s">
        <v>16</v>
      </c>
      <c r="B31" s="57">
        <f t="shared" si="3"/>
        <v>4110045.9999999991</v>
      </c>
      <c r="C31" s="60">
        <v>2416154.6999999997</v>
      </c>
      <c r="D31" s="60">
        <v>890241.7</v>
      </c>
      <c r="E31" s="92">
        <v>751945.8</v>
      </c>
      <c r="F31" s="60">
        <v>14367.100000000002</v>
      </c>
      <c r="G31" s="61">
        <v>34996.399999999994</v>
      </c>
      <c r="H31" s="60">
        <v>2340.3000000000002</v>
      </c>
      <c r="I31" s="76" t="s">
        <v>17</v>
      </c>
    </row>
    <row r="32" spans="1:9" ht="15.75" x14ac:dyDescent="0.25">
      <c r="A32" s="11" t="s">
        <v>18</v>
      </c>
      <c r="B32" s="57">
        <f t="shared" si="3"/>
        <v>3233678.9</v>
      </c>
      <c r="C32" s="60">
        <v>2291593.7000000002</v>
      </c>
      <c r="D32" s="60">
        <v>316261.09999999998</v>
      </c>
      <c r="E32" s="92">
        <v>566982.79999999993</v>
      </c>
      <c r="F32" s="60">
        <v>19523.100000000009</v>
      </c>
      <c r="G32" s="61">
        <v>35737.4</v>
      </c>
      <c r="H32" s="60">
        <v>3580.7999999999993</v>
      </c>
      <c r="I32" s="76" t="s">
        <v>54</v>
      </c>
    </row>
    <row r="33" spans="1:9" ht="15.75" x14ac:dyDescent="0.25">
      <c r="A33" s="11" t="s">
        <v>20</v>
      </c>
      <c r="B33" s="57">
        <f t="shared" si="3"/>
        <v>2548849.0000000005</v>
      </c>
      <c r="C33" s="60">
        <v>1956205.9000000001</v>
      </c>
      <c r="D33" s="60">
        <v>205602.4</v>
      </c>
      <c r="E33" s="92">
        <v>337475.8</v>
      </c>
      <c r="F33" s="60">
        <v>20436.7</v>
      </c>
      <c r="G33" s="61">
        <v>26892</v>
      </c>
      <c r="H33" s="60">
        <v>2236.1999999999998</v>
      </c>
      <c r="I33" s="76" t="s">
        <v>21</v>
      </c>
    </row>
    <row r="34" spans="1:9" ht="15.75" x14ac:dyDescent="0.25">
      <c r="A34" s="11" t="s">
        <v>22</v>
      </c>
      <c r="B34" s="57">
        <f t="shared" si="3"/>
        <v>2507707.1999999997</v>
      </c>
      <c r="C34" s="60">
        <v>1639266.8</v>
      </c>
      <c r="D34" s="60">
        <v>485308.1</v>
      </c>
      <c r="E34" s="92">
        <v>345362.4</v>
      </c>
      <c r="F34" s="60">
        <v>14712.400000000003</v>
      </c>
      <c r="G34" s="61">
        <v>21220.799999999999</v>
      </c>
      <c r="H34" s="60">
        <v>1836.7000000000003</v>
      </c>
      <c r="I34" s="76" t="s">
        <v>23</v>
      </c>
    </row>
    <row r="35" spans="1:9" ht="15.75" x14ac:dyDescent="0.25">
      <c r="A35" s="11" t="s">
        <v>24</v>
      </c>
      <c r="B35" s="57">
        <f t="shared" si="3"/>
        <v>3954528.2000000007</v>
      </c>
      <c r="C35" s="60">
        <v>2052243.9000000001</v>
      </c>
      <c r="D35" s="60">
        <v>751418.9</v>
      </c>
      <c r="E35" s="92">
        <v>1104876.3</v>
      </c>
      <c r="F35" s="60">
        <v>13855.300000000001</v>
      </c>
      <c r="G35" s="61">
        <v>28587.7</v>
      </c>
      <c r="H35" s="60">
        <v>3546.099999999999</v>
      </c>
      <c r="I35" s="76" t="s">
        <v>25</v>
      </c>
    </row>
    <row r="36" spans="1:9" ht="15.75" x14ac:dyDescent="0.25">
      <c r="A36" s="11" t="s">
        <v>26</v>
      </c>
      <c r="B36" s="57">
        <f t="shared" si="3"/>
        <v>4348929.3999999994</v>
      </c>
      <c r="C36" s="60">
        <v>2354232.5999999996</v>
      </c>
      <c r="D36" s="60">
        <v>978563.1</v>
      </c>
      <c r="E36" s="92">
        <v>961302.9</v>
      </c>
      <c r="F36" s="60">
        <v>18507.300000000007</v>
      </c>
      <c r="G36" s="61">
        <v>33986.5</v>
      </c>
      <c r="H36" s="60">
        <v>2337</v>
      </c>
      <c r="I36" s="76" t="s">
        <v>55</v>
      </c>
    </row>
    <row r="37" spans="1:9" ht="15.75" x14ac:dyDescent="0.25">
      <c r="A37" s="11" t="s">
        <v>28</v>
      </c>
      <c r="B37" s="57">
        <f t="shared" si="3"/>
        <v>4725540.4000000004</v>
      </c>
      <c r="C37" s="60">
        <v>2240208.7000000007</v>
      </c>
      <c r="D37" s="60">
        <v>919634.79999999993</v>
      </c>
      <c r="E37" s="92">
        <v>1521931.5999999999</v>
      </c>
      <c r="F37" s="60">
        <v>15609.300000000003</v>
      </c>
      <c r="G37" s="61">
        <v>26819</v>
      </c>
      <c r="H37" s="60">
        <v>1337</v>
      </c>
      <c r="I37" s="76" t="s">
        <v>29</v>
      </c>
    </row>
    <row r="38" spans="1:9" ht="15.75" x14ac:dyDescent="0.25">
      <c r="A38" s="11" t="s">
        <v>30</v>
      </c>
      <c r="B38" s="57">
        <f t="shared" si="3"/>
        <v>5830355.6000000006</v>
      </c>
      <c r="C38" s="60">
        <v>2559896.7000000002</v>
      </c>
      <c r="D38" s="60">
        <v>842128.29999999993</v>
      </c>
      <c r="E38" s="92">
        <v>2375602.2999999998</v>
      </c>
      <c r="F38" s="60">
        <v>15494.399999999998</v>
      </c>
      <c r="G38" s="61">
        <v>34376</v>
      </c>
      <c r="H38" s="60">
        <v>2857.8999999999996</v>
      </c>
      <c r="I38" s="76" t="s">
        <v>56</v>
      </c>
    </row>
    <row r="39" spans="1:9" ht="15.75" x14ac:dyDescent="0.25">
      <c r="A39" s="11" t="s">
        <v>32</v>
      </c>
      <c r="B39" s="57">
        <f t="shared" si="3"/>
        <v>4937913.2</v>
      </c>
      <c r="C39" s="60">
        <v>2628078.8000000003</v>
      </c>
      <c r="D39" s="60">
        <v>667389.5</v>
      </c>
      <c r="E39" s="92">
        <v>1580173.4000000001</v>
      </c>
      <c r="F39" s="60">
        <v>18936.7</v>
      </c>
      <c r="G39" s="61">
        <v>38692.5</v>
      </c>
      <c r="H39" s="60">
        <v>4642.3</v>
      </c>
      <c r="I39" s="76" t="s">
        <v>33</v>
      </c>
    </row>
    <row r="40" spans="1:9" ht="15.75" x14ac:dyDescent="0.25">
      <c r="A40" s="68" t="s">
        <v>34</v>
      </c>
      <c r="B40" s="73">
        <f t="shared" si="3"/>
        <v>5209722</v>
      </c>
      <c r="C40" s="74">
        <v>3252393.4</v>
      </c>
      <c r="D40" s="74">
        <v>927300.3</v>
      </c>
      <c r="E40" s="93">
        <v>962299.6</v>
      </c>
      <c r="F40" s="74">
        <v>19592.400000000001</v>
      </c>
      <c r="G40" s="74">
        <v>43697.999999999993</v>
      </c>
      <c r="H40" s="74">
        <v>4438.2999999999993</v>
      </c>
      <c r="I40" s="77" t="s">
        <v>35</v>
      </c>
    </row>
    <row r="41" spans="1:9" ht="17.25" x14ac:dyDescent="0.25">
      <c r="A41" s="53" t="s">
        <v>7</v>
      </c>
      <c r="B41" s="62"/>
      <c r="C41" s="62"/>
      <c r="D41" s="63"/>
      <c r="E41" s="63"/>
      <c r="F41" s="63"/>
      <c r="G41" s="63"/>
      <c r="H41" s="63"/>
      <c r="I41" s="55" t="s">
        <v>8</v>
      </c>
    </row>
    <row r="42" spans="1:9" ht="18.75" x14ac:dyDescent="0.25">
      <c r="A42" s="52"/>
      <c r="B42" s="53"/>
      <c r="C42" s="64"/>
      <c r="D42" s="64"/>
      <c r="E42" s="64"/>
      <c r="F42" s="64"/>
      <c r="G42" s="64"/>
      <c r="H42" s="54"/>
      <c r="I42" s="89"/>
    </row>
  </sheetData>
  <mergeCells count="12">
    <mergeCell ref="A23:I23"/>
    <mergeCell ref="A24:H24"/>
    <mergeCell ref="A25:G25"/>
    <mergeCell ref="C26:E26"/>
    <mergeCell ref="F26:H26"/>
    <mergeCell ref="I26:I27"/>
    <mergeCell ref="A2:I2"/>
    <mergeCell ref="C5:E5"/>
    <mergeCell ref="F5:H5"/>
    <mergeCell ref="I5:I6"/>
    <mergeCell ref="A4:I4"/>
    <mergeCell ref="A3:I3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11.22</vt:lpstr>
      <vt:lpstr>'11.22'!Print_Area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2023-07-17T08:16:46Z</cp:lastPrinted>
  <dcterms:created xsi:type="dcterms:W3CDTF">2019-03-24T03:32:16Z</dcterms:created>
  <dcterms:modified xsi:type="dcterms:W3CDTF">2023-07-17T08:18:26Z</dcterms:modified>
</cp:coreProperties>
</file>