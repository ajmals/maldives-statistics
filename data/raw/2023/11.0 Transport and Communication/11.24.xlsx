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36F27FBE-6680-4277-BEFA-318AE11391CF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 11.24" sheetId="8" r:id="rId2"/>
  </sheets>
  <externalReferences>
    <externalReference r:id="rId3"/>
    <externalReference r:id="rId4"/>
  </externalReferences>
  <definedNames>
    <definedName name="_xlnm.Print_Area" localSheetId="1">' 11.24'!$A$1:$H$47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8" l="1"/>
  <c r="B19" i="8"/>
  <c r="B18" i="8"/>
  <c r="B17" i="8"/>
  <c r="B16" i="8"/>
  <c r="B15" i="8"/>
  <c r="B14" i="8"/>
  <c r="B13" i="8"/>
  <c r="B12" i="8"/>
  <c r="B11" i="8"/>
  <c r="B10" i="8"/>
  <c r="B9" i="8"/>
  <c r="F8" i="8"/>
  <c r="E8" i="8"/>
  <c r="D8" i="8"/>
  <c r="C8" i="8"/>
  <c r="B8" i="8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44" i="8" l="1"/>
  <c r="B43" i="8"/>
  <c r="B42" i="8"/>
  <c r="B41" i="8"/>
  <c r="B40" i="8"/>
  <c r="B39" i="8"/>
  <c r="B38" i="8"/>
  <c r="B37" i="8"/>
  <c r="B36" i="8"/>
  <c r="B35" i="8"/>
  <c r="B34" i="8"/>
  <c r="B33" i="8"/>
  <c r="F32" i="8"/>
  <c r="E32" i="8"/>
  <c r="D32" i="8"/>
  <c r="C32" i="8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32" i="8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<sst xmlns="http://schemas.openxmlformats.org/spreadsheetml/2006/main" count="257" uniqueCount="74">
  <si>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</si>
  <si>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</si>
  <si>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</si>
  <si>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</si>
  <si>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</si>
  <si>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</si>
  <si>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</si>
  <si>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</si>
  <si>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</si>
  <si>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</si>
  <si>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</si>
  <si>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</si>
  <si>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</si>
  <si>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</si>
  <si>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</si>
  <si>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</si>
  <si>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</si>
  <si>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</si>
  <si>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</si>
  <si>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</si>
  <si>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</si>
  <si>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</si>
  <si>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</si>
  <si>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</si>
  <si>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</si>
  <si>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</si>
  <si>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</si>
  <si>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</si>
  <si>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</si>
  <si>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</si>
  <si>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</si>
  <si>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</si>
  <si>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</si>
  <si>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</si>
  <si>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</si>
  <si>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</si>
  <si>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</si>
  <si>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</si>
  <si>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</si>
  <si>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</si>
  <si>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</si>
  <si>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</si>
  <si>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</si>
  <si>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</si>
  <si>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</si>
  <si>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</si>
  <si>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</si>
  <si>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</si>
  <si>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</si>
  <si>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</si>
  <si>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</si>
  <si>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</si>
  <si>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</si>
  <si>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</si>
  <si>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</si>
  <si>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</si>
  <si>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</si>
  <si>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Inward</t>
  </si>
  <si>
    <t>Outward</t>
  </si>
  <si>
    <t xml:space="preserve"> Total </t>
  </si>
  <si>
    <t xml:space="preserve">(in Kg)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</si>
  <si>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</si>
  <si>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</si>
  <si>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</si>
  <si>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</si>
  <si>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</si>
  <si>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</si>
  <si>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</si>
  <si>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</si>
  <si>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</si>
  <si>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11.24 :  MAIL HANDLED AT IBRAHIM NASIR INTERNATIONAL AIRPORT  BY MONTH, 2022</t>
  </si>
  <si>
    <t>ތާވަލު 11.24: މަސްމަހުގެ ގޮތުން އިބްރާހީމް ނާސިރު އިންޓަރނޭޝަނަލް އެއަރޕޯޓުން އުފުލުނު މެއިލް، 2022</t>
  </si>
  <si>
    <t>Table  11.24 :  MAIL HANDLED AT IBRAHIM NASIR INTERNATIONAL AIRPORT  BY MONTH, 2021</t>
  </si>
  <si>
    <t>ތާވަލު 11.24: މަސްމަހުގެ ގޮތުން އިބްރާހީމް ނާސިރު އިންޓަރނޭޝަނަލް އެއަރޕޯޓުން އުފުލުނު މެއިލް،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</si>
</sst>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#,##0.0_);[Red]\(#,##0.0\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0" fontId="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</cellStyleXfs>
  <cellXfs count="185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3" xfId="0" applyFont="1" applyFill="1" applyBorder="1" applyAlignment="1">
      <alignment horizontal="right" vertical="center"/>
    </xf>
    <xf numFmtId="164" fontId="15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164" fontId="5" fillId="2" borderId="9" xfId="2" applyFont="1" applyFill="1" applyBorder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9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4" xfId="2" applyNumberFormat="1" applyFont="1" applyFill="1" applyBorder="1" applyAlignment="1">
      <alignment horizontal="center" vertical="center"/>
    </xf>
    <xf numFmtId="0" fontId="5" fillId="2" borderId="18" xfId="2" applyNumberFormat="1" applyFont="1" applyFill="1" applyBorder="1" applyAlignment="1">
      <alignment horizontal="center" vertical="center"/>
    </xf>
    <xf numFmtId="164" fontId="8" fillId="2" borderId="3" xfId="2" applyFont="1" applyFill="1" applyBorder="1" applyAlignment="1">
      <alignment horizontal="left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5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20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3" fontId="14" fillId="2" borderId="8" xfId="3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164" fontId="14" fillId="2" borderId="6" xfId="2" applyFont="1" applyFill="1" applyBorder="1" applyAlignment="1">
      <alignment horizontal="left" vertical="center"/>
    </xf>
    <xf numFmtId="3" fontId="14" fillId="2" borderId="6" xfId="3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3" fontId="14" fillId="2" borderId="24" xfId="3" applyNumberFormat="1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164" fontId="10" fillId="2" borderId="0" xfId="0" applyNumberFormat="1" applyFont="1" applyFill="1"/>
    <xf numFmtId="164" fontId="22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23" fillId="2" borderId="0" xfId="0" applyNumberFormat="1" applyFont="1" applyFill="1"/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 wrapText="1"/>
    </xf>
    <xf numFmtId="164" fontId="5" fillId="2" borderId="44" xfId="2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6" fontId="5" fillId="2" borderId="11" xfId="3" applyNumberFormat="1" applyFont="1" applyFill="1" applyBorder="1" applyAlignment="1" applyProtection="1">
      <alignment horizontal="right" vertical="center"/>
    </xf>
    <xf numFmtId="166" fontId="5" fillId="2" borderId="19" xfId="3" applyNumberFormat="1" applyFont="1" applyFill="1" applyBorder="1" applyAlignment="1" applyProtection="1">
      <alignment horizontal="right" vertical="center"/>
    </xf>
    <xf numFmtId="166" fontId="5" fillId="2" borderId="12" xfId="3" applyNumberFormat="1" applyFont="1" applyFill="1" applyBorder="1" applyAlignment="1" applyProtection="1">
      <alignment horizontal="right" vertical="center"/>
    </xf>
    <xf numFmtId="166" fontId="5" fillId="2" borderId="42" xfId="3" applyNumberFormat="1" applyFont="1" applyFill="1" applyBorder="1" applyAlignment="1" applyProtection="1">
      <alignment horizontal="right" vertical="center"/>
    </xf>
    <xf numFmtId="166" fontId="5" fillId="2" borderId="0" xfId="3" applyNumberFormat="1" applyFont="1" applyFill="1" applyBorder="1" applyAlignment="1" applyProtection="1">
      <alignment horizontal="right" vertical="center"/>
    </xf>
    <xf numFmtId="166" fontId="5" fillId="2" borderId="13" xfId="3" applyNumberFormat="1" applyFont="1" applyFill="1" applyBorder="1" applyAlignment="1" applyProtection="1">
      <alignment horizontal="right" vertical="center"/>
    </xf>
    <xf numFmtId="166" fontId="14" fillId="2" borderId="1" xfId="3" applyNumberFormat="1" applyFont="1" applyFill="1" applyBorder="1" applyAlignment="1">
      <alignment horizontal="right"/>
    </xf>
    <xf numFmtId="166" fontId="14" fillId="2" borderId="5" xfId="3" applyNumberFormat="1" applyFont="1" applyFill="1" applyBorder="1" applyAlignment="1">
      <alignment horizontal="right"/>
    </xf>
    <xf numFmtId="166" fontId="14" fillId="2" borderId="40" xfId="3" applyNumberFormat="1" applyFont="1" applyFill="1" applyBorder="1" applyAlignment="1" applyProtection="1">
      <alignment horizontal="right" vertical="center"/>
      <protection locked="0"/>
    </xf>
    <xf numFmtId="166" fontId="14" fillId="2" borderId="5" xfId="3" applyNumberFormat="1" applyFont="1" applyFill="1" applyBorder="1" applyAlignment="1" applyProtection="1">
      <alignment horizontal="right" vertical="center"/>
      <protection locked="0"/>
    </xf>
    <xf numFmtId="166" fontId="14" fillId="2" borderId="0" xfId="3" applyNumberFormat="1" applyFont="1" applyFill="1" applyBorder="1" applyAlignment="1" applyProtection="1">
      <alignment horizontal="right" vertical="center"/>
      <protection locked="0"/>
    </xf>
    <xf numFmtId="166" fontId="5" fillId="2" borderId="46" xfId="3" applyNumberFormat="1" applyFont="1" applyFill="1" applyBorder="1" applyAlignment="1" applyProtection="1">
      <alignment horizontal="right" vertical="center"/>
    </xf>
    <xf numFmtId="166" fontId="14" fillId="2" borderId="2" xfId="3" applyNumberFormat="1" applyFont="1" applyFill="1" applyBorder="1" applyAlignment="1">
      <alignment horizontal="right"/>
    </xf>
    <xf numFmtId="166" fontId="14" fillId="2" borderId="47" xfId="3" applyNumberFormat="1" applyFont="1" applyFill="1" applyBorder="1" applyAlignment="1">
      <alignment horizontal="right"/>
    </xf>
    <xf numFmtId="166" fontId="14" fillId="2" borderId="48" xfId="3" applyNumberFormat="1" applyFont="1" applyFill="1" applyBorder="1" applyAlignment="1" applyProtection="1">
      <alignment horizontal="right" vertical="center"/>
      <protection locked="0"/>
    </xf>
    <xf numFmtId="166" fontId="14" fillId="2" borderId="47" xfId="3" applyNumberFormat="1" applyFont="1" applyFill="1" applyBorder="1" applyAlignment="1" applyProtection="1">
      <alignment horizontal="right" vertical="center"/>
      <protection locked="0"/>
    </xf>
    <xf numFmtId="166" fontId="14" fillId="2" borderId="0" xfId="3" applyNumberFormat="1" applyFont="1" applyFill="1" applyBorder="1" applyAlignment="1">
      <alignment horizontal="right"/>
    </xf>
    <xf numFmtId="166" fontId="14" fillId="2" borderId="41" xfId="3" applyNumberFormat="1" applyFont="1" applyFill="1" applyBorder="1" applyAlignment="1" applyProtection="1">
      <alignment horizontal="right" vertical="center"/>
      <protection locked="0"/>
    </xf>
    <xf numFmtId="166" fontId="14" fillId="2" borderId="28" xfId="3" applyNumberFormat="1" applyFont="1" applyFill="1" applyBorder="1" applyAlignment="1">
      <alignment horizontal="right"/>
    </xf>
    <xf numFmtId="166" fontId="14" fillId="2" borderId="49" xfId="3" applyNumberFormat="1" applyFont="1" applyFill="1" applyBorder="1" applyAlignment="1">
      <alignment horizontal="right"/>
    </xf>
    <xf numFmtId="166" fontId="14" fillId="2" borderId="50" xfId="3" applyNumberFormat="1" applyFont="1" applyFill="1" applyBorder="1" applyAlignment="1" applyProtection="1">
      <alignment horizontal="right" vertical="center"/>
    </xf>
    <xf numFmtId="166" fontId="14" fillId="2" borderId="49" xfId="3" applyNumberFormat="1" applyFont="1" applyFill="1" applyBorder="1" applyAlignment="1" applyProtection="1">
      <alignment horizontal="right" vertical="center"/>
    </xf>
    <xf numFmtId="166" fontId="14" fillId="2" borderId="0" xfId="3" applyNumberFormat="1" applyFont="1" applyFill="1" applyBorder="1" applyAlignment="1" applyProtection="1">
      <alignment horizontal="right" vertical="center"/>
    </xf>
    <xf numFmtId="0" fontId="22" fillId="2" borderId="4" xfId="0" applyFont="1" applyFill="1" applyBorder="1" applyAlignment="1">
      <alignment horizontal="right" vertical="center"/>
    </xf>
    <xf numFmtId="164" fontId="24" fillId="2" borderId="0" xfId="2" applyFont="1" applyFill="1" applyAlignment="1">
      <alignment vertical="center"/>
    </xf>
    <xf numFmtId="0" fontId="4" fillId="2" borderId="0" xfId="6" applyFill="1" applyAlignment="1">
      <alignment vertical="center"/>
    </xf>
    <xf numFmtId="164" fontId="5" fillId="2" borderId="51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0" fillId="2" borderId="51" xfId="2" applyFont="1" applyFill="1" applyBorder="1" applyAlignment="1">
      <alignment horizontal="left" vertical="center"/>
    </xf>
    <xf numFmtId="164" fontId="14" fillId="2" borderId="51" xfId="2" applyFont="1" applyFill="1" applyBorder="1" applyAlignment="1">
      <alignment horizontal="left" vertical="center"/>
    </xf>
    <xf numFmtId="164" fontId="18" fillId="2" borderId="51" xfId="2" applyFont="1" applyFill="1" applyBorder="1" applyAlignment="1">
      <alignment horizontal="right" vertical="center"/>
    </xf>
    <xf numFmtId="0" fontId="5" fillId="2" borderId="51" xfId="2" applyNumberFormat="1" applyFont="1" applyFill="1" applyBorder="1" applyAlignment="1">
      <alignment horizontal="center" vertical="center"/>
    </xf>
    <xf numFmtId="0" fontId="28" fillId="2" borderId="0" xfId="5" applyFont="1" applyFill="1" applyAlignment="1">
      <alignment horizontal="right"/>
    </xf>
    <xf numFmtId="0" fontId="33" fillId="2" borderId="0" xfId="5" applyFont="1" applyFill="1" applyAlignment="1">
      <alignment horizontal="right"/>
    </xf>
    <xf numFmtId="0" fontId="33" fillId="2" borderId="51" xfId="5" applyFont="1" applyFill="1" applyBorder="1" applyAlignment="1">
      <alignment horizontal="right"/>
    </xf>
    <xf numFmtId="166" fontId="5" fillId="2" borderId="52" xfId="3" applyNumberFormat="1" applyFont="1" applyFill="1" applyBorder="1" applyAlignment="1" applyProtection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3" fillId="2" borderId="13" xfId="5" applyFont="1" applyFill="1" applyBorder="1" applyAlignment="1">
      <alignment horizontal="right"/>
    </xf>
    <xf numFmtId="0" fontId="33" fillId="2" borderId="14" xfId="5" applyFont="1" applyFill="1" applyBorder="1" applyAlignment="1">
      <alignment horizontal="right"/>
    </xf>
    <xf numFmtId="0" fontId="28" fillId="2" borderId="15" xfId="5" applyFont="1" applyFill="1" applyBorder="1" applyAlignment="1">
      <alignment horizontal="right"/>
    </xf>
    <xf numFmtId="164" fontId="34" fillId="2" borderId="9" xfId="2" applyFont="1" applyFill="1" applyBorder="1" applyAlignment="1">
      <alignment horizontal="center" vertical="center"/>
    </xf>
    <xf numFmtId="164" fontId="36" fillId="2" borderId="9" xfId="0" applyNumberFormat="1" applyFont="1" applyFill="1" applyBorder="1"/>
    <xf numFmtId="164" fontId="35" fillId="2" borderId="20" xfId="2" applyFont="1" applyFill="1" applyBorder="1" applyAlignment="1">
      <alignment vertical="center"/>
    </xf>
    <xf numFmtId="164" fontId="37" fillId="2" borderId="9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4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6" xfId="2" applyNumberFormat="1" applyFont="1" applyFill="1" applyBorder="1" applyAlignment="1">
      <alignment horizontal="right" vertical="center"/>
    </xf>
    <xf numFmtId="3" fontId="10" fillId="3" borderId="6" xfId="3" applyNumberFormat="1" applyFont="1" applyFill="1" applyBorder="1" applyAlignment="1">
      <alignment horizontal="right" vertical="center"/>
    </xf>
    <xf numFmtId="3" fontId="10" fillId="3" borderId="51" xfId="2" applyNumberFormat="1" applyFont="1" applyFill="1" applyBorder="1" applyAlignment="1">
      <alignment horizontal="right" vertical="center"/>
    </xf>
    <xf numFmtId="164" fontId="35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40" fillId="2" borderId="19" xfId="2" applyFont="1" applyFill="1" applyBorder="1" applyAlignment="1">
      <alignment horizontal="left" vertical="center"/>
    </xf>
    <xf numFmtId="164" fontId="40" fillId="2" borderId="20" xfId="2" applyFont="1" applyFill="1" applyBorder="1" applyAlignment="1">
      <alignment vertical="center"/>
    </xf>
    <xf numFmtId="164" fontId="32" fillId="2" borderId="20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4" xfId="2" applyFont="1" applyFill="1" applyBorder="1" applyAlignment="1">
      <alignment vertical="center" wrapText="1"/>
    </xf>
    <xf numFmtId="164" fontId="26" fillId="2" borderId="6" xfId="2" applyFont="1" applyFill="1" applyBorder="1" applyAlignment="1">
      <alignment horizontal="left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51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0" fontId="28" fillId="2" borderId="9" xfId="5" applyFont="1" applyFill="1" applyBorder="1" applyAlignment="1">
      <alignment horizontal="right" vertical="center"/>
    </xf>
    <xf numFmtId="164" fontId="8" fillId="2" borderId="51" xfId="2" applyFont="1" applyFill="1" applyBorder="1" applyAlignment="1">
      <alignment horizontal="left" vertical="center"/>
    </xf>
    <xf numFmtId="0" fontId="28" fillId="2" borderId="51" xfId="5" applyFont="1" applyFill="1" applyBorder="1" applyAlignment="1">
      <alignment horizontal="right" vertical="center"/>
    </xf>
    <xf numFmtId="164" fontId="18" fillId="2" borderId="51" xfId="2" applyFont="1" applyFill="1" applyBorder="1" applyAlignment="1">
      <alignment horizontal="center" vertical="center" wrapText="1"/>
    </xf>
    <xf numFmtId="164" fontId="34" fillId="2" borderId="9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28" fillId="2" borderId="9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51" xfId="2" applyFont="1" applyFill="1" applyBorder="1" applyAlignment="1">
      <alignment horizontal="right" vertical="center"/>
    </xf>
    <xf numFmtId="164" fontId="8" fillId="2" borderId="19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6" xfId="2" applyFont="1" applyFill="1" applyBorder="1" applyAlignment="1">
      <alignment horizontal="left" vertical="center"/>
    </xf>
    <xf numFmtId="164" fontId="32" fillId="2" borderId="12" xfId="2" applyFont="1" applyFill="1" applyBorder="1" applyAlignment="1">
      <alignment horizontal="center" vertical="center"/>
    </xf>
    <xf numFmtId="164" fontId="32" fillId="2" borderId="20" xfId="2" applyFont="1" applyFill="1" applyBorder="1" applyAlignment="1">
      <alignment horizontal="center" vertical="center"/>
    </xf>
    <xf numFmtId="164" fontId="32" fillId="2" borderId="21" xfId="2" applyFont="1" applyFill="1" applyBorder="1" applyAlignment="1">
      <alignment horizontal="center" vertical="center"/>
    </xf>
    <xf numFmtId="164" fontId="32" fillId="2" borderId="17" xfId="2" applyFont="1" applyFill="1" applyBorder="1" applyAlignment="1">
      <alignment horizontal="center" vertical="center"/>
    </xf>
    <xf numFmtId="164" fontId="32" fillId="2" borderId="9" xfId="2" applyFont="1" applyFill="1" applyBorder="1" applyAlignment="1">
      <alignment horizontal="center" vertical="center"/>
    </xf>
    <xf numFmtId="164" fontId="35" fillId="2" borderId="17" xfId="2" applyFont="1" applyFill="1" applyBorder="1" applyAlignment="1">
      <alignment horizontal="center" vertical="center"/>
    </xf>
    <xf numFmtId="164" fontId="35" fillId="2" borderId="9" xfId="2" applyFont="1" applyFill="1" applyBorder="1" applyAlignment="1">
      <alignment horizontal="center" vertical="center"/>
    </xf>
    <xf numFmtId="0" fontId="28" fillId="2" borderId="11" xfId="5" applyFont="1" applyFill="1" applyBorder="1" applyAlignment="1">
      <alignment horizontal="right" vertical="center"/>
    </xf>
    <xf numFmtId="0" fontId="28" fillId="2" borderId="13" xfId="5" applyFont="1" applyFill="1" applyBorder="1" applyAlignment="1">
      <alignment horizontal="right" vertical="center"/>
    </xf>
    <xf numFmtId="0" fontId="28" fillId="2" borderId="14" xfId="5" applyFont="1" applyFill="1" applyBorder="1" applyAlignment="1">
      <alignment horizontal="right" vertical="center"/>
    </xf>
    <xf numFmtId="164" fontId="25" fillId="2" borderId="7" xfId="2" applyFont="1" applyFill="1" applyBorder="1" applyAlignment="1">
      <alignment horizontal="center" vertical="center" wrapText="1"/>
    </xf>
    <xf numFmtId="164" fontId="25" fillId="2" borderId="24" xfId="2" applyFont="1" applyFill="1" applyBorder="1" applyAlignment="1">
      <alignment horizontal="center" vertical="center" wrapText="1"/>
    </xf>
    <xf numFmtId="164" fontId="25" fillId="2" borderId="25" xfId="2" applyFont="1" applyFill="1" applyBorder="1" applyAlignment="1">
      <alignment horizontal="center" vertical="center" wrapText="1"/>
    </xf>
    <xf numFmtId="164" fontId="25" fillId="2" borderId="16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8" xfId="2" applyFont="1" applyFill="1" applyBorder="1" applyAlignment="1">
      <alignment horizontal="center" vertical="center" wrapText="1"/>
    </xf>
    <xf numFmtId="164" fontId="16" fillId="2" borderId="51" xfId="2" applyFont="1" applyFill="1" applyBorder="1" applyAlignment="1">
      <alignment horizontal="center" vertical="center" wrapText="1"/>
    </xf>
    <xf numFmtId="164" fontId="16" fillId="2" borderId="27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35" fillId="2" borderId="23" xfId="2" applyFont="1" applyFill="1" applyBorder="1" applyAlignment="1">
      <alignment horizontal="center" vertical="center"/>
    </xf>
    <xf numFmtId="164" fontId="35" fillId="2" borderId="22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5" fillId="2" borderId="51" xfId="2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center"/>
    </xf>
    <xf numFmtId="164" fontId="5" fillId="2" borderId="0" xfId="2" applyFont="1" applyFill="1" applyAlignment="1">
      <alignment horizontal="center" vertical="center"/>
    </xf>
    <xf numFmtId="164" fontId="5" fillId="2" borderId="9" xfId="2" applyFont="1" applyFill="1" applyBorder="1" applyAlignment="1">
      <alignment horizontal="center" vertical="center" wrapText="1"/>
    </xf>
    <xf numFmtId="164" fontId="5" fillId="2" borderId="43" xfId="2" applyFont="1" applyFill="1" applyBorder="1" applyAlignment="1">
      <alignment horizontal="center" vertical="center" wrapText="1"/>
    </xf>
    <xf numFmtId="164" fontId="5" fillId="2" borderId="10" xfId="2" applyFont="1" applyFill="1" applyBorder="1" applyAlignment="1">
      <alignment horizontal="center" vertical="center" wrapText="1"/>
    </xf>
  </cellXfs>
  <cellStyles count="17">
    <cellStyle name="1" xfId="16" xr:uid="{00000000-0005-0000-0000-000000000000}"/>
    <cellStyle name="Comma" xfId="1" builtinId="3"/>
    <cellStyle name="Comma 2" xfId="3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4" xr:uid="{00000000-0005-0000-0000-00000E000000}"/>
    <cellStyle name="Normal_IX-8 (Trans &amp; Comm)" xfId="6" xr:uid="{00000000-0005-0000-0000-000010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45" t="s">
        <v>68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spans="1:29" ht="15.75" x14ac:dyDescent="0.25">
      <c r="A2" s="136" t="s">
        <v>69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4" spans="1:29" s="11" customFormat="1" ht="19.5" x14ac:dyDescent="0.15">
      <c r="A4" s="138" t="s">
        <v>9</v>
      </c>
      <c r="B4" s="144" t="s">
        <v>36</v>
      </c>
      <c r="C4" s="144"/>
      <c r="D4" s="105"/>
      <c r="E4" s="144" t="s">
        <v>37</v>
      </c>
      <c r="F4" s="144"/>
      <c r="G4" s="105"/>
      <c r="H4" s="144" t="s">
        <v>38</v>
      </c>
      <c r="I4" s="144"/>
      <c r="J4" s="105"/>
      <c r="K4" s="144" t="s">
        <v>39</v>
      </c>
      <c r="L4" s="144"/>
      <c r="M4" s="105"/>
      <c r="N4" s="144" t="s">
        <v>40</v>
      </c>
      <c r="O4" s="144"/>
      <c r="P4" s="105"/>
      <c r="Q4" s="144" t="s">
        <v>41</v>
      </c>
      <c r="R4" s="144"/>
      <c r="S4" s="105"/>
      <c r="T4" s="144" t="s">
        <v>42</v>
      </c>
      <c r="U4" s="144"/>
      <c r="V4" s="105"/>
      <c r="W4" s="144" t="s">
        <v>43</v>
      </c>
      <c r="X4" s="144"/>
      <c r="Y4" s="105"/>
      <c r="Z4" s="144" t="s">
        <v>44</v>
      </c>
      <c r="AA4" s="144"/>
      <c r="AB4" s="146" t="s">
        <v>11</v>
      </c>
    </row>
    <row r="5" spans="1:29" s="17" customFormat="1" ht="15" customHeight="1" x14ac:dyDescent="0.25">
      <c r="A5" s="139"/>
      <c r="B5" s="143" t="s">
        <v>45</v>
      </c>
      <c r="C5" s="143"/>
      <c r="D5" s="16"/>
      <c r="E5" s="143" t="s">
        <v>46</v>
      </c>
      <c r="F5" s="143"/>
      <c r="G5" s="16"/>
      <c r="H5" s="143" t="s">
        <v>47</v>
      </c>
      <c r="I5" s="143"/>
      <c r="J5" s="16"/>
      <c r="K5" s="143" t="s">
        <v>48</v>
      </c>
      <c r="L5" s="143"/>
      <c r="M5" s="16"/>
      <c r="N5" s="143" t="s">
        <v>49</v>
      </c>
      <c r="O5" s="143"/>
      <c r="P5" s="16"/>
      <c r="Q5" s="143" t="s">
        <v>50</v>
      </c>
      <c r="R5" s="143"/>
      <c r="S5" s="16"/>
      <c r="T5" s="143" t="s">
        <v>51</v>
      </c>
      <c r="U5" s="143"/>
      <c r="V5" s="16"/>
      <c r="W5" s="143" t="s">
        <v>52</v>
      </c>
      <c r="X5" s="143"/>
      <c r="Y5" s="16"/>
      <c r="Z5" s="143" t="s">
        <v>53</v>
      </c>
      <c r="AA5" s="143"/>
      <c r="AB5" s="147"/>
      <c r="AC5" s="2"/>
    </row>
    <row r="6" spans="1:29" s="101" customFormat="1" ht="14.25" x14ac:dyDescent="0.2">
      <c r="A6" s="139"/>
      <c r="B6" s="91" t="s">
        <v>0</v>
      </c>
      <c r="C6" s="91" t="s">
        <v>1</v>
      </c>
      <c r="D6" s="91"/>
      <c r="E6" s="91" t="s">
        <v>0</v>
      </c>
      <c r="F6" s="91" t="s">
        <v>1</v>
      </c>
      <c r="G6" s="91"/>
      <c r="H6" s="91" t="s">
        <v>0</v>
      </c>
      <c r="I6" s="91" t="s">
        <v>1</v>
      </c>
      <c r="J6" s="91"/>
      <c r="K6" s="91" t="s">
        <v>0</v>
      </c>
      <c r="L6" s="91" t="s">
        <v>1</v>
      </c>
      <c r="M6" s="91"/>
      <c r="N6" s="91" t="s">
        <v>0</v>
      </c>
      <c r="O6" s="91" t="s">
        <v>1</v>
      </c>
      <c r="P6" s="91"/>
      <c r="Q6" s="91" t="s">
        <v>0</v>
      </c>
      <c r="R6" s="91" t="s">
        <v>1</v>
      </c>
      <c r="S6" s="91"/>
      <c r="T6" s="91" t="s">
        <v>0</v>
      </c>
      <c r="U6" s="91" t="s">
        <v>1</v>
      </c>
      <c r="V6" s="91"/>
      <c r="W6" s="91" t="s">
        <v>0</v>
      </c>
      <c r="X6" s="91" t="s">
        <v>1</v>
      </c>
      <c r="Y6" s="91"/>
      <c r="Z6" s="91" t="s">
        <v>0</v>
      </c>
      <c r="AA6" s="91" t="s">
        <v>1</v>
      </c>
      <c r="AB6" s="147"/>
    </row>
    <row r="7" spans="1:29" s="17" customFormat="1" ht="14.25" x14ac:dyDescent="0.2">
      <c r="A7" s="141"/>
      <c r="B7" s="94" t="s">
        <v>2</v>
      </c>
      <c r="C7" s="94" t="s">
        <v>3</v>
      </c>
      <c r="D7" s="94"/>
      <c r="E7" s="94" t="s">
        <v>2</v>
      </c>
      <c r="F7" s="94" t="s">
        <v>3</v>
      </c>
      <c r="G7" s="94"/>
      <c r="H7" s="94" t="s">
        <v>2</v>
      </c>
      <c r="I7" s="94" t="s">
        <v>3</v>
      </c>
      <c r="J7" s="94"/>
      <c r="K7" s="94" t="s">
        <v>2</v>
      </c>
      <c r="L7" s="94" t="s">
        <v>3</v>
      </c>
      <c r="M7" s="94"/>
      <c r="N7" s="94" t="s">
        <v>2</v>
      </c>
      <c r="O7" s="94" t="s">
        <v>3</v>
      </c>
      <c r="P7" s="94"/>
      <c r="Q7" s="94" t="s">
        <v>2</v>
      </c>
      <c r="R7" s="94" t="s">
        <v>3</v>
      </c>
      <c r="S7" s="94"/>
      <c r="T7" s="94" t="s">
        <v>2</v>
      </c>
      <c r="U7" s="94" t="s">
        <v>3</v>
      </c>
      <c r="V7" s="94"/>
      <c r="W7" s="94" t="s">
        <v>2</v>
      </c>
      <c r="X7" s="94" t="s">
        <v>3</v>
      </c>
      <c r="Y7" s="94"/>
      <c r="Z7" s="94" t="s">
        <v>2</v>
      </c>
      <c r="AA7" s="94" t="s">
        <v>3</v>
      </c>
      <c r="AB7" s="148"/>
    </row>
    <row r="8" spans="1:29" s="11" customFormat="1" ht="15.75" x14ac:dyDescent="0.15">
      <c r="A8" s="4" t="s">
        <v>4</v>
      </c>
      <c r="B8" s="18">
        <f>SUM(B9:B20)</f>
        <v>0</v>
      </c>
      <c r="C8" s="18">
        <f>SUM(C9:C20)</f>
        <v>0</v>
      </c>
      <c r="D8" s="18"/>
      <c r="E8" s="18">
        <f>SUM(E9:E20)</f>
        <v>0</v>
      </c>
      <c r="F8" s="18">
        <f>SUM(F9:F20)</f>
        <v>0</v>
      </c>
      <c r="G8" s="18"/>
      <c r="H8" s="18">
        <f>SUM(H9:H20)</f>
        <v>0</v>
      </c>
      <c r="I8" s="18">
        <f>SUM(I9:I20)</f>
        <v>0</v>
      </c>
      <c r="J8" s="18"/>
      <c r="K8" s="18">
        <f>SUM(K9:K20)</f>
        <v>0</v>
      </c>
      <c r="L8" s="18">
        <f>SUM(L9:L20)</f>
        <v>0</v>
      </c>
      <c r="M8" s="18"/>
      <c r="N8" s="18">
        <f>SUM(N9:N20)</f>
        <v>0</v>
      </c>
      <c r="O8" s="18">
        <f>SUM(O9:O20)</f>
        <v>0</v>
      </c>
      <c r="P8" s="18"/>
      <c r="Q8" s="18">
        <f>SUM(Q9:Q20)</f>
        <v>0</v>
      </c>
      <c r="R8" s="18">
        <f>SUM(R9:R20)</f>
        <v>0</v>
      </c>
      <c r="S8" s="18"/>
      <c r="T8" s="18">
        <f>SUM(T9:T20)</f>
        <v>0</v>
      </c>
      <c r="U8" s="18">
        <f>SUM(U9:U20)</f>
        <v>0</v>
      </c>
      <c r="V8" s="18"/>
      <c r="W8" s="18">
        <f>SUM(W9:W20)</f>
        <v>0</v>
      </c>
      <c r="X8" s="18">
        <f>SUM(X9:X20)</f>
        <v>0</v>
      </c>
      <c r="Y8" s="19"/>
      <c r="Z8" s="18">
        <f>SUM(Z9:Z20)</f>
        <v>0</v>
      </c>
      <c r="AA8" s="18">
        <f>SUM(AA9:AA20)</f>
        <v>0</v>
      </c>
      <c r="AB8" s="100" t="s">
        <v>5</v>
      </c>
    </row>
    <row r="9" spans="1:29" s="11" customFormat="1" ht="15.75" x14ac:dyDescent="0.4">
      <c r="A9" s="5" t="s">
        <v>12</v>
      </c>
      <c r="B9" s="112"/>
      <c r="C9" s="112"/>
      <c r="D9" s="112"/>
      <c r="E9" s="113"/>
      <c r="F9" s="113"/>
      <c r="G9" s="113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4"/>
      <c r="Z9" s="114"/>
      <c r="AA9" s="114"/>
      <c r="AB9" s="102" t="s">
        <v>13</v>
      </c>
    </row>
    <row r="10" spans="1:29" s="11" customFormat="1" ht="15.75" x14ac:dyDescent="0.4">
      <c r="A10" s="5" t="s">
        <v>14</v>
      </c>
      <c r="B10" s="112"/>
      <c r="C10" s="112"/>
      <c r="D10" s="112"/>
      <c r="E10" s="113"/>
      <c r="F10" s="113"/>
      <c r="G10" s="113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4"/>
      <c r="Z10" s="114"/>
      <c r="AA10" s="114"/>
      <c r="AB10" s="102" t="s">
        <v>15</v>
      </c>
    </row>
    <row r="11" spans="1:29" s="11" customFormat="1" ht="15.75" x14ac:dyDescent="0.4">
      <c r="A11" s="5" t="s">
        <v>16</v>
      </c>
      <c r="B11" s="112"/>
      <c r="C11" s="112"/>
      <c r="D11" s="112"/>
      <c r="E11" s="113"/>
      <c r="F11" s="113"/>
      <c r="G11" s="113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4"/>
      <c r="Z11" s="114"/>
      <c r="AA11" s="114"/>
      <c r="AB11" s="102" t="s">
        <v>17</v>
      </c>
    </row>
    <row r="12" spans="1:29" s="11" customFormat="1" ht="15.75" x14ac:dyDescent="0.4">
      <c r="A12" s="5" t="s">
        <v>18</v>
      </c>
      <c r="B12" s="112"/>
      <c r="C12" s="112"/>
      <c r="D12" s="112"/>
      <c r="E12" s="113"/>
      <c r="F12" s="113"/>
      <c r="G12" s="113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4"/>
      <c r="Z12" s="114"/>
      <c r="AA12" s="114"/>
      <c r="AB12" s="102" t="s">
        <v>19</v>
      </c>
    </row>
    <row r="13" spans="1:29" s="11" customFormat="1" ht="15.75" x14ac:dyDescent="0.4">
      <c r="A13" s="5" t="s">
        <v>20</v>
      </c>
      <c r="B13" s="112"/>
      <c r="C13" s="112"/>
      <c r="D13" s="112"/>
      <c r="E13" s="113"/>
      <c r="F13" s="113"/>
      <c r="G13" s="113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4"/>
      <c r="Z13" s="114"/>
      <c r="AA13" s="114"/>
      <c r="AB13" s="102" t="s">
        <v>21</v>
      </c>
    </row>
    <row r="14" spans="1:29" s="11" customFormat="1" ht="15.75" x14ac:dyDescent="0.4">
      <c r="A14" s="5" t="s">
        <v>22</v>
      </c>
      <c r="B14" s="112"/>
      <c r="C14" s="112"/>
      <c r="D14" s="112"/>
      <c r="E14" s="113"/>
      <c r="F14" s="113"/>
      <c r="G14" s="113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4"/>
      <c r="Z14" s="114"/>
      <c r="AA14" s="114"/>
      <c r="AB14" s="102" t="s">
        <v>23</v>
      </c>
    </row>
    <row r="15" spans="1:29" s="11" customFormat="1" ht="15.75" x14ac:dyDescent="0.4">
      <c r="A15" s="5" t="s">
        <v>24</v>
      </c>
      <c r="B15" s="112"/>
      <c r="C15" s="112"/>
      <c r="D15" s="112"/>
      <c r="E15" s="113"/>
      <c r="F15" s="113"/>
      <c r="G15" s="113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4"/>
      <c r="Z15" s="114"/>
      <c r="AA15" s="114"/>
      <c r="AB15" s="102" t="s">
        <v>25</v>
      </c>
    </row>
    <row r="16" spans="1:29" s="11" customFormat="1" ht="15.75" x14ac:dyDescent="0.4">
      <c r="A16" s="5" t="s">
        <v>26</v>
      </c>
      <c r="B16" s="112"/>
      <c r="C16" s="112"/>
      <c r="D16" s="112"/>
      <c r="E16" s="113"/>
      <c r="F16" s="113"/>
      <c r="G16" s="113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4"/>
      <c r="Z16" s="114"/>
      <c r="AA16" s="114"/>
      <c r="AB16" s="102" t="s">
        <v>27</v>
      </c>
    </row>
    <row r="17" spans="1:44" s="11" customFormat="1" ht="15.75" x14ac:dyDescent="0.4">
      <c r="A17" s="5" t="s">
        <v>28</v>
      </c>
      <c r="B17" s="112"/>
      <c r="C17" s="112"/>
      <c r="D17" s="112"/>
      <c r="E17" s="113"/>
      <c r="F17" s="113"/>
      <c r="G17" s="113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4"/>
      <c r="Z17" s="114"/>
      <c r="AA17" s="114"/>
      <c r="AB17" s="102" t="s">
        <v>29</v>
      </c>
    </row>
    <row r="18" spans="1:44" s="11" customFormat="1" ht="15.75" x14ac:dyDescent="0.4">
      <c r="A18" s="5" t="s">
        <v>30</v>
      </c>
      <c r="B18" s="112"/>
      <c r="C18" s="112"/>
      <c r="D18" s="112"/>
      <c r="E18" s="113"/>
      <c r="F18" s="113"/>
      <c r="G18" s="113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4"/>
      <c r="Z18" s="114"/>
      <c r="AA18" s="114"/>
      <c r="AB18" s="102" t="s">
        <v>31</v>
      </c>
    </row>
    <row r="19" spans="1:44" s="11" customFormat="1" ht="15.75" x14ac:dyDescent="0.4">
      <c r="A19" s="5" t="s">
        <v>32</v>
      </c>
      <c r="B19" s="112"/>
      <c r="C19" s="112"/>
      <c r="D19" s="112"/>
      <c r="E19" s="113"/>
      <c r="F19" s="113"/>
      <c r="G19" s="113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4"/>
      <c r="Z19" s="114"/>
      <c r="AA19" s="114"/>
      <c r="AB19" s="102" t="s">
        <v>33</v>
      </c>
    </row>
    <row r="20" spans="1:44" s="11" customFormat="1" ht="15.75" x14ac:dyDescent="0.4">
      <c r="A20" s="92" t="s">
        <v>34</v>
      </c>
      <c r="B20" s="115"/>
      <c r="C20" s="115"/>
      <c r="D20" s="115"/>
      <c r="E20" s="116"/>
      <c r="F20" s="116"/>
      <c r="G20" s="116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7"/>
      <c r="Z20" s="117"/>
      <c r="AA20" s="117"/>
      <c r="AB20" s="103" t="s">
        <v>35</v>
      </c>
    </row>
    <row r="21" spans="1:44" ht="18.75" x14ac:dyDescent="0.25">
      <c r="A21" s="6" t="s">
        <v>7</v>
      </c>
      <c r="AB21" s="9" t="s">
        <v>8</v>
      </c>
      <c r="AO21" s="11"/>
      <c r="AP21" s="90" t="s">
        <v>2</v>
      </c>
      <c r="AQ21" s="90" t="s">
        <v>3</v>
      </c>
    </row>
    <row r="22" spans="1:44" ht="15" customHeight="1" x14ac:dyDescent="0.25">
      <c r="AN22" s="20"/>
      <c r="AO22" s="20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21"/>
      <c r="C23" s="22"/>
      <c r="D23" s="22"/>
      <c r="E23" s="22"/>
      <c r="F23" s="23"/>
      <c r="G23" s="23"/>
      <c r="R23" s="24"/>
      <c r="S23" s="24"/>
      <c r="U23" s="24"/>
      <c r="V23" s="24"/>
      <c r="X23" s="24"/>
      <c r="Y23" s="24"/>
      <c r="Z23" s="24"/>
      <c r="AA23" s="24"/>
      <c r="AB23" s="24"/>
      <c r="AE23" s="24"/>
      <c r="AM23" s="1"/>
      <c r="AN23" s="20"/>
      <c r="AO23" s="20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5"/>
      <c r="T24" s="15"/>
      <c r="W24" s="15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21"/>
      <c r="C25" s="22"/>
      <c r="D25" s="22"/>
      <c r="E25" s="22"/>
      <c r="F25" s="23"/>
      <c r="G25" s="23"/>
      <c r="R25" s="24"/>
      <c r="S25" s="24"/>
      <c r="U25" s="24"/>
      <c r="V25" s="24"/>
      <c r="X25" s="24"/>
      <c r="Y25" s="24"/>
      <c r="Z25" s="24"/>
      <c r="AA25" s="24"/>
      <c r="AB25" s="24"/>
      <c r="AE25" s="24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5"/>
      <c r="T26" s="15"/>
      <c r="W26" s="15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2"/>
      <c r="E29" s="22"/>
      <c r="F29" s="23"/>
      <c r="G29" s="23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09" customFormat="1" ht="21.75" customHeight="1" x14ac:dyDescent="0.55000000000000004">
      <c r="A44" s="149" t="s">
        <v>9</v>
      </c>
      <c r="B44" s="120"/>
      <c r="D44" s="121"/>
      <c r="F44" s="121"/>
      <c r="G44" s="152" t="s">
        <v>36</v>
      </c>
      <c r="H44" s="153"/>
      <c r="I44" s="153"/>
      <c r="J44" s="153"/>
      <c r="K44" s="154"/>
      <c r="L44" s="108"/>
      <c r="M44" s="122"/>
      <c r="N44" s="108"/>
      <c r="O44" s="122"/>
      <c r="P44" s="155" t="s">
        <v>37</v>
      </c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21"/>
      <c r="AC44" s="157" t="s">
        <v>38</v>
      </c>
      <c r="AD44" s="158"/>
      <c r="AE44" s="158"/>
      <c r="AF44" s="158"/>
      <c r="AG44" s="158"/>
      <c r="AH44" s="158"/>
      <c r="AI44" s="158"/>
      <c r="AJ44" s="158"/>
      <c r="AK44" s="107"/>
      <c r="AL44" s="157" t="s">
        <v>39</v>
      </c>
      <c r="AM44" s="158"/>
      <c r="AN44" s="158"/>
      <c r="AO44" s="158"/>
      <c r="AP44" s="158"/>
      <c r="AQ44" s="158"/>
      <c r="AR44" s="158"/>
      <c r="AS44" s="107"/>
      <c r="AT44" s="157" t="s">
        <v>40</v>
      </c>
      <c r="AU44" s="158"/>
      <c r="AV44" s="158"/>
      <c r="AW44" s="158"/>
      <c r="AX44" s="158"/>
      <c r="AY44" s="118"/>
      <c r="AZ44" s="107"/>
      <c r="BA44" s="157" t="s">
        <v>41</v>
      </c>
      <c r="BB44" s="158"/>
      <c r="BC44" s="158"/>
      <c r="BD44" s="158"/>
      <c r="BE44" s="175"/>
      <c r="BF44" s="106"/>
      <c r="BG44" s="176" t="s">
        <v>42</v>
      </c>
      <c r="BH44" s="177"/>
      <c r="BI44" s="177"/>
      <c r="BJ44" s="177"/>
      <c r="BK44" s="178"/>
      <c r="BL44" s="157" t="s">
        <v>43</v>
      </c>
      <c r="BM44" s="158"/>
      <c r="BN44" s="158"/>
      <c r="BO44" s="158"/>
      <c r="BP44" s="175"/>
      <c r="BQ44" s="157" t="s">
        <v>44</v>
      </c>
      <c r="BR44" s="158"/>
      <c r="BS44" s="158"/>
      <c r="BT44" s="159" t="s">
        <v>11</v>
      </c>
    </row>
    <row r="45" spans="1:80" s="110" customFormat="1" ht="16.5" customHeight="1" x14ac:dyDescent="0.25">
      <c r="A45" s="150"/>
      <c r="B45" s="123"/>
      <c r="D45" s="124"/>
      <c r="F45" s="124"/>
      <c r="G45" s="162" t="s">
        <v>45</v>
      </c>
      <c r="H45" s="163"/>
      <c r="I45" s="163"/>
      <c r="J45" s="163"/>
      <c r="K45" s="164"/>
      <c r="M45" s="124"/>
      <c r="O45" s="124"/>
      <c r="P45" s="165" t="s">
        <v>46</v>
      </c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24"/>
      <c r="AC45" s="167" t="s">
        <v>61</v>
      </c>
      <c r="AD45" s="168"/>
      <c r="AE45" s="168"/>
      <c r="AF45" s="168"/>
      <c r="AG45" s="168"/>
      <c r="AH45" s="168"/>
      <c r="AI45" s="168"/>
      <c r="AJ45" s="168"/>
      <c r="AK45" s="111"/>
      <c r="AL45" s="167" t="s">
        <v>62</v>
      </c>
      <c r="AM45" s="168"/>
      <c r="AN45" s="168"/>
      <c r="AO45" s="168"/>
      <c r="AP45" s="168"/>
      <c r="AQ45" s="168"/>
      <c r="AR45" s="168"/>
      <c r="AS45" s="111"/>
      <c r="AT45" s="167" t="s">
        <v>63</v>
      </c>
      <c r="AU45" s="168"/>
      <c r="AV45" s="168"/>
      <c r="AW45" s="168"/>
      <c r="AX45" s="168"/>
      <c r="AY45" s="119"/>
      <c r="AZ45" s="111"/>
      <c r="BA45" s="169" t="s">
        <v>64</v>
      </c>
      <c r="BB45" s="170"/>
      <c r="BC45" s="170"/>
      <c r="BD45" s="170"/>
      <c r="BE45" s="171"/>
      <c r="BG45" s="172" t="s">
        <v>65</v>
      </c>
      <c r="BH45" s="173"/>
      <c r="BI45" s="173"/>
      <c r="BJ45" s="173"/>
      <c r="BK45" s="174"/>
      <c r="BL45" s="169" t="s">
        <v>66</v>
      </c>
      <c r="BM45" s="170"/>
      <c r="BN45" s="170"/>
      <c r="BO45" s="170"/>
      <c r="BP45" s="171"/>
      <c r="BQ45" s="169" t="s">
        <v>67</v>
      </c>
      <c r="BR45" s="170"/>
      <c r="BS45" s="170"/>
      <c r="BT45" s="160"/>
    </row>
    <row r="46" spans="1:80" ht="23.25" customHeight="1" x14ac:dyDescent="0.25">
      <c r="A46" s="151"/>
      <c r="B46" s="125"/>
      <c r="C46" s="126">
        <v>2011</v>
      </c>
      <c r="D46" s="126">
        <v>2012</v>
      </c>
      <c r="E46" s="127">
        <v>2013</v>
      </c>
      <c r="F46" s="128">
        <v>2014</v>
      </c>
      <c r="G46" s="129">
        <v>2015</v>
      </c>
      <c r="H46" s="130">
        <v>2016</v>
      </c>
      <c r="I46" s="131">
        <v>2017</v>
      </c>
      <c r="J46" s="131">
        <v>2018</v>
      </c>
      <c r="K46" s="131">
        <v>2019</v>
      </c>
      <c r="L46" s="132">
        <v>2011</v>
      </c>
      <c r="M46" s="132">
        <v>2012</v>
      </c>
      <c r="N46" s="132">
        <v>2013</v>
      </c>
      <c r="O46" s="131">
        <v>2014</v>
      </c>
      <c r="P46" s="129">
        <v>2015</v>
      </c>
      <c r="Q46" s="131">
        <v>2016</v>
      </c>
      <c r="R46" s="132">
        <v>2011</v>
      </c>
      <c r="S46" s="132">
        <v>2012</v>
      </c>
      <c r="T46" s="131">
        <v>2013</v>
      </c>
      <c r="U46" s="131">
        <v>2014</v>
      </c>
      <c r="V46" s="132">
        <v>2011</v>
      </c>
      <c r="W46" s="132">
        <v>2012</v>
      </c>
      <c r="X46" s="131">
        <v>2013</v>
      </c>
      <c r="Y46" s="131">
        <v>2017</v>
      </c>
      <c r="Z46" s="131">
        <v>2018</v>
      </c>
      <c r="AA46" s="133">
        <v>2019</v>
      </c>
      <c r="AB46" s="131">
        <v>2014</v>
      </c>
      <c r="AC46" s="27">
        <v>2015</v>
      </c>
      <c r="AD46" s="27">
        <v>2016</v>
      </c>
      <c r="AE46" s="95">
        <v>2011</v>
      </c>
      <c r="AF46" s="95">
        <v>2012</v>
      </c>
      <c r="AG46" s="95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95">
        <v>2012</v>
      </c>
      <c r="AQ46" s="95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95">
        <v>2013</v>
      </c>
      <c r="AW46" s="27">
        <v>2017</v>
      </c>
      <c r="AX46" s="27">
        <v>2018</v>
      </c>
      <c r="AY46" s="27">
        <v>2019</v>
      </c>
      <c r="AZ46" s="95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95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61"/>
      <c r="BU46" s="2"/>
    </row>
    <row r="47" spans="1:80" ht="23.25" customHeight="1" x14ac:dyDescent="0.4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104" t="s">
        <v>5</v>
      </c>
    </row>
    <row r="48" spans="1:80" ht="23.25" customHeight="1" x14ac:dyDescent="0.4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102" t="s">
        <v>13</v>
      </c>
      <c r="BY48" s="25"/>
      <c r="BZ48" s="25"/>
      <c r="CA48" s="25"/>
      <c r="CB48" s="25"/>
    </row>
    <row r="49" spans="1:80" ht="23.25" customHeight="1" x14ac:dyDescent="0.4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102" t="s">
        <v>15</v>
      </c>
    </row>
    <row r="50" spans="1:80" ht="23.25" customHeight="1" x14ac:dyDescent="0.4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102" t="s">
        <v>17</v>
      </c>
    </row>
    <row r="51" spans="1:80" ht="23.25" customHeight="1" x14ac:dyDescent="0.4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102" t="s">
        <v>19</v>
      </c>
      <c r="BY51" s="25"/>
      <c r="BZ51" s="25"/>
      <c r="CA51" s="25"/>
      <c r="CB51" s="25"/>
    </row>
    <row r="52" spans="1:80" ht="23.25" customHeight="1" x14ac:dyDescent="0.4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102" t="s">
        <v>21</v>
      </c>
    </row>
    <row r="53" spans="1:80" ht="23.25" customHeight="1" x14ac:dyDescent="0.4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102" t="s">
        <v>23</v>
      </c>
    </row>
    <row r="54" spans="1:80" ht="23.25" customHeight="1" x14ac:dyDescent="0.4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102" t="s">
        <v>25</v>
      </c>
      <c r="BY54" s="25"/>
      <c r="BZ54" s="25"/>
      <c r="CA54" s="25"/>
      <c r="CB54" s="25"/>
    </row>
    <row r="55" spans="1:80" ht="23.25" customHeight="1" x14ac:dyDescent="0.4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102" t="s">
        <v>27</v>
      </c>
    </row>
    <row r="56" spans="1:80" ht="23.25" customHeight="1" x14ac:dyDescent="0.4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102" t="s">
        <v>29</v>
      </c>
    </row>
    <row r="57" spans="1:80" ht="23.25" customHeight="1" x14ac:dyDescent="0.4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102" t="s">
        <v>31</v>
      </c>
      <c r="BY57" s="25"/>
      <c r="BZ57" s="25"/>
      <c r="CA57" s="25"/>
      <c r="CB57" s="25"/>
    </row>
    <row r="58" spans="1:80" ht="23.25" customHeight="1" x14ac:dyDescent="0.4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102" t="s">
        <v>33</v>
      </c>
    </row>
    <row r="59" spans="1:80" ht="23.25" customHeight="1" x14ac:dyDescent="0.4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103" t="s">
        <v>35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8</v>
      </c>
      <c r="BX60" s="20"/>
      <c r="BY60" s="25"/>
      <c r="BZ60" s="25"/>
      <c r="CA60" s="25"/>
      <c r="CB60" s="25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L47"/>
  <sheetViews>
    <sheetView tabSelected="1" zoomScale="142" zoomScaleNormal="142" workbookViewId="0">
      <selection activeCell="G10" sqref="G10"/>
    </sheetView>
  </sheetViews>
  <sheetFormatPr defaultColWidth="9.140625" defaultRowHeight="15" x14ac:dyDescent="0.25"/>
  <cols>
    <col min="1" max="1" width="12.140625" style="10" customWidth="1"/>
    <col min="2" max="10" width="14.5703125" style="10" customWidth="1"/>
    <col min="11" max="11" width="9.140625" style="10"/>
    <col min="12" max="12" width="8.85546875" style="10" customWidth="1"/>
    <col min="13" max="16384" width="9.140625" style="10"/>
  </cols>
  <sheetData>
    <row r="1" spans="1:12" s="57" customFormat="1" ht="12" x14ac:dyDescent="0.25"/>
    <row r="3" spans="1:12" ht="23.25" customHeight="1" x14ac:dyDescent="0.55000000000000004">
      <c r="A3" s="180" t="s">
        <v>71</v>
      </c>
      <c r="B3" s="180"/>
      <c r="C3" s="180"/>
      <c r="D3" s="180"/>
      <c r="E3" s="180"/>
      <c r="F3" s="180"/>
      <c r="G3" s="180"/>
      <c r="H3" s="59"/>
      <c r="I3" s="59"/>
      <c r="J3" s="59"/>
      <c r="K3" s="55"/>
      <c r="L3" s="3"/>
    </row>
    <row r="4" spans="1:12" ht="15" customHeight="1" x14ac:dyDescent="0.25">
      <c r="A4" s="137" t="s">
        <v>70</v>
      </c>
      <c r="B4" s="137"/>
      <c r="C4" s="137"/>
      <c r="D4" s="137"/>
      <c r="E4" s="137"/>
      <c r="F4" s="137"/>
      <c r="G4" s="137"/>
      <c r="H4" s="60"/>
      <c r="I4" s="60"/>
      <c r="J4" s="60"/>
      <c r="K4" s="55"/>
      <c r="L4" s="3"/>
    </row>
    <row r="5" spans="1:12" x14ac:dyDescent="0.25">
      <c r="A5" s="179" t="s">
        <v>60</v>
      </c>
      <c r="B5" s="179"/>
      <c r="C5" s="179"/>
      <c r="D5" s="179"/>
      <c r="E5" s="179"/>
      <c r="F5" s="179"/>
      <c r="G5" s="179"/>
      <c r="H5" s="181"/>
      <c r="I5" s="181"/>
      <c r="J5" s="181"/>
      <c r="K5" s="55"/>
      <c r="L5" s="3"/>
    </row>
    <row r="6" spans="1:12" ht="15" customHeight="1" x14ac:dyDescent="0.25">
      <c r="A6" s="134"/>
      <c r="B6" s="134"/>
      <c r="C6" s="182" t="s">
        <v>6</v>
      </c>
      <c r="D6" s="182"/>
      <c r="E6" s="183" t="s">
        <v>10</v>
      </c>
      <c r="F6" s="184"/>
      <c r="G6" s="140" t="s">
        <v>11</v>
      </c>
      <c r="H6" s="61"/>
      <c r="I6" s="61"/>
      <c r="K6" s="55"/>
      <c r="L6" s="3"/>
    </row>
    <row r="7" spans="1:12" ht="15" customHeight="1" x14ac:dyDescent="0.25">
      <c r="A7" s="4" t="s">
        <v>9</v>
      </c>
      <c r="B7" s="135" t="s">
        <v>59</v>
      </c>
      <c r="C7" s="62" t="s">
        <v>57</v>
      </c>
      <c r="D7" s="62" t="s">
        <v>58</v>
      </c>
      <c r="E7" s="63" t="s">
        <v>57</v>
      </c>
      <c r="F7" s="62" t="s">
        <v>58</v>
      </c>
      <c r="G7" s="142"/>
      <c r="H7" s="12"/>
      <c r="K7" s="55"/>
      <c r="L7" s="3"/>
    </row>
    <row r="8" spans="1:12" ht="17.25" x14ac:dyDescent="0.4">
      <c r="A8" s="14" t="s">
        <v>4</v>
      </c>
      <c r="B8" s="64">
        <f t="shared" ref="B8:B20" si="0">SUM(C8:H8)</f>
        <v>249843.90000000005</v>
      </c>
      <c r="C8" s="65">
        <f>SUM(C9:C20)</f>
        <v>221799.50000000006</v>
      </c>
      <c r="D8" s="66">
        <f>SUM(D9:D20)</f>
        <v>10863.599999999999</v>
      </c>
      <c r="E8" s="67">
        <f>SUM(E9:E20)</f>
        <v>1498.3999999999999</v>
      </c>
      <c r="F8" s="66">
        <f>SUM(F9:F20)</f>
        <v>15682.4</v>
      </c>
      <c r="G8" s="96" t="s">
        <v>5</v>
      </c>
      <c r="H8" s="68"/>
      <c r="K8" s="55"/>
      <c r="L8" s="3"/>
    </row>
    <row r="9" spans="1:12" ht="17.25" x14ac:dyDescent="0.4">
      <c r="A9" s="13" t="s">
        <v>12</v>
      </c>
      <c r="B9" s="69">
        <f t="shared" si="0"/>
        <v>13824.100000000004</v>
      </c>
      <c r="C9" s="70">
        <v>11042.200000000004</v>
      </c>
      <c r="D9" s="71">
        <v>1582.1000000000001</v>
      </c>
      <c r="E9" s="72">
        <v>92.5</v>
      </c>
      <c r="F9" s="73">
        <v>1107.3</v>
      </c>
      <c r="G9" s="97" t="s">
        <v>13</v>
      </c>
      <c r="H9" s="74"/>
      <c r="K9" s="55"/>
      <c r="L9" s="3"/>
    </row>
    <row r="10" spans="1:12" ht="17.25" x14ac:dyDescent="0.4">
      <c r="A10" s="13" t="s">
        <v>14</v>
      </c>
      <c r="B10" s="69">
        <f t="shared" si="0"/>
        <v>10435.100000000002</v>
      </c>
      <c r="C10" s="70">
        <v>8563.6000000000022</v>
      </c>
      <c r="D10" s="71">
        <v>690.10000000000014</v>
      </c>
      <c r="E10" s="72">
        <v>121.99999999999999</v>
      </c>
      <c r="F10" s="73">
        <v>1059.4000000000001</v>
      </c>
      <c r="G10" s="97" t="s">
        <v>15</v>
      </c>
      <c r="H10" s="74"/>
      <c r="K10" s="55"/>
      <c r="L10" s="3"/>
    </row>
    <row r="11" spans="1:12" ht="17.25" x14ac:dyDescent="0.4">
      <c r="A11" s="13" t="s">
        <v>16</v>
      </c>
      <c r="B11" s="69">
        <f t="shared" si="0"/>
        <v>16556.000000000004</v>
      </c>
      <c r="C11" s="70">
        <v>13685.400000000003</v>
      </c>
      <c r="D11" s="71">
        <v>1147.6000000000001</v>
      </c>
      <c r="E11" s="72">
        <v>107.80000000000001</v>
      </c>
      <c r="F11" s="73">
        <v>1615.1999999999998</v>
      </c>
      <c r="G11" s="97" t="s">
        <v>17</v>
      </c>
      <c r="H11" s="74"/>
      <c r="K11" s="55"/>
      <c r="L11" s="3"/>
    </row>
    <row r="12" spans="1:12" ht="17.25" x14ac:dyDescent="0.4">
      <c r="A12" s="13" t="s">
        <v>18</v>
      </c>
      <c r="B12" s="69">
        <f t="shared" si="0"/>
        <v>16968.900000000001</v>
      </c>
      <c r="C12" s="70">
        <v>14914.500000000002</v>
      </c>
      <c r="D12" s="71">
        <v>604.69999999999993</v>
      </c>
      <c r="E12" s="72">
        <v>289.29999999999995</v>
      </c>
      <c r="F12" s="73">
        <v>1160.3999999999996</v>
      </c>
      <c r="G12" s="97" t="s">
        <v>19</v>
      </c>
      <c r="H12" s="74"/>
      <c r="K12" s="55"/>
      <c r="L12" s="3"/>
    </row>
    <row r="13" spans="1:12" ht="17.25" x14ac:dyDescent="0.4">
      <c r="A13" s="13" t="s">
        <v>20</v>
      </c>
      <c r="B13" s="69">
        <f t="shared" si="0"/>
        <v>19314.800000000003</v>
      </c>
      <c r="C13" s="70">
        <v>16203.300000000005</v>
      </c>
      <c r="D13" s="71">
        <v>542.5</v>
      </c>
      <c r="E13" s="72">
        <v>130.39999999999998</v>
      </c>
      <c r="F13" s="73">
        <v>2438.6</v>
      </c>
      <c r="G13" s="97" t="s">
        <v>21</v>
      </c>
      <c r="H13" s="74"/>
      <c r="K13" s="55"/>
      <c r="L13" s="55"/>
    </row>
    <row r="14" spans="1:12" ht="17.25" x14ac:dyDescent="0.4">
      <c r="A14" s="13" t="s">
        <v>22</v>
      </c>
      <c r="B14" s="69">
        <f t="shared" si="0"/>
        <v>21477.8</v>
      </c>
      <c r="C14" s="70">
        <v>18465.400000000001</v>
      </c>
      <c r="D14" s="71">
        <v>1130.4999999999998</v>
      </c>
      <c r="E14" s="72">
        <v>138.10000000000005</v>
      </c>
      <c r="F14" s="73">
        <v>1743.7999999999997</v>
      </c>
      <c r="G14" s="97" t="s">
        <v>23</v>
      </c>
      <c r="H14" s="74"/>
      <c r="K14" s="55"/>
      <c r="L14" s="55"/>
    </row>
    <row r="15" spans="1:12" ht="17.25" x14ac:dyDescent="0.4">
      <c r="A15" s="13" t="s">
        <v>24</v>
      </c>
      <c r="B15" s="69">
        <f t="shared" si="0"/>
        <v>19876.3</v>
      </c>
      <c r="C15" s="70">
        <v>17663.800000000003</v>
      </c>
      <c r="D15" s="71">
        <v>691.3</v>
      </c>
      <c r="E15" s="72">
        <v>85.600000000000009</v>
      </c>
      <c r="F15" s="73">
        <v>1435.6</v>
      </c>
      <c r="G15" s="97" t="s">
        <v>25</v>
      </c>
      <c r="H15" s="74"/>
      <c r="K15" s="55"/>
      <c r="L15" s="55"/>
    </row>
    <row r="16" spans="1:12" ht="17.25" x14ac:dyDescent="0.4">
      <c r="A16" s="13" t="s">
        <v>26</v>
      </c>
      <c r="B16" s="69">
        <f t="shared" si="0"/>
        <v>21946.7</v>
      </c>
      <c r="C16" s="70">
        <v>20101.8</v>
      </c>
      <c r="D16" s="71">
        <v>765.90000000000009</v>
      </c>
      <c r="E16" s="72">
        <v>96.799999999999983</v>
      </c>
      <c r="F16" s="73">
        <v>982.2</v>
      </c>
      <c r="G16" s="97" t="s">
        <v>27</v>
      </c>
      <c r="H16" s="74"/>
      <c r="K16" s="55"/>
      <c r="L16" s="55"/>
    </row>
    <row r="17" spans="1:12" ht="17.25" x14ac:dyDescent="0.4">
      <c r="A17" s="13" t="s">
        <v>28</v>
      </c>
      <c r="B17" s="69">
        <f t="shared" si="0"/>
        <v>26528.300000000003</v>
      </c>
      <c r="C17" s="70">
        <v>24601.7</v>
      </c>
      <c r="D17" s="71">
        <v>1672.9</v>
      </c>
      <c r="E17" s="72">
        <v>130.19999999999999</v>
      </c>
      <c r="F17" s="73">
        <v>123.49999999999997</v>
      </c>
      <c r="G17" s="97" t="s">
        <v>29</v>
      </c>
      <c r="H17" s="74"/>
      <c r="K17" s="55"/>
      <c r="L17" s="55"/>
    </row>
    <row r="18" spans="1:12" ht="17.25" x14ac:dyDescent="0.4">
      <c r="A18" s="13" t="s">
        <v>30</v>
      </c>
      <c r="B18" s="75">
        <f t="shared" si="0"/>
        <v>23806.000000000004</v>
      </c>
      <c r="C18" s="76">
        <v>22260.800000000007</v>
      </c>
      <c r="D18" s="77">
        <v>868.8</v>
      </c>
      <c r="E18" s="78">
        <v>106.3</v>
      </c>
      <c r="F18" s="79">
        <v>570.1</v>
      </c>
      <c r="G18" s="97" t="s">
        <v>31</v>
      </c>
      <c r="H18" s="74"/>
      <c r="K18" s="55"/>
      <c r="L18" s="55"/>
    </row>
    <row r="19" spans="1:12" ht="17.25" x14ac:dyDescent="0.4">
      <c r="A19" s="13" t="s">
        <v>32</v>
      </c>
      <c r="B19" s="68">
        <f t="shared" si="0"/>
        <v>31469.5</v>
      </c>
      <c r="C19" s="80">
        <v>29008.2</v>
      </c>
      <c r="D19" s="80">
        <v>685.9</v>
      </c>
      <c r="E19" s="81">
        <v>118.09999999999997</v>
      </c>
      <c r="F19" s="74">
        <v>1657.3</v>
      </c>
      <c r="G19" s="97" t="s">
        <v>33</v>
      </c>
      <c r="H19" s="74"/>
      <c r="K19" s="55"/>
      <c r="L19" s="55"/>
    </row>
    <row r="20" spans="1:12" ht="17.25" x14ac:dyDescent="0.4">
      <c r="A20" s="93" t="s">
        <v>34</v>
      </c>
      <c r="B20" s="99">
        <f t="shared" si="0"/>
        <v>27640.399999999998</v>
      </c>
      <c r="C20" s="82">
        <v>25288.799999999999</v>
      </c>
      <c r="D20" s="83">
        <v>481.29999999999995</v>
      </c>
      <c r="E20" s="84">
        <v>81.300000000000011</v>
      </c>
      <c r="F20" s="85">
        <v>1789.0000000000002</v>
      </c>
      <c r="G20" s="98" t="s">
        <v>35</v>
      </c>
      <c r="H20" s="86"/>
      <c r="K20" s="55"/>
      <c r="L20" s="55"/>
    </row>
    <row r="21" spans="1:12" ht="18.75" x14ac:dyDescent="0.25">
      <c r="A21" s="6" t="s">
        <v>7</v>
      </c>
      <c r="B21" s="6"/>
      <c r="C21" s="7"/>
      <c r="D21" s="7"/>
      <c r="E21" s="7"/>
      <c r="F21" s="7"/>
      <c r="G21" s="87" t="s">
        <v>8</v>
      </c>
      <c r="H21" s="7"/>
      <c r="I21" s="15"/>
      <c r="K21" s="55"/>
      <c r="L21" s="55"/>
    </row>
    <row r="22" spans="1:12" x14ac:dyDescent="0.25">
      <c r="A22" s="88"/>
      <c r="B22" s="89"/>
      <c r="C22" s="89"/>
      <c r="D22" s="89"/>
      <c r="E22" s="89"/>
      <c r="F22" s="89"/>
      <c r="G22" s="89"/>
      <c r="H22" s="89"/>
      <c r="I22" s="89"/>
    </row>
    <row r="23" spans="1:12" ht="17.25" x14ac:dyDescent="0.25">
      <c r="A23" s="89"/>
      <c r="B23" s="89"/>
      <c r="C23" s="89"/>
      <c r="D23" s="89"/>
      <c r="E23" s="89"/>
      <c r="F23" s="89"/>
      <c r="G23" s="89"/>
      <c r="H23" s="89"/>
      <c r="I23" s="89"/>
      <c r="J23" s="56"/>
    </row>
    <row r="24" spans="1:12" s="57" customFormat="1" ht="15" customHeight="1" x14ac:dyDescent="0.25">
      <c r="L24" s="58"/>
    </row>
    <row r="25" spans="1:12" s="57" customFormat="1" ht="12" x14ac:dyDescent="0.25"/>
    <row r="27" spans="1:12" ht="23.25" customHeight="1" x14ac:dyDescent="0.55000000000000004">
      <c r="A27" s="180" t="s">
        <v>73</v>
      </c>
      <c r="B27" s="180"/>
      <c r="C27" s="180"/>
      <c r="D27" s="180"/>
      <c r="E27" s="180"/>
      <c r="F27" s="180"/>
      <c r="G27" s="180"/>
      <c r="H27" s="59"/>
      <c r="I27" s="59"/>
      <c r="J27" s="59"/>
      <c r="K27" s="55"/>
      <c r="L27" s="3"/>
    </row>
    <row r="28" spans="1:12" ht="15" customHeight="1" x14ac:dyDescent="0.25">
      <c r="A28" s="137" t="s">
        <v>72</v>
      </c>
      <c r="B28" s="137"/>
      <c r="C28" s="137"/>
      <c r="D28" s="137"/>
      <c r="E28" s="137"/>
      <c r="F28" s="137"/>
      <c r="G28" s="137"/>
      <c r="H28" s="60"/>
      <c r="I28" s="60"/>
      <c r="J28" s="60"/>
      <c r="K28" s="55"/>
      <c r="L28" s="3"/>
    </row>
    <row r="29" spans="1:12" x14ac:dyDescent="0.25">
      <c r="A29" s="179" t="s">
        <v>60</v>
      </c>
      <c r="B29" s="179"/>
      <c r="C29" s="179"/>
      <c r="D29" s="179"/>
      <c r="E29" s="179"/>
      <c r="F29" s="179"/>
      <c r="G29" s="179"/>
      <c r="H29" s="181"/>
      <c r="I29" s="181"/>
      <c r="J29" s="181"/>
      <c r="K29" s="55"/>
      <c r="L29" s="3"/>
    </row>
    <row r="30" spans="1:12" ht="15" customHeight="1" x14ac:dyDescent="0.25">
      <c r="A30" s="134"/>
      <c r="B30" s="134"/>
      <c r="C30" s="182" t="s">
        <v>6</v>
      </c>
      <c r="D30" s="182"/>
      <c r="E30" s="183" t="s">
        <v>10</v>
      </c>
      <c r="F30" s="184"/>
      <c r="G30" s="140" t="s">
        <v>11</v>
      </c>
      <c r="H30" s="61"/>
      <c r="I30" s="61"/>
      <c r="K30" s="55"/>
      <c r="L30" s="3"/>
    </row>
    <row r="31" spans="1:12" ht="15" customHeight="1" x14ac:dyDescent="0.25">
      <c r="A31" s="4" t="s">
        <v>9</v>
      </c>
      <c r="B31" s="135" t="s">
        <v>59</v>
      </c>
      <c r="C31" s="62" t="s">
        <v>57</v>
      </c>
      <c r="D31" s="62" t="s">
        <v>58</v>
      </c>
      <c r="E31" s="63" t="s">
        <v>57</v>
      </c>
      <c r="F31" s="62" t="s">
        <v>58</v>
      </c>
      <c r="G31" s="142"/>
      <c r="H31" s="12"/>
      <c r="K31" s="55"/>
      <c r="L31" s="3"/>
    </row>
    <row r="32" spans="1:12" ht="17.25" x14ac:dyDescent="0.4">
      <c r="A32" s="14" t="s">
        <v>4</v>
      </c>
      <c r="B32" s="64">
        <f t="shared" ref="B32:B44" si="1">SUM(C32:H32)</f>
        <v>173814.59999999998</v>
      </c>
      <c r="C32" s="65">
        <f>SUM(C33:C44)</f>
        <v>137968.19999999998</v>
      </c>
      <c r="D32" s="66">
        <f>SUM(D33:D44)</f>
        <v>30919.5</v>
      </c>
      <c r="E32" s="67">
        <f>SUM(E33:E44)</f>
        <v>864.30000000000007</v>
      </c>
      <c r="F32" s="66">
        <f>SUM(F33:F44)</f>
        <v>4062.6</v>
      </c>
      <c r="G32" s="96" t="s">
        <v>5</v>
      </c>
      <c r="H32" s="68"/>
      <c r="K32" s="55"/>
      <c r="L32" s="3"/>
    </row>
    <row r="33" spans="1:12" ht="17.25" x14ac:dyDescent="0.4">
      <c r="A33" s="13" t="s">
        <v>12</v>
      </c>
      <c r="B33" s="69">
        <f t="shared" si="1"/>
        <v>11186.6</v>
      </c>
      <c r="C33" s="70">
        <v>9855.9</v>
      </c>
      <c r="D33" s="71">
        <v>1107.8</v>
      </c>
      <c r="E33" s="72">
        <v>74.700000000000017</v>
      </c>
      <c r="F33" s="73">
        <v>148.20000000000002</v>
      </c>
      <c r="G33" s="97" t="s">
        <v>13</v>
      </c>
      <c r="H33" s="74"/>
      <c r="K33" s="55"/>
      <c r="L33" s="3"/>
    </row>
    <row r="34" spans="1:12" ht="17.25" x14ac:dyDescent="0.4">
      <c r="A34" s="13" t="s">
        <v>14</v>
      </c>
      <c r="B34" s="69">
        <f t="shared" si="1"/>
        <v>8719.2000000000007</v>
      </c>
      <c r="C34" s="70">
        <v>7197.2000000000016</v>
      </c>
      <c r="D34" s="71">
        <v>1320.3</v>
      </c>
      <c r="E34" s="72">
        <v>48.899999999999991</v>
      </c>
      <c r="F34" s="73">
        <v>152.79999999999998</v>
      </c>
      <c r="G34" s="97" t="s">
        <v>15</v>
      </c>
      <c r="H34" s="74"/>
      <c r="K34" s="55"/>
      <c r="L34" s="3"/>
    </row>
    <row r="35" spans="1:12" ht="17.25" x14ac:dyDescent="0.4">
      <c r="A35" s="13" t="s">
        <v>16</v>
      </c>
      <c r="B35" s="69">
        <f t="shared" si="1"/>
        <v>10453.000000000002</v>
      </c>
      <c r="C35" s="70">
        <v>7009.1</v>
      </c>
      <c r="D35" s="71">
        <v>3132.1000000000004</v>
      </c>
      <c r="E35" s="72">
        <v>85.6</v>
      </c>
      <c r="F35" s="73">
        <v>226.2</v>
      </c>
      <c r="G35" s="97" t="s">
        <v>17</v>
      </c>
      <c r="H35" s="74"/>
      <c r="K35" s="55"/>
      <c r="L35" s="3"/>
    </row>
    <row r="36" spans="1:12" ht="17.25" x14ac:dyDescent="0.4">
      <c r="A36" s="13" t="s">
        <v>18</v>
      </c>
      <c r="B36" s="69">
        <f t="shared" si="1"/>
        <v>12046.300000000001</v>
      </c>
      <c r="C36" s="70">
        <v>7309.5</v>
      </c>
      <c r="D36" s="71">
        <v>4371.2</v>
      </c>
      <c r="E36" s="72">
        <v>130</v>
      </c>
      <c r="F36" s="73">
        <v>235.60000000000002</v>
      </c>
      <c r="G36" s="97" t="s">
        <v>19</v>
      </c>
      <c r="H36" s="74"/>
      <c r="K36" s="55"/>
      <c r="L36" s="3"/>
    </row>
    <row r="37" spans="1:12" ht="17.25" x14ac:dyDescent="0.4">
      <c r="A37" s="13" t="s">
        <v>20</v>
      </c>
      <c r="B37" s="69">
        <f t="shared" si="1"/>
        <v>13875.600000000002</v>
      </c>
      <c r="C37" s="70">
        <v>11924.2</v>
      </c>
      <c r="D37" s="71">
        <v>1634.2</v>
      </c>
      <c r="E37" s="72">
        <v>46.499999999999993</v>
      </c>
      <c r="F37" s="73">
        <v>270.70000000000005</v>
      </c>
      <c r="G37" s="97" t="s">
        <v>21</v>
      </c>
      <c r="H37" s="74"/>
      <c r="K37" s="55"/>
      <c r="L37" s="55"/>
    </row>
    <row r="38" spans="1:12" ht="17.25" x14ac:dyDescent="0.4">
      <c r="A38" s="13" t="s">
        <v>22</v>
      </c>
      <c r="B38" s="69">
        <f t="shared" si="1"/>
        <v>11312.899999999998</v>
      </c>
      <c r="C38" s="70">
        <v>9183.7999999999993</v>
      </c>
      <c r="D38" s="71">
        <v>1881.5</v>
      </c>
      <c r="E38" s="72">
        <v>26.299999999999997</v>
      </c>
      <c r="F38" s="73">
        <v>221.29999999999995</v>
      </c>
      <c r="G38" s="97" t="s">
        <v>23</v>
      </c>
      <c r="H38" s="74"/>
      <c r="K38" s="55"/>
      <c r="L38" s="55"/>
    </row>
    <row r="39" spans="1:12" ht="17.25" x14ac:dyDescent="0.4">
      <c r="A39" s="13" t="s">
        <v>24</v>
      </c>
      <c r="B39" s="69">
        <f t="shared" si="1"/>
        <v>19060.2</v>
      </c>
      <c r="C39" s="70">
        <v>14483.1</v>
      </c>
      <c r="D39" s="71">
        <v>4499.8000000000011</v>
      </c>
      <c r="E39" s="72">
        <v>34.800000000000004</v>
      </c>
      <c r="F39" s="73">
        <v>42.5</v>
      </c>
      <c r="G39" s="97" t="s">
        <v>25</v>
      </c>
      <c r="H39" s="74"/>
      <c r="K39" s="55"/>
      <c r="L39" s="55"/>
    </row>
    <row r="40" spans="1:12" ht="17.25" x14ac:dyDescent="0.4">
      <c r="A40" s="13" t="s">
        <v>26</v>
      </c>
      <c r="B40" s="69">
        <f t="shared" si="1"/>
        <v>17005.100000000002</v>
      </c>
      <c r="C40" s="70">
        <v>13259.4</v>
      </c>
      <c r="D40" s="71">
        <v>3581.5</v>
      </c>
      <c r="E40" s="72">
        <v>69.2</v>
      </c>
      <c r="F40" s="73">
        <v>95</v>
      </c>
      <c r="G40" s="97" t="s">
        <v>27</v>
      </c>
      <c r="H40" s="74"/>
      <c r="K40" s="55"/>
      <c r="L40" s="55"/>
    </row>
    <row r="41" spans="1:12" ht="17.25" x14ac:dyDescent="0.4">
      <c r="A41" s="13" t="s">
        <v>28</v>
      </c>
      <c r="B41" s="69">
        <f t="shared" si="1"/>
        <v>19869.900000000001</v>
      </c>
      <c r="C41" s="70">
        <v>17163.399999999998</v>
      </c>
      <c r="D41" s="71">
        <v>2518.4</v>
      </c>
      <c r="E41" s="72">
        <v>92.700000000000031</v>
      </c>
      <c r="F41" s="73">
        <v>95.399999999999977</v>
      </c>
      <c r="G41" s="97" t="s">
        <v>29</v>
      </c>
      <c r="H41" s="74"/>
      <c r="K41" s="55"/>
      <c r="L41" s="55"/>
    </row>
    <row r="42" spans="1:12" ht="17.25" x14ac:dyDescent="0.4">
      <c r="A42" s="13" t="s">
        <v>30</v>
      </c>
      <c r="B42" s="75">
        <f t="shared" si="1"/>
        <v>19119.400000000001</v>
      </c>
      <c r="C42" s="76">
        <v>15100.900000000001</v>
      </c>
      <c r="D42" s="77">
        <v>3868.8</v>
      </c>
      <c r="E42" s="78">
        <v>58.800000000000018</v>
      </c>
      <c r="F42" s="79">
        <v>90.90000000000002</v>
      </c>
      <c r="G42" s="97" t="s">
        <v>31</v>
      </c>
      <c r="H42" s="74"/>
      <c r="K42" s="55"/>
      <c r="L42" s="55"/>
    </row>
    <row r="43" spans="1:12" ht="17.25" x14ac:dyDescent="0.4">
      <c r="A43" s="13" t="s">
        <v>32</v>
      </c>
      <c r="B43" s="68">
        <f t="shared" si="1"/>
        <v>14331.000000000002</v>
      </c>
      <c r="C43" s="80">
        <v>11717.700000000003</v>
      </c>
      <c r="D43" s="80">
        <v>1383.3</v>
      </c>
      <c r="E43" s="81">
        <v>105.39999999999999</v>
      </c>
      <c r="F43" s="74">
        <v>1124.6000000000001</v>
      </c>
      <c r="G43" s="97" t="s">
        <v>33</v>
      </c>
      <c r="H43" s="74"/>
      <c r="K43" s="55"/>
      <c r="L43" s="55"/>
    </row>
    <row r="44" spans="1:12" ht="17.25" x14ac:dyDescent="0.4">
      <c r="A44" s="93" t="s">
        <v>34</v>
      </c>
      <c r="B44" s="99">
        <f t="shared" si="1"/>
        <v>16835.399999999998</v>
      </c>
      <c r="C44" s="82">
        <v>13763.999999999998</v>
      </c>
      <c r="D44" s="83">
        <v>1620.6</v>
      </c>
      <c r="E44" s="84">
        <v>91.4</v>
      </c>
      <c r="F44" s="85">
        <v>1359.4</v>
      </c>
      <c r="G44" s="98" t="s">
        <v>35</v>
      </c>
      <c r="H44" s="86"/>
      <c r="K44" s="55"/>
      <c r="L44" s="55"/>
    </row>
    <row r="45" spans="1:12" ht="18.75" x14ac:dyDescent="0.25">
      <c r="A45" s="6" t="s">
        <v>7</v>
      </c>
      <c r="B45" s="6"/>
      <c r="C45" s="7"/>
      <c r="D45" s="7"/>
      <c r="E45" s="7"/>
      <c r="F45" s="7"/>
      <c r="G45" s="87" t="s">
        <v>8</v>
      </c>
      <c r="H45" s="7"/>
      <c r="I45" s="15"/>
      <c r="K45" s="55"/>
      <c r="L45" s="55"/>
    </row>
    <row r="46" spans="1:12" x14ac:dyDescent="0.25">
      <c r="A46" s="88"/>
      <c r="B46" s="89"/>
      <c r="C46" s="89"/>
      <c r="D46" s="89"/>
      <c r="E46" s="89"/>
      <c r="F46" s="89"/>
      <c r="G46" s="89"/>
      <c r="H46" s="89"/>
      <c r="I46" s="89"/>
    </row>
    <row r="47" spans="1:12" ht="17.25" x14ac:dyDescent="0.25">
      <c r="A47" s="89"/>
      <c r="B47" s="89"/>
      <c r="C47" s="89"/>
      <c r="D47" s="89"/>
      <c r="E47" s="89"/>
      <c r="F47" s="89"/>
      <c r="G47" s="89"/>
      <c r="H47" s="89"/>
      <c r="I47" s="89"/>
      <c r="J47" s="56"/>
    </row>
  </sheetData>
  <mergeCells count="12">
    <mergeCell ref="A3:G3"/>
    <mergeCell ref="A4:G4"/>
    <mergeCell ref="A5:J5"/>
    <mergeCell ref="C6:D6"/>
    <mergeCell ref="E6:F6"/>
    <mergeCell ref="G6:G7"/>
    <mergeCell ref="A27:G27"/>
    <mergeCell ref="A28:G28"/>
    <mergeCell ref="A29:J29"/>
    <mergeCell ref="C30:D30"/>
    <mergeCell ref="E30:F30"/>
    <mergeCell ref="G30:G31"/>
  </mergeCells>
  <pageMargins left="0.7" right="0.7" top="0.75" bottom="0.75" header="0.3" footer="0.3"/>
  <pageSetup scale="79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 11.24</vt:lpstr>
      <vt:lpstr>' 11.24'!Print_Area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2023-07-17T08:19:21Z</cp:lastPrinted>
  <dcterms:created xsi:type="dcterms:W3CDTF">2019-03-24T03:32:16Z</dcterms:created>
  <dcterms:modified xsi:type="dcterms:W3CDTF">2023-07-17T08:19:26Z</dcterms:modified>
</cp:coreProperties>
</file>