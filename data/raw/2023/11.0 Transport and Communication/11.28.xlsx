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C3ACE59C-E8E5-449E-B467-E221B7C23412}" xr6:coauthVersionLast="47" xr6:coauthVersionMax="47" xr10:uidLastSave="{00000000-0000-0000-0000-000000000000}"/>
  <bookViews>
    <workbookView xWindow="-120" yWindow="-120" windowWidth="29040" windowHeight="15720" tabRatio="750" firstSheet="1" activeTab="1" xr2:uid="{00000000-000D-0000-FFFF-FFFF00000000}"/>
  </bookViews>
  <sheets>
    <sheet name="11.15" sheetId="4" state="hidden" r:id="rId1"/>
    <sheet name="11.28" sheetId="19" r:id="rId2"/>
  </sheets>
  <definedNames>
    <definedName name="_xlnm.Print_Area" localSheetId="1">'11.28'!$A$1:$J$64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9" l="1"/>
  <c r="AA51" i="19"/>
  <c r="AB46" i="19"/>
  <c r="AA46" i="19"/>
  <c r="Z46" i="19"/>
  <c r="AB45" i="19"/>
  <c r="AA45" i="19"/>
  <c r="Z45" i="19"/>
  <c r="AB44" i="19"/>
  <c r="AA44" i="19"/>
  <c r="Z44" i="19"/>
  <c r="AB43" i="19"/>
  <c r="AA43" i="19"/>
  <c r="Z43" i="19"/>
  <c r="AB42" i="19"/>
  <c r="AA42" i="19"/>
  <c r="Z42" i="19"/>
  <c r="AB41" i="19"/>
  <c r="AA41" i="19"/>
  <c r="B29" i="19"/>
  <c r="B28" i="19"/>
  <c r="B26" i="19"/>
  <c r="B25" i="19"/>
  <c r="B24" i="19"/>
  <c r="B23" i="19"/>
  <c r="B22" i="19"/>
  <c r="B21" i="19"/>
  <c r="B17" i="19"/>
  <c r="B16" i="19"/>
  <c r="Z41" i="19" s="1"/>
  <c r="B15" i="19"/>
  <c r="B14" i="19"/>
  <c r="B13" i="19"/>
  <c r="B12" i="19"/>
  <c r="B11" i="19"/>
  <c r="B10" i="19"/>
  <c r="B9" i="19"/>
  <c r="B8" i="19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<sst xmlns="http://schemas.openxmlformats.org/spreadsheetml/2006/main" count="213" uniqueCount="98">
  <si>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</si>
  <si>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</si>
  <si>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</si>
  <si>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</si>
  <si>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</si>
  <si>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</si>
  <si>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</si>
  <si>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</si>
  <si>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</si>
  <si>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</si>
  <si>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</si>
  <si>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</si>
  <si>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</si>
  <si>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</si>
  <si>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</si>
  <si>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</si>
  <si>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</si>
  <si>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</si>
  <si>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</si>
  <si>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</si>
  <si>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</si>
  <si>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</si>
  <si>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</si>
  <si>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</si>
  <si>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</si>
  <si>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</si>
  <si>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</si>
  <si>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</si>
  <si>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</si>
  <si>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</si>
  <si>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</si>
  <si>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</si>
  <si>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</si>
  <si>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</si>
  <si>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</si>
  <si>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</si>
  <si>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</si>
  <si>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</si>
  <si>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</si>
  <si>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</si>
  <si>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</si>
  <si>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</si>
  <si>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</si>
  <si>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</si>
  <si>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</si>
  <si>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</si>
  <si>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</si>
  <si>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</si>
  <si>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</si>
  <si>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</si>
  <si>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</si>
  <si>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</si>
  <si>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</si>
  <si>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</si>
  <si>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</si>
  <si>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</si>
  <si>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</si>
  <si>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</si>
  <si>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</si>
  <si>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</si>
  <si>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</si>
  <si>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</si>
  <si>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</si>
  <si>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</si>
  <si>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Prepared by: Communications Authority of Maldives (CAM)</t>
  </si>
  <si>
    <t xml:space="preserve">  (in 000 mins)</t>
  </si>
  <si>
    <t>Year</t>
  </si>
  <si>
    <t>National Call Minutes</t>
  </si>
  <si>
    <t xml:space="preserve"> cawtclOk cnOfeleT egEjcaWr</t>
  </si>
  <si>
    <t>ImWvcqwaclwniawb</t>
  </si>
  <si>
    <t>Land Lines</t>
  </si>
  <si>
    <t>cawtclOk</t>
  </si>
  <si>
    <t xml:space="preserve"> clwkOl</t>
  </si>
  <si>
    <t>egEretcnOz</t>
  </si>
  <si>
    <t xml:space="preserve">      cSwacliawbOm cniawl cDcsckif</t>
  </si>
  <si>
    <t>cawtclOk cliawbOm</t>
  </si>
  <si>
    <t xml:space="preserve">International </t>
  </si>
  <si>
    <t xml:space="preserve">Local </t>
  </si>
  <si>
    <t>Inter- zone</t>
  </si>
  <si>
    <t>Fixed--&gt;Mobile</t>
  </si>
  <si>
    <t>Mobile call Minutes</t>
  </si>
  <si>
    <t>call minutes</t>
  </si>
  <si>
    <t>Note:</t>
  </si>
  <si>
    <t>Considerable increase in 2008 mobile &amp; international minutes as call minutes from pre-paid phones were not included in previous years</t>
  </si>
  <si>
    <t xml:space="preserve">Total Call Minutes for the 2014 is the total sum of Call Mins Oct 2013 - Sep 2014. </t>
  </si>
  <si>
    <t>Source: Telecom Operators – Dhiraagu and Wataniya</t>
  </si>
  <si>
    <t>NA: Data not available</t>
  </si>
  <si>
    <t>Definitions:</t>
  </si>
  <si>
    <r>
      <t xml:space="preserve">Local calls: </t>
    </r>
    <r>
      <rPr>
        <sz val="10"/>
        <color theme="1"/>
        <rFont val="Calibri"/>
        <family val="2"/>
        <scheme val="minor"/>
      </rPr>
      <t>Calls within the same zone, excluding mobile calls</t>
    </r>
  </si>
  <si>
    <r>
      <t xml:space="preserve">Inter-zone calls: </t>
    </r>
    <r>
      <rPr>
        <sz val="10"/>
        <color theme="1"/>
        <rFont val="Calibri"/>
        <family val="2"/>
        <scheme val="minor"/>
      </rPr>
      <t>Calls between zones within the national boundary, excluding mobile calls</t>
    </r>
  </si>
  <si>
    <r>
      <t xml:space="preserve">Fixed--&gt;Mob calls: </t>
    </r>
    <r>
      <rPr>
        <sz val="10"/>
        <color theme="1"/>
        <rFont val="Calibri"/>
        <family val="2"/>
        <scheme val="minor"/>
      </rPr>
      <t>calls from fixed lines to mobiles</t>
    </r>
  </si>
  <si>
    <r>
      <t xml:space="preserve">Mobile calls: </t>
    </r>
    <r>
      <rPr>
        <sz val="10"/>
        <color theme="1"/>
        <rFont val="Calibri"/>
        <family val="2"/>
        <scheme val="minor"/>
      </rPr>
      <t>Calls mobile to mobile and mobile to fixed lines from both Operators</t>
    </r>
  </si>
  <si>
    <t>National Call Minutes in land line</t>
  </si>
  <si>
    <t xml:space="preserve">Mobile call Minutes </t>
  </si>
  <si>
    <t>International call minutes</t>
  </si>
  <si>
    <r>
      <t xml:space="preserve">International calls: </t>
    </r>
    <r>
      <rPr>
        <sz val="10"/>
        <color theme="1"/>
        <rFont val="Calibri"/>
        <family val="2"/>
        <scheme val="minor"/>
      </rPr>
      <t>International calls from fixed lines and mobiles</t>
    </r>
  </si>
  <si>
    <t xml:space="preserve">2022- 2001 ,cnuLug egutWlwsWvum egEjcaWr idwa ImWvcqwaclwniawb : 11.28 clwvWt </t>
  </si>
  <si>
    <t>Table 11.28: INTERNATIONAL AND NATIONAL COMMUNICATION, 2001 - 2022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</si>
</sst>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0.0"/>
    <numFmt numFmtId="167" formatCode="#,##0,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sz val="10"/>
      <color theme="1"/>
      <name val="Arial"/>
      <family val="2"/>
    </font>
    <font>
      <i/>
      <sz val="10"/>
      <color theme="1"/>
      <name val="Calibri"/>
      <family val="2"/>
      <scheme val="minor"/>
    </font>
    <font>
      <sz val="10"/>
      <color theme="1"/>
      <name val="Courier"/>
      <family val="3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_Randhoo"/>
    </font>
    <font>
      <b/>
      <sz val="11"/>
      <color rgb="FF1F497D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A_Randho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16" fillId="0" borderId="0"/>
  </cellStyleXfs>
  <cellXfs count="182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38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38" xfId="2" applyFont="1" applyFill="1" applyBorder="1" applyAlignment="1">
      <alignment horizontal="left" vertical="center"/>
    </xf>
    <xf numFmtId="164" fontId="17" fillId="2" borderId="38" xfId="2" applyFont="1" applyFill="1" applyBorder="1" applyAlignment="1">
      <alignment horizontal="right" vertical="center"/>
    </xf>
    <xf numFmtId="0" fontId="5" fillId="2" borderId="38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38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38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39" fillId="2" borderId="0" xfId="16" applyFont="1" applyFill="1" applyAlignment="1">
      <alignment horizontal="right" vertical="center"/>
    </xf>
    <xf numFmtId="0" fontId="41" fillId="2" borderId="0" xfId="7" applyNumberFormat="1" applyFont="1" applyFill="1" applyAlignment="1">
      <alignment horizontal="left"/>
    </xf>
    <xf numFmtId="164" fontId="44" fillId="2" borderId="0" xfId="7" applyNumberFormat="1" applyFont="1" applyFill="1"/>
    <xf numFmtId="164" fontId="18" fillId="2" borderId="0" xfId="7" applyNumberFormat="1" applyFont="1" applyFill="1"/>
    <xf numFmtId="0" fontId="38" fillId="2" borderId="0" xfId="7" applyNumberFormat="1" applyFont="1" applyFill="1"/>
    <xf numFmtId="0" fontId="39" fillId="2" borderId="31" xfId="16" applyFont="1" applyFill="1" applyBorder="1"/>
    <xf numFmtId="0" fontId="45" fillId="2" borderId="8" xfId="16" applyFont="1" applyFill="1" applyBorder="1" applyAlignment="1">
      <alignment horizontal="right" vertical="center"/>
    </xf>
    <xf numFmtId="164" fontId="18" fillId="2" borderId="38" xfId="7" applyNumberFormat="1" applyFont="1" applyFill="1" applyBorder="1"/>
    <xf numFmtId="0" fontId="45" fillId="2" borderId="38" xfId="16" applyFont="1" applyFill="1" applyBorder="1" applyAlignment="1">
      <alignment horizontal="right" vertical="center"/>
    </xf>
    <xf numFmtId="0" fontId="39" fillId="2" borderId="8" xfId="16" applyFont="1" applyFill="1" applyBorder="1" applyAlignment="1">
      <alignment horizontal="right" vertical="center" wrapText="1"/>
    </xf>
    <xf numFmtId="0" fontId="22" fillId="2" borderId="0" xfId="7" applyNumberFormat="1" applyFont="1" applyFill="1" applyAlignment="1">
      <alignment horizontal="right" vertical="center"/>
    </xf>
    <xf numFmtId="0" fontId="40" fillId="2" borderId="38" xfId="7" applyNumberFormat="1" applyFont="1" applyFill="1" applyBorder="1" applyAlignment="1">
      <alignment horizontal="right"/>
    </xf>
    <xf numFmtId="0" fontId="40" fillId="2" borderId="38" xfId="7" applyNumberFormat="1" applyFont="1" applyFill="1" applyBorder="1" applyAlignment="1">
      <alignment horizontal="right" vertical="center"/>
    </xf>
    <xf numFmtId="0" fontId="22" fillId="2" borderId="0" xfId="7" applyNumberFormat="1" applyFont="1" applyFill="1" applyAlignment="1">
      <alignment horizontal="center" vertical="center"/>
    </xf>
    <xf numFmtId="3" fontId="18" fillId="2" borderId="0" xfId="8" applyNumberFormat="1" applyFont="1" applyFill="1" applyBorder="1" applyAlignment="1">
      <alignment horizontal="right" vertical="center"/>
    </xf>
    <xf numFmtId="3" fontId="18" fillId="2" borderId="0" xfId="7" applyNumberFormat="1" applyFont="1" applyFill="1" applyAlignment="1">
      <alignment horizontal="right" vertical="center"/>
    </xf>
    <xf numFmtId="0" fontId="18" fillId="2" borderId="0" xfId="7" applyNumberFormat="1" applyFont="1" applyFill="1"/>
    <xf numFmtId="0" fontId="22" fillId="2" borderId="0" xfId="0" applyFont="1" applyFill="1" applyAlignment="1">
      <alignment horizontal="center"/>
    </xf>
    <xf numFmtId="3" fontId="18" fillId="2" borderId="0" xfId="0" applyNumberFormat="1" applyFont="1" applyFill="1" applyAlignment="1">
      <alignment horizontal="right" vertical="center"/>
    </xf>
    <xf numFmtId="3" fontId="46" fillId="2" borderId="0" xfId="0" applyNumberFormat="1" applyFont="1" applyFill="1"/>
    <xf numFmtId="3" fontId="18" fillId="2" borderId="0" xfId="7" applyNumberFormat="1" applyFont="1" applyFill="1"/>
    <xf numFmtId="167" fontId="18" fillId="2" borderId="0" xfId="8" applyNumberFormat="1" applyFont="1" applyFill="1" applyBorder="1" applyAlignment="1">
      <alignment horizontal="right" vertical="center"/>
    </xf>
    <xf numFmtId="167" fontId="18" fillId="2" borderId="0" xfId="0" applyNumberFormat="1" applyFont="1" applyFill="1" applyAlignment="1">
      <alignment horizontal="right" vertical="center"/>
    </xf>
    <xf numFmtId="167" fontId="18" fillId="2" borderId="38" xfId="8" applyNumberFormat="1" applyFont="1" applyFill="1" applyBorder="1" applyAlignment="1">
      <alignment horizontal="right" vertical="center"/>
    </xf>
    <xf numFmtId="0" fontId="41" fillId="2" borderId="0" xfId="0" applyFont="1" applyFill="1" applyAlignment="1">
      <alignment horizontal="left" vertical="center"/>
    </xf>
    <xf numFmtId="0" fontId="41" fillId="2" borderId="0" xfId="7" applyNumberFormat="1" applyFont="1" applyFill="1"/>
    <xf numFmtId="164" fontId="41" fillId="2" borderId="0" xfId="7" applyNumberFormat="1" applyFont="1" applyFill="1"/>
    <xf numFmtId="164" fontId="47" fillId="2" borderId="0" xfId="7" applyNumberFormat="1" applyFont="1" applyFill="1" applyAlignment="1">
      <alignment horizontal="center" vertical="center" wrapText="1"/>
    </xf>
    <xf numFmtId="0" fontId="48" fillId="2" borderId="0" xfId="7" applyNumberFormat="1" applyFont="1" applyFill="1"/>
    <xf numFmtId="38" fontId="18" fillId="2" borderId="0" xfId="3" applyNumberFormat="1" applyFont="1" applyFill="1" applyBorder="1" applyAlignment="1">
      <alignment horizontal="right"/>
    </xf>
    <xf numFmtId="0" fontId="22" fillId="2" borderId="0" xfId="7" applyNumberFormat="1" applyFont="1" applyFill="1"/>
    <xf numFmtId="3" fontId="18" fillId="2" borderId="0" xfId="8" applyNumberFormat="1" applyFont="1" applyFill="1" applyBorder="1"/>
    <xf numFmtId="164" fontId="18" fillId="2" borderId="0" xfId="7" applyNumberFormat="1" applyFont="1" applyFill="1" applyAlignment="1">
      <alignment horizontal="center" vertical="center" wrapText="1"/>
    </xf>
    <xf numFmtId="0" fontId="47" fillId="2" borderId="0" xfId="7" applyNumberFormat="1" applyFont="1" applyFill="1" applyAlignment="1">
      <alignment horizontal="center" vertical="center" wrapText="1"/>
    </xf>
    <xf numFmtId="0" fontId="43" fillId="2" borderId="0" xfId="7" applyNumberFormat="1" applyFont="1" applyFill="1"/>
    <xf numFmtId="164" fontId="42" fillId="2" borderId="0" xfId="7" applyNumberFormat="1" applyFont="1" applyFill="1"/>
    <xf numFmtId="3" fontId="43" fillId="2" borderId="0" xfId="8" applyNumberFormat="1" applyFont="1" applyFill="1" applyBorder="1"/>
    <xf numFmtId="3" fontId="43" fillId="2" borderId="0" xfId="7" applyNumberFormat="1" applyFont="1" applyFill="1"/>
    <xf numFmtId="38" fontId="18" fillId="2" borderId="0" xfId="3" applyNumberFormat="1" applyFont="1" applyFill="1" applyBorder="1"/>
    <xf numFmtId="165" fontId="18" fillId="2" borderId="0" xfId="1" applyNumberFormat="1" applyFont="1" applyFill="1" applyBorder="1"/>
    <xf numFmtId="3" fontId="18" fillId="2" borderId="0" xfId="3" applyNumberFormat="1" applyFont="1" applyFill="1" applyBorder="1"/>
    <xf numFmtId="3" fontId="18" fillId="2" borderId="0" xfId="1" applyNumberFormat="1" applyFont="1" applyFill="1" applyBorder="1"/>
    <xf numFmtId="0" fontId="49" fillId="2" borderId="0" xfId="16" applyFont="1" applyFill="1" applyAlignment="1">
      <alignment vertical="center"/>
    </xf>
    <xf numFmtId="3" fontId="18" fillId="2" borderId="38" xfId="8" applyNumberFormat="1" applyFont="1" applyFill="1" applyBorder="1" applyAlignment="1">
      <alignment horizontal="right" vertical="center"/>
    </xf>
    <xf numFmtId="167" fontId="18" fillId="2" borderId="38" xfId="0" applyNumberFormat="1" applyFont="1" applyFill="1" applyBorder="1" applyAlignment="1">
      <alignment horizontal="right" vertical="center"/>
    </xf>
    <xf numFmtId="0" fontId="22" fillId="2" borderId="38" xfId="0" applyFont="1" applyFill="1" applyBorder="1" applyAlignment="1">
      <alignment horizont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38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8" fillId="2" borderId="38" xfId="2" applyFont="1" applyFill="1" applyBorder="1" applyAlignment="1">
      <alignment horizontal="left" vertical="center"/>
    </xf>
    <xf numFmtId="164" fontId="30" fillId="2" borderId="8" xfId="2" applyFont="1" applyFill="1" applyBorder="1" applyAlignment="1">
      <alignment horizontal="center" vertical="center"/>
    </xf>
    <xf numFmtId="164" fontId="17" fillId="2" borderId="38" xfId="2" applyFont="1" applyFill="1" applyBorder="1" applyAlignment="1">
      <alignment horizontal="center" vertical="center" wrapText="1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38" xfId="2" applyFont="1" applyFill="1" applyBorder="1" applyAlignment="1">
      <alignment horizontal="right" vertical="center"/>
    </xf>
    <xf numFmtId="0" fontId="28" fillId="2" borderId="0" xfId="16" applyFont="1" applyFill="1" applyAlignment="1">
      <alignment horizontal="center" vertical="center" wrapText="1"/>
    </xf>
    <xf numFmtId="0" fontId="38" fillId="2" borderId="0" xfId="7" applyNumberFormat="1" applyFont="1" applyFill="1" applyAlignment="1">
      <alignment horizontal="center"/>
    </xf>
    <xf numFmtId="0" fontId="40" fillId="2" borderId="38" xfId="7" applyNumberFormat="1" applyFont="1" applyFill="1" applyBorder="1" applyAlignment="1">
      <alignment horizontal="center"/>
    </xf>
    <xf numFmtId="0" fontId="40" fillId="2" borderId="8" xfId="7" applyNumberFormat="1" applyFont="1" applyFill="1" applyBorder="1" applyAlignment="1">
      <alignment horizontal="center" vertical="center"/>
    </xf>
    <xf numFmtId="0" fontId="40" fillId="2" borderId="0" xfId="7" applyNumberFormat="1" applyFont="1" applyFill="1" applyAlignment="1">
      <alignment horizontal="center" vertical="center"/>
    </xf>
    <xf numFmtId="0" fontId="40" fillId="2" borderId="38" xfId="7" applyNumberFormat="1" applyFont="1" applyFill="1" applyBorder="1" applyAlignment="1">
      <alignment horizontal="center" vertical="center"/>
    </xf>
    <xf numFmtId="0" fontId="40" fillId="2" borderId="31" xfId="7" applyNumberFormat="1" applyFont="1" applyFill="1" applyBorder="1" applyAlignment="1">
      <alignment horizontal="center"/>
    </xf>
    <xf numFmtId="0" fontId="22" fillId="2" borderId="31" xfId="7" applyNumberFormat="1" applyFont="1" applyFill="1" applyBorder="1" applyAlignment="1">
      <alignment horizontal="center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19(Trans &amp; Comm)" xfId="16" xr:uid="{ED2C2AA1-5446-40F2-99C3-893833616DF8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57B7FF"/>
      <color rgb="FFFF9900"/>
      <color rgb="FF249390"/>
      <color rgb="FF33CCCC"/>
      <color rgb="FFEAFAFA"/>
      <color rgb="FF196563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5716901666361"/>
          <c:y val="0.16150517595391115"/>
          <c:w val="0.85963464566929271"/>
          <c:h val="0.66516158376270307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'11.28'!$Z$40</c:f>
              <c:strCache>
                <c:ptCount val="1"/>
                <c:pt idx="0">
                  <c:v>National Call Minutes in land line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numRef>
              <c:f>'11.28'!$Y$41:$Y$54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'11.28'!$Z$41:$Z$54</c:f>
              <c:numCache>
                <c:formatCode>#,##0_);[Red]\(#,##0\)</c:formatCode>
                <c:ptCount val="14"/>
                <c:pt idx="0">
                  <c:v>86305</c:v>
                </c:pt>
                <c:pt idx="1">
                  <c:v>77503</c:v>
                </c:pt>
                <c:pt idx="2">
                  <c:v>75974</c:v>
                </c:pt>
                <c:pt idx="3">
                  <c:v>69830</c:v>
                </c:pt>
                <c:pt idx="4">
                  <c:v>66557</c:v>
                </c:pt>
                <c:pt idx="5">
                  <c:v>41974</c:v>
                </c:pt>
                <c:pt idx="6" formatCode="#,##0">
                  <c:v>59160.502999999997</c:v>
                </c:pt>
                <c:pt idx="7" formatCode="#,##0">
                  <c:v>52972</c:v>
                </c:pt>
                <c:pt idx="8" formatCode="#,##0">
                  <c:v>52968</c:v>
                </c:pt>
                <c:pt idx="9" formatCode="#,##0">
                  <c:v>45602.603000000003</c:v>
                </c:pt>
                <c:pt idx="10" formatCode="#,##0">
                  <c:v>39315</c:v>
                </c:pt>
                <c:pt idx="11" formatCode="#,##0">
                  <c:v>30923.258000000002</c:v>
                </c:pt>
                <c:pt idx="12" formatCode="#,##0">
                  <c:v>35124.28</c:v>
                </c:pt>
                <c:pt idx="13" formatCode="#,##0">
                  <c:v>30041.444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2-4F02-AE1F-C792C4FBCFB6}"/>
            </c:ext>
          </c:extLst>
        </c:ser>
        <c:ser>
          <c:idx val="0"/>
          <c:order val="1"/>
          <c:tx>
            <c:strRef>
              <c:f>'11.28'!$AA$40</c:f>
              <c:strCache>
                <c:ptCount val="1"/>
                <c:pt idx="0">
                  <c:v>Mobile call Minutes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numRef>
              <c:f>'11.28'!$Y$41:$Y$54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'11.28'!$AA$41:$AA$54</c:f>
              <c:numCache>
                <c:formatCode>#,##0_);[Red]\(#,##0\)</c:formatCode>
                <c:ptCount val="14"/>
                <c:pt idx="0">
                  <c:v>1165371</c:v>
                </c:pt>
                <c:pt idx="1">
                  <c:v>1241516</c:v>
                </c:pt>
                <c:pt idx="2">
                  <c:v>1094741</c:v>
                </c:pt>
                <c:pt idx="3">
                  <c:v>1468840</c:v>
                </c:pt>
                <c:pt idx="4">
                  <c:v>1571320</c:v>
                </c:pt>
                <c:pt idx="5">
                  <c:v>1687209</c:v>
                </c:pt>
                <c:pt idx="6" formatCode="#,##0">
                  <c:v>1608503.1170000001</c:v>
                </c:pt>
                <c:pt idx="7" formatCode="#,##0">
                  <c:v>1578928</c:v>
                </c:pt>
                <c:pt idx="8" formatCode="#,##0">
                  <c:v>1549661</c:v>
                </c:pt>
                <c:pt idx="9" formatCode="#,##0">
                  <c:v>1580069.0759999999</c:v>
                </c:pt>
                <c:pt idx="10" formatCode="#,##0">
                  <c:v>1579612</c:v>
                </c:pt>
                <c:pt idx="11" formatCode="#,##0">
                  <c:v>1659599.078</c:v>
                </c:pt>
                <c:pt idx="12" formatCode="#,##0">
                  <c:v>1805327.608</c:v>
                </c:pt>
                <c:pt idx="13" formatCode="#,##0">
                  <c:v>1505308.5290000001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C2-4F02-AE1F-C792C4FBCFB6}"/>
            </c:ext>
          </c:extLst>
        </c:ser>
        <c:ser>
          <c:idx val="1"/>
          <c:order val="2"/>
          <c:tx>
            <c:strRef>
              <c:f>'11.28'!$AB$40</c:f>
              <c:strCache>
                <c:ptCount val="1"/>
                <c:pt idx="0">
                  <c:v>International call minutes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</c:spPr>
          <c:invertIfNegative val="0"/>
          <c:cat>
            <c:numRef>
              <c:f>'11.28'!$Y$41:$Y$54</c:f>
              <c:numCache>
                <c:formatCode>General</c:formatCode>
                <c:ptCount val="14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</c:numCache>
            </c:numRef>
          </c:cat>
          <c:val>
            <c:numRef>
              <c:f>'11.28'!$AB$41:$AB$54</c:f>
              <c:numCache>
                <c:formatCode>_(* #,##0_);_(* \(#,##0\);_(* "-"??_);_(@_)</c:formatCode>
                <c:ptCount val="14"/>
                <c:pt idx="0">
                  <c:v>140386</c:v>
                </c:pt>
                <c:pt idx="1">
                  <c:v>135384</c:v>
                </c:pt>
                <c:pt idx="2">
                  <c:v>108744</c:v>
                </c:pt>
                <c:pt idx="3">
                  <c:v>211865</c:v>
                </c:pt>
                <c:pt idx="4">
                  <c:v>249201</c:v>
                </c:pt>
                <c:pt idx="5">
                  <c:v>265736</c:v>
                </c:pt>
                <c:pt idx="6" formatCode="#,##0">
                  <c:v>227780.79800000001</c:v>
                </c:pt>
                <c:pt idx="7" formatCode="#,##0">
                  <c:v>226472</c:v>
                </c:pt>
                <c:pt idx="8" formatCode="#,##0">
                  <c:v>171262</c:v>
                </c:pt>
                <c:pt idx="9" formatCode="#,##0">
                  <c:v>139763.71100000001</c:v>
                </c:pt>
                <c:pt idx="10" formatCode="#,##0">
                  <c:v>107005</c:v>
                </c:pt>
                <c:pt idx="11" formatCode="#,##0">
                  <c:v>64848.964</c:v>
                </c:pt>
                <c:pt idx="12" formatCode="#,##0">
                  <c:v>47690.211000000003</c:v>
                </c:pt>
                <c:pt idx="13" formatCode="#,##0">
                  <c:v>38387.072999999997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C2-4F02-AE1F-C792C4FBC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366770304"/>
        <c:axId val="366773832"/>
      </c:barChart>
      <c:catAx>
        <c:axId val="36677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366773832"/>
        <c:crosses val="autoZero"/>
        <c:auto val="1"/>
        <c:lblAlgn val="ctr"/>
        <c:lblOffset val="100"/>
        <c:noMultiLvlLbl val="0"/>
      </c:catAx>
      <c:valAx>
        <c:axId val="36677383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 '000 minutes</a:t>
                </a:r>
              </a:p>
            </c:rich>
          </c:tx>
          <c:layout>
            <c:manualLayout>
              <c:xMode val="edge"/>
              <c:yMode val="edge"/>
              <c:x val="6.5817991295219307E-4"/>
              <c:y val="8.5458690222867756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50"/>
            </a:pPr>
            <a:endParaRPr lang="en-US"/>
          </a:p>
        </c:txPr>
        <c:crossAx val="36677030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333821538621677"/>
          <c:y val="0.17638471920015419"/>
          <c:w val="0.67647116249851424"/>
          <c:h val="6.5169587378997321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111054</xdr:colOff>
      <xdr:row>41</xdr:row>
      <xdr:rowOff>131459</xdr:rowOff>
    </xdr:from>
    <xdr:to>
      <xdr:col>7</xdr:col>
      <xdr:colOff>1133475</xdr:colOff>
      <xdr:row>63</xdr:row>
      <xdr:rowOff>54581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5B64EA-A608-4DD6-B0CD-CD5E6CC44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76200</xdr:colOff>
      <xdr:row>42</xdr:row>
      <xdr:rowOff>132173</xdr:rowOff>
    </xdr:from>
    <xdr:to>
      <xdr:col>7</xdr:col>
      <xdr:colOff>998305</xdr:colOff>
      <xdr:row>44</xdr:row>
      <xdr:rowOff>92681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CD70104-61E9-4FE5-93E0-DA486BE89505}"/>
            </a:ext>
          </a:extLst>
        </xdr:cNvPr>
        <xdr:cNvSpPr txBox="1"/>
      </xdr:nvSpPr>
      <xdr:spPr>
        <a:xfrm>
          <a:off x="809625" y="7742648"/>
          <a:ext cx="6237055" cy="284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 rtl="0"/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11.17: International and National Communications, 2009 - 2022</a:t>
          </a:r>
          <a:endParaRPr lang="en-US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4" t="s">
        <v>62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</row>
    <row r="2" spans="1:29" ht="15.75" x14ac:dyDescent="0.25">
      <c r="A2" s="165" t="s">
        <v>63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</row>
    <row r="4" spans="1:29" s="8" customFormat="1" ht="19.5" x14ac:dyDescent="0.15">
      <c r="A4" s="166" t="s">
        <v>8</v>
      </c>
      <c r="B4" s="169" t="s">
        <v>34</v>
      </c>
      <c r="C4" s="169"/>
      <c r="D4" s="59"/>
      <c r="E4" s="169" t="s">
        <v>35</v>
      </c>
      <c r="F4" s="169"/>
      <c r="G4" s="59"/>
      <c r="H4" s="169" t="s">
        <v>36</v>
      </c>
      <c r="I4" s="169"/>
      <c r="J4" s="59"/>
      <c r="K4" s="169" t="s">
        <v>37</v>
      </c>
      <c r="L4" s="169"/>
      <c r="M4" s="59"/>
      <c r="N4" s="169" t="s">
        <v>38</v>
      </c>
      <c r="O4" s="169"/>
      <c r="P4" s="59"/>
      <c r="Q4" s="169" t="s">
        <v>39</v>
      </c>
      <c r="R4" s="169"/>
      <c r="S4" s="59"/>
      <c r="T4" s="169" t="s">
        <v>40</v>
      </c>
      <c r="U4" s="169"/>
      <c r="V4" s="59"/>
      <c r="W4" s="169" t="s">
        <v>41</v>
      </c>
      <c r="X4" s="169"/>
      <c r="Y4" s="59"/>
      <c r="Z4" s="169" t="s">
        <v>42</v>
      </c>
      <c r="AA4" s="169"/>
      <c r="AB4" s="171" t="s">
        <v>9</v>
      </c>
    </row>
    <row r="5" spans="1:29" s="11" customFormat="1" ht="15" customHeight="1" x14ac:dyDescent="0.25">
      <c r="A5" s="167"/>
      <c r="B5" s="170" t="s">
        <v>43</v>
      </c>
      <c r="C5" s="170"/>
      <c r="D5" s="10"/>
      <c r="E5" s="170" t="s">
        <v>44</v>
      </c>
      <c r="F5" s="170"/>
      <c r="G5" s="10"/>
      <c r="H5" s="170" t="s">
        <v>45</v>
      </c>
      <c r="I5" s="170"/>
      <c r="J5" s="10"/>
      <c r="K5" s="170" t="s">
        <v>46</v>
      </c>
      <c r="L5" s="170"/>
      <c r="M5" s="10"/>
      <c r="N5" s="170" t="s">
        <v>47</v>
      </c>
      <c r="O5" s="170"/>
      <c r="P5" s="10"/>
      <c r="Q5" s="170" t="s">
        <v>48</v>
      </c>
      <c r="R5" s="170"/>
      <c r="S5" s="10"/>
      <c r="T5" s="170" t="s">
        <v>49</v>
      </c>
      <c r="U5" s="170"/>
      <c r="V5" s="10"/>
      <c r="W5" s="170" t="s">
        <v>50</v>
      </c>
      <c r="X5" s="170"/>
      <c r="Y5" s="10"/>
      <c r="Z5" s="170" t="s">
        <v>51</v>
      </c>
      <c r="AA5" s="170"/>
      <c r="AB5" s="172"/>
      <c r="AC5" s="2"/>
    </row>
    <row r="6" spans="1:29" s="55" customFormat="1" ht="14.25" x14ac:dyDescent="0.2">
      <c r="A6" s="167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72"/>
    </row>
    <row r="7" spans="1:29" s="11" customFormat="1" ht="14.25" x14ac:dyDescent="0.2">
      <c r="A7" s="168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73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56" t="s">
        <v>8</v>
      </c>
      <c r="B44" s="74"/>
      <c r="D44" s="75"/>
      <c r="F44" s="75"/>
      <c r="G44" s="159" t="s">
        <v>34</v>
      </c>
      <c r="H44" s="160"/>
      <c r="I44" s="160"/>
      <c r="J44" s="160"/>
      <c r="K44" s="161"/>
      <c r="L44" s="62"/>
      <c r="M44" s="76"/>
      <c r="N44" s="62"/>
      <c r="O44" s="76"/>
      <c r="P44" s="162" t="s">
        <v>35</v>
      </c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75"/>
      <c r="AC44" s="150" t="s">
        <v>36</v>
      </c>
      <c r="AD44" s="151"/>
      <c r="AE44" s="151"/>
      <c r="AF44" s="151"/>
      <c r="AG44" s="151"/>
      <c r="AH44" s="151"/>
      <c r="AI44" s="151"/>
      <c r="AJ44" s="151"/>
      <c r="AK44" s="61"/>
      <c r="AL44" s="150" t="s">
        <v>37</v>
      </c>
      <c r="AM44" s="151"/>
      <c r="AN44" s="151"/>
      <c r="AO44" s="151"/>
      <c r="AP44" s="151"/>
      <c r="AQ44" s="151"/>
      <c r="AR44" s="151"/>
      <c r="AS44" s="61"/>
      <c r="AT44" s="150" t="s">
        <v>38</v>
      </c>
      <c r="AU44" s="151"/>
      <c r="AV44" s="151"/>
      <c r="AW44" s="151"/>
      <c r="AX44" s="151"/>
      <c r="AY44" s="72"/>
      <c r="AZ44" s="61"/>
      <c r="BA44" s="150" t="s">
        <v>39</v>
      </c>
      <c r="BB44" s="151"/>
      <c r="BC44" s="151"/>
      <c r="BD44" s="151"/>
      <c r="BE44" s="152"/>
      <c r="BF44" s="60"/>
      <c r="BG44" s="153" t="s">
        <v>40</v>
      </c>
      <c r="BH44" s="154"/>
      <c r="BI44" s="154"/>
      <c r="BJ44" s="154"/>
      <c r="BK44" s="155"/>
      <c r="BL44" s="150" t="s">
        <v>41</v>
      </c>
      <c r="BM44" s="151"/>
      <c r="BN44" s="151"/>
      <c r="BO44" s="151"/>
      <c r="BP44" s="152"/>
      <c r="BQ44" s="150" t="s">
        <v>42</v>
      </c>
      <c r="BR44" s="151"/>
      <c r="BS44" s="151"/>
      <c r="BT44" s="134" t="s">
        <v>9</v>
      </c>
    </row>
    <row r="45" spans="1:80" s="64" customFormat="1" ht="16.5" customHeight="1" x14ac:dyDescent="0.25">
      <c r="A45" s="157"/>
      <c r="B45" s="77"/>
      <c r="D45" s="78"/>
      <c r="F45" s="78"/>
      <c r="G45" s="137" t="s">
        <v>43</v>
      </c>
      <c r="H45" s="138"/>
      <c r="I45" s="138"/>
      <c r="J45" s="138"/>
      <c r="K45" s="139"/>
      <c r="M45" s="78"/>
      <c r="O45" s="78"/>
      <c r="P45" s="140" t="s">
        <v>44</v>
      </c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78"/>
      <c r="AC45" s="142" t="s">
        <v>55</v>
      </c>
      <c r="AD45" s="143"/>
      <c r="AE45" s="143"/>
      <c r="AF45" s="143"/>
      <c r="AG45" s="143"/>
      <c r="AH45" s="143"/>
      <c r="AI45" s="143"/>
      <c r="AJ45" s="143"/>
      <c r="AK45" s="65"/>
      <c r="AL45" s="142" t="s">
        <v>56</v>
      </c>
      <c r="AM45" s="143"/>
      <c r="AN45" s="143"/>
      <c r="AO45" s="143"/>
      <c r="AP45" s="143"/>
      <c r="AQ45" s="143"/>
      <c r="AR45" s="143"/>
      <c r="AS45" s="65"/>
      <c r="AT45" s="142" t="s">
        <v>57</v>
      </c>
      <c r="AU45" s="143"/>
      <c r="AV45" s="143"/>
      <c r="AW45" s="143"/>
      <c r="AX45" s="143"/>
      <c r="AY45" s="73"/>
      <c r="AZ45" s="65"/>
      <c r="BA45" s="144" t="s">
        <v>58</v>
      </c>
      <c r="BB45" s="145"/>
      <c r="BC45" s="145"/>
      <c r="BD45" s="145"/>
      <c r="BE45" s="146"/>
      <c r="BG45" s="147" t="s">
        <v>59</v>
      </c>
      <c r="BH45" s="148"/>
      <c r="BI45" s="148"/>
      <c r="BJ45" s="148"/>
      <c r="BK45" s="149"/>
      <c r="BL45" s="144" t="s">
        <v>60</v>
      </c>
      <c r="BM45" s="145"/>
      <c r="BN45" s="145"/>
      <c r="BO45" s="145"/>
      <c r="BP45" s="146"/>
      <c r="BQ45" s="144" t="s">
        <v>61</v>
      </c>
      <c r="BR45" s="145"/>
      <c r="BS45" s="145"/>
      <c r="BT45" s="135"/>
    </row>
    <row r="46" spans="1:80" ht="23.25" customHeight="1" x14ac:dyDescent="0.25">
      <c r="A46" s="158"/>
      <c r="B46" s="79"/>
      <c r="C46" s="80">
        <v>2011</v>
      </c>
      <c r="D46" s="80">
        <v>2012</v>
      </c>
      <c r="E46" s="81">
        <v>2013</v>
      </c>
      <c r="F46" s="82">
        <v>2014</v>
      </c>
      <c r="G46" s="83">
        <v>2015</v>
      </c>
      <c r="H46" s="84">
        <v>2016</v>
      </c>
      <c r="I46" s="85">
        <v>2017</v>
      </c>
      <c r="J46" s="85">
        <v>2018</v>
      </c>
      <c r="K46" s="85">
        <v>2019</v>
      </c>
      <c r="L46" s="86">
        <v>2011</v>
      </c>
      <c r="M46" s="86">
        <v>2012</v>
      </c>
      <c r="N46" s="86">
        <v>2013</v>
      </c>
      <c r="O46" s="85">
        <v>2014</v>
      </c>
      <c r="P46" s="83">
        <v>2015</v>
      </c>
      <c r="Q46" s="85">
        <v>2016</v>
      </c>
      <c r="R46" s="86">
        <v>2011</v>
      </c>
      <c r="S46" s="86">
        <v>2012</v>
      </c>
      <c r="T46" s="85">
        <v>2013</v>
      </c>
      <c r="U46" s="85">
        <v>2014</v>
      </c>
      <c r="V46" s="86">
        <v>2011</v>
      </c>
      <c r="W46" s="86">
        <v>2012</v>
      </c>
      <c r="X46" s="85">
        <v>2013</v>
      </c>
      <c r="Y46" s="85">
        <v>2017</v>
      </c>
      <c r="Z46" s="85">
        <v>2018</v>
      </c>
      <c r="AA46" s="87">
        <v>2019</v>
      </c>
      <c r="AB46" s="85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36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 t="shared" ref="Q47" si="1"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>SUM(X48:X59)</f>
        <v>2432</v>
      </c>
      <c r="Y47" s="29">
        <f t="shared" ref="Y47:AB47" si="2">SUM(Y48:Y59)</f>
        <v>5182</v>
      </c>
      <c r="Z47" s="29">
        <f t="shared" si="2"/>
        <v>4726</v>
      </c>
      <c r="AA47" s="30">
        <f t="shared" si="2"/>
        <v>4794</v>
      </c>
      <c r="AB47" s="29">
        <f t="shared" si="2"/>
        <v>2773</v>
      </c>
      <c r="AC47" s="29">
        <f>SUM(AC48:AC59)</f>
        <v>2151</v>
      </c>
      <c r="AD47" s="29">
        <f t="shared" ref="AD47" si="3">SUM(AD48:AD59)</f>
        <v>1998</v>
      </c>
      <c r="AE47" s="29">
        <f t="shared" si="0"/>
        <v>769</v>
      </c>
      <c r="AF47" s="29">
        <f t="shared" si="0"/>
        <v>3315</v>
      </c>
      <c r="AG47" s="29">
        <f>SUM(AG48:AG59)</f>
        <v>4519</v>
      </c>
      <c r="AH47" s="29">
        <f t="shared" ref="AH47:AK47" si="4">SUM(AH48:AH59)</f>
        <v>1845</v>
      </c>
      <c r="AI47" s="29">
        <f t="shared" si="4"/>
        <v>1799</v>
      </c>
      <c r="AJ47" s="29">
        <f t="shared" si="4"/>
        <v>2485</v>
      </c>
      <c r="AK47" s="29">
        <f t="shared" si="4"/>
        <v>4924</v>
      </c>
      <c r="AL47" s="27">
        <f>SUM(AL48:AL59)</f>
        <v>4265</v>
      </c>
      <c r="AM47" s="29">
        <f t="shared" ref="AM47:AO47" si="5">SUM(AM48:AM59)</f>
        <v>3963</v>
      </c>
      <c r="AN47" s="29">
        <f t="shared" si="5"/>
        <v>4305</v>
      </c>
      <c r="AO47" s="29">
        <f t="shared" si="5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 t="shared" ref="AU47:AY47" si="6">SUM(AU48:AU59)</f>
        <v>3870</v>
      </c>
      <c r="AV47" s="29">
        <f t="shared" si="0"/>
        <v>2906</v>
      </c>
      <c r="AW47" s="29">
        <f t="shared" si="0"/>
        <v>4198</v>
      </c>
      <c r="AX47" s="29">
        <f t="shared" si="6"/>
        <v>4532</v>
      </c>
      <c r="AY47" s="29">
        <f t="shared" si="6"/>
        <v>5159</v>
      </c>
      <c r="AZ47" s="29">
        <f t="shared" si="0"/>
        <v>2076</v>
      </c>
      <c r="BA47" s="27">
        <f>SUM(BA48:BA59)</f>
        <v>1988</v>
      </c>
      <c r="BB47" s="29">
        <f t="shared" ref="BB47:BF47" si="7">SUM(BB48:BB59)</f>
        <v>1916</v>
      </c>
      <c r="BC47" s="29">
        <f t="shared" si="7"/>
        <v>1916</v>
      </c>
      <c r="BD47" s="29">
        <f t="shared" si="7"/>
        <v>1975</v>
      </c>
      <c r="BE47" s="29">
        <f t="shared" si="7"/>
        <v>2043</v>
      </c>
      <c r="BF47" s="29">
        <f t="shared" si="7"/>
        <v>826</v>
      </c>
      <c r="BG47" s="27">
        <f>SUM(BG48:BG59)</f>
        <v>331</v>
      </c>
      <c r="BH47" s="29">
        <f t="shared" ref="BH47:BK47" si="8">SUM(BH48:BH59)</f>
        <v>269</v>
      </c>
      <c r="BI47" s="29">
        <f t="shared" si="8"/>
        <v>245</v>
      </c>
      <c r="BJ47" s="29">
        <f t="shared" si="8"/>
        <v>246</v>
      </c>
      <c r="BK47" s="30">
        <f t="shared" si="8"/>
        <v>241</v>
      </c>
      <c r="BL47" s="27">
        <f>SUM(BL48:BL59)</f>
        <v>552</v>
      </c>
      <c r="BM47" s="29">
        <f t="shared" ref="BM47:BS47" si="9">SUM(BM48:BM59)</f>
        <v>1475</v>
      </c>
      <c r="BN47" s="29">
        <f t="shared" si="9"/>
        <v>1911</v>
      </c>
      <c r="BO47" s="29">
        <f t="shared" si="9"/>
        <v>1898</v>
      </c>
      <c r="BP47" s="29">
        <f t="shared" si="9"/>
        <v>1940</v>
      </c>
      <c r="BQ47" s="27">
        <f t="shared" si="9"/>
        <v>488</v>
      </c>
      <c r="BR47" s="31">
        <f t="shared" si="9"/>
        <v>1941</v>
      </c>
      <c r="BS47" s="31">
        <f t="shared" si="9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473A7-2A77-40C8-927D-A698F0E9F13E}">
  <dimension ref="A1:AB60"/>
  <sheetViews>
    <sheetView tabSelected="1" zoomScaleNormal="100" workbookViewId="0">
      <selection activeCell="L25" sqref="L25"/>
    </sheetView>
  </sheetViews>
  <sheetFormatPr defaultColWidth="9.140625" defaultRowHeight="12" x14ac:dyDescent="0.15"/>
  <cols>
    <col min="1" max="1" width="11" style="123" customWidth="1"/>
    <col min="2" max="2" width="13.5703125" style="123" customWidth="1"/>
    <col min="3" max="3" width="11.140625" style="123" customWidth="1"/>
    <col min="4" max="4" width="12.5703125" style="123" customWidth="1"/>
    <col min="5" max="5" width="1.85546875" style="123" customWidth="1"/>
    <col min="6" max="6" width="17.7109375" style="123" customWidth="1"/>
    <col min="7" max="7" width="22.85546875" style="123" customWidth="1"/>
    <col min="8" max="8" width="17.85546875" style="123" customWidth="1"/>
    <col min="9" max="9" width="4.85546875" style="123" customWidth="1"/>
    <col min="10" max="10" width="9.140625" style="123"/>
    <col min="11" max="11" width="19.140625" style="123" customWidth="1"/>
    <col min="12" max="12" width="16.85546875" style="123" customWidth="1"/>
    <col min="13" max="13" width="26.5703125" style="123" customWidth="1"/>
    <col min="14" max="15" width="16.85546875" style="123" customWidth="1"/>
    <col min="16" max="18" width="9.140625" style="123"/>
    <col min="19" max="19" width="13.7109375" style="123" bestFit="1" customWidth="1"/>
    <col min="20" max="20" width="13.42578125" style="123" customWidth="1"/>
    <col min="21" max="21" width="13.7109375" style="123" bestFit="1" customWidth="1"/>
    <col min="22" max="25" width="9.140625" style="123"/>
    <col min="26" max="28" width="16.85546875" style="123" customWidth="1"/>
    <col min="29" max="16384" width="9.140625" style="123"/>
  </cols>
  <sheetData>
    <row r="1" spans="1:14" s="90" customFormat="1" ht="18.75" x14ac:dyDescent="0.2">
      <c r="A1" s="174" t="s">
        <v>96</v>
      </c>
      <c r="B1" s="174"/>
      <c r="C1" s="174"/>
      <c r="D1" s="174"/>
      <c r="E1" s="174"/>
      <c r="F1" s="174"/>
      <c r="G1" s="174"/>
      <c r="H1" s="174"/>
    </row>
    <row r="2" spans="1:14" s="91" customFormat="1" ht="15.75" x14ac:dyDescent="0.25">
      <c r="A2" s="175" t="s">
        <v>97</v>
      </c>
      <c r="B2" s="175"/>
      <c r="C2" s="175"/>
      <c r="D2" s="175"/>
      <c r="E2" s="175"/>
      <c r="F2" s="175"/>
      <c r="G2" s="175"/>
      <c r="H2" s="175"/>
    </row>
    <row r="3" spans="1:14" s="91" customFormat="1" ht="15.75" x14ac:dyDescent="0.25">
      <c r="A3" s="176" t="s">
        <v>65</v>
      </c>
      <c r="B3" s="176"/>
      <c r="C3" s="176"/>
      <c r="D3" s="176"/>
      <c r="E3" s="176"/>
      <c r="F3" s="176"/>
      <c r="G3" s="176"/>
      <c r="H3" s="176"/>
      <c r="I3" s="92"/>
      <c r="J3" s="92"/>
      <c r="K3" s="92"/>
      <c r="L3" s="92"/>
      <c r="M3" s="92"/>
      <c r="N3" s="92"/>
    </row>
    <row r="4" spans="1:14" s="91" customFormat="1" ht="15.75" x14ac:dyDescent="0.4">
      <c r="A4" s="177" t="s">
        <v>66</v>
      </c>
      <c r="B4" s="180" t="s">
        <v>67</v>
      </c>
      <c r="C4" s="180"/>
      <c r="D4" s="180"/>
      <c r="E4" s="180"/>
      <c r="F4" s="180"/>
      <c r="G4" s="93" t="s">
        <v>68</v>
      </c>
      <c r="H4" s="94" t="s">
        <v>69</v>
      </c>
    </row>
    <row r="5" spans="1:14" s="91" customFormat="1" ht="15.75" x14ac:dyDescent="0.2">
      <c r="A5" s="178"/>
      <c r="B5" s="181" t="s">
        <v>70</v>
      </c>
      <c r="C5" s="181"/>
      <c r="D5" s="181"/>
      <c r="E5" s="181"/>
      <c r="F5" s="181"/>
      <c r="G5" s="95"/>
      <c r="H5" s="96" t="s">
        <v>71</v>
      </c>
    </row>
    <row r="6" spans="1:14" s="91" customFormat="1" ht="27" customHeight="1" x14ac:dyDescent="0.2">
      <c r="A6" s="178"/>
      <c r="B6" s="88" t="s">
        <v>5</v>
      </c>
      <c r="C6" s="88" t="s">
        <v>72</v>
      </c>
      <c r="D6" s="88" t="s">
        <v>73</v>
      </c>
      <c r="E6" s="88"/>
      <c r="F6" s="97" t="s">
        <v>74</v>
      </c>
      <c r="G6" s="88" t="s">
        <v>75</v>
      </c>
      <c r="H6" s="98" t="s">
        <v>76</v>
      </c>
    </row>
    <row r="7" spans="1:14" s="91" customFormat="1" ht="12.75" x14ac:dyDescent="0.2">
      <c r="A7" s="179"/>
      <c r="B7" s="99" t="s">
        <v>4</v>
      </c>
      <c r="C7" s="99" t="s">
        <v>77</v>
      </c>
      <c r="D7" s="99" t="s">
        <v>78</v>
      </c>
      <c r="E7" s="99"/>
      <c r="F7" s="99" t="s">
        <v>79</v>
      </c>
      <c r="G7" s="99" t="s">
        <v>80</v>
      </c>
      <c r="H7" s="100" t="s">
        <v>81</v>
      </c>
    </row>
    <row r="8" spans="1:14" s="91" customFormat="1" ht="12.75" x14ac:dyDescent="0.2">
      <c r="A8" s="101">
        <v>2001</v>
      </c>
      <c r="B8" s="102">
        <f>SUM(C8:F8)</f>
        <v>254435</v>
      </c>
      <c r="C8" s="102">
        <v>142170</v>
      </c>
      <c r="D8" s="102">
        <v>80169</v>
      </c>
      <c r="E8" s="102"/>
      <c r="F8" s="102">
        <v>32096</v>
      </c>
      <c r="G8" s="102">
        <v>21549</v>
      </c>
      <c r="H8" s="103">
        <v>7862</v>
      </c>
    </row>
    <row r="9" spans="1:14" s="91" customFormat="1" ht="12.75" x14ac:dyDescent="0.2">
      <c r="A9" s="101">
        <v>2002</v>
      </c>
      <c r="B9" s="102">
        <f t="shared" ref="B9:B17" si="0">SUM(C9:F9)</f>
        <v>224885</v>
      </c>
      <c r="C9" s="102">
        <v>112934</v>
      </c>
      <c r="D9" s="102">
        <v>64544</v>
      </c>
      <c r="E9" s="102"/>
      <c r="F9" s="102">
        <v>47407</v>
      </c>
      <c r="G9" s="102">
        <v>35134</v>
      </c>
      <c r="H9" s="103">
        <v>7016</v>
      </c>
    </row>
    <row r="10" spans="1:14" s="91" customFormat="1" ht="12.75" x14ac:dyDescent="0.2">
      <c r="A10" s="101">
        <v>2003</v>
      </c>
      <c r="B10" s="102">
        <f t="shared" si="0"/>
        <v>201065</v>
      </c>
      <c r="C10" s="102">
        <v>82384</v>
      </c>
      <c r="D10" s="102">
        <v>54541</v>
      </c>
      <c r="E10" s="102"/>
      <c r="F10" s="102">
        <v>64140</v>
      </c>
      <c r="G10" s="103">
        <v>33741</v>
      </c>
      <c r="H10" s="103">
        <v>7170</v>
      </c>
    </row>
    <row r="11" spans="1:14" s="91" customFormat="1" ht="12.75" x14ac:dyDescent="0.2">
      <c r="A11" s="101">
        <v>2004</v>
      </c>
      <c r="B11" s="102">
        <f t="shared" si="0"/>
        <v>191069</v>
      </c>
      <c r="C11" s="102">
        <v>65395</v>
      </c>
      <c r="D11" s="102">
        <v>43874</v>
      </c>
      <c r="E11" s="102"/>
      <c r="F11" s="102">
        <v>81800</v>
      </c>
      <c r="G11" s="103">
        <v>60492</v>
      </c>
      <c r="H11" s="103">
        <v>7870</v>
      </c>
    </row>
    <row r="12" spans="1:14" s="91" customFormat="1" ht="12.75" x14ac:dyDescent="0.2">
      <c r="A12" s="101">
        <v>2005</v>
      </c>
      <c r="B12" s="102">
        <f t="shared" si="0"/>
        <v>151155</v>
      </c>
      <c r="C12" s="102">
        <v>43247</v>
      </c>
      <c r="D12" s="102">
        <v>21527</v>
      </c>
      <c r="E12" s="102"/>
      <c r="F12" s="102">
        <v>86381</v>
      </c>
      <c r="G12" s="102">
        <v>136256</v>
      </c>
      <c r="H12" s="103">
        <v>8908</v>
      </c>
    </row>
    <row r="13" spans="1:14" s="91" customFormat="1" ht="12.75" x14ac:dyDescent="0.2">
      <c r="A13" s="101">
        <v>2006</v>
      </c>
      <c r="B13" s="102">
        <f t="shared" si="0"/>
        <v>123281</v>
      </c>
      <c r="C13" s="102">
        <v>30054</v>
      </c>
      <c r="D13" s="102">
        <v>14031</v>
      </c>
      <c r="E13" s="102"/>
      <c r="F13" s="102">
        <v>79196</v>
      </c>
      <c r="G13" s="102">
        <v>216318</v>
      </c>
      <c r="H13" s="103">
        <v>12037</v>
      </c>
      <c r="K13" s="104"/>
      <c r="L13" s="104"/>
      <c r="M13" s="104"/>
      <c r="N13" s="101"/>
    </row>
    <row r="14" spans="1:14" s="91" customFormat="1" ht="12.75" x14ac:dyDescent="0.2">
      <c r="A14" s="101">
        <v>2007</v>
      </c>
      <c r="B14" s="102">
        <f t="shared" si="0"/>
        <v>122725</v>
      </c>
      <c r="C14" s="102">
        <v>25575</v>
      </c>
      <c r="D14" s="102">
        <v>11883</v>
      </c>
      <c r="E14" s="102"/>
      <c r="F14" s="102">
        <v>85267</v>
      </c>
      <c r="G14" s="102">
        <v>219839</v>
      </c>
      <c r="H14" s="103">
        <v>26991</v>
      </c>
    </row>
    <row r="15" spans="1:14" s="91" customFormat="1" ht="12.75" x14ac:dyDescent="0.2">
      <c r="A15" s="101">
        <v>2008</v>
      </c>
      <c r="B15" s="102">
        <f t="shared" si="0"/>
        <v>95124</v>
      </c>
      <c r="C15" s="102">
        <v>19617</v>
      </c>
      <c r="D15" s="102">
        <v>10334</v>
      </c>
      <c r="E15" s="102"/>
      <c r="F15" s="102">
        <v>65173</v>
      </c>
      <c r="G15" s="102">
        <v>969281</v>
      </c>
      <c r="H15" s="103">
        <v>120906</v>
      </c>
    </row>
    <row r="16" spans="1:14" s="91" customFormat="1" ht="12.75" x14ac:dyDescent="0.2">
      <c r="A16" s="105">
        <v>2009</v>
      </c>
      <c r="B16" s="102">
        <f t="shared" si="0"/>
        <v>86305</v>
      </c>
      <c r="C16" s="102">
        <v>18007</v>
      </c>
      <c r="D16" s="102">
        <v>9021</v>
      </c>
      <c r="E16" s="102"/>
      <c r="F16" s="102">
        <v>59277</v>
      </c>
      <c r="G16" s="102">
        <v>1165371</v>
      </c>
      <c r="H16" s="106">
        <v>140386</v>
      </c>
    </row>
    <row r="17" spans="1:13" s="91" customFormat="1" ht="15" customHeight="1" x14ac:dyDescent="0.2">
      <c r="A17" s="105">
        <v>2010</v>
      </c>
      <c r="B17" s="102">
        <f t="shared" si="0"/>
        <v>77503</v>
      </c>
      <c r="C17" s="102">
        <v>16757</v>
      </c>
      <c r="D17" s="102">
        <v>8248</v>
      </c>
      <c r="E17" s="102"/>
      <c r="F17" s="102">
        <v>52498</v>
      </c>
      <c r="G17" s="102">
        <v>1241516</v>
      </c>
      <c r="H17" s="106">
        <v>135384</v>
      </c>
    </row>
    <row r="18" spans="1:13" s="91" customFormat="1" ht="15" customHeight="1" x14ac:dyDescent="0.2">
      <c r="A18" s="105">
        <v>2011</v>
      </c>
      <c r="B18" s="102">
        <v>75974</v>
      </c>
      <c r="C18" s="102">
        <v>15481</v>
      </c>
      <c r="D18" s="102">
        <v>9447</v>
      </c>
      <c r="E18" s="102"/>
      <c r="F18" s="102">
        <v>51046</v>
      </c>
      <c r="G18" s="102">
        <v>1094741</v>
      </c>
      <c r="H18" s="106">
        <v>108744</v>
      </c>
    </row>
    <row r="19" spans="1:13" s="91" customFormat="1" ht="15" customHeight="1" x14ac:dyDescent="0.25">
      <c r="A19" s="105">
        <v>2012</v>
      </c>
      <c r="B19" s="102">
        <v>69830</v>
      </c>
      <c r="C19" s="102">
        <v>12499</v>
      </c>
      <c r="D19" s="102">
        <v>7788</v>
      </c>
      <c r="E19" s="102"/>
      <c r="F19" s="102">
        <v>49543</v>
      </c>
      <c r="G19" s="102">
        <v>1468840</v>
      </c>
      <c r="H19" s="106">
        <v>211865</v>
      </c>
      <c r="M19" s="107"/>
    </row>
    <row r="20" spans="1:13" s="91" customFormat="1" ht="15" customHeight="1" x14ac:dyDescent="0.25">
      <c r="A20" s="105">
        <v>2013</v>
      </c>
      <c r="B20" s="102">
        <v>66557</v>
      </c>
      <c r="C20" s="102">
        <v>11699</v>
      </c>
      <c r="D20" s="102">
        <v>7217</v>
      </c>
      <c r="E20" s="102"/>
      <c r="F20" s="102">
        <v>47641</v>
      </c>
      <c r="G20" s="102">
        <v>1571320</v>
      </c>
      <c r="H20" s="106">
        <v>249201</v>
      </c>
      <c r="K20" s="107"/>
    </row>
    <row r="21" spans="1:13" s="91" customFormat="1" ht="15" customHeight="1" x14ac:dyDescent="0.2">
      <c r="A21" s="105">
        <v>2014</v>
      </c>
      <c r="B21" s="102">
        <f>SUM(C21:F21)</f>
        <v>41974</v>
      </c>
      <c r="C21" s="102">
        <v>7399</v>
      </c>
      <c r="D21" s="102">
        <v>4684</v>
      </c>
      <c r="E21" s="102"/>
      <c r="F21" s="102">
        <v>29891</v>
      </c>
      <c r="G21" s="102">
        <v>1687209</v>
      </c>
      <c r="H21" s="106">
        <v>265736</v>
      </c>
      <c r="M21" s="108"/>
    </row>
    <row r="22" spans="1:13" s="91" customFormat="1" ht="15" customHeight="1" x14ac:dyDescent="0.2">
      <c r="A22" s="105">
        <v>2015</v>
      </c>
      <c r="B22" s="109">
        <f>SUM(C22:F22)</f>
        <v>59160503</v>
      </c>
      <c r="C22" s="109">
        <v>10072449</v>
      </c>
      <c r="D22" s="109">
        <v>6054414</v>
      </c>
      <c r="E22" s="102"/>
      <c r="F22" s="109">
        <v>43033640</v>
      </c>
      <c r="G22" s="109">
        <v>1608503117</v>
      </c>
      <c r="H22" s="110">
        <v>227780798</v>
      </c>
    </row>
    <row r="23" spans="1:13" s="91" customFormat="1" ht="15" customHeight="1" x14ac:dyDescent="0.2">
      <c r="A23" s="105">
        <v>2016</v>
      </c>
      <c r="B23" s="109">
        <f>SUM(C23:F23)</f>
        <v>52971925.082999997</v>
      </c>
      <c r="C23" s="109">
        <v>8420045.5830000006</v>
      </c>
      <c r="D23" s="109">
        <v>5014769.42</v>
      </c>
      <c r="E23" s="102"/>
      <c r="F23" s="109">
        <v>39537110.079999998</v>
      </c>
      <c r="G23" s="109">
        <v>1578927992</v>
      </c>
      <c r="H23" s="110">
        <v>226471871</v>
      </c>
    </row>
    <row r="24" spans="1:13" s="91" customFormat="1" ht="15" customHeight="1" x14ac:dyDescent="0.2">
      <c r="A24" s="105">
        <v>2017</v>
      </c>
      <c r="B24" s="109">
        <f>SUM(C24:F24)</f>
        <v>52967607</v>
      </c>
      <c r="C24" s="109">
        <v>7662894</v>
      </c>
      <c r="D24" s="109">
        <v>4683472</v>
      </c>
      <c r="E24" s="102"/>
      <c r="F24" s="109">
        <v>40621241</v>
      </c>
      <c r="G24" s="109">
        <v>1549661283</v>
      </c>
      <c r="H24" s="110">
        <v>171261605</v>
      </c>
    </row>
    <row r="25" spans="1:13" s="91" customFormat="1" ht="15" customHeight="1" x14ac:dyDescent="0.2">
      <c r="A25" s="105">
        <v>2018</v>
      </c>
      <c r="B25" s="109">
        <f>SUM(C25:F25)</f>
        <v>45602603</v>
      </c>
      <c r="C25" s="109">
        <v>6536645</v>
      </c>
      <c r="D25" s="109">
        <v>3751071</v>
      </c>
      <c r="E25" s="102"/>
      <c r="F25" s="109">
        <v>35314887</v>
      </c>
      <c r="G25" s="109">
        <v>1580069076</v>
      </c>
      <c r="H25" s="110">
        <v>139763711</v>
      </c>
    </row>
    <row r="26" spans="1:13" s="91" customFormat="1" ht="15" customHeight="1" x14ac:dyDescent="0.2">
      <c r="A26" s="105">
        <v>2019</v>
      </c>
      <c r="B26" s="109">
        <f t="shared" ref="B26:B29" si="1">SUM(C26:F26)</f>
        <v>39315036</v>
      </c>
      <c r="C26" s="109">
        <v>5837629</v>
      </c>
      <c r="D26" s="109">
        <v>3553452</v>
      </c>
      <c r="E26" s="102"/>
      <c r="F26" s="109">
        <v>29923955</v>
      </c>
      <c r="G26" s="109">
        <v>1579612370</v>
      </c>
      <c r="H26" s="110">
        <v>107005435</v>
      </c>
    </row>
    <row r="27" spans="1:13" s="91" customFormat="1" ht="15" customHeight="1" x14ac:dyDescent="0.2">
      <c r="A27" s="105">
        <v>2020</v>
      </c>
      <c r="B27" s="109">
        <f>SUM(C27:F27)</f>
        <v>30923258</v>
      </c>
      <c r="C27" s="109">
        <v>3908523</v>
      </c>
      <c r="D27" s="109">
        <v>2913341</v>
      </c>
      <c r="E27" s="102"/>
      <c r="F27" s="109">
        <v>24101394</v>
      </c>
      <c r="G27" s="109">
        <v>1659599078</v>
      </c>
      <c r="H27" s="110">
        <v>64848964</v>
      </c>
    </row>
    <row r="28" spans="1:13" s="91" customFormat="1" ht="15" customHeight="1" x14ac:dyDescent="0.2">
      <c r="A28" s="105">
        <v>2021</v>
      </c>
      <c r="B28" s="109">
        <f t="shared" si="1"/>
        <v>35124280</v>
      </c>
      <c r="C28" s="109">
        <v>3488999</v>
      </c>
      <c r="D28" s="109">
        <v>4710156</v>
      </c>
      <c r="E28" s="102"/>
      <c r="F28" s="109">
        <v>26925125</v>
      </c>
      <c r="G28" s="109">
        <v>1805327608</v>
      </c>
      <c r="H28" s="110">
        <v>47690211</v>
      </c>
    </row>
    <row r="29" spans="1:13" s="91" customFormat="1" ht="15" customHeight="1" x14ac:dyDescent="0.2">
      <c r="A29" s="133">
        <v>2022</v>
      </c>
      <c r="B29" s="111">
        <f t="shared" si="1"/>
        <v>30041444</v>
      </c>
      <c r="C29" s="111">
        <v>3666141</v>
      </c>
      <c r="D29" s="111">
        <v>2352949</v>
      </c>
      <c r="E29" s="131"/>
      <c r="F29" s="111">
        <v>24022354</v>
      </c>
      <c r="G29" s="111">
        <v>1505308529</v>
      </c>
      <c r="H29" s="132">
        <v>38387073</v>
      </c>
    </row>
    <row r="30" spans="1:13" s="91" customFormat="1" ht="15" customHeight="1" x14ac:dyDescent="0.2">
      <c r="A30" s="112" t="s">
        <v>82</v>
      </c>
      <c r="B30" s="109"/>
      <c r="C30" s="109"/>
      <c r="D30" s="109"/>
      <c r="E30" s="102"/>
      <c r="F30" s="109"/>
      <c r="G30" s="109"/>
      <c r="H30" s="110"/>
    </row>
    <row r="31" spans="1:13" s="114" customFormat="1" ht="12.75" x14ac:dyDescent="0.2">
      <c r="A31" s="113" t="s">
        <v>83</v>
      </c>
      <c r="B31" s="89"/>
      <c r="C31" s="89"/>
      <c r="D31" s="89"/>
      <c r="E31" s="89"/>
      <c r="F31" s="113"/>
      <c r="G31" s="113"/>
      <c r="H31" s="113"/>
    </row>
    <row r="32" spans="1:13" s="114" customFormat="1" ht="12.75" x14ac:dyDescent="0.2">
      <c r="A32" s="113" t="s">
        <v>84</v>
      </c>
      <c r="B32" s="89"/>
      <c r="C32" s="89"/>
      <c r="D32" s="89"/>
      <c r="E32" s="89"/>
      <c r="F32" s="113"/>
      <c r="G32" s="113"/>
      <c r="H32" s="113"/>
    </row>
    <row r="33" spans="1:28" s="91" customFormat="1" ht="12.75" x14ac:dyDescent="0.2">
      <c r="A33" s="89" t="s">
        <v>85</v>
      </c>
      <c r="B33" s="104"/>
      <c r="C33" s="104"/>
      <c r="D33" s="104"/>
      <c r="E33" s="104"/>
      <c r="F33" s="104"/>
      <c r="G33" s="104"/>
      <c r="H33" s="104"/>
    </row>
    <row r="34" spans="1:28" s="91" customFormat="1" ht="12.75" x14ac:dyDescent="0.2">
      <c r="A34" s="89" t="s">
        <v>64</v>
      </c>
      <c r="B34" s="104"/>
      <c r="C34" s="104"/>
      <c r="D34" s="104"/>
      <c r="E34" s="104"/>
      <c r="F34" s="104"/>
      <c r="G34" s="104"/>
      <c r="H34" s="108"/>
    </row>
    <row r="35" spans="1:28" s="91" customFormat="1" ht="12.75" x14ac:dyDescent="0.2">
      <c r="A35" s="91" t="s">
        <v>86</v>
      </c>
      <c r="B35" s="104"/>
      <c r="C35" s="104"/>
      <c r="D35" s="104"/>
      <c r="E35" s="104"/>
      <c r="F35" s="104"/>
      <c r="G35" s="104"/>
      <c r="H35" s="104"/>
      <c r="O35" s="115"/>
    </row>
    <row r="36" spans="1:28" s="91" customFormat="1" ht="12.75" x14ac:dyDescent="0.2">
      <c r="A36" s="116" t="s">
        <v>87</v>
      </c>
      <c r="B36" s="104"/>
      <c r="C36" s="104"/>
      <c r="D36" s="104"/>
      <c r="E36" s="104"/>
      <c r="F36" s="104"/>
      <c r="G36" s="104"/>
      <c r="H36" s="104"/>
      <c r="O36" s="117"/>
    </row>
    <row r="37" spans="1:28" s="91" customFormat="1" ht="12.75" x14ac:dyDescent="0.2">
      <c r="A37" s="118" t="s">
        <v>88</v>
      </c>
      <c r="B37" s="104"/>
      <c r="C37" s="104"/>
      <c r="D37" s="104"/>
      <c r="E37" s="104"/>
      <c r="F37" s="104"/>
      <c r="G37" s="104"/>
      <c r="H37" s="104"/>
      <c r="O37" s="117"/>
    </row>
    <row r="38" spans="1:28" s="91" customFormat="1" ht="12.75" x14ac:dyDescent="0.2">
      <c r="A38" s="118" t="s">
        <v>89</v>
      </c>
      <c r="B38" s="104"/>
      <c r="C38" s="104"/>
      <c r="D38" s="104"/>
      <c r="E38" s="104"/>
      <c r="F38" s="104"/>
      <c r="G38" s="104"/>
      <c r="H38" s="104"/>
      <c r="O38" s="117"/>
    </row>
    <row r="39" spans="1:28" s="91" customFormat="1" ht="12.75" x14ac:dyDescent="0.2">
      <c r="A39" s="118" t="s">
        <v>90</v>
      </c>
      <c r="B39" s="104"/>
      <c r="C39" s="104"/>
      <c r="D39" s="104"/>
      <c r="E39" s="104"/>
      <c r="F39" s="104"/>
      <c r="G39" s="104"/>
      <c r="H39" s="104"/>
    </row>
    <row r="40" spans="1:28" s="91" customFormat="1" ht="12.75" customHeight="1" x14ac:dyDescent="0.2">
      <c r="A40" s="118" t="s">
        <v>91</v>
      </c>
      <c r="B40" s="104"/>
      <c r="C40" s="104"/>
      <c r="D40" s="104"/>
      <c r="E40" s="104"/>
      <c r="F40" s="104"/>
      <c r="G40" s="104"/>
      <c r="H40" s="104"/>
      <c r="K40" s="104"/>
      <c r="M40" s="119"/>
      <c r="N40" s="108"/>
      <c r="Y40" s="120"/>
      <c r="Z40" s="121" t="s">
        <v>92</v>
      </c>
      <c r="AA40" s="121" t="s">
        <v>93</v>
      </c>
      <c r="AB40" s="121" t="s">
        <v>94</v>
      </c>
    </row>
    <row r="41" spans="1:28" s="91" customFormat="1" ht="12.75" x14ac:dyDescent="0.2">
      <c r="A41" s="118" t="s">
        <v>95</v>
      </c>
      <c r="B41" s="122"/>
      <c r="C41" s="122"/>
      <c r="D41" s="122"/>
      <c r="E41" s="122"/>
      <c r="F41" s="122"/>
      <c r="G41" s="122"/>
      <c r="H41" s="122"/>
      <c r="K41" s="122"/>
      <c r="L41" s="123"/>
      <c r="M41" s="124"/>
      <c r="N41" s="125"/>
      <c r="Y41" s="104">
        <v>2009</v>
      </c>
      <c r="Z41" s="126">
        <f t="shared" ref="Z41:Z46" si="2">B16</f>
        <v>86305</v>
      </c>
      <c r="AA41" s="126">
        <f t="shared" ref="AA41:AB46" si="3">G16</f>
        <v>1165371</v>
      </c>
      <c r="AB41" s="127">
        <f t="shared" si="3"/>
        <v>140386</v>
      </c>
    </row>
    <row r="42" spans="1:28" s="91" customFormat="1" ht="12.75" x14ac:dyDescent="0.2">
      <c r="B42" s="122"/>
      <c r="C42" s="122"/>
      <c r="D42" s="122"/>
      <c r="E42" s="122"/>
      <c r="F42" s="122"/>
      <c r="G42" s="122"/>
      <c r="H42" s="122"/>
      <c r="K42" s="122"/>
      <c r="L42" s="123"/>
      <c r="M42" s="124"/>
      <c r="N42" s="125"/>
      <c r="Y42" s="104">
        <v>2010</v>
      </c>
      <c r="Z42" s="126">
        <f t="shared" si="2"/>
        <v>77503</v>
      </c>
      <c r="AA42" s="126">
        <f t="shared" si="3"/>
        <v>1241516</v>
      </c>
      <c r="AB42" s="127">
        <f t="shared" si="3"/>
        <v>135384</v>
      </c>
    </row>
    <row r="43" spans="1:28" s="91" customFormat="1" ht="12.75" x14ac:dyDescent="0.2">
      <c r="B43" s="122"/>
      <c r="C43" s="122"/>
      <c r="D43" s="122"/>
      <c r="E43" s="122"/>
      <c r="F43" s="122"/>
      <c r="G43" s="122"/>
      <c r="H43" s="122"/>
      <c r="Y43" s="104">
        <v>2011</v>
      </c>
      <c r="Z43" s="126">
        <f t="shared" si="2"/>
        <v>75974</v>
      </c>
      <c r="AA43" s="126">
        <f t="shared" si="3"/>
        <v>1094741</v>
      </c>
      <c r="AB43" s="127">
        <f t="shared" si="3"/>
        <v>108744</v>
      </c>
    </row>
    <row r="44" spans="1:28" s="91" customFormat="1" ht="12.75" x14ac:dyDescent="0.2">
      <c r="A44" s="104"/>
      <c r="B44" s="104"/>
      <c r="C44" s="104"/>
      <c r="D44" s="104"/>
      <c r="E44" s="104"/>
      <c r="F44" s="104"/>
      <c r="G44" s="104"/>
      <c r="H44" s="104"/>
      <c r="Y44" s="104">
        <v>2012</v>
      </c>
      <c r="Z44" s="126">
        <f t="shared" si="2"/>
        <v>69830</v>
      </c>
      <c r="AA44" s="126">
        <f t="shared" si="3"/>
        <v>1468840</v>
      </c>
      <c r="AB44" s="127">
        <f t="shared" si="3"/>
        <v>211865</v>
      </c>
    </row>
    <row r="45" spans="1:28" s="91" customFormat="1" ht="12.75" x14ac:dyDescent="0.2">
      <c r="F45" s="104"/>
      <c r="G45" s="123"/>
      <c r="H45" s="104"/>
      <c r="Y45" s="104">
        <v>2013</v>
      </c>
      <c r="Z45" s="126">
        <f t="shared" si="2"/>
        <v>66557</v>
      </c>
      <c r="AA45" s="126">
        <f t="shared" si="3"/>
        <v>1571320</v>
      </c>
      <c r="AB45" s="127">
        <f t="shared" si="3"/>
        <v>249201</v>
      </c>
    </row>
    <row r="46" spans="1:28" s="91" customFormat="1" ht="12.75" x14ac:dyDescent="0.2">
      <c r="O46" s="123"/>
      <c r="Y46" s="104">
        <v>2014</v>
      </c>
      <c r="Z46" s="126">
        <f t="shared" si="2"/>
        <v>41974</v>
      </c>
      <c r="AA46" s="126">
        <f t="shared" si="3"/>
        <v>1687209</v>
      </c>
      <c r="AB46" s="127">
        <f t="shared" si="3"/>
        <v>265736</v>
      </c>
    </row>
    <row r="47" spans="1:28" ht="12.75" x14ac:dyDescent="0.2">
      <c r="K47" s="91"/>
      <c r="L47" s="91"/>
      <c r="M47" s="91"/>
      <c r="N47" s="91"/>
      <c r="Y47" s="104">
        <v>2015</v>
      </c>
      <c r="Z47" s="128">
        <v>59160.502999999997</v>
      </c>
      <c r="AA47" s="128">
        <v>1608503.1170000001</v>
      </c>
      <c r="AB47" s="129">
        <v>227780.79800000001</v>
      </c>
    </row>
    <row r="48" spans="1:28" ht="12.75" x14ac:dyDescent="0.2">
      <c r="K48" s="91"/>
      <c r="L48" s="91"/>
      <c r="M48" s="91"/>
      <c r="N48" s="91"/>
      <c r="Y48" s="104">
        <v>2016</v>
      </c>
      <c r="Z48" s="108">
        <v>52972</v>
      </c>
      <c r="AA48" s="108">
        <v>1578928</v>
      </c>
      <c r="AB48" s="108">
        <v>226472</v>
      </c>
    </row>
    <row r="49" spans="7:28" ht="12.75" x14ac:dyDescent="0.2">
      <c r="K49" s="91"/>
      <c r="L49" s="91"/>
      <c r="M49" s="91"/>
      <c r="N49" s="91"/>
      <c r="Y49" s="104">
        <v>2017</v>
      </c>
      <c r="Z49" s="128">
        <v>52968</v>
      </c>
      <c r="AA49" s="128">
        <v>1549661</v>
      </c>
      <c r="AB49" s="129">
        <v>171262</v>
      </c>
    </row>
    <row r="50" spans="7:28" ht="12.75" x14ac:dyDescent="0.2">
      <c r="K50" s="91"/>
      <c r="L50" s="91"/>
      <c r="M50" s="91"/>
      <c r="N50" s="91"/>
      <c r="R50" s="91"/>
      <c r="S50" s="126"/>
      <c r="T50" s="126"/>
      <c r="U50" s="126"/>
      <c r="Y50" s="104">
        <v>2018</v>
      </c>
      <c r="Z50" s="128">
        <v>45602.603000000003</v>
      </c>
      <c r="AA50" s="128">
        <v>1580069.0759999999</v>
      </c>
      <c r="AB50" s="129">
        <v>139763.71100000001</v>
      </c>
    </row>
    <row r="51" spans="7:28" ht="15" x14ac:dyDescent="0.2">
      <c r="G51" s="130"/>
      <c r="H51" s="130"/>
      <c r="K51" s="91"/>
      <c r="L51" s="91"/>
      <c r="M51" s="91"/>
      <c r="N51" s="91"/>
      <c r="R51" s="91"/>
      <c r="S51" s="126"/>
      <c r="T51" s="126"/>
      <c r="U51" s="126"/>
      <c r="Y51" s="104">
        <v>2019</v>
      </c>
      <c r="Z51" s="128">
        <v>39315</v>
      </c>
      <c r="AA51" s="128">
        <f>1579612</f>
        <v>1579612</v>
      </c>
      <c r="AB51" s="129">
        <v>107005</v>
      </c>
    </row>
    <row r="52" spans="7:28" ht="12.75" x14ac:dyDescent="0.2">
      <c r="K52" s="91"/>
      <c r="L52" s="91"/>
      <c r="M52" s="91"/>
      <c r="N52" s="91"/>
      <c r="R52" s="91"/>
      <c r="S52" s="126"/>
      <c r="T52" s="126"/>
      <c r="U52" s="126"/>
      <c r="Y52" s="104">
        <v>2020</v>
      </c>
      <c r="Z52" s="128">
        <v>30923.258000000002</v>
      </c>
      <c r="AA52" s="128">
        <v>1659599.078</v>
      </c>
      <c r="AB52" s="129">
        <v>64848.964</v>
      </c>
    </row>
    <row r="53" spans="7:28" ht="12.75" x14ac:dyDescent="0.2">
      <c r="K53" s="91"/>
      <c r="L53" s="91"/>
      <c r="M53" s="91"/>
      <c r="N53" s="91"/>
      <c r="Y53" s="104">
        <v>2021</v>
      </c>
      <c r="Z53" s="128">
        <v>35124.28</v>
      </c>
      <c r="AA53" s="128">
        <v>1805327.608</v>
      </c>
      <c r="AB53" s="129">
        <v>47690.211000000003</v>
      </c>
    </row>
    <row r="54" spans="7:28" ht="12.75" x14ac:dyDescent="0.2">
      <c r="K54" s="91"/>
      <c r="L54" s="91"/>
      <c r="M54" s="91"/>
      <c r="N54" s="91"/>
      <c r="Y54" s="104">
        <v>2022</v>
      </c>
      <c r="Z54" s="128">
        <v>30041.444</v>
      </c>
      <c r="AA54" s="128">
        <v>1505308.5290000001</v>
      </c>
      <c r="AB54" s="129">
        <v>38387.072999999997</v>
      </c>
    </row>
    <row r="55" spans="7:28" ht="12.75" x14ac:dyDescent="0.2">
      <c r="K55" s="91"/>
      <c r="L55" s="91"/>
      <c r="M55" s="91"/>
      <c r="N55" s="91"/>
    </row>
    <row r="56" spans="7:28" ht="12.75" x14ac:dyDescent="0.2">
      <c r="K56" s="91"/>
      <c r="L56" s="91"/>
      <c r="M56" s="91"/>
      <c r="N56" s="91"/>
    </row>
    <row r="57" spans="7:28" ht="12.75" x14ac:dyDescent="0.2">
      <c r="K57" s="91"/>
      <c r="L57" s="91"/>
      <c r="M57" s="91"/>
      <c r="N57" s="91"/>
    </row>
    <row r="58" spans="7:28" ht="12.75" x14ac:dyDescent="0.2">
      <c r="K58" s="91"/>
      <c r="L58" s="91"/>
      <c r="M58" s="91"/>
      <c r="N58" s="91"/>
    </row>
    <row r="59" spans="7:28" ht="12.75" x14ac:dyDescent="0.2">
      <c r="K59" s="91"/>
      <c r="L59" s="91"/>
      <c r="M59" s="91"/>
      <c r="N59" s="91"/>
    </row>
    <row r="60" spans="7:28" ht="12.75" x14ac:dyDescent="0.2">
      <c r="K60" s="91"/>
      <c r="L60" s="91"/>
      <c r="M60" s="91"/>
      <c r="N60" s="91"/>
    </row>
  </sheetData>
  <mergeCells count="6">
    <mergeCell ref="A1:H1"/>
    <mergeCell ref="A2:H2"/>
    <mergeCell ref="A3:H3"/>
    <mergeCell ref="A4:A7"/>
    <mergeCell ref="B4:F4"/>
    <mergeCell ref="B5:F5"/>
  </mergeCells>
  <pageMargins left="0.7" right="0.7" top="0.75" bottom="0.75" header="0.3" footer="0.3"/>
  <pageSetup scale="73" orientation="portrait" r:id="rId1"/>
  <ignoredErrors>
    <ignoredError sqref="B8:B29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11.28</vt:lpstr>
      <vt:lpstr>'11.28'!Print_Area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2023-07-17T08:52:55Z</cp:lastPrinted>
  <dcterms:created xsi:type="dcterms:W3CDTF">2019-03-24T03:32:16Z</dcterms:created>
  <dcterms:modified xsi:type="dcterms:W3CDTF">2023-07-17T08:52:59Z</dcterms:modified>
</cp:coreProperties>
</file>