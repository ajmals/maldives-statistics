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1CF4A4B4-9210-4044-8923-5761A36CB8E5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18" sheetId="6" r:id="rId2"/>
  </sheets>
  <externalReferences>
    <externalReference r:id="rId3"/>
    <externalReference r:id="rId4"/>
  </externalReferences>
  <definedNames>
    <definedName name="_xlnm.Print_Area" localSheetId="1">'11.18'!$A$1:$K$80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I5" i="6"/>
  <c r="H5" i="6"/>
  <c r="F5" i="6"/>
  <c r="E5" i="6"/>
  <c r="D5" i="6"/>
  <c r="G37" i="6"/>
  <c r="C37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I25" i="6"/>
  <c r="H25" i="6"/>
  <c r="F25" i="6"/>
  <c r="E25" i="6"/>
  <c r="D25" i="6"/>
  <c r="B6" i="6" l="1"/>
  <c r="B26" i="6"/>
  <c r="G5" i="6"/>
  <c r="B9" i="6"/>
  <c r="B13" i="6"/>
  <c r="B17" i="6"/>
  <c r="B10" i="6"/>
  <c r="B27" i="6"/>
  <c r="B31" i="6"/>
  <c r="B28" i="6"/>
  <c r="B32" i="6"/>
  <c r="B36" i="6"/>
  <c r="G25" i="6"/>
  <c r="B29" i="6"/>
  <c r="B33" i="6"/>
  <c r="B34" i="6"/>
  <c r="C25" i="6"/>
  <c r="B35" i="6"/>
  <c r="B7" i="6"/>
  <c r="B11" i="6"/>
  <c r="B15" i="6"/>
  <c r="B8" i="6"/>
  <c r="B12" i="6"/>
  <c r="B16" i="6"/>
  <c r="C5" i="6"/>
  <c r="B14" i="6"/>
  <c r="B30" i="6"/>
  <c r="B37" i="6"/>
  <c r="B5" i="6" l="1"/>
  <c r="B25" i="6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<sst xmlns="http://schemas.openxmlformats.org/spreadsheetml/2006/main" count="261" uniqueCount="74">
  <si>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</si>
  <si>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</si>
  <si>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</si>
  <si>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</si>
  <si>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</si>
  <si>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</si>
  <si>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</si>
  <si>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</si>
  <si>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</si>
  <si>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</si>
  <si>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</si>
  <si>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</si>
  <si>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</si>
  <si>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</si>
  <si>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</si>
  <si>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</si>
  <si>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</si>
  <si>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</si>
  <si>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</si>
  <si>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</si>
  <si>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</si>
  <si>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</si>
  <si>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</si>
  <si>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</si>
  <si>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</si>
  <si>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</si>
  <si>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</si>
  <si>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</si>
  <si>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</si>
  <si>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</si>
  <si>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</si>
  <si>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</si>
  <si>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</si>
  <si>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</si>
  <si>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</si>
  <si>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</si>
  <si>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</si>
  <si>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</si>
  <si>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</si>
  <si>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</si>
  <si>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</si>
  <si>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</si>
  <si>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</si>
  <si>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</si>
  <si>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</si>
  <si>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</si>
  <si>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</si>
  <si>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</si>
  <si>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</si>
  <si>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</si>
  <si>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</si>
  <si>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</si>
  <si>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</si>
  <si>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</si>
  <si>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</si>
  <si>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</si>
  <si>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</si>
  <si>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</si>
  <si>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</si>
  <si>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</si>
  <si>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</si>
  <si>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</si>
  <si>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</si>
  <si>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</si>
  <si>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</si>
  <si>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</si>
  <si>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</si>
  <si>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</si>
  <si>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</si>
  <si>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</si>
  <si>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11.18: މަސްމަހުގެ ގޮތުން ބައިނަލް އަޤްވާމީ ވައިގެބަނދަރުން ދަތުރުކުރި ފްލައިޓްތައް، 2022</t>
  </si>
  <si>
    <t>ތާވަލު 11.18: މަސްމަހުގެ ގޮތުން ބައިނަލް އަޤްވާމީ ވައިގެބަނދަރުން ދަތުރުކުރި ފްލައިޓްތައް، 2021</t>
  </si>
  <si>
    <t>Table  11.18 :  AIRCRAFT MOVEMENT AT VELANA INTERNATIONAL AIRPORT BY MONTH, 2022</t>
  </si>
  <si>
    <t>Table  11.18 :  AIRCRAFT MOVEMENT AT VELANA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</si>
</sst>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9" fillId="0" borderId="0"/>
    <xf numFmtId="43" fontId="5" fillId="0" borderId="0" applyFont="0" applyFill="0" applyBorder="0" applyAlignment="0" applyProtection="0"/>
    <xf numFmtId="0" fontId="5" fillId="0" borderId="0"/>
  </cellStyleXfs>
  <cellXfs count="175">
    <xf numFmtId="0" fontId="0" fillId="0" borderId="0" xfId="0"/>
    <xf numFmtId="164" fontId="0" fillId="2" borderId="0" xfId="0" applyNumberFormat="1" applyFill="1"/>
    <xf numFmtId="164" fontId="6" fillId="2" borderId="0" xfId="2" applyFont="1" applyFill="1" applyAlignment="1">
      <alignment horizontal="left" vertical="center"/>
    </xf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6" fillId="2" borderId="0" xfId="4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5" fillId="2" borderId="0" xfId="2" applyFont="1" applyFill="1" applyAlignment="1">
      <alignment horizontal="left" vertical="center"/>
    </xf>
    <xf numFmtId="3" fontId="15" fillId="2" borderId="0" xfId="2" applyNumberFormat="1" applyFont="1" applyFill="1" applyAlignment="1" applyProtection="1">
      <alignment horizontal="right" vertical="center"/>
      <protection locked="0"/>
    </xf>
    <xf numFmtId="0" fontId="13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0" xfId="2" applyNumberFormat="1" applyFont="1" applyFill="1" applyAlignment="1">
      <alignment horizontal="right" vertical="center"/>
    </xf>
    <xf numFmtId="3" fontId="6" fillId="2" borderId="41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42" xfId="2" applyNumberFormat="1" applyFont="1" applyFill="1" applyBorder="1" applyAlignment="1">
      <alignment horizontal="right" vertical="center"/>
    </xf>
    <xf numFmtId="3" fontId="6" fillId="2" borderId="13" xfId="2" applyNumberFormat="1" applyFont="1" applyFill="1" applyBorder="1" applyAlignment="1">
      <alignment horizontal="right" vertical="center"/>
    </xf>
    <xf numFmtId="3" fontId="6" fillId="2" borderId="43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4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6" fillId="2" borderId="0" xfId="2" applyFont="1" applyFill="1"/>
    <xf numFmtId="164" fontId="11" fillId="2" borderId="0" xfId="0" applyNumberFormat="1" applyFont="1" applyFill="1"/>
    <xf numFmtId="164" fontId="0" fillId="2" borderId="0" xfId="0" applyNumberFormat="1" applyFill="1" applyAlignment="1">
      <alignment horizontal="right" vertical="center"/>
    </xf>
    <xf numFmtId="164" fontId="6" fillId="2" borderId="48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1" fillId="2" borderId="48" xfId="2" applyFont="1" applyFill="1" applyBorder="1" applyAlignment="1">
      <alignment horizontal="left" vertical="center"/>
    </xf>
    <xf numFmtId="164" fontId="20" fillId="2" borderId="48" xfId="2" applyFont="1" applyFill="1" applyBorder="1" applyAlignment="1">
      <alignment horizontal="right" vertical="center"/>
    </xf>
    <xf numFmtId="0" fontId="6" fillId="2" borderId="48" xfId="2" applyNumberFormat="1" applyFont="1" applyFill="1" applyBorder="1" applyAlignment="1">
      <alignment horizontal="center" vertical="center"/>
    </xf>
    <xf numFmtId="3" fontId="6" fillId="2" borderId="48" xfId="2" applyNumberFormat="1" applyFont="1" applyFill="1" applyBorder="1" applyAlignment="1">
      <alignment horizontal="right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0" fontId="32" fillId="2" borderId="48" xfId="5" applyFont="1" applyFill="1" applyBorder="1" applyAlignment="1">
      <alignment horizontal="right"/>
    </xf>
    <xf numFmtId="164" fontId="33" fillId="2" borderId="0" xfId="0" applyNumberFormat="1" applyFont="1" applyFill="1"/>
    <xf numFmtId="0" fontId="32" fillId="2" borderId="0" xfId="0" applyFont="1" applyFill="1" applyAlignment="1">
      <alignment horizontal="right" vertical="center"/>
    </xf>
    <xf numFmtId="164" fontId="33" fillId="2" borderId="0" xfId="0" applyNumberFormat="1" applyFont="1" applyFill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1" xfId="5" applyFont="1" applyFill="1" applyBorder="1" applyAlignment="1">
      <alignment horizontal="right"/>
    </xf>
    <xf numFmtId="0" fontId="32" fillId="2" borderId="12" xfId="5" applyFont="1" applyFill="1" applyBorder="1" applyAlignment="1">
      <alignment horizontal="right"/>
    </xf>
    <xf numFmtId="0" fontId="27" fillId="2" borderId="13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18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164" fontId="6" fillId="2" borderId="47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/>
    </xf>
    <xf numFmtId="164" fontId="6" fillId="2" borderId="50" xfId="2" applyFont="1" applyFill="1" applyBorder="1" applyAlignment="1">
      <alignment horizontal="right" vertical="center" wrapText="1"/>
    </xf>
    <xf numFmtId="164" fontId="6" fillId="2" borderId="49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8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17" xfId="2" applyFont="1" applyFill="1" applyBorder="1" applyAlignment="1">
      <alignment horizontal="left" vertical="center"/>
    </xf>
    <xf numFmtId="164" fontId="40" fillId="2" borderId="18" xfId="2" applyFont="1" applyFill="1" applyBorder="1" applyAlignment="1">
      <alignment vertical="center"/>
    </xf>
    <xf numFmtId="164" fontId="31" fillId="2" borderId="18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22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1" fillId="2" borderId="26" xfId="2" applyNumberFormat="1" applyFont="1" applyFill="1" applyBorder="1" applyAlignment="1">
      <alignment horizontal="center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48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164" fontId="15" fillId="2" borderId="0" xfId="2" applyFont="1" applyFill="1" applyAlignment="1">
      <alignment horizontal="left" vertical="center" indent="1"/>
    </xf>
    <xf numFmtId="164" fontId="15" fillId="2" borderId="48" xfId="2" applyFont="1" applyFill="1" applyBorder="1" applyAlignment="1">
      <alignment horizontal="left" vertical="center" indent="1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0" fontId="27" fillId="2" borderId="8" xfId="5" applyFont="1" applyFill="1" applyBorder="1" applyAlignment="1">
      <alignment horizontal="right" vertical="center"/>
    </xf>
    <xf numFmtId="164" fontId="9" fillId="2" borderId="48" xfId="2" applyFont="1" applyFill="1" applyBorder="1" applyAlignment="1">
      <alignment horizontal="left" vertical="center"/>
    </xf>
    <xf numFmtId="0" fontId="27" fillId="2" borderId="48" xfId="5" applyFont="1" applyFill="1" applyBorder="1" applyAlignment="1">
      <alignment horizontal="right" vertical="center"/>
    </xf>
    <xf numFmtId="164" fontId="20" fillId="2" borderId="48" xfId="2" applyFont="1" applyFill="1" applyBorder="1" applyAlignment="1">
      <alignment horizontal="center" vertical="center" wrapText="1"/>
    </xf>
    <xf numFmtId="164" fontId="34" fillId="2" borderId="8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27" fillId="2" borderId="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8" xfId="2" applyFont="1" applyFill="1" applyBorder="1" applyAlignment="1">
      <alignment horizontal="right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1" fillId="2" borderId="1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0" fontId="27" fillId="2" borderId="11" xfId="5" applyFont="1" applyFill="1" applyBorder="1" applyAlignment="1">
      <alignment horizontal="right" vertical="center"/>
    </xf>
    <xf numFmtId="0" fontId="27" fillId="2" borderId="12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22" xfId="2" applyFont="1" applyFill="1" applyBorder="1" applyAlignment="1">
      <alignment horizontal="center" vertical="center" wrapText="1"/>
    </xf>
    <xf numFmtId="164" fontId="24" fillId="2" borderId="23" xfId="2" applyFont="1" applyFill="1" applyBorder="1" applyAlignment="1">
      <alignment horizontal="center" vertical="center" wrapText="1"/>
    </xf>
    <xf numFmtId="164" fontId="24" fillId="2" borderId="14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48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5" fillId="2" borderId="21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4" fontId="17" fillId="2" borderId="48" xfId="2" applyFont="1" applyFill="1" applyBorder="1" applyAlignment="1">
      <alignment horizontal="center" vertical="center"/>
    </xf>
    <xf numFmtId="164" fontId="6" fillId="2" borderId="8" xfId="2" applyFont="1" applyFill="1" applyBorder="1" applyAlignment="1">
      <alignment horizontal="right" vertical="center" wrapText="1"/>
    </xf>
    <xf numFmtId="164" fontId="6" fillId="2" borderId="48" xfId="2" applyFont="1" applyFill="1" applyBorder="1" applyAlignment="1">
      <alignment horizontal="right" vertical="center" wrapText="1"/>
    </xf>
    <xf numFmtId="164" fontId="6" fillId="2" borderId="45" xfId="2" applyFont="1" applyFill="1" applyBorder="1" applyAlignment="1">
      <alignment horizontal="center" vertical="center"/>
    </xf>
    <xf numFmtId="164" fontId="6" fillId="2" borderId="31" xfId="2" applyFont="1" applyFill="1" applyBorder="1" applyAlignment="1">
      <alignment horizontal="center" vertical="center"/>
    </xf>
    <xf numFmtId="164" fontId="6" fillId="2" borderId="46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2018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&amp;11.19'!$AA$81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&amp;11.19'!$AA$82:$AA$93</c:f>
              <c:numCache>
                <c:formatCode>General</c:formatCode>
                <c:ptCount val="12"/>
                <c:pt idx="0">
                  <c:v>2690</c:v>
                </c:pt>
                <c:pt idx="1">
                  <c:v>2652</c:v>
                </c:pt>
                <c:pt idx="2">
                  <c:v>2538</c:v>
                </c:pt>
                <c:pt idx="3">
                  <c:v>2388</c:v>
                </c:pt>
                <c:pt idx="4">
                  <c:v>2168</c:v>
                </c:pt>
                <c:pt idx="5">
                  <c:v>2230</c:v>
                </c:pt>
                <c:pt idx="6">
                  <c:v>2510</c:v>
                </c:pt>
                <c:pt idx="7">
                  <c:v>2890</c:v>
                </c:pt>
                <c:pt idx="8">
                  <c:v>2560</c:v>
                </c:pt>
                <c:pt idx="9">
                  <c:v>2504</c:v>
                </c:pt>
                <c:pt idx="10">
                  <c:v>2504</c:v>
                </c:pt>
                <c:pt idx="11">
                  <c:v>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'[1]11.17, 11.18 &amp;11.19'!$AB$81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&amp;11.19'!$AB$82:$AB$93</c:f>
              <c:numCache>
                <c:formatCode>General</c:formatCode>
                <c:ptCount val="12"/>
                <c:pt idx="0">
                  <c:v>9909</c:v>
                </c:pt>
                <c:pt idx="1">
                  <c:v>9985</c:v>
                </c:pt>
                <c:pt idx="2">
                  <c:v>9718</c:v>
                </c:pt>
                <c:pt idx="3">
                  <c:v>8909</c:v>
                </c:pt>
                <c:pt idx="4">
                  <c:v>7032</c:v>
                </c:pt>
                <c:pt idx="5">
                  <c:v>6447</c:v>
                </c:pt>
                <c:pt idx="6">
                  <c:v>8181</c:v>
                </c:pt>
                <c:pt idx="7">
                  <c:v>8720</c:v>
                </c:pt>
                <c:pt idx="8">
                  <c:v>7030</c:v>
                </c:pt>
                <c:pt idx="9">
                  <c:v>9231</c:v>
                </c:pt>
                <c:pt idx="10">
                  <c:v>9299</c:v>
                </c:pt>
                <c:pt idx="11">
                  <c:v>10569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6864"/>
        <c:axId val="412980392"/>
      </c:barChart>
      <c:catAx>
        <c:axId val="412976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80392"/>
        <c:crosses val="autoZero"/>
        <c:auto val="1"/>
        <c:lblAlgn val="ctr"/>
        <c:lblOffset val="100"/>
        <c:noMultiLvlLbl val="0"/>
      </c:catAx>
      <c:valAx>
        <c:axId val="4129803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68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2018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&amp;11.19'!$AA$65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&amp;11.19'!$AA$66:$AA$77</c:f>
              <c:numCache>
                <c:formatCode>General</c:formatCode>
                <c:ptCount val="12"/>
                <c:pt idx="0">
                  <c:v>2116</c:v>
                </c:pt>
                <c:pt idx="1">
                  <c:v>1980</c:v>
                </c:pt>
                <c:pt idx="2">
                  <c:v>1938</c:v>
                </c:pt>
                <c:pt idx="3">
                  <c:v>1726</c:v>
                </c:pt>
                <c:pt idx="4">
                  <c:v>1614</c:v>
                </c:pt>
                <c:pt idx="5">
                  <c:v>1612</c:v>
                </c:pt>
                <c:pt idx="6">
                  <c:v>1732</c:v>
                </c:pt>
                <c:pt idx="7">
                  <c:v>1666</c:v>
                </c:pt>
                <c:pt idx="8">
                  <c:v>1618</c:v>
                </c:pt>
                <c:pt idx="9">
                  <c:v>1856</c:v>
                </c:pt>
                <c:pt idx="10">
                  <c:v>2132</c:v>
                </c:pt>
                <c:pt idx="11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strRef>
              <c:f>'[1]11.17, 11.18 &amp;11.19'!$AC$65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&amp;11.19'!$AC$66:$AC$77</c:f>
              <c:numCache>
                <c:formatCode>General</c:formatCode>
                <c:ptCount val="12"/>
                <c:pt idx="0">
                  <c:v>320</c:v>
                </c:pt>
                <c:pt idx="1">
                  <c:v>162</c:v>
                </c:pt>
                <c:pt idx="2">
                  <c:v>140</c:v>
                </c:pt>
                <c:pt idx="3">
                  <c:v>192</c:v>
                </c:pt>
                <c:pt idx="4">
                  <c:v>96</c:v>
                </c:pt>
                <c:pt idx="5">
                  <c:v>48</c:v>
                </c:pt>
                <c:pt idx="6">
                  <c:v>72</c:v>
                </c:pt>
                <c:pt idx="7">
                  <c:v>58</c:v>
                </c:pt>
                <c:pt idx="8">
                  <c:v>34</c:v>
                </c:pt>
                <c:pt idx="9">
                  <c:v>20</c:v>
                </c:pt>
                <c:pt idx="10">
                  <c:v>154</c:v>
                </c:pt>
                <c:pt idx="11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82352"/>
        <c:axId val="412977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'[1]11.17, 11.18 &amp;11.19'!$AB$65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'[1]11.17, 11.18 &amp;11.19'!$Z$66:$Z$77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'[1]11.17, 11.18 &amp;11.19'!$AB$66:$AB$77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412982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77256"/>
        <c:crosses val="autoZero"/>
        <c:auto val="1"/>
        <c:lblAlgn val="ctr"/>
        <c:lblOffset val="100"/>
        <c:noMultiLvlLbl val="0"/>
      </c:catAx>
      <c:valAx>
        <c:axId val="41297725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8235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Velana International airport, 2022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'11.18'!$H$4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'11.18'!$H$6:$H$17</c:f>
              <c:numCache>
                <c:formatCode>#,##0</c:formatCode>
                <c:ptCount val="12"/>
                <c:pt idx="0">
                  <c:v>2610</c:v>
                </c:pt>
                <c:pt idx="1">
                  <c:v>2290</c:v>
                </c:pt>
                <c:pt idx="2">
                  <c:v>2610</c:v>
                </c:pt>
                <c:pt idx="3">
                  <c:v>2470</c:v>
                </c:pt>
                <c:pt idx="4">
                  <c:v>2604</c:v>
                </c:pt>
                <c:pt idx="5">
                  <c:v>2254</c:v>
                </c:pt>
                <c:pt idx="6">
                  <c:v>2952</c:v>
                </c:pt>
                <c:pt idx="7">
                  <c:v>2544</c:v>
                </c:pt>
                <c:pt idx="8">
                  <c:v>2312</c:v>
                </c:pt>
                <c:pt idx="9">
                  <c:v>2618</c:v>
                </c:pt>
                <c:pt idx="10">
                  <c:v>2558</c:v>
                </c:pt>
                <c:pt idx="11">
                  <c:v>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'11.18'!$I$4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'11.18'!$I$6:$I$17</c:f>
              <c:numCache>
                <c:formatCode>#,##0</c:formatCode>
                <c:ptCount val="12"/>
                <c:pt idx="0">
                  <c:v>12912</c:v>
                </c:pt>
                <c:pt idx="1">
                  <c:v>12948</c:v>
                </c:pt>
                <c:pt idx="2">
                  <c:v>13796</c:v>
                </c:pt>
                <c:pt idx="3">
                  <c:v>13031</c:v>
                </c:pt>
                <c:pt idx="4">
                  <c:v>10874</c:v>
                </c:pt>
                <c:pt idx="5">
                  <c:v>8748</c:v>
                </c:pt>
                <c:pt idx="6">
                  <c:v>11270</c:v>
                </c:pt>
                <c:pt idx="7">
                  <c:v>11512</c:v>
                </c:pt>
                <c:pt idx="8">
                  <c:v>8781</c:v>
                </c:pt>
                <c:pt idx="9">
                  <c:v>12709</c:v>
                </c:pt>
                <c:pt idx="10">
                  <c:v>12852</c:v>
                </c:pt>
                <c:pt idx="11">
                  <c:v>14480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8040"/>
        <c:axId val="412975296"/>
      </c:barChart>
      <c:catAx>
        <c:axId val="412978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5296"/>
        <c:crosses val="autoZero"/>
        <c:auto val="1"/>
        <c:lblAlgn val="ctr"/>
        <c:lblOffset val="100"/>
        <c:noMultiLvlLbl val="0"/>
      </c:catAx>
      <c:valAx>
        <c:axId val="412975296"/>
        <c:scaling>
          <c:orientation val="minMax"/>
          <c:max val="1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804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Velana International airport, 2022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900623056199873E-2"/>
          <c:y val="0.16243976644354782"/>
          <c:w val="0.89587312365699012"/>
          <c:h val="0.7344214534944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'11.18'!$D$4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'11.18'!$D$6:$D$17</c:f>
              <c:numCache>
                <c:formatCode>#,##0</c:formatCode>
                <c:ptCount val="12"/>
                <c:pt idx="0">
                  <c:v>2312</c:v>
                </c:pt>
                <c:pt idx="1">
                  <c:v>2076</c:v>
                </c:pt>
                <c:pt idx="2">
                  <c:v>2260</c:v>
                </c:pt>
                <c:pt idx="3">
                  <c:v>2032</c:v>
                </c:pt>
                <c:pt idx="4">
                  <c:v>2156</c:v>
                </c:pt>
                <c:pt idx="5">
                  <c:v>2040</c:v>
                </c:pt>
                <c:pt idx="6">
                  <c:v>2184</c:v>
                </c:pt>
                <c:pt idx="7">
                  <c:v>2218</c:v>
                </c:pt>
                <c:pt idx="8">
                  <c:v>2052</c:v>
                </c:pt>
                <c:pt idx="9">
                  <c:v>2326</c:v>
                </c:pt>
                <c:pt idx="10">
                  <c:v>2498</c:v>
                </c:pt>
                <c:pt idx="11">
                  <c:v>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1"/>
          <c:order val="1"/>
          <c:tx>
            <c:strRef>
              <c:f>'11.18'!$E$4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'11.18'!$E$6:$E$17</c:f>
              <c:numCache>
                <c:formatCode>#,##0</c:formatCode>
                <c:ptCount val="12"/>
                <c:pt idx="0">
                  <c:v>116</c:v>
                </c:pt>
                <c:pt idx="1">
                  <c:v>82</c:v>
                </c:pt>
                <c:pt idx="2">
                  <c:v>60</c:v>
                </c:pt>
                <c:pt idx="3">
                  <c:v>38</c:v>
                </c:pt>
                <c:pt idx="4">
                  <c:v>30</c:v>
                </c:pt>
                <c:pt idx="5">
                  <c:v>24</c:v>
                </c:pt>
                <c:pt idx="6">
                  <c:v>30</c:v>
                </c:pt>
                <c:pt idx="7">
                  <c:v>34</c:v>
                </c:pt>
                <c:pt idx="8">
                  <c:v>24</c:v>
                </c:pt>
                <c:pt idx="9">
                  <c:v>38</c:v>
                </c:pt>
                <c:pt idx="10">
                  <c:v>50</c:v>
                </c:pt>
                <c:pt idx="11">
                  <c:v>86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FC6-4075-A702-C6E3D898E736}"/>
            </c:ext>
          </c:extLst>
        </c:ser>
        <c:ser>
          <c:idx val="2"/>
          <c:order val="2"/>
          <c:tx>
            <c:strRef>
              <c:f>'11.18'!$F$4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'11.18'!$F$6:$F$17</c:f>
              <c:numCache>
                <c:formatCode>#,##0</c:formatCode>
                <c:ptCount val="12"/>
                <c:pt idx="0">
                  <c:v>618</c:v>
                </c:pt>
                <c:pt idx="1">
                  <c:v>396</c:v>
                </c:pt>
                <c:pt idx="2">
                  <c:v>326</c:v>
                </c:pt>
                <c:pt idx="3">
                  <c:v>284</c:v>
                </c:pt>
                <c:pt idx="4">
                  <c:v>176</c:v>
                </c:pt>
                <c:pt idx="5">
                  <c:v>114</c:v>
                </c:pt>
                <c:pt idx="6">
                  <c:v>106</c:v>
                </c:pt>
                <c:pt idx="7">
                  <c:v>156</c:v>
                </c:pt>
                <c:pt idx="8">
                  <c:v>84</c:v>
                </c:pt>
                <c:pt idx="9">
                  <c:v>186</c:v>
                </c:pt>
                <c:pt idx="10">
                  <c:v>180</c:v>
                </c:pt>
                <c:pt idx="1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9608"/>
        <c:axId val="412976472"/>
        <c:extLst/>
      </c:barChart>
      <c:catAx>
        <c:axId val="41297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6472"/>
        <c:crosses val="autoZero"/>
        <c:auto val="1"/>
        <c:lblAlgn val="ctr"/>
        <c:lblOffset val="100"/>
        <c:noMultiLvlLbl val="0"/>
      </c:catAx>
      <c:valAx>
        <c:axId val="412976472"/>
        <c:scaling>
          <c:orientation val="minMax"/>
          <c:max val="3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9608"/>
        <c:crosses val="autoZero"/>
        <c:crossBetween val="between"/>
        <c:majorUnit val="500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4861133749408237"/>
          <c:y val="0.19157527642302158"/>
          <c:w val="0.43986069149134427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59</xdr:row>
      <xdr:rowOff>161924</xdr:rowOff>
    </xdr:from>
    <xdr:to>
      <xdr:col>9</xdr:col>
      <xdr:colOff>761999</xdr:colOff>
      <xdr:row>78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514350</xdr:colOff>
      <xdr:row>61</xdr:row>
      <xdr:rowOff>142875</xdr:rowOff>
    </xdr:from>
    <xdr:ext cx="83574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14350" y="157638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43</xdr:row>
      <xdr:rowOff>77755</xdr:rowOff>
    </xdr:from>
    <xdr:to>
      <xdr:col>8</xdr:col>
      <xdr:colOff>787270</xdr:colOff>
      <xdr:row>43</xdr:row>
      <xdr:rowOff>77755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1305897" y="125650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41</xdr:row>
      <xdr:rowOff>223546</xdr:rowOff>
    </xdr:from>
    <xdr:to>
      <xdr:col>9</xdr:col>
      <xdr:colOff>789799</xdr:colOff>
      <xdr:row>59</xdr:row>
      <xdr:rowOff>89615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515128</xdr:colOff>
      <xdr:row>42</xdr:row>
      <xdr:rowOff>106913</xdr:rowOff>
    </xdr:from>
    <xdr:to>
      <xdr:col>1</xdr:col>
      <xdr:colOff>592883</xdr:colOff>
      <xdr:row>43</xdr:row>
      <xdr:rowOff>58316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15128" y="12356063"/>
          <a:ext cx="858805" cy="189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409574</xdr:colOff>
      <xdr:row>59</xdr:row>
      <xdr:rowOff>161924</xdr:rowOff>
    </xdr:from>
    <xdr:to>
      <xdr:col>9</xdr:col>
      <xdr:colOff>761999</xdr:colOff>
      <xdr:row>78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514350</xdr:colOff>
      <xdr:row>61</xdr:row>
      <xdr:rowOff>142875</xdr:rowOff>
    </xdr:from>
    <xdr:ext cx="83574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14350" y="148494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43</xdr:row>
      <xdr:rowOff>77755</xdr:rowOff>
    </xdr:from>
    <xdr:to>
      <xdr:col>8</xdr:col>
      <xdr:colOff>787270</xdr:colOff>
      <xdr:row>43</xdr:row>
      <xdr:rowOff>77755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V="1">
          <a:off x="1305897" y="116506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41</xdr:row>
      <xdr:rowOff>223546</xdr:rowOff>
    </xdr:from>
    <xdr:to>
      <xdr:col>9</xdr:col>
      <xdr:colOff>789799</xdr:colOff>
      <xdr:row>59</xdr:row>
      <xdr:rowOff>89615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534178</xdr:colOff>
      <xdr:row>43</xdr:row>
      <xdr:rowOff>30713</xdr:rowOff>
    </xdr:from>
    <xdr:to>
      <xdr:col>1</xdr:col>
      <xdr:colOff>611933</xdr:colOff>
      <xdr:row>44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34178" y="12308438"/>
          <a:ext cx="858805" cy="283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3" t="s">
        <v>68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9" ht="15.75" x14ac:dyDescent="0.25">
      <c r="A2" s="125" t="s">
        <v>69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</row>
    <row r="4" spans="1:29" s="11" customFormat="1" ht="19.5" x14ac:dyDescent="0.15">
      <c r="A4" s="126" t="s">
        <v>9</v>
      </c>
      <c r="B4" s="132" t="s">
        <v>36</v>
      </c>
      <c r="C4" s="132"/>
      <c r="D4" s="89"/>
      <c r="E4" s="132" t="s">
        <v>37</v>
      </c>
      <c r="F4" s="132"/>
      <c r="G4" s="89"/>
      <c r="H4" s="132" t="s">
        <v>38</v>
      </c>
      <c r="I4" s="132"/>
      <c r="J4" s="89"/>
      <c r="K4" s="132" t="s">
        <v>39</v>
      </c>
      <c r="L4" s="132"/>
      <c r="M4" s="89"/>
      <c r="N4" s="132" t="s">
        <v>40</v>
      </c>
      <c r="O4" s="132"/>
      <c r="P4" s="89"/>
      <c r="Q4" s="132" t="s">
        <v>41</v>
      </c>
      <c r="R4" s="132"/>
      <c r="S4" s="89"/>
      <c r="T4" s="132" t="s">
        <v>42</v>
      </c>
      <c r="U4" s="132"/>
      <c r="V4" s="89"/>
      <c r="W4" s="132" t="s">
        <v>43</v>
      </c>
      <c r="X4" s="132"/>
      <c r="Y4" s="89"/>
      <c r="Z4" s="132" t="s">
        <v>44</v>
      </c>
      <c r="AA4" s="132"/>
      <c r="AB4" s="134" t="s">
        <v>11</v>
      </c>
    </row>
    <row r="5" spans="1:29" s="16" customFormat="1" ht="15" customHeight="1" x14ac:dyDescent="0.25">
      <c r="A5" s="127"/>
      <c r="B5" s="131" t="s">
        <v>45</v>
      </c>
      <c r="C5" s="131"/>
      <c r="D5" s="15"/>
      <c r="E5" s="131" t="s">
        <v>46</v>
      </c>
      <c r="F5" s="131"/>
      <c r="G5" s="15"/>
      <c r="H5" s="131" t="s">
        <v>47</v>
      </c>
      <c r="I5" s="131"/>
      <c r="J5" s="15"/>
      <c r="K5" s="131" t="s">
        <v>48</v>
      </c>
      <c r="L5" s="131"/>
      <c r="M5" s="15"/>
      <c r="N5" s="131" t="s">
        <v>49</v>
      </c>
      <c r="O5" s="131"/>
      <c r="P5" s="15"/>
      <c r="Q5" s="131" t="s">
        <v>50</v>
      </c>
      <c r="R5" s="131"/>
      <c r="S5" s="15"/>
      <c r="T5" s="131" t="s">
        <v>51</v>
      </c>
      <c r="U5" s="131"/>
      <c r="V5" s="15"/>
      <c r="W5" s="131" t="s">
        <v>52</v>
      </c>
      <c r="X5" s="131"/>
      <c r="Y5" s="15"/>
      <c r="Z5" s="131" t="s">
        <v>53</v>
      </c>
      <c r="AA5" s="131"/>
      <c r="AB5" s="135"/>
      <c r="AC5" s="3"/>
    </row>
    <row r="6" spans="1:29" s="85" customFormat="1" ht="14.25" x14ac:dyDescent="0.2">
      <c r="A6" s="127"/>
      <c r="B6" s="73" t="s">
        <v>0</v>
      </c>
      <c r="C6" s="73" t="s">
        <v>1</v>
      </c>
      <c r="D6" s="73"/>
      <c r="E6" s="73" t="s">
        <v>0</v>
      </c>
      <c r="F6" s="73" t="s">
        <v>1</v>
      </c>
      <c r="G6" s="73"/>
      <c r="H6" s="73" t="s">
        <v>0</v>
      </c>
      <c r="I6" s="73" t="s">
        <v>1</v>
      </c>
      <c r="J6" s="73"/>
      <c r="K6" s="73" t="s">
        <v>0</v>
      </c>
      <c r="L6" s="73" t="s">
        <v>1</v>
      </c>
      <c r="M6" s="73"/>
      <c r="N6" s="73" t="s">
        <v>0</v>
      </c>
      <c r="O6" s="73" t="s">
        <v>1</v>
      </c>
      <c r="P6" s="73"/>
      <c r="Q6" s="73" t="s">
        <v>0</v>
      </c>
      <c r="R6" s="73" t="s">
        <v>1</v>
      </c>
      <c r="S6" s="73"/>
      <c r="T6" s="73" t="s">
        <v>0</v>
      </c>
      <c r="U6" s="73" t="s">
        <v>1</v>
      </c>
      <c r="V6" s="73"/>
      <c r="W6" s="73" t="s">
        <v>0</v>
      </c>
      <c r="X6" s="73" t="s">
        <v>1</v>
      </c>
      <c r="Y6" s="73"/>
      <c r="Z6" s="73" t="s">
        <v>0</v>
      </c>
      <c r="AA6" s="73" t="s">
        <v>1</v>
      </c>
      <c r="AB6" s="135"/>
    </row>
    <row r="7" spans="1:29" s="16" customFormat="1" ht="14.25" x14ac:dyDescent="0.2">
      <c r="A7" s="129"/>
      <c r="B7" s="75" t="s">
        <v>2</v>
      </c>
      <c r="C7" s="75" t="s">
        <v>3</v>
      </c>
      <c r="D7" s="75"/>
      <c r="E7" s="75" t="s">
        <v>2</v>
      </c>
      <c r="F7" s="75" t="s">
        <v>3</v>
      </c>
      <c r="G7" s="75"/>
      <c r="H7" s="75" t="s">
        <v>2</v>
      </c>
      <c r="I7" s="75" t="s">
        <v>3</v>
      </c>
      <c r="J7" s="75"/>
      <c r="K7" s="75" t="s">
        <v>2</v>
      </c>
      <c r="L7" s="75" t="s">
        <v>3</v>
      </c>
      <c r="M7" s="75"/>
      <c r="N7" s="75" t="s">
        <v>2</v>
      </c>
      <c r="O7" s="75" t="s">
        <v>3</v>
      </c>
      <c r="P7" s="75"/>
      <c r="Q7" s="75" t="s">
        <v>2</v>
      </c>
      <c r="R7" s="75" t="s">
        <v>3</v>
      </c>
      <c r="S7" s="75"/>
      <c r="T7" s="75" t="s">
        <v>2</v>
      </c>
      <c r="U7" s="75" t="s">
        <v>3</v>
      </c>
      <c r="V7" s="75"/>
      <c r="W7" s="75" t="s">
        <v>2</v>
      </c>
      <c r="X7" s="75" t="s">
        <v>3</v>
      </c>
      <c r="Y7" s="75"/>
      <c r="Z7" s="75" t="s">
        <v>2</v>
      </c>
      <c r="AA7" s="75" t="s">
        <v>3</v>
      </c>
      <c r="AB7" s="136"/>
    </row>
    <row r="8" spans="1:29" s="11" customFormat="1" ht="15.75" x14ac:dyDescent="0.1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84" t="s">
        <v>5</v>
      </c>
    </row>
    <row r="9" spans="1:29" s="11" customFormat="1" ht="15.75" x14ac:dyDescent="0.4">
      <c r="A9" s="5" t="s">
        <v>12</v>
      </c>
      <c r="B9" s="101"/>
      <c r="C9" s="101"/>
      <c r="D9" s="101"/>
      <c r="E9" s="102"/>
      <c r="F9" s="102"/>
      <c r="G9" s="102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3"/>
      <c r="Z9" s="103"/>
      <c r="AA9" s="103"/>
      <c r="AB9" s="86" t="s">
        <v>13</v>
      </c>
    </row>
    <row r="10" spans="1:29" s="11" customFormat="1" ht="15.75" x14ac:dyDescent="0.4">
      <c r="A10" s="5" t="s">
        <v>14</v>
      </c>
      <c r="B10" s="101"/>
      <c r="C10" s="101"/>
      <c r="D10" s="101"/>
      <c r="E10" s="102"/>
      <c r="F10" s="102"/>
      <c r="G10" s="102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3"/>
      <c r="Z10" s="103"/>
      <c r="AA10" s="103"/>
      <c r="AB10" s="86" t="s">
        <v>15</v>
      </c>
    </row>
    <row r="11" spans="1:29" s="11" customFormat="1" ht="15.75" x14ac:dyDescent="0.4">
      <c r="A11" s="5" t="s">
        <v>16</v>
      </c>
      <c r="B11" s="101"/>
      <c r="C11" s="101"/>
      <c r="D11" s="101"/>
      <c r="E11" s="102"/>
      <c r="F11" s="102"/>
      <c r="G11" s="102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3"/>
      <c r="Z11" s="103"/>
      <c r="AA11" s="103"/>
      <c r="AB11" s="86" t="s">
        <v>17</v>
      </c>
    </row>
    <row r="12" spans="1:29" s="11" customFormat="1" ht="15.75" x14ac:dyDescent="0.4">
      <c r="A12" s="5" t="s">
        <v>18</v>
      </c>
      <c r="B12" s="101"/>
      <c r="C12" s="101"/>
      <c r="D12" s="101"/>
      <c r="E12" s="102"/>
      <c r="F12" s="102"/>
      <c r="G12" s="102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3"/>
      <c r="Z12" s="103"/>
      <c r="AA12" s="103"/>
      <c r="AB12" s="86" t="s">
        <v>19</v>
      </c>
    </row>
    <row r="13" spans="1:29" s="11" customFormat="1" ht="15.75" x14ac:dyDescent="0.4">
      <c r="A13" s="5" t="s">
        <v>20</v>
      </c>
      <c r="B13" s="101"/>
      <c r="C13" s="101"/>
      <c r="D13" s="101"/>
      <c r="E13" s="102"/>
      <c r="F13" s="102"/>
      <c r="G13" s="102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3"/>
      <c r="Z13" s="103"/>
      <c r="AA13" s="103"/>
      <c r="AB13" s="86" t="s">
        <v>21</v>
      </c>
    </row>
    <row r="14" spans="1:29" s="11" customFormat="1" ht="15.75" x14ac:dyDescent="0.4">
      <c r="A14" s="5" t="s">
        <v>22</v>
      </c>
      <c r="B14" s="101"/>
      <c r="C14" s="101"/>
      <c r="D14" s="101"/>
      <c r="E14" s="102"/>
      <c r="F14" s="102"/>
      <c r="G14" s="102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3"/>
      <c r="Z14" s="103"/>
      <c r="AA14" s="103"/>
      <c r="AB14" s="86" t="s">
        <v>23</v>
      </c>
    </row>
    <row r="15" spans="1:29" s="11" customFormat="1" ht="15.75" x14ac:dyDescent="0.4">
      <c r="A15" s="5" t="s">
        <v>24</v>
      </c>
      <c r="B15" s="101"/>
      <c r="C15" s="101"/>
      <c r="D15" s="101"/>
      <c r="E15" s="102"/>
      <c r="F15" s="102"/>
      <c r="G15" s="102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3"/>
      <c r="Z15" s="103"/>
      <c r="AA15" s="103"/>
      <c r="AB15" s="86" t="s">
        <v>25</v>
      </c>
    </row>
    <row r="16" spans="1:29" s="11" customFormat="1" ht="15.75" x14ac:dyDescent="0.4">
      <c r="A16" s="5" t="s">
        <v>26</v>
      </c>
      <c r="B16" s="101"/>
      <c r="C16" s="101"/>
      <c r="D16" s="101"/>
      <c r="E16" s="102"/>
      <c r="F16" s="102"/>
      <c r="G16" s="102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3"/>
      <c r="Z16" s="103"/>
      <c r="AA16" s="103"/>
      <c r="AB16" s="86" t="s">
        <v>27</v>
      </c>
    </row>
    <row r="17" spans="1:44" s="11" customFormat="1" ht="15.75" x14ac:dyDescent="0.4">
      <c r="A17" s="5" t="s">
        <v>28</v>
      </c>
      <c r="B17" s="101"/>
      <c r="C17" s="101"/>
      <c r="D17" s="101"/>
      <c r="E17" s="102"/>
      <c r="F17" s="102"/>
      <c r="G17" s="102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3"/>
      <c r="Z17" s="103"/>
      <c r="AA17" s="103"/>
      <c r="AB17" s="86" t="s">
        <v>29</v>
      </c>
    </row>
    <row r="18" spans="1:44" s="11" customFormat="1" ht="15.75" x14ac:dyDescent="0.4">
      <c r="A18" s="5" t="s">
        <v>30</v>
      </c>
      <c r="B18" s="101"/>
      <c r="C18" s="101"/>
      <c r="D18" s="101"/>
      <c r="E18" s="102"/>
      <c r="F18" s="102"/>
      <c r="G18" s="102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3"/>
      <c r="Z18" s="103"/>
      <c r="AA18" s="103"/>
      <c r="AB18" s="86" t="s">
        <v>31</v>
      </c>
    </row>
    <row r="19" spans="1:44" s="11" customFormat="1" ht="15.75" x14ac:dyDescent="0.4">
      <c r="A19" s="5" t="s">
        <v>32</v>
      </c>
      <c r="B19" s="101"/>
      <c r="C19" s="101"/>
      <c r="D19" s="101"/>
      <c r="E19" s="102"/>
      <c r="F19" s="102"/>
      <c r="G19" s="102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3"/>
      <c r="Z19" s="103"/>
      <c r="AA19" s="103"/>
      <c r="AB19" s="86" t="s">
        <v>33</v>
      </c>
    </row>
    <row r="20" spans="1:44" s="11" customFormat="1" ht="15.75" x14ac:dyDescent="0.4">
      <c r="A20" s="74" t="s">
        <v>34</v>
      </c>
      <c r="B20" s="104"/>
      <c r="C20" s="104"/>
      <c r="D20" s="104"/>
      <c r="E20" s="105"/>
      <c r="F20" s="105"/>
      <c r="G20" s="105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6"/>
      <c r="Z20" s="106"/>
      <c r="AA20" s="106"/>
      <c r="AB20" s="87" t="s">
        <v>35</v>
      </c>
    </row>
    <row r="21" spans="1:44" ht="18.75" x14ac:dyDescent="0.25">
      <c r="A21" s="6" t="s">
        <v>7</v>
      </c>
      <c r="AB21" s="10" t="s">
        <v>8</v>
      </c>
      <c r="AO21" s="11"/>
      <c r="AP21" s="72" t="s">
        <v>2</v>
      </c>
      <c r="AQ21" s="72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4"/>
      <c r="T24" s="14"/>
      <c r="W24" s="1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3" customFormat="1" ht="21.75" customHeight="1" x14ac:dyDescent="0.55000000000000004">
      <c r="A44" s="137" t="s">
        <v>9</v>
      </c>
      <c r="B44" s="109"/>
      <c r="D44" s="110"/>
      <c r="F44" s="110"/>
      <c r="G44" s="140" t="s">
        <v>36</v>
      </c>
      <c r="H44" s="141"/>
      <c r="I44" s="141"/>
      <c r="J44" s="141"/>
      <c r="K44" s="142"/>
      <c r="L44" s="92"/>
      <c r="M44" s="111"/>
      <c r="N44" s="92"/>
      <c r="O44" s="111"/>
      <c r="P44" s="143" t="s">
        <v>37</v>
      </c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10"/>
      <c r="AC44" s="145" t="s">
        <v>38</v>
      </c>
      <c r="AD44" s="146"/>
      <c r="AE44" s="146"/>
      <c r="AF44" s="146"/>
      <c r="AG44" s="146"/>
      <c r="AH44" s="146"/>
      <c r="AI44" s="146"/>
      <c r="AJ44" s="146"/>
      <c r="AK44" s="91"/>
      <c r="AL44" s="145" t="s">
        <v>39</v>
      </c>
      <c r="AM44" s="146"/>
      <c r="AN44" s="146"/>
      <c r="AO44" s="146"/>
      <c r="AP44" s="146"/>
      <c r="AQ44" s="146"/>
      <c r="AR44" s="146"/>
      <c r="AS44" s="91"/>
      <c r="AT44" s="145" t="s">
        <v>40</v>
      </c>
      <c r="AU44" s="146"/>
      <c r="AV44" s="146"/>
      <c r="AW44" s="146"/>
      <c r="AX44" s="146"/>
      <c r="AY44" s="107"/>
      <c r="AZ44" s="91"/>
      <c r="BA44" s="145" t="s">
        <v>41</v>
      </c>
      <c r="BB44" s="146"/>
      <c r="BC44" s="146"/>
      <c r="BD44" s="146"/>
      <c r="BE44" s="163"/>
      <c r="BF44" s="90"/>
      <c r="BG44" s="164" t="s">
        <v>42</v>
      </c>
      <c r="BH44" s="165"/>
      <c r="BI44" s="165"/>
      <c r="BJ44" s="165"/>
      <c r="BK44" s="166"/>
      <c r="BL44" s="145" t="s">
        <v>43</v>
      </c>
      <c r="BM44" s="146"/>
      <c r="BN44" s="146"/>
      <c r="BO44" s="146"/>
      <c r="BP44" s="163"/>
      <c r="BQ44" s="145" t="s">
        <v>44</v>
      </c>
      <c r="BR44" s="146"/>
      <c r="BS44" s="146"/>
      <c r="BT44" s="147" t="s">
        <v>11</v>
      </c>
    </row>
    <row r="45" spans="1:80" s="94" customFormat="1" ht="16.5" customHeight="1" x14ac:dyDescent="0.25">
      <c r="A45" s="138"/>
      <c r="B45" s="112"/>
      <c r="D45" s="113"/>
      <c r="F45" s="113"/>
      <c r="G45" s="150" t="s">
        <v>45</v>
      </c>
      <c r="H45" s="151"/>
      <c r="I45" s="151"/>
      <c r="J45" s="151"/>
      <c r="K45" s="152"/>
      <c r="M45" s="113"/>
      <c r="O45" s="113"/>
      <c r="P45" s="153" t="s">
        <v>46</v>
      </c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13"/>
      <c r="AC45" s="155" t="s">
        <v>61</v>
      </c>
      <c r="AD45" s="156"/>
      <c r="AE45" s="156"/>
      <c r="AF45" s="156"/>
      <c r="AG45" s="156"/>
      <c r="AH45" s="156"/>
      <c r="AI45" s="156"/>
      <c r="AJ45" s="156"/>
      <c r="AK45" s="95"/>
      <c r="AL45" s="155" t="s">
        <v>62</v>
      </c>
      <c r="AM45" s="156"/>
      <c r="AN45" s="156"/>
      <c r="AO45" s="156"/>
      <c r="AP45" s="156"/>
      <c r="AQ45" s="156"/>
      <c r="AR45" s="156"/>
      <c r="AS45" s="95"/>
      <c r="AT45" s="155" t="s">
        <v>63</v>
      </c>
      <c r="AU45" s="156"/>
      <c r="AV45" s="156"/>
      <c r="AW45" s="156"/>
      <c r="AX45" s="156"/>
      <c r="AY45" s="108"/>
      <c r="AZ45" s="95"/>
      <c r="BA45" s="157" t="s">
        <v>64</v>
      </c>
      <c r="BB45" s="158"/>
      <c r="BC45" s="158"/>
      <c r="BD45" s="158"/>
      <c r="BE45" s="159"/>
      <c r="BG45" s="160" t="s">
        <v>65</v>
      </c>
      <c r="BH45" s="161"/>
      <c r="BI45" s="161"/>
      <c r="BJ45" s="161"/>
      <c r="BK45" s="162"/>
      <c r="BL45" s="157" t="s">
        <v>66</v>
      </c>
      <c r="BM45" s="158"/>
      <c r="BN45" s="158"/>
      <c r="BO45" s="158"/>
      <c r="BP45" s="159"/>
      <c r="BQ45" s="157" t="s">
        <v>67</v>
      </c>
      <c r="BR45" s="158"/>
      <c r="BS45" s="158"/>
      <c r="BT45" s="148"/>
    </row>
    <row r="46" spans="1:80" ht="23.25" customHeight="1" x14ac:dyDescent="0.25">
      <c r="A46" s="139"/>
      <c r="B46" s="114"/>
      <c r="C46" s="115">
        <v>2011</v>
      </c>
      <c r="D46" s="115">
        <v>2012</v>
      </c>
      <c r="E46" s="116">
        <v>2013</v>
      </c>
      <c r="F46" s="117">
        <v>2014</v>
      </c>
      <c r="G46" s="118">
        <v>2015</v>
      </c>
      <c r="H46" s="119">
        <v>2016</v>
      </c>
      <c r="I46" s="120">
        <v>2017</v>
      </c>
      <c r="J46" s="120">
        <v>2018</v>
      </c>
      <c r="K46" s="120">
        <v>2019</v>
      </c>
      <c r="L46" s="121">
        <v>2011</v>
      </c>
      <c r="M46" s="121">
        <v>2012</v>
      </c>
      <c r="N46" s="121">
        <v>2013</v>
      </c>
      <c r="O46" s="120">
        <v>2014</v>
      </c>
      <c r="P46" s="118">
        <v>2015</v>
      </c>
      <c r="Q46" s="120">
        <v>2016</v>
      </c>
      <c r="R46" s="121">
        <v>2011</v>
      </c>
      <c r="S46" s="121">
        <v>2012</v>
      </c>
      <c r="T46" s="120">
        <v>2013</v>
      </c>
      <c r="U46" s="120">
        <v>2014</v>
      </c>
      <c r="V46" s="121">
        <v>2011</v>
      </c>
      <c r="W46" s="121">
        <v>2012</v>
      </c>
      <c r="X46" s="120">
        <v>2013</v>
      </c>
      <c r="Y46" s="120">
        <v>2017</v>
      </c>
      <c r="Z46" s="120">
        <v>2018</v>
      </c>
      <c r="AA46" s="122">
        <v>2019</v>
      </c>
      <c r="AB46" s="120">
        <v>2014</v>
      </c>
      <c r="AC46" s="27">
        <v>2015</v>
      </c>
      <c r="AD46" s="27">
        <v>2016</v>
      </c>
      <c r="AE46" s="76">
        <v>2011</v>
      </c>
      <c r="AF46" s="76">
        <v>2012</v>
      </c>
      <c r="AG46" s="76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6">
        <v>2012</v>
      </c>
      <c r="AQ46" s="76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6">
        <v>2013</v>
      </c>
      <c r="AW46" s="27">
        <v>2017</v>
      </c>
      <c r="AX46" s="27">
        <v>2018</v>
      </c>
      <c r="AY46" s="27">
        <v>2019</v>
      </c>
      <c r="AZ46" s="76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6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49"/>
      <c r="BU46" s="3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88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86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86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86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86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86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86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86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86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86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86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86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87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19"/>
      <c r="BY60" s="25"/>
      <c r="BZ60" s="25"/>
      <c r="CA60" s="25"/>
      <c r="CB60" s="2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46"/>
  <sheetViews>
    <sheetView tabSelected="1" zoomScale="95" zoomScaleNormal="95" workbookViewId="0">
      <selection activeCell="P15" sqref="P15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81" customWidth="1"/>
    <col min="11" max="11" width="6.285156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1" ht="21" x14ac:dyDescent="0.25">
      <c r="A1" s="167" t="s">
        <v>70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11" ht="15" x14ac:dyDescent="0.25">
      <c r="A2" s="169" t="s">
        <v>72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1" ht="15" x14ac:dyDescent="0.25">
      <c r="A3" s="126" t="s">
        <v>9</v>
      </c>
      <c r="B3" s="170" t="s">
        <v>57</v>
      </c>
      <c r="C3" s="172" t="s">
        <v>6</v>
      </c>
      <c r="D3" s="173"/>
      <c r="E3" s="173"/>
      <c r="F3" s="174"/>
      <c r="G3" s="173" t="s">
        <v>10</v>
      </c>
      <c r="H3" s="173"/>
      <c r="I3" s="173"/>
      <c r="J3" s="128" t="s">
        <v>11</v>
      </c>
    </row>
    <row r="4" spans="1:11" s="25" customFormat="1" ht="15" x14ac:dyDescent="0.25">
      <c r="A4" s="129"/>
      <c r="B4" s="171"/>
      <c r="C4" s="96" t="s">
        <v>4</v>
      </c>
      <c r="D4" s="97" t="s">
        <v>58</v>
      </c>
      <c r="E4" s="97" t="s">
        <v>59</v>
      </c>
      <c r="F4" s="98" t="s">
        <v>60</v>
      </c>
      <c r="G4" s="99" t="s">
        <v>4</v>
      </c>
      <c r="H4" s="97" t="s">
        <v>58</v>
      </c>
      <c r="I4" s="100" t="s">
        <v>60</v>
      </c>
      <c r="J4" s="130"/>
      <c r="K4" s="3"/>
    </row>
    <row r="5" spans="1:11" ht="17.25" x14ac:dyDescent="0.4">
      <c r="A5" s="2" t="s">
        <v>4</v>
      </c>
      <c r="B5" s="55">
        <f>SUM(C5+G5)</f>
        <v>205061</v>
      </c>
      <c r="C5" s="56">
        <f>SUM(D5+E5+F5)</f>
        <v>30470</v>
      </c>
      <c r="D5" s="57">
        <f>SUM(D6:D17)</f>
        <v>26890</v>
      </c>
      <c r="E5" s="57">
        <f>SUM(E6:E17)</f>
        <v>612</v>
      </c>
      <c r="F5" s="58">
        <f>SUM(F6:F17)</f>
        <v>2968</v>
      </c>
      <c r="G5" s="59">
        <f>SUM(H5+I5)</f>
        <v>174591</v>
      </c>
      <c r="H5" s="57">
        <f>SUM(H6:H17)</f>
        <v>30678</v>
      </c>
      <c r="I5" s="57">
        <f>SUM(I6:I17)</f>
        <v>143913</v>
      </c>
      <c r="J5" s="78" t="s">
        <v>5</v>
      </c>
    </row>
    <row r="6" spans="1:11" ht="17.25" x14ac:dyDescent="0.4">
      <c r="A6" s="123" t="s">
        <v>12</v>
      </c>
      <c r="B6" s="55">
        <f>SUM(C6+G6)</f>
        <v>18568</v>
      </c>
      <c r="C6" s="60">
        <f>SUM(D6+E6+F6)</f>
        <v>3046</v>
      </c>
      <c r="D6" s="61">
        <v>2312</v>
      </c>
      <c r="E6" s="61">
        <v>116</v>
      </c>
      <c r="F6" s="62">
        <v>618</v>
      </c>
      <c r="G6" s="63">
        <f>SUM(H6+I6)</f>
        <v>15522</v>
      </c>
      <c r="H6" s="61">
        <v>2610</v>
      </c>
      <c r="I6" s="61">
        <v>12912</v>
      </c>
      <c r="J6" s="79" t="s">
        <v>13</v>
      </c>
    </row>
    <row r="7" spans="1:11" ht="17.25" x14ac:dyDescent="0.4">
      <c r="A7" s="123" t="s">
        <v>14</v>
      </c>
      <c r="B7" s="55">
        <f t="shared" ref="B7:B17" si="0">SUM(C7+G7)</f>
        <v>17792</v>
      </c>
      <c r="C7" s="60">
        <f>SUM(D7+E7+F7)</f>
        <v>2554</v>
      </c>
      <c r="D7" s="61">
        <v>2076</v>
      </c>
      <c r="E7" s="61">
        <v>82</v>
      </c>
      <c r="F7" s="62">
        <v>396</v>
      </c>
      <c r="G7" s="63">
        <f t="shared" ref="G7:G17" si="1">SUM(H7+I7)</f>
        <v>15238</v>
      </c>
      <c r="H7" s="61">
        <v>2290</v>
      </c>
      <c r="I7" s="61">
        <v>12948</v>
      </c>
      <c r="J7" s="79" t="s">
        <v>15</v>
      </c>
    </row>
    <row r="8" spans="1:11" ht="17.25" x14ac:dyDescent="0.4">
      <c r="A8" s="123" t="s">
        <v>16</v>
      </c>
      <c r="B8" s="55">
        <f t="shared" si="0"/>
        <v>19052</v>
      </c>
      <c r="C8" s="60">
        <f t="shared" ref="C8:C17" si="2">SUM(D8+E8+F8)</f>
        <v>2646</v>
      </c>
      <c r="D8" s="61">
        <v>2260</v>
      </c>
      <c r="E8" s="61">
        <v>60</v>
      </c>
      <c r="F8" s="62">
        <v>326</v>
      </c>
      <c r="G8" s="63">
        <f t="shared" si="1"/>
        <v>16406</v>
      </c>
      <c r="H8" s="61">
        <v>2610</v>
      </c>
      <c r="I8" s="61">
        <v>13796</v>
      </c>
      <c r="J8" s="79" t="s">
        <v>17</v>
      </c>
    </row>
    <row r="9" spans="1:11" ht="17.25" x14ac:dyDescent="0.4">
      <c r="A9" s="123" t="s">
        <v>18</v>
      </c>
      <c r="B9" s="55">
        <f t="shared" si="0"/>
        <v>17855</v>
      </c>
      <c r="C9" s="60">
        <f t="shared" si="2"/>
        <v>2354</v>
      </c>
      <c r="D9" s="61">
        <v>2032</v>
      </c>
      <c r="E9" s="61">
        <v>38</v>
      </c>
      <c r="F9" s="62">
        <v>284</v>
      </c>
      <c r="G9" s="63">
        <f t="shared" si="1"/>
        <v>15501</v>
      </c>
      <c r="H9" s="61">
        <v>2470</v>
      </c>
      <c r="I9" s="61">
        <v>13031</v>
      </c>
      <c r="J9" s="79" t="s">
        <v>19</v>
      </c>
    </row>
    <row r="10" spans="1:11" ht="17.25" x14ac:dyDescent="0.4">
      <c r="A10" s="123" t="s">
        <v>20</v>
      </c>
      <c r="B10" s="55">
        <f t="shared" si="0"/>
        <v>15840</v>
      </c>
      <c r="C10" s="60">
        <f t="shared" si="2"/>
        <v>2362</v>
      </c>
      <c r="D10" s="61">
        <v>2156</v>
      </c>
      <c r="E10" s="61">
        <v>30</v>
      </c>
      <c r="F10" s="62">
        <v>176</v>
      </c>
      <c r="G10" s="63">
        <f t="shared" si="1"/>
        <v>13478</v>
      </c>
      <c r="H10" s="61">
        <v>2604</v>
      </c>
      <c r="I10" s="61">
        <v>10874</v>
      </c>
      <c r="J10" s="79" t="s">
        <v>21</v>
      </c>
    </row>
    <row r="11" spans="1:11" ht="17.25" x14ac:dyDescent="0.4">
      <c r="A11" s="123" t="s">
        <v>22</v>
      </c>
      <c r="B11" s="55">
        <f t="shared" si="0"/>
        <v>13180</v>
      </c>
      <c r="C11" s="60">
        <f t="shared" si="2"/>
        <v>2178</v>
      </c>
      <c r="D11" s="61">
        <v>2040</v>
      </c>
      <c r="E11" s="61">
        <v>24</v>
      </c>
      <c r="F11" s="62">
        <v>114</v>
      </c>
      <c r="G11" s="63">
        <f t="shared" si="1"/>
        <v>11002</v>
      </c>
      <c r="H11" s="61">
        <v>2254</v>
      </c>
      <c r="I11" s="61">
        <v>8748</v>
      </c>
      <c r="J11" s="79" t="s">
        <v>23</v>
      </c>
    </row>
    <row r="12" spans="1:11" ht="17.25" x14ac:dyDescent="0.4">
      <c r="A12" s="123" t="s">
        <v>24</v>
      </c>
      <c r="B12" s="55">
        <f t="shared" si="0"/>
        <v>16542</v>
      </c>
      <c r="C12" s="60">
        <f t="shared" si="2"/>
        <v>2320</v>
      </c>
      <c r="D12" s="61">
        <v>2184</v>
      </c>
      <c r="E12" s="61">
        <v>30</v>
      </c>
      <c r="F12" s="62">
        <v>106</v>
      </c>
      <c r="G12" s="63">
        <f t="shared" si="1"/>
        <v>14222</v>
      </c>
      <c r="H12" s="61">
        <v>2952</v>
      </c>
      <c r="I12" s="61">
        <v>11270</v>
      </c>
      <c r="J12" s="79" t="s">
        <v>25</v>
      </c>
    </row>
    <row r="13" spans="1:11" ht="17.25" x14ac:dyDescent="0.4">
      <c r="A13" s="123" t="s">
        <v>26</v>
      </c>
      <c r="B13" s="55">
        <f t="shared" si="0"/>
        <v>16464</v>
      </c>
      <c r="C13" s="60">
        <f t="shared" si="2"/>
        <v>2408</v>
      </c>
      <c r="D13" s="61">
        <v>2218</v>
      </c>
      <c r="E13" s="61">
        <v>34</v>
      </c>
      <c r="F13" s="62">
        <v>156</v>
      </c>
      <c r="G13" s="63">
        <f t="shared" si="1"/>
        <v>14056</v>
      </c>
      <c r="H13" s="61">
        <v>2544</v>
      </c>
      <c r="I13" s="61">
        <v>11512</v>
      </c>
      <c r="J13" s="79" t="s">
        <v>27</v>
      </c>
    </row>
    <row r="14" spans="1:11" ht="17.25" x14ac:dyDescent="0.4">
      <c r="A14" s="123" t="s">
        <v>28</v>
      </c>
      <c r="B14" s="55">
        <f t="shared" si="0"/>
        <v>13253</v>
      </c>
      <c r="C14" s="60">
        <f t="shared" si="2"/>
        <v>2160</v>
      </c>
      <c r="D14" s="61">
        <v>2052</v>
      </c>
      <c r="E14" s="61">
        <v>24</v>
      </c>
      <c r="F14" s="62">
        <v>84</v>
      </c>
      <c r="G14" s="63">
        <f t="shared" si="1"/>
        <v>11093</v>
      </c>
      <c r="H14" s="61">
        <v>2312</v>
      </c>
      <c r="I14" s="61">
        <v>8781</v>
      </c>
      <c r="J14" s="79" t="s">
        <v>29</v>
      </c>
    </row>
    <row r="15" spans="1:11" ht="17.25" x14ac:dyDescent="0.4">
      <c r="A15" s="123" t="s">
        <v>30</v>
      </c>
      <c r="B15" s="55">
        <f t="shared" si="0"/>
        <v>17877</v>
      </c>
      <c r="C15" s="60">
        <f t="shared" si="2"/>
        <v>2550</v>
      </c>
      <c r="D15" s="61">
        <v>2326</v>
      </c>
      <c r="E15" s="61">
        <v>38</v>
      </c>
      <c r="F15" s="62">
        <v>186</v>
      </c>
      <c r="G15" s="63">
        <f t="shared" si="1"/>
        <v>15327</v>
      </c>
      <c r="H15" s="61">
        <v>2618</v>
      </c>
      <c r="I15" s="61">
        <v>12709</v>
      </c>
      <c r="J15" s="79" t="s">
        <v>31</v>
      </c>
    </row>
    <row r="16" spans="1:11" ht="17.25" x14ac:dyDescent="0.4">
      <c r="A16" s="123" t="s">
        <v>32</v>
      </c>
      <c r="B16" s="55">
        <f t="shared" si="0"/>
        <v>18138</v>
      </c>
      <c r="C16" s="60">
        <f t="shared" si="2"/>
        <v>2728</v>
      </c>
      <c r="D16" s="61">
        <v>2498</v>
      </c>
      <c r="E16" s="61">
        <v>50</v>
      </c>
      <c r="F16" s="62">
        <v>180</v>
      </c>
      <c r="G16" s="63">
        <f t="shared" si="1"/>
        <v>15410</v>
      </c>
      <c r="H16" s="61">
        <v>2558</v>
      </c>
      <c r="I16" s="61">
        <v>12852</v>
      </c>
      <c r="J16" s="79" t="s">
        <v>33</v>
      </c>
    </row>
    <row r="17" spans="1:15" ht="17.25" x14ac:dyDescent="0.4">
      <c r="A17" s="124" t="s">
        <v>34</v>
      </c>
      <c r="B17" s="77">
        <f t="shared" si="0"/>
        <v>20500</v>
      </c>
      <c r="C17" s="64">
        <f t="shared" si="2"/>
        <v>3164</v>
      </c>
      <c r="D17" s="65">
        <v>2736</v>
      </c>
      <c r="E17" s="65">
        <v>86</v>
      </c>
      <c r="F17" s="66">
        <v>342</v>
      </c>
      <c r="G17" s="67">
        <f t="shared" si="1"/>
        <v>17336</v>
      </c>
      <c r="H17" s="65">
        <v>2856</v>
      </c>
      <c r="I17" s="65">
        <v>14480</v>
      </c>
      <c r="J17" s="80" t="s">
        <v>35</v>
      </c>
    </row>
    <row r="18" spans="1:15" ht="18.75" x14ac:dyDescent="0.4">
      <c r="A18" s="6" t="s">
        <v>7</v>
      </c>
      <c r="B18" s="6"/>
      <c r="C18" s="7"/>
      <c r="D18" s="7"/>
      <c r="E18" s="7"/>
      <c r="F18" s="7"/>
      <c r="G18" s="7"/>
      <c r="H18" s="68"/>
      <c r="I18" s="10"/>
      <c r="J18" s="10" t="s">
        <v>8</v>
      </c>
      <c r="L18" s="69"/>
      <c r="M18" s="9"/>
    </row>
    <row r="19" spans="1:15" ht="19.5" x14ac:dyDescent="0.45">
      <c r="A19" s="70"/>
      <c r="B19" s="70"/>
      <c r="C19" s="24"/>
      <c r="D19" s="24"/>
      <c r="E19" s="24"/>
      <c r="F19" s="24"/>
      <c r="G19" s="24"/>
      <c r="H19" s="24"/>
      <c r="I19" s="24"/>
      <c r="K19" s="24"/>
      <c r="L19" s="24"/>
      <c r="M19" s="24"/>
      <c r="N19" s="24"/>
      <c r="O19" s="24"/>
    </row>
    <row r="20" spans="1:15" ht="18.75" x14ac:dyDescent="0.25">
      <c r="A20" s="6"/>
      <c r="B20" s="6"/>
      <c r="C20" s="7"/>
      <c r="D20" s="7"/>
      <c r="E20" s="7"/>
      <c r="F20" s="7"/>
      <c r="G20" s="7"/>
      <c r="H20" s="68"/>
      <c r="J20" s="14"/>
    </row>
    <row r="21" spans="1:15" ht="21" x14ac:dyDescent="0.25">
      <c r="A21" s="167" t="s">
        <v>71</v>
      </c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5" ht="15" x14ac:dyDescent="0.25">
      <c r="A22" s="169" t="s">
        <v>73</v>
      </c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5" ht="15" x14ac:dyDescent="0.25">
      <c r="A23" s="126" t="s">
        <v>9</v>
      </c>
      <c r="B23" s="170" t="s">
        <v>57</v>
      </c>
      <c r="C23" s="172" t="s">
        <v>6</v>
      </c>
      <c r="D23" s="173"/>
      <c r="E23" s="173"/>
      <c r="F23" s="174"/>
      <c r="G23" s="173" t="s">
        <v>10</v>
      </c>
      <c r="H23" s="173"/>
      <c r="I23" s="173"/>
      <c r="J23" s="128" t="s">
        <v>11</v>
      </c>
    </row>
    <row r="24" spans="1:15" s="71" customFormat="1" ht="15" x14ac:dyDescent="0.25">
      <c r="A24" s="129"/>
      <c r="B24" s="171"/>
      <c r="C24" s="96" t="s">
        <v>4</v>
      </c>
      <c r="D24" s="97" t="s">
        <v>58</v>
      </c>
      <c r="E24" s="97" t="s">
        <v>59</v>
      </c>
      <c r="F24" s="98" t="s">
        <v>60</v>
      </c>
      <c r="G24" s="99" t="s">
        <v>4</v>
      </c>
      <c r="H24" s="97" t="s">
        <v>58</v>
      </c>
      <c r="I24" s="100" t="s">
        <v>60</v>
      </c>
      <c r="J24" s="130"/>
    </row>
    <row r="25" spans="1:15" ht="17.25" x14ac:dyDescent="0.4">
      <c r="A25" s="2" t="s">
        <v>4</v>
      </c>
      <c r="B25" s="55">
        <f>SUM(C25+G25)</f>
        <v>158639</v>
      </c>
      <c r="C25" s="56">
        <f>SUM(D25+E25+F25)</f>
        <v>25610</v>
      </c>
      <c r="D25" s="57">
        <f>SUM(D26:D37)</f>
        <v>20706</v>
      </c>
      <c r="E25" s="57">
        <f>SUM(E26:E37)</f>
        <v>1054</v>
      </c>
      <c r="F25" s="58">
        <f>SUM(F26:F37)</f>
        <v>3850</v>
      </c>
      <c r="G25" s="59">
        <f>SUM(H25+I25)</f>
        <v>133029</v>
      </c>
      <c r="H25" s="57">
        <f>SUM(H26:H37)</f>
        <v>21536</v>
      </c>
      <c r="I25" s="57">
        <f>SUM(I26:I37)</f>
        <v>111493</v>
      </c>
      <c r="J25" s="78" t="s">
        <v>5</v>
      </c>
    </row>
    <row r="26" spans="1:15" ht="17.25" x14ac:dyDescent="0.4">
      <c r="A26" s="123" t="s">
        <v>12</v>
      </c>
      <c r="B26" s="55">
        <f>SUM(C26+G26)</f>
        <v>13383</v>
      </c>
      <c r="C26" s="60">
        <f>SUM(D26+E26+F26)</f>
        <v>2167</v>
      </c>
      <c r="D26" s="61">
        <v>1432</v>
      </c>
      <c r="E26" s="61">
        <v>74</v>
      </c>
      <c r="F26" s="62">
        <v>661</v>
      </c>
      <c r="G26" s="63">
        <f>SUM(H26+I26)</f>
        <v>11216</v>
      </c>
      <c r="H26" s="61">
        <v>1648</v>
      </c>
      <c r="I26" s="61">
        <v>9568</v>
      </c>
      <c r="J26" s="79" t="s">
        <v>13</v>
      </c>
    </row>
    <row r="27" spans="1:15" ht="17.25" x14ac:dyDescent="0.4">
      <c r="A27" s="123" t="s">
        <v>14</v>
      </c>
      <c r="B27" s="55">
        <f t="shared" ref="B27:B37" si="3">SUM(C27+G27)</f>
        <v>11777</v>
      </c>
      <c r="C27" s="60">
        <f>SUM(D27+E27+F27)</f>
        <v>1685</v>
      </c>
      <c r="D27" s="61">
        <v>1262</v>
      </c>
      <c r="E27" s="61">
        <v>58</v>
      </c>
      <c r="F27" s="62">
        <v>365</v>
      </c>
      <c r="G27" s="63">
        <f t="shared" ref="G27:G37" si="4">SUM(H27+I27)</f>
        <v>10092</v>
      </c>
      <c r="H27" s="61">
        <v>1358</v>
      </c>
      <c r="I27" s="61">
        <v>8734</v>
      </c>
      <c r="J27" s="79" t="s">
        <v>15</v>
      </c>
    </row>
    <row r="28" spans="1:15" ht="17.25" x14ac:dyDescent="0.4">
      <c r="A28" s="123" t="s">
        <v>16</v>
      </c>
      <c r="B28" s="55">
        <f t="shared" si="3"/>
        <v>13062</v>
      </c>
      <c r="C28" s="60">
        <f t="shared" ref="C28:C37" si="5">SUM(D28+E28+F28)</f>
        <v>2216</v>
      </c>
      <c r="D28" s="61">
        <v>1542</v>
      </c>
      <c r="E28" s="61">
        <v>110</v>
      </c>
      <c r="F28" s="62">
        <v>564</v>
      </c>
      <c r="G28" s="63">
        <f t="shared" si="4"/>
        <v>10846</v>
      </c>
      <c r="H28" s="61">
        <v>1586</v>
      </c>
      <c r="I28" s="61">
        <v>9260</v>
      </c>
      <c r="J28" s="79" t="s">
        <v>17</v>
      </c>
    </row>
    <row r="29" spans="1:15" ht="12.75" customHeight="1" x14ac:dyDescent="0.4">
      <c r="A29" s="123" t="s">
        <v>18</v>
      </c>
      <c r="B29" s="55">
        <f t="shared" si="3"/>
        <v>11408</v>
      </c>
      <c r="C29" s="60">
        <f t="shared" si="5"/>
        <v>2034</v>
      </c>
      <c r="D29" s="61">
        <v>1472</v>
      </c>
      <c r="E29" s="61">
        <v>90</v>
      </c>
      <c r="F29" s="62">
        <v>472</v>
      </c>
      <c r="G29" s="63">
        <f t="shared" si="4"/>
        <v>9374</v>
      </c>
      <c r="H29" s="61">
        <v>1450</v>
      </c>
      <c r="I29" s="61">
        <v>7924</v>
      </c>
      <c r="J29" s="79" t="s">
        <v>19</v>
      </c>
    </row>
    <row r="30" spans="1:15" ht="12.75" customHeight="1" x14ac:dyDescent="0.4">
      <c r="A30" s="123" t="s">
        <v>20</v>
      </c>
      <c r="B30" s="55">
        <f t="shared" si="3"/>
        <v>9215</v>
      </c>
      <c r="C30" s="60">
        <f t="shared" si="5"/>
        <v>1530</v>
      </c>
      <c r="D30" s="61">
        <v>1180</v>
      </c>
      <c r="E30" s="61">
        <v>42</v>
      </c>
      <c r="F30" s="62">
        <v>308</v>
      </c>
      <c r="G30" s="63">
        <f t="shared" si="4"/>
        <v>7685</v>
      </c>
      <c r="H30" s="61">
        <v>1166</v>
      </c>
      <c r="I30" s="61">
        <v>6519</v>
      </c>
      <c r="J30" s="79" t="s">
        <v>21</v>
      </c>
    </row>
    <row r="31" spans="1:15" ht="12.75" customHeight="1" x14ac:dyDescent="0.4">
      <c r="A31" s="123" t="s">
        <v>22</v>
      </c>
      <c r="B31" s="55">
        <f t="shared" si="3"/>
        <v>7250</v>
      </c>
      <c r="C31" s="60">
        <f t="shared" si="5"/>
        <v>1168</v>
      </c>
      <c r="D31" s="61">
        <v>1050</v>
      </c>
      <c r="E31" s="61">
        <v>14</v>
      </c>
      <c r="F31" s="62">
        <v>104</v>
      </c>
      <c r="G31" s="63">
        <f t="shared" si="4"/>
        <v>6082</v>
      </c>
      <c r="H31" s="61">
        <v>1078</v>
      </c>
      <c r="I31" s="61">
        <v>5004</v>
      </c>
      <c r="J31" s="79" t="s">
        <v>23</v>
      </c>
    </row>
    <row r="32" spans="1:15" ht="12.75" customHeight="1" x14ac:dyDescent="0.4">
      <c r="A32" s="123" t="s">
        <v>24</v>
      </c>
      <c r="B32" s="55">
        <f t="shared" si="3"/>
        <v>12004</v>
      </c>
      <c r="C32" s="60">
        <f t="shared" si="5"/>
        <v>1764</v>
      </c>
      <c r="D32" s="61">
        <v>1616</v>
      </c>
      <c r="E32" s="61">
        <v>48</v>
      </c>
      <c r="F32" s="62">
        <v>100</v>
      </c>
      <c r="G32" s="63">
        <f t="shared" si="4"/>
        <v>10240</v>
      </c>
      <c r="H32" s="61">
        <v>2000</v>
      </c>
      <c r="I32" s="61">
        <v>8240</v>
      </c>
      <c r="J32" s="79" t="s">
        <v>25</v>
      </c>
    </row>
    <row r="33" spans="1:10" ht="12.75" customHeight="1" x14ac:dyDescent="0.4">
      <c r="A33" s="123" t="s">
        <v>26</v>
      </c>
      <c r="B33" s="55">
        <f t="shared" si="3"/>
        <v>13765</v>
      </c>
      <c r="C33" s="60">
        <f t="shared" si="5"/>
        <v>2368</v>
      </c>
      <c r="D33" s="61">
        <v>2058</v>
      </c>
      <c r="E33" s="61">
        <v>140</v>
      </c>
      <c r="F33" s="62">
        <v>170</v>
      </c>
      <c r="G33" s="63">
        <f t="shared" si="4"/>
        <v>11397</v>
      </c>
      <c r="H33" s="61">
        <v>2112</v>
      </c>
      <c r="I33" s="61">
        <v>9285</v>
      </c>
      <c r="J33" s="79" t="s">
        <v>27</v>
      </c>
    </row>
    <row r="34" spans="1:10" ht="12.75" customHeight="1" x14ac:dyDescent="0.4">
      <c r="A34" s="123" t="s">
        <v>28</v>
      </c>
      <c r="B34" s="55">
        <f t="shared" si="3"/>
        <v>11874</v>
      </c>
      <c r="C34" s="60">
        <f t="shared" si="5"/>
        <v>2300</v>
      </c>
      <c r="D34" s="61">
        <v>2052</v>
      </c>
      <c r="E34" s="61">
        <v>144</v>
      </c>
      <c r="F34" s="62">
        <v>104</v>
      </c>
      <c r="G34" s="63">
        <f t="shared" si="4"/>
        <v>9574</v>
      </c>
      <c r="H34" s="61">
        <v>1840</v>
      </c>
      <c r="I34" s="61">
        <v>7734</v>
      </c>
      <c r="J34" s="79" t="s">
        <v>29</v>
      </c>
    </row>
    <row r="35" spans="1:10" ht="12.75" customHeight="1" x14ac:dyDescent="0.4">
      <c r="A35" s="123" t="s">
        <v>30</v>
      </c>
      <c r="B35" s="55">
        <f t="shared" si="3"/>
        <v>16786</v>
      </c>
      <c r="C35" s="60">
        <f t="shared" si="5"/>
        <v>2598</v>
      </c>
      <c r="D35" s="61">
        <v>2266</v>
      </c>
      <c r="E35" s="61">
        <v>100</v>
      </c>
      <c r="F35" s="62">
        <v>232</v>
      </c>
      <c r="G35" s="63">
        <f t="shared" si="4"/>
        <v>14188</v>
      </c>
      <c r="H35" s="61">
        <v>2242</v>
      </c>
      <c r="I35" s="61">
        <v>11946</v>
      </c>
      <c r="J35" s="79" t="s">
        <v>31</v>
      </c>
    </row>
    <row r="36" spans="1:10" ht="12.75" customHeight="1" x14ac:dyDescent="0.4">
      <c r="A36" s="123" t="s">
        <v>32</v>
      </c>
      <c r="B36" s="55">
        <f t="shared" si="3"/>
        <v>18248</v>
      </c>
      <c r="C36" s="60">
        <f t="shared" si="5"/>
        <v>2716</v>
      </c>
      <c r="D36" s="61">
        <v>2314</v>
      </c>
      <c r="E36" s="61">
        <v>104</v>
      </c>
      <c r="F36" s="62">
        <v>298</v>
      </c>
      <c r="G36" s="63">
        <f t="shared" si="4"/>
        <v>15532</v>
      </c>
      <c r="H36" s="61">
        <v>2342</v>
      </c>
      <c r="I36" s="61">
        <v>13190</v>
      </c>
      <c r="J36" s="79" t="s">
        <v>33</v>
      </c>
    </row>
    <row r="37" spans="1:10" ht="12.75" customHeight="1" x14ac:dyDescent="0.4">
      <c r="A37" s="124" t="s">
        <v>34</v>
      </c>
      <c r="B37" s="77">
        <f t="shared" si="3"/>
        <v>19867</v>
      </c>
      <c r="C37" s="64">
        <f t="shared" si="5"/>
        <v>3064</v>
      </c>
      <c r="D37" s="65">
        <v>2462</v>
      </c>
      <c r="E37" s="65">
        <v>130</v>
      </c>
      <c r="F37" s="66">
        <v>472</v>
      </c>
      <c r="G37" s="67">
        <f t="shared" si="4"/>
        <v>16803</v>
      </c>
      <c r="H37" s="65">
        <v>2714</v>
      </c>
      <c r="I37" s="65">
        <v>14089</v>
      </c>
      <c r="J37" s="80" t="s">
        <v>35</v>
      </c>
    </row>
    <row r="38" spans="1:10" ht="12.75" customHeight="1" x14ac:dyDescent="0.25">
      <c r="A38" s="6" t="s">
        <v>7</v>
      </c>
      <c r="B38" s="6"/>
      <c r="C38" s="7"/>
      <c r="D38" s="7"/>
      <c r="E38" s="7"/>
      <c r="F38" s="7"/>
      <c r="G38" s="7"/>
      <c r="H38" s="68"/>
      <c r="I38" s="10"/>
      <c r="J38" s="10" t="s">
        <v>8</v>
      </c>
    </row>
    <row r="39" spans="1:10" ht="12.75" customHeight="1" x14ac:dyDescent="0.45">
      <c r="A39" s="70"/>
      <c r="B39" s="70"/>
      <c r="C39" s="24"/>
      <c r="D39" s="24"/>
      <c r="E39" s="24"/>
      <c r="F39" s="24"/>
      <c r="G39" s="24"/>
      <c r="H39" s="24"/>
      <c r="I39" s="24"/>
    </row>
    <row r="40" spans="1:10" ht="12.75" customHeight="1" x14ac:dyDescent="0.25">
      <c r="A40" s="6"/>
      <c r="B40" s="6"/>
      <c r="C40" s="7"/>
      <c r="D40" s="7"/>
      <c r="E40" s="7"/>
      <c r="F40" s="7"/>
      <c r="G40" s="7"/>
      <c r="H40" s="68"/>
      <c r="J40" s="14"/>
    </row>
    <row r="41" spans="1:10" ht="12.75" customHeight="1" x14ac:dyDescent="0.25">
      <c r="A41" s="6"/>
      <c r="B41" s="6"/>
      <c r="C41" s="7"/>
      <c r="D41" s="7"/>
      <c r="E41" s="7"/>
      <c r="F41" s="7"/>
      <c r="G41" s="7"/>
      <c r="H41" s="68"/>
      <c r="J41" s="14"/>
    </row>
    <row r="42" spans="1:10" ht="12.75" customHeight="1" x14ac:dyDescent="0.25">
      <c r="A42" s="6"/>
      <c r="B42" s="6"/>
      <c r="C42" s="7"/>
      <c r="D42" s="7"/>
      <c r="E42" s="7"/>
      <c r="F42" s="7"/>
      <c r="G42" s="7"/>
      <c r="H42" s="68"/>
      <c r="J42" s="82"/>
    </row>
    <row r="43" spans="1:10" ht="12.75" customHeight="1" x14ac:dyDescent="0.25">
      <c r="A43" s="6"/>
      <c r="B43" s="6"/>
      <c r="C43" s="7"/>
      <c r="D43" s="7"/>
      <c r="E43" s="7"/>
      <c r="F43" s="7"/>
      <c r="G43" s="7"/>
      <c r="H43" s="68"/>
      <c r="J43" s="82"/>
    </row>
    <row r="45" spans="1:10" ht="12.75" customHeight="1" x14ac:dyDescent="0.25">
      <c r="A45" s="12"/>
      <c r="B45" s="55"/>
      <c r="C45" s="55"/>
      <c r="D45" s="13"/>
      <c r="E45" s="13"/>
      <c r="F45" s="13"/>
      <c r="G45" s="55"/>
      <c r="H45" s="13"/>
      <c r="I45" s="13"/>
      <c r="J45" s="83"/>
    </row>
    <row r="46" spans="1:10" ht="12.75" customHeight="1" x14ac:dyDescent="0.45">
      <c r="A46" s="6"/>
      <c r="B46" s="6"/>
      <c r="C46" s="7"/>
      <c r="D46" s="7"/>
      <c r="E46" s="7"/>
      <c r="F46" s="7"/>
      <c r="G46" s="7"/>
      <c r="H46" s="68"/>
      <c r="I46" s="14"/>
    </row>
  </sheetData>
  <mergeCells count="14">
    <mergeCell ref="A1:J1"/>
    <mergeCell ref="A2:J2"/>
    <mergeCell ref="A3:A4"/>
    <mergeCell ref="B3:B4"/>
    <mergeCell ref="C3:F3"/>
    <mergeCell ref="G3:I3"/>
    <mergeCell ref="J3:J4"/>
    <mergeCell ref="A21:J21"/>
    <mergeCell ref="A22:J22"/>
    <mergeCell ref="A23:A24"/>
    <mergeCell ref="B23:B24"/>
    <mergeCell ref="C23:F23"/>
    <mergeCell ref="G23:I23"/>
    <mergeCell ref="J23:J24"/>
  </mergeCells>
  <pageMargins left="0.7" right="0.7" top="0.75" bottom="0.75" header="0.3" footer="0.3"/>
  <pageSetup scale="62" orientation="portrait" r:id="rId1"/>
  <rowBreaks count="1" manualBreakCount="1">
    <brk id="8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11.18</vt:lpstr>
      <vt:lpstr>'11.18'!Print_Area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2023-07-17T08:10:38Z</cp:lastPrinted>
  <dcterms:created xsi:type="dcterms:W3CDTF">2019-03-24T03:32:16Z</dcterms:created>
  <dcterms:modified xsi:type="dcterms:W3CDTF">2023-07-17T08:10:45Z</dcterms:modified>
</cp:coreProperties>
</file>