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8D53030F-F8A2-4452-8493-CAA4232B2EEC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0" sheetId="6" r:id="rId2"/>
  </sheets>
  <externalReferences>
    <externalReference r:id="rId3"/>
    <externalReference r:id="rId4"/>
  </externalReferences>
  <definedNames>
    <definedName name="_xlnm.Print_Area" localSheetId="1">'11.20'!$A$1:$K$40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E5" i="6"/>
  <c r="D5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I24" i="6"/>
  <c r="H24" i="6"/>
  <c r="F24" i="6"/>
  <c r="E24" i="6"/>
  <c r="D24" i="6"/>
  <c r="B14" i="6" l="1"/>
  <c r="B25" i="6"/>
  <c r="B13" i="6"/>
  <c r="B6" i="6"/>
  <c r="B26" i="6"/>
  <c r="B30" i="6"/>
  <c r="B11" i="6"/>
  <c r="G24" i="6"/>
  <c r="G5" i="6"/>
  <c r="B28" i="6"/>
  <c r="B32" i="6"/>
  <c r="B15" i="6"/>
  <c r="B33" i="6"/>
  <c r="B12" i="6"/>
  <c r="B16" i="6"/>
  <c r="B10" i="6"/>
  <c r="B27" i="6"/>
  <c r="B31" i="6"/>
  <c r="B35" i="6"/>
  <c r="C24" i="6"/>
  <c r="B7" i="6"/>
  <c r="B8" i="6"/>
  <c r="B17" i="6"/>
  <c r="B9" i="6"/>
  <c r="C5" i="6"/>
  <c r="B29" i="6"/>
  <c r="B36" i="6"/>
  <c r="B34" i="6"/>
  <c r="B24" i="6" l="1"/>
  <c r="B5" i="6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<sst xmlns="http://schemas.openxmlformats.org/spreadsheetml/2006/main" count="261" uniqueCount="74">
  <si>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</si>
  <si>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</si>
  <si>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</si>
  <si>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</si>
  <si>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</si>
  <si>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</si>
  <si>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</si>
  <si>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</si>
  <si>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</si>
  <si>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</si>
  <si>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</si>
  <si>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</si>
  <si>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</si>
  <si>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</si>
  <si>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</si>
  <si>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</si>
  <si>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</si>
  <si>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</si>
  <si>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</si>
  <si>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</si>
  <si>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</si>
  <si>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</si>
  <si>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</si>
  <si>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</si>
  <si>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</si>
  <si>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</si>
  <si>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</si>
  <si>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</si>
  <si>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</si>
  <si>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</si>
  <si>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</si>
  <si>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</si>
  <si>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</si>
  <si>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</si>
  <si>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</si>
  <si>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</si>
  <si>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</si>
  <si>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</si>
  <si>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</si>
  <si>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</si>
  <si>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</si>
  <si>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</si>
  <si>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</si>
  <si>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</si>
  <si>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</si>
  <si>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</si>
  <si>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</si>
  <si>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</si>
  <si>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</si>
  <si>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</si>
  <si>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</si>
  <si>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</si>
  <si>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</si>
  <si>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</si>
  <si>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</si>
  <si>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</si>
  <si>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</si>
  <si>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</si>
  <si>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</si>
  <si>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</si>
  <si>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</si>
  <si>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</si>
  <si>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</si>
  <si>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</si>
  <si>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</si>
  <si>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</si>
  <si>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</si>
  <si>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</si>
  <si>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</si>
  <si>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</si>
  <si>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11.20 :  AIRCRAFT MOVEMENT AT HANIMAADHOO INTERNATIONAL AIRPORT BY MONTH, 2022</t>
  </si>
  <si>
    <t>ތާވަލު 11.20: މަސްމަހުގެ ގޮތުން ގަން އިންޓަރނޭޝަނަލް އެއަރޕޯޓުން ދަތުރުކުރި ފްލައިޓްތައް، 2022</t>
  </si>
  <si>
    <t>Table 11.20 :  AIRCRAFT MOVEMENT AT HANIMAADHOO INTERNATIONAL AIRPORT BY MONTH, 2021</t>
  </si>
  <si>
    <t>ތާވަލު 11.20: މަސްމަހުގެ ގޮތުން ގަން އިންޓަރނޭޝަނަލް އެއަރޕޯޓުން ދަތުރުކުރި ފްލައިޓްތައް،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</si>
</sst>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62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Font="1" applyFill="1" applyAlignment="1">
      <alignment horizontal="lef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4" fillId="2" borderId="0" xfId="4" applyFont="1" applyFill="1" applyAlignment="1">
      <alignment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right" vertical="center"/>
    </xf>
    <xf numFmtId="3" fontId="5" fillId="2" borderId="41" xfId="2" applyNumberFormat="1" applyFont="1" applyFill="1" applyBorder="1" applyAlignment="1">
      <alignment horizontal="right" vertical="center"/>
    </xf>
    <xf numFmtId="3" fontId="5" fillId="2" borderId="42" xfId="2" applyNumberFormat="1" applyFont="1" applyFill="1" applyBorder="1" applyAlignment="1">
      <alignment horizontal="right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4" fillId="2" borderId="45" xfId="2" applyFont="1" applyFill="1" applyBorder="1" applyAlignment="1">
      <alignment horizontal="left" vertical="center"/>
    </xf>
    <xf numFmtId="3" fontId="14" fillId="2" borderId="45" xfId="2" applyNumberFormat="1" applyFont="1" applyFill="1" applyBorder="1" applyAlignment="1" applyProtection="1">
      <alignment horizontal="right" vertical="center"/>
      <protection locked="0"/>
    </xf>
    <xf numFmtId="164" fontId="18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5" fillId="2" borderId="0" xfId="5" applyFont="1" applyFill="1" applyAlignment="1">
      <alignment horizontal="right"/>
    </xf>
    <xf numFmtId="0" fontId="30" fillId="2" borderId="0" xfId="5" applyFont="1" applyFill="1" applyAlignment="1">
      <alignment horizontal="right"/>
    </xf>
    <xf numFmtId="0" fontId="30" fillId="2" borderId="45" xfId="5" applyFont="1" applyFill="1" applyBorder="1" applyAlignment="1">
      <alignment horizontal="right"/>
    </xf>
    <xf numFmtId="164" fontId="31" fillId="2" borderId="0" xfId="0" applyNumberFormat="1" applyFont="1" applyFill="1"/>
    <xf numFmtId="0" fontId="30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3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8" fillId="2" borderId="17" xfId="2" applyFont="1" applyFill="1" applyBorder="1" applyAlignment="1">
      <alignment horizontal="left" vertical="center"/>
    </xf>
    <xf numFmtId="164" fontId="38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45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5" fillId="2" borderId="45" xfId="2" applyFont="1" applyFill="1" applyBorder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5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0" fontId="25" fillId="2" borderId="45" xfId="5" applyFont="1" applyFill="1" applyBorder="1" applyAlignment="1">
      <alignment horizontal="right" vertical="center"/>
    </xf>
    <xf numFmtId="164" fontId="18" fillId="2" borderId="45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5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5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3" fillId="2" borderId="21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5" fillId="2" borderId="45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right" vertical="center" wrapText="1"/>
    </xf>
    <xf numFmtId="164" fontId="5" fillId="2" borderId="45" xfId="2" applyFont="1" applyFill="1" applyBorder="1" applyAlignment="1">
      <alignment horizontal="right" vertical="center" wrapText="1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center" vertical="center"/>
    </xf>
    <xf numFmtId="164" fontId="8" fillId="2" borderId="45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18" t="s">
        <v>68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 spans="1:29" ht="15.75" x14ac:dyDescent="0.25">
      <c r="A2" s="110" t="s">
        <v>69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4" spans="1:29" s="10" customFormat="1" ht="19.5" x14ac:dyDescent="0.15">
      <c r="A4" s="111" t="s">
        <v>8</v>
      </c>
      <c r="B4" s="117" t="s">
        <v>34</v>
      </c>
      <c r="C4" s="117"/>
      <c r="D4" s="80"/>
      <c r="E4" s="117" t="s">
        <v>35</v>
      </c>
      <c r="F4" s="117"/>
      <c r="G4" s="80"/>
      <c r="H4" s="117" t="s">
        <v>36</v>
      </c>
      <c r="I4" s="117"/>
      <c r="J4" s="80"/>
      <c r="K4" s="117" t="s">
        <v>37</v>
      </c>
      <c r="L4" s="117"/>
      <c r="M4" s="80"/>
      <c r="N4" s="117" t="s">
        <v>38</v>
      </c>
      <c r="O4" s="117"/>
      <c r="P4" s="80"/>
      <c r="Q4" s="117" t="s">
        <v>39</v>
      </c>
      <c r="R4" s="117"/>
      <c r="S4" s="80"/>
      <c r="T4" s="117" t="s">
        <v>40</v>
      </c>
      <c r="U4" s="117"/>
      <c r="V4" s="80"/>
      <c r="W4" s="117" t="s">
        <v>41</v>
      </c>
      <c r="X4" s="117"/>
      <c r="Y4" s="80"/>
      <c r="Z4" s="117" t="s">
        <v>42</v>
      </c>
      <c r="AA4" s="117"/>
      <c r="AB4" s="119" t="s">
        <v>9</v>
      </c>
    </row>
    <row r="5" spans="1:29" s="16" customFormat="1" ht="15" customHeight="1" x14ac:dyDescent="0.25">
      <c r="A5" s="112"/>
      <c r="B5" s="116" t="s">
        <v>43</v>
      </c>
      <c r="C5" s="116"/>
      <c r="D5" s="15"/>
      <c r="E5" s="116" t="s">
        <v>44</v>
      </c>
      <c r="F5" s="116"/>
      <c r="G5" s="15"/>
      <c r="H5" s="116" t="s">
        <v>45</v>
      </c>
      <c r="I5" s="116"/>
      <c r="J5" s="15"/>
      <c r="K5" s="116" t="s">
        <v>46</v>
      </c>
      <c r="L5" s="116"/>
      <c r="M5" s="15"/>
      <c r="N5" s="116" t="s">
        <v>47</v>
      </c>
      <c r="O5" s="116"/>
      <c r="P5" s="15"/>
      <c r="Q5" s="116" t="s">
        <v>48</v>
      </c>
      <c r="R5" s="116"/>
      <c r="S5" s="15"/>
      <c r="T5" s="116" t="s">
        <v>49</v>
      </c>
      <c r="U5" s="116"/>
      <c r="V5" s="15"/>
      <c r="W5" s="116" t="s">
        <v>50</v>
      </c>
      <c r="X5" s="116"/>
      <c r="Y5" s="15"/>
      <c r="Z5" s="116" t="s">
        <v>51</v>
      </c>
      <c r="AA5" s="116"/>
      <c r="AB5" s="120"/>
      <c r="AC5" s="3"/>
    </row>
    <row r="6" spans="1:29" s="76" customFormat="1" ht="14.25" x14ac:dyDescent="0.2">
      <c r="A6" s="112"/>
      <c r="B6" s="63" t="s">
        <v>0</v>
      </c>
      <c r="C6" s="63" t="s">
        <v>1</v>
      </c>
      <c r="D6" s="63"/>
      <c r="E6" s="63" t="s">
        <v>0</v>
      </c>
      <c r="F6" s="63" t="s">
        <v>1</v>
      </c>
      <c r="G6" s="63"/>
      <c r="H6" s="63" t="s">
        <v>0</v>
      </c>
      <c r="I6" s="63" t="s">
        <v>1</v>
      </c>
      <c r="J6" s="63"/>
      <c r="K6" s="63" t="s">
        <v>0</v>
      </c>
      <c r="L6" s="63" t="s">
        <v>1</v>
      </c>
      <c r="M6" s="63"/>
      <c r="N6" s="63" t="s">
        <v>0</v>
      </c>
      <c r="O6" s="63" t="s">
        <v>1</v>
      </c>
      <c r="P6" s="63"/>
      <c r="Q6" s="63" t="s">
        <v>0</v>
      </c>
      <c r="R6" s="63" t="s">
        <v>1</v>
      </c>
      <c r="S6" s="63"/>
      <c r="T6" s="63" t="s">
        <v>0</v>
      </c>
      <c r="U6" s="63" t="s">
        <v>1</v>
      </c>
      <c r="V6" s="63"/>
      <c r="W6" s="63" t="s">
        <v>0</v>
      </c>
      <c r="X6" s="63" t="s">
        <v>1</v>
      </c>
      <c r="Y6" s="63"/>
      <c r="Z6" s="63" t="s">
        <v>0</v>
      </c>
      <c r="AA6" s="63" t="s">
        <v>1</v>
      </c>
      <c r="AB6" s="120"/>
    </row>
    <row r="7" spans="1:29" s="16" customFormat="1" ht="14.25" x14ac:dyDescent="0.2">
      <c r="A7" s="114"/>
      <c r="B7" s="67" t="s">
        <v>2</v>
      </c>
      <c r="C7" s="67" t="s">
        <v>3</v>
      </c>
      <c r="D7" s="67"/>
      <c r="E7" s="67" t="s">
        <v>2</v>
      </c>
      <c r="F7" s="67" t="s">
        <v>3</v>
      </c>
      <c r="G7" s="67"/>
      <c r="H7" s="67" t="s">
        <v>2</v>
      </c>
      <c r="I7" s="67" t="s">
        <v>3</v>
      </c>
      <c r="J7" s="67"/>
      <c r="K7" s="67" t="s">
        <v>2</v>
      </c>
      <c r="L7" s="67" t="s">
        <v>3</v>
      </c>
      <c r="M7" s="67"/>
      <c r="N7" s="67" t="s">
        <v>2</v>
      </c>
      <c r="O7" s="67" t="s">
        <v>3</v>
      </c>
      <c r="P7" s="67"/>
      <c r="Q7" s="67" t="s">
        <v>2</v>
      </c>
      <c r="R7" s="67" t="s">
        <v>3</v>
      </c>
      <c r="S7" s="67"/>
      <c r="T7" s="67" t="s">
        <v>2</v>
      </c>
      <c r="U7" s="67" t="s">
        <v>3</v>
      </c>
      <c r="V7" s="67"/>
      <c r="W7" s="67" t="s">
        <v>2</v>
      </c>
      <c r="X7" s="67" t="s">
        <v>3</v>
      </c>
      <c r="Y7" s="67"/>
      <c r="Z7" s="67" t="s">
        <v>2</v>
      </c>
      <c r="AA7" s="67" t="s">
        <v>3</v>
      </c>
      <c r="AB7" s="121"/>
    </row>
    <row r="8" spans="1:29" s="10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75" t="s">
        <v>5</v>
      </c>
    </row>
    <row r="9" spans="1:29" s="10" customFormat="1" ht="15.75" x14ac:dyDescent="0.4">
      <c r="A9" s="5" t="s">
        <v>10</v>
      </c>
      <c r="B9" s="87"/>
      <c r="C9" s="87"/>
      <c r="D9" s="87"/>
      <c r="E9" s="88"/>
      <c r="F9" s="88"/>
      <c r="G9" s="88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9"/>
      <c r="Z9" s="89"/>
      <c r="AA9" s="89"/>
      <c r="AB9" s="77" t="s">
        <v>11</v>
      </c>
    </row>
    <row r="10" spans="1:29" s="10" customFormat="1" ht="15.75" x14ac:dyDescent="0.4">
      <c r="A10" s="5" t="s">
        <v>12</v>
      </c>
      <c r="B10" s="87"/>
      <c r="C10" s="87"/>
      <c r="D10" s="87"/>
      <c r="E10" s="88"/>
      <c r="F10" s="88"/>
      <c r="G10" s="88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9"/>
      <c r="Z10" s="89"/>
      <c r="AA10" s="89"/>
      <c r="AB10" s="77" t="s">
        <v>13</v>
      </c>
    </row>
    <row r="11" spans="1:29" s="10" customFormat="1" ht="15.75" x14ac:dyDescent="0.4">
      <c r="A11" s="5" t="s">
        <v>14</v>
      </c>
      <c r="B11" s="87"/>
      <c r="C11" s="87"/>
      <c r="D11" s="87"/>
      <c r="E11" s="88"/>
      <c r="F11" s="88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9"/>
      <c r="Z11" s="89"/>
      <c r="AA11" s="89"/>
      <c r="AB11" s="77" t="s">
        <v>15</v>
      </c>
    </row>
    <row r="12" spans="1:29" s="10" customFormat="1" ht="15.75" x14ac:dyDescent="0.4">
      <c r="A12" s="5" t="s">
        <v>16</v>
      </c>
      <c r="B12" s="87"/>
      <c r="C12" s="87"/>
      <c r="D12" s="87"/>
      <c r="E12" s="88"/>
      <c r="F12" s="88"/>
      <c r="G12" s="88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9"/>
      <c r="Z12" s="89"/>
      <c r="AA12" s="89"/>
      <c r="AB12" s="77" t="s">
        <v>17</v>
      </c>
    </row>
    <row r="13" spans="1:29" s="10" customFormat="1" ht="15.75" x14ac:dyDescent="0.4">
      <c r="A13" s="5" t="s">
        <v>18</v>
      </c>
      <c r="B13" s="87"/>
      <c r="C13" s="87"/>
      <c r="D13" s="87"/>
      <c r="E13" s="88"/>
      <c r="F13" s="88"/>
      <c r="G13" s="88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9"/>
      <c r="Z13" s="89"/>
      <c r="AA13" s="89"/>
      <c r="AB13" s="77" t="s">
        <v>19</v>
      </c>
    </row>
    <row r="14" spans="1:29" s="10" customFormat="1" ht="15.75" x14ac:dyDescent="0.4">
      <c r="A14" s="5" t="s">
        <v>20</v>
      </c>
      <c r="B14" s="87"/>
      <c r="C14" s="87"/>
      <c r="D14" s="87"/>
      <c r="E14" s="88"/>
      <c r="F14" s="88"/>
      <c r="G14" s="88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9"/>
      <c r="Z14" s="89"/>
      <c r="AA14" s="89"/>
      <c r="AB14" s="77" t="s">
        <v>21</v>
      </c>
    </row>
    <row r="15" spans="1:29" s="10" customFormat="1" ht="15.75" x14ac:dyDescent="0.4">
      <c r="A15" s="5" t="s">
        <v>22</v>
      </c>
      <c r="B15" s="87"/>
      <c r="C15" s="87"/>
      <c r="D15" s="87"/>
      <c r="E15" s="88"/>
      <c r="F15" s="88"/>
      <c r="G15" s="88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9"/>
      <c r="Z15" s="89"/>
      <c r="AA15" s="89"/>
      <c r="AB15" s="77" t="s">
        <v>23</v>
      </c>
    </row>
    <row r="16" spans="1:29" s="10" customFormat="1" ht="15.75" x14ac:dyDescent="0.4">
      <c r="A16" s="5" t="s">
        <v>24</v>
      </c>
      <c r="B16" s="87"/>
      <c r="C16" s="87"/>
      <c r="D16" s="87"/>
      <c r="E16" s="88"/>
      <c r="F16" s="88"/>
      <c r="G16" s="88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9"/>
      <c r="Z16" s="89"/>
      <c r="AA16" s="89"/>
      <c r="AB16" s="77" t="s">
        <v>25</v>
      </c>
    </row>
    <row r="17" spans="1:44" s="10" customFormat="1" ht="15.75" x14ac:dyDescent="0.4">
      <c r="A17" s="5" t="s">
        <v>26</v>
      </c>
      <c r="B17" s="87"/>
      <c r="C17" s="87"/>
      <c r="D17" s="87"/>
      <c r="E17" s="88"/>
      <c r="F17" s="88"/>
      <c r="G17" s="88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9"/>
      <c r="Z17" s="89"/>
      <c r="AA17" s="89"/>
      <c r="AB17" s="77" t="s">
        <v>27</v>
      </c>
    </row>
    <row r="18" spans="1:44" s="10" customFormat="1" ht="15.75" x14ac:dyDescent="0.4">
      <c r="A18" s="5" t="s">
        <v>28</v>
      </c>
      <c r="B18" s="87"/>
      <c r="C18" s="87"/>
      <c r="D18" s="87"/>
      <c r="E18" s="88"/>
      <c r="F18" s="88"/>
      <c r="G18" s="88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9"/>
      <c r="Z18" s="89"/>
      <c r="AA18" s="89"/>
      <c r="AB18" s="77" t="s">
        <v>29</v>
      </c>
    </row>
    <row r="19" spans="1:44" s="10" customFormat="1" ht="15.75" x14ac:dyDescent="0.4">
      <c r="A19" s="5" t="s">
        <v>30</v>
      </c>
      <c r="B19" s="87"/>
      <c r="C19" s="87"/>
      <c r="D19" s="87"/>
      <c r="E19" s="88"/>
      <c r="F19" s="88"/>
      <c r="G19" s="88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9"/>
      <c r="Z19" s="89"/>
      <c r="AA19" s="89"/>
      <c r="AB19" s="77" t="s">
        <v>31</v>
      </c>
    </row>
    <row r="20" spans="1:44" s="10" customFormat="1" ht="15.75" x14ac:dyDescent="0.4">
      <c r="A20" s="64" t="s">
        <v>32</v>
      </c>
      <c r="B20" s="90"/>
      <c r="C20" s="90"/>
      <c r="D20" s="90"/>
      <c r="E20" s="91"/>
      <c r="F20" s="91"/>
      <c r="G20" s="91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2"/>
      <c r="Z20" s="92"/>
      <c r="AA20" s="92"/>
      <c r="AB20" s="78" t="s">
        <v>33</v>
      </c>
    </row>
    <row r="21" spans="1:44" ht="18.75" x14ac:dyDescent="0.25">
      <c r="A21" s="6" t="s">
        <v>6</v>
      </c>
      <c r="AB21" s="9" t="s">
        <v>7</v>
      </c>
      <c r="AO21" s="10"/>
      <c r="AP21" s="62" t="s">
        <v>2</v>
      </c>
      <c r="AQ21" s="62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4" customFormat="1" ht="21.75" customHeight="1" x14ac:dyDescent="0.55000000000000004">
      <c r="A44" s="122" t="s">
        <v>8</v>
      </c>
      <c r="B44" s="95"/>
      <c r="D44" s="96"/>
      <c r="F44" s="96"/>
      <c r="G44" s="125" t="s">
        <v>34</v>
      </c>
      <c r="H44" s="126"/>
      <c r="I44" s="126"/>
      <c r="J44" s="126"/>
      <c r="K44" s="127"/>
      <c r="L44" s="83"/>
      <c r="M44" s="97"/>
      <c r="N44" s="83"/>
      <c r="O44" s="97"/>
      <c r="P44" s="128" t="s">
        <v>35</v>
      </c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96"/>
      <c r="AC44" s="130" t="s">
        <v>36</v>
      </c>
      <c r="AD44" s="131"/>
      <c r="AE44" s="131"/>
      <c r="AF44" s="131"/>
      <c r="AG44" s="131"/>
      <c r="AH44" s="131"/>
      <c r="AI44" s="131"/>
      <c r="AJ44" s="131"/>
      <c r="AK44" s="82"/>
      <c r="AL44" s="130" t="s">
        <v>37</v>
      </c>
      <c r="AM44" s="131"/>
      <c r="AN44" s="131"/>
      <c r="AO44" s="131"/>
      <c r="AP44" s="131"/>
      <c r="AQ44" s="131"/>
      <c r="AR44" s="131"/>
      <c r="AS44" s="82"/>
      <c r="AT44" s="130" t="s">
        <v>38</v>
      </c>
      <c r="AU44" s="131"/>
      <c r="AV44" s="131"/>
      <c r="AW44" s="131"/>
      <c r="AX44" s="131"/>
      <c r="AY44" s="93"/>
      <c r="AZ44" s="82"/>
      <c r="BA44" s="130" t="s">
        <v>39</v>
      </c>
      <c r="BB44" s="131"/>
      <c r="BC44" s="131"/>
      <c r="BD44" s="131"/>
      <c r="BE44" s="148"/>
      <c r="BF44" s="81"/>
      <c r="BG44" s="149" t="s">
        <v>40</v>
      </c>
      <c r="BH44" s="150"/>
      <c r="BI44" s="150"/>
      <c r="BJ44" s="150"/>
      <c r="BK44" s="151"/>
      <c r="BL44" s="130" t="s">
        <v>41</v>
      </c>
      <c r="BM44" s="131"/>
      <c r="BN44" s="131"/>
      <c r="BO44" s="131"/>
      <c r="BP44" s="148"/>
      <c r="BQ44" s="130" t="s">
        <v>42</v>
      </c>
      <c r="BR44" s="131"/>
      <c r="BS44" s="131"/>
      <c r="BT44" s="132" t="s">
        <v>9</v>
      </c>
    </row>
    <row r="45" spans="1:80" s="85" customFormat="1" ht="16.5" customHeight="1" x14ac:dyDescent="0.25">
      <c r="A45" s="123"/>
      <c r="B45" s="98"/>
      <c r="D45" s="99"/>
      <c r="F45" s="99"/>
      <c r="G45" s="135" t="s">
        <v>43</v>
      </c>
      <c r="H45" s="136"/>
      <c r="I45" s="136"/>
      <c r="J45" s="136"/>
      <c r="K45" s="137"/>
      <c r="M45" s="99"/>
      <c r="O45" s="99"/>
      <c r="P45" s="138" t="s">
        <v>44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99"/>
      <c r="AC45" s="140" t="s">
        <v>61</v>
      </c>
      <c r="AD45" s="141"/>
      <c r="AE45" s="141"/>
      <c r="AF45" s="141"/>
      <c r="AG45" s="141"/>
      <c r="AH45" s="141"/>
      <c r="AI45" s="141"/>
      <c r="AJ45" s="141"/>
      <c r="AK45" s="86"/>
      <c r="AL45" s="140" t="s">
        <v>62</v>
      </c>
      <c r="AM45" s="141"/>
      <c r="AN45" s="141"/>
      <c r="AO45" s="141"/>
      <c r="AP45" s="141"/>
      <c r="AQ45" s="141"/>
      <c r="AR45" s="141"/>
      <c r="AS45" s="86"/>
      <c r="AT45" s="140" t="s">
        <v>63</v>
      </c>
      <c r="AU45" s="141"/>
      <c r="AV45" s="141"/>
      <c r="AW45" s="141"/>
      <c r="AX45" s="141"/>
      <c r="AY45" s="94"/>
      <c r="AZ45" s="86"/>
      <c r="BA45" s="142" t="s">
        <v>64</v>
      </c>
      <c r="BB45" s="143"/>
      <c r="BC45" s="143"/>
      <c r="BD45" s="143"/>
      <c r="BE45" s="144"/>
      <c r="BG45" s="145" t="s">
        <v>65</v>
      </c>
      <c r="BH45" s="146"/>
      <c r="BI45" s="146"/>
      <c r="BJ45" s="146"/>
      <c r="BK45" s="147"/>
      <c r="BL45" s="142" t="s">
        <v>66</v>
      </c>
      <c r="BM45" s="143"/>
      <c r="BN45" s="143"/>
      <c r="BO45" s="143"/>
      <c r="BP45" s="144"/>
      <c r="BQ45" s="142" t="s">
        <v>67</v>
      </c>
      <c r="BR45" s="143"/>
      <c r="BS45" s="143"/>
      <c r="BT45" s="133"/>
    </row>
    <row r="46" spans="1:80" ht="23.25" customHeight="1" x14ac:dyDescent="0.25">
      <c r="A46" s="124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26">
        <v>2015</v>
      </c>
      <c r="AD46" s="26">
        <v>2016</v>
      </c>
      <c r="AE46" s="68">
        <v>2011</v>
      </c>
      <c r="AF46" s="68">
        <v>2012</v>
      </c>
      <c r="AG46" s="68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68">
        <v>2012</v>
      </c>
      <c r="AQ46" s="68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68">
        <v>2013</v>
      </c>
      <c r="AW46" s="26">
        <v>2017</v>
      </c>
      <c r="AX46" s="26">
        <v>2018</v>
      </c>
      <c r="AY46" s="26">
        <v>2019</v>
      </c>
      <c r="AZ46" s="68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68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34"/>
      <c r="BU46" s="3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79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77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77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77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77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77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77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77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77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77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77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77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78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9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40"/>
  <sheetViews>
    <sheetView tabSelected="1" zoomScale="95" zoomScaleNormal="95" workbookViewId="0">
      <selection activeCell="R21" sqref="R21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3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52" t="s">
        <v>71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15" x14ac:dyDescent="0.25">
      <c r="A2" s="154" t="s">
        <v>70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0" ht="15" x14ac:dyDescent="0.25">
      <c r="A3" s="160" t="s">
        <v>8</v>
      </c>
      <c r="B3" s="155" t="s">
        <v>55</v>
      </c>
      <c r="C3" s="157" t="s">
        <v>59</v>
      </c>
      <c r="D3" s="158"/>
      <c r="E3" s="158"/>
      <c r="F3" s="159"/>
      <c r="G3" s="157" t="s">
        <v>60</v>
      </c>
      <c r="H3" s="158"/>
      <c r="I3" s="158"/>
      <c r="J3" s="113" t="s">
        <v>9</v>
      </c>
    </row>
    <row r="4" spans="1:10" ht="15" x14ac:dyDescent="0.25">
      <c r="A4" s="161"/>
      <c r="B4" s="156"/>
      <c r="C4" s="56" t="s">
        <v>4</v>
      </c>
      <c r="D4" s="62" t="s">
        <v>56</v>
      </c>
      <c r="E4" s="62" t="s">
        <v>57</v>
      </c>
      <c r="F4" s="57" t="s">
        <v>58</v>
      </c>
      <c r="G4" s="58" t="s">
        <v>4</v>
      </c>
      <c r="H4" s="62" t="s">
        <v>56</v>
      </c>
      <c r="I4" s="109" t="s">
        <v>58</v>
      </c>
      <c r="J4" s="115"/>
    </row>
    <row r="5" spans="1:10" ht="21" customHeight="1" x14ac:dyDescent="0.4">
      <c r="A5" s="2" t="s">
        <v>4</v>
      </c>
      <c r="B5" s="54">
        <f t="shared" ref="B5:B17" si="0">SUM(C5+G5)</f>
        <v>4260</v>
      </c>
      <c r="C5" s="59">
        <f>SUM(D5:F5)</f>
        <v>139</v>
      </c>
      <c r="D5" s="54">
        <f>SUM(D6:D17)</f>
        <v>136</v>
      </c>
      <c r="E5" s="54">
        <f>SUM(E6:E17)</f>
        <v>0</v>
      </c>
      <c r="F5" s="60">
        <f>SUM(F6:F17)</f>
        <v>3</v>
      </c>
      <c r="G5" s="59">
        <f t="shared" ref="G5:G17" si="1">SUM(H5:I5)</f>
        <v>4121</v>
      </c>
      <c r="H5" s="12">
        <f>SUM(H6:H17)</f>
        <v>3826</v>
      </c>
      <c r="I5" s="12">
        <f>SUM(I6:I17)</f>
        <v>295</v>
      </c>
      <c r="J5" s="70" t="s">
        <v>5</v>
      </c>
    </row>
    <row r="6" spans="1:10" ht="21" customHeight="1" x14ac:dyDescent="0.4">
      <c r="A6" s="11" t="s">
        <v>10</v>
      </c>
      <c r="B6" s="54">
        <f t="shared" si="0"/>
        <v>340</v>
      </c>
      <c r="C6" s="59">
        <f t="shared" ref="C6:C17" si="2">SUM(D6:F6)</f>
        <v>0</v>
      </c>
      <c r="D6" s="13">
        <v>0</v>
      </c>
      <c r="E6" s="13">
        <v>0</v>
      </c>
      <c r="F6" s="13">
        <v>0</v>
      </c>
      <c r="G6" s="59">
        <f t="shared" si="1"/>
        <v>340</v>
      </c>
      <c r="H6" s="13">
        <v>326</v>
      </c>
      <c r="I6" s="13">
        <v>14</v>
      </c>
      <c r="J6" s="71" t="s">
        <v>11</v>
      </c>
    </row>
    <row r="7" spans="1:10" ht="21" customHeight="1" x14ac:dyDescent="0.4">
      <c r="A7" s="11" t="s">
        <v>12</v>
      </c>
      <c r="B7" s="54">
        <f t="shared" si="0"/>
        <v>322</v>
      </c>
      <c r="C7" s="59">
        <f t="shared" si="2"/>
        <v>0</v>
      </c>
      <c r="D7" s="13">
        <v>0</v>
      </c>
      <c r="E7" s="13">
        <v>0</v>
      </c>
      <c r="F7" s="13">
        <v>0</v>
      </c>
      <c r="G7" s="59">
        <f t="shared" si="1"/>
        <v>322</v>
      </c>
      <c r="H7" s="13">
        <v>288</v>
      </c>
      <c r="I7" s="13">
        <v>34</v>
      </c>
      <c r="J7" s="71" t="s">
        <v>13</v>
      </c>
    </row>
    <row r="8" spans="1:10" ht="21" customHeight="1" x14ac:dyDescent="0.4">
      <c r="A8" s="11" t="s">
        <v>14</v>
      </c>
      <c r="B8" s="54">
        <f t="shared" si="0"/>
        <v>356</v>
      </c>
      <c r="C8" s="59">
        <f t="shared" si="2"/>
        <v>0</v>
      </c>
      <c r="D8" s="13">
        <v>0</v>
      </c>
      <c r="E8" s="13">
        <v>0</v>
      </c>
      <c r="F8" s="13">
        <v>0</v>
      </c>
      <c r="G8" s="59">
        <f t="shared" si="1"/>
        <v>356</v>
      </c>
      <c r="H8" s="13">
        <v>326</v>
      </c>
      <c r="I8" s="13">
        <v>30</v>
      </c>
      <c r="J8" s="71" t="s">
        <v>15</v>
      </c>
    </row>
    <row r="9" spans="1:10" ht="21" customHeight="1" x14ac:dyDescent="0.4">
      <c r="A9" s="11" t="s">
        <v>16</v>
      </c>
      <c r="B9" s="54">
        <f t="shared" si="0"/>
        <v>328</v>
      </c>
      <c r="C9" s="59">
        <f t="shared" si="2"/>
        <v>0</v>
      </c>
      <c r="D9" s="13">
        <v>0</v>
      </c>
      <c r="E9" s="13">
        <v>0</v>
      </c>
      <c r="F9" s="13">
        <v>0</v>
      </c>
      <c r="G9" s="59">
        <f t="shared" si="1"/>
        <v>328</v>
      </c>
      <c r="H9" s="13">
        <v>308</v>
      </c>
      <c r="I9" s="13">
        <v>20</v>
      </c>
      <c r="J9" s="71" t="s">
        <v>17</v>
      </c>
    </row>
    <row r="10" spans="1:10" ht="21" customHeight="1" x14ac:dyDescent="0.4">
      <c r="A10" s="11" t="s">
        <v>18</v>
      </c>
      <c r="B10" s="54">
        <f t="shared" si="0"/>
        <v>376</v>
      </c>
      <c r="C10" s="59">
        <f t="shared" si="2"/>
        <v>15</v>
      </c>
      <c r="D10" s="13">
        <v>14</v>
      </c>
      <c r="E10" s="13">
        <v>0</v>
      </c>
      <c r="F10" s="13">
        <v>1</v>
      </c>
      <c r="G10" s="59">
        <f t="shared" si="1"/>
        <v>361</v>
      </c>
      <c r="H10" s="13">
        <v>326</v>
      </c>
      <c r="I10" s="13">
        <v>35</v>
      </c>
      <c r="J10" s="71" t="s">
        <v>19</v>
      </c>
    </row>
    <row r="11" spans="1:10" ht="21" customHeight="1" x14ac:dyDescent="0.4">
      <c r="A11" s="11" t="s">
        <v>20</v>
      </c>
      <c r="B11" s="54">
        <f t="shared" si="0"/>
        <v>328</v>
      </c>
      <c r="C11" s="59">
        <f t="shared" si="2"/>
        <v>20</v>
      </c>
      <c r="D11" s="13">
        <v>18</v>
      </c>
      <c r="E11" s="13">
        <v>0</v>
      </c>
      <c r="F11" s="13">
        <v>2</v>
      </c>
      <c r="G11" s="59">
        <f t="shared" si="1"/>
        <v>308</v>
      </c>
      <c r="H11" s="13">
        <v>298</v>
      </c>
      <c r="I11" s="13">
        <v>10</v>
      </c>
      <c r="J11" s="71" t="s">
        <v>21</v>
      </c>
    </row>
    <row r="12" spans="1:10" ht="21" customHeight="1" x14ac:dyDescent="0.4">
      <c r="A12" s="11" t="s">
        <v>22</v>
      </c>
      <c r="B12" s="54">
        <f t="shared" si="0"/>
        <v>422</v>
      </c>
      <c r="C12" s="59">
        <f t="shared" si="2"/>
        <v>18</v>
      </c>
      <c r="D12" s="13">
        <v>18</v>
      </c>
      <c r="E12" s="13">
        <v>0</v>
      </c>
      <c r="F12" s="13">
        <v>0</v>
      </c>
      <c r="G12" s="59">
        <f t="shared" si="1"/>
        <v>404</v>
      </c>
      <c r="H12" s="13">
        <v>372</v>
      </c>
      <c r="I12" s="13">
        <v>32</v>
      </c>
      <c r="J12" s="71" t="s">
        <v>23</v>
      </c>
    </row>
    <row r="13" spans="1:10" ht="21" customHeight="1" x14ac:dyDescent="0.4">
      <c r="A13" s="11" t="s">
        <v>24</v>
      </c>
      <c r="B13" s="54">
        <f t="shared" si="0"/>
        <v>370</v>
      </c>
      <c r="C13" s="59">
        <f t="shared" si="2"/>
        <v>16</v>
      </c>
      <c r="D13" s="13">
        <v>16</v>
      </c>
      <c r="E13" s="13">
        <v>0</v>
      </c>
      <c r="F13" s="13">
        <v>0</v>
      </c>
      <c r="G13" s="59">
        <f t="shared" si="1"/>
        <v>354</v>
      </c>
      <c r="H13" s="13">
        <v>340</v>
      </c>
      <c r="I13" s="13">
        <v>14</v>
      </c>
      <c r="J13" s="71" t="s">
        <v>25</v>
      </c>
    </row>
    <row r="14" spans="1:10" ht="21" customHeight="1" x14ac:dyDescent="0.4">
      <c r="A14" s="11" t="s">
        <v>26</v>
      </c>
      <c r="B14" s="54">
        <f t="shared" si="0"/>
        <v>334</v>
      </c>
      <c r="C14" s="59">
        <f t="shared" si="2"/>
        <v>18</v>
      </c>
      <c r="D14" s="13">
        <v>18</v>
      </c>
      <c r="E14" s="13">
        <v>0</v>
      </c>
      <c r="F14" s="13">
        <v>0</v>
      </c>
      <c r="G14" s="59">
        <f t="shared" si="1"/>
        <v>316</v>
      </c>
      <c r="H14" s="13">
        <v>290</v>
      </c>
      <c r="I14" s="13">
        <v>26</v>
      </c>
      <c r="J14" s="71" t="s">
        <v>27</v>
      </c>
    </row>
    <row r="15" spans="1:10" ht="21" customHeight="1" x14ac:dyDescent="0.4">
      <c r="A15" s="11" t="s">
        <v>28</v>
      </c>
      <c r="B15" s="54">
        <f t="shared" si="0"/>
        <v>362</v>
      </c>
      <c r="C15" s="59">
        <f t="shared" si="2"/>
        <v>18</v>
      </c>
      <c r="D15" s="13">
        <v>18</v>
      </c>
      <c r="E15" s="13">
        <v>0</v>
      </c>
      <c r="F15" s="13">
        <v>0</v>
      </c>
      <c r="G15" s="59">
        <f t="shared" si="1"/>
        <v>344</v>
      </c>
      <c r="H15" s="13">
        <v>316</v>
      </c>
      <c r="I15" s="13">
        <v>28</v>
      </c>
      <c r="J15" s="71" t="s">
        <v>29</v>
      </c>
    </row>
    <row r="16" spans="1:10" ht="21" customHeight="1" x14ac:dyDescent="0.4">
      <c r="A16" s="11" t="s">
        <v>30</v>
      </c>
      <c r="B16" s="54">
        <f t="shared" si="0"/>
        <v>370</v>
      </c>
      <c r="C16" s="59">
        <f t="shared" si="2"/>
        <v>16</v>
      </c>
      <c r="D16" s="13">
        <v>16</v>
      </c>
      <c r="E16" s="13">
        <v>0</v>
      </c>
      <c r="F16" s="13">
        <v>0</v>
      </c>
      <c r="G16" s="59">
        <f t="shared" si="1"/>
        <v>354</v>
      </c>
      <c r="H16" s="13">
        <v>324</v>
      </c>
      <c r="I16" s="13">
        <v>30</v>
      </c>
      <c r="J16" s="71" t="s">
        <v>31</v>
      </c>
    </row>
    <row r="17" spans="1:10" ht="21" customHeight="1" x14ac:dyDescent="0.4">
      <c r="A17" s="65" t="s">
        <v>32</v>
      </c>
      <c r="B17" s="69">
        <f t="shared" si="0"/>
        <v>352</v>
      </c>
      <c r="C17" s="61">
        <f t="shared" si="2"/>
        <v>18</v>
      </c>
      <c r="D17" s="66">
        <v>18</v>
      </c>
      <c r="E17" s="66">
        <v>0</v>
      </c>
      <c r="F17" s="66">
        <v>0</v>
      </c>
      <c r="G17" s="61">
        <f t="shared" si="1"/>
        <v>334</v>
      </c>
      <c r="H17" s="66">
        <v>312</v>
      </c>
      <c r="I17" s="66">
        <v>22</v>
      </c>
      <c r="J17" s="72" t="s">
        <v>33</v>
      </c>
    </row>
    <row r="18" spans="1:10" ht="18.75" x14ac:dyDescent="0.25">
      <c r="A18" s="6" t="s">
        <v>6</v>
      </c>
      <c r="B18" s="6"/>
      <c r="C18" s="7"/>
      <c r="D18" s="7"/>
      <c r="E18" s="7"/>
      <c r="F18" s="7"/>
      <c r="G18" s="7"/>
      <c r="H18" s="55"/>
      <c r="J18" s="9" t="s">
        <v>7</v>
      </c>
    </row>
    <row r="19" spans="1:10" ht="18.75" x14ac:dyDescent="0.25">
      <c r="A19" s="6"/>
      <c r="B19" s="6"/>
      <c r="C19" s="7"/>
      <c r="D19" s="7"/>
      <c r="E19" s="7"/>
      <c r="F19" s="7"/>
      <c r="G19" s="7"/>
      <c r="H19" s="55"/>
      <c r="J19" s="14"/>
    </row>
    <row r="20" spans="1:10" ht="21" x14ac:dyDescent="0.25">
      <c r="A20" s="152" t="s">
        <v>73</v>
      </c>
      <c r="B20" s="153"/>
      <c r="C20" s="153"/>
      <c r="D20" s="153"/>
      <c r="E20" s="153"/>
      <c r="F20" s="153"/>
      <c r="G20" s="153"/>
      <c r="H20" s="153"/>
      <c r="I20" s="153"/>
      <c r="J20" s="153"/>
    </row>
    <row r="21" spans="1:10" ht="15" x14ac:dyDescent="0.25">
      <c r="A21" s="154" t="s">
        <v>72</v>
      </c>
      <c r="B21" s="154"/>
      <c r="C21" s="154"/>
      <c r="D21" s="154"/>
      <c r="E21" s="154"/>
      <c r="F21" s="154"/>
      <c r="G21" s="154"/>
      <c r="H21" s="154"/>
      <c r="I21" s="154"/>
      <c r="J21" s="154"/>
    </row>
    <row r="22" spans="1:10" ht="12.75" customHeight="1" x14ac:dyDescent="0.25">
      <c r="A22" s="160" t="s">
        <v>8</v>
      </c>
      <c r="B22" s="155" t="s">
        <v>55</v>
      </c>
      <c r="C22" s="157" t="s">
        <v>59</v>
      </c>
      <c r="D22" s="158"/>
      <c r="E22" s="158"/>
      <c r="F22" s="159"/>
      <c r="G22" s="157" t="s">
        <v>60</v>
      </c>
      <c r="H22" s="158"/>
      <c r="I22" s="158"/>
      <c r="J22" s="113" t="s">
        <v>9</v>
      </c>
    </row>
    <row r="23" spans="1:10" ht="12.75" customHeight="1" x14ac:dyDescent="0.25">
      <c r="A23" s="161"/>
      <c r="B23" s="156"/>
      <c r="C23" s="56" t="s">
        <v>4</v>
      </c>
      <c r="D23" s="62" t="s">
        <v>56</v>
      </c>
      <c r="E23" s="62" t="s">
        <v>57</v>
      </c>
      <c r="F23" s="57" t="s">
        <v>58</v>
      </c>
      <c r="G23" s="58" t="s">
        <v>4</v>
      </c>
      <c r="H23" s="62" t="s">
        <v>56</v>
      </c>
      <c r="I23" s="109" t="s">
        <v>58</v>
      </c>
      <c r="J23" s="115"/>
    </row>
    <row r="24" spans="1:10" ht="12.75" customHeight="1" x14ac:dyDescent="0.4">
      <c r="A24" s="2" t="s">
        <v>4</v>
      </c>
      <c r="B24" s="54">
        <f t="shared" ref="B24:B36" si="3">SUM(C24+G24)</f>
        <v>2558</v>
      </c>
      <c r="C24" s="59">
        <f>SUM(D24:F24)</f>
        <v>4</v>
      </c>
      <c r="D24" s="54">
        <f>SUM(D25:D36)</f>
        <v>0</v>
      </c>
      <c r="E24" s="54">
        <f>SUM(E25:E36)</f>
        <v>0</v>
      </c>
      <c r="F24" s="60">
        <f>SUM(F25:F36)</f>
        <v>4</v>
      </c>
      <c r="G24" s="59">
        <f t="shared" ref="G24:G36" si="4">SUM(H24:I24)</f>
        <v>2554</v>
      </c>
      <c r="H24" s="12">
        <f>SUM(H25:H36)</f>
        <v>2410</v>
      </c>
      <c r="I24" s="12">
        <f>SUM(I25:I36)</f>
        <v>144</v>
      </c>
      <c r="J24" s="70" t="s">
        <v>5</v>
      </c>
    </row>
    <row r="25" spans="1:10" ht="21" customHeight="1" x14ac:dyDescent="0.4">
      <c r="A25" s="11" t="s">
        <v>10</v>
      </c>
      <c r="B25" s="54">
        <f t="shared" si="3"/>
        <v>111</v>
      </c>
      <c r="C25" s="59">
        <f t="shared" ref="C25:C36" si="5">SUM(D25:F25)</f>
        <v>0</v>
      </c>
      <c r="D25" s="13">
        <v>0</v>
      </c>
      <c r="E25" s="13">
        <v>0</v>
      </c>
      <c r="F25" s="13">
        <v>0</v>
      </c>
      <c r="G25" s="59">
        <f t="shared" si="4"/>
        <v>111</v>
      </c>
      <c r="H25" s="13">
        <v>111</v>
      </c>
      <c r="I25" s="13">
        <v>0</v>
      </c>
      <c r="J25" s="71" t="s">
        <v>11</v>
      </c>
    </row>
    <row r="26" spans="1:10" ht="21" customHeight="1" x14ac:dyDescent="0.4">
      <c r="A26" s="11" t="s">
        <v>12</v>
      </c>
      <c r="B26" s="54">
        <f t="shared" si="3"/>
        <v>176</v>
      </c>
      <c r="C26" s="59">
        <f t="shared" si="5"/>
        <v>0</v>
      </c>
      <c r="D26" s="13">
        <v>0</v>
      </c>
      <c r="E26" s="13">
        <v>0</v>
      </c>
      <c r="F26" s="13">
        <v>0</v>
      </c>
      <c r="G26" s="59">
        <f t="shared" si="4"/>
        <v>176</v>
      </c>
      <c r="H26" s="13">
        <v>176</v>
      </c>
      <c r="I26" s="13">
        <v>0</v>
      </c>
      <c r="J26" s="71" t="s">
        <v>13</v>
      </c>
    </row>
    <row r="27" spans="1:10" ht="21" customHeight="1" x14ac:dyDescent="0.4">
      <c r="A27" s="11" t="s">
        <v>14</v>
      </c>
      <c r="B27" s="54">
        <f t="shared" si="3"/>
        <v>109</v>
      </c>
      <c r="C27" s="59">
        <f t="shared" si="5"/>
        <v>0</v>
      </c>
      <c r="D27" s="13">
        <v>0</v>
      </c>
      <c r="E27" s="13">
        <v>0</v>
      </c>
      <c r="F27" s="13">
        <v>0</v>
      </c>
      <c r="G27" s="59">
        <f t="shared" si="4"/>
        <v>109</v>
      </c>
      <c r="H27" s="13">
        <v>109</v>
      </c>
      <c r="I27" s="13">
        <v>0</v>
      </c>
      <c r="J27" s="71" t="s">
        <v>15</v>
      </c>
    </row>
    <row r="28" spans="1:10" ht="21" customHeight="1" x14ac:dyDescent="0.4">
      <c r="A28" s="11" t="s">
        <v>16</v>
      </c>
      <c r="B28" s="54">
        <f t="shared" si="3"/>
        <v>210</v>
      </c>
      <c r="C28" s="59">
        <f t="shared" si="5"/>
        <v>0</v>
      </c>
      <c r="D28" s="13">
        <v>0</v>
      </c>
      <c r="E28" s="13">
        <v>0</v>
      </c>
      <c r="F28" s="13">
        <v>0</v>
      </c>
      <c r="G28" s="59">
        <f t="shared" si="4"/>
        <v>210</v>
      </c>
      <c r="H28" s="13">
        <v>210</v>
      </c>
      <c r="I28" s="13">
        <v>0</v>
      </c>
      <c r="J28" s="71" t="s">
        <v>17</v>
      </c>
    </row>
    <row r="29" spans="1:10" ht="21" customHeight="1" x14ac:dyDescent="0.4">
      <c r="A29" s="11" t="s">
        <v>18</v>
      </c>
      <c r="B29" s="54">
        <f t="shared" si="3"/>
        <v>83</v>
      </c>
      <c r="C29" s="59">
        <f t="shared" si="5"/>
        <v>2</v>
      </c>
      <c r="D29" s="13">
        <v>0</v>
      </c>
      <c r="E29" s="13">
        <v>0</v>
      </c>
      <c r="F29" s="13">
        <v>2</v>
      </c>
      <c r="G29" s="59">
        <f t="shared" si="4"/>
        <v>81</v>
      </c>
      <c r="H29" s="13">
        <v>81</v>
      </c>
      <c r="I29" s="13">
        <v>0</v>
      </c>
      <c r="J29" s="71" t="s">
        <v>19</v>
      </c>
    </row>
    <row r="30" spans="1:10" ht="21" customHeight="1" x14ac:dyDescent="0.4">
      <c r="A30" s="11" t="s">
        <v>20</v>
      </c>
      <c r="B30" s="54">
        <f t="shared" si="3"/>
        <v>168</v>
      </c>
      <c r="C30" s="59">
        <f t="shared" si="5"/>
        <v>0</v>
      </c>
      <c r="D30" s="13">
        <v>0</v>
      </c>
      <c r="E30" s="13">
        <v>0</v>
      </c>
      <c r="F30" s="13">
        <v>0</v>
      </c>
      <c r="G30" s="59">
        <f t="shared" si="4"/>
        <v>168</v>
      </c>
      <c r="H30" s="13">
        <v>168</v>
      </c>
      <c r="I30" s="13">
        <v>0</v>
      </c>
      <c r="J30" s="71" t="s">
        <v>21</v>
      </c>
    </row>
    <row r="31" spans="1:10" ht="21" customHeight="1" x14ac:dyDescent="0.4">
      <c r="A31" s="11" t="s">
        <v>22</v>
      </c>
      <c r="B31" s="54">
        <f t="shared" si="3"/>
        <v>161</v>
      </c>
      <c r="C31" s="59">
        <f t="shared" si="5"/>
        <v>2</v>
      </c>
      <c r="D31" s="13">
        <v>0</v>
      </c>
      <c r="E31" s="13">
        <v>0</v>
      </c>
      <c r="F31" s="13">
        <v>2</v>
      </c>
      <c r="G31" s="59">
        <f t="shared" si="4"/>
        <v>159</v>
      </c>
      <c r="H31" s="13">
        <v>153</v>
      </c>
      <c r="I31" s="13">
        <v>6</v>
      </c>
      <c r="J31" s="71" t="s">
        <v>23</v>
      </c>
    </row>
    <row r="32" spans="1:10" ht="21" customHeight="1" x14ac:dyDescent="0.4">
      <c r="A32" s="11" t="s">
        <v>24</v>
      </c>
      <c r="B32" s="54">
        <f t="shared" si="3"/>
        <v>292</v>
      </c>
      <c r="C32" s="59">
        <f t="shared" si="5"/>
        <v>0</v>
      </c>
      <c r="D32" s="13">
        <v>0</v>
      </c>
      <c r="E32" s="13">
        <v>0</v>
      </c>
      <c r="F32" s="13">
        <v>0</v>
      </c>
      <c r="G32" s="59">
        <f t="shared" si="4"/>
        <v>292</v>
      </c>
      <c r="H32" s="13">
        <v>268</v>
      </c>
      <c r="I32" s="13">
        <v>24</v>
      </c>
      <c r="J32" s="71" t="s">
        <v>25</v>
      </c>
    </row>
    <row r="33" spans="1:10" ht="21" customHeight="1" x14ac:dyDescent="0.4">
      <c r="A33" s="11" t="s">
        <v>26</v>
      </c>
      <c r="B33" s="54">
        <f t="shared" si="3"/>
        <v>242</v>
      </c>
      <c r="C33" s="59">
        <f t="shared" si="5"/>
        <v>0</v>
      </c>
      <c r="D33" s="13">
        <v>0</v>
      </c>
      <c r="E33" s="13">
        <v>0</v>
      </c>
      <c r="F33" s="13">
        <v>0</v>
      </c>
      <c r="G33" s="59">
        <f t="shared" si="4"/>
        <v>242</v>
      </c>
      <c r="H33" s="13">
        <v>218</v>
      </c>
      <c r="I33" s="13">
        <v>24</v>
      </c>
      <c r="J33" s="71" t="s">
        <v>27</v>
      </c>
    </row>
    <row r="34" spans="1:10" ht="21" customHeight="1" x14ac:dyDescent="0.4">
      <c r="A34" s="11" t="s">
        <v>28</v>
      </c>
      <c r="B34" s="54">
        <f t="shared" si="3"/>
        <v>326</v>
      </c>
      <c r="C34" s="59">
        <f t="shared" si="5"/>
        <v>0</v>
      </c>
      <c r="D34" s="13">
        <v>0</v>
      </c>
      <c r="E34" s="13">
        <v>0</v>
      </c>
      <c r="F34" s="13">
        <v>0</v>
      </c>
      <c r="G34" s="59">
        <f t="shared" si="4"/>
        <v>326</v>
      </c>
      <c r="H34" s="13">
        <v>284</v>
      </c>
      <c r="I34" s="13">
        <v>42</v>
      </c>
      <c r="J34" s="71" t="s">
        <v>29</v>
      </c>
    </row>
    <row r="35" spans="1:10" ht="21" customHeight="1" x14ac:dyDescent="0.4">
      <c r="A35" s="11" t="s">
        <v>30</v>
      </c>
      <c r="B35" s="54">
        <f t="shared" si="3"/>
        <v>324</v>
      </c>
      <c r="C35" s="59">
        <f t="shared" si="5"/>
        <v>0</v>
      </c>
      <c r="D35" s="13">
        <v>0</v>
      </c>
      <c r="E35" s="13">
        <v>0</v>
      </c>
      <c r="F35" s="13">
        <v>0</v>
      </c>
      <c r="G35" s="59">
        <f t="shared" si="4"/>
        <v>324</v>
      </c>
      <c r="H35" s="13">
        <v>296</v>
      </c>
      <c r="I35" s="13">
        <v>28</v>
      </c>
      <c r="J35" s="71" t="s">
        <v>31</v>
      </c>
    </row>
    <row r="36" spans="1:10" ht="21" customHeight="1" x14ac:dyDescent="0.4">
      <c r="A36" s="65" t="s">
        <v>32</v>
      </c>
      <c r="B36" s="69">
        <f t="shared" si="3"/>
        <v>356</v>
      </c>
      <c r="C36" s="61">
        <f t="shared" si="5"/>
        <v>0</v>
      </c>
      <c r="D36" s="66">
        <v>0</v>
      </c>
      <c r="E36" s="66">
        <v>0</v>
      </c>
      <c r="F36" s="66">
        <v>0</v>
      </c>
      <c r="G36" s="61">
        <f t="shared" si="4"/>
        <v>356</v>
      </c>
      <c r="H36" s="66">
        <v>336</v>
      </c>
      <c r="I36" s="66">
        <v>20</v>
      </c>
      <c r="J36" s="72" t="s">
        <v>33</v>
      </c>
    </row>
    <row r="37" spans="1:10" ht="12.75" customHeight="1" x14ac:dyDescent="0.25">
      <c r="A37" s="6" t="s">
        <v>6</v>
      </c>
      <c r="B37" s="6"/>
      <c r="C37" s="7"/>
      <c r="D37" s="7"/>
      <c r="E37" s="7"/>
      <c r="F37" s="7"/>
      <c r="G37" s="7"/>
      <c r="H37" s="55"/>
      <c r="J37" s="9" t="s">
        <v>7</v>
      </c>
    </row>
    <row r="38" spans="1:10" ht="12.75" customHeight="1" x14ac:dyDescent="0.25">
      <c r="A38" s="6"/>
      <c r="B38" s="6"/>
      <c r="C38" s="7"/>
      <c r="D38" s="7"/>
      <c r="E38" s="7"/>
      <c r="F38" s="7"/>
      <c r="G38" s="7"/>
      <c r="H38" s="55"/>
      <c r="J38" s="14"/>
    </row>
    <row r="39" spans="1:10" ht="12.75" customHeight="1" x14ac:dyDescent="0.25">
      <c r="A39" s="6"/>
      <c r="B39" s="6"/>
      <c r="C39" s="7"/>
      <c r="D39" s="7"/>
      <c r="E39" s="7"/>
      <c r="F39" s="7"/>
      <c r="G39" s="7"/>
      <c r="H39" s="55"/>
      <c r="J39" s="14"/>
    </row>
    <row r="40" spans="1:10" ht="12.75" customHeight="1" x14ac:dyDescent="0.25">
      <c r="A40" s="6"/>
      <c r="B40" s="6"/>
      <c r="C40" s="7"/>
      <c r="D40" s="7"/>
      <c r="E40" s="7"/>
      <c r="F40" s="7"/>
      <c r="G40" s="7"/>
      <c r="H40" s="55"/>
      <c r="J40" s="74"/>
    </row>
  </sheetData>
  <mergeCells count="14">
    <mergeCell ref="A1:J1"/>
    <mergeCell ref="A2:J2"/>
    <mergeCell ref="A3:A4"/>
    <mergeCell ref="B3:B4"/>
    <mergeCell ref="C3:F3"/>
    <mergeCell ref="G3:I3"/>
    <mergeCell ref="J3:J4"/>
    <mergeCell ref="A20:J20"/>
    <mergeCell ref="A21:J21"/>
    <mergeCell ref="A22:A23"/>
    <mergeCell ref="B22:B23"/>
    <mergeCell ref="C22:F22"/>
    <mergeCell ref="G22:I22"/>
    <mergeCell ref="J22:J23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11.20</vt:lpstr>
      <vt:lpstr>'11.20'!Print_Area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2023-07-17T08:14:25Z</cp:lastPrinted>
  <dcterms:created xsi:type="dcterms:W3CDTF">2019-03-24T03:32:16Z</dcterms:created>
  <dcterms:modified xsi:type="dcterms:W3CDTF">2023-07-17T08:14:30Z</dcterms:modified>
</cp:coreProperties>
</file>