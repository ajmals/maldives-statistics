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90FCB430-FDAA-4AC5-A322-1F10E6211F06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4" sheetId="3" r:id="rId1"/>
    <sheet name="11.15" sheetId="4" state="hidden" r:id="rId2"/>
  </sheets>
  <externalReferences>
    <externalReference r:id="rId3"/>
    <externalReference r:id="rId4"/>
  </externalReferences>
  <definedNames>
    <definedName name="_xlnm.Print_Area" localSheetId="0">'11.14'!$A$1:$G$43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29" i="3"/>
  <c r="D29" i="3"/>
  <c r="C29" i="3"/>
  <c r="B29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<sst xmlns="http://schemas.openxmlformats.org/spreadsheetml/2006/main" count="253" uniqueCount="72">
  <si>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</si>
  <si>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</si>
  <si>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</si>
  <si>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</si>
  <si>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</si>
  <si>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</si>
  <si>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</si>
  <si>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</si>
  <si>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</si>
  <si>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</si>
  <si>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</si>
  <si>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</si>
  <si>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</si>
  <si>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</si>
  <si>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</si>
  <si>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</si>
  <si>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</si>
  <si>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</si>
  <si>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</si>
  <si>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</si>
  <si>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</si>
  <si>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</si>
  <si>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</si>
  <si>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</si>
  <si>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</si>
  <si>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</si>
  <si>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</si>
  <si>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</si>
  <si>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</si>
  <si>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</si>
  <si>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</si>
  <si>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</si>
  <si>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</si>
  <si>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</si>
  <si>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</si>
  <si>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</si>
  <si>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</si>
  <si>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</si>
  <si>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</si>
  <si>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</si>
  <si>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</si>
  <si>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</si>
  <si>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</si>
  <si>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</si>
  <si>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</si>
  <si>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</si>
  <si>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</si>
  <si>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</si>
  <si>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</si>
  <si>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</si>
  <si>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</si>
  <si>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</si>
  <si>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</si>
  <si>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</si>
  <si>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</si>
  <si>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</si>
  <si>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</si>
  <si>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</si>
  <si>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</si>
  <si>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</si>
  <si>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</si>
  <si>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</si>
  <si>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</si>
  <si>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</si>
  <si>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</si>
  <si>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</si>
  <si>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</si>
  <si>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</si>
  <si>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11.14 :  PASSENGER MOVEMENT AT HANIMAADHOO INTERNATIONAL AIRPORT BY MONTH, 2021</t>
  </si>
  <si>
    <t>ތާވަލް 11.14: މަސްމަހުގެ ގޮތުން ހަނިމާދޫ ބައިނަލްއަޤްވާމީ ވައިގެ ބަނދަރުގައި ފަސިންޖަރުންގެ ދަތުރުފަތުރު ހުރިގޮތް، 2021</t>
  </si>
  <si>
    <t>Table  11.14 :  PASSENGER MOVEMENT AT HANIMAADHOO INTERNATIONAL AIRPORT BY MONTH, 2022</t>
  </si>
  <si>
    <t>ތާވަލް 11.14: މަސްމަހުގެ ގޮތުން ހަނިމާދޫ ބައިނަލްއަޤްވާމީ ވައިގެ ބަނދަރުގައި ފަސިންޖަރުންގެ ދަތުރުފަތުރު ހުރިގޮތް،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</si>
</sst>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</cellStyleXfs>
  <cellXfs count="15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5" fillId="2" borderId="11" xfId="2" applyFont="1" applyFill="1" applyBorder="1" applyAlignment="1">
      <alignment horizontal="right" vertical="center"/>
    </xf>
    <xf numFmtId="0" fontId="12" fillId="2" borderId="16" xfId="0" applyFont="1" applyFill="1" applyBorder="1" applyAlignment="1">
      <alignment horizontal="right" vertical="center"/>
    </xf>
    <xf numFmtId="164" fontId="5" fillId="2" borderId="18" xfId="2" applyFont="1" applyFill="1" applyBorder="1" applyAlignment="1">
      <alignment horizontal="right" vertical="center"/>
    </xf>
    <xf numFmtId="164" fontId="5" fillId="2" borderId="9" xfId="2" applyFont="1" applyFill="1" applyBorder="1" applyAlignment="1">
      <alignment horizontal="left" vertical="center"/>
    </xf>
    <xf numFmtId="3" fontId="5" fillId="2" borderId="9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19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0" fontId="31" fillId="2" borderId="42" xfId="5" applyFont="1" applyFill="1" applyBorder="1" applyAlignment="1">
      <alignment horizontal="right"/>
    </xf>
    <xf numFmtId="0" fontId="26" fillId="2" borderId="9" xfId="5" applyFont="1" applyFill="1" applyBorder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4" xfId="5" applyFont="1" applyFill="1" applyBorder="1" applyAlignment="1">
      <alignment horizontal="right"/>
    </xf>
    <xf numFmtId="0" fontId="31" fillId="2" borderId="15" xfId="5" applyFont="1" applyFill="1" applyBorder="1" applyAlignment="1">
      <alignment horizontal="right"/>
    </xf>
    <xf numFmtId="0" fontId="26" fillId="2" borderId="16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22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0" fontId="12" fillId="2" borderId="38" xfId="0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21" xfId="2" applyFont="1" applyFill="1" applyBorder="1" applyAlignment="1">
      <alignment horizontal="left" vertical="center"/>
    </xf>
    <xf numFmtId="164" fontId="38" fillId="2" borderId="22" xfId="2" applyFont="1" applyFill="1" applyBorder="1" applyAlignment="1">
      <alignment vertical="center"/>
    </xf>
    <xf numFmtId="164" fontId="30" fillId="2" borderId="22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6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0" fontId="39" fillId="2" borderId="34" xfId="2" applyNumberFormat="1" applyFont="1" applyFill="1" applyBorder="1" applyAlignment="1">
      <alignment horizontal="center" vertical="center"/>
    </xf>
    <xf numFmtId="0" fontId="39" fillId="2" borderId="35" xfId="2" applyNumberFormat="1" applyFont="1" applyFill="1" applyBorder="1" applyAlignment="1">
      <alignment horizontal="center" vertical="center"/>
    </xf>
    <xf numFmtId="0" fontId="39" fillId="2" borderId="42" xfId="2" applyNumberFormat="1" applyFont="1" applyFill="1" applyBorder="1" applyAlignment="1">
      <alignment horizontal="center" vertical="center"/>
    </xf>
    <xf numFmtId="0" fontId="39" fillId="2" borderId="36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14" fillId="2" borderId="42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0" xfId="5" applyFont="1" applyFill="1" applyAlignment="1">
      <alignment horizontal="right" vertical="center"/>
    </xf>
    <xf numFmtId="164" fontId="8" fillId="2" borderId="42" xfId="2" applyFont="1" applyFill="1" applyBorder="1" applyAlignment="1">
      <alignment horizontal="left" vertical="center"/>
    </xf>
    <xf numFmtId="164" fontId="19" fillId="2" borderId="42" xfId="2" applyFont="1" applyFill="1" applyBorder="1" applyAlignment="1">
      <alignment horizontal="center" vertical="center" wrapText="1"/>
    </xf>
    <xf numFmtId="164" fontId="32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2" xfId="2" applyFont="1" applyFill="1" applyBorder="1" applyAlignment="1">
      <alignment horizontal="right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3" xfId="2" applyFont="1" applyFill="1" applyBorder="1" applyAlignment="1">
      <alignment horizontal="center" vertical="center"/>
    </xf>
    <xf numFmtId="164" fontId="30" fillId="2" borderId="22" xfId="2" applyFont="1" applyFill="1" applyBorder="1" applyAlignment="1">
      <alignment horizontal="center" vertical="center"/>
    </xf>
    <xf numFmtId="164" fontId="30" fillId="2" borderId="23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4" xfId="5" applyFont="1" applyFill="1" applyBorder="1" applyAlignment="1">
      <alignment horizontal="right" vertical="center"/>
    </xf>
    <xf numFmtId="0" fontId="26" fillId="2" borderId="15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6" xfId="2" applyFont="1" applyFill="1" applyBorder="1" applyAlignment="1">
      <alignment horizontal="center" vertical="center" wrapText="1"/>
    </xf>
    <xf numFmtId="164" fontId="23" fillId="2" borderId="27" xfId="2" applyFont="1" applyFill="1" applyBorder="1" applyAlignment="1">
      <alignment horizontal="center" vertical="center" wrapText="1"/>
    </xf>
    <xf numFmtId="164" fontId="23" fillId="2" borderId="18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3" fillId="2" borderId="25" xfId="2" applyFont="1" applyFill="1" applyBorder="1" applyAlignment="1">
      <alignment horizontal="center" vertical="center"/>
    </xf>
    <xf numFmtId="164" fontId="33" fillId="2" borderId="24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3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43"/>
  <sheetViews>
    <sheetView tabSelected="1" zoomScale="148" zoomScaleNormal="148" workbookViewId="0">
      <selection activeCell="L21" sqref="L21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 x14ac:dyDescent="0.25">
      <c r="H1" s="9"/>
      <c r="I1" s="9"/>
    </row>
    <row r="2" spans="1:9" ht="16.5" customHeight="1" x14ac:dyDescent="0.25">
      <c r="A2" s="112" t="s">
        <v>71</v>
      </c>
      <c r="B2" s="113"/>
      <c r="C2" s="113"/>
      <c r="D2" s="113"/>
      <c r="E2" s="113"/>
      <c r="F2" s="113"/>
      <c r="H2" s="9"/>
      <c r="I2" s="9"/>
    </row>
    <row r="3" spans="1:9" ht="16.5" customHeight="1" x14ac:dyDescent="0.25">
      <c r="A3" s="114" t="s">
        <v>70</v>
      </c>
      <c r="B3" s="114"/>
      <c r="C3" s="114"/>
      <c r="D3" s="114"/>
      <c r="E3" s="114"/>
      <c r="F3" s="114"/>
      <c r="H3" s="9"/>
      <c r="I3" s="9"/>
    </row>
    <row r="4" spans="1:9" ht="6.75" customHeight="1" x14ac:dyDescent="0.25">
      <c r="H4" s="9"/>
      <c r="I4" s="9"/>
    </row>
    <row r="5" spans="1:9" ht="16.5" customHeight="1" x14ac:dyDescent="0.25">
      <c r="A5" s="115" t="s">
        <v>9</v>
      </c>
      <c r="B5" s="117" t="s">
        <v>6</v>
      </c>
      <c r="C5" s="117"/>
      <c r="D5" s="118" t="s">
        <v>10</v>
      </c>
      <c r="E5" s="117"/>
      <c r="F5" s="119" t="s">
        <v>11</v>
      </c>
      <c r="H5" s="9"/>
      <c r="I5" s="9"/>
    </row>
    <row r="6" spans="1:9" ht="16.5" customHeight="1" x14ac:dyDescent="0.25">
      <c r="A6" s="116"/>
      <c r="B6" s="12" t="s">
        <v>12</v>
      </c>
      <c r="C6" s="12" t="s">
        <v>13</v>
      </c>
      <c r="D6" s="15" t="s">
        <v>12</v>
      </c>
      <c r="E6" s="13" t="s">
        <v>13</v>
      </c>
      <c r="F6" s="120"/>
      <c r="H6" s="9"/>
      <c r="I6" s="9"/>
    </row>
    <row r="7" spans="1:9" ht="16.5" customHeight="1" x14ac:dyDescent="0.4">
      <c r="A7" s="16" t="s">
        <v>4</v>
      </c>
      <c r="B7" s="17">
        <f>SUM(B8:B19)</f>
        <v>2093</v>
      </c>
      <c r="C7" s="17">
        <f>SUM(C8:C19)</f>
        <v>2201</v>
      </c>
      <c r="D7" s="18">
        <f>SUM(D8:D19)</f>
        <v>55399</v>
      </c>
      <c r="E7" s="17">
        <f>SUM(E8:E19)</f>
        <v>56156</v>
      </c>
      <c r="F7" s="73" t="s">
        <v>5</v>
      </c>
      <c r="I7" s="9"/>
    </row>
    <row r="8" spans="1:9" ht="16.5" customHeight="1" x14ac:dyDescent="0.4">
      <c r="A8" s="109" t="s">
        <v>14</v>
      </c>
      <c r="B8" s="19">
        <v>0</v>
      </c>
      <c r="C8" s="20">
        <v>0</v>
      </c>
      <c r="D8" s="21">
        <v>5728</v>
      </c>
      <c r="E8" s="20">
        <v>5079</v>
      </c>
      <c r="F8" s="71" t="s">
        <v>15</v>
      </c>
      <c r="H8" s="9"/>
      <c r="I8" s="9"/>
    </row>
    <row r="9" spans="1:9" ht="16.5" customHeight="1" x14ac:dyDescent="0.4">
      <c r="A9" s="109" t="s">
        <v>16</v>
      </c>
      <c r="B9" s="19">
        <v>0</v>
      </c>
      <c r="C9" s="20">
        <v>0</v>
      </c>
      <c r="D9" s="21">
        <v>3740</v>
      </c>
      <c r="E9" s="20">
        <v>3786</v>
      </c>
      <c r="F9" s="71" t="s">
        <v>17</v>
      </c>
      <c r="H9" s="9"/>
      <c r="I9" s="9"/>
    </row>
    <row r="10" spans="1:9" ht="16.5" customHeight="1" x14ac:dyDescent="0.4">
      <c r="A10" s="109" t="s">
        <v>18</v>
      </c>
      <c r="B10" s="19">
        <v>0</v>
      </c>
      <c r="C10" s="20">
        <v>0</v>
      </c>
      <c r="D10" s="21">
        <v>5133</v>
      </c>
      <c r="E10" s="20">
        <v>5079</v>
      </c>
      <c r="F10" s="71" t="s">
        <v>19</v>
      </c>
      <c r="H10" s="9"/>
      <c r="I10" s="9"/>
    </row>
    <row r="11" spans="1:9" ht="16.5" customHeight="1" x14ac:dyDescent="0.4">
      <c r="A11" s="109" t="s">
        <v>20</v>
      </c>
      <c r="B11" s="22">
        <v>0</v>
      </c>
      <c r="C11" s="20">
        <v>0</v>
      </c>
      <c r="D11" s="21">
        <v>3933</v>
      </c>
      <c r="E11" s="20">
        <v>3492</v>
      </c>
      <c r="F11" s="71" t="s">
        <v>21</v>
      </c>
      <c r="H11" s="9"/>
      <c r="I11" s="9"/>
    </row>
    <row r="12" spans="1:9" ht="16.5" customHeight="1" x14ac:dyDescent="0.4">
      <c r="A12" s="109" t="s">
        <v>22</v>
      </c>
      <c r="B12" s="19">
        <v>93</v>
      </c>
      <c r="C12" s="20">
        <v>194</v>
      </c>
      <c r="D12" s="21">
        <v>4051</v>
      </c>
      <c r="E12" s="20">
        <v>5061</v>
      </c>
      <c r="F12" s="71" t="s">
        <v>23</v>
      </c>
      <c r="H12" s="9"/>
      <c r="I12" s="9"/>
    </row>
    <row r="13" spans="1:9" ht="16.5" customHeight="1" x14ac:dyDescent="0.4">
      <c r="A13" s="109" t="s">
        <v>24</v>
      </c>
      <c r="B13" s="19">
        <v>216</v>
      </c>
      <c r="C13" s="20">
        <v>319</v>
      </c>
      <c r="D13" s="21">
        <v>4424</v>
      </c>
      <c r="E13" s="20">
        <v>4170</v>
      </c>
      <c r="F13" s="71" t="s">
        <v>25</v>
      </c>
      <c r="H13" s="9"/>
      <c r="I13" s="9"/>
    </row>
    <row r="14" spans="1:9" ht="16.5" customHeight="1" x14ac:dyDescent="0.4">
      <c r="A14" s="109" t="s">
        <v>26</v>
      </c>
      <c r="B14" s="22">
        <v>378</v>
      </c>
      <c r="C14" s="20">
        <v>397</v>
      </c>
      <c r="D14" s="21">
        <v>6635</v>
      </c>
      <c r="E14" s="20">
        <v>6678</v>
      </c>
      <c r="F14" s="71" t="s">
        <v>27</v>
      </c>
      <c r="H14" s="9"/>
      <c r="I14" s="9"/>
    </row>
    <row r="15" spans="1:9" ht="16.5" customHeight="1" x14ac:dyDescent="0.4">
      <c r="A15" s="109" t="s">
        <v>28</v>
      </c>
      <c r="B15" s="19">
        <v>336</v>
      </c>
      <c r="C15" s="20">
        <v>177</v>
      </c>
      <c r="D15" s="21">
        <v>4827</v>
      </c>
      <c r="E15" s="20">
        <v>5657</v>
      </c>
      <c r="F15" s="71" t="s">
        <v>29</v>
      </c>
      <c r="H15" s="9"/>
      <c r="I15" s="9"/>
    </row>
    <row r="16" spans="1:9" ht="16.5" customHeight="1" x14ac:dyDescent="0.4">
      <c r="A16" s="109" t="s">
        <v>30</v>
      </c>
      <c r="B16" s="19">
        <v>247</v>
      </c>
      <c r="C16" s="20">
        <v>222</v>
      </c>
      <c r="D16" s="21">
        <v>3856</v>
      </c>
      <c r="E16" s="20">
        <v>3868</v>
      </c>
      <c r="F16" s="71" t="s">
        <v>31</v>
      </c>
      <c r="H16" s="9"/>
      <c r="I16" s="9"/>
    </row>
    <row r="17" spans="1:9" ht="16.5" customHeight="1" x14ac:dyDescent="0.4">
      <c r="A17" s="109" t="s">
        <v>32</v>
      </c>
      <c r="B17" s="19">
        <v>200</v>
      </c>
      <c r="C17" s="20">
        <v>217</v>
      </c>
      <c r="D17" s="21">
        <v>4501</v>
      </c>
      <c r="E17" s="20">
        <v>4296</v>
      </c>
      <c r="F17" s="71" t="s">
        <v>33</v>
      </c>
      <c r="H17" s="9"/>
      <c r="I17" s="9"/>
    </row>
    <row r="18" spans="1:9" ht="16.5" customHeight="1" x14ac:dyDescent="0.4">
      <c r="A18" s="109" t="s">
        <v>34</v>
      </c>
      <c r="B18" s="19">
        <v>275</v>
      </c>
      <c r="C18" s="20">
        <v>271</v>
      </c>
      <c r="D18" s="21">
        <v>3719</v>
      </c>
      <c r="E18" s="20">
        <v>3632</v>
      </c>
      <c r="F18" s="71" t="s">
        <v>35</v>
      </c>
      <c r="H18" s="9"/>
      <c r="I18" s="9"/>
    </row>
    <row r="19" spans="1:9" ht="16.5" customHeight="1" x14ac:dyDescent="0.4">
      <c r="A19" s="110" t="s">
        <v>36</v>
      </c>
      <c r="B19" s="67">
        <v>348</v>
      </c>
      <c r="C19" s="68">
        <v>404</v>
      </c>
      <c r="D19" s="23">
        <v>4852</v>
      </c>
      <c r="E19" s="68">
        <v>5358</v>
      </c>
      <c r="F19" s="72" t="s">
        <v>37</v>
      </c>
      <c r="H19" s="9"/>
      <c r="I19" s="9"/>
    </row>
    <row r="20" spans="1:9" ht="16.5" customHeight="1" x14ac:dyDescent="0.25">
      <c r="A20" s="6" t="s">
        <v>7</v>
      </c>
      <c r="B20" s="3"/>
      <c r="C20" s="3"/>
      <c r="D20" s="7"/>
      <c r="F20" s="14" t="s">
        <v>8</v>
      </c>
      <c r="H20" s="9"/>
      <c r="I20" s="9"/>
    </row>
    <row r="21" spans="1:9" ht="16.5" customHeight="1" x14ac:dyDescent="0.25">
      <c r="A21" s="6"/>
      <c r="B21" s="3"/>
      <c r="C21" s="3"/>
      <c r="D21" s="7"/>
      <c r="F21" s="92"/>
      <c r="H21" s="9"/>
      <c r="I21" s="9"/>
    </row>
    <row r="22" spans="1:9" ht="16.5" customHeight="1" x14ac:dyDescent="0.25">
      <c r="H22" s="9"/>
      <c r="I22" s="9"/>
    </row>
    <row r="23" spans="1:9" ht="16.5" customHeight="1" x14ac:dyDescent="0.25">
      <c r="H23" s="9"/>
      <c r="I23" s="9"/>
    </row>
    <row r="24" spans="1:9" ht="16.5" customHeight="1" x14ac:dyDescent="0.25">
      <c r="A24" s="112" t="s">
        <v>69</v>
      </c>
      <c r="B24" s="113"/>
      <c r="C24" s="113"/>
      <c r="D24" s="113"/>
      <c r="E24" s="113"/>
      <c r="F24" s="113"/>
      <c r="H24" s="9"/>
      <c r="I24" s="9"/>
    </row>
    <row r="25" spans="1:9" ht="16.5" customHeight="1" x14ac:dyDescent="0.25">
      <c r="A25" s="114" t="s">
        <v>68</v>
      </c>
      <c r="B25" s="114"/>
      <c r="C25" s="114"/>
      <c r="D25" s="114"/>
      <c r="E25" s="114"/>
      <c r="F25" s="114"/>
      <c r="H25" s="9"/>
      <c r="I25" s="9"/>
    </row>
    <row r="26" spans="1:9" ht="16.5" customHeight="1" x14ac:dyDescent="0.25">
      <c r="H26" s="9"/>
      <c r="I26" s="9"/>
    </row>
    <row r="27" spans="1:9" ht="16.5" customHeight="1" x14ac:dyDescent="0.25">
      <c r="A27" s="115" t="s">
        <v>9</v>
      </c>
      <c r="B27" s="117" t="s">
        <v>6</v>
      </c>
      <c r="C27" s="117"/>
      <c r="D27" s="118" t="s">
        <v>10</v>
      </c>
      <c r="E27" s="117"/>
      <c r="F27" s="119" t="s">
        <v>11</v>
      </c>
      <c r="H27" s="9"/>
      <c r="I27" s="9"/>
    </row>
    <row r="28" spans="1:9" ht="16.5" customHeight="1" x14ac:dyDescent="0.25">
      <c r="A28" s="116"/>
      <c r="B28" s="12" t="s">
        <v>12</v>
      </c>
      <c r="C28" s="12" t="s">
        <v>13</v>
      </c>
      <c r="D28" s="15" t="s">
        <v>12</v>
      </c>
      <c r="E28" s="13" t="s">
        <v>13</v>
      </c>
      <c r="F28" s="120"/>
      <c r="H28" s="9"/>
      <c r="I28" s="9"/>
    </row>
    <row r="29" spans="1:9" ht="16.5" customHeight="1" x14ac:dyDescent="0.4">
      <c r="A29" s="16" t="s">
        <v>4</v>
      </c>
      <c r="B29" s="17">
        <f>SUM(B30:B41)</f>
        <v>0</v>
      </c>
      <c r="C29" s="17">
        <f>SUM(C30:C41)</f>
        <v>0</v>
      </c>
      <c r="D29" s="18">
        <f>SUM(D30:D41)</f>
        <v>34619</v>
      </c>
      <c r="E29" s="17">
        <f>SUM(E30:E41)</f>
        <v>32517</v>
      </c>
      <c r="F29" s="73" t="s">
        <v>5</v>
      </c>
      <c r="H29" s="9"/>
      <c r="I29" s="9"/>
    </row>
    <row r="30" spans="1:9" ht="16.5" customHeight="1" x14ac:dyDescent="0.4">
      <c r="A30" s="109" t="s">
        <v>14</v>
      </c>
      <c r="B30" s="19">
        <v>0</v>
      </c>
      <c r="C30" s="20">
        <v>0</v>
      </c>
      <c r="D30" s="21">
        <v>1692</v>
      </c>
      <c r="E30" s="20">
        <v>2371</v>
      </c>
      <c r="F30" s="71" t="s">
        <v>15</v>
      </c>
      <c r="H30" s="9"/>
      <c r="I30" s="9"/>
    </row>
    <row r="31" spans="1:9" ht="16.5" customHeight="1" x14ac:dyDescent="0.4">
      <c r="A31" s="109" t="s">
        <v>16</v>
      </c>
      <c r="B31" s="19">
        <v>0</v>
      </c>
      <c r="C31" s="20">
        <v>0</v>
      </c>
      <c r="D31" s="21">
        <v>1488</v>
      </c>
      <c r="E31" s="20">
        <v>1183</v>
      </c>
      <c r="F31" s="71" t="s">
        <v>17</v>
      </c>
      <c r="H31" s="9"/>
      <c r="I31" s="9"/>
    </row>
    <row r="32" spans="1:9" ht="16.5" customHeight="1" x14ac:dyDescent="0.4">
      <c r="A32" s="109" t="s">
        <v>18</v>
      </c>
      <c r="B32" s="19">
        <v>0</v>
      </c>
      <c r="C32" s="20">
        <v>0</v>
      </c>
      <c r="D32" s="21">
        <v>1681</v>
      </c>
      <c r="E32" s="20">
        <v>1573</v>
      </c>
      <c r="F32" s="71" t="s">
        <v>19</v>
      </c>
      <c r="H32" s="9"/>
      <c r="I32" s="9"/>
    </row>
    <row r="33" spans="1:9" ht="16.5" customHeight="1" x14ac:dyDescent="0.4">
      <c r="A33" s="109" t="s">
        <v>20</v>
      </c>
      <c r="B33" s="22">
        <v>0</v>
      </c>
      <c r="C33" s="20">
        <v>0</v>
      </c>
      <c r="D33" s="21">
        <v>1569</v>
      </c>
      <c r="E33" s="20">
        <v>1514</v>
      </c>
      <c r="F33" s="71" t="s">
        <v>21</v>
      </c>
      <c r="H33" s="9"/>
      <c r="I33" s="9"/>
    </row>
    <row r="34" spans="1:9" ht="16.5" customHeight="1" x14ac:dyDescent="0.4">
      <c r="A34" s="109" t="s">
        <v>22</v>
      </c>
      <c r="B34" s="19">
        <v>0</v>
      </c>
      <c r="C34" s="20">
        <v>0</v>
      </c>
      <c r="D34" s="21">
        <v>1314</v>
      </c>
      <c r="E34" s="20">
        <v>1224</v>
      </c>
      <c r="F34" s="71" t="s">
        <v>23</v>
      </c>
      <c r="H34" s="9"/>
      <c r="I34" s="9"/>
    </row>
    <row r="35" spans="1:9" ht="19.5" customHeight="1" x14ac:dyDescent="0.4">
      <c r="A35" s="109" t="s">
        <v>24</v>
      </c>
      <c r="B35" s="19">
        <v>0</v>
      </c>
      <c r="C35" s="20">
        <v>0</v>
      </c>
      <c r="D35" s="21">
        <v>2630</v>
      </c>
      <c r="E35" s="20">
        <v>1741</v>
      </c>
      <c r="F35" s="71" t="s">
        <v>25</v>
      </c>
    </row>
    <row r="36" spans="1:9" ht="17.25" x14ac:dyDescent="0.4">
      <c r="A36" s="109" t="s">
        <v>26</v>
      </c>
      <c r="B36" s="22">
        <v>0</v>
      </c>
      <c r="C36" s="20">
        <v>0</v>
      </c>
      <c r="D36" s="21">
        <v>6208</v>
      </c>
      <c r="E36" s="20">
        <v>3565</v>
      </c>
      <c r="F36" s="71" t="s">
        <v>27</v>
      </c>
    </row>
    <row r="37" spans="1:9" ht="19.5" customHeight="1" x14ac:dyDescent="0.4">
      <c r="A37" s="109" t="s">
        <v>28</v>
      </c>
      <c r="B37" s="19">
        <v>0</v>
      </c>
      <c r="C37" s="20">
        <v>0</v>
      </c>
      <c r="D37" s="21">
        <v>3469</v>
      </c>
      <c r="E37" s="20">
        <v>5324</v>
      </c>
      <c r="F37" s="71" t="s">
        <v>29</v>
      </c>
    </row>
    <row r="38" spans="1:9" ht="19.5" customHeight="1" x14ac:dyDescent="0.4">
      <c r="A38" s="109" t="s">
        <v>30</v>
      </c>
      <c r="B38" s="19">
        <v>0</v>
      </c>
      <c r="C38" s="20">
        <v>0</v>
      </c>
      <c r="D38" s="21">
        <v>2715</v>
      </c>
      <c r="E38" s="20">
        <v>2710</v>
      </c>
      <c r="F38" s="71" t="s">
        <v>31</v>
      </c>
    </row>
    <row r="39" spans="1:9" ht="19.5" customHeight="1" x14ac:dyDescent="0.4">
      <c r="A39" s="109" t="s">
        <v>32</v>
      </c>
      <c r="B39" s="19">
        <v>0</v>
      </c>
      <c r="C39" s="20">
        <v>0</v>
      </c>
      <c r="D39" s="21">
        <v>4333</v>
      </c>
      <c r="E39" s="20">
        <v>4131</v>
      </c>
      <c r="F39" s="71" t="s">
        <v>33</v>
      </c>
    </row>
    <row r="40" spans="1:9" ht="17.25" x14ac:dyDescent="0.4">
      <c r="A40" s="109" t="s">
        <v>34</v>
      </c>
      <c r="B40" s="19">
        <v>0</v>
      </c>
      <c r="C40" s="20">
        <v>0</v>
      </c>
      <c r="D40" s="21">
        <v>4074</v>
      </c>
      <c r="E40" s="20">
        <v>3897</v>
      </c>
      <c r="F40" s="71" t="s">
        <v>35</v>
      </c>
    </row>
    <row r="41" spans="1:9" ht="17.25" x14ac:dyDescent="0.4">
      <c r="A41" s="110" t="s">
        <v>36</v>
      </c>
      <c r="B41" s="67">
        <v>0</v>
      </c>
      <c r="C41" s="68">
        <v>0</v>
      </c>
      <c r="D41" s="23">
        <v>3446</v>
      </c>
      <c r="E41" s="68">
        <v>3284</v>
      </c>
      <c r="F41" s="72" t="s">
        <v>37</v>
      </c>
    </row>
    <row r="42" spans="1:9" ht="18.75" x14ac:dyDescent="0.25">
      <c r="A42" s="6" t="s">
        <v>7</v>
      </c>
      <c r="B42" s="3"/>
      <c r="C42" s="3"/>
      <c r="D42" s="7"/>
      <c r="F42" s="14" t="s">
        <v>8</v>
      </c>
    </row>
    <row r="43" spans="1:9" ht="18.75" x14ac:dyDescent="0.25">
      <c r="A43" s="6"/>
      <c r="B43" s="3"/>
      <c r="C43" s="3"/>
      <c r="D43" s="7"/>
      <c r="F43" s="92"/>
    </row>
  </sheetData>
  <mergeCells count="12">
    <mergeCell ref="A2:F2"/>
    <mergeCell ref="A3:F3"/>
    <mergeCell ref="A5:A6"/>
    <mergeCell ref="B5:C5"/>
    <mergeCell ref="D5:E5"/>
    <mergeCell ref="F5:F6"/>
    <mergeCell ref="A24:F24"/>
    <mergeCell ref="A25:F25"/>
    <mergeCell ref="A27:A28"/>
    <mergeCell ref="B27:C27"/>
    <mergeCell ref="D27:E27"/>
    <mergeCell ref="F27:F28"/>
  </mergeCells>
  <pageMargins left="0.7" right="0.7" top="0.75" bottom="0.75" header="0.3" footer="0.3"/>
  <pageSetup scale="85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4" t="s">
        <v>66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</row>
    <row r="2" spans="1:29" ht="15.75" x14ac:dyDescent="0.25">
      <c r="A2" s="111" t="s">
        <v>67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1" customFormat="1" ht="19.5" x14ac:dyDescent="0.15">
      <c r="A4" s="115" t="s">
        <v>9</v>
      </c>
      <c r="B4" s="123" t="s">
        <v>38</v>
      </c>
      <c r="C4" s="123"/>
      <c r="D4" s="79"/>
      <c r="E4" s="123" t="s">
        <v>39</v>
      </c>
      <c r="F4" s="123"/>
      <c r="G4" s="79"/>
      <c r="H4" s="123" t="s">
        <v>40</v>
      </c>
      <c r="I4" s="123"/>
      <c r="J4" s="79"/>
      <c r="K4" s="123" t="s">
        <v>41</v>
      </c>
      <c r="L4" s="123"/>
      <c r="M4" s="79"/>
      <c r="N4" s="123" t="s">
        <v>42</v>
      </c>
      <c r="O4" s="123"/>
      <c r="P4" s="79"/>
      <c r="Q4" s="123" t="s">
        <v>43</v>
      </c>
      <c r="R4" s="123"/>
      <c r="S4" s="79"/>
      <c r="T4" s="123" t="s">
        <v>44</v>
      </c>
      <c r="U4" s="123"/>
      <c r="V4" s="79"/>
      <c r="W4" s="123" t="s">
        <v>45</v>
      </c>
      <c r="X4" s="123"/>
      <c r="Y4" s="79"/>
      <c r="Z4" s="123" t="s">
        <v>46</v>
      </c>
      <c r="AA4" s="123"/>
      <c r="AB4" s="125" t="s">
        <v>11</v>
      </c>
    </row>
    <row r="5" spans="1:29" s="26" customFormat="1" ht="15" customHeight="1" x14ac:dyDescent="0.25">
      <c r="A5" s="116"/>
      <c r="B5" s="122" t="s">
        <v>47</v>
      </c>
      <c r="C5" s="122"/>
      <c r="D5" s="25"/>
      <c r="E5" s="122" t="s">
        <v>48</v>
      </c>
      <c r="F5" s="122"/>
      <c r="G5" s="25"/>
      <c r="H5" s="122" t="s">
        <v>49</v>
      </c>
      <c r="I5" s="122"/>
      <c r="J5" s="25"/>
      <c r="K5" s="122" t="s">
        <v>50</v>
      </c>
      <c r="L5" s="122"/>
      <c r="M5" s="25"/>
      <c r="N5" s="122" t="s">
        <v>51</v>
      </c>
      <c r="O5" s="122"/>
      <c r="P5" s="25"/>
      <c r="Q5" s="122" t="s">
        <v>52</v>
      </c>
      <c r="R5" s="122"/>
      <c r="S5" s="25"/>
      <c r="T5" s="122" t="s">
        <v>53</v>
      </c>
      <c r="U5" s="122"/>
      <c r="V5" s="25"/>
      <c r="W5" s="122" t="s">
        <v>54</v>
      </c>
      <c r="X5" s="122"/>
      <c r="Y5" s="25"/>
      <c r="Z5" s="122" t="s">
        <v>55</v>
      </c>
      <c r="AA5" s="122"/>
      <c r="AB5" s="126"/>
      <c r="AC5" s="2"/>
    </row>
    <row r="6" spans="1:29" s="75" customFormat="1" ht="14.25" x14ac:dyDescent="0.2">
      <c r="A6" s="116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26"/>
    </row>
    <row r="7" spans="1:29" s="26" customFormat="1" ht="14.25" x14ac:dyDescent="0.2">
      <c r="A7" s="121"/>
      <c r="B7" s="69" t="s">
        <v>2</v>
      </c>
      <c r="C7" s="69" t="s">
        <v>3</v>
      </c>
      <c r="D7" s="69"/>
      <c r="E7" s="69" t="s">
        <v>2</v>
      </c>
      <c r="F7" s="69" t="s">
        <v>3</v>
      </c>
      <c r="G7" s="69"/>
      <c r="H7" s="69" t="s">
        <v>2</v>
      </c>
      <c r="I7" s="69" t="s">
        <v>3</v>
      </c>
      <c r="J7" s="69"/>
      <c r="K7" s="69" t="s">
        <v>2</v>
      </c>
      <c r="L7" s="69" t="s">
        <v>3</v>
      </c>
      <c r="M7" s="69"/>
      <c r="N7" s="69" t="s">
        <v>2</v>
      </c>
      <c r="O7" s="69" t="s">
        <v>3</v>
      </c>
      <c r="P7" s="69"/>
      <c r="Q7" s="69" t="s">
        <v>2</v>
      </c>
      <c r="R7" s="69" t="s">
        <v>3</v>
      </c>
      <c r="S7" s="69"/>
      <c r="T7" s="69" t="s">
        <v>2</v>
      </c>
      <c r="U7" s="69" t="s">
        <v>3</v>
      </c>
      <c r="V7" s="69"/>
      <c r="W7" s="69" t="s">
        <v>2</v>
      </c>
      <c r="X7" s="69" t="s">
        <v>3</v>
      </c>
      <c r="Y7" s="69"/>
      <c r="Z7" s="69" t="s">
        <v>2</v>
      </c>
      <c r="AA7" s="69" t="s">
        <v>3</v>
      </c>
      <c r="AB7" s="127"/>
    </row>
    <row r="8" spans="1:29" s="11" customFormat="1" ht="15.75" x14ac:dyDescent="0.15">
      <c r="A8" s="4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4" t="s">
        <v>5</v>
      </c>
    </row>
    <row r="9" spans="1:29" s="11" customFormat="1" ht="15.75" x14ac:dyDescent="0.4">
      <c r="A9" s="5" t="s">
        <v>14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15</v>
      </c>
    </row>
    <row r="10" spans="1:29" s="11" customFormat="1" ht="15.75" x14ac:dyDescent="0.4">
      <c r="A10" s="5" t="s">
        <v>16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17</v>
      </c>
    </row>
    <row r="11" spans="1:29" s="11" customFormat="1" ht="15.75" x14ac:dyDescent="0.4">
      <c r="A11" s="5" t="s">
        <v>18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19</v>
      </c>
    </row>
    <row r="12" spans="1:29" s="11" customFormat="1" ht="15.75" x14ac:dyDescent="0.4">
      <c r="A12" s="5" t="s">
        <v>20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21</v>
      </c>
    </row>
    <row r="13" spans="1:29" s="11" customFormat="1" ht="15.75" x14ac:dyDescent="0.4">
      <c r="A13" s="5" t="s">
        <v>22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23</v>
      </c>
    </row>
    <row r="14" spans="1:29" s="11" customFormat="1" ht="15.75" x14ac:dyDescent="0.4">
      <c r="A14" s="5" t="s">
        <v>24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25</v>
      </c>
    </row>
    <row r="15" spans="1:29" s="11" customFormat="1" ht="15.75" x14ac:dyDescent="0.4">
      <c r="A15" s="5" t="s">
        <v>26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27</v>
      </c>
    </row>
    <row r="16" spans="1:29" s="11" customFormat="1" ht="15.75" x14ac:dyDescent="0.4">
      <c r="A16" s="5" t="s">
        <v>28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29</v>
      </c>
    </row>
    <row r="17" spans="1:44" s="11" customFormat="1" ht="15.75" x14ac:dyDescent="0.4">
      <c r="A17" s="5" t="s">
        <v>30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31</v>
      </c>
    </row>
    <row r="18" spans="1:44" s="11" customFormat="1" ht="15.75" x14ac:dyDescent="0.4">
      <c r="A18" s="5" t="s">
        <v>32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33</v>
      </c>
    </row>
    <row r="19" spans="1:44" s="11" customFormat="1" ht="15.75" x14ac:dyDescent="0.4">
      <c r="A19" s="5" t="s">
        <v>34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35</v>
      </c>
    </row>
    <row r="20" spans="1:44" s="11" customFormat="1" ht="15.75" x14ac:dyDescent="0.4">
      <c r="A20" s="66" t="s">
        <v>36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64" t="s">
        <v>2</v>
      </c>
      <c r="AQ21" s="64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28" t="s">
        <v>9</v>
      </c>
      <c r="B44" s="95"/>
      <c r="D44" s="96"/>
      <c r="F44" s="96"/>
      <c r="G44" s="131" t="s">
        <v>38</v>
      </c>
      <c r="H44" s="132"/>
      <c r="I44" s="132"/>
      <c r="J44" s="132"/>
      <c r="K44" s="133"/>
      <c r="L44" s="82"/>
      <c r="M44" s="97"/>
      <c r="N44" s="82"/>
      <c r="O44" s="97"/>
      <c r="P44" s="134" t="s">
        <v>39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96"/>
      <c r="AC44" s="136" t="s">
        <v>40</v>
      </c>
      <c r="AD44" s="137"/>
      <c r="AE44" s="137"/>
      <c r="AF44" s="137"/>
      <c r="AG44" s="137"/>
      <c r="AH44" s="137"/>
      <c r="AI44" s="137"/>
      <c r="AJ44" s="137"/>
      <c r="AK44" s="81"/>
      <c r="AL44" s="136" t="s">
        <v>41</v>
      </c>
      <c r="AM44" s="137"/>
      <c r="AN44" s="137"/>
      <c r="AO44" s="137"/>
      <c r="AP44" s="137"/>
      <c r="AQ44" s="137"/>
      <c r="AR44" s="137"/>
      <c r="AS44" s="81"/>
      <c r="AT44" s="136" t="s">
        <v>42</v>
      </c>
      <c r="AU44" s="137"/>
      <c r="AV44" s="137"/>
      <c r="AW44" s="137"/>
      <c r="AX44" s="137"/>
      <c r="AY44" s="93"/>
      <c r="AZ44" s="81"/>
      <c r="BA44" s="136" t="s">
        <v>43</v>
      </c>
      <c r="BB44" s="137"/>
      <c r="BC44" s="137"/>
      <c r="BD44" s="137"/>
      <c r="BE44" s="154"/>
      <c r="BF44" s="80"/>
      <c r="BG44" s="155" t="s">
        <v>44</v>
      </c>
      <c r="BH44" s="156"/>
      <c r="BI44" s="156"/>
      <c r="BJ44" s="156"/>
      <c r="BK44" s="157"/>
      <c r="BL44" s="136" t="s">
        <v>45</v>
      </c>
      <c r="BM44" s="137"/>
      <c r="BN44" s="137"/>
      <c r="BO44" s="137"/>
      <c r="BP44" s="154"/>
      <c r="BQ44" s="136" t="s">
        <v>46</v>
      </c>
      <c r="BR44" s="137"/>
      <c r="BS44" s="137"/>
      <c r="BT44" s="138" t="s">
        <v>11</v>
      </c>
    </row>
    <row r="45" spans="1:80" s="84" customFormat="1" ht="16.5" customHeight="1" x14ac:dyDescent="0.25">
      <c r="A45" s="129"/>
      <c r="B45" s="98"/>
      <c r="D45" s="99"/>
      <c r="F45" s="99"/>
      <c r="G45" s="141" t="s">
        <v>47</v>
      </c>
      <c r="H45" s="142"/>
      <c r="I45" s="142"/>
      <c r="J45" s="142"/>
      <c r="K45" s="143"/>
      <c r="M45" s="99"/>
      <c r="O45" s="99"/>
      <c r="P45" s="144" t="s">
        <v>48</v>
      </c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99"/>
      <c r="AC45" s="146" t="s">
        <v>59</v>
      </c>
      <c r="AD45" s="147"/>
      <c r="AE45" s="147"/>
      <c r="AF45" s="147"/>
      <c r="AG45" s="147"/>
      <c r="AH45" s="147"/>
      <c r="AI45" s="147"/>
      <c r="AJ45" s="147"/>
      <c r="AK45" s="85"/>
      <c r="AL45" s="146" t="s">
        <v>60</v>
      </c>
      <c r="AM45" s="147"/>
      <c r="AN45" s="147"/>
      <c r="AO45" s="147"/>
      <c r="AP45" s="147"/>
      <c r="AQ45" s="147"/>
      <c r="AR45" s="147"/>
      <c r="AS45" s="85"/>
      <c r="AT45" s="146" t="s">
        <v>61</v>
      </c>
      <c r="AU45" s="147"/>
      <c r="AV45" s="147"/>
      <c r="AW45" s="147"/>
      <c r="AX45" s="147"/>
      <c r="AY45" s="94"/>
      <c r="AZ45" s="85"/>
      <c r="BA45" s="148" t="s">
        <v>62</v>
      </c>
      <c r="BB45" s="149"/>
      <c r="BC45" s="149"/>
      <c r="BD45" s="149"/>
      <c r="BE45" s="150"/>
      <c r="BG45" s="151" t="s">
        <v>63</v>
      </c>
      <c r="BH45" s="152"/>
      <c r="BI45" s="152"/>
      <c r="BJ45" s="152"/>
      <c r="BK45" s="153"/>
      <c r="BL45" s="148" t="s">
        <v>64</v>
      </c>
      <c r="BM45" s="149"/>
      <c r="BN45" s="149"/>
      <c r="BO45" s="149"/>
      <c r="BP45" s="150"/>
      <c r="BQ45" s="148" t="s">
        <v>65</v>
      </c>
      <c r="BR45" s="149"/>
      <c r="BS45" s="149"/>
      <c r="BT45" s="139"/>
    </row>
    <row r="46" spans="1:80" ht="23.25" customHeight="1" x14ac:dyDescent="0.25">
      <c r="A46" s="130"/>
      <c r="B46" s="100"/>
      <c r="C46" s="101">
        <v>2011</v>
      </c>
      <c r="D46" s="101">
        <v>2012</v>
      </c>
      <c r="E46" s="102">
        <v>2013</v>
      </c>
      <c r="F46" s="103">
        <v>2014</v>
      </c>
      <c r="G46" s="104">
        <v>2015</v>
      </c>
      <c r="H46" s="105">
        <v>2016</v>
      </c>
      <c r="I46" s="106">
        <v>2017</v>
      </c>
      <c r="J46" s="106">
        <v>2018</v>
      </c>
      <c r="K46" s="106">
        <v>2019</v>
      </c>
      <c r="L46" s="107">
        <v>2011</v>
      </c>
      <c r="M46" s="107">
        <v>2012</v>
      </c>
      <c r="N46" s="107">
        <v>2013</v>
      </c>
      <c r="O46" s="106">
        <v>2014</v>
      </c>
      <c r="P46" s="104">
        <v>2015</v>
      </c>
      <c r="Q46" s="106">
        <v>2016</v>
      </c>
      <c r="R46" s="107">
        <v>2011</v>
      </c>
      <c r="S46" s="107">
        <v>2012</v>
      </c>
      <c r="T46" s="106">
        <v>2013</v>
      </c>
      <c r="U46" s="106">
        <v>2014</v>
      </c>
      <c r="V46" s="107">
        <v>2011</v>
      </c>
      <c r="W46" s="107">
        <v>2012</v>
      </c>
      <c r="X46" s="106">
        <v>2013</v>
      </c>
      <c r="Y46" s="106">
        <v>2017</v>
      </c>
      <c r="Z46" s="106">
        <v>2018</v>
      </c>
      <c r="AA46" s="108">
        <v>2019</v>
      </c>
      <c r="AB46" s="106">
        <v>2014</v>
      </c>
      <c r="AC46" s="36">
        <v>2015</v>
      </c>
      <c r="AD46" s="36">
        <v>2016</v>
      </c>
      <c r="AE46" s="70">
        <v>2011</v>
      </c>
      <c r="AF46" s="70">
        <v>2012</v>
      </c>
      <c r="AG46" s="70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0">
        <v>2012</v>
      </c>
      <c r="AQ46" s="70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0">
        <v>2013</v>
      </c>
      <c r="AW46" s="36">
        <v>2017</v>
      </c>
      <c r="AX46" s="36">
        <v>2018</v>
      </c>
      <c r="AY46" s="36">
        <v>2019</v>
      </c>
      <c r="AZ46" s="70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0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40"/>
      <c r="BU46" s="2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78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6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6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6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6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6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6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6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6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6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6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6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9"/>
      <c r="BY60" s="34"/>
      <c r="BZ60" s="34"/>
      <c r="CA60" s="34"/>
      <c r="CB60" s="3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11.14</vt:lpstr>
      <vt:lpstr>11.15</vt:lpstr>
      <vt:lpstr>'11.14'!Print_Area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2023-07-17T08:04:02Z</cp:lastPrinted>
  <dcterms:created xsi:type="dcterms:W3CDTF">2019-03-24T03:32:16Z</dcterms:created>
  <dcterms:modified xsi:type="dcterms:W3CDTF">2023-07-17T08:04:10Z</dcterms:modified>
</cp:coreProperties>
</file>