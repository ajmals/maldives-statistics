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6567549C-6034-426C-9B26-672BB9364828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17" sheetId="5" r:id="rId2"/>
  </sheets>
  <externalReferences>
    <externalReference r:id="rId3"/>
    <externalReference r:id="rId4"/>
  </externalReferences>
  <definedNames>
    <definedName name="_xlnm.Print_Area" localSheetId="1">'11.17'!$A$1:$DD$28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7" i="5" l="1"/>
  <c r="CQ7" i="5"/>
  <c r="CR7" i="5"/>
  <c r="CS7" i="5"/>
  <c r="CT7" i="5"/>
  <c r="CU7" i="5"/>
  <c r="DC7" i="5"/>
  <c r="DB7" i="5"/>
  <c r="DA7" i="5"/>
  <c r="CZ7" i="5"/>
  <c r="CY7" i="5"/>
  <c r="CX7" i="5"/>
  <c r="CW7" i="5"/>
  <c r="CV7" i="5"/>
  <c r="CO7" i="5" l="1"/>
  <c r="CN7" i="5"/>
  <c r="CI7" i="5"/>
  <c r="CH7" i="5"/>
  <c r="CA7" i="5"/>
  <c r="BZ7" i="5"/>
  <c r="BR7" i="5"/>
  <c r="BQ7" i="5"/>
  <c r="BI7" i="5"/>
  <c r="BH7" i="5"/>
  <c r="AX7" i="5"/>
  <c r="AW7" i="5"/>
  <c r="AL7" i="5"/>
  <c r="AK7" i="5"/>
  <c r="Z7" i="5"/>
  <c r="Y7" i="5"/>
  <c r="M7" i="5"/>
  <c r="CM7" i="5"/>
  <c r="CG7" i="5"/>
  <c r="BY7" i="5"/>
  <c r="BP7" i="5"/>
  <c r="BG7" i="5"/>
  <c r="AV7" i="5"/>
  <c r="AJ7" i="5"/>
  <c r="X7" i="5"/>
  <c r="L7" i="5"/>
  <c r="AM7" i="5" l="1"/>
  <c r="AN7" i="5"/>
  <c r="AO7" i="5"/>
  <c r="AP7" i="5"/>
  <c r="AQ7" i="5"/>
  <c r="AR7" i="5"/>
  <c r="AS7" i="5"/>
  <c r="AT7" i="5"/>
  <c r="AU7" i="5"/>
  <c r="AI18" i="5"/>
  <c r="AI17" i="5"/>
  <c r="AI16" i="5"/>
  <c r="AG17" i="5"/>
  <c r="AG16" i="5"/>
  <c r="AG15" i="5"/>
  <c r="AG14" i="5"/>
  <c r="AG13" i="5"/>
  <c r="AG12" i="5"/>
  <c r="AG11" i="5"/>
  <c r="AG10" i="5"/>
  <c r="AG9" i="5"/>
  <c r="AG8" i="5"/>
  <c r="AF19" i="5"/>
  <c r="AF18" i="5"/>
  <c r="AF16" i="5"/>
  <c r="AF14" i="5"/>
  <c r="AF13" i="5"/>
  <c r="AF12" i="5"/>
  <c r="AE17" i="5"/>
  <c r="AE15" i="5"/>
  <c r="AE14" i="5"/>
  <c r="AE9" i="5"/>
  <c r="AD10" i="5"/>
  <c r="AD9" i="5"/>
  <c r="AC17" i="5"/>
  <c r="AC16" i="5"/>
  <c r="AC15" i="5"/>
  <c r="AC14" i="5"/>
  <c r="AC13" i="5"/>
  <c r="AC12" i="5"/>
  <c r="AC11" i="5"/>
  <c r="AC1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E7" i="5" l="1"/>
  <c r="AF7" i="5"/>
  <c r="AD7" i="5"/>
  <c r="N7" i="5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CL7" i="5" l="1"/>
  <c r="CK7" i="5"/>
  <c r="CJ7" i="5"/>
  <c r="CF7" i="5"/>
  <c r="CE7" i="5"/>
  <c r="CD7" i="5"/>
  <c r="CC7" i="5"/>
  <c r="CB7" i="5"/>
  <c r="BX7" i="5"/>
  <c r="BW7" i="5"/>
  <c r="BV7" i="5"/>
  <c r="BU7" i="5"/>
  <c r="BT7" i="5"/>
  <c r="BS7" i="5"/>
  <c r="BO7" i="5"/>
  <c r="BN7" i="5"/>
  <c r="BM7" i="5"/>
  <c r="BL7" i="5"/>
  <c r="BK7" i="5"/>
  <c r="BJ7" i="5"/>
  <c r="BF7" i="5"/>
  <c r="BE7" i="5"/>
  <c r="BD7" i="5"/>
  <c r="BC7" i="5"/>
  <c r="BB7" i="5"/>
  <c r="BA7" i="5"/>
  <c r="AZ7" i="5"/>
  <c r="AY7" i="5"/>
  <c r="AI7" i="5"/>
  <c r="AH7" i="5"/>
  <c r="AG7" i="5"/>
  <c r="AC7" i="5"/>
  <c r="AB7" i="5"/>
  <c r="AA7" i="5"/>
  <c r="W7" i="5"/>
  <c r="V7" i="5"/>
  <c r="U7" i="5"/>
  <c r="T7" i="5"/>
  <c r="S7" i="5"/>
  <c r="R7" i="5"/>
  <c r="Q7" i="5"/>
  <c r="P7" i="5"/>
  <c r="O7" i="5"/>
  <c r="K7" i="5"/>
  <c r="J7" i="5"/>
  <c r="I7" i="5"/>
  <c r="H7" i="5"/>
  <c r="G7" i="5"/>
  <c r="F7" i="5"/>
  <c r="E7" i="5"/>
  <c r="D7" i="5"/>
  <c r="C7" i="5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<sst xmlns="http://schemas.openxmlformats.org/spreadsheetml/2006/main" count="351" uniqueCount="77">
  <si>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</si>
  <si>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</si>
  <si>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</si>
  <si>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</si>
  <si>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</si>
  <si>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</si>
  <si>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</si>
  <si>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</si>
  <si>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</si>
  <si>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</si>
  <si>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</si>
  <si>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</si>
  <si>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</si>
  <si>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</si>
  <si>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</si>
  <si>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</si>
  <si>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</si>
  <si>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</si>
  <si>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</si>
  <si>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</si>
  <si>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</si>
  <si>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</si>
  <si>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</si>
  <si>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</si>
  <si>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</si>
  <si>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</si>
  <si>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</si>
  <si>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</si>
  <si>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</si>
  <si>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</si>
  <si>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</si>
  <si>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</si>
  <si>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</si>
  <si>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</si>
  <si>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</si>
  <si>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</si>
  <si>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</si>
  <si>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</si>
  <si>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</si>
  <si>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</si>
  <si>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</si>
  <si>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</si>
  <si>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</si>
  <si>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</si>
  <si>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</si>
  <si>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</si>
  <si>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</si>
  <si>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</si>
  <si>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</si>
  <si>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</si>
  <si>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</si>
  <si>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</si>
  <si>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</si>
  <si>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</si>
  <si>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</si>
  <si>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</si>
  <si>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</si>
  <si>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</si>
  <si>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</si>
  <si>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</si>
  <si>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</si>
  <si>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</si>
  <si>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</si>
  <si>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</si>
  <si>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</si>
  <si>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</si>
  <si>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</si>
  <si>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</si>
  <si>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</si>
  <si>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</si>
  <si>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>Maavurlu</t>
    </r>
    <r>
      <rPr>
        <b/>
        <vertAlign val="superscript"/>
        <sz val="11"/>
        <rFont val="Calibri"/>
        <family val="2"/>
        <scheme val="minor"/>
      </rPr>
      <t xml:space="preserve"> </t>
    </r>
  </si>
  <si>
    <r>
      <t>Funadhoo</t>
    </r>
    <r>
      <rPr>
        <b/>
        <vertAlign val="superscript"/>
        <sz val="11"/>
        <rFont val="Calibri"/>
        <family val="2"/>
        <scheme val="minor"/>
      </rPr>
      <t xml:space="preserve"> </t>
    </r>
  </si>
  <si>
    <t>Kuludhufushi</t>
  </si>
  <si>
    <t>Hoarafushi</t>
  </si>
  <si>
    <t>Madivaru</t>
  </si>
  <si>
    <t>2022 - 2015 ,cawtcTiawlcf irukurutwd cnukwturwdnwb egiawv egEjcaWr cnutogeguhwmcswm  : 11.17 ulwvWt</t>
  </si>
  <si>
    <t>Table 11.17 :  NUMBER OF AIRCRAFT MOVEMENTS AT DOMESTIC AIRPORTS BY MONTH, 2015-2022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</si>
</sst>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_Reethi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0" fillId="0" borderId="0"/>
    <xf numFmtId="43" fontId="5" fillId="0" borderId="0" applyFont="0" applyFill="0" applyBorder="0" applyAlignment="0" applyProtection="0"/>
    <xf numFmtId="0" fontId="5" fillId="0" borderId="0"/>
  </cellStyleXfs>
  <cellXfs count="171">
    <xf numFmtId="0" fontId="0" fillId="0" borderId="0" xfId="0"/>
    <xf numFmtId="164" fontId="0" fillId="2" borderId="0" xfId="0" applyNumberFormat="1" applyFill="1"/>
    <xf numFmtId="164" fontId="9" fillId="2" borderId="0" xfId="0" applyNumberFormat="1" applyFont="1" applyFill="1"/>
    <xf numFmtId="164" fontId="10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6" fillId="2" borderId="0" xfId="2" applyFont="1" applyFill="1" applyAlignment="1">
      <alignment horizontal="left" vertical="center"/>
    </xf>
    <xf numFmtId="37" fontId="8" fillId="2" borderId="0" xfId="2" applyNumberFormat="1" applyFont="1" applyFill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4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10" fillId="2" borderId="17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3" fillId="2" borderId="0" xfId="2" applyFont="1" applyFill="1"/>
    <xf numFmtId="0" fontId="13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6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7" fillId="2" borderId="1" xfId="2" applyFont="1" applyFill="1" applyBorder="1" applyAlignment="1">
      <alignment horizontal="left" vertical="center"/>
    </xf>
    <xf numFmtId="3" fontId="17" fillId="2" borderId="1" xfId="3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3" fontId="17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164" fontId="17" fillId="2" borderId="5" xfId="2" applyFont="1" applyFill="1" applyBorder="1" applyAlignment="1">
      <alignment horizontal="left" vertical="center"/>
    </xf>
    <xf numFmtId="3" fontId="17" fillId="2" borderId="5" xfId="3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3" fontId="17" fillId="2" borderId="22" xfId="3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4" fontId="15" fillId="2" borderId="0" xfId="2" applyFont="1" applyFill="1"/>
    <xf numFmtId="0" fontId="7" fillId="2" borderId="0" xfId="2" applyNumberFormat="1" applyFont="1" applyFill="1" applyAlignment="1">
      <alignment horizontal="center" vertical="center"/>
    </xf>
    <xf numFmtId="3" fontId="7" fillId="2" borderId="0" xfId="2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7" fillId="2" borderId="1" xfId="2" applyFont="1" applyFill="1" applyBorder="1" applyAlignment="1">
      <alignment horizontal="left" vertical="center" indent="1"/>
    </xf>
    <xf numFmtId="164" fontId="17" fillId="2" borderId="5" xfId="2" applyFont="1" applyFill="1" applyBorder="1" applyAlignment="1">
      <alignment horizontal="left" vertical="center" indent="1"/>
    </xf>
    <xf numFmtId="164" fontId="7" fillId="2" borderId="40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2" fillId="2" borderId="40" xfId="2" applyFont="1" applyFill="1" applyBorder="1" applyAlignment="1">
      <alignment horizontal="left" vertical="center"/>
    </xf>
    <xf numFmtId="164" fontId="20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8" fillId="2" borderId="13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6" fillId="2" borderId="17" xfId="2" applyFont="1" applyFill="1" applyBorder="1" applyAlignment="1">
      <alignment horizontal="left" vertical="center"/>
    </xf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8" fillId="2" borderId="22" xfId="2" applyFont="1" applyFill="1" applyBorder="1" applyAlignment="1">
      <alignment vertical="center" wrapText="1"/>
    </xf>
    <xf numFmtId="3" fontId="12" fillId="3" borderId="1" xfId="2" applyNumberFormat="1" applyFont="1" applyFill="1" applyBorder="1" applyAlignment="1">
      <alignment horizontal="right" vertical="center"/>
    </xf>
    <xf numFmtId="3" fontId="12" fillId="3" borderId="1" xfId="3" applyNumberFormat="1" applyFont="1" applyFill="1" applyBorder="1" applyAlignment="1">
      <alignment horizontal="right" vertical="center"/>
    </xf>
    <xf numFmtId="3" fontId="12" fillId="3" borderId="0" xfId="2" applyNumberFormat="1" applyFont="1" applyFill="1" applyAlignment="1">
      <alignment horizontal="right" vertical="center"/>
    </xf>
    <xf numFmtId="3" fontId="12" fillId="3" borderId="5" xfId="2" applyNumberFormat="1" applyFont="1" applyFill="1" applyBorder="1" applyAlignment="1">
      <alignment horizontal="right" vertical="center"/>
    </xf>
    <xf numFmtId="3" fontId="12" fillId="3" borderId="5" xfId="3" applyNumberFormat="1" applyFont="1" applyFill="1" applyBorder="1" applyAlignment="1">
      <alignment horizontal="right" vertical="center"/>
    </xf>
    <xf numFmtId="3" fontId="12" fillId="3" borderId="40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8" fillId="2" borderId="0" xfId="2" applyFont="1" applyFill="1" applyAlignment="1">
      <alignment horizontal="center" vertical="center" wrapText="1"/>
    </xf>
    <xf numFmtId="164" fontId="41" fillId="2" borderId="17" xfId="2" applyFont="1" applyFill="1" applyBorder="1" applyAlignment="1">
      <alignment horizontal="left" vertical="center"/>
    </xf>
    <xf numFmtId="164" fontId="41" fillId="2" borderId="18" xfId="2" applyFont="1" applyFill="1" applyBorder="1" applyAlignment="1">
      <alignment vertical="center"/>
    </xf>
    <xf numFmtId="164" fontId="32" fillId="2" borderId="18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2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40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/>
    </xf>
    <xf numFmtId="3" fontId="7" fillId="2" borderId="44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/>
    </xf>
    <xf numFmtId="3" fontId="7" fillId="2" borderId="48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3" fontId="17" fillId="2" borderId="4" xfId="3" applyNumberFormat="1" applyFont="1" applyFill="1" applyBorder="1" applyAlignment="1">
      <alignment horizontal="center" vertical="center"/>
    </xf>
    <xf numFmtId="3" fontId="17" fillId="2" borderId="6" xfId="3" applyNumberFormat="1" applyFont="1" applyFill="1" applyBorder="1" applyAlignment="1">
      <alignment horizontal="center" vertical="center"/>
    </xf>
    <xf numFmtId="3" fontId="17" fillId="2" borderId="49" xfId="3" applyNumberFormat="1" applyFont="1" applyFill="1" applyBorder="1" applyAlignment="1">
      <alignment horizontal="center" vertical="center"/>
    </xf>
    <xf numFmtId="3" fontId="17" fillId="2" borderId="50" xfId="3" applyNumberFormat="1" applyFont="1" applyFill="1" applyBorder="1" applyAlignment="1">
      <alignment horizontal="center" vertical="center"/>
    </xf>
    <xf numFmtId="3" fontId="17" fillId="2" borderId="0" xfId="3" applyNumberFormat="1" applyFont="1" applyFill="1" applyBorder="1" applyAlignment="1">
      <alignment horizontal="center" vertical="center"/>
    </xf>
    <xf numFmtId="3" fontId="17" fillId="2" borderId="40" xfId="3" applyNumberFormat="1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  <xf numFmtId="164" fontId="18" fillId="2" borderId="40" xfId="2" applyFont="1" applyFill="1" applyBorder="1" applyAlignment="1">
      <alignment horizontal="center" vertical="center" wrapText="1"/>
    </xf>
    <xf numFmtId="0" fontId="17" fillId="2" borderId="45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18" fillId="2" borderId="0" xfId="2" applyFont="1" applyFill="1" applyAlignment="1">
      <alignment horizontal="center" vertical="center"/>
    </xf>
    <xf numFmtId="164" fontId="10" fillId="2" borderId="8" xfId="2" applyFont="1" applyFill="1" applyBorder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0" fillId="2" borderId="40" xfId="2" applyFont="1" applyFill="1" applyBorder="1" applyAlignment="1">
      <alignment horizontal="left" vertical="center"/>
    </xf>
    <xf numFmtId="164" fontId="20" fillId="2" borderId="40" xfId="2" applyFont="1" applyFill="1" applyBorder="1" applyAlignment="1">
      <alignment horizontal="center" vertical="center" wrapText="1"/>
    </xf>
    <xf numFmtId="164" fontId="35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0" xfId="2" applyFont="1" applyFill="1" applyBorder="1" applyAlignment="1">
      <alignment horizontal="right" vertical="center"/>
    </xf>
    <xf numFmtId="164" fontId="10" fillId="2" borderId="17" xfId="2" applyFont="1" applyFill="1" applyBorder="1" applyAlignment="1">
      <alignment horizontal="left" vertical="center"/>
    </xf>
    <xf numFmtId="164" fontId="10" fillId="2" borderId="1" xfId="2" applyFont="1" applyFill="1" applyBorder="1" applyAlignment="1">
      <alignment horizontal="left" vertical="center"/>
    </xf>
    <xf numFmtId="164" fontId="10" fillId="2" borderId="5" xfId="2" applyFont="1" applyFill="1" applyBorder="1" applyAlignment="1">
      <alignment horizontal="left" vertical="center"/>
    </xf>
    <xf numFmtId="164" fontId="32" fillId="2" borderId="1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2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14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8" fillId="2" borderId="14" xfId="2" applyFont="1" applyFill="1" applyBorder="1" applyAlignment="1">
      <alignment horizontal="center" vertical="center" wrapText="1"/>
    </xf>
    <xf numFmtId="164" fontId="18" fillId="2" borderId="0" xfId="2" applyFont="1" applyFill="1" applyAlignment="1">
      <alignment horizontal="center" vertical="center" wrapText="1"/>
    </xf>
    <xf numFmtId="164" fontId="18" fillId="2" borderId="16" xfId="2" applyFont="1" applyFill="1" applyBorder="1" applyAlignment="1">
      <alignment horizontal="center" vertical="center" wrapText="1"/>
    </xf>
    <xf numFmtId="164" fontId="18" fillId="2" borderId="40" xfId="2" applyFont="1" applyFill="1" applyBorder="1" applyAlignment="1">
      <alignment horizontal="center" vertical="center" wrapText="1"/>
    </xf>
    <xf numFmtId="164" fontId="18" fillId="2" borderId="25" xfId="2" applyFont="1" applyFill="1" applyBorder="1" applyAlignment="1">
      <alignment horizontal="center" vertical="center" wrapText="1"/>
    </xf>
    <xf numFmtId="164" fontId="18" fillId="2" borderId="24" xfId="2" applyFont="1" applyFill="1" applyBorder="1" applyAlignment="1">
      <alignment horizontal="center" vertical="center" wrapText="1"/>
    </xf>
    <xf numFmtId="164" fontId="18" fillId="2" borderId="22" xfId="2" applyFont="1" applyFill="1" applyBorder="1" applyAlignment="1">
      <alignment horizontal="center" vertical="center" wrapText="1"/>
    </xf>
    <xf numFmtId="164" fontId="18" fillId="2" borderId="23" xfId="2" applyFont="1" applyFill="1" applyBorder="1" applyAlignment="1">
      <alignment horizontal="center" vertical="center" wrapText="1"/>
    </xf>
    <xf numFmtId="164" fontId="36" fillId="2" borderId="21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36" fillId="2" borderId="51" xfId="2" applyFont="1" applyFill="1" applyBorder="1" applyAlignment="1">
      <alignment horizontal="center" vertical="center"/>
    </xf>
    <xf numFmtId="164" fontId="36" fillId="2" borderId="41" xfId="2" applyFont="1" applyFill="1" applyBorder="1" applyAlignment="1">
      <alignment horizontal="center" vertical="center"/>
    </xf>
    <xf numFmtId="164" fontId="18" fillId="2" borderId="54" xfId="2" applyFont="1" applyFill="1" applyBorder="1" applyAlignment="1">
      <alignment horizontal="center" vertical="center" wrapText="1"/>
    </xf>
    <xf numFmtId="164" fontId="18" fillId="2" borderId="53" xfId="2" applyFont="1" applyFill="1" applyBorder="1" applyAlignment="1">
      <alignment horizontal="center" vertical="center" wrapText="1"/>
    </xf>
    <xf numFmtId="164" fontId="18" fillId="2" borderId="52" xfId="2" applyFont="1" applyFill="1" applyBorder="1" applyAlignment="1">
      <alignment horizontal="center" vertical="center" wrapText="1"/>
    </xf>
    <xf numFmtId="164" fontId="18" fillId="2" borderId="38" xfId="2" applyFont="1" applyFill="1" applyBorder="1" applyAlignment="1">
      <alignment horizontal="center" vertical="center" wrapText="1"/>
    </xf>
    <xf numFmtId="164" fontId="18" fillId="2" borderId="42" xfId="2" applyFont="1" applyFill="1" applyBorder="1" applyAlignment="1">
      <alignment horizontal="center" vertical="center" wrapText="1"/>
    </xf>
    <xf numFmtId="164" fontId="33" fillId="2" borderId="39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41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5" t="s">
        <v>68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29" ht="15.75" x14ac:dyDescent="0.25">
      <c r="A2" s="118" t="s">
        <v>69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4" spans="1:29" s="9" customFormat="1" ht="19.5" x14ac:dyDescent="0.15">
      <c r="A4" s="120" t="s">
        <v>8</v>
      </c>
      <c r="B4" s="124" t="s">
        <v>34</v>
      </c>
      <c r="C4" s="124"/>
      <c r="D4" s="69"/>
      <c r="E4" s="124" t="s">
        <v>35</v>
      </c>
      <c r="F4" s="124"/>
      <c r="G4" s="69"/>
      <c r="H4" s="124" t="s">
        <v>36</v>
      </c>
      <c r="I4" s="124"/>
      <c r="J4" s="69"/>
      <c r="K4" s="124" t="s">
        <v>37</v>
      </c>
      <c r="L4" s="124"/>
      <c r="M4" s="69"/>
      <c r="N4" s="124" t="s">
        <v>38</v>
      </c>
      <c r="O4" s="124"/>
      <c r="P4" s="69"/>
      <c r="Q4" s="124" t="s">
        <v>39</v>
      </c>
      <c r="R4" s="124"/>
      <c r="S4" s="69"/>
      <c r="T4" s="124" t="s">
        <v>40</v>
      </c>
      <c r="U4" s="124"/>
      <c r="V4" s="69"/>
      <c r="W4" s="124" t="s">
        <v>41</v>
      </c>
      <c r="X4" s="124"/>
      <c r="Y4" s="69"/>
      <c r="Z4" s="124" t="s">
        <v>42</v>
      </c>
      <c r="AA4" s="124"/>
      <c r="AB4" s="126" t="s">
        <v>9</v>
      </c>
    </row>
    <row r="5" spans="1:29" s="12" customFormat="1" ht="15" customHeight="1" x14ac:dyDescent="0.25">
      <c r="A5" s="121"/>
      <c r="B5" s="123" t="s">
        <v>43</v>
      </c>
      <c r="C5" s="123"/>
      <c r="D5" s="11"/>
      <c r="E5" s="123" t="s">
        <v>44</v>
      </c>
      <c r="F5" s="123"/>
      <c r="G5" s="11"/>
      <c r="H5" s="123" t="s">
        <v>45</v>
      </c>
      <c r="I5" s="123"/>
      <c r="J5" s="11"/>
      <c r="K5" s="123" t="s">
        <v>46</v>
      </c>
      <c r="L5" s="123"/>
      <c r="M5" s="11"/>
      <c r="N5" s="123" t="s">
        <v>47</v>
      </c>
      <c r="O5" s="123"/>
      <c r="P5" s="11"/>
      <c r="Q5" s="123" t="s">
        <v>48</v>
      </c>
      <c r="R5" s="123"/>
      <c r="S5" s="11"/>
      <c r="T5" s="123" t="s">
        <v>49</v>
      </c>
      <c r="U5" s="123"/>
      <c r="V5" s="11"/>
      <c r="W5" s="123" t="s">
        <v>50</v>
      </c>
      <c r="X5" s="123"/>
      <c r="Y5" s="11"/>
      <c r="Z5" s="123" t="s">
        <v>51</v>
      </c>
      <c r="AA5" s="123"/>
      <c r="AB5" s="127"/>
      <c r="AC5" s="2"/>
    </row>
    <row r="6" spans="1:29" s="65" customFormat="1" ht="14.25" x14ac:dyDescent="0.2">
      <c r="A6" s="121"/>
      <c r="B6" s="60" t="s">
        <v>0</v>
      </c>
      <c r="C6" s="60" t="s">
        <v>1</v>
      </c>
      <c r="D6" s="60"/>
      <c r="E6" s="60" t="s">
        <v>0</v>
      </c>
      <c r="F6" s="60" t="s">
        <v>1</v>
      </c>
      <c r="G6" s="60"/>
      <c r="H6" s="60" t="s">
        <v>0</v>
      </c>
      <c r="I6" s="60" t="s">
        <v>1</v>
      </c>
      <c r="J6" s="60"/>
      <c r="K6" s="60" t="s">
        <v>0</v>
      </c>
      <c r="L6" s="60" t="s">
        <v>1</v>
      </c>
      <c r="M6" s="60"/>
      <c r="N6" s="60" t="s">
        <v>0</v>
      </c>
      <c r="O6" s="60" t="s">
        <v>1</v>
      </c>
      <c r="P6" s="60"/>
      <c r="Q6" s="60" t="s">
        <v>0</v>
      </c>
      <c r="R6" s="60" t="s">
        <v>1</v>
      </c>
      <c r="S6" s="60"/>
      <c r="T6" s="60" t="s">
        <v>0</v>
      </c>
      <c r="U6" s="60" t="s">
        <v>1</v>
      </c>
      <c r="V6" s="60"/>
      <c r="W6" s="60" t="s">
        <v>0</v>
      </c>
      <c r="X6" s="60" t="s">
        <v>1</v>
      </c>
      <c r="Y6" s="60"/>
      <c r="Z6" s="60" t="s">
        <v>0</v>
      </c>
      <c r="AA6" s="60" t="s">
        <v>1</v>
      </c>
      <c r="AB6" s="127"/>
    </row>
    <row r="7" spans="1:29" s="12" customFormat="1" ht="14.25" x14ac:dyDescent="0.2">
      <c r="A7" s="122"/>
      <c r="B7" s="62" t="s">
        <v>2</v>
      </c>
      <c r="C7" s="62" t="s">
        <v>3</v>
      </c>
      <c r="D7" s="62"/>
      <c r="E7" s="62" t="s">
        <v>2</v>
      </c>
      <c r="F7" s="62" t="s">
        <v>3</v>
      </c>
      <c r="G7" s="62"/>
      <c r="H7" s="62" t="s">
        <v>2</v>
      </c>
      <c r="I7" s="62" t="s">
        <v>3</v>
      </c>
      <c r="J7" s="62"/>
      <c r="K7" s="62" t="s">
        <v>2</v>
      </c>
      <c r="L7" s="62" t="s">
        <v>3</v>
      </c>
      <c r="M7" s="62"/>
      <c r="N7" s="62" t="s">
        <v>2</v>
      </c>
      <c r="O7" s="62" t="s">
        <v>3</v>
      </c>
      <c r="P7" s="62"/>
      <c r="Q7" s="62" t="s">
        <v>2</v>
      </c>
      <c r="R7" s="62" t="s">
        <v>3</v>
      </c>
      <c r="S7" s="62"/>
      <c r="T7" s="62" t="s">
        <v>2</v>
      </c>
      <c r="U7" s="62" t="s">
        <v>3</v>
      </c>
      <c r="V7" s="62"/>
      <c r="W7" s="62" t="s">
        <v>2</v>
      </c>
      <c r="X7" s="62" t="s">
        <v>3</v>
      </c>
      <c r="Y7" s="62"/>
      <c r="Z7" s="62" t="s">
        <v>2</v>
      </c>
      <c r="AA7" s="62" t="s">
        <v>3</v>
      </c>
      <c r="AB7" s="128"/>
    </row>
    <row r="8" spans="1:29" s="9" customFormat="1" ht="15.75" x14ac:dyDescent="0.15">
      <c r="A8" s="4" t="s">
        <v>4</v>
      </c>
      <c r="B8" s="13">
        <f>SUM(B9:B20)</f>
        <v>0</v>
      </c>
      <c r="C8" s="13">
        <f>SUM(C9:C20)</f>
        <v>0</v>
      </c>
      <c r="D8" s="13"/>
      <c r="E8" s="13">
        <f>SUM(E9:E20)</f>
        <v>0</v>
      </c>
      <c r="F8" s="13">
        <f>SUM(F9:F20)</f>
        <v>0</v>
      </c>
      <c r="G8" s="13"/>
      <c r="H8" s="13">
        <f>SUM(H9:H20)</f>
        <v>0</v>
      </c>
      <c r="I8" s="13">
        <f>SUM(I9:I20)</f>
        <v>0</v>
      </c>
      <c r="J8" s="13"/>
      <c r="K8" s="13">
        <f>SUM(K9:K20)</f>
        <v>0</v>
      </c>
      <c r="L8" s="13">
        <f>SUM(L9:L20)</f>
        <v>0</v>
      </c>
      <c r="M8" s="13"/>
      <c r="N8" s="13">
        <f>SUM(N9:N20)</f>
        <v>0</v>
      </c>
      <c r="O8" s="13">
        <f>SUM(O9:O20)</f>
        <v>0</v>
      </c>
      <c r="P8" s="13"/>
      <c r="Q8" s="13">
        <f>SUM(Q9:Q20)</f>
        <v>0</v>
      </c>
      <c r="R8" s="13">
        <f>SUM(R9:R20)</f>
        <v>0</v>
      </c>
      <c r="S8" s="13"/>
      <c r="T8" s="13">
        <f>SUM(T9:T20)</f>
        <v>0</v>
      </c>
      <c r="U8" s="13">
        <f>SUM(U9:U20)</f>
        <v>0</v>
      </c>
      <c r="V8" s="13"/>
      <c r="W8" s="13">
        <f>SUM(W9:W20)</f>
        <v>0</v>
      </c>
      <c r="X8" s="13">
        <f>SUM(X9:X20)</f>
        <v>0</v>
      </c>
      <c r="Y8" s="14"/>
      <c r="Z8" s="13">
        <f>SUM(Z9:Z20)</f>
        <v>0</v>
      </c>
      <c r="AA8" s="13">
        <f>SUM(AA9:AA20)</f>
        <v>0</v>
      </c>
      <c r="AB8" s="64" t="s">
        <v>5</v>
      </c>
    </row>
    <row r="9" spans="1:29" s="9" customFormat="1" ht="15.75" x14ac:dyDescent="0.4">
      <c r="A9" s="5" t="s">
        <v>10</v>
      </c>
      <c r="B9" s="77"/>
      <c r="C9" s="77"/>
      <c r="D9" s="77"/>
      <c r="E9" s="78"/>
      <c r="F9" s="78"/>
      <c r="G9" s="78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9"/>
      <c r="Z9" s="79"/>
      <c r="AA9" s="79"/>
      <c r="AB9" s="66" t="s">
        <v>11</v>
      </c>
    </row>
    <row r="10" spans="1:29" s="9" customFormat="1" ht="15.75" x14ac:dyDescent="0.4">
      <c r="A10" s="5" t="s">
        <v>12</v>
      </c>
      <c r="B10" s="77"/>
      <c r="C10" s="77"/>
      <c r="D10" s="77"/>
      <c r="E10" s="78"/>
      <c r="F10" s="78"/>
      <c r="G10" s="78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9"/>
      <c r="Z10" s="79"/>
      <c r="AA10" s="79"/>
      <c r="AB10" s="66" t="s">
        <v>13</v>
      </c>
    </row>
    <row r="11" spans="1:29" s="9" customFormat="1" ht="15.75" x14ac:dyDescent="0.4">
      <c r="A11" s="5" t="s">
        <v>14</v>
      </c>
      <c r="B11" s="77"/>
      <c r="C11" s="77"/>
      <c r="D11" s="77"/>
      <c r="E11" s="78"/>
      <c r="F11" s="78"/>
      <c r="G11" s="78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9"/>
      <c r="Z11" s="79"/>
      <c r="AA11" s="79"/>
      <c r="AB11" s="66" t="s">
        <v>15</v>
      </c>
    </row>
    <row r="12" spans="1:29" s="9" customFormat="1" ht="15.75" x14ac:dyDescent="0.4">
      <c r="A12" s="5" t="s">
        <v>16</v>
      </c>
      <c r="B12" s="77"/>
      <c r="C12" s="77"/>
      <c r="D12" s="77"/>
      <c r="E12" s="78"/>
      <c r="F12" s="78"/>
      <c r="G12" s="78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9"/>
      <c r="Z12" s="79"/>
      <c r="AA12" s="79"/>
      <c r="AB12" s="66" t="s">
        <v>17</v>
      </c>
    </row>
    <row r="13" spans="1:29" s="9" customFormat="1" ht="15.75" x14ac:dyDescent="0.4">
      <c r="A13" s="5" t="s">
        <v>18</v>
      </c>
      <c r="B13" s="77"/>
      <c r="C13" s="77"/>
      <c r="D13" s="77"/>
      <c r="E13" s="78"/>
      <c r="F13" s="78"/>
      <c r="G13" s="78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9"/>
      <c r="Z13" s="79"/>
      <c r="AA13" s="79"/>
      <c r="AB13" s="66" t="s">
        <v>19</v>
      </c>
    </row>
    <row r="14" spans="1:29" s="9" customFormat="1" ht="15.75" x14ac:dyDescent="0.4">
      <c r="A14" s="5" t="s">
        <v>20</v>
      </c>
      <c r="B14" s="77"/>
      <c r="C14" s="77"/>
      <c r="D14" s="77"/>
      <c r="E14" s="78"/>
      <c r="F14" s="78"/>
      <c r="G14" s="78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66" t="s">
        <v>21</v>
      </c>
    </row>
    <row r="15" spans="1:29" s="9" customFormat="1" ht="15.75" x14ac:dyDescent="0.4">
      <c r="A15" s="5" t="s">
        <v>22</v>
      </c>
      <c r="B15" s="77"/>
      <c r="C15" s="77"/>
      <c r="D15" s="77"/>
      <c r="E15" s="78"/>
      <c r="F15" s="78"/>
      <c r="G15" s="78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9"/>
      <c r="Z15" s="79"/>
      <c r="AA15" s="79"/>
      <c r="AB15" s="66" t="s">
        <v>23</v>
      </c>
    </row>
    <row r="16" spans="1:29" s="9" customFormat="1" ht="15.75" x14ac:dyDescent="0.4">
      <c r="A16" s="5" t="s">
        <v>24</v>
      </c>
      <c r="B16" s="77"/>
      <c r="C16" s="77"/>
      <c r="D16" s="77"/>
      <c r="E16" s="78"/>
      <c r="F16" s="78"/>
      <c r="G16" s="78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9"/>
      <c r="Z16" s="79"/>
      <c r="AA16" s="79"/>
      <c r="AB16" s="66" t="s">
        <v>25</v>
      </c>
    </row>
    <row r="17" spans="1:44" s="9" customFormat="1" ht="15.75" x14ac:dyDescent="0.4">
      <c r="A17" s="5" t="s">
        <v>26</v>
      </c>
      <c r="B17" s="77"/>
      <c r="C17" s="77"/>
      <c r="D17" s="77"/>
      <c r="E17" s="78"/>
      <c r="F17" s="78"/>
      <c r="G17" s="78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9"/>
      <c r="Z17" s="79"/>
      <c r="AA17" s="79"/>
      <c r="AB17" s="66" t="s">
        <v>27</v>
      </c>
    </row>
    <row r="18" spans="1:44" s="9" customFormat="1" ht="15.75" x14ac:dyDescent="0.4">
      <c r="A18" s="5" t="s">
        <v>28</v>
      </c>
      <c r="B18" s="77"/>
      <c r="C18" s="77"/>
      <c r="D18" s="77"/>
      <c r="E18" s="78"/>
      <c r="F18" s="78"/>
      <c r="G18" s="78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9"/>
      <c r="Z18" s="79"/>
      <c r="AA18" s="79"/>
      <c r="AB18" s="66" t="s">
        <v>29</v>
      </c>
    </row>
    <row r="19" spans="1:44" s="9" customFormat="1" ht="15.75" x14ac:dyDescent="0.4">
      <c r="A19" s="5" t="s">
        <v>30</v>
      </c>
      <c r="B19" s="77"/>
      <c r="C19" s="77"/>
      <c r="D19" s="77"/>
      <c r="E19" s="78"/>
      <c r="F19" s="78"/>
      <c r="G19" s="78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9"/>
      <c r="Z19" s="79"/>
      <c r="AA19" s="79"/>
      <c r="AB19" s="66" t="s">
        <v>31</v>
      </c>
    </row>
    <row r="20" spans="1:44" s="9" customFormat="1" ht="15.75" x14ac:dyDescent="0.4">
      <c r="A20" s="61" t="s">
        <v>32</v>
      </c>
      <c r="B20" s="80"/>
      <c r="C20" s="80"/>
      <c r="D20" s="80"/>
      <c r="E20" s="81"/>
      <c r="F20" s="81"/>
      <c r="G20" s="81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2"/>
      <c r="Z20" s="82"/>
      <c r="AA20" s="82"/>
      <c r="AB20" s="67" t="s">
        <v>33</v>
      </c>
    </row>
    <row r="21" spans="1:44" ht="18.75" x14ac:dyDescent="0.25">
      <c r="A21" s="6" t="s">
        <v>6</v>
      </c>
      <c r="AB21" s="8" t="s">
        <v>7</v>
      </c>
      <c r="AO21" s="9"/>
      <c r="AP21" s="59" t="s">
        <v>2</v>
      </c>
      <c r="AQ21" s="59" t="s">
        <v>3</v>
      </c>
    </row>
    <row r="22" spans="1:44" ht="15" customHeight="1" x14ac:dyDescent="0.25">
      <c r="AN22" s="15"/>
      <c r="AO22" s="15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6"/>
      <c r="C23" s="17"/>
      <c r="D23" s="17"/>
      <c r="E23" s="17"/>
      <c r="F23" s="18"/>
      <c r="G23" s="18"/>
      <c r="R23" s="19"/>
      <c r="S23" s="19"/>
      <c r="U23" s="19"/>
      <c r="V23" s="19"/>
      <c r="X23" s="19"/>
      <c r="Y23" s="19"/>
      <c r="Z23" s="19"/>
      <c r="AA23" s="19"/>
      <c r="AB23" s="19"/>
      <c r="AE23" s="19"/>
      <c r="AM23" s="1"/>
      <c r="AN23" s="15"/>
      <c r="AO23" s="15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0"/>
      <c r="T24" s="10"/>
      <c r="W24" s="10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6"/>
      <c r="C25" s="17"/>
      <c r="D25" s="17"/>
      <c r="E25" s="17"/>
      <c r="F25" s="18"/>
      <c r="G25" s="18"/>
      <c r="R25" s="19"/>
      <c r="S25" s="19"/>
      <c r="U25" s="19"/>
      <c r="V25" s="19"/>
      <c r="X25" s="19"/>
      <c r="Y25" s="19"/>
      <c r="Z25" s="19"/>
      <c r="AA25" s="19"/>
      <c r="AB25" s="19"/>
      <c r="AE25" s="1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0"/>
      <c r="T26" s="10"/>
      <c r="W26" s="10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7"/>
      <c r="E29" s="17"/>
      <c r="F29" s="18"/>
      <c r="G29" s="1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4" customFormat="1" ht="21.75" customHeight="1" x14ac:dyDescent="0.55000000000000004">
      <c r="A44" s="129" t="s">
        <v>8</v>
      </c>
      <c r="B44" s="85"/>
      <c r="D44" s="86"/>
      <c r="F44" s="86"/>
      <c r="G44" s="132" t="s">
        <v>34</v>
      </c>
      <c r="H44" s="133"/>
      <c r="I44" s="133"/>
      <c r="J44" s="133"/>
      <c r="K44" s="134"/>
      <c r="L44" s="72"/>
      <c r="M44" s="87"/>
      <c r="N44" s="72"/>
      <c r="O44" s="87"/>
      <c r="P44" s="135" t="s">
        <v>35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86"/>
      <c r="AC44" s="137" t="s">
        <v>36</v>
      </c>
      <c r="AD44" s="138"/>
      <c r="AE44" s="138"/>
      <c r="AF44" s="138"/>
      <c r="AG44" s="138"/>
      <c r="AH44" s="138"/>
      <c r="AI44" s="138"/>
      <c r="AJ44" s="138"/>
      <c r="AK44" s="71"/>
      <c r="AL44" s="137" t="s">
        <v>37</v>
      </c>
      <c r="AM44" s="138"/>
      <c r="AN44" s="138"/>
      <c r="AO44" s="138"/>
      <c r="AP44" s="138"/>
      <c r="AQ44" s="138"/>
      <c r="AR44" s="138"/>
      <c r="AS44" s="71"/>
      <c r="AT44" s="137" t="s">
        <v>38</v>
      </c>
      <c r="AU44" s="138"/>
      <c r="AV44" s="138"/>
      <c r="AW44" s="138"/>
      <c r="AX44" s="138"/>
      <c r="AY44" s="83"/>
      <c r="AZ44" s="71"/>
      <c r="BA44" s="137" t="s">
        <v>39</v>
      </c>
      <c r="BB44" s="138"/>
      <c r="BC44" s="138"/>
      <c r="BD44" s="138"/>
      <c r="BE44" s="155"/>
      <c r="BF44" s="70"/>
      <c r="BG44" s="156" t="s">
        <v>40</v>
      </c>
      <c r="BH44" s="157"/>
      <c r="BI44" s="157"/>
      <c r="BJ44" s="157"/>
      <c r="BK44" s="158"/>
      <c r="BL44" s="137" t="s">
        <v>41</v>
      </c>
      <c r="BM44" s="138"/>
      <c r="BN44" s="138"/>
      <c r="BO44" s="138"/>
      <c r="BP44" s="155"/>
      <c r="BQ44" s="137" t="s">
        <v>42</v>
      </c>
      <c r="BR44" s="138"/>
      <c r="BS44" s="138"/>
      <c r="BT44" s="139" t="s">
        <v>9</v>
      </c>
    </row>
    <row r="45" spans="1:80" s="75" customFormat="1" ht="16.5" customHeight="1" x14ac:dyDescent="0.25">
      <c r="A45" s="130"/>
      <c r="B45" s="88"/>
      <c r="D45" s="89"/>
      <c r="F45" s="89"/>
      <c r="G45" s="142" t="s">
        <v>43</v>
      </c>
      <c r="H45" s="143"/>
      <c r="I45" s="143"/>
      <c r="J45" s="143"/>
      <c r="K45" s="144"/>
      <c r="M45" s="89"/>
      <c r="O45" s="89"/>
      <c r="P45" s="145" t="s">
        <v>44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89"/>
      <c r="AC45" s="147" t="s">
        <v>61</v>
      </c>
      <c r="AD45" s="148"/>
      <c r="AE45" s="148"/>
      <c r="AF45" s="148"/>
      <c r="AG45" s="148"/>
      <c r="AH45" s="148"/>
      <c r="AI45" s="148"/>
      <c r="AJ45" s="148"/>
      <c r="AK45" s="76"/>
      <c r="AL45" s="147" t="s">
        <v>62</v>
      </c>
      <c r="AM45" s="148"/>
      <c r="AN45" s="148"/>
      <c r="AO45" s="148"/>
      <c r="AP45" s="148"/>
      <c r="AQ45" s="148"/>
      <c r="AR45" s="148"/>
      <c r="AS45" s="76"/>
      <c r="AT45" s="147" t="s">
        <v>63</v>
      </c>
      <c r="AU45" s="148"/>
      <c r="AV45" s="148"/>
      <c r="AW45" s="148"/>
      <c r="AX45" s="148"/>
      <c r="AY45" s="84"/>
      <c r="AZ45" s="76"/>
      <c r="BA45" s="149" t="s">
        <v>64</v>
      </c>
      <c r="BB45" s="150"/>
      <c r="BC45" s="150"/>
      <c r="BD45" s="150"/>
      <c r="BE45" s="151"/>
      <c r="BG45" s="152" t="s">
        <v>65</v>
      </c>
      <c r="BH45" s="153"/>
      <c r="BI45" s="153"/>
      <c r="BJ45" s="153"/>
      <c r="BK45" s="154"/>
      <c r="BL45" s="149" t="s">
        <v>66</v>
      </c>
      <c r="BM45" s="150"/>
      <c r="BN45" s="150"/>
      <c r="BO45" s="150"/>
      <c r="BP45" s="151"/>
      <c r="BQ45" s="149" t="s">
        <v>67</v>
      </c>
      <c r="BR45" s="150"/>
      <c r="BS45" s="150"/>
      <c r="BT45" s="140"/>
    </row>
    <row r="46" spans="1:80" ht="23.25" customHeight="1" x14ac:dyDescent="0.25">
      <c r="A46" s="131"/>
      <c r="B46" s="90"/>
      <c r="C46" s="91">
        <v>2011</v>
      </c>
      <c r="D46" s="91">
        <v>2012</v>
      </c>
      <c r="E46" s="92">
        <v>2013</v>
      </c>
      <c r="F46" s="93">
        <v>2014</v>
      </c>
      <c r="G46" s="94">
        <v>2015</v>
      </c>
      <c r="H46" s="95">
        <v>2016</v>
      </c>
      <c r="I46" s="96">
        <v>2017</v>
      </c>
      <c r="J46" s="96">
        <v>2018</v>
      </c>
      <c r="K46" s="96">
        <v>2019</v>
      </c>
      <c r="L46" s="97">
        <v>2011</v>
      </c>
      <c r="M46" s="97">
        <v>2012</v>
      </c>
      <c r="N46" s="97">
        <v>2013</v>
      </c>
      <c r="O46" s="96">
        <v>2014</v>
      </c>
      <c r="P46" s="94">
        <v>2015</v>
      </c>
      <c r="Q46" s="96">
        <v>2016</v>
      </c>
      <c r="R46" s="97">
        <v>2011</v>
      </c>
      <c r="S46" s="97">
        <v>2012</v>
      </c>
      <c r="T46" s="96">
        <v>2013</v>
      </c>
      <c r="U46" s="96">
        <v>2014</v>
      </c>
      <c r="V46" s="97">
        <v>2011</v>
      </c>
      <c r="W46" s="97">
        <v>2012</v>
      </c>
      <c r="X46" s="96">
        <v>2013</v>
      </c>
      <c r="Y46" s="96">
        <v>2017</v>
      </c>
      <c r="Z46" s="96">
        <v>2018</v>
      </c>
      <c r="AA46" s="98">
        <v>2019</v>
      </c>
      <c r="AB46" s="96">
        <v>2014</v>
      </c>
      <c r="AC46" s="24">
        <v>2015</v>
      </c>
      <c r="AD46" s="24">
        <v>2016</v>
      </c>
      <c r="AE46" s="63">
        <v>2011</v>
      </c>
      <c r="AF46" s="63">
        <v>2012</v>
      </c>
      <c r="AG46" s="63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3">
        <v>2012</v>
      </c>
      <c r="AQ46" s="63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3">
        <v>2013</v>
      </c>
      <c r="AW46" s="24">
        <v>2017</v>
      </c>
      <c r="AX46" s="24">
        <v>2018</v>
      </c>
      <c r="AY46" s="24">
        <v>2019</v>
      </c>
      <c r="AZ46" s="63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3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1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8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66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66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66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66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66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66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66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66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66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66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66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7" t="s">
        <v>33</v>
      </c>
    </row>
    <row r="60" spans="1:80" ht="18.75" x14ac:dyDescent="0.25">
      <c r="A60" s="6" t="s">
        <v>6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5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L54"/>
  <sheetViews>
    <sheetView tabSelected="1" zoomScale="98" zoomScaleNormal="98" workbookViewId="0">
      <selection activeCell="AW32" sqref="AW32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14" width="8.140625" style="1" customWidth="1"/>
    <col min="15" max="18" width="8.28515625" style="1" hidden="1" customWidth="1"/>
    <col min="19" max="26" width="8.28515625" style="1" customWidth="1"/>
    <col min="27" max="29" width="8.28515625" style="1" hidden="1" customWidth="1"/>
    <col min="30" max="30" width="7.85546875" style="1" hidden="1" customWidth="1"/>
    <col min="31" max="32" width="7.85546875" style="1" customWidth="1"/>
    <col min="33" max="34" width="7.7109375" style="1" customWidth="1"/>
    <col min="35" max="35" width="7.140625" style="1" customWidth="1"/>
    <col min="36" max="38" width="7.7109375" style="1" customWidth="1"/>
    <col min="39" max="42" width="7.7109375" style="1" hidden="1" customWidth="1"/>
    <col min="43" max="50" width="7.7109375" style="1" customWidth="1"/>
    <col min="51" max="53" width="7" style="1" hidden="1" customWidth="1"/>
    <col min="54" max="61" width="7" style="1" customWidth="1"/>
    <col min="62" max="62" width="8.28515625" style="1" hidden="1" customWidth="1"/>
    <col min="63" max="70" width="8.28515625" style="1" customWidth="1"/>
    <col min="71" max="71" width="8.28515625" style="1" hidden="1" customWidth="1"/>
    <col min="72" max="87" width="8.28515625" style="1" customWidth="1"/>
    <col min="88" max="107" width="9.85546875" style="1" customWidth="1"/>
    <col min="108" max="108" width="12.28515625" style="1" customWidth="1"/>
    <col min="109" max="109" width="19" style="1" customWidth="1"/>
    <col min="110" max="110" width="45.28515625" style="1" customWidth="1"/>
    <col min="111" max="16384" width="9.140625" style="1"/>
  </cols>
  <sheetData>
    <row r="1" spans="1:116" ht="19.5" x14ac:dyDescent="0.25">
      <c r="A1" s="117" t="s">
        <v>75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20"/>
      <c r="DF1" s="20"/>
    </row>
    <row r="2" spans="1:116" ht="15" customHeight="1" x14ac:dyDescent="0.25">
      <c r="A2" s="119" t="s">
        <v>76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3"/>
      <c r="DF2" s="3"/>
    </row>
    <row r="3" spans="1:116" ht="7.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</row>
    <row r="4" spans="1:116" s="74" customFormat="1" ht="21.75" customHeight="1" x14ac:dyDescent="0.55000000000000004">
      <c r="A4" s="129" t="s">
        <v>8</v>
      </c>
      <c r="B4" s="73"/>
      <c r="C4" s="168" t="s">
        <v>34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70"/>
      <c r="O4" s="169" t="s">
        <v>35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70"/>
      <c r="AA4" s="161" t="s">
        <v>36</v>
      </c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62"/>
      <c r="AM4" s="161" t="s">
        <v>37</v>
      </c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7" t="s">
        <v>38</v>
      </c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7" t="s">
        <v>39</v>
      </c>
      <c r="BK4" s="138"/>
      <c r="BL4" s="138"/>
      <c r="BM4" s="138"/>
      <c r="BN4" s="138"/>
      <c r="BO4" s="138"/>
      <c r="BP4" s="138"/>
      <c r="BQ4" s="138"/>
      <c r="BR4" s="155"/>
      <c r="BS4" s="70"/>
      <c r="BT4" s="137" t="s">
        <v>40</v>
      </c>
      <c r="BU4" s="138"/>
      <c r="BV4" s="138"/>
      <c r="BW4" s="138"/>
      <c r="BX4" s="138"/>
      <c r="BY4" s="138"/>
      <c r="BZ4" s="138"/>
      <c r="CA4" s="155"/>
      <c r="CB4" s="137" t="s">
        <v>41</v>
      </c>
      <c r="CC4" s="138"/>
      <c r="CD4" s="138"/>
      <c r="CE4" s="138"/>
      <c r="CF4" s="138"/>
      <c r="CG4" s="138"/>
      <c r="CH4" s="138"/>
      <c r="CI4" s="155"/>
      <c r="CJ4" s="137" t="s">
        <v>42</v>
      </c>
      <c r="CK4" s="138"/>
      <c r="CL4" s="138"/>
      <c r="CM4" s="138"/>
      <c r="CN4" s="138"/>
      <c r="CO4" s="138"/>
      <c r="CP4" s="137"/>
      <c r="CQ4" s="138"/>
      <c r="CR4" s="138"/>
      <c r="CS4" s="137"/>
      <c r="CT4" s="138"/>
      <c r="CU4" s="138"/>
      <c r="CV4" s="138"/>
      <c r="CW4" s="138"/>
      <c r="CX4" s="138"/>
      <c r="CY4" s="138"/>
      <c r="CZ4" s="138"/>
      <c r="DA4" s="138"/>
      <c r="DB4" s="138"/>
      <c r="DC4" s="83"/>
      <c r="DD4" s="139" t="s">
        <v>9</v>
      </c>
    </row>
    <row r="5" spans="1:116" s="75" customFormat="1" ht="16.5" customHeight="1" x14ac:dyDescent="0.25">
      <c r="A5" s="130"/>
      <c r="B5" s="113"/>
      <c r="C5" s="166" t="s">
        <v>43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67"/>
      <c r="O5" s="150" t="s">
        <v>44</v>
      </c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67"/>
      <c r="AA5" s="163" t="s">
        <v>61</v>
      </c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64"/>
      <c r="AM5" s="165" t="s">
        <v>62</v>
      </c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49" t="s">
        <v>63</v>
      </c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49" t="s">
        <v>64</v>
      </c>
      <c r="BK5" s="150"/>
      <c r="BL5" s="150"/>
      <c r="BM5" s="150"/>
      <c r="BN5" s="150"/>
      <c r="BO5" s="150"/>
      <c r="BP5" s="150"/>
      <c r="BQ5" s="150"/>
      <c r="BR5" s="151"/>
      <c r="BT5" s="149" t="s">
        <v>65</v>
      </c>
      <c r="BU5" s="150"/>
      <c r="BV5" s="150"/>
      <c r="BW5" s="150"/>
      <c r="BX5" s="150"/>
      <c r="BY5" s="150"/>
      <c r="BZ5" s="150"/>
      <c r="CA5" s="151"/>
      <c r="CB5" s="149" t="s">
        <v>66</v>
      </c>
      <c r="CC5" s="150"/>
      <c r="CD5" s="150"/>
      <c r="CE5" s="150"/>
      <c r="CF5" s="150"/>
      <c r="CG5" s="150"/>
      <c r="CH5" s="150"/>
      <c r="CI5" s="151"/>
      <c r="CJ5" s="149" t="s">
        <v>67</v>
      </c>
      <c r="CK5" s="150"/>
      <c r="CL5" s="150"/>
      <c r="CM5" s="150"/>
      <c r="CN5" s="150"/>
      <c r="CO5" s="150"/>
      <c r="CP5" s="149" t="s">
        <v>70</v>
      </c>
      <c r="CQ5" s="150"/>
      <c r="CR5" s="150"/>
      <c r="CS5" s="149" t="s">
        <v>71</v>
      </c>
      <c r="CT5" s="150"/>
      <c r="CU5" s="150"/>
      <c r="CV5" s="150" t="s">
        <v>72</v>
      </c>
      <c r="CW5" s="150"/>
      <c r="CX5" s="150"/>
      <c r="CY5" s="150"/>
      <c r="CZ5" s="150" t="s">
        <v>73</v>
      </c>
      <c r="DA5" s="150"/>
      <c r="DB5" s="150"/>
      <c r="DC5" s="114" t="s">
        <v>74</v>
      </c>
      <c r="DD5" s="140"/>
    </row>
    <row r="6" spans="1:116" ht="23.25" customHeight="1" x14ac:dyDescent="0.25">
      <c r="A6" s="131"/>
      <c r="B6" s="110"/>
      <c r="C6" s="103">
        <v>2011</v>
      </c>
      <c r="D6" s="63">
        <v>2012</v>
      </c>
      <c r="E6" s="24">
        <v>2013</v>
      </c>
      <c r="F6" s="24">
        <v>2014</v>
      </c>
      <c r="G6" s="24">
        <v>2015</v>
      </c>
      <c r="H6" s="24">
        <v>2016</v>
      </c>
      <c r="I6" s="24">
        <v>2017</v>
      </c>
      <c r="J6" s="24">
        <v>2018</v>
      </c>
      <c r="K6" s="24">
        <v>2019</v>
      </c>
      <c r="L6" s="24">
        <v>2020</v>
      </c>
      <c r="M6" s="24">
        <v>2021</v>
      </c>
      <c r="N6" s="99">
        <v>2022</v>
      </c>
      <c r="O6" s="63">
        <v>2011</v>
      </c>
      <c r="P6" s="63">
        <v>2012</v>
      </c>
      <c r="Q6" s="24">
        <v>2013</v>
      </c>
      <c r="R6" s="24">
        <v>2014</v>
      </c>
      <c r="S6" s="24">
        <v>2015</v>
      </c>
      <c r="T6" s="24">
        <v>2016</v>
      </c>
      <c r="U6" s="24">
        <v>2017</v>
      </c>
      <c r="V6" s="24">
        <v>2018</v>
      </c>
      <c r="W6" s="24">
        <v>2019</v>
      </c>
      <c r="X6" s="24">
        <v>2020</v>
      </c>
      <c r="Y6" s="24">
        <v>2021</v>
      </c>
      <c r="Z6" s="99">
        <v>2022</v>
      </c>
      <c r="AA6" s="101">
        <v>2011</v>
      </c>
      <c r="AB6" s="24">
        <v>2012</v>
      </c>
      <c r="AC6" s="24">
        <v>2013</v>
      </c>
      <c r="AD6" s="24">
        <v>2014</v>
      </c>
      <c r="AE6" s="24">
        <v>2015</v>
      </c>
      <c r="AF6" s="24">
        <v>2016</v>
      </c>
      <c r="AG6" s="24">
        <v>2017</v>
      </c>
      <c r="AH6" s="24">
        <v>2018</v>
      </c>
      <c r="AI6" s="24">
        <v>2019</v>
      </c>
      <c r="AJ6" s="24">
        <v>2020</v>
      </c>
      <c r="AK6" s="24">
        <v>2021</v>
      </c>
      <c r="AL6" s="99">
        <v>2022</v>
      </c>
      <c r="AM6" s="101">
        <v>2011</v>
      </c>
      <c r="AN6" s="24">
        <v>2012</v>
      </c>
      <c r="AO6" s="24">
        <v>2013</v>
      </c>
      <c r="AP6" s="24">
        <v>2014</v>
      </c>
      <c r="AQ6" s="24">
        <v>2015</v>
      </c>
      <c r="AR6" s="24">
        <v>2016</v>
      </c>
      <c r="AS6" s="24">
        <v>2017</v>
      </c>
      <c r="AT6" s="24">
        <v>2018</v>
      </c>
      <c r="AU6" s="24">
        <v>2019</v>
      </c>
      <c r="AV6" s="24">
        <v>2020</v>
      </c>
      <c r="AW6" s="24">
        <v>2021</v>
      </c>
      <c r="AX6" s="99">
        <v>2022</v>
      </c>
      <c r="AY6" s="101">
        <v>2012</v>
      </c>
      <c r="AZ6" s="24">
        <v>2013</v>
      </c>
      <c r="BA6" s="24">
        <v>2014</v>
      </c>
      <c r="BB6" s="24">
        <v>2015</v>
      </c>
      <c r="BC6" s="24">
        <v>2016</v>
      </c>
      <c r="BD6" s="24">
        <v>2017</v>
      </c>
      <c r="BE6" s="24">
        <v>2018</v>
      </c>
      <c r="BF6" s="24">
        <v>2019</v>
      </c>
      <c r="BG6" s="24">
        <v>2020</v>
      </c>
      <c r="BH6" s="24">
        <v>2021</v>
      </c>
      <c r="BI6" s="99">
        <v>2022</v>
      </c>
      <c r="BJ6" s="63">
        <v>2014</v>
      </c>
      <c r="BK6" s="63">
        <v>2015</v>
      </c>
      <c r="BL6" s="63">
        <v>2016</v>
      </c>
      <c r="BM6" s="63">
        <v>2017</v>
      </c>
      <c r="BN6" s="63">
        <v>2018</v>
      </c>
      <c r="BO6" s="63">
        <v>2019</v>
      </c>
      <c r="BP6" s="63">
        <v>2020</v>
      </c>
      <c r="BQ6" s="24">
        <v>2021</v>
      </c>
      <c r="BR6" s="99">
        <v>2022</v>
      </c>
      <c r="BS6" s="63">
        <v>2014</v>
      </c>
      <c r="BT6" s="23">
        <v>2015</v>
      </c>
      <c r="BU6" s="24">
        <v>2016</v>
      </c>
      <c r="BV6" s="24">
        <v>2017</v>
      </c>
      <c r="BW6" s="24">
        <v>2018</v>
      </c>
      <c r="BX6" s="24">
        <v>2019</v>
      </c>
      <c r="BY6" s="24">
        <v>2020</v>
      </c>
      <c r="BZ6" s="24">
        <v>2021</v>
      </c>
      <c r="CA6" s="25">
        <v>2022</v>
      </c>
      <c r="CB6" s="26">
        <v>2015</v>
      </c>
      <c r="CC6" s="24">
        <v>2016</v>
      </c>
      <c r="CD6" s="24">
        <v>2017</v>
      </c>
      <c r="CE6" s="24">
        <v>2018</v>
      </c>
      <c r="CF6" s="24">
        <v>2019</v>
      </c>
      <c r="CG6" s="24">
        <v>2020</v>
      </c>
      <c r="CH6" s="24">
        <v>2021</v>
      </c>
      <c r="CI6" s="99">
        <v>2022</v>
      </c>
      <c r="CJ6" s="26">
        <v>2017</v>
      </c>
      <c r="CK6" s="63">
        <v>2018</v>
      </c>
      <c r="CL6" s="63">
        <v>2019</v>
      </c>
      <c r="CM6" s="63">
        <v>2020</v>
      </c>
      <c r="CN6" s="63">
        <v>2021</v>
      </c>
      <c r="CO6" s="24">
        <v>2022</v>
      </c>
      <c r="CP6" s="26">
        <v>2020</v>
      </c>
      <c r="CQ6" s="63">
        <v>2021</v>
      </c>
      <c r="CR6" s="63">
        <v>2022</v>
      </c>
      <c r="CS6" s="26">
        <v>2020</v>
      </c>
      <c r="CT6" s="63">
        <v>2021</v>
      </c>
      <c r="CU6" s="63">
        <v>2022</v>
      </c>
      <c r="CV6" s="63">
        <v>2019</v>
      </c>
      <c r="CW6" s="63">
        <v>2020</v>
      </c>
      <c r="CX6" s="63">
        <v>2021</v>
      </c>
      <c r="CY6" s="24">
        <v>2022</v>
      </c>
      <c r="CZ6" s="63">
        <v>2020</v>
      </c>
      <c r="DA6" s="63">
        <v>2021</v>
      </c>
      <c r="DB6" s="24">
        <v>2022</v>
      </c>
      <c r="DC6" s="24">
        <v>2022</v>
      </c>
      <c r="DD6" s="141"/>
      <c r="DE6" s="2"/>
    </row>
    <row r="7" spans="1:116" ht="23.25" customHeight="1" x14ac:dyDescent="0.4">
      <c r="A7" s="27" t="s">
        <v>4</v>
      </c>
      <c r="B7" s="27"/>
      <c r="C7" s="29">
        <f t="shared" ref="C7:BJ7" si="0">SUM(C8:C19)</f>
        <v>1542</v>
      </c>
      <c r="D7" s="32">
        <f t="shared" si="0"/>
        <v>1816</v>
      </c>
      <c r="E7" s="32">
        <f t="shared" si="0"/>
        <v>2310</v>
      </c>
      <c r="F7" s="32">
        <f t="shared" si="0"/>
        <v>2220</v>
      </c>
      <c r="G7" s="32">
        <f t="shared" si="0"/>
        <v>2088</v>
      </c>
      <c r="H7" s="32">
        <f t="shared" si="0"/>
        <v>2392</v>
      </c>
      <c r="I7" s="32">
        <f t="shared" si="0"/>
        <v>2619</v>
      </c>
      <c r="J7" s="32">
        <f t="shared" si="0"/>
        <v>2559</v>
      </c>
      <c r="K7" s="32">
        <f t="shared" si="0"/>
        <v>2583</v>
      </c>
      <c r="L7" s="32">
        <f t="shared" ref="L7:M7" si="1">SUM(L8:L19)</f>
        <v>1196</v>
      </c>
      <c r="M7" s="32">
        <f t="shared" si="1"/>
        <v>2044</v>
      </c>
      <c r="N7" s="100">
        <f t="shared" si="0"/>
        <v>2801</v>
      </c>
      <c r="O7" s="32">
        <f t="shared" si="0"/>
        <v>3226</v>
      </c>
      <c r="P7" s="32">
        <f t="shared" si="0"/>
        <v>3982</v>
      </c>
      <c r="Q7" s="32">
        <f t="shared" si="0"/>
        <v>4121</v>
      </c>
      <c r="R7" s="32">
        <f t="shared" si="0"/>
        <v>4410</v>
      </c>
      <c r="S7" s="32">
        <f>SUM(S8:S19)</f>
        <v>4290</v>
      </c>
      <c r="T7" s="32">
        <f t="shared" ref="T7" si="2">SUM(T8:T19)</f>
        <v>4978</v>
      </c>
      <c r="U7" s="32">
        <f>SUM(U8:U19)</f>
        <v>5182</v>
      </c>
      <c r="V7" s="32">
        <f>SUM(V8:V19)</f>
        <v>4726</v>
      </c>
      <c r="W7" s="32">
        <f>SUM(W8:W19)</f>
        <v>4794</v>
      </c>
      <c r="X7" s="32">
        <f t="shared" ref="X7:Z7" si="3">SUM(X8:X19)</f>
        <v>1742</v>
      </c>
      <c r="Y7" s="32">
        <f t="shared" si="3"/>
        <v>3472</v>
      </c>
      <c r="Z7" s="100">
        <f t="shared" si="3"/>
        <v>4430</v>
      </c>
      <c r="AA7" s="102">
        <f>SUM(AA8:AA19)</f>
        <v>262</v>
      </c>
      <c r="AB7" s="32">
        <f>SUM(AB8:AB19)</f>
        <v>710</v>
      </c>
      <c r="AC7" s="32">
        <f>SUM(AC8:AC19)</f>
        <v>2432</v>
      </c>
      <c r="AD7" s="32">
        <f t="shared" ref="AD7" si="4">SUM(AD8:AD19)</f>
        <v>2774</v>
      </c>
      <c r="AE7" s="32">
        <f>SUM(AE8:AE19)</f>
        <v>2155</v>
      </c>
      <c r="AF7" s="32">
        <f t="shared" ref="AF7" si="5">SUM(AF8:AF19)</f>
        <v>1998</v>
      </c>
      <c r="AG7" s="32">
        <f t="shared" ref="AG7:AO7" si="6">SUM(AG8:AG19)</f>
        <v>1845</v>
      </c>
      <c r="AH7" s="32">
        <f t="shared" si="6"/>
        <v>1835</v>
      </c>
      <c r="AI7" s="32">
        <f t="shared" si="6"/>
        <v>2485</v>
      </c>
      <c r="AJ7" s="32">
        <f t="shared" ref="AJ7:AL7" si="7">SUM(AJ8:AJ19)</f>
        <v>1438</v>
      </c>
      <c r="AK7" s="32">
        <f t="shared" si="7"/>
        <v>2201</v>
      </c>
      <c r="AL7" s="100">
        <f t="shared" si="7"/>
        <v>1805</v>
      </c>
      <c r="AM7" s="102">
        <f t="shared" si="6"/>
        <v>769</v>
      </c>
      <c r="AN7" s="32">
        <f t="shared" si="6"/>
        <v>3315</v>
      </c>
      <c r="AO7" s="32">
        <f t="shared" si="6"/>
        <v>4519</v>
      </c>
      <c r="AP7" s="54">
        <f t="shared" ref="AP7" si="8">SUM(AP8:AP19)</f>
        <v>0</v>
      </c>
      <c r="AQ7" s="54">
        <f>SUM(AQ8:AQ19)</f>
        <v>0</v>
      </c>
      <c r="AR7" s="54">
        <f t="shared" ref="AR7" si="9">SUM(AR8:AR19)</f>
        <v>0</v>
      </c>
      <c r="AS7" s="54">
        <f>SUM(AS8:AS19)</f>
        <v>0</v>
      </c>
      <c r="AT7" s="32">
        <f>SUM(AT8:AT19)</f>
        <v>4824</v>
      </c>
      <c r="AU7" s="32">
        <f>SUM(AU8:AU19)</f>
        <v>4798</v>
      </c>
      <c r="AV7" s="32">
        <f>SUM(AV8:AV19)</f>
        <v>1229</v>
      </c>
      <c r="AW7" s="32">
        <f t="shared" ref="AW7:AX7" si="10">SUM(AW8:AW19)</f>
        <v>2500</v>
      </c>
      <c r="AX7" s="100">
        <f t="shared" si="10"/>
        <v>3185</v>
      </c>
      <c r="AY7" s="102">
        <f t="shared" si="0"/>
        <v>173</v>
      </c>
      <c r="AZ7" s="32">
        <f t="shared" si="0"/>
        <v>3515</v>
      </c>
      <c r="BA7" s="54">
        <f t="shared" si="0"/>
        <v>4248</v>
      </c>
      <c r="BB7" s="54">
        <f>SUM(BB8:BB19)</f>
        <v>3934</v>
      </c>
      <c r="BC7" s="54">
        <f t="shared" ref="BC7:BF7" si="11">SUM(BC8:BC19)</f>
        <v>3870</v>
      </c>
      <c r="BD7" s="54">
        <f t="shared" si="0"/>
        <v>4198</v>
      </c>
      <c r="BE7" s="32">
        <f t="shared" si="11"/>
        <v>4532</v>
      </c>
      <c r="BF7" s="32">
        <f t="shared" si="11"/>
        <v>5159</v>
      </c>
      <c r="BG7" s="32">
        <f t="shared" ref="BG7:BI7" si="12">SUM(BG8:BG19)</f>
        <v>1350</v>
      </c>
      <c r="BH7" s="32">
        <f t="shared" si="12"/>
        <v>1553</v>
      </c>
      <c r="BI7" s="100">
        <f t="shared" si="12"/>
        <v>2138</v>
      </c>
      <c r="BJ7" s="32">
        <f t="shared" si="0"/>
        <v>2076</v>
      </c>
      <c r="BK7" s="32">
        <f>SUM(BK8:BK19)</f>
        <v>1988</v>
      </c>
      <c r="BL7" s="32">
        <f t="shared" ref="BL7:BS7" si="13">SUM(BL8:BL19)</f>
        <v>1916</v>
      </c>
      <c r="BM7" s="32">
        <f t="shared" si="13"/>
        <v>1916</v>
      </c>
      <c r="BN7" s="32">
        <f t="shared" si="13"/>
        <v>1975</v>
      </c>
      <c r="BO7" s="32">
        <f t="shared" si="13"/>
        <v>2043</v>
      </c>
      <c r="BP7" s="32">
        <f>SUM(BP8:BP19)</f>
        <v>1082</v>
      </c>
      <c r="BQ7" s="32">
        <f t="shared" ref="BQ7:BR7" si="14">SUM(BQ8:BQ19)</f>
        <v>1833</v>
      </c>
      <c r="BR7" s="100">
        <f t="shared" si="14"/>
        <v>2592</v>
      </c>
      <c r="BS7" s="32">
        <f t="shared" si="13"/>
        <v>826</v>
      </c>
      <c r="BT7" s="30">
        <f>SUM(BT8:BT19)</f>
        <v>331</v>
      </c>
      <c r="BU7" s="32">
        <f t="shared" ref="BU7:BX7" si="15">SUM(BU8:BU19)</f>
        <v>269</v>
      </c>
      <c r="BV7" s="32">
        <f t="shared" si="15"/>
        <v>245</v>
      </c>
      <c r="BW7" s="32">
        <f t="shared" si="15"/>
        <v>246</v>
      </c>
      <c r="BX7" s="32">
        <f t="shared" si="15"/>
        <v>241</v>
      </c>
      <c r="BY7" s="32">
        <f t="shared" ref="BY7:CA7" si="16">SUM(BY8:BY19)</f>
        <v>172</v>
      </c>
      <c r="BZ7" s="32">
        <f t="shared" si="16"/>
        <v>146</v>
      </c>
      <c r="CA7" s="33">
        <f t="shared" si="16"/>
        <v>244</v>
      </c>
      <c r="CB7" s="30">
        <f>SUM(CB8:CB19)</f>
        <v>552</v>
      </c>
      <c r="CC7" s="32">
        <f t="shared" ref="CC7:CL7" si="17">SUM(CC8:CC19)</f>
        <v>1475</v>
      </c>
      <c r="CD7" s="32">
        <f t="shared" si="17"/>
        <v>1911</v>
      </c>
      <c r="CE7" s="32">
        <f t="shared" si="17"/>
        <v>1898</v>
      </c>
      <c r="CF7" s="32">
        <f t="shared" si="17"/>
        <v>1940</v>
      </c>
      <c r="CG7" s="32">
        <f t="shared" ref="CG7:CI7" si="18">SUM(CG8:CG19)</f>
        <v>474</v>
      </c>
      <c r="CH7" s="32">
        <f t="shared" si="18"/>
        <v>469</v>
      </c>
      <c r="CI7" s="100">
        <f t="shared" si="18"/>
        <v>839</v>
      </c>
      <c r="CJ7" s="30">
        <f t="shared" si="17"/>
        <v>488</v>
      </c>
      <c r="CK7" s="34">
        <f t="shared" si="17"/>
        <v>1941</v>
      </c>
      <c r="CL7" s="34">
        <f t="shared" si="17"/>
        <v>2224</v>
      </c>
      <c r="CM7" s="34">
        <f t="shared" ref="CM7:CU7" si="19">SUM(CM8:CM19)</f>
        <v>896</v>
      </c>
      <c r="CN7" s="32">
        <f t="shared" si="19"/>
        <v>3524</v>
      </c>
      <c r="CO7" s="32">
        <f t="shared" si="19"/>
        <v>3054</v>
      </c>
      <c r="CP7" s="34">
        <f t="shared" si="19"/>
        <v>206</v>
      </c>
      <c r="CQ7" s="34">
        <f t="shared" si="19"/>
        <v>843</v>
      </c>
      <c r="CR7" s="34">
        <f t="shared" si="19"/>
        <v>735</v>
      </c>
      <c r="CS7" s="34">
        <f t="shared" si="19"/>
        <v>172</v>
      </c>
      <c r="CT7" s="34">
        <f t="shared" si="19"/>
        <v>198</v>
      </c>
      <c r="CU7" s="34">
        <f t="shared" si="19"/>
        <v>304</v>
      </c>
      <c r="CV7" s="34">
        <f t="shared" ref="CV7:CY7" si="20">SUM(CV8:CV19)</f>
        <v>208</v>
      </c>
      <c r="CW7" s="34">
        <f t="shared" si="20"/>
        <v>199</v>
      </c>
      <c r="CX7" s="32">
        <f t="shared" si="20"/>
        <v>550</v>
      </c>
      <c r="CY7" s="32">
        <f t="shared" si="20"/>
        <v>734</v>
      </c>
      <c r="CZ7" s="34">
        <f t="shared" ref="CZ7:DB7" si="21">SUM(CZ8:CZ19)</f>
        <v>44</v>
      </c>
      <c r="DA7" s="32">
        <f t="shared" si="21"/>
        <v>307</v>
      </c>
      <c r="DB7" s="32">
        <f t="shared" si="21"/>
        <v>599</v>
      </c>
      <c r="DC7" s="32">
        <f t="shared" ref="DC7" si="22">SUM(DC8:DC19)</f>
        <v>785</v>
      </c>
      <c r="DD7" s="68" t="s">
        <v>5</v>
      </c>
    </row>
    <row r="8" spans="1:116" ht="23.25" customHeight="1" x14ac:dyDescent="0.4">
      <c r="A8" s="57" t="s">
        <v>10</v>
      </c>
      <c r="B8" s="35"/>
      <c r="C8" s="104">
        <v>87</v>
      </c>
      <c r="D8" s="41">
        <v>140</v>
      </c>
      <c r="E8" s="41">
        <v>189</v>
      </c>
      <c r="F8" s="40">
        <v>215</v>
      </c>
      <c r="G8" s="40">
        <v>166</v>
      </c>
      <c r="H8" s="40">
        <v>174</v>
      </c>
      <c r="I8" s="40">
        <v>199</v>
      </c>
      <c r="J8" s="40">
        <v>264</v>
      </c>
      <c r="K8" s="40">
        <v>232</v>
      </c>
      <c r="L8" s="40">
        <v>217</v>
      </c>
      <c r="M8" s="40">
        <v>176</v>
      </c>
      <c r="N8" s="115">
        <v>244</v>
      </c>
      <c r="O8" s="41">
        <v>290</v>
      </c>
      <c r="P8" s="41">
        <v>428</v>
      </c>
      <c r="Q8" s="41">
        <v>290</v>
      </c>
      <c r="R8" s="40">
        <v>356</v>
      </c>
      <c r="S8" s="40">
        <v>376</v>
      </c>
      <c r="T8" s="40">
        <v>400</v>
      </c>
      <c r="U8" s="40">
        <v>496</v>
      </c>
      <c r="V8" s="40">
        <v>406</v>
      </c>
      <c r="W8" s="40">
        <v>408</v>
      </c>
      <c r="X8" s="40">
        <v>440</v>
      </c>
      <c r="Y8" s="40">
        <v>332</v>
      </c>
      <c r="Z8" s="115">
        <v>420</v>
      </c>
      <c r="AA8" s="106" t="s">
        <v>53</v>
      </c>
      <c r="AB8" s="41">
        <f>24*2</f>
        <v>48</v>
      </c>
      <c r="AC8" s="41">
        <v>115</v>
      </c>
      <c r="AD8" s="40">
        <v>228</v>
      </c>
      <c r="AE8" s="40">
        <v>234</v>
      </c>
      <c r="AF8" s="40">
        <v>166</v>
      </c>
      <c r="AG8" s="40">
        <f>108+49</f>
        <v>157</v>
      </c>
      <c r="AH8" s="40">
        <v>117</v>
      </c>
      <c r="AI8" s="40">
        <v>261</v>
      </c>
      <c r="AJ8" s="40">
        <v>192</v>
      </c>
      <c r="AK8" s="40">
        <v>212</v>
      </c>
      <c r="AL8" s="115">
        <v>228</v>
      </c>
      <c r="AM8" s="106" t="s">
        <v>53</v>
      </c>
      <c r="AN8" s="41">
        <v>351</v>
      </c>
      <c r="AO8" s="41">
        <v>339</v>
      </c>
      <c r="AP8" s="108" t="s">
        <v>53</v>
      </c>
      <c r="AQ8" s="108" t="s">
        <v>53</v>
      </c>
      <c r="AR8" s="108" t="s">
        <v>53</v>
      </c>
      <c r="AS8" s="108" t="s">
        <v>53</v>
      </c>
      <c r="AT8" s="40">
        <v>400</v>
      </c>
      <c r="AU8" s="40">
        <v>441</v>
      </c>
      <c r="AV8" s="40">
        <v>346</v>
      </c>
      <c r="AW8" s="40">
        <v>219</v>
      </c>
      <c r="AX8" s="115">
        <v>247</v>
      </c>
      <c r="AY8" s="106" t="s">
        <v>53</v>
      </c>
      <c r="AZ8" s="41">
        <v>191</v>
      </c>
      <c r="BA8" s="108">
        <v>361</v>
      </c>
      <c r="BB8" s="108">
        <v>331</v>
      </c>
      <c r="BC8" s="108">
        <v>342</v>
      </c>
      <c r="BD8" s="108">
        <v>351</v>
      </c>
      <c r="BE8" s="40">
        <v>415</v>
      </c>
      <c r="BF8" s="40">
        <v>414</v>
      </c>
      <c r="BG8" s="40">
        <v>456</v>
      </c>
      <c r="BH8" s="40">
        <v>108</v>
      </c>
      <c r="BI8" s="115">
        <v>180</v>
      </c>
      <c r="BJ8" s="40">
        <v>174</v>
      </c>
      <c r="BK8" s="40">
        <v>181</v>
      </c>
      <c r="BL8" s="40">
        <v>164</v>
      </c>
      <c r="BM8" s="40">
        <v>155</v>
      </c>
      <c r="BN8" s="40">
        <v>179</v>
      </c>
      <c r="BO8" s="40">
        <v>169</v>
      </c>
      <c r="BP8" s="40">
        <v>211</v>
      </c>
      <c r="BQ8" s="40">
        <v>161</v>
      </c>
      <c r="BR8" s="115">
        <v>206</v>
      </c>
      <c r="BS8" s="40">
        <v>57</v>
      </c>
      <c r="BT8" s="38">
        <v>30</v>
      </c>
      <c r="BU8" s="40">
        <v>29</v>
      </c>
      <c r="BV8" s="40">
        <v>19</v>
      </c>
      <c r="BW8" s="40">
        <v>23</v>
      </c>
      <c r="BX8" s="40">
        <v>24</v>
      </c>
      <c r="BY8" s="40">
        <v>38</v>
      </c>
      <c r="BZ8" s="40">
        <v>18</v>
      </c>
      <c r="CA8" s="43">
        <v>18</v>
      </c>
      <c r="CB8" s="38" t="s">
        <v>54</v>
      </c>
      <c r="CC8" s="40">
        <v>124</v>
      </c>
      <c r="CD8" s="40">
        <v>142</v>
      </c>
      <c r="CE8" s="40">
        <v>178</v>
      </c>
      <c r="CF8" s="40">
        <v>156</v>
      </c>
      <c r="CG8" s="40">
        <v>155</v>
      </c>
      <c r="CH8" s="40">
        <v>36</v>
      </c>
      <c r="CI8" s="115">
        <v>88</v>
      </c>
      <c r="CJ8" s="38" t="s">
        <v>54</v>
      </c>
      <c r="CK8" s="40">
        <v>171</v>
      </c>
      <c r="CL8" s="40">
        <v>176</v>
      </c>
      <c r="CM8" s="40">
        <v>214</v>
      </c>
      <c r="CN8" s="40">
        <v>352</v>
      </c>
      <c r="CO8" s="40">
        <v>307</v>
      </c>
      <c r="CP8" s="40" t="s">
        <v>54</v>
      </c>
      <c r="CQ8" s="40">
        <v>100</v>
      </c>
      <c r="CR8" s="40">
        <v>48</v>
      </c>
      <c r="CS8" s="40" t="s">
        <v>54</v>
      </c>
      <c r="CT8" s="40">
        <v>18</v>
      </c>
      <c r="CU8" s="40">
        <v>24</v>
      </c>
      <c r="CV8" s="40" t="s">
        <v>54</v>
      </c>
      <c r="CW8" s="40">
        <v>33</v>
      </c>
      <c r="CX8" s="40">
        <v>50</v>
      </c>
      <c r="CY8" s="40">
        <v>52</v>
      </c>
      <c r="CZ8" s="40" t="s">
        <v>54</v>
      </c>
      <c r="DA8" s="40">
        <v>58</v>
      </c>
      <c r="DB8" s="40">
        <v>14</v>
      </c>
      <c r="DC8" s="40" t="s">
        <v>54</v>
      </c>
      <c r="DD8" s="66" t="s">
        <v>11</v>
      </c>
      <c r="DI8" s="22"/>
      <c r="DJ8" s="22"/>
      <c r="DK8" s="22"/>
      <c r="DL8" s="22"/>
    </row>
    <row r="9" spans="1:116" ht="23.25" customHeight="1" x14ac:dyDescent="0.4">
      <c r="A9" s="57" t="s">
        <v>12</v>
      </c>
      <c r="B9" s="35"/>
      <c r="C9" s="104">
        <v>69</v>
      </c>
      <c r="D9" s="41">
        <v>128</v>
      </c>
      <c r="E9" s="41">
        <v>161</v>
      </c>
      <c r="F9" s="40">
        <v>192</v>
      </c>
      <c r="G9" s="40">
        <v>161</v>
      </c>
      <c r="H9" s="40">
        <v>195</v>
      </c>
      <c r="I9" s="40">
        <v>195</v>
      </c>
      <c r="J9" s="40">
        <v>213</v>
      </c>
      <c r="K9" s="40">
        <v>223</v>
      </c>
      <c r="L9" s="40">
        <v>196</v>
      </c>
      <c r="M9" s="40">
        <v>144</v>
      </c>
      <c r="N9" s="115">
        <v>191</v>
      </c>
      <c r="O9" s="41">
        <v>268</v>
      </c>
      <c r="P9" s="41">
        <v>332</v>
      </c>
      <c r="Q9" s="41">
        <v>314</v>
      </c>
      <c r="R9" s="40">
        <v>360</v>
      </c>
      <c r="S9" s="40">
        <v>336</v>
      </c>
      <c r="T9" s="40">
        <v>428</v>
      </c>
      <c r="U9" s="40">
        <v>462</v>
      </c>
      <c r="V9" s="40">
        <v>408</v>
      </c>
      <c r="W9" s="40">
        <v>356</v>
      </c>
      <c r="X9" s="40">
        <v>360</v>
      </c>
      <c r="Y9" s="40">
        <v>278</v>
      </c>
      <c r="Z9" s="115">
        <v>334</v>
      </c>
      <c r="AA9" s="106" t="s">
        <v>53</v>
      </c>
      <c r="AB9" s="41">
        <f>20*2</f>
        <v>40</v>
      </c>
      <c r="AC9" s="41">
        <v>83</v>
      </c>
      <c r="AD9" s="40">
        <f>168+5+39</f>
        <v>212</v>
      </c>
      <c r="AE9" s="40">
        <f>4+3+4+3+4+3+4+3+3+4+3+4+3+4+3+4+3+4+4+4+4+3+3+3+4+3+4+4+3+4+3+4+4+3+4+4+4+4+4+4+4+4+4+3+4+3+4+3+4+4+3+4+3+4+4</f>
        <v>199</v>
      </c>
      <c r="AF9" s="40">
        <v>120</v>
      </c>
      <c r="AG9" s="40">
        <f>78+24</f>
        <v>102</v>
      </c>
      <c r="AH9" s="40">
        <v>89</v>
      </c>
      <c r="AI9" s="40">
        <v>221</v>
      </c>
      <c r="AJ9" s="40">
        <v>182</v>
      </c>
      <c r="AK9" s="40">
        <v>88</v>
      </c>
      <c r="AL9" s="115">
        <v>229</v>
      </c>
      <c r="AM9" s="106" t="s">
        <v>53</v>
      </c>
      <c r="AN9" s="41">
        <v>351</v>
      </c>
      <c r="AO9" s="41">
        <v>427</v>
      </c>
      <c r="AP9" s="108" t="s">
        <v>53</v>
      </c>
      <c r="AQ9" s="108" t="s">
        <v>53</v>
      </c>
      <c r="AR9" s="108" t="s">
        <v>53</v>
      </c>
      <c r="AS9" s="108" t="s">
        <v>53</v>
      </c>
      <c r="AT9" s="40">
        <v>373</v>
      </c>
      <c r="AU9" s="40">
        <v>375</v>
      </c>
      <c r="AV9" s="40">
        <v>286</v>
      </c>
      <c r="AW9" s="40">
        <v>208</v>
      </c>
      <c r="AX9" s="115">
        <v>258</v>
      </c>
      <c r="AY9" s="106" t="s">
        <v>53</v>
      </c>
      <c r="AZ9" s="41">
        <v>213</v>
      </c>
      <c r="BA9" s="108">
        <v>356</v>
      </c>
      <c r="BB9" s="108">
        <v>304</v>
      </c>
      <c r="BC9" s="108">
        <v>320</v>
      </c>
      <c r="BD9" s="108">
        <v>308</v>
      </c>
      <c r="BE9" s="40">
        <v>365</v>
      </c>
      <c r="BF9" s="40">
        <v>376</v>
      </c>
      <c r="BG9" s="40">
        <v>441</v>
      </c>
      <c r="BH9" s="40">
        <v>105</v>
      </c>
      <c r="BI9" s="115">
        <v>160</v>
      </c>
      <c r="BJ9" s="40">
        <v>159</v>
      </c>
      <c r="BK9" s="40">
        <v>169</v>
      </c>
      <c r="BL9" s="40">
        <v>159</v>
      </c>
      <c r="BM9" s="40">
        <v>161</v>
      </c>
      <c r="BN9" s="40">
        <v>164</v>
      </c>
      <c r="BO9" s="40">
        <v>164</v>
      </c>
      <c r="BP9" s="40">
        <v>258</v>
      </c>
      <c r="BQ9" s="40">
        <v>141</v>
      </c>
      <c r="BR9" s="115">
        <v>198</v>
      </c>
      <c r="BS9" s="40">
        <v>83</v>
      </c>
      <c r="BT9" s="38">
        <v>23</v>
      </c>
      <c r="BU9" s="40">
        <v>23</v>
      </c>
      <c r="BV9" s="40">
        <v>17</v>
      </c>
      <c r="BW9" s="40">
        <v>15</v>
      </c>
      <c r="BX9" s="40">
        <v>19</v>
      </c>
      <c r="BY9" s="40">
        <v>34</v>
      </c>
      <c r="BZ9" s="40">
        <v>8</v>
      </c>
      <c r="CA9" s="43">
        <v>14</v>
      </c>
      <c r="CB9" s="38" t="s">
        <v>54</v>
      </c>
      <c r="CC9" s="40">
        <v>143</v>
      </c>
      <c r="CD9" s="40">
        <v>136</v>
      </c>
      <c r="CE9" s="40">
        <v>180</v>
      </c>
      <c r="CF9" s="40">
        <v>161</v>
      </c>
      <c r="CG9" s="40">
        <v>130</v>
      </c>
      <c r="CH9" s="40">
        <v>29</v>
      </c>
      <c r="CI9" s="115">
        <v>56</v>
      </c>
      <c r="CJ9" s="38" t="s">
        <v>54</v>
      </c>
      <c r="CK9" s="40">
        <v>168</v>
      </c>
      <c r="CL9" s="40">
        <v>181</v>
      </c>
      <c r="CM9" s="40">
        <v>192</v>
      </c>
      <c r="CN9" s="40">
        <v>284</v>
      </c>
      <c r="CO9" s="40">
        <v>230</v>
      </c>
      <c r="CP9" s="40" t="s">
        <v>54</v>
      </c>
      <c r="CQ9" s="40">
        <v>70</v>
      </c>
      <c r="CR9" s="40">
        <v>30</v>
      </c>
      <c r="CS9" s="40">
        <v>26</v>
      </c>
      <c r="CT9" s="40">
        <v>16</v>
      </c>
      <c r="CU9" s="40">
        <v>26</v>
      </c>
      <c r="CV9" s="40" t="s">
        <v>54</v>
      </c>
      <c r="CW9" s="40">
        <v>29</v>
      </c>
      <c r="CX9" s="40">
        <v>42</v>
      </c>
      <c r="CY9" s="40">
        <v>46</v>
      </c>
      <c r="CZ9" s="40" t="s">
        <v>54</v>
      </c>
      <c r="DA9" s="40">
        <v>40</v>
      </c>
      <c r="DB9" s="40">
        <v>12</v>
      </c>
      <c r="DC9" s="40">
        <v>12</v>
      </c>
      <c r="DD9" s="66" t="s">
        <v>13</v>
      </c>
    </row>
    <row r="10" spans="1:116" ht="23.25" customHeight="1" x14ac:dyDescent="0.4">
      <c r="A10" s="57" t="s">
        <v>14</v>
      </c>
      <c r="B10" s="35"/>
      <c r="C10" s="104">
        <v>80</v>
      </c>
      <c r="D10" s="41">
        <v>161</v>
      </c>
      <c r="E10" s="41">
        <v>184</v>
      </c>
      <c r="F10" s="40">
        <v>214</v>
      </c>
      <c r="G10" s="40">
        <v>173</v>
      </c>
      <c r="H10" s="40">
        <v>201</v>
      </c>
      <c r="I10" s="40">
        <v>193</v>
      </c>
      <c r="J10" s="40">
        <v>258</v>
      </c>
      <c r="K10" s="40">
        <v>218</v>
      </c>
      <c r="L10" s="40">
        <v>137</v>
      </c>
      <c r="M10" s="40">
        <v>180</v>
      </c>
      <c r="N10" s="115">
        <v>246</v>
      </c>
      <c r="O10" s="41">
        <v>202</v>
      </c>
      <c r="P10" s="41">
        <v>320</v>
      </c>
      <c r="Q10" s="41">
        <v>358</v>
      </c>
      <c r="R10" s="40">
        <v>388</v>
      </c>
      <c r="S10" s="40">
        <v>396</v>
      </c>
      <c r="T10" s="40">
        <v>402</v>
      </c>
      <c r="U10" s="40">
        <v>446</v>
      </c>
      <c r="V10" s="40">
        <v>388</v>
      </c>
      <c r="W10" s="40">
        <v>400</v>
      </c>
      <c r="X10" s="40">
        <v>262</v>
      </c>
      <c r="Y10" s="40">
        <v>292</v>
      </c>
      <c r="Z10" s="115">
        <v>366</v>
      </c>
      <c r="AA10" s="106" t="s">
        <v>53</v>
      </c>
      <c r="AB10" s="41">
        <f>28*2</f>
        <v>56</v>
      </c>
      <c r="AC10" s="41">
        <f>116+81</f>
        <v>197</v>
      </c>
      <c r="AD10" s="40">
        <f>90+156</f>
        <v>246</v>
      </c>
      <c r="AE10" s="40">
        <v>235</v>
      </c>
      <c r="AF10" s="40">
        <v>168</v>
      </c>
      <c r="AG10" s="40">
        <f>99+84</f>
        <v>183</v>
      </c>
      <c r="AH10" s="40">
        <v>149</v>
      </c>
      <c r="AI10" s="40">
        <v>277</v>
      </c>
      <c r="AJ10" s="40">
        <v>175</v>
      </c>
      <c r="AK10" s="40">
        <v>190</v>
      </c>
      <c r="AL10" s="115">
        <v>136</v>
      </c>
      <c r="AM10" s="106" t="s">
        <v>53</v>
      </c>
      <c r="AN10" s="41">
        <v>233</v>
      </c>
      <c r="AO10" s="41">
        <v>348</v>
      </c>
      <c r="AP10" s="108" t="s">
        <v>53</v>
      </c>
      <c r="AQ10" s="108" t="s">
        <v>53</v>
      </c>
      <c r="AR10" s="108" t="s">
        <v>53</v>
      </c>
      <c r="AS10" s="108" t="s">
        <v>53</v>
      </c>
      <c r="AT10" s="40">
        <v>369</v>
      </c>
      <c r="AU10" s="40">
        <v>436</v>
      </c>
      <c r="AV10" s="40">
        <v>178</v>
      </c>
      <c r="AW10" s="40">
        <v>194</v>
      </c>
      <c r="AX10" s="115">
        <v>266</v>
      </c>
      <c r="AY10" s="106" t="s">
        <v>53</v>
      </c>
      <c r="AZ10" s="41">
        <v>231</v>
      </c>
      <c r="BA10" s="108">
        <v>393</v>
      </c>
      <c r="BB10" s="108">
        <v>356</v>
      </c>
      <c r="BC10" s="108">
        <v>343</v>
      </c>
      <c r="BD10" s="108">
        <v>327</v>
      </c>
      <c r="BE10" s="40">
        <v>397</v>
      </c>
      <c r="BF10" s="40">
        <v>414</v>
      </c>
      <c r="BG10" s="40">
        <v>241</v>
      </c>
      <c r="BH10" s="40">
        <v>112</v>
      </c>
      <c r="BI10" s="115">
        <v>175</v>
      </c>
      <c r="BJ10" s="40">
        <v>176</v>
      </c>
      <c r="BK10" s="40">
        <v>170</v>
      </c>
      <c r="BL10" s="40">
        <v>163</v>
      </c>
      <c r="BM10" s="40">
        <v>174</v>
      </c>
      <c r="BN10" s="40">
        <v>169</v>
      </c>
      <c r="BO10" s="40">
        <v>178</v>
      </c>
      <c r="BP10" s="40">
        <v>169</v>
      </c>
      <c r="BQ10" s="40">
        <v>159</v>
      </c>
      <c r="BR10" s="115">
        <v>230</v>
      </c>
      <c r="BS10" s="40">
        <v>108</v>
      </c>
      <c r="BT10" s="38">
        <v>25</v>
      </c>
      <c r="BU10" s="40">
        <v>23</v>
      </c>
      <c r="BV10" s="40">
        <v>20</v>
      </c>
      <c r="BW10" s="40">
        <v>19</v>
      </c>
      <c r="BX10" s="40">
        <v>17</v>
      </c>
      <c r="BY10" s="40">
        <v>24</v>
      </c>
      <c r="BZ10" s="40">
        <v>6</v>
      </c>
      <c r="CA10" s="43">
        <v>18</v>
      </c>
      <c r="CB10" s="38" t="s">
        <v>54</v>
      </c>
      <c r="CC10" s="40">
        <v>114</v>
      </c>
      <c r="CD10" s="40">
        <v>148</v>
      </c>
      <c r="CE10" s="40">
        <v>156</v>
      </c>
      <c r="CF10" s="40">
        <v>160</v>
      </c>
      <c r="CG10" s="40">
        <v>77</v>
      </c>
      <c r="CH10" s="40">
        <v>30</v>
      </c>
      <c r="CI10" s="115">
        <v>48</v>
      </c>
      <c r="CJ10" s="38" t="s">
        <v>54</v>
      </c>
      <c r="CK10" s="40">
        <v>150</v>
      </c>
      <c r="CL10" s="40">
        <v>202</v>
      </c>
      <c r="CM10" s="40">
        <v>147</v>
      </c>
      <c r="CN10" s="40">
        <v>340</v>
      </c>
      <c r="CO10" s="40">
        <v>251</v>
      </c>
      <c r="CP10" s="40" t="s">
        <v>54</v>
      </c>
      <c r="CQ10" s="40">
        <v>98</v>
      </c>
      <c r="CR10" s="40">
        <v>27</v>
      </c>
      <c r="CS10" s="40">
        <v>28</v>
      </c>
      <c r="CT10" s="40">
        <v>18</v>
      </c>
      <c r="CU10" s="40">
        <v>18</v>
      </c>
      <c r="CV10" s="40" t="s">
        <v>54</v>
      </c>
      <c r="CW10" s="40">
        <v>32</v>
      </c>
      <c r="CX10" s="40">
        <v>54</v>
      </c>
      <c r="CY10" s="40">
        <v>58</v>
      </c>
      <c r="CZ10" s="40" t="s">
        <v>54</v>
      </c>
      <c r="DA10" s="40">
        <v>40</v>
      </c>
      <c r="DB10" s="40">
        <v>14</v>
      </c>
      <c r="DC10" s="40">
        <v>31</v>
      </c>
      <c r="DD10" s="66" t="s">
        <v>15</v>
      </c>
    </row>
    <row r="11" spans="1:116" ht="23.25" customHeight="1" x14ac:dyDescent="0.4">
      <c r="A11" s="57" t="s">
        <v>16</v>
      </c>
      <c r="B11" s="35"/>
      <c r="C11" s="104">
        <v>147</v>
      </c>
      <c r="D11" s="41">
        <v>149</v>
      </c>
      <c r="E11" s="41">
        <v>190</v>
      </c>
      <c r="F11" s="40">
        <v>192</v>
      </c>
      <c r="G11" s="40">
        <v>173</v>
      </c>
      <c r="H11" s="40">
        <v>192</v>
      </c>
      <c r="I11" s="40">
        <v>211</v>
      </c>
      <c r="J11" s="40">
        <v>245</v>
      </c>
      <c r="K11" s="40">
        <v>213</v>
      </c>
      <c r="L11" s="40">
        <v>18</v>
      </c>
      <c r="M11" s="40">
        <v>168</v>
      </c>
      <c r="N11" s="115">
        <v>206</v>
      </c>
      <c r="O11" s="41">
        <v>192</v>
      </c>
      <c r="P11" s="41">
        <v>358</v>
      </c>
      <c r="Q11" s="41">
        <v>268</v>
      </c>
      <c r="R11" s="40">
        <v>354</v>
      </c>
      <c r="S11" s="40">
        <v>390</v>
      </c>
      <c r="T11" s="40">
        <v>368</v>
      </c>
      <c r="U11" s="40">
        <v>436</v>
      </c>
      <c r="V11" s="40">
        <v>438</v>
      </c>
      <c r="W11" s="40">
        <v>412</v>
      </c>
      <c r="X11" s="40">
        <v>28</v>
      </c>
      <c r="Y11" s="40">
        <v>280</v>
      </c>
      <c r="Z11" s="115">
        <v>362</v>
      </c>
      <c r="AA11" s="106" t="s">
        <v>53</v>
      </c>
      <c r="AB11" s="41">
        <f>21*2</f>
        <v>42</v>
      </c>
      <c r="AC11" s="41">
        <f>192+39+10</f>
        <v>241</v>
      </c>
      <c r="AD11" s="40">
        <v>230</v>
      </c>
      <c r="AE11" s="40">
        <v>229</v>
      </c>
      <c r="AF11" s="40">
        <v>139</v>
      </c>
      <c r="AG11" s="40">
        <f>78+60</f>
        <v>138</v>
      </c>
      <c r="AH11" s="40">
        <v>120</v>
      </c>
      <c r="AI11" s="40">
        <v>278</v>
      </c>
      <c r="AJ11" s="40">
        <v>88</v>
      </c>
      <c r="AK11" s="40">
        <v>170</v>
      </c>
      <c r="AL11" s="115">
        <v>118</v>
      </c>
      <c r="AM11" s="106" t="s">
        <v>53</v>
      </c>
      <c r="AN11" s="41">
        <v>226</v>
      </c>
      <c r="AO11" s="41">
        <v>284</v>
      </c>
      <c r="AP11" s="108" t="s">
        <v>53</v>
      </c>
      <c r="AQ11" s="108" t="s">
        <v>53</v>
      </c>
      <c r="AR11" s="108" t="s">
        <v>53</v>
      </c>
      <c r="AS11" s="108" t="s">
        <v>53</v>
      </c>
      <c r="AT11" s="40">
        <v>346</v>
      </c>
      <c r="AU11" s="40">
        <v>437</v>
      </c>
      <c r="AV11" s="40">
        <v>2</v>
      </c>
      <c r="AW11" s="40">
        <v>203</v>
      </c>
      <c r="AX11" s="115">
        <v>250</v>
      </c>
      <c r="AY11" s="106" t="s">
        <v>53</v>
      </c>
      <c r="AZ11" s="41">
        <v>239</v>
      </c>
      <c r="BA11" s="108">
        <v>358</v>
      </c>
      <c r="BB11" s="108">
        <v>341</v>
      </c>
      <c r="BC11" s="108">
        <v>328</v>
      </c>
      <c r="BD11" s="108">
        <v>316</v>
      </c>
      <c r="BE11" s="40">
        <v>353</v>
      </c>
      <c r="BF11" s="40">
        <v>471</v>
      </c>
      <c r="BG11" s="40">
        <v>3</v>
      </c>
      <c r="BH11" s="40">
        <v>101</v>
      </c>
      <c r="BI11" s="115">
        <v>177</v>
      </c>
      <c r="BJ11" s="40">
        <v>175</v>
      </c>
      <c r="BK11" s="40">
        <v>175</v>
      </c>
      <c r="BL11" s="40">
        <v>154</v>
      </c>
      <c r="BM11" s="40">
        <v>158</v>
      </c>
      <c r="BN11" s="40">
        <v>164</v>
      </c>
      <c r="BO11" s="40">
        <v>165</v>
      </c>
      <c r="BP11" s="40">
        <v>11</v>
      </c>
      <c r="BQ11" s="40">
        <v>148</v>
      </c>
      <c r="BR11" s="115">
        <v>227</v>
      </c>
      <c r="BS11" s="40">
        <v>112</v>
      </c>
      <c r="BT11" s="38">
        <v>26</v>
      </c>
      <c r="BU11" s="40">
        <v>21</v>
      </c>
      <c r="BV11" s="40">
        <v>22</v>
      </c>
      <c r="BW11" s="40">
        <v>21</v>
      </c>
      <c r="BX11" s="40">
        <v>21</v>
      </c>
      <c r="BY11" s="40">
        <v>8</v>
      </c>
      <c r="BZ11" s="40">
        <v>10</v>
      </c>
      <c r="CA11" s="43">
        <v>18</v>
      </c>
      <c r="CB11" s="38" t="s">
        <v>54</v>
      </c>
      <c r="CC11" s="40">
        <v>106</v>
      </c>
      <c r="CD11" s="40">
        <v>156</v>
      </c>
      <c r="CE11" s="40">
        <v>146</v>
      </c>
      <c r="CF11" s="40">
        <v>156</v>
      </c>
      <c r="CG11" s="40">
        <v>7</v>
      </c>
      <c r="CH11" s="40">
        <v>31</v>
      </c>
      <c r="CI11" s="115">
        <v>56</v>
      </c>
      <c r="CJ11" s="38" t="s">
        <v>54</v>
      </c>
      <c r="CK11" s="40">
        <v>161</v>
      </c>
      <c r="CL11" s="40">
        <v>181</v>
      </c>
      <c r="CM11" s="40">
        <v>9</v>
      </c>
      <c r="CN11" s="40">
        <v>270</v>
      </c>
      <c r="CO11" s="40">
        <v>221</v>
      </c>
      <c r="CP11" s="40" t="s">
        <v>54</v>
      </c>
      <c r="CQ11" s="40">
        <v>70</v>
      </c>
      <c r="CR11" s="40">
        <v>62</v>
      </c>
      <c r="CS11" s="40">
        <v>14</v>
      </c>
      <c r="CT11" s="40">
        <v>14</v>
      </c>
      <c r="CU11" s="40">
        <v>20</v>
      </c>
      <c r="CV11" s="40" t="s">
        <v>54</v>
      </c>
      <c r="CW11" s="40">
        <v>6</v>
      </c>
      <c r="CX11" s="40">
        <v>42</v>
      </c>
      <c r="CY11" s="40">
        <v>46</v>
      </c>
      <c r="CZ11" s="40" t="s">
        <v>54</v>
      </c>
      <c r="DA11" s="40">
        <v>26</v>
      </c>
      <c r="DB11" s="40">
        <v>17</v>
      </c>
      <c r="DC11" s="40">
        <v>27</v>
      </c>
      <c r="DD11" s="66" t="s">
        <v>17</v>
      </c>
      <c r="DI11" s="22"/>
      <c r="DJ11" s="22"/>
      <c r="DK11" s="22"/>
      <c r="DL11" s="22"/>
    </row>
    <row r="12" spans="1:116" ht="23.25" customHeight="1" x14ac:dyDescent="0.4">
      <c r="A12" s="57" t="s">
        <v>18</v>
      </c>
      <c r="B12" s="35"/>
      <c r="C12" s="104">
        <v>128</v>
      </c>
      <c r="D12" s="41">
        <v>139</v>
      </c>
      <c r="E12" s="41">
        <v>178</v>
      </c>
      <c r="F12" s="40">
        <v>186</v>
      </c>
      <c r="G12" s="40">
        <v>182</v>
      </c>
      <c r="H12" s="40">
        <v>194</v>
      </c>
      <c r="I12" s="40">
        <v>209</v>
      </c>
      <c r="J12" s="40">
        <v>200</v>
      </c>
      <c r="K12" s="40">
        <v>220</v>
      </c>
      <c r="L12" s="40">
        <v>21</v>
      </c>
      <c r="M12" s="40">
        <v>140</v>
      </c>
      <c r="N12" s="115">
        <v>229</v>
      </c>
      <c r="O12" s="41">
        <v>274</v>
      </c>
      <c r="P12" s="41">
        <v>284</v>
      </c>
      <c r="Q12" s="41">
        <v>274</v>
      </c>
      <c r="R12" s="40">
        <v>368</v>
      </c>
      <c r="S12" s="40">
        <v>356</v>
      </c>
      <c r="T12" s="40">
        <v>364</v>
      </c>
      <c r="U12" s="40">
        <v>380</v>
      </c>
      <c r="V12" s="40">
        <v>372</v>
      </c>
      <c r="W12" s="40">
        <v>426</v>
      </c>
      <c r="X12" s="40">
        <v>26</v>
      </c>
      <c r="Y12" s="40">
        <v>240</v>
      </c>
      <c r="Z12" s="115">
        <v>380</v>
      </c>
      <c r="AA12" s="106" t="s">
        <v>53</v>
      </c>
      <c r="AB12" s="41">
        <f>34*2</f>
        <v>68</v>
      </c>
      <c r="AC12" s="41">
        <f>180+48+5</f>
        <v>233</v>
      </c>
      <c r="AD12" s="40">
        <v>236</v>
      </c>
      <c r="AE12" s="40">
        <v>222</v>
      </c>
      <c r="AF12" s="40">
        <f>52+84</f>
        <v>136</v>
      </c>
      <c r="AG12" s="40">
        <f>72+96</f>
        <v>168</v>
      </c>
      <c r="AH12" s="40">
        <v>147</v>
      </c>
      <c r="AI12" s="40">
        <v>211</v>
      </c>
      <c r="AJ12" s="40">
        <v>29</v>
      </c>
      <c r="AK12" s="40">
        <v>152</v>
      </c>
      <c r="AL12" s="115">
        <v>154</v>
      </c>
      <c r="AM12" s="106" t="s">
        <v>53</v>
      </c>
      <c r="AN12" s="41">
        <v>180</v>
      </c>
      <c r="AO12" s="41">
        <v>382</v>
      </c>
      <c r="AP12" s="108" t="s">
        <v>53</v>
      </c>
      <c r="AQ12" s="108" t="s">
        <v>53</v>
      </c>
      <c r="AR12" s="108" t="s">
        <v>53</v>
      </c>
      <c r="AS12" s="108" t="s">
        <v>53</v>
      </c>
      <c r="AT12" s="40">
        <v>527</v>
      </c>
      <c r="AU12" s="40">
        <v>454</v>
      </c>
      <c r="AV12" s="40">
        <v>0</v>
      </c>
      <c r="AW12" s="40">
        <v>180</v>
      </c>
      <c r="AX12" s="115">
        <v>274</v>
      </c>
      <c r="AY12" s="106" t="s">
        <v>53</v>
      </c>
      <c r="AZ12" s="41">
        <v>288</v>
      </c>
      <c r="BA12" s="108">
        <v>370</v>
      </c>
      <c r="BB12" s="108">
        <v>341</v>
      </c>
      <c r="BC12" s="108">
        <v>321</v>
      </c>
      <c r="BD12" s="108">
        <v>319</v>
      </c>
      <c r="BE12" s="40">
        <v>336</v>
      </c>
      <c r="BF12" s="40">
        <v>428</v>
      </c>
      <c r="BG12" s="40">
        <v>0</v>
      </c>
      <c r="BH12" s="40">
        <v>101</v>
      </c>
      <c r="BI12" s="115">
        <v>179</v>
      </c>
      <c r="BJ12" s="40">
        <v>181</v>
      </c>
      <c r="BK12" s="40">
        <v>166</v>
      </c>
      <c r="BL12" s="40">
        <v>163</v>
      </c>
      <c r="BM12" s="40">
        <v>142</v>
      </c>
      <c r="BN12" s="40">
        <v>158</v>
      </c>
      <c r="BO12" s="40">
        <v>149</v>
      </c>
      <c r="BP12" s="40">
        <v>13</v>
      </c>
      <c r="BQ12" s="40">
        <v>111</v>
      </c>
      <c r="BR12" s="115">
        <v>232</v>
      </c>
      <c r="BS12" s="40">
        <v>91</v>
      </c>
      <c r="BT12" s="38">
        <v>28</v>
      </c>
      <c r="BU12" s="40">
        <v>21</v>
      </c>
      <c r="BV12" s="40">
        <v>20</v>
      </c>
      <c r="BW12" s="40">
        <v>16</v>
      </c>
      <c r="BX12" s="40">
        <v>15</v>
      </c>
      <c r="BY12" s="40">
        <v>2</v>
      </c>
      <c r="BZ12" s="40">
        <v>6</v>
      </c>
      <c r="CA12" s="43">
        <v>16</v>
      </c>
      <c r="CB12" s="38">
        <v>9</v>
      </c>
      <c r="CC12" s="40">
        <v>90</v>
      </c>
      <c r="CD12" s="40">
        <v>160</v>
      </c>
      <c r="CE12" s="40">
        <v>146</v>
      </c>
      <c r="CF12" s="40">
        <v>182</v>
      </c>
      <c r="CG12" s="40">
        <v>3</v>
      </c>
      <c r="CH12" s="40">
        <v>15</v>
      </c>
      <c r="CI12" s="115">
        <v>80</v>
      </c>
      <c r="CJ12" s="38" t="s">
        <v>54</v>
      </c>
      <c r="CK12" s="40">
        <v>148</v>
      </c>
      <c r="CL12" s="40">
        <v>184</v>
      </c>
      <c r="CM12" s="40">
        <v>0</v>
      </c>
      <c r="CN12" s="40">
        <v>321</v>
      </c>
      <c r="CO12" s="40">
        <v>188</v>
      </c>
      <c r="CP12" s="40" t="s">
        <v>54</v>
      </c>
      <c r="CQ12" s="40">
        <v>36</v>
      </c>
      <c r="CR12" s="40">
        <v>80</v>
      </c>
      <c r="CS12" s="40">
        <v>2</v>
      </c>
      <c r="CT12" s="40">
        <v>10</v>
      </c>
      <c r="CU12" s="40">
        <v>20</v>
      </c>
      <c r="CV12" s="40" t="s">
        <v>54</v>
      </c>
      <c r="CW12" s="40">
        <v>6</v>
      </c>
      <c r="CX12" s="40">
        <v>20</v>
      </c>
      <c r="CY12" s="40">
        <v>66</v>
      </c>
      <c r="CZ12" s="40" t="s">
        <v>54</v>
      </c>
      <c r="DA12" s="40">
        <v>2</v>
      </c>
      <c r="DB12" s="40">
        <v>18</v>
      </c>
      <c r="DC12" s="40">
        <v>35</v>
      </c>
      <c r="DD12" s="66" t="s">
        <v>19</v>
      </c>
    </row>
    <row r="13" spans="1:116" ht="23.25" customHeight="1" x14ac:dyDescent="0.4">
      <c r="A13" s="57" t="s">
        <v>20</v>
      </c>
      <c r="B13" s="35"/>
      <c r="C13" s="104">
        <v>137</v>
      </c>
      <c r="D13" s="41">
        <v>136</v>
      </c>
      <c r="E13" s="41">
        <v>192</v>
      </c>
      <c r="F13" s="40">
        <v>180</v>
      </c>
      <c r="G13" s="40">
        <v>174</v>
      </c>
      <c r="H13" s="40">
        <v>185</v>
      </c>
      <c r="I13" s="40">
        <v>192</v>
      </c>
      <c r="J13" s="40">
        <v>175</v>
      </c>
      <c r="K13" s="40">
        <v>185</v>
      </c>
      <c r="L13" s="40">
        <v>32</v>
      </c>
      <c r="M13" s="40">
        <v>127</v>
      </c>
      <c r="N13" s="115">
        <v>215</v>
      </c>
      <c r="O13" s="41">
        <v>278</v>
      </c>
      <c r="P13" s="41">
        <v>318</v>
      </c>
      <c r="Q13" s="41">
        <v>328</v>
      </c>
      <c r="R13" s="40">
        <v>346</v>
      </c>
      <c r="S13" s="40">
        <v>340</v>
      </c>
      <c r="T13" s="40">
        <v>336</v>
      </c>
      <c r="U13" s="40">
        <v>376</v>
      </c>
      <c r="V13" s="40">
        <v>356</v>
      </c>
      <c r="W13" s="40">
        <v>406</v>
      </c>
      <c r="X13" s="40">
        <v>60</v>
      </c>
      <c r="Y13" s="40">
        <v>172</v>
      </c>
      <c r="Z13" s="115">
        <v>346</v>
      </c>
      <c r="AA13" s="106" t="s">
        <v>53</v>
      </c>
      <c r="AB13" s="41">
        <f>29*2</f>
        <v>58</v>
      </c>
      <c r="AC13" s="41">
        <f>144+81</f>
        <v>225</v>
      </c>
      <c r="AD13" s="40">
        <v>231</v>
      </c>
      <c r="AE13" s="40">
        <v>138</v>
      </c>
      <c r="AF13" s="40">
        <f>75+123</f>
        <v>198</v>
      </c>
      <c r="AG13" s="40">
        <f>84+84</f>
        <v>168</v>
      </c>
      <c r="AH13" s="40">
        <v>137</v>
      </c>
      <c r="AI13" s="40">
        <v>190</v>
      </c>
      <c r="AJ13" s="40">
        <v>73</v>
      </c>
      <c r="AK13" s="40">
        <v>147</v>
      </c>
      <c r="AL13" s="115">
        <v>120</v>
      </c>
      <c r="AM13" s="106" t="s">
        <v>53</v>
      </c>
      <c r="AN13" s="41">
        <v>150</v>
      </c>
      <c r="AO13" s="41">
        <v>354</v>
      </c>
      <c r="AP13" s="108" t="s">
        <v>53</v>
      </c>
      <c r="AQ13" s="108" t="s">
        <v>53</v>
      </c>
      <c r="AR13" s="108" t="s">
        <v>53</v>
      </c>
      <c r="AS13" s="108" t="s">
        <v>53</v>
      </c>
      <c r="AT13" s="40">
        <v>374</v>
      </c>
      <c r="AU13" s="40">
        <v>442</v>
      </c>
      <c r="AV13" s="40">
        <v>0</v>
      </c>
      <c r="AW13" s="40">
        <v>156</v>
      </c>
      <c r="AX13" s="115">
        <v>267</v>
      </c>
      <c r="AY13" s="106" t="s">
        <v>53</v>
      </c>
      <c r="AZ13" s="41">
        <v>292</v>
      </c>
      <c r="BA13" s="108">
        <v>331</v>
      </c>
      <c r="BB13" s="108">
        <v>302</v>
      </c>
      <c r="BC13" s="108">
        <v>286</v>
      </c>
      <c r="BD13" s="108">
        <v>310</v>
      </c>
      <c r="BE13" s="40">
        <v>340</v>
      </c>
      <c r="BF13" s="40">
        <v>450</v>
      </c>
      <c r="BG13" s="40">
        <v>4</v>
      </c>
      <c r="BH13" s="40">
        <v>80</v>
      </c>
      <c r="BI13" s="115">
        <v>154</v>
      </c>
      <c r="BJ13" s="40">
        <v>168</v>
      </c>
      <c r="BK13" s="40">
        <v>146</v>
      </c>
      <c r="BL13" s="40">
        <v>144</v>
      </c>
      <c r="BM13" s="40">
        <v>145</v>
      </c>
      <c r="BN13" s="40">
        <v>155</v>
      </c>
      <c r="BO13" s="40">
        <v>153</v>
      </c>
      <c r="BP13" s="40">
        <v>21</v>
      </c>
      <c r="BQ13" s="40">
        <v>89</v>
      </c>
      <c r="BR13" s="115">
        <v>212</v>
      </c>
      <c r="BS13" s="40">
        <v>68</v>
      </c>
      <c r="BT13" s="38">
        <v>28</v>
      </c>
      <c r="BU13" s="40">
        <v>18</v>
      </c>
      <c r="BV13" s="40">
        <v>20</v>
      </c>
      <c r="BW13" s="40">
        <v>19</v>
      </c>
      <c r="BX13" s="40">
        <v>20</v>
      </c>
      <c r="BY13" s="40">
        <v>14</v>
      </c>
      <c r="BZ13" s="40">
        <v>8</v>
      </c>
      <c r="CA13" s="43">
        <v>20</v>
      </c>
      <c r="CB13" s="38">
        <v>43</v>
      </c>
      <c r="CC13" s="40">
        <v>86</v>
      </c>
      <c r="CD13" s="40">
        <v>147</v>
      </c>
      <c r="CE13" s="40">
        <v>150</v>
      </c>
      <c r="CF13" s="40">
        <v>151</v>
      </c>
      <c r="CG13" s="40">
        <v>10</v>
      </c>
      <c r="CH13" s="40">
        <v>14</v>
      </c>
      <c r="CI13" s="115">
        <v>67</v>
      </c>
      <c r="CJ13" s="38" t="s">
        <v>54</v>
      </c>
      <c r="CK13" s="40">
        <v>123</v>
      </c>
      <c r="CL13" s="40">
        <v>166</v>
      </c>
      <c r="CM13" s="40">
        <v>0</v>
      </c>
      <c r="CN13" s="40">
        <v>226</v>
      </c>
      <c r="CO13" s="40">
        <v>171</v>
      </c>
      <c r="CP13" s="40" t="s">
        <v>54</v>
      </c>
      <c r="CQ13" s="40">
        <v>42</v>
      </c>
      <c r="CR13" s="40">
        <v>72</v>
      </c>
      <c r="CS13" s="40">
        <v>6</v>
      </c>
      <c r="CT13" s="40">
        <v>6</v>
      </c>
      <c r="CU13" s="40">
        <v>26</v>
      </c>
      <c r="CV13" s="40" t="s">
        <v>54</v>
      </c>
      <c r="CW13" s="40">
        <v>8</v>
      </c>
      <c r="CX13" s="40">
        <v>30</v>
      </c>
      <c r="CY13" s="40">
        <v>58</v>
      </c>
      <c r="CZ13" s="40" t="s">
        <v>54</v>
      </c>
      <c r="DA13" s="40">
        <v>12</v>
      </c>
      <c r="DB13" s="40">
        <v>20</v>
      </c>
      <c r="DC13" s="40">
        <v>59</v>
      </c>
      <c r="DD13" s="66" t="s">
        <v>21</v>
      </c>
    </row>
    <row r="14" spans="1:116" ht="23.25" customHeight="1" x14ac:dyDescent="0.4">
      <c r="A14" s="57" t="s">
        <v>22</v>
      </c>
      <c r="B14" s="35"/>
      <c r="C14" s="104">
        <v>178</v>
      </c>
      <c r="D14" s="41">
        <v>154</v>
      </c>
      <c r="E14" s="41">
        <v>189</v>
      </c>
      <c r="F14" s="40">
        <v>178</v>
      </c>
      <c r="G14" s="40">
        <v>168</v>
      </c>
      <c r="H14" s="40">
        <v>193</v>
      </c>
      <c r="I14" s="40">
        <v>215</v>
      </c>
      <c r="J14" s="40">
        <v>195</v>
      </c>
      <c r="K14" s="40">
        <v>195</v>
      </c>
      <c r="L14" s="40">
        <v>34</v>
      </c>
      <c r="M14" s="40">
        <v>139</v>
      </c>
      <c r="N14" s="115">
        <v>224</v>
      </c>
      <c r="O14" s="41">
        <v>322</v>
      </c>
      <c r="P14" s="41">
        <v>372</v>
      </c>
      <c r="Q14" s="41">
        <v>308</v>
      </c>
      <c r="R14" s="40">
        <v>362</v>
      </c>
      <c r="S14" s="40">
        <v>356</v>
      </c>
      <c r="T14" s="40">
        <v>402</v>
      </c>
      <c r="U14" s="40">
        <v>442</v>
      </c>
      <c r="V14" s="40">
        <v>370</v>
      </c>
      <c r="W14" s="40">
        <v>402</v>
      </c>
      <c r="X14" s="40">
        <v>48</v>
      </c>
      <c r="Y14" s="40">
        <v>264</v>
      </c>
      <c r="Z14" s="115">
        <v>386</v>
      </c>
      <c r="AA14" s="106" t="s">
        <v>53</v>
      </c>
      <c r="AB14" s="41">
        <f>30*2</f>
        <v>60</v>
      </c>
      <c r="AC14" s="41">
        <f>180+48</f>
        <v>228</v>
      </c>
      <c r="AD14" s="40">
        <v>247</v>
      </c>
      <c r="AE14" s="40">
        <f>87+40+5</f>
        <v>132</v>
      </c>
      <c r="AF14" s="40">
        <f>88+123</f>
        <v>211</v>
      </c>
      <c r="AG14" s="40">
        <f>93+96</f>
        <v>189</v>
      </c>
      <c r="AH14" s="40">
        <v>148</v>
      </c>
      <c r="AI14" s="40">
        <v>151</v>
      </c>
      <c r="AJ14" s="40">
        <v>98</v>
      </c>
      <c r="AK14" s="40">
        <v>202</v>
      </c>
      <c r="AL14" s="115">
        <v>142</v>
      </c>
      <c r="AM14" s="106" t="s">
        <v>53</v>
      </c>
      <c r="AN14" s="41">
        <v>226</v>
      </c>
      <c r="AO14" s="41">
        <v>337</v>
      </c>
      <c r="AP14" s="108" t="s">
        <v>53</v>
      </c>
      <c r="AQ14" s="108" t="s">
        <v>53</v>
      </c>
      <c r="AR14" s="108" t="s">
        <v>53</v>
      </c>
      <c r="AS14" s="108" t="s">
        <v>53</v>
      </c>
      <c r="AT14" s="40">
        <v>403</v>
      </c>
      <c r="AU14" s="40">
        <v>430</v>
      </c>
      <c r="AV14" s="40">
        <v>0</v>
      </c>
      <c r="AW14" s="40">
        <v>204</v>
      </c>
      <c r="AX14" s="115">
        <v>281</v>
      </c>
      <c r="AY14" s="106" t="s">
        <v>53</v>
      </c>
      <c r="AZ14" s="41">
        <v>302</v>
      </c>
      <c r="BA14" s="108">
        <v>346</v>
      </c>
      <c r="BB14" s="108">
        <v>330</v>
      </c>
      <c r="BC14" s="108">
        <v>296</v>
      </c>
      <c r="BD14" s="108">
        <v>366</v>
      </c>
      <c r="BE14" s="40">
        <v>378</v>
      </c>
      <c r="BF14" s="40">
        <v>478</v>
      </c>
      <c r="BG14" s="40">
        <v>11</v>
      </c>
      <c r="BH14" s="40">
        <v>135</v>
      </c>
      <c r="BI14" s="115">
        <v>199</v>
      </c>
      <c r="BJ14" s="40">
        <v>173</v>
      </c>
      <c r="BK14" s="40">
        <v>152</v>
      </c>
      <c r="BL14" s="40">
        <v>162</v>
      </c>
      <c r="BM14" s="40">
        <v>154</v>
      </c>
      <c r="BN14" s="40">
        <v>166</v>
      </c>
      <c r="BO14" s="40">
        <v>153</v>
      </c>
      <c r="BP14" s="40">
        <v>16</v>
      </c>
      <c r="BQ14" s="40">
        <v>152</v>
      </c>
      <c r="BR14" s="115">
        <v>215</v>
      </c>
      <c r="BS14" s="40">
        <v>58</v>
      </c>
      <c r="BT14" s="38">
        <v>26</v>
      </c>
      <c r="BU14" s="40">
        <v>25</v>
      </c>
      <c r="BV14" s="40">
        <v>21</v>
      </c>
      <c r="BW14" s="40">
        <v>19</v>
      </c>
      <c r="BX14" s="40">
        <v>23</v>
      </c>
      <c r="BY14" s="40">
        <v>14</v>
      </c>
      <c r="BZ14" s="40">
        <v>14</v>
      </c>
      <c r="CA14" s="43">
        <v>34</v>
      </c>
      <c r="CB14" s="38">
        <v>39</v>
      </c>
      <c r="CC14" s="40">
        <v>120</v>
      </c>
      <c r="CD14" s="40">
        <v>155</v>
      </c>
      <c r="CE14" s="40">
        <v>169</v>
      </c>
      <c r="CF14" s="40">
        <v>165</v>
      </c>
      <c r="CG14" s="40">
        <v>8</v>
      </c>
      <c r="CH14" s="40">
        <v>37</v>
      </c>
      <c r="CI14" s="115">
        <v>97</v>
      </c>
      <c r="CJ14" s="38" t="s">
        <v>54</v>
      </c>
      <c r="CK14" s="40">
        <v>157</v>
      </c>
      <c r="CL14" s="40">
        <v>176</v>
      </c>
      <c r="CM14" s="40">
        <v>1</v>
      </c>
      <c r="CN14" s="40">
        <v>288</v>
      </c>
      <c r="CO14" s="40">
        <v>248</v>
      </c>
      <c r="CP14" s="40">
        <v>14</v>
      </c>
      <c r="CQ14" s="40">
        <v>104</v>
      </c>
      <c r="CR14" s="40">
        <v>84</v>
      </c>
      <c r="CS14" s="40">
        <v>18</v>
      </c>
      <c r="CT14" s="40">
        <v>20</v>
      </c>
      <c r="CU14" s="40">
        <v>42</v>
      </c>
      <c r="CV14" s="40" t="s">
        <v>54</v>
      </c>
      <c r="CW14" s="40">
        <v>17</v>
      </c>
      <c r="CX14" s="40">
        <v>50</v>
      </c>
      <c r="CY14" s="40">
        <v>90</v>
      </c>
      <c r="CZ14" s="40" t="s">
        <v>54</v>
      </c>
      <c r="DA14" s="40">
        <v>44</v>
      </c>
      <c r="DB14" s="40">
        <v>29</v>
      </c>
      <c r="DC14" s="40">
        <v>84</v>
      </c>
      <c r="DD14" s="66" t="s">
        <v>23</v>
      </c>
      <c r="DI14" s="22"/>
      <c r="DJ14" s="22"/>
      <c r="DK14" s="22"/>
      <c r="DL14" s="22"/>
    </row>
    <row r="15" spans="1:116" ht="23.25" customHeight="1" x14ac:dyDescent="0.4">
      <c r="A15" s="57" t="s">
        <v>24</v>
      </c>
      <c r="B15" s="35"/>
      <c r="C15" s="104">
        <v>139</v>
      </c>
      <c r="D15" s="41">
        <v>153</v>
      </c>
      <c r="E15" s="41">
        <v>200</v>
      </c>
      <c r="F15" s="40">
        <v>189</v>
      </c>
      <c r="G15" s="40">
        <v>173</v>
      </c>
      <c r="H15" s="40">
        <v>214</v>
      </c>
      <c r="I15" s="40">
        <v>217</v>
      </c>
      <c r="J15" s="40">
        <v>210</v>
      </c>
      <c r="K15" s="40">
        <v>221</v>
      </c>
      <c r="L15" s="40">
        <v>84</v>
      </c>
      <c r="M15" s="40">
        <v>181</v>
      </c>
      <c r="N15" s="115">
        <v>248</v>
      </c>
      <c r="O15" s="41">
        <v>254</v>
      </c>
      <c r="P15" s="41">
        <v>362</v>
      </c>
      <c r="Q15" s="41">
        <v>464</v>
      </c>
      <c r="R15" s="40">
        <v>392</v>
      </c>
      <c r="S15" s="40">
        <v>346</v>
      </c>
      <c r="T15" s="40">
        <v>438</v>
      </c>
      <c r="U15" s="40">
        <v>436</v>
      </c>
      <c r="V15" s="40">
        <v>412</v>
      </c>
      <c r="W15" s="40">
        <v>424</v>
      </c>
      <c r="X15" s="40">
        <v>34</v>
      </c>
      <c r="Y15" s="40">
        <v>292</v>
      </c>
      <c r="Z15" s="115">
        <v>374</v>
      </c>
      <c r="AA15" s="106" t="s">
        <v>53</v>
      </c>
      <c r="AB15" s="41">
        <f>33*2</f>
        <v>66</v>
      </c>
      <c r="AC15" s="41">
        <f>136+90</f>
        <v>226</v>
      </c>
      <c r="AD15" s="40">
        <v>226</v>
      </c>
      <c r="AE15" s="40">
        <f>87+12</f>
        <v>99</v>
      </c>
      <c r="AF15" s="40">
        <v>149</v>
      </c>
      <c r="AG15" s="40">
        <f>68+78</f>
        <v>146</v>
      </c>
      <c r="AH15" s="40">
        <v>180</v>
      </c>
      <c r="AI15" s="40">
        <v>177</v>
      </c>
      <c r="AJ15" s="40">
        <v>84</v>
      </c>
      <c r="AK15" s="40">
        <v>236</v>
      </c>
      <c r="AL15" s="115">
        <v>138</v>
      </c>
      <c r="AM15" s="106" t="s">
        <v>53</v>
      </c>
      <c r="AN15" s="41">
        <v>250</v>
      </c>
      <c r="AO15" s="41">
        <v>402</v>
      </c>
      <c r="AP15" s="108" t="s">
        <v>53</v>
      </c>
      <c r="AQ15" s="108" t="s">
        <v>53</v>
      </c>
      <c r="AR15" s="108" t="s">
        <v>53</v>
      </c>
      <c r="AS15" s="108" t="s">
        <v>53</v>
      </c>
      <c r="AT15" s="40">
        <v>450</v>
      </c>
      <c r="AU15" s="40">
        <v>420</v>
      </c>
      <c r="AV15" s="40">
        <v>0</v>
      </c>
      <c r="AW15" s="40">
        <v>202</v>
      </c>
      <c r="AX15" s="115">
        <v>269</v>
      </c>
      <c r="AY15" s="106" t="s">
        <v>53</v>
      </c>
      <c r="AZ15" s="41">
        <v>333</v>
      </c>
      <c r="BA15" s="108">
        <v>370</v>
      </c>
      <c r="BB15" s="108">
        <v>341</v>
      </c>
      <c r="BC15" s="108">
        <v>329</v>
      </c>
      <c r="BD15" s="108">
        <v>397</v>
      </c>
      <c r="BE15" s="40">
        <v>430</v>
      </c>
      <c r="BF15" s="40">
        <v>480</v>
      </c>
      <c r="BG15" s="40">
        <v>6</v>
      </c>
      <c r="BH15" s="40">
        <v>138</v>
      </c>
      <c r="BI15" s="115">
        <v>186</v>
      </c>
      <c r="BJ15" s="40">
        <v>172</v>
      </c>
      <c r="BK15" s="40">
        <v>163</v>
      </c>
      <c r="BL15" s="40">
        <v>156</v>
      </c>
      <c r="BM15" s="40">
        <v>148</v>
      </c>
      <c r="BN15" s="40">
        <v>165</v>
      </c>
      <c r="BO15" s="40">
        <v>161</v>
      </c>
      <c r="BP15" s="40">
        <v>45</v>
      </c>
      <c r="BQ15" s="40">
        <v>156</v>
      </c>
      <c r="BR15" s="115">
        <v>215</v>
      </c>
      <c r="BS15" s="40">
        <v>60</v>
      </c>
      <c r="BT15" s="38">
        <v>26</v>
      </c>
      <c r="BU15" s="40">
        <v>19</v>
      </c>
      <c r="BV15" s="40">
        <v>22</v>
      </c>
      <c r="BW15" s="40">
        <v>27</v>
      </c>
      <c r="BX15" s="40">
        <v>30</v>
      </c>
      <c r="BY15" s="40">
        <v>8</v>
      </c>
      <c r="BZ15" s="40">
        <v>14</v>
      </c>
      <c r="CA15" s="43">
        <v>22</v>
      </c>
      <c r="CB15" s="38">
        <v>54</v>
      </c>
      <c r="CC15" s="40">
        <v>149</v>
      </c>
      <c r="CD15" s="40">
        <v>173</v>
      </c>
      <c r="CE15" s="40">
        <v>147</v>
      </c>
      <c r="CF15" s="40">
        <v>155</v>
      </c>
      <c r="CG15" s="40">
        <v>6</v>
      </c>
      <c r="CH15" s="40">
        <v>30</v>
      </c>
      <c r="CI15" s="115">
        <v>69</v>
      </c>
      <c r="CJ15" s="38" t="s">
        <v>54</v>
      </c>
      <c r="CK15" s="40">
        <v>172</v>
      </c>
      <c r="CL15" s="40">
        <v>189</v>
      </c>
      <c r="CM15" s="40">
        <v>4</v>
      </c>
      <c r="CN15" s="40">
        <v>265</v>
      </c>
      <c r="CO15" s="40">
        <v>268</v>
      </c>
      <c r="CP15" s="40">
        <v>12</v>
      </c>
      <c r="CQ15" s="40">
        <v>97</v>
      </c>
      <c r="CR15" s="40">
        <v>70</v>
      </c>
      <c r="CS15" s="40">
        <v>18</v>
      </c>
      <c r="CT15" s="40">
        <v>20</v>
      </c>
      <c r="CU15" s="40">
        <v>36</v>
      </c>
      <c r="CV15" s="40">
        <v>24</v>
      </c>
      <c r="CW15" s="40">
        <v>17</v>
      </c>
      <c r="CX15" s="40">
        <v>44</v>
      </c>
      <c r="CY15" s="40">
        <v>64</v>
      </c>
      <c r="CZ15" s="40" t="s">
        <v>54</v>
      </c>
      <c r="DA15" s="40">
        <v>27</v>
      </c>
      <c r="DB15" s="40">
        <v>24</v>
      </c>
      <c r="DC15" s="40">
        <v>98</v>
      </c>
      <c r="DD15" s="66" t="s">
        <v>25</v>
      </c>
    </row>
    <row r="16" spans="1:116" ht="23.25" customHeight="1" x14ac:dyDescent="0.4">
      <c r="A16" s="57" t="s">
        <v>26</v>
      </c>
      <c r="B16" s="35"/>
      <c r="C16" s="104">
        <v>148</v>
      </c>
      <c r="D16" s="41">
        <v>155</v>
      </c>
      <c r="E16" s="41">
        <v>200</v>
      </c>
      <c r="F16" s="40">
        <v>185</v>
      </c>
      <c r="G16" s="40">
        <v>177</v>
      </c>
      <c r="H16" s="40">
        <v>233</v>
      </c>
      <c r="I16" s="40">
        <v>242</v>
      </c>
      <c r="J16" s="40">
        <v>215</v>
      </c>
      <c r="K16" s="40">
        <v>228</v>
      </c>
      <c r="L16" s="40">
        <v>54</v>
      </c>
      <c r="M16" s="40">
        <v>169</v>
      </c>
      <c r="N16" s="115">
        <v>266</v>
      </c>
      <c r="O16" s="41">
        <v>272</v>
      </c>
      <c r="P16" s="41">
        <v>286</v>
      </c>
      <c r="Q16" s="41">
        <v>376</v>
      </c>
      <c r="R16" s="40">
        <v>346</v>
      </c>
      <c r="S16" s="40">
        <v>320</v>
      </c>
      <c r="T16" s="40">
        <v>432</v>
      </c>
      <c r="U16" s="40">
        <v>434</v>
      </c>
      <c r="V16" s="40">
        <v>402</v>
      </c>
      <c r="W16" s="40">
        <v>392</v>
      </c>
      <c r="X16" s="40">
        <v>30</v>
      </c>
      <c r="Y16" s="40">
        <v>276</v>
      </c>
      <c r="Z16" s="115">
        <v>344</v>
      </c>
      <c r="AA16" s="106" t="s">
        <v>53</v>
      </c>
      <c r="AB16" s="41">
        <f>27*2</f>
        <v>54</v>
      </c>
      <c r="AC16" s="41">
        <f>148+51</f>
        <v>199</v>
      </c>
      <c r="AD16" s="40">
        <v>223</v>
      </c>
      <c r="AE16" s="40">
        <v>185</v>
      </c>
      <c r="AF16" s="40">
        <f>123+44</f>
        <v>167</v>
      </c>
      <c r="AG16" s="40">
        <f>96+76</f>
        <v>172</v>
      </c>
      <c r="AH16" s="40">
        <v>191</v>
      </c>
      <c r="AI16" s="40">
        <f>102+76</f>
        <v>178</v>
      </c>
      <c r="AJ16" s="40">
        <v>64</v>
      </c>
      <c r="AK16" s="40">
        <v>202</v>
      </c>
      <c r="AL16" s="115">
        <v>128</v>
      </c>
      <c r="AM16" s="106" t="s">
        <v>53</v>
      </c>
      <c r="AN16" s="41">
        <v>308</v>
      </c>
      <c r="AO16" s="41">
        <v>387</v>
      </c>
      <c r="AP16" s="108" t="s">
        <v>53</v>
      </c>
      <c r="AQ16" s="108" t="s">
        <v>53</v>
      </c>
      <c r="AR16" s="108" t="s">
        <v>53</v>
      </c>
      <c r="AS16" s="108" t="s">
        <v>53</v>
      </c>
      <c r="AT16" s="40">
        <v>375</v>
      </c>
      <c r="AU16" s="40">
        <v>318</v>
      </c>
      <c r="AV16" s="40">
        <v>0</v>
      </c>
      <c r="AW16" s="40">
        <v>205</v>
      </c>
      <c r="AX16" s="115">
        <v>272</v>
      </c>
      <c r="AY16" s="106" t="s">
        <v>53</v>
      </c>
      <c r="AZ16" s="41">
        <v>335</v>
      </c>
      <c r="BA16" s="108">
        <v>357</v>
      </c>
      <c r="BB16" s="108">
        <v>314</v>
      </c>
      <c r="BC16" s="108">
        <v>331</v>
      </c>
      <c r="BD16" s="108">
        <v>362</v>
      </c>
      <c r="BE16" s="40">
        <v>360</v>
      </c>
      <c r="BF16" s="40">
        <v>380</v>
      </c>
      <c r="BG16" s="40">
        <v>7</v>
      </c>
      <c r="BH16" s="40">
        <v>135</v>
      </c>
      <c r="BI16" s="115">
        <v>172</v>
      </c>
      <c r="BJ16" s="40">
        <v>166</v>
      </c>
      <c r="BK16" s="40">
        <v>151</v>
      </c>
      <c r="BL16" s="40">
        <v>155</v>
      </c>
      <c r="BM16" s="40">
        <v>166</v>
      </c>
      <c r="BN16" s="40">
        <v>158</v>
      </c>
      <c r="BO16" s="40">
        <v>154</v>
      </c>
      <c r="BP16" s="40">
        <v>46</v>
      </c>
      <c r="BQ16" s="40">
        <v>160</v>
      </c>
      <c r="BR16" s="115">
        <v>218</v>
      </c>
      <c r="BS16" s="40">
        <v>46</v>
      </c>
      <c r="BT16" s="38">
        <v>32</v>
      </c>
      <c r="BU16" s="40">
        <v>24</v>
      </c>
      <c r="BV16" s="40">
        <v>21</v>
      </c>
      <c r="BW16" s="40">
        <v>23</v>
      </c>
      <c r="BX16" s="40">
        <v>21</v>
      </c>
      <c r="BY16" s="40">
        <v>6</v>
      </c>
      <c r="BZ16" s="40">
        <v>10</v>
      </c>
      <c r="CA16" s="43">
        <v>18</v>
      </c>
      <c r="CB16" s="38">
        <v>69</v>
      </c>
      <c r="CC16" s="40">
        <v>130</v>
      </c>
      <c r="CD16" s="40">
        <v>173</v>
      </c>
      <c r="CE16" s="40">
        <v>141</v>
      </c>
      <c r="CF16" s="40">
        <v>154</v>
      </c>
      <c r="CG16" s="40">
        <v>9</v>
      </c>
      <c r="CH16" s="40">
        <v>32</v>
      </c>
      <c r="CI16" s="115">
        <v>63</v>
      </c>
      <c r="CJ16" s="38" t="s">
        <v>54</v>
      </c>
      <c r="CK16" s="40">
        <v>165</v>
      </c>
      <c r="CL16" s="40">
        <v>161</v>
      </c>
      <c r="CM16" s="40">
        <v>10</v>
      </c>
      <c r="CN16" s="40">
        <v>217</v>
      </c>
      <c r="CO16" s="40">
        <v>214</v>
      </c>
      <c r="CP16" s="40">
        <v>14</v>
      </c>
      <c r="CQ16" s="40">
        <v>70</v>
      </c>
      <c r="CR16" s="40">
        <v>56</v>
      </c>
      <c r="CS16" s="40">
        <v>12</v>
      </c>
      <c r="CT16" s="40">
        <v>20</v>
      </c>
      <c r="CU16" s="40">
        <v>18</v>
      </c>
      <c r="CV16" s="40">
        <v>26</v>
      </c>
      <c r="CW16" s="40">
        <v>10</v>
      </c>
      <c r="CX16" s="40">
        <v>52</v>
      </c>
      <c r="CY16" s="40">
        <v>60</v>
      </c>
      <c r="CZ16" s="40" t="s">
        <v>54</v>
      </c>
      <c r="DA16" s="40">
        <v>13</v>
      </c>
      <c r="DB16" s="40">
        <v>60</v>
      </c>
      <c r="DC16" s="40">
        <v>96</v>
      </c>
      <c r="DD16" s="66" t="s">
        <v>27</v>
      </c>
    </row>
    <row r="17" spans="1:116" ht="23.25" customHeight="1" x14ac:dyDescent="0.4">
      <c r="A17" s="57" t="s">
        <v>28</v>
      </c>
      <c r="B17" s="35"/>
      <c r="C17" s="104">
        <v>144</v>
      </c>
      <c r="D17" s="41">
        <v>157</v>
      </c>
      <c r="E17" s="41">
        <v>204</v>
      </c>
      <c r="F17" s="40">
        <v>180</v>
      </c>
      <c r="G17" s="40">
        <v>163</v>
      </c>
      <c r="H17" s="40">
        <v>228</v>
      </c>
      <c r="I17" s="40">
        <v>238</v>
      </c>
      <c r="J17" s="40">
        <v>168</v>
      </c>
      <c r="K17" s="40">
        <v>217</v>
      </c>
      <c r="L17" s="40">
        <v>74</v>
      </c>
      <c r="M17" s="40">
        <v>203</v>
      </c>
      <c r="N17" s="115">
        <v>258</v>
      </c>
      <c r="O17" s="41">
        <v>190</v>
      </c>
      <c r="P17" s="41">
        <v>272</v>
      </c>
      <c r="Q17" s="41">
        <v>380</v>
      </c>
      <c r="R17" s="40">
        <v>366</v>
      </c>
      <c r="S17" s="40">
        <v>334</v>
      </c>
      <c r="T17" s="40">
        <v>492</v>
      </c>
      <c r="U17" s="40">
        <v>446</v>
      </c>
      <c r="V17" s="40">
        <v>394</v>
      </c>
      <c r="W17" s="40">
        <v>408</v>
      </c>
      <c r="X17" s="40">
        <v>54</v>
      </c>
      <c r="Y17" s="40">
        <v>340</v>
      </c>
      <c r="Z17" s="115">
        <v>360</v>
      </c>
      <c r="AA17" s="106">
        <v>4</v>
      </c>
      <c r="AB17" s="41">
        <f>26*2</f>
        <v>52</v>
      </c>
      <c r="AC17" s="41">
        <f>54+156</f>
        <v>210</v>
      </c>
      <c r="AD17" s="40">
        <v>251</v>
      </c>
      <c r="AE17" s="40">
        <f>84+20</f>
        <v>104</v>
      </c>
      <c r="AF17" s="40">
        <v>172</v>
      </c>
      <c r="AG17" s="40">
        <f>78+44</f>
        <v>122</v>
      </c>
      <c r="AH17" s="40">
        <v>105</v>
      </c>
      <c r="AI17" s="40">
        <f>76+75</f>
        <v>151</v>
      </c>
      <c r="AJ17" s="40">
        <v>55</v>
      </c>
      <c r="AK17" s="40">
        <v>224</v>
      </c>
      <c r="AL17" s="115">
        <v>136</v>
      </c>
      <c r="AM17" s="106">
        <v>186</v>
      </c>
      <c r="AN17" s="41">
        <v>365</v>
      </c>
      <c r="AO17" s="41">
        <v>439</v>
      </c>
      <c r="AP17" s="108" t="s">
        <v>53</v>
      </c>
      <c r="AQ17" s="108" t="s">
        <v>53</v>
      </c>
      <c r="AR17" s="108" t="s">
        <v>53</v>
      </c>
      <c r="AS17" s="108" t="s">
        <v>53</v>
      </c>
      <c r="AT17" s="40">
        <v>414</v>
      </c>
      <c r="AU17" s="40">
        <v>350</v>
      </c>
      <c r="AV17" s="40">
        <v>102</v>
      </c>
      <c r="AW17" s="40">
        <v>224</v>
      </c>
      <c r="AX17" s="115">
        <v>276</v>
      </c>
      <c r="AY17" s="106">
        <v>30</v>
      </c>
      <c r="AZ17" s="41">
        <v>357</v>
      </c>
      <c r="BA17" s="108">
        <v>368</v>
      </c>
      <c r="BB17" s="108">
        <v>328</v>
      </c>
      <c r="BC17" s="108">
        <v>321</v>
      </c>
      <c r="BD17" s="108">
        <v>387</v>
      </c>
      <c r="BE17" s="40">
        <v>392</v>
      </c>
      <c r="BF17" s="40">
        <v>441</v>
      </c>
      <c r="BG17" s="40">
        <v>9</v>
      </c>
      <c r="BH17" s="40">
        <v>160</v>
      </c>
      <c r="BI17" s="115">
        <v>200</v>
      </c>
      <c r="BJ17" s="40">
        <v>185</v>
      </c>
      <c r="BK17" s="40">
        <v>173</v>
      </c>
      <c r="BL17" s="40">
        <v>167</v>
      </c>
      <c r="BM17" s="40">
        <v>163</v>
      </c>
      <c r="BN17" s="40">
        <v>167</v>
      </c>
      <c r="BO17" s="40">
        <v>165</v>
      </c>
      <c r="BP17" s="40">
        <v>62</v>
      </c>
      <c r="BQ17" s="40">
        <v>169</v>
      </c>
      <c r="BR17" s="115">
        <v>227</v>
      </c>
      <c r="BS17" s="40">
        <v>54</v>
      </c>
      <c r="BT17" s="38">
        <v>27</v>
      </c>
      <c r="BU17" s="40">
        <v>20</v>
      </c>
      <c r="BV17" s="40">
        <v>19</v>
      </c>
      <c r="BW17" s="40">
        <v>18</v>
      </c>
      <c r="BX17" s="40">
        <v>19</v>
      </c>
      <c r="BY17" s="40">
        <v>10</v>
      </c>
      <c r="BZ17" s="40">
        <v>22</v>
      </c>
      <c r="CA17" s="43">
        <v>18</v>
      </c>
      <c r="CB17" s="38">
        <v>87</v>
      </c>
      <c r="CC17" s="40">
        <v>150</v>
      </c>
      <c r="CD17" s="40">
        <v>188</v>
      </c>
      <c r="CE17" s="40">
        <v>171</v>
      </c>
      <c r="CF17" s="40">
        <v>171</v>
      </c>
      <c r="CG17" s="40">
        <v>15</v>
      </c>
      <c r="CH17" s="40">
        <v>48</v>
      </c>
      <c r="CI17" s="115">
        <v>82</v>
      </c>
      <c r="CJ17" s="38">
        <v>132</v>
      </c>
      <c r="CK17" s="40">
        <v>180</v>
      </c>
      <c r="CL17" s="40">
        <v>186</v>
      </c>
      <c r="CM17" s="40">
        <v>21</v>
      </c>
      <c r="CN17" s="40">
        <v>302</v>
      </c>
      <c r="CO17" s="40">
        <v>301</v>
      </c>
      <c r="CP17" s="40">
        <v>18</v>
      </c>
      <c r="CQ17" s="40">
        <v>47</v>
      </c>
      <c r="CR17" s="40">
        <v>66</v>
      </c>
      <c r="CS17" s="40">
        <v>6</v>
      </c>
      <c r="CT17" s="40">
        <v>22</v>
      </c>
      <c r="CU17" s="40">
        <v>22</v>
      </c>
      <c r="CV17" s="40">
        <v>30</v>
      </c>
      <c r="CW17" s="40">
        <v>4</v>
      </c>
      <c r="CX17" s="40">
        <v>64</v>
      </c>
      <c r="CY17" s="40">
        <v>56</v>
      </c>
      <c r="CZ17" s="40" t="s">
        <v>54</v>
      </c>
      <c r="DA17" s="40">
        <v>16</v>
      </c>
      <c r="DB17" s="40">
        <v>79</v>
      </c>
      <c r="DC17" s="40">
        <v>96</v>
      </c>
      <c r="DD17" s="66" t="s">
        <v>29</v>
      </c>
      <c r="DI17" s="22"/>
      <c r="DJ17" s="22"/>
      <c r="DK17" s="22"/>
      <c r="DL17" s="22"/>
    </row>
    <row r="18" spans="1:116" ht="23.25" customHeight="1" x14ac:dyDescent="0.4">
      <c r="A18" s="57" t="s">
        <v>30</v>
      </c>
      <c r="B18" s="35"/>
      <c r="C18" s="104">
        <v>151</v>
      </c>
      <c r="D18" s="41">
        <v>170</v>
      </c>
      <c r="E18" s="41">
        <v>203</v>
      </c>
      <c r="F18" s="40">
        <v>147</v>
      </c>
      <c r="G18" s="40">
        <v>179</v>
      </c>
      <c r="H18" s="40">
        <v>202</v>
      </c>
      <c r="I18" s="40">
        <v>241</v>
      </c>
      <c r="J18" s="40">
        <v>204</v>
      </c>
      <c r="K18" s="40">
        <v>226</v>
      </c>
      <c r="L18" s="40">
        <v>128</v>
      </c>
      <c r="M18" s="40">
        <v>183</v>
      </c>
      <c r="N18" s="115">
        <v>244</v>
      </c>
      <c r="O18" s="41">
        <v>354</v>
      </c>
      <c r="P18" s="41">
        <v>282</v>
      </c>
      <c r="Q18" s="41">
        <v>390</v>
      </c>
      <c r="R18" s="40">
        <v>374</v>
      </c>
      <c r="S18" s="40">
        <v>334</v>
      </c>
      <c r="T18" s="40">
        <v>458</v>
      </c>
      <c r="U18" s="40">
        <v>410</v>
      </c>
      <c r="V18" s="40">
        <v>390</v>
      </c>
      <c r="W18" s="40">
        <v>348</v>
      </c>
      <c r="X18" s="40">
        <v>152</v>
      </c>
      <c r="Y18" s="40">
        <v>314</v>
      </c>
      <c r="Z18" s="115">
        <v>360</v>
      </c>
      <c r="AA18" s="106">
        <v>144</v>
      </c>
      <c r="AB18" s="41">
        <f>42*2</f>
        <v>84</v>
      </c>
      <c r="AC18" s="41">
        <v>253</v>
      </c>
      <c r="AD18" s="40">
        <v>220</v>
      </c>
      <c r="AE18" s="40">
        <v>162</v>
      </c>
      <c r="AF18" s="40">
        <f>48+129</f>
        <v>177</v>
      </c>
      <c r="AG18" s="40">
        <v>133</v>
      </c>
      <c r="AH18" s="40">
        <v>184</v>
      </c>
      <c r="AI18" s="40">
        <f>56+117</f>
        <v>173</v>
      </c>
      <c r="AJ18" s="40">
        <v>153</v>
      </c>
      <c r="AK18" s="40">
        <v>241</v>
      </c>
      <c r="AL18" s="115">
        <v>124</v>
      </c>
      <c r="AM18" s="106">
        <v>275</v>
      </c>
      <c r="AN18" s="41">
        <v>325</v>
      </c>
      <c r="AO18" s="41">
        <v>415</v>
      </c>
      <c r="AP18" s="108" t="s">
        <v>53</v>
      </c>
      <c r="AQ18" s="108" t="s">
        <v>53</v>
      </c>
      <c r="AR18" s="108" t="s">
        <v>53</v>
      </c>
      <c r="AS18" s="108" t="s">
        <v>53</v>
      </c>
      <c r="AT18" s="40">
        <v>383</v>
      </c>
      <c r="AU18" s="40">
        <v>349</v>
      </c>
      <c r="AV18" s="40">
        <v>125</v>
      </c>
      <c r="AW18" s="40">
        <v>234</v>
      </c>
      <c r="AX18" s="115">
        <v>270</v>
      </c>
      <c r="AY18" s="106">
        <v>49</v>
      </c>
      <c r="AZ18" s="41">
        <v>365</v>
      </c>
      <c r="BA18" s="108">
        <v>309</v>
      </c>
      <c r="BB18" s="108">
        <v>319</v>
      </c>
      <c r="BC18" s="108">
        <v>324</v>
      </c>
      <c r="BD18" s="108">
        <v>370</v>
      </c>
      <c r="BE18" s="40">
        <v>379</v>
      </c>
      <c r="BF18" s="40">
        <v>374</v>
      </c>
      <c r="BG18" s="40">
        <v>67</v>
      </c>
      <c r="BH18" s="40">
        <v>182</v>
      </c>
      <c r="BI18" s="115">
        <v>183</v>
      </c>
      <c r="BJ18" s="40">
        <v>169</v>
      </c>
      <c r="BK18" s="40">
        <v>164</v>
      </c>
      <c r="BL18" s="40">
        <v>160</v>
      </c>
      <c r="BM18" s="40">
        <v>170</v>
      </c>
      <c r="BN18" s="40">
        <v>159</v>
      </c>
      <c r="BO18" s="40">
        <v>177</v>
      </c>
      <c r="BP18" s="40">
        <v>89</v>
      </c>
      <c r="BQ18" s="40">
        <v>171</v>
      </c>
      <c r="BR18" s="115">
        <v>202</v>
      </c>
      <c r="BS18" s="40">
        <v>50</v>
      </c>
      <c r="BT18" s="38">
        <v>30</v>
      </c>
      <c r="BU18" s="40">
        <v>22</v>
      </c>
      <c r="BV18" s="40">
        <v>21</v>
      </c>
      <c r="BW18" s="40">
        <v>24</v>
      </c>
      <c r="BX18" s="40">
        <v>17</v>
      </c>
      <c r="BY18" s="40">
        <v>7</v>
      </c>
      <c r="BZ18" s="40">
        <v>12</v>
      </c>
      <c r="CA18" s="43">
        <v>32</v>
      </c>
      <c r="CB18" s="38">
        <v>127</v>
      </c>
      <c r="CC18" s="40">
        <v>132</v>
      </c>
      <c r="CD18" s="40">
        <v>164</v>
      </c>
      <c r="CE18" s="40">
        <v>156</v>
      </c>
      <c r="CF18" s="40">
        <v>168</v>
      </c>
      <c r="CG18" s="40">
        <v>20</v>
      </c>
      <c r="CH18" s="40">
        <v>71</v>
      </c>
      <c r="CI18" s="115">
        <v>63</v>
      </c>
      <c r="CJ18" s="38">
        <v>178</v>
      </c>
      <c r="CK18" s="40">
        <v>175</v>
      </c>
      <c r="CL18" s="40">
        <v>210</v>
      </c>
      <c r="CM18" s="40">
        <v>54</v>
      </c>
      <c r="CN18" s="40">
        <v>325</v>
      </c>
      <c r="CO18" s="40">
        <v>322</v>
      </c>
      <c r="CP18" s="40">
        <v>56</v>
      </c>
      <c r="CQ18" s="40">
        <v>45</v>
      </c>
      <c r="CR18" s="40">
        <v>64</v>
      </c>
      <c r="CS18" s="40">
        <v>20</v>
      </c>
      <c r="CT18" s="40">
        <v>16</v>
      </c>
      <c r="CU18" s="40">
        <v>18</v>
      </c>
      <c r="CV18" s="40">
        <v>62</v>
      </c>
      <c r="CW18" s="40">
        <v>18</v>
      </c>
      <c r="CX18" s="40">
        <v>50</v>
      </c>
      <c r="CY18" s="40">
        <v>60</v>
      </c>
      <c r="CZ18" s="40">
        <v>12</v>
      </c>
      <c r="DA18" s="40">
        <v>15</v>
      </c>
      <c r="DB18" s="40">
        <v>150</v>
      </c>
      <c r="DC18" s="40">
        <v>123</v>
      </c>
      <c r="DD18" s="66" t="s">
        <v>31</v>
      </c>
    </row>
    <row r="19" spans="1:116" ht="23.25" customHeight="1" x14ac:dyDescent="0.4">
      <c r="A19" s="58" t="s">
        <v>32</v>
      </c>
      <c r="B19" s="44"/>
      <c r="C19" s="105">
        <v>134</v>
      </c>
      <c r="D19" s="50">
        <v>174</v>
      </c>
      <c r="E19" s="50">
        <v>220</v>
      </c>
      <c r="F19" s="49">
        <v>162</v>
      </c>
      <c r="G19" s="49">
        <v>199</v>
      </c>
      <c r="H19" s="49">
        <v>181</v>
      </c>
      <c r="I19" s="49">
        <v>267</v>
      </c>
      <c r="J19" s="49">
        <v>212</v>
      </c>
      <c r="K19" s="49">
        <v>205</v>
      </c>
      <c r="L19" s="49">
        <v>201</v>
      </c>
      <c r="M19" s="49">
        <v>234</v>
      </c>
      <c r="N19" s="116">
        <v>230</v>
      </c>
      <c r="O19" s="50">
        <v>330</v>
      </c>
      <c r="P19" s="50">
        <v>368</v>
      </c>
      <c r="Q19" s="50">
        <v>371</v>
      </c>
      <c r="R19" s="49">
        <v>398</v>
      </c>
      <c r="S19" s="49">
        <v>406</v>
      </c>
      <c r="T19" s="49">
        <v>458</v>
      </c>
      <c r="U19" s="49">
        <v>418</v>
      </c>
      <c r="V19" s="49">
        <v>390</v>
      </c>
      <c r="W19" s="49">
        <v>412</v>
      </c>
      <c r="X19" s="49">
        <v>248</v>
      </c>
      <c r="Y19" s="49">
        <v>392</v>
      </c>
      <c r="Z19" s="116">
        <v>398</v>
      </c>
      <c r="AA19" s="107">
        <v>114</v>
      </c>
      <c r="AB19" s="50">
        <f>41*2</f>
        <v>82</v>
      </c>
      <c r="AC19" s="50">
        <v>222</v>
      </c>
      <c r="AD19" s="49">
        <v>224</v>
      </c>
      <c r="AE19" s="49">
        <v>216</v>
      </c>
      <c r="AF19" s="49">
        <f>147+48</f>
        <v>195</v>
      </c>
      <c r="AG19" s="49">
        <v>167</v>
      </c>
      <c r="AH19" s="49">
        <v>268</v>
      </c>
      <c r="AI19" s="49">
        <v>217</v>
      </c>
      <c r="AJ19" s="49">
        <v>245</v>
      </c>
      <c r="AK19" s="49">
        <v>137</v>
      </c>
      <c r="AL19" s="116">
        <v>152</v>
      </c>
      <c r="AM19" s="107">
        <v>308</v>
      </c>
      <c r="AN19" s="50">
        <v>350</v>
      </c>
      <c r="AO19" s="50">
        <v>405</v>
      </c>
      <c r="AP19" s="109" t="s">
        <v>53</v>
      </c>
      <c r="AQ19" s="109" t="s">
        <v>53</v>
      </c>
      <c r="AR19" s="109" t="s">
        <v>53</v>
      </c>
      <c r="AS19" s="109" t="s">
        <v>53</v>
      </c>
      <c r="AT19" s="49">
        <v>410</v>
      </c>
      <c r="AU19" s="49">
        <v>346</v>
      </c>
      <c r="AV19" s="49">
        <v>190</v>
      </c>
      <c r="AW19" s="49">
        <v>271</v>
      </c>
      <c r="AX19" s="116">
        <v>255</v>
      </c>
      <c r="AY19" s="107">
        <v>94</v>
      </c>
      <c r="AZ19" s="50">
        <v>369</v>
      </c>
      <c r="BA19" s="109">
        <v>329</v>
      </c>
      <c r="BB19" s="109">
        <v>327</v>
      </c>
      <c r="BC19" s="109">
        <v>329</v>
      </c>
      <c r="BD19" s="109">
        <v>385</v>
      </c>
      <c r="BE19" s="49">
        <v>387</v>
      </c>
      <c r="BF19" s="49">
        <v>453</v>
      </c>
      <c r="BG19" s="49">
        <v>105</v>
      </c>
      <c r="BH19" s="49">
        <v>196</v>
      </c>
      <c r="BI19" s="116">
        <v>173</v>
      </c>
      <c r="BJ19" s="49">
        <v>178</v>
      </c>
      <c r="BK19" s="49">
        <v>178</v>
      </c>
      <c r="BL19" s="49">
        <v>169</v>
      </c>
      <c r="BM19" s="49">
        <v>180</v>
      </c>
      <c r="BN19" s="49">
        <v>171</v>
      </c>
      <c r="BO19" s="49">
        <v>255</v>
      </c>
      <c r="BP19" s="49">
        <v>141</v>
      </c>
      <c r="BQ19" s="49">
        <v>216</v>
      </c>
      <c r="BR19" s="116">
        <v>210</v>
      </c>
      <c r="BS19" s="49">
        <v>39</v>
      </c>
      <c r="BT19" s="47">
        <v>30</v>
      </c>
      <c r="BU19" s="49">
        <v>24</v>
      </c>
      <c r="BV19" s="49">
        <v>23</v>
      </c>
      <c r="BW19" s="49">
        <v>22</v>
      </c>
      <c r="BX19" s="49">
        <v>15</v>
      </c>
      <c r="BY19" s="49">
        <v>7</v>
      </c>
      <c r="BZ19" s="49">
        <v>18</v>
      </c>
      <c r="CA19" s="51">
        <v>16</v>
      </c>
      <c r="CB19" s="47">
        <v>124</v>
      </c>
      <c r="CC19" s="49">
        <v>131</v>
      </c>
      <c r="CD19" s="49">
        <v>169</v>
      </c>
      <c r="CE19" s="49">
        <v>158</v>
      </c>
      <c r="CF19" s="49">
        <v>161</v>
      </c>
      <c r="CG19" s="49">
        <v>34</v>
      </c>
      <c r="CH19" s="49">
        <v>96</v>
      </c>
      <c r="CI19" s="116">
        <v>70</v>
      </c>
      <c r="CJ19" s="47">
        <v>178</v>
      </c>
      <c r="CK19" s="49">
        <v>171</v>
      </c>
      <c r="CL19" s="49">
        <v>212</v>
      </c>
      <c r="CM19" s="49">
        <v>244</v>
      </c>
      <c r="CN19" s="49">
        <v>334</v>
      </c>
      <c r="CO19" s="49">
        <v>333</v>
      </c>
      <c r="CP19" s="49">
        <v>92</v>
      </c>
      <c r="CQ19" s="49">
        <v>64</v>
      </c>
      <c r="CR19" s="49">
        <v>76</v>
      </c>
      <c r="CS19" s="49">
        <v>22</v>
      </c>
      <c r="CT19" s="49">
        <v>18</v>
      </c>
      <c r="CU19" s="49">
        <v>34</v>
      </c>
      <c r="CV19" s="49">
        <v>66</v>
      </c>
      <c r="CW19" s="49">
        <v>19</v>
      </c>
      <c r="CX19" s="49">
        <v>52</v>
      </c>
      <c r="CY19" s="49">
        <v>78</v>
      </c>
      <c r="CZ19" s="49">
        <v>32</v>
      </c>
      <c r="DA19" s="49">
        <v>14</v>
      </c>
      <c r="DB19" s="49">
        <v>162</v>
      </c>
      <c r="DC19" s="49">
        <v>124</v>
      </c>
      <c r="DD19" s="67" t="s">
        <v>33</v>
      </c>
    </row>
    <row r="20" spans="1:116" ht="18.75" x14ac:dyDescent="0.25">
      <c r="A20" s="6" t="s">
        <v>6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DD20" s="8" t="s">
        <v>7</v>
      </c>
      <c r="DH20" s="15"/>
      <c r="DI20" s="22"/>
      <c r="DJ20" s="22"/>
      <c r="DK20" s="22"/>
      <c r="DL20" s="22"/>
    </row>
    <row r="21" spans="1:116" x14ac:dyDescent="0.25">
      <c r="A21" s="6" t="s">
        <v>55</v>
      </c>
      <c r="B21" s="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H21" s="15"/>
    </row>
    <row r="22" spans="1:116" x14ac:dyDescent="0.25">
      <c r="A22" s="6" t="s">
        <v>56</v>
      </c>
    </row>
    <row r="23" spans="1:116" x14ac:dyDescent="0.25">
      <c r="A23" s="6" t="s">
        <v>57</v>
      </c>
      <c r="DH23" s="9"/>
      <c r="DI23" s="22"/>
      <c r="DJ23" s="22"/>
      <c r="DK23" s="22"/>
      <c r="DL23" s="22"/>
    </row>
    <row r="24" spans="1:116" x14ac:dyDescent="0.25">
      <c r="A24" s="6" t="s">
        <v>58</v>
      </c>
    </row>
    <row r="25" spans="1:116" x14ac:dyDescent="0.25">
      <c r="A25" s="6" t="s">
        <v>59</v>
      </c>
    </row>
    <row r="26" spans="1:116" x14ac:dyDescent="0.25">
      <c r="A26" s="6" t="s">
        <v>60</v>
      </c>
    </row>
    <row r="27" spans="1:116" ht="15" customHeight="1" x14ac:dyDescent="0.25">
      <c r="A27" s="6"/>
    </row>
    <row r="39" spans="3:29" ht="18.75" x14ac:dyDescent="0.25">
      <c r="C39" s="160"/>
      <c r="D39" s="160"/>
      <c r="E39" s="160"/>
      <c r="F39" s="112"/>
      <c r="G39" s="112"/>
      <c r="H39" s="112"/>
      <c r="I39" s="112"/>
      <c r="J39" s="112"/>
      <c r="K39" s="112"/>
      <c r="L39" s="112"/>
      <c r="M39" s="112"/>
      <c r="N39" s="112"/>
      <c r="O39" s="160"/>
      <c r="P39" s="160"/>
      <c r="Q39" s="160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</row>
    <row r="40" spans="3:29" x14ac:dyDescent="0.25">
      <c r="C40" s="159"/>
      <c r="D40" s="159"/>
      <c r="E40" s="159"/>
      <c r="F40" s="111"/>
      <c r="G40" s="111"/>
      <c r="H40" s="111"/>
      <c r="I40" s="111"/>
      <c r="J40" s="111"/>
      <c r="K40" s="111"/>
      <c r="L40" s="111"/>
      <c r="M40" s="111"/>
      <c r="N40" s="111"/>
      <c r="O40" s="159"/>
      <c r="P40" s="159"/>
      <c r="Q40" s="159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3:29" x14ac:dyDescent="0.25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</row>
    <row r="42" spans="3:29" x14ac:dyDescent="0.25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</row>
    <row r="43" spans="3:29" x14ac:dyDescent="0.25">
      <c r="C43" s="55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5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spans="3:29" x14ac:dyDescent="0.25">
      <c r="C44" s="55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5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3:29" x14ac:dyDescent="0.25">
      <c r="C45" s="55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5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3:29" x14ac:dyDescent="0.25"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5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3:29" x14ac:dyDescent="0.25">
      <c r="C47" s="55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5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3:29" x14ac:dyDescent="0.25">
      <c r="C48" s="55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5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3:29" x14ac:dyDescent="0.25">
      <c r="C49" s="5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5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3:29" x14ac:dyDescent="0.25">
      <c r="C50" s="55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5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3:29" x14ac:dyDescent="0.25">
      <c r="C51" s="55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5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spans="3:29" x14ac:dyDescent="0.25"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spans="3:29" x14ac:dyDescent="0.25"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spans="3:29" x14ac:dyDescent="0.25"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</sheetData>
  <mergeCells count="34">
    <mergeCell ref="A1:DD1"/>
    <mergeCell ref="A2:DD2"/>
    <mergeCell ref="DD4:DD6"/>
    <mergeCell ref="A4:A6"/>
    <mergeCell ref="C4:N4"/>
    <mergeCell ref="O4:Z4"/>
    <mergeCell ref="O5:Z5"/>
    <mergeCell ref="BT5:CA5"/>
    <mergeCell ref="BT4:CA4"/>
    <mergeCell ref="CB4:CI4"/>
    <mergeCell ref="CB5:CI5"/>
    <mergeCell ref="CJ4:CO4"/>
    <mergeCell ref="CJ5:CO5"/>
    <mergeCell ref="CP5:CR5"/>
    <mergeCell ref="CZ4:DB4"/>
    <mergeCell ref="CZ5:DB5"/>
    <mergeCell ref="C40:E40"/>
    <mergeCell ref="O40:Q40"/>
    <mergeCell ref="C39:E39"/>
    <mergeCell ref="BJ4:BR4"/>
    <mergeCell ref="BJ5:BR5"/>
    <mergeCell ref="AA4:AL4"/>
    <mergeCell ref="AA5:AL5"/>
    <mergeCell ref="AM4:AX4"/>
    <mergeCell ref="AM5:AX5"/>
    <mergeCell ref="AY4:BI4"/>
    <mergeCell ref="AY5:BI5"/>
    <mergeCell ref="O39:Q39"/>
    <mergeCell ref="C5:N5"/>
    <mergeCell ref="CP4:CR4"/>
    <mergeCell ref="CS4:CU4"/>
    <mergeCell ref="CS5:CU5"/>
    <mergeCell ref="CV4:CY4"/>
    <mergeCell ref="CV5:CY5"/>
  </mergeCells>
  <pageMargins left="0.7" right="0.7" top="0.75" bottom="0.75" header="0.3" footer="0.3"/>
  <pageSetup paperSize="9" scale="17" orientation="landscape" r:id="rId1"/>
  <colBreaks count="1" manualBreakCount="1">
    <brk id="10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2023-07-17T08:09:23Z</cp:lastPrinted>
  <dcterms:created xsi:type="dcterms:W3CDTF">2019-03-24T03:32:16Z</dcterms:created>
  <dcterms:modified xsi:type="dcterms:W3CDTF">2023-07-17T08:09:30Z</dcterms:modified>
</cp:coreProperties>
</file>