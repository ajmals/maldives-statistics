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oreign Trade &amp; BOP\"/>
    </mc:Choice>
  </mc:AlternateContent>
  <xr:revisionPtr revIDLastSave="0" documentId="13_ncr:1_{480E996B-BF8B-47E0-8557-EC70C923C5CB}" xr6:coauthVersionLast="47" xr6:coauthVersionMax="47" xr10:uidLastSave="{00000000-0000-0000-0000-000000000000}"/>
  <bookViews>
    <workbookView xWindow="-120" yWindow="-120" windowWidth="29040" windowHeight="15720" tabRatio="765" xr2:uid="{00000000-000D-0000-FFFF-FFFF00000000}"/>
  </bookViews>
  <sheets>
    <sheet name="15.6" sheetId="6" r:id="rId1"/>
  </sheets>
  <definedNames>
    <definedName name="_xlnm.Print_Area" localSheetId="0">'15.6'!$A$1:$J$91</definedName>
    <definedName name="_xlnm.Print_Titles" localSheetId="0">'15.6'!$4:$5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6" l="1"/>
  <c r="H7" i="6"/>
  <c r="G34" i="6"/>
  <c r="H34" i="6"/>
  <c r="G43" i="6"/>
  <c r="H43" i="6"/>
  <c r="G52" i="6"/>
  <c r="H52" i="6"/>
  <c r="G55" i="6"/>
  <c r="H55" i="6"/>
  <c r="G77" i="6"/>
  <c r="H77" i="6"/>
  <c r="H6" i="6" l="1"/>
  <c r="G6" i="6"/>
  <c r="F77" i="6" l="1"/>
  <c r="F55" i="6"/>
  <c r="F52" i="6"/>
  <c r="F43" i="6"/>
  <c r="F34" i="6"/>
  <c r="F7" i="6"/>
  <c r="F6" i="6" l="1"/>
  <c r="E77" i="6"/>
  <c r="D77" i="6"/>
  <c r="C77" i="6"/>
  <c r="B77" i="6"/>
  <c r="E55" i="6"/>
  <c r="D55" i="6"/>
  <c r="C55" i="6"/>
  <c r="B55" i="6"/>
  <c r="E52" i="6"/>
  <c r="D52" i="6"/>
  <c r="C52" i="6"/>
  <c r="B52" i="6"/>
  <c r="E43" i="6"/>
  <c r="D43" i="6"/>
  <c r="C43" i="6"/>
  <c r="B43" i="6"/>
  <c r="E34" i="6"/>
  <c r="D34" i="6"/>
  <c r="C34" i="6"/>
  <c r="B34" i="6"/>
  <c r="E7" i="6"/>
  <c r="D7" i="6"/>
  <c r="C7" i="6"/>
  <c r="B7" i="6"/>
  <c r="D6" i="6" l="1"/>
  <c r="C6" i="6"/>
  <c r="B6" i="6"/>
  <c r="E6" i="6"/>
</calcChain>
</file>

<file path=xl/sharedStrings.xml><?xml version="1.0" encoding="utf-8"?>
<sst xmlns="http://schemas.openxmlformats.org/spreadsheetml/2006/main" count="377" uniqueCount="177">
  <si>
    <t>Country</t>
  </si>
  <si>
    <t>Total</t>
  </si>
  <si>
    <t>Europe</t>
  </si>
  <si>
    <t>Netherland</t>
  </si>
  <si>
    <t>Germany</t>
  </si>
  <si>
    <t>Italy</t>
  </si>
  <si>
    <t>U.K</t>
  </si>
  <si>
    <t>Asia</t>
  </si>
  <si>
    <t>France</t>
  </si>
  <si>
    <t>Middle East</t>
  </si>
  <si>
    <t>Switzerland</t>
  </si>
  <si>
    <t>America</t>
  </si>
  <si>
    <t>Sweden</t>
  </si>
  <si>
    <t>Oceania</t>
  </si>
  <si>
    <t>Africa</t>
  </si>
  <si>
    <t>Singapore</t>
  </si>
  <si>
    <t>India</t>
  </si>
  <si>
    <t>Malaysia</t>
  </si>
  <si>
    <t>Sri Lanka</t>
  </si>
  <si>
    <t>Thailand</t>
  </si>
  <si>
    <t>China</t>
  </si>
  <si>
    <t>Indonesia</t>
  </si>
  <si>
    <t>Japan</t>
  </si>
  <si>
    <t>South Africa</t>
  </si>
  <si>
    <t>Mauritius</t>
  </si>
  <si>
    <t>Canada</t>
  </si>
  <si>
    <t>Brazil</t>
  </si>
  <si>
    <t>itwmuriaudem</t>
  </si>
  <si>
    <t>Oman</t>
  </si>
  <si>
    <t>Bahrain</t>
  </si>
  <si>
    <t>Australia</t>
  </si>
  <si>
    <t>New Zealand</t>
  </si>
  <si>
    <t>Source:  Maldives Customs Services</t>
  </si>
  <si>
    <t xml:space="preserve">cswsivrWs cscmwTcswk cscviDclOm :ctWrwfivcaed utWmUluAwm     </t>
  </si>
  <si>
    <t>-</t>
  </si>
  <si>
    <t>Spain</t>
  </si>
  <si>
    <t>Denmark</t>
  </si>
  <si>
    <t>U.S.A.</t>
  </si>
  <si>
    <t>Hong Kong</t>
  </si>
  <si>
    <t>Taiwan</t>
  </si>
  <si>
    <t>ޓައިވާން</t>
  </si>
  <si>
    <t>Iran</t>
  </si>
  <si>
    <t>U.A.E.</t>
  </si>
  <si>
    <t>ޤައުމު</t>
  </si>
  <si>
    <t>ޖުމްލަ</t>
  </si>
  <si>
    <t>ޔޫރަޕް</t>
  </si>
  <si>
    <t>Austria</t>
  </si>
  <si>
    <t>އޮސްޓްރިއާ</t>
  </si>
  <si>
    <t>Belgium</t>
  </si>
  <si>
    <t>ބެލްޖިއަމް</t>
  </si>
  <si>
    <t>Czech Republic</t>
  </si>
  <si>
    <t>ޗެކްރިޕަބްލިކް</t>
  </si>
  <si>
    <t>ޑެންމާކް</t>
  </si>
  <si>
    <t>Finland</t>
  </si>
  <si>
    <t>ފިންލަންޑް</t>
  </si>
  <si>
    <t>ފްރާންސް</t>
  </si>
  <si>
    <t>ޖަރމަނީ</t>
  </si>
  <si>
    <t>Greece</t>
  </si>
  <si>
    <t>ގްރީސް</t>
  </si>
  <si>
    <t>Hungary</t>
  </si>
  <si>
    <t>ހަންގެރީ</t>
  </si>
  <si>
    <t>އިޓަލީ</t>
  </si>
  <si>
    <t>Ireland</t>
  </si>
  <si>
    <t>އަޔަލެންޑް</t>
  </si>
  <si>
    <t>Luxembourg</t>
  </si>
  <si>
    <t>ލަކްސަމްބާގް</t>
  </si>
  <si>
    <t>Malta</t>
  </si>
  <si>
    <t>މޯލްޓާ</t>
  </si>
  <si>
    <t>ނެދަލެންޑް</t>
  </si>
  <si>
    <t>Norway</t>
  </si>
  <si>
    <t>ނޯވޭ</t>
  </si>
  <si>
    <t>Poland</t>
  </si>
  <si>
    <t>ޕޮލެންޑް</t>
  </si>
  <si>
    <t>Portugal</t>
  </si>
  <si>
    <t>ޕޯޗުގަލް</t>
  </si>
  <si>
    <t>Russia</t>
  </si>
  <si>
    <t>ރަޝިޔާ</t>
  </si>
  <si>
    <t>ސްޕޭން</t>
  </si>
  <si>
    <t>ސްވިޑްން</t>
  </si>
  <si>
    <t>ސްވިޒަލަންޑް</t>
  </si>
  <si>
    <t>Ukraine</t>
  </si>
  <si>
    <t>ޔުކްރެއިން</t>
  </si>
  <si>
    <t>ޔޫ.ކޭ</t>
  </si>
  <si>
    <t>އެޕްރިކާ</t>
  </si>
  <si>
    <t>މޮރީޝަސް</t>
  </si>
  <si>
    <t>ސައުތް އެޕްރިކާ</t>
  </si>
  <si>
    <t>Seychelles</t>
  </si>
  <si>
    <t>ސީޝެލްސް</t>
  </si>
  <si>
    <t>Tanzania</t>
  </si>
  <si>
    <t>ޓެންޒޭނިއާ</t>
  </si>
  <si>
    <t>Reunion</t>
  </si>
  <si>
    <t>Tunisia</t>
  </si>
  <si>
    <t>ޓިއުނީޝިއާ</t>
  </si>
  <si>
    <t>އެމެރިކާ</t>
  </si>
  <si>
    <t>ބްރެޒިލް</t>
  </si>
  <si>
    <t>ކެނެޑާ</t>
  </si>
  <si>
    <t>Costa rica</t>
  </si>
  <si>
    <t>ކޯސްޓަރ ރިކާ</t>
  </si>
  <si>
    <t>Ecuador</t>
  </si>
  <si>
    <t>ޢިކުއިޑާ</t>
  </si>
  <si>
    <t>Jamaica</t>
  </si>
  <si>
    <t>ޖެމެއިކާ</t>
  </si>
  <si>
    <t>ޔޫ.އެސް.އޭ</t>
  </si>
  <si>
    <t>އޯޝަނިއާ</t>
  </si>
  <si>
    <t>އޮސްޓްރޭލިއާ</t>
  </si>
  <si>
    <t>އޭޝިއާ</t>
  </si>
  <si>
    <t>Bangladesh</t>
  </si>
  <si>
    <t>ބަންގްލަދޭޝް</t>
  </si>
  <si>
    <t>ޗައިނާ</t>
  </si>
  <si>
    <t>Cambodia</t>
  </si>
  <si>
    <t>ކެމްބޯޑިއާ</t>
  </si>
  <si>
    <t>Georgia</t>
  </si>
  <si>
    <t>ޖޯޖިއާ</t>
  </si>
  <si>
    <t>ހޮންކޮންގ</t>
  </si>
  <si>
    <t>އިންޑިއާ</t>
  </si>
  <si>
    <t>އިންޑޮނީޝިއާ</t>
  </si>
  <si>
    <t>ޖަޕާން</t>
  </si>
  <si>
    <t>މެލޭޝިއާ</t>
  </si>
  <si>
    <t>Nepal</t>
  </si>
  <si>
    <t>ނޭޕާލް</t>
  </si>
  <si>
    <t>Pakisthan</t>
  </si>
  <si>
    <t>ޕާކިސްތާން</t>
  </si>
  <si>
    <t>Philippines</t>
  </si>
  <si>
    <t>ފިލިޕީންސް</t>
  </si>
  <si>
    <t>ސިންގަޕޯރ</t>
  </si>
  <si>
    <t>South Korea</t>
  </si>
  <si>
    <t>ސައުތް ކޮރެއާ</t>
  </si>
  <si>
    <t>ސްރީލަންކާ</t>
  </si>
  <si>
    <t>Kazakhstan</t>
  </si>
  <si>
    <t>ކަޒަކިސްތާން</t>
  </si>
  <si>
    <t>ތައިލެންޑް</t>
  </si>
  <si>
    <t>Vietnam</t>
  </si>
  <si>
    <t>ވިއެޓްނާމް</t>
  </si>
  <si>
    <t>ބަހުރެއިން</t>
  </si>
  <si>
    <t>Cyprus</t>
  </si>
  <si>
    <t>ސައިޕްރަސް</t>
  </si>
  <si>
    <t>އިރާން</t>
  </si>
  <si>
    <t>Iraq</t>
  </si>
  <si>
    <t>އިރާގު</t>
  </si>
  <si>
    <t>Kuwait</t>
  </si>
  <si>
    <t>ކުވެއިތް</t>
  </si>
  <si>
    <t>Lebanon</t>
  </si>
  <si>
    <t>ލެބަނަން</t>
  </si>
  <si>
    <t>އޮމާން</t>
  </si>
  <si>
    <t>Qatar</t>
  </si>
  <si>
    <t>ގަތަރު</t>
  </si>
  <si>
    <t>Saudi Arabia</t>
  </si>
  <si>
    <t>ސައުދީ އަރަބިއާ</t>
  </si>
  <si>
    <t>Turkey</t>
  </si>
  <si>
    <t>ތުރުކީ</t>
  </si>
  <si>
    <t>ޔޫ.އޭ.އީ</t>
  </si>
  <si>
    <t>Yemen</t>
  </si>
  <si>
    <t>ޔަމަން</t>
  </si>
  <si>
    <r>
      <rPr>
        <b/>
        <sz val="10"/>
        <rFont val="Calibri"/>
        <family val="2"/>
      </rPr>
      <t xml:space="preserve">         Value (in MVR. '000)</t>
    </r>
    <r>
      <rPr>
        <b/>
        <sz val="10"/>
        <rFont val="A_Randhoo"/>
      </rPr>
      <t xml:space="preserve">      </t>
    </r>
    <r>
      <rPr>
        <b/>
        <sz val="10"/>
        <rFont val="A_Faseyha"/>
      </rPr>
      <t>(cniaWyifur '000 ) ugwa</t>
    </r>
  </si>
  <si>
    <t>Serbia</t>
  </si>
  <si>
    <t>Kenya</t>
  </si>
  <si>
    <t>Trinidad and Tobago</t>
  </si>
  <si>
    <t>Belarus</t>
  </si>
  <si>
    <t>ބެލްރުސް</t>
  </si>
  <si>
    <t>ސަރބިއާ</t>
  </si>
  <si>
    <t>ކެންޔާ</t>
  </si>
  <si>
    <t>Morocco</t>
  </si>
  <si>
    <t>މޮރޮކޯ</t>
  </si>
  <si>
    <t>ރީޔޫނިއަން</t>
  </si>
  <si>
    <t>ޓްރިނިޑާރޑް އަދި  ޓްބޭރގޯ</t>
  </si>
  <si>
    <t>Colombia</t>
  </si>
  <si>
    <t>ކޮލަމްބިއާ</t>
  </si>
  <si>
    <t>Table  15.6 :   EXPORTS BY COUNTRY OF DESTINATION, 2016 - 2022</t>
  </si>
  <si>
    <t>2022 - 2016 ,cawtumuawq unuvunof Wdum unuverukurEb cnEjcaWr : 15.6 ulwvWt</t>
  </si>
  <si>
    <t>Slovenia</t>
  </si>
  <si>
    <t>ސުލޮވޭނިއާ</t>
  </si>
  <si>
    <t>Armenia</t>
  </si>
  <si>
    <t>އަރމޭނިއާ</t>
  </si>
  <si>
    <t>Azerbaijan</t>
  </si>
  <si>
    <t>އަޒަރބައިޖާން</t>
  </si>
  <si>
    <t>Libya</t>
  </si>
  <si>
    <t>ލިބްޔާ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</si>
</sst>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1" formatCode="General_)"/>
    <numFmt numFmtId="172" formatCode="_-* #,##0.00\ _ރ_._-;_-* #,##0.00\ _ރ_.\-;_-* &quot;-&quot;??\ _ރ_._-;_-@_-"/>
    <numFmt numFmtId="173" formatCode="0.00_)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0"/>
      <name val="A_Randhoo"/>
    </font>
    <font>
      <sz val="10"/>
      <name val="Courier"/>
      <family val="3"/>
    </font>
    <font>
      <sz val="10"/>
      <name val="MS Sans Serif"/>
      <family val="2"/>
    </font>
    <font>
      <b/>
      <sz val="10"/>
      <name val="Faruma"/>
      <charset val="1"/>
    </font>
    <font>
      <b/>
      <sz val="12"/>
      <name val="Calibri"/>
      <family val="2"/>
      <scheme val="minor"/>
    </font>
    <font>
      <b/>
      <sz val="12"/>
      <name val="Faruma"/>
      <charset val="1"/>
    </font>
    <font>
      <b/>
      <sz val="12"/>
      <color theme="1"/>
      <name val="Calibri"/>
      <family val="2"/>
      <scheme val="minor"/>
    </font>
    <font>
      <sz val="12"/>
      <name val="Faruma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9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 style="hair">
        <color theme="1" tint="0.49998474074526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</borders>
  <cellStyleXfs count="71">
    <xf numFmtId="0" fontId="0" fillId="0" borderId="0"/>
    <xf numFmtId="43" fontId="8" fillId="0" borderId="0" applyFont="0" applyFill="0" applyBorder="0" applyAlignment="0" applyProtection="0"/>
    <xf numFmtId="171" fontId="15" fillId="0" borderId="0"/>
    <xf numFmtId="40" fontId="16" fillId="0" borderId="0" applyFont="0" applyFill="0" applyBorder="0" applyAlignment="0" applyProtection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20" applyNumberFormat="0" applyAlignment="0" applyProtection="0"/>
    <xf numFmtId="0" fontId="29" fillId="7" borderId="21" applyNumberFormat="0" applyAlignment="0" applyProtection="0"/>
    <xf numFmtId="0" fontId="30" fillId="7" borderId="20" applyNumberFormat="0" applyAlignment="0" applyProtection="0"/>
    <xf numFmtId="0" fontId="31" fillId="0" borderId="22" applyNumberFormat="0" applyFill="0" applyAlignment="0" applyProtection="0"/>
    <xf numFmtId="0" fontId="32" fillId="8" borderId="23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3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5" fillId="25" borderId="0" applyNumberFormat="0" applyBorder="0" applyAlignment="0" applyProtection="0"/>
    <xf numFmtId="0" fontId="3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5" fillId="29" borderId="0" applyNumberFormat="0" applyBorder="0" applyAlignment="0" applyProtection="0"/>
    <xf numFmtId="0" fontId="3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5" fillId="33" borderId="0" applyNumberFormat="0" applyBorder="0" applyAlignment="0" applyProtection="0"/>
    <xf numFmtId="0" fontId="36" fillId="0" borderId="0"/>
    <xf numFmtId="0" fontId="8" fillId="0" borderId="0"/>
    <xf numFmtId="172" fontId="8" fillId="0" borderId="0" applyFont="0" applyFill="0" applyBorder="0" applyAlignment="0" applyProtection="0"/>
    <xf numFmtId="173" fontId="37" fillId="0" borderId="0"/>
    <xf numFmtId="0" fontId="38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9" fillId="34" borderId="0" applyNumberFormat="0" applyBorder="0" applyAlignment="0" applyProtection="0"/>
  </cellStyleXfs>
  <cellXfs count="68">
    <xf numFmtId="0" fontId="0" fillId="0" borderId="0" xfId="0"/>
    <xf numFmtId="0" fontId="10" fillId="2" borderId="0" xfId="0" applyFont="1" applyFill="1" applyAlignment="1">
      <alignment horizontal="left" vertical="center"/>
    </xf>
    <xf numFmtId="171" fontId="3" fillId="2" borderId="7" xfId="2" applyFont="1" applyFill="1" applyBorder="1" applyAlignment="1">
      <alignment vertical="center"/>
    </xf>
    <xf numFmtId="171" fontId="3" fillId="2" borderId="7" xfId="2" applyFont="1" applyFill="1" applyBorder="1"/>
    <xf numFmtId="171" fontId="11" fillId="2" borderId="7" xfId="2" applyFont="1" applyFill="1" applyBorder="1" applyAlignment="1">
      <alignment vertical="center"/>
    </xf>
    <xf numFmtId="171" fontId="6" fillId="2" borderId="7" xfId="2" applyFont="1" applyFill="1" applyBorder="1" applyAlignment="1">
      <alignment horizontal="center" vertical="center"/>
    </xf>
    <xf numFmtId="171" fontId="6" fillId="2" borderId="7" xfId="2" applyFont="1" applyFill="1" applyBorder="1" applyAlignment="1">
      <alignment horizontal="right" vertical="center"/>
    </xf>
    <xf numFmtId="0" fontId="2" fillId="2" borderId="4" xfId="1" applyNumberFormat="1" applyFont="1" applyFill="1" applyBorder="1" applyAlignment="1" applyProtection="1">
      <alignment horizontal="right" vertical="center"/>
    </xf>
    <xf numFmtId="171" fontId="20" fillId="2" borderId="10" xfId="2" applyFont="1" applyFill="1" applyBorder="1" applyAlignment="1">
      <alignment horizontal="left" vertical="center"/>
    </xf>
    <xf numFmtId="3" fontId="2" fillId="2" borderId="10" xfId="2" applyNumberFormat="1" applyFont="1" applyFill="1" applyBorder="1" applyAlignment="1">
      <alignment horizontal="right" vertical="center"/>
    </xf>
    <xf numFmtId="0" fontId="17" fillId="2" borderId="13" xfId="0" applyFont="1" applyFill="1" applyBorder="1" applyAlignment="1">
      <alignment horizontal="right" vertical="center"/>
    </xf>
    <xf numFmtId="0" fontId="12" fillId="2" borderId="7" xfId="0" applyFont="1" applyFill="1" applyBorder="1" applyAlignment="1">
      <alignment vertical="center"/>
    </xf>
    <xf numFmtId="171" fontId="18" fillId="2" borderId="7" xfId="2" applyFont="1" applyFill="1" applyBorder="1" applyAlignment="1">
      <alignment horizontal="left" vertical="center"/>
    </xf>
    <xf numFmtId="3" fontId="4" fillId="2" borderId="7" xfId="3" applyNumberFormat="1" applyFont="1" applyFill="1" applyBorder="1" applyAlignment="1">
      <alignment horizontal="right" vertical="center"/>
    </xf>
    <xf numFmtId="171" fontId="19" fillId="2" borderId="7" xfId="2" applyFont="1" applyFill="1" applyBorder="1" applyAlignment="1">
      <alignment horizontal="right" vertical="center"/>
    </xf>
    <xf numFmtId="171" fontId="5" fillId="2" borderId="7" xfId="2" applyFont="1" applyFill="1" applyBorder="1" applyAlignment="1">
      <alignment horizontal="left" vertical="center"/>
    </xf>
    <xf numFmtId="3" fontId="7" fillId="2" borderId="7" xfId="1" applyNumberFormat="1" applyFont="1" applyFill="1" applyBorder="1" applyAlignment="1">
      <alignment horizontal="right" vertical="center"/>
    </xf>
    <xf numFmtId="171" fontId="21" fillId="2" borderId="7" xfId="2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171" fontId="5" fillId="2" borderId="14" xfId="2" applyFont="1" applyFill="1" applyBorder="1" applyAlignment="1">
      <alignment horizontal="left" vertical="center"/>
    </xf>
    <xf numFmtId="3" fontId="7" fillId="2" borderId="14" xfId="1" applyNumberFormat="1" applyFont="1" applyFill="1" applyBorder="1" applyAlignment="1">
      <alignment horizontal="right" vertical="center"/>
    </xf>
    <xf numFmtId="171" fontId="21" fillId="2" borderId="14" xfId="2" applyFont="1" applyFill="1" applyBorder="1" applyAlignment="1">
      <alignment horizontal="right" vertical="center"/>
    </xf>
    <xf numFmtId="171" fontId="18" fillId="2" borderId="10" xfId="2" applyFont="1" applyFill="1" applyBorder="1" applyAlignment="1">
      <alignment horizontal="left" vertical="center"/>
    </xf>
    <xf numFmtId="3" fontId="4" fillId="2" borderId="10" xfId="3" applyNumberFormat="1" applyFont="1" applyFill="1" applyBorder="1" applyAlignment="1">
      <alignment horizontal="right" vertical="center"/>
    </xf>
    <xf numFmtId="171" fontId="21" fillId="2" borderId="10" xfId="2" applyFont="1" applyFill="1" applyBorder="1" applyAlignment="1">
      <alignment horizontal="right" vertical="center"/>
    </xf>
    <xf numFmtId="1" fontId="5" fillId="2" borderId="7" xfId="0" applyNumberFormat="1" applyFont="1" applyFill="1" applyBorder="1" applyAlignment="1">
      <alignment horizontal="left" vertical="center"/>
    </xf>
    <xf numFmtId="3" fontId="7" fillId="2" borderId="8" xfId="1" applyNumberFormat="1" applyFont="1" applyFill="1" applyBorder="1" applyAlignment="1">
      <alignment horizontal="right" vertical="center"/>
    </xf>
    <xf numFmtId="171" fontId="21" fillId="2" borderId="6" xfId="2" applyFont="1" applyFill="1" applyBorder="1" applyAlignment="1">
      <alignment horizontal="right" vertical="center"/>
    </xf>
    <xf numFmtId="3" fontId="7" fillId="2" borderId="15" xfId="1" applyNumberFormat="1" applyFont="1" applyFill="1" applyBorder="1" applyAlignment="1">
      <alignment horizontal="right" vertical="center"/>
    </xf>
    <xf numFmtId="171" fontId="19" fillId="2" borderId="10" xfId="2" applyFont="1" applyFill="1" applyBorder="1" applyAlignment="1">
      <alignment horizontal="right" vertical="center"/>
    </xf>
    <xf numFmtId="3" fontId="7" fillId="2" borderId="7" xfId="3" applyNumberFormat="1" applyFont="1" applyFill="1" applyBorder="1" applyAlignment="1">
      <alignment horizontal="right" vertical="center"/>
    </xf>
    <xf numFmtId="171" fontId="5" fillId="2" borderId="8" xfId="2" applyFont="1" applyFill="1" applyBorder="1" applyAlignment="1">
      <alignment horizontal="left" vertical="center"/>
    </xf>
    <xf numFmtId="171" fontId="21" fillId="2" borderId="8" xfId="2" applyFont="1" applyFill="1" applyBorder="1" applyAlignment="1">
      <alignment horizontal="right" vertical="center"/>
    </xf>
    <xf numFmtId="171" fontId="5" fillId="2" borderId="15" xfId="2" applyFont="1" applyFill="1" applyBorder="1" applyAlignment="1">
      <alignment horizontal="left" vertical="center"/>
    </xf>
    <xf numFmtId="171" fontId="21" fillId="2" borderId="15" xfId="2" applyFont="1" applyFill="1" applyBorder="1" applyAlignment="1">
      <alignment horizontal="right" vertical="center"/>
    </xf>
    <xf numFmtId="3" fontId="4" fillId="2" borderId="10" xfId="1" applyNumberFormat="1" applyFont="1" applyFill="1" applyBorder="1" applyAlignment="1">
      <alignment horizontal="right" vertical="center"/>
    </xf>
    <xf numFmtId="171" fontId="5" fillId="2" borderId="12" xfId="2" applyFont="1" applyFill="1" applyBorder="1" applyAlignment="1">
      <alignment horizontal="left" vertical="center"/>
    </xf>
    <xf numFmtId="3" fontId="7" fillId="2" borderId="12" xfId="1" applyNumberFormat="1" applyFont="1" applyFill="1" applyBorder="1" applyAlignment="1">
      <alignment horizontal="right" vertical="center"/>
    </xf>
    <xf numFmtId="171" fontId="21" fillId="2" borderId="12" xfId="2" applyFont="1" applyFill="1" applyBorder="1" applyAlignment="1">
      <alignment horizontal="right" vertical="center"/>
    </xf>
    <xf numFmtId="171" fontId="5" fillId="2" borderId="4" xfId="2" applyFont="1" applyFill="1" applyBorder="1" applyAlignment="1">
      <alignment horizontal="left" vertical="center"/>
    </xf>
    <xf numFmtId="3" fontId="7" fillId="2" borderId="4" xfId="1" applyNumberFormat="1" applyFont="1" applyFill="1" applyBorder="1" applyAlignment="1">
      <alignment horizontal="right" vertical="center"/>
    </xf>
    <xf numFmtId="171" fontId="21" fillId="2" borderId="4" xfId="2" applyFont="1" applyFill="1" applyBorder="1" applyAlignment="1">
      <alignment horizontal="right" vertical="center"/>
    </xf>
    <xf numFmtId="171" fontId="13" fillId="2" borderId="10" xfId="2" applyFont="1" applyFill="1" applyBorder="1" applyAlignment="1">
      <alignment horizontal="right" vertical="center"/>
    </xf>
    <xf numFmtId="171" fontId="13" fillId="2" borderId="7" xfId="2" applyFont="1" applyFill="1" applyBorder="1" applyAlignment="1">
      <alignment vertical="center"/>
    </xf>
    <xf numFmtId="171" fontId="3" fillId="2" borderId="7" xfId="2" applyFont="1" applyFill="1" applyBorder="1" applyAlignment="1">
      <alignment horizontal="right" vertical="center"/>
    </xf>
    <xf numFmtId="171" fontId="3" fillId="2" borderId="26" xfId="2" applyFont="1" applyFill="1" applyBorder="1" applyAlignment="1">
      <alignment vertical="center"/>
    </xf>
    <xf numFmtId="0" fontId="43" fillId="2" borderId="2" xfId="0" applyFont="1" applyFill="1" applyBorder="1" applyAlignment="1">
      <alignment horizontal="right" readingOrder="2"/>
    </xf>
    <xf numFmtId="0" fontId="40" fillId="2" borderId="11" xfId="0" applyFont="1" applyFill="1" applyBorder="1" applyAlignment="1">
      <alignment horizontal="right"/>
    </xf>
    <xf numFmtId="171" fontId="5" fillId="2" borderId="10" xfId="2" applyFont="1" applyFill="1" applyBorder="1" applyAlignment="1">
      <alignment horizontal="left" vertical="center"/>
    </xf>
    <xf numFmtId="3" fontId="7" fillId="2" borderId="10" xfId="3" applyNumberFormat="1" applyFont="1" applyFill="1" applyBorder="1" applyAlignment="1">
      <alignment horizontal="right" vertical="center"/>
    </xf>
    <xf numFmtId="3" fontId="7" fillId="2" borderId="15" xfId="1" applyNumberFormat="1" applyFont="1" applyFill="1" applyBorder="1" applyAlignment="1">
      <alignment vertical="center"/>
    </xf>
    <xf numFmtId="3" fontId="4" fillId="2" borderId="10" xfId="1" applyNumberFormat="1" applyFont="1" applyFill="1" applyBorder="1" applyAlignment="1">
      <alignment horizontal="left" vertical="center"/>
    </xf>
    <xf numFmtId="171" fontId="5" fillId="2" borderId="1" xfId="2" applyFont="1" applyFill="1" applyBorder="1" applyAlignment="1">
      <alignment horizontal="left" vertical="center"/>
    </xf>
    <xf numFmtId="3" fontId="7" fillId="2" borderId="1" xfId="1" applyNumberFormat="1" applyFont="1" applyFill="1" applyBorder="1" applyAlignment="1">
      <alignment horizontal="right" vertical="center"/>
    </xf>
    <xf numFmtId="171" fontId="21" fillId="2" borderId="16" xfId="2" applyFont="1" applyFill="1" applyBorder="1" applyAlignment="1">
      <alignment horizontal="right" vertical="center"/>
    </xf>
    <xf numFmtId="3" fontId="41" fillId="2" borderId="3" xfId="0" applyNumberFormat="1" applyFont="1" applyFill="1" applyBorder="1" applyAlignment="1">
      <alignment horizontal="center" vertical="center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6" xfId="0" applyNumberFormat="1" applyFont="1" applyFill="1" applyBorder="1" applyAlignment="1">
      <alignment horizontal="center" vertical="center"/>
    </xf>
    <xf numFmtId="171" fontId="18" fillId="2" borderId="3" xfId="2" applyFont="1" applyFill="1" applyBorder="1" applyAlignment="1">
      <alignment horizontal="center" vertical="center"/>
    </xf>
    <xf numFmtId="171" fontId="18" fillId="2" borderId="5" xfId="2" applyFont="1" applyFill="1" applyBorder="1" applyAlignment="1">
      <alignment horizontal="center" vertical="center"/>
    </xf>
    <xf numFmtId="171" fontId="18" fillId="2" borderId="6" xfId="2" applyFont="1" applyFill="1" applyBorder="1" applyAlignment="1">
      <alignment horizontal="center" vertical="center"/>
    </xf>
    <xf numFmtId="171" fontId="11" fillId="2" borderId="9" xfId="2" applyFont="1" applyFill="1" applyBorder="1" applyAlignment="1">
      <alignment horizontal="left" vertical="center"/>
    </xf>
    <xf numFmtId="171" fontId="11" fillId="2" borderId="4" xfId="2" applyFont="1" applyFill="1" applyBorder="1" applyAlignment="1">
      <alignment horizontal="left" vertical="center"/>
    </xf>
    <xf numFmtId="171" fontId="19" fillId="2" borderId="9" xfId="2" applyFont="1" applyFill="1" applyBorder="1" applyAlignment="1">
      <alignment horizontal="right" vertical="center"/>
    </xf>
    <xf numFmtId="171" fontId="19" fillId="2" borderId="4" xfId="2" applyFont="1" applyFill="1" applyBorder="1" applyAlignment="1">
      <alignment horizontal="right" vertical="center"/>
    </xf>
    <xf numFmtId="171" fontId="14" fillId="2" borderId="27" xfId="2" applyFont="1" applyFill="1" applyBorder="1" applyAlignment="1">
      <alignment horizontal="center" vertical="center"/>
    </xf>
    <xf numFmtId="171" fontId="14" fillId="2" borderId="28" xfId="2" applyFont="1" applyFill="1" applyBorder="1" applyAlignment="1">
      <alignment horizontal="center" vertical="center"/>
    </xf>
    <xf numFmtId="171" fontId="14" fillId="2" borderId="29" xfId="2" applyFont="1" applyFill="1" applyBorder="1" applyAlignment="1">
      <alignment horizontal="center" vertical="center"/>
    </xf>
  </cellXfs>
  <cellStyles count="71">
    <cellStyle name="1" xfId="47" xr:uid="{00000000-0005-0000-0000-000000000000}"/>
    <cellStyle name="20% - Accent1" xfId="23" builtinId="30" customBuiltin="1"/>
    <cellStyle name="20% - Accent1 2" xfId="58" xr:uid="{00000000-0005-0000-0000-000002000000}"/>
    <cellStyle name="20% - Accent2" xfId="27" builtinId="34" customBuiltin="1"/>
    <cellStyle name="20% - Accent2 2" xfId="60" xr:uid="{00000000-0005-0000-0000-000004000000}"/>
    <cellStyle name="20% - Accent3" xfId="31" builtinId="38" customBuiltin="1"/>
    <cellStyle name="20% - Accent3 2" xfId="62" xr:uid="{00000000-0005-0000-0000-000006000000}"/>
    <cellStyle name="20% - Accent4" xfId="35" builtinId="42" customBuiltin="1"/>
    <cellStyle name="20% - Accent4 2" xfId="64" xr:uid="{00000000-0005-0000-0000-000008000000}"/>
    <cellStyle name="20% - Accent5" xfId="39" builtinId="46" customBuiltin="1"/>
    <cellStyle name="20% - Accent5 2" xfId="66" xr:uid="{00000000-0005-0000-0000-00000A000000}"/>
    <cellStyle name="20% - Accent6" xfId="43" builtinId="50" customBuiltin="1"/>
    <cellStyle name="20% - Accent6 2" xfId="68" xr:uid="{00000000-0005-0000-0000-00000C000000}"/>
    <cellStyle name="40% - Accent1" xfId="24" builtinId="31" customBuiltin="1"/>
    <cellStyle name="40% - Accent1 2" xfId="59" xr:uid="{00000000-0005-0000-0000-00000E000000}"/>
    <cellStyle name="40% - Accent2" xfId="28" builtinId="35" customBuiltin="1"/>
    <cellStyle name="40% - Accent2 2" xfId="61" xr:uid="{00000000-0005-0000-0000-000010000000}"/>
    <cellStyle name="40% - Accent3" xfId="32" builtinId="39" customBuiltin="1"/>
    <cellStyle name="40% - Accent3 2" xfId="63" xr:uid="{00000000-0005-0000-0000-000012000000}"/>
    <cellStyle name="40% - Accent4" xfId="36" builtinId="43" customBuiltin="1"/>
    <cellStyle name="40% - Accent4 2" xfId="65" xr:uid="{00000000-0005-0000-0000-000014000000}"/>
    <cellStyle name="40% - Accent5" xfId="40" builtinId="47" customBuiltin="1"/>
    <cellStyle name="40% - Accent5 2" xfId="67" xr:uid="{00000000-0005-0000-0000-000016000000}"/>
    <cellStyle name="40% - Accent6" xfId="44" builtinId="51" customBuiltin="1"/>
    <cellStyle name="40% - Accent6 2" xfId="69" xr:uid="{00000000-0005-0000-0000-000018000000}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1 - 20%" xfId="70" xr:uid="{00000000-0005-0000-0000-000020000000}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 2" xfId="48" xr:uid="{00000000-0005-0000-0000-00002A000000}"/>
    <cellStyle name="Comma 3" xfId="1" xr:uid="{00000000-0005-0000-0000-00002B000000}"/>
    <cellStyle name="Comma 4" xfId="52" xr:uid="{00000000-0005-0000-0000-00002C000000}"/>
    <cellStyle name="Comma 5" xfId="55" xr:uid="{00000000-0005-0000-0000-00002D000000}"/>
    <cellStyle name="Comma_XII-7 (Commerce)" xfId="3" xr:uid="{00000000-0005-0000-0000-00002F000000}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- Style1" xfId="49" xr:uid="{00000000-0005-0000-0000-00003A000000}"/>
    <cellStyle name="Normal 2" xfId="5" xr:uid="{00000000-0005-0000-0000-00003B000000}"/>
    <cellStyle name="Normal 3" xfId="51" xr:uid="{00000000-0005-0000-0000-00003C000000}"/>
    <cellStyle name="Normal 4" xfId="54" xr:uid="{00000000-0005-0000-0000-00003D000000}"/>
    <cellStyle name="Normal 5" xfId="4" xr:uid="{00000000-0005-0000-0000-00003E000000}"/>
    <cellStyle name="Normal 6" xfId="57" xr:uid="{00000000-0005-0000-0000-00003F000000}"/>
    <cellStyle name="Normal 7" xfId="46" xr:uid="{00000000-0005-0000-0000-000040000000}"/>
    <cellStyle name="Normal_XII-7 (Commerce)" xfId="2" xr:uid="{00000000-0005-0000-0000-000043000000}"/>
    <cellStyle name="Note 2" xfId="53" xr:uid="{00000000-0005-0000-0000-000044000000}"/>
    <cellStyle name="Note 3" xfId="56" xr:uid="{00000000-0005-0000-0000-000045000000}"/>
    <cellStyle name="Output" xfId="15" builtinId="21" customBuiltin="1"/>
    <cellStyle name="Percent 2" xfId="6" xr:uid="{00000000-0005-0000-0000-000048000000}"/>
    <cellStyle name="Title 2" xfId="50" xr:uid="{00000000-0005-0000-0000-000049000000}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O91"/>
  <sheetViews>
    <sheetView tabSelected="1" zoomScale="106" zoomScaleNormal="106" workbookViewId="0">
      <selection activeCell="H60" sqref="H60"/>
    </sheetView>
  </sheetViews>
  <sheetFormatPr defaultColWidth="11" defaultRowHeight="15.75" x14ac:dyDescent="0.25"/>
  <cols>
    <col min="1" max="1" width="28" style="4" customWidth="1"/>
    <col min="2" max="2" width="11.7109375" style="44" customWidth="1"/>
    <col min="3" max="3" width="12.28515625" style="44" customWidth="1"/>
    <col min="4" max="4" width="12.140625" style="44" customWidth="1"/>
    <col min="5" max="8" width="14" style="44" customWidth="1"/>
    <col min="9" max="9" width="23.28515625" style="2" customWidth="1"/>
    <col min="10" max="16384" width="11" style="2"/>
  </cols>
  <sheetData>
    <row r="1" spans="1:15" ht="17.25" customHeight="1" x14ac:dyDescent="0.25">
      <c r="A1" s="55" t="s">
        <v>168</v>
      </c>
      <c r="B1" s="56"/>
      <c r="C1" s="56"/>
      <c r="D1" s="56"/>
      <c r="E1" s="56"/>
      <c r="F1" s="56"/>
      <c r="G1" s="56"/>
      <c r="H1" s="56"/>
      <c r="I1" s="57"/>
    </row>
    <row r="2" spans="1:15" s="4" customFormat="1" ht="21" customHeight="1" x14ac:dyDescent="0.25">
      <c r="A2" s="58" t="s">
        <v>167</v>
      </c>
      <c r="B2" s="59"/>
      <c r="C2" s="59"/>
      <c r="D2" s="59"/>
      <c r="E2" s="59"/>
      <c r="F2" s="59"/>
      <c r="G2" s="59"/>
      <c r="H2" s="59"/>
      <c r="I2" s="60"/>
      <c r="J2" s="2"/>
      <c r="K2" s="2"/>
      <c r="L2" s="2"/>
      <c r="M2" s="2"/>
      <c r="N2" s="2"/>
      <c r="O2" s="2"/>
    </row>
    <row r="3" spans="1:15" s="4" customFormat="1" ht="14.25" hidden="1" customHeight="1" x14ac:dyDescent="0.25">
      <c r="A3" s="5"/>
      <c r="B3" s="6"/>
      <c r="C3" s="6"/>
      <c r="D3" s="6"/>
      <c r="E3" s="6"/>
      <c r="F3" s="6"/>
      <c r="G3" s="6"/>
      <c r="H3" s="6"/>
      <c r="J3" s="2"/>
      <c r="K3" s="2"/>
      <c r="L3" s="2"/>
      <c r="M3" s="2"/>
      <c r="N3" s="2"/>
      <c r="O3" s="2"/>
    </row>
    <row r="4" spans="1:15" s="4" customFormat="1" ht="16.5" customHeight="1" x14ac:dyDescent="0.25">
      <c r="A4" s="61" t="s">
        <v>0</v>
      </c>
      <c r="B4" s="65" t="s">
        <v>153</v>
      </c>
      <c r="C4" s="66"/>
      <c r="D4" s="66"/>
      <c r="E4" s="66"/>
      <c r="F4" s="66"/>
      <c r="G4" s="66"/>
      <c r="H4" s="67"/>
      <c r="I4" s="63" t="s">
        <v>43</v>
      </c>
      <c r="J4" s="2"/>
      <c r="K4" s="2"/>
      <c r="L4" s="2"/>
      <c r="M4" s="2"/>
      <c r="N4" s="2"/>
      <c r="O4" s="2"/>
    </row>
    <row r="5" spans="1:15" s="4" customFormat="1" ht="19.5" customHeight="1" x14ac:dyDescent="0.25">
      <c r="A5" s="62"/>
      <c r="B5" s="7">
        <v>2016</v>
      </c>
      <c r="C5" s="7">
        <v>2017</v>
      </c>
      <c r="D5" s="7">
        <v>2018</v>
      </c>
      <c r="E5" s="7">
        <v>2019</v>
      </c>
      <c r="F5" s="7">
        <v>2020</v>
      </c>
      <c r="G5" s="7">
        <v>2021</v>
      </c>
      <c r="H5" s="7">
        <v>2022</v>
      </c>
      <c r="I5" s="64"/>
      <c r="J5" s="2"/>
      <c r="K5" s="2"/>
      <c r="L5" s="2"/>
      <c r="M5" s="2"/>
      <c r="N5" s="2"/>
      <c r="O5" s="2"/>
    </row>
    <row r="6" spans="1:15" s="11" customFormat="1" ht="23.25" customHeight="1" x14ac:dyDescent="0.25">
      <c r="A6" s="8" t="s">
        <v>1</v>
      </c>
      <c r="B6" s="9">
        <f t="shared" ref="B6:H6" si="0">B7+B34+B43+B52+B55+B77</f>
        <v>2145317.2528799996</v>
      </c>
      <c r="C6" s="9">
        <f t="shared" si="0"/>
        <v>3068176.7751100003</v>
      </c>
      <c r="D6" s="9">
        <f t="shared" si="0"/>
        <v>2796690.3097900003</v>
      </c>
      <c r="E6" s="9">
        <f t="shared" si="0"/>
        <v>2431540.8970599999</v>
      </c>
      <c r="F6" s="9">
        <f t="shared" si="0"/>
        <v>2504298.1249299999</v>
      </c>
      <c r="G6" s="9">
        <f t="shared" si="0"/>
        <v>2285811.6343999999</v>
      </c>
      <c r="H6" s="9">
        <f t="shared" si="0"/>
        <v>2404843.4578900016</v>
      </c>
      <c r="I6" s="10" t="s">
        <v>44</v>
      </c>
      <c r="J6" s="2"/>
      <c r="K6" s="2"/>
      <c r="L6" s="2"/>
      <c r="M6" s="2"/>
      <c r="N6" s="2"/>
      <c r="O6" s="2"/>
    </row>
    <row r="7" spans="1:15" s="3" customFormat="1" ht="21.75" x14ac:dyDescent="0.25">
      <c r="A7" s="12" t="s">
        <v>2</v>
      </c>
      <c r="B7" s="13">
        <f>SUM(B9:B33)</f>
        <v>825995.70250999986</v>
      </c>
      <c r="C7" s="13">
        <f>SUM(C9:C33)</f>
        <v>1013711.4733199998</v>
      </c>
      <c r="D7" s="13">
        <f t="shared" ref="D7:E7" si="1">SUM(D8:D33)</f>
        <v>1134613.3933700002</v>
      </c>
      <c r="E7" s="13">
        <f t="shared" si="1"/>
        <v>957590.50275000022</v>
      </c>
      <c r="F7" s="13">
        <f t="shared" ref="F7" si="2">SUM(F8:F33)</f>
        <v>885517.88605999982</v>
      </c>
      <c r="G7" s="13">
        <f t="shared" ref="G7:H7" si="3">SUM(G8:G33)</f>
        <v>693991.34212000004</v>
      </c>
      <c r="H7" s="13">
        <f t="shared" si="3"/>
        <v>741199.32600000058</v>
      </c>
      <c r="I7" s="14" t="s">
        <v>45</v>
      </c>
      <c r="J7" s="2"/>
      <c r="K7" s="2"/>
      <c r="L7" s="2"/>
      <c r="M7" s="2"/>
      <c r="N7" s="2"/>
      <c r="O7" s="2"/>
    </row>
    <row r="8" spans="1:15" s="3" customFormat="1" ht="21.75" x14ac:dyDescent="0.25">
      <c r="A8" s="15" t="s">
        <v>46</v>
      </c>
      <c r="B8" s="37" t="s">
        <v>34</v>
      </c>
      <c r="C8" s="37" t="s">
        <v>34</v>
      </c>
      <c r="D8" s="16">
        <v>151.81940999999998</v>
      </c>
      <c r="E8" s="16">
        <v>52.017270000000003</v>
      </c>
      <c r="F8" s="16" t="s">
        <v>34</v>
      </c>
      <c r="G8" s="16" t="s">
        <v>34</v>
      </c>
      <c r="H8" s="16" t="s">
        <v>34</v>
      </c>
      <c r="I8" s="17" t="s">
        <v>47</v>
      </c>
      <c r="J8" s="2"/>
      <c r="K8" s="2"/>
      <c r="L8" s="2"/>
      <c r="M8" s="2"/>
      <c r="N8" s="2"/>
      <c r="O8" s="2"/>
    </row>
    <row r="9" spans="1:15" s="3" customFormat="1" ht="21.75" x14ac:dyDescent="0.25">
      <c r="A9" s="15" t="s">
        <v>157</v>
      </c>
      <c r="B9" s="37" t="s">
        <v>34</v>
      </c>
      <c r="C9" s="37" t="s">
        <v>34</v>
      </c>
      <c r="D9" s="37" t="s">
        <v>34</v>
      </c>
      <c r="E9" s="37">
        <v>1.5831199999999999</v>
      </c>
      <c r="F9" s="37" t="s">
        <v>34</v>
      </c>
      <c r="G9" s="37" t="s">
        <v>34</v>
      </c>
      <c r="H9" s="37" t="s">
        <v>34</v>
      </c>
      <c r="I9" s="17" t="s">
        <v>158</v>
      </c>
      <c r="J9" s="2"/>
      <c r="K9" s="2"/>
      <c r="L9" s="2"/>
      <c r="M9" s="2"/>
      <c r="N9" s="2"/>
      <c r="O9" s="2"/>
    </row>
    <row r="10" spans="1:15" s="3" customFormat="1" ht="21.75" x14ac:dyDescent="0.25">
      <c r="A10" s="15" t="s">
        <v>48</v>
      </c>
      <c r="B10" s="16">
        <v>6685.1913700000005</v>
      </c>
      <c r="C10" s="16">
        <v>8284.0731700000015</v>
      </c>
      <c r="D10" s="16">
        <v>9216.3705699999973</v>
      </c>
      <c r="E10" s="16">
        <v>5372.8989199999987</v>
      </c>
      <c r="F10" s="16">
        <v>3222.5675999999994</v>
      </c>
      <c r="G10" s="16">
        <v>2202.1074100000001</v>
      </c>
      <c r="H10" s="16">
        <v>3942.7699199999997</v>
      </c>
      <c r="I10" s="17" t="s">
        <v>49</v>
      </c>
      <c r="J10" s="2"/>
      <c r="K10" s="2"/>
      <c r="L10" s="2"/>
      <c r="M10" s="2"/>
      <c r="N10" s="2"/>
      <c r="O10" s="2"/>
    </row>
    <row r="11" spans="1:15" s="3" customFormat="1" ht="21.75" x14ac:dyDescent="0.25">
      <c r="A11" s="15" t="s">
        <v>50</v>
      </c>
      <c r="B11" s="16">
        <v>1399.2194299999994</v>
      </c>
      <c r="C11" s="16">
        <v>542.69511999999997</v>
      </c>
      <c r="D11" s="37" t="s">
        <v>34</v>
      </c>
      <c r="E11" s="37">
        <v>89.992220000000003</v>
      </c>
      <c r="F11" s="37" t="s">
        <v>34</v>
      </c>
      <c r="G11" s="37">
        <v>56.994519999999994</v>
      </c>
      <c r="H11" s="37">
        <v>69.105949999999993</v>
      </c>
      <c r="I11" s="17" t="s">
        <v>51</v>
      </c>
      <c r="J11" s="2"/>
      <c r="K11" s="2"/>
      <c r="L11" s="2"/>
      <c r="M11" s="2"/>
      <c r="N11" s="2"/>
      <c r="O11" s="2"/>
    </row>
    <row r="12" spans="1:15" s="3" customFormat="1" ht="21.75" x14ac:dyDescent="0.25">
      <c r="A12" s="15" t="s">
        <v>36</v>
      </c>
      <c r="B12" s="16">
        <v>81.074569999999994</v>
      </c>
      <c r="C12" s="37" t="s">
        <v>34</v>
      </c>
      <c r="D12" s="16">
        <v>14.380469999999999</v>
      </c>
      <c r="E12" s="16">
        <v>123.50001</v>
      </c>
      <c r="F12" s="16">
        <v>157.57307</v>
      </c>
      <c r="G12" s="16">
        <v>1202.2517600000001</v>
      </c>
      <c r="H12" s="16">
        <v>185.31383</v>
      </c>
      <c r="I12" s="17" t="s">
        <v>52</v>
      </c>
      <c r="J12" s="2"/>
      <c r="K12" s="2"/>
      <c r="L12" s="2"/>
      <c r="M12" s="2"/>
      <c r="N12" s="2"/>
      <c r="O12" s="2"/>
    </row>
    <row r="13" spans="1:15" s="3" customFormat="1" ht="21.75" x14ac:dyDescent="0.25">
      <c r="A13" s="15" t="s">
        <v>53</v>
      </c>
      <c r="B13" s="16">
        <v>3695.5675899999997</v>
      </c>
      <c r="C13" s="16">
        <v>2421.0405499999997</v>
      </c>
      <c r="D13" s="16">
        <v>4872.3673200000003</v>
      </c>
      <c r="E13" s="16">
        <v>2.72316</v>
      </c>
      <c r="F13" s="16">
        <v>2323.2058399999996</v>
      </c>
      <c r="G13" s="16">
        <v>3028.2745399999999</v>
      </c>
      <c r="H13" s="16">
        <v>3487.3342200000002</v>
      </c>
      <c r="I13" s="17" t="s">
        <v>54</v>
      </c>
      <c r="J13" s="2"/>
      <c r="K13" s="2"/>
      <c r="L13" s="2"/>
      <c r="M13" s="2"/>
      <c r="N13" s="2"/>
      <c r="O13" s="2"/>
    </row>
    <row r="14" spans="1:15" s="3" customFormat="1" ht="21.75" x14ac:dyDescent="0.25">
      <c r="A14" s="15" t="s">
        <v>8</v>
      </c>
      <c r="B14" s="16">
        <v>188612.58134999961</v>
      </c>
      <c r="C14" s="16">
        <v>213832.03654999999</v>
      </c>
      <c r="D14" s="16">
        <v>206197.43750000015</v>
      </c>
      <c r="E14" s="16">
        <v>231029.20907999997</v>
      </c>
      <c r="F14" s="16">
        <v>200773.89124</v>
      </c>
      <c r="G14" s="16">
        <v>91424.453629999989</v>
      </c>
      <c r="H14" s="16">
        <v>89040.145570000401</v>
      </c>
      <c r="I14" s="17" t="s">
        <v>55</v>
      </c>
      <c r="J14" s="2"/>
      <c r="K14" s="2"/>
      <c r="L14" s="2"/>
      <c r="M14" s="2"/>
      <c r="N14" s="2"/>
      <c r="O14" s="2"/>
    </row>
    <row r="15" spans="1:15" s="3" customFormat="1" ht="21.75" x14ac:dyDescent="0.25">
      <c r="A15" s="15" t="s">
        <v>4</v>
      </c>
      <c r="B15" s="16">
        <v>187349.15192000015</v>
      </c>
      <c r="C15" s="16">
        <v>220705.70510999995</v>
      </c>
      <c r="D15" s="16">
        <v>355433.42591000017</v>
      </c>
      <c r="E15" s="16">
        <v>286720.38575000013</v>
      </c>
      <c r="F15" s="16">
        <v>242468.17299000002</v>
      </c>
      <c r="G15" s="16">
        <v>262165.55660000001</v>
      </c>
      <c r="H15" s="16">
        <v>231209.99093</v>
      </c>
      <c r="I15" s="17" t="s">
        <v>56</v>
      </c>
      <c r="J15" s="2"/>
      <c r="K15" s="2"/>
      <c r="L15" s="2"/>
      <c r="M15" s="2"/>
      <c r="N15" s="2"/>
      <c r="O15" s="2"/>
    </row>
    <row r="16" spans="1:15" s="3" customFormat="1" ht="21.75" x14ac:dyDescent="0.25">
      <c r="A16" s="15" t="s">
        <v>57</v>
      </c>
      <c r="B16" s="16">
        <v>44.35886</v>
      </c>
      <c r="C16" s="37" t="s">
        <v>34</v>
      </c>
      <c r="D16" s="37" t="s">
        <v>34</v>
      </c>
      <c r="E16" s="37" t="s">
        <v>34</v>
      </c>
      <c r="F16" s="37" t="s">
        <v>34</v>
      </c>
      <c r="G16" s="37" t="s">
        <v>34</v>
      </c>
      <c r="H16" s="37" t="s">
        <v>34</v>
      </c>
      <c r="I16" s="17" t="s">
        <v>58</v>
      </c>
      <c r="J16" s="2"/>
      <c r="K16" s="2"/>
      <c r="L16" s="2"/>
      <c r="M16" s="2"/>
      <c r="N16" s="2"/>
      <c r="O16" s="2"/>
    </row>
    <row r="17" spans="1:15" s="3" customFormat="1" ht="21.75" x14ac:dyDescent="0.25">
      <c r="A17" s="15" t="s">
        <v>59</v>
      </c>
      <c r="B17" s="37" t="s">
        <v>34</v>
      </c>
      <c r="C17" s="16">
        <v>92.4</v>
      </c>
      <c r="D17" s="37" t="s">
        <v>34</v>
      </c>
      <c r="E17" s="37" t="s">
        <v>34</v>
      </c>
      <c r="F17" s="37" t="s">
        <v>34</v>
      </c>
      <c r="G17" s="37" t="s">
        <v>34</v>
      </c>
      <c r="H17" s="37" t="s">
        <v>34</v>
      </c>
      <c r="I17" s="17" t="s">
        <v>60</v>
      </c>
      <c r="J17" s="2"/>
      <c r="K17" s="2"/>
      <c r="L17" s="2"/>
      <c r="M17" s="2"/>
      <c r="N17" s="2"/>
      <c r="O17" s="2"/>
    </row>
    <row r="18" spans="1:15" s="3" customFormat="1" ht="21.75" x14ac:dyDescent="0.25">
      <c r="A18" s="15" t="s">
        <v>5</v>
      </c>
      <c r="B18" s="16">
        <v>105654.97153000002</v>
      </c>
      <c r="C18" s="16">
        <v>88683.157289999988</v>
      </c>
      <c r="D18" s="16">
        <v>122151.57711999999</v>
      </c>
      <c r="E18" s="16">
        <v>92190.691049999965</v>
      </c>
      <c r="F18" s="16">
        <v>105392.97382999997</v>
      </c>
      <c r="G18" s="16">
        <v>45894.306960000002</v>
      </c>
      <c r="H18" s="16">
        <v>52133.793399999995</v>
      </c>
      <c r="I18" s="17" t="s">
        <v>61</v>
      </c>
      <c r="J18" s="2"/>
      <c r="K18" s="2"/>
      <c r="L18" s="2"/>
      <c r="M18" s="2"/>
      <c r="N18" s="2"/>
      <c r="O18" s="2"/>
    </row>
    <row r="19" spans="1:15" s="3" customFormat="1" ht="23.25" customHeight="1" x14ac:dyDescent="0.25">
      <c r="A19" s="15" t="s">
        <v>62</v>
      </c>
      <c r="B19" s="16">
        <v>106116.07953999998</v>
      </c>
      <c r="C19" s="16">
        <v>139856.43990999999</v>
      </c>
      <c r="D19" s="16">
        <v>9879.211830000002</v>
      </c>
      <c r="E19" s="16">
        <v>9780.7213100000008</v>
      </c>
      <c r="F19" s="16">
        <v>8991.3723499999996</v>
      </c>
      <c r="G19" s="16">
        <v>2170.9103999999998</v>
      </c>
      <c r="H19" s="16">
        <v>285.59340000000003</v>
      </c>
      <c r="I19" s="17" t="s">
        <v>63</v>
      </c>
      <c r="J19" s="2"/>
      <c r="K19" s="2"/>
      <c r="L19" s="2"/>
      <c r="M19" s="2"/>
      <c r="N19" s="2"/>
      <c r="O19" s="2"/>
    </row>
    <row r="20" spans="1:15" s="3" customFormat="1" ht="23.25" hidden="1" customHeight="1" x14ac:dyDescent="0.25">
      <c r="A20" s="15" t="s">
        <v>64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7" t="s">
        <v>65</v>
      </c>
      <c r="J20" s="2"/>
      <c r="K20" s="2"/>
      <c r="L20" s="2"/>
      <c r="M20" s="2"/>
      <c r="N20" s="2"/>
      <c r="O20" s="2"/>
    </row>
    <row r="21" spans="1:15" ht="23.25" hidden="1" customHeight="1" x14ac:dyDescent="0.25">
      <c r="A21" s="15" t="s">
        <v>66</v>
      </c>
      <c r="B21" s="37" t="s">
        <v>34</v>
      </c>
      <c r="C21" s="37" t="s">
        <v>34</v>
      </c>
      <c r="D21" s="37" t="s">
        <v>34</v>
      </c>
      <c r="E21" s="37" t="s">
        <v>34</v>
      </c>
      <c r="F21" s="37">
        <v>0</v>
      </c>
      <c r="G21" s="37">
        <v>0</v>
      </c>
      <c r="H21" s="37">
        <v>0</v>
      </c>
      <c r="I21" s="17" t="s">
        <v>67</v>
      </c>
    </row>
    <row r="22" spans="1:15" ht="21.75" x14ac:dyDescent="0.25">
      <c r="A22" s="15" t="s">
        <v>3</v>
      </c>
      <c r="B22" s="16">
        <v>38876.185309999979</v>
      </c>
      <c r="C22" s="16">
        <v>10599.19361</v>
      </c>
      <c r="D22" s="16">
        <v>17857.254080000002</v>
      </c>
      <c r="E22" s="16">
        <v>31529.092810000006</v>
      </c>
      <c r="F22" s="16">
        <v>36755.579680000003</v>
      </c>
      <c r="G22" s="16">
        <v>59388.490250000097</v>
      </c>
      <c r="H22" s="16">
        <v>46905.211410000098</v>
      </c>
      <c r="I22" s="17" t="s">
        <v>68</v>
      </c>
    </row>
    <row r="23" spans="1:15" ht="21.75" x14ac:dyDescent="0.25">
      <c r="A23" s="15" t="s">
        <v>69</v>
      </c>
      <c r="B23" s="16">
        <v>573.09799999999984</v>
      </c>
      <c r="C23" s="16">
        <v>1502.0757699999999</v>
      </c>
      <c r="D23" s="16">
        <v>1302.6832899999999</v>
      </c>
      <c r="E23" s="16">
        <v>20516.626359999995</v>
      </c>
      <c r="F23" s="16">
        <v>13805.742050000003</v>
      </c>
      <c r="G23" s="16">
        <v>7169.18318</v>
      </c>
      <c r="H23" s="16">
        <v>21382.355219999998</v>
      </c>
      <c r="I23" s="17" t="s">
        <v>70</v>
      </c>
    </row>
    <row r="24" spans="1:15" ht="21.75" x14ac:dyDescent="0.25">
      <c r="A24" s="15" t="s">
        <v>71</v>
      </c>
      <c r="B24" s="16">
        <v>3609.7664099999997</v>
      </c>
      <c r="C24" s="16">
        <v>4196.5313799999994</v>
      </c>
      <c r="D24" s="16">
        <v>5164.4495800000013</v>
      </c>
      <c r="E24" s="16">
        <v>704.15299000000005</v>
      </c>
      <c r="F24" s="16">
        <v>4458.0630600000004</v>
      </c>
      <c r="G24" s="16">
        <v>5655.3761299999996</v>
      </c>
      <c r="H24" s="16">
        <v>4298.1259400000008</v>
      </c>
      <c r="I24" s="17" t="s">
        <v>72</v>
      </c>
    </row>
    <row r="25" spans="1:15" ht="21.75" x14ac:dyDescent="0.25">
      <c r="A25" s="15" t="s">
        <v>73</v>
      </c>
      <c r="B25" s="16">
        <v>510.26470000000006</v>
      </c>
      <c r="C25" s="16">
        <v>462.49250999999998</v>
      </c>
      <c r="D25" s="16">
        <v>334.90672999999998</v>
      </c>
      <c r="E25" s="16">
        <v>139.89006000000001</v>
      </c>
      <c r="F25" s="16">
        <v>641.30093999999997</v>
      </c>
      <c r="G25" s="16">
        <v>955.39470999999992</v>
      </c>
      <c r="H25" s="16">
        <v>1010.19318000001</v>
      </c>
      <c r="I25" s="17" t="s">
        <v>74</v>
      </c>
    </row>
    <row r="26" spans="1:15" ht="21.75" x14ac:dyDescent="0.25">
      <c r="A26" s="15" t="s">
        <v>75</v>
      </c>
      <c r="B26" s="37" t="s">
        <v>34</v>
      </c>
      <c r="C26" s="37" t="s">
        <v>34</v>
      </c>
      <c r="D26" s="16">
        <v>115.36507</v>
      </c>
      <c r="E26" s="16">
        <v>1.5831199999999999</v>
      </c>
      <c r="F26" s="16" t="s">
        <v>34</v>
      </c>
      <c r="G26" s="16">
        <v>27.33989</v>
      </c>
      <c r="H26" s="16">
        <v>751.64260000000002</v>
      </c>
      <c r="I26" s="17" t="s">
        <v>76</v>
      </c>
    </row>
    <row r="27" spans="1:15" ht="21.75" x14ac:dyDescent="0.25">
      <c r="A27" s="15" t="s">
        <v>154</v>
      </c>
      <c r="B27" s="16" t="s">
        <v>34</v>
      </c>
      <c r="C27" s="16" t="s">
        <v>34</v>
      </c>
      <c r="D27" s="16" t="s">
        <v>34</v>
      </c>
      <c r="E27" s="16">
        <v>4701.5041200000005</v>
      </c>
      <c r="F27" s="16">
        <v>8196.2256300000008</v>
      </c>
      <c r="G27" s="16">
        <v>2832.0612799999999</v>
      </c>
      <c r="H27" s="16">
        <v>724.37165000000005</v>
      </c>
      <c r="I27" s="17" t="s">
        <v>159</v>
      </c>
    </row>
    <row r="28" spans="1:15" ht="21.75" x14ac:dyDescent="0.25">
      <c r="A28" s="15" t="s">
        <v>169</v>
      </c>
      <c r="B28" s="16" t="s">
        <v>34</v>
      </c>
      <c r="C28" s="16" t="s">
        <v>34</v>
      </c>
      <c r="D28" s="16" t="s">
        <v>34</v>
      </c>
      <c r="E28" s="16" t="s">
        <v>34</v>
      </c>
      <c r="F28" s="16" t="s">
        <v>34</v>
      </c>
      <c r="G28" s="16">
        <v>3.1773800000000003</v>
      </c>
      <c r="H28" s="16" t="s">
        <v>34</v>
      </c>
      <c r="I28" s="17" t="s">
        <v>170</v>
      </c>
    </row>
    <row r="29" spans="1:15" ht="21.75" x14ac:dyDescent="0.25">
      <c r="A29" s="15" t="s">
        <v>35</v>
      </c>
      <c r="B29" s="16">
        <v>29675.590509999976</v>
      </c>
      <c r="C29" s="16">
        <v>62741.776270000002</v>
      </c>
      <c r="D29" s="16">
        <v>56278.4859</v>
      </c>
      <c r="E29" s="16">
        <v>47594.873639999991</v>
      </c>
      <c r="F29" s="16">
        <v>32880.42239</v>
      </c>
      <c r="G29" s="16">
        <v>11513.285519999999</v>
      </c>
      <c r="H29" s="16">
        <v>24377.449559999997</v>
      </c>
      <c r="I29" s="17" t="s">
        <v>77</v>
      </c>
    </row>
    <row r="30" spans="1:15" ht="21.75" x14ac:dyDescent="0.25">
      <c r="A30" s="15" t="s">
        <v>12</v>
      </c>
      <c r="B30" s="37" t="s">
        <v>34</v>
      </c>
      <c r="C30" s="37" t="s">
        <v>34</v>
      </c>
      <c r="D30" s="16">
        <v>60.403680000000001</v>
      </c>
      <c r="E30" s="16">
        <v>2.72316</v>
      </c>
      <c r="F30" s="16" t="s">
        <v>34</v>
      </c>
      <c r="G30" s="16" t="s">
        <v>34</v>
      </c>
      <c r="H30" s="16" t="s">
        <v>34</v>
      </c>
      <c r="I30" s="17" t="s">
        <v>78</v>
      </c>
    </row>
    <row r="31" spans="1:15" ht="21.75" x14ac:dyDescent="0.25">
      <c r="A31" s="15" t="s">
        <v>10</v>
      </c>
      <c r="B31" s="16">
        <v>64396.726770000016</v>
      </c>
      <c r="C31" s="16">
        <v>84434.491730000009</v>
      </c>
      <c r="D31" s="16">
        <v>87095.37595999999</v>
      </c>
      <c r="E31" s="16">
        <v>52589.879850000005</v>
      </c>
      <c r="F31" s="16">
        <v>45464.58135</v>
      </c>
      <c r="G31" s="16">
        <v>41828.861579999997</v>
      </c>
      <c r="H31" s="16">
        <v>54134.013460000002</v>
      </c>
      <c r="I31" s="17" t="s">
        <v>79</v>
      </c>
    </row>
    <row r="32" spans="1:15" ht="21.75" x14ac:dyDescent="0.25">
      <c r="A32" s="15" t="s">
        <v>80</v>
      </c>
      <c r="B32" s="16">
        <v>2.31318</v>
      </c>
      <c r="C32" s="37" t="s">
        <v>34</v>
      </c>
      <c r="D32" s="16">
        <v>428.74532999999991</v>
      </c>
      <c r="E32" s="16">
        <v>300.10118</v>
      </c>
      <c r="F32" s="16">
        <v>616.94005000000004</v>
      </c>
      <c r="G32" s="16">
        <v>1099.91273</v>
      </c>
      <c r="H32" s="16">
        <v>354.88351</v>
      </c>
      <c r="I32" s="17" t="s">
        <v>81</v>
      </c>
    </row>
    <row r="33" spans="1:9" ht="21.75" x14ac:dyDescent="0.25">
      <c r="A33" s="19" t="s">
        <v>6</v>
      </c>
      <c r="B33" s="20">
        <v>88713.561470000001</v>
      </c>
      <c r="C33" s="20">
        <v>175357.36434999996</v>
      </c>
      <c r="D33" s="20">
        <v>258059.13361999998</v>
      </c>
      <c r="E33" s="20">
        <v>174146.35357000001</v>
      </c>
      <c r="F33" s="20">
        <v>179369.27398999999</v>
      </c>
      <c r="G33" s="20">
        <v>155373.40364999999</v>
      </c>
      <c r="H33" s="20">
        <v>206907.03224999999</v>
      </c>
      <c r="I33" s="21" t="s">
        <v>82</v>
      </c>
    </row>
    <row r="34" spans="1:9" ht="21.75" x14ac:dyDescent="0.25">
      <c r="A34" s="22" t="s">
        <v>14</v>
      </c>
      <c r="B34" s="23">
        <f t="shared" ref="B34:D34" si="4">SUM(B36:B42)</f>
        <v>50.37229</v>
      </c>
      <c r="C34" s="23">
        <f t="shared" si="4"/>
        <v>625.16800000000001</v>
      </c>
      <c r="D34" s="23">
        <f t="shared" si="4"/>
        <v>6677.9539799999993</v>
      </c>
      <c r="E34" s="23">
        <f>SUM(E35:E42)</f>
        <v>3193.5310800000002</v>
      </c>
      <c r="F34" s="23">
        <f>SUM(F35:F42)</f>
        <v>11669.233679999999</v>
      </c>
      <c r="G34" s="23">
        <f t="shared" ref="G34:H34" si="5">SUM(G35:G42)</f>
        <v>67232.635150000002</v>
      </c>
      <c r="H34" s="23">
        <f t="shared" si="5"/>
        <v>137793.42707000001</v>
      </c>
      <c r="I34" s="24" t="s">
        <v>83</v>
      </c>
    </row>
    <row r="35" spans="1:9" ht="21.75" x14ac:dyDescent="0.25">
      <c r="A35" s="48" t="s">
        <v>155</v>
      </c>
      <c r="B35" s="37" t="s">
        <v>34</v>
      </c>
      <c r="C35" s="37" t="s">
        <v>34</v>
      </c>
      <c r="D35" s="37" t="s">
        <v>34</v>
      </c>
      <c r="E35" s="37">
        <v>34.247199999999999</v>
      </c>
      <c r="F35" s="37" t="s">
        <v>34</v>
      </c>
      <c r="G35" s="37" t="s">
        <v>34</v>
      </c>
      <c r="H35" s="37" t="s">
        <v>34</v>
      </c>
      <c r="I35" s="24" t="s">
        <v>160</v>
      </c>
    </row>
    <row r="36" spans="1:9" ht="21.75" x14ac:dyDescent="0.25">
      <c r="A36" s="25" t="s">
        <v>24</v>
      </c>
      <c r="B36" s="37" t="s">
        <v>34</v>
      </c>
      <c r="C36" s="37" t="s">
        <v>34</v>
      </c>
      <c r="D36" s="16">
        <v>1226.03097</v>
      </c>
      <c r="E36" s="16">
        <v>1749.37725</v>
      </c>
      <c r="F36" s="16">
        <v>10565.42382</v>
      </c>
      <c r="G36" s="16">
        <v>63544.033670000004</v>
      </c>
      <c r="H36" s="16">
        <v>134325.37839</v>
      </c>
      <c r="I36" s="17" t="s">
        <v>84</v>
      </c>
    </row>
    <row r="37" spans="1:9" ht="21.75" x14ac:dyDescent="0.25">
      <c r="A37" s="25" t="s">
        <v>161</v>
      </c>
      <c r="B37" s="37" t="s">
        <v>34</v>
      </c>
      <c r="C37" s="37" t="s">
        <v>34</v>
      </c>
      <c r="D37" s="37" t="s">
        <v>34</v>
      </c>
      <c r="E37" s="37">
        <v>145.2739</v>
      </c>
      <c r="F37" s="37" t="s">
        <v>34</v>
      </c>
      <c r="G37" s="37" t="s">
        <v>34</v>
      </c>
      <c r="H37" s="37" t="s">
        <v>34</v>
      </c>
      <c r="I37" s="17" t="s">
        <v>162</v>
      </c>
    </row>
    <row r="38" spans="1:9" ht="21.75" x14ac:dyDescent="0.25">
      <c r="A38" s="15" t="s">
        <v>23</v>
      </c>
      <c r="B38" s="37" t="s">
        <v>34</v>
      </c>
      <c r="C38" s="37" t="s">
        <v>34</v>
      </c>
      <c r="D38" s="16">
        <v>566.57860999999991</v>
      </c>
      <c r="E38" s="16">
        <v>1210.6698900000001</v>
      </c>
      <c r="F38" s="16">
        <v>1103.8098599999998</v>
      </c>
      <c r="G38" s="16">
        <v>150.21278000000001</v>
      </c>
      <c r="H38" s="16">
        <v>1068.7104099999999</v>
      </c>
      <c r="I38" s="17" t="s">
        <v>85</v>
      </c>
    </row>
    <row r="39" spans="1:9" ht="21.75" x14ac:dyDescent="0.25">
      <c r="A39" s="15" t="s">
        <v>86</v>
      </c>
      <c r="B39" s="26">
        <v>50.37229</v>
      </c>
      <c r="C39" s="26">
        <v>625.16800000000001</v>
      </c>
      <c r="D39" s="26">
        <v>4186.64167</v>
      </c>
      <c r="E39" s="26" t="s">
        <v>34</v>
      </c>
      <c r="F39" s="26" t="s">
        <v>34</v>
      </c>
      <c r="G39" s="26">
        <v>3538.3887</v>
      </c>
      <c r="H39" s="26">
        <v>2399.3382700000002</v>
      </c>
      <c r="I39" s="17" t="s">
        <v>87</v>
      </c>
    </row>
    <row r="40" spans="1:9" ht="21.75" hidden="1" x14ac:dyDescent="0.25">
      <c r="A40" s="15" t="s">
        <v>88</v>
      </c>
      <c r="B40" s="2" t="s">
        <v>34</v>
      </c>
      <c r="C40" s="18" t="s">
        <v>34</v>
      </c>
      <c r="D40" s="18" t="s">
        <v>34</v>
      </c>
      <c r="E40" s="18" t="s">
        <v>34</v>
      </c>
      <c r="F40" s="18" t="s">
        <v>34</v>
      </c>
      <c r="G40" s="18"/>
      <c r="H40" s="18"/>
      <c r="I40" s="27" t="s">
        <v>89</v>
      </c>
    </row>
    <row r="41" spans="1:9" ht="18.75" customHeight="1" x14ac:dyDescent="0.25">
      <c r="A41" s="50" t="s">
        <v>90</v>
      </c>
      <c r="B41" s="28" t="s">
        <v>34</v>
      </c>
      <c r="C41" s="28" t="s">
        <v>34</v>
      </c>
      <c r="D41" s="28">
        <v>698.70273000000009</v>
      </c>
      <c r="E41" s="28">
        <v>53.96284</v>
      </c>
      <c r="F41" s="28" t="s">
        <v>34</v>
      </c>
      <c r="G41" s="28" t="s">
        <v>34</v>
      </c>
      <c r="H41" s="28" t="s">
        <v>34</v>
      </c>
      <c r="I41" s="21" t="s">
        <v>163</v>
      </c>
    </row>
    <row r="42" spans="1:9" ht="21.75" hidden="1" x14ac:dyDescent="0.25">
      <c r="A42" s="19" t="s">
        <v>91</v>
      </c>
      <c r="B42" s="45">
        <v>0</v>
      </c>
      <c r="C42" s="45">
        <v>0</v>
      </c>
      <c r="D42" s="45">
        <v>0</v>
      </c>
      <c r="E42" s="45" t="s">
        <v>34</v>
      </c>
      <c r="F42" s="45" t="s">
        <v>34</v>
      </c>
      <c r="G42" s="45" t="s">
        <v>34</v>
      </c>
      <c r="H42" s="45" t="s">
        <v>34</v>
      </c>
      <c r="I42" s="21" t="s">
        <v>92</v>
      </c>
    </row>
    <row r="43" spans="1:9" ht="21.75" x14ac:dyDescent="0.25">
      <c r="A43" s="51" t="s">
        <v>11</v>
      </c>
      <c r="B43" s="35">
        <f t="shared" ref="B43:C43" si="6">SUM(B44:B51)</f>
        <v>194037.17799</v>
      </c>
      <c r="C43" s="35">
        <f t="shared" si="6"/>
        <v>226921.45573999983</v>
      </c>
      <c r="D43" s="35">
        <f>SUM(D44:D51)</f>
        <v>248219.53900999995</v>
      </c>
      <c r="E43" s="35">
        <f>SUM(E44:E51)</f>
        <v>231977.77517000001</v>
      </c>
      <c r="F43" s="35">
        <f>SUM(F44:F51)</f>
        <v>187613.28936</v>
      </c>
      <c r="G43" s="35">
        <f t="shared" ref="G43:H43" si="7">SUM(G44:G51)</f>
        <v>103395.1139099999</v>
      </c>
      <c r="H43" s="35">
        <f t="shared" si="7"/>
        <v>53138.262700000101</v>
      </c>
      <c r="I43" s="24" t="s">
        <v>93</v>
      </c>
    </row>
    <row r="44" spans="1:9" ht="21.75" x14ac:dyDescent="0.25">
      <c r="A44" s="48" t="s">
        <v>26</v>
      </c>
      <c r="B44" s="37" t="s">
        <v>34</v>
      </c>
      <c r="C44" s="37" t="s">
        <v>34</v>
      </c>
      <c r="D44" s="49">
        <v>2192.3877499999999</v>
      </c>
      <c r="E44" s="49">
        <v>111.92571</v>
      </c>
      <c r="F44" s="49">
        <v>187.95039000000003</v>
      </c>
      <c r="G44" s="49" t="s">
        <v>34</v>
      </c>
      <c r="H44" s="49" t="s">
        <v>34</v>
      </c>
      <c r="I44" s="24" t="s">
        <v>94</v>
      </c>
    </row>
    <row r="45" spans="1:9" ht="21.75" x14ac:dyDescent="0.25">
      <c r="A45" s="15" t="s">
        <v>25</v>
      </c>
      <c r="B45" s="16">
        <v>3925.717979999999</v>
      </c>
      <c r="C45" s="16">
        <v>1296.0057000000002</v>
      </c>
      <c r="D45" s="16">
        <v>14583.674070000001</v>
      </c>
      <c r="E45" s="16">
        <v>4149.9996500000007</v>
      </c>
      <c r="F45" s="16">
        <v>18106.715299999996</v>
      </c>
      <c r="G45" s="16">
        <v>6568.5316900000007</v>
      </c>
      <c r="H45" s="16">
        <v>1205.33593</v>
      </c>
      <c r="I45" s="17" t="s">
        <v>95</v>
      </c>
    </row>
    <row r="46" spans="1:9" ht="21.75" x14ac:dyDescent="0.25">
      <c r="A46" s="31" t="s">
        <v>165</v>
      </c>
      <c r="B46" s="37" t="s">
        <v>34</v>
      </c>
      <c r="C46" s="16" t="s">
        <v>34</v>
      </c>
      <c r="D46" s="16" t="s">
        <v>34</v>
      </c>
      <c r="E46" s="16" t="s">
        <v>34</v>
      </c>
      <c r="F46" s="16">
        <v>613.72504000000004</v>
      </c>
      <c r="G46" s="16">
        <v>1151.56403</v>
      </c>
      <c r="H46" s="16" t="s">
        <v>34</v>
      </c>
      <c r="I46" s="32" t="s">
        <v>166</v>
      </c>
    </row>
    <row r="47" spans="1:9" ht="21.75" x14ac:dyDescent="0.25">
      <c r="A47" s="31" t="s">
        <v>96</v>
      </c>
      <c r="B47" s="37" t="s">
        <v>34</v>
      </c>
      <c r="C47" s="26">
        <v>9196.9633000000013</v>
      </c>
      <c r="D47" s="37" t="s">
        <v>34</v>
      </c>
      <c r="E47" s="37">
        <v>13272.507119999998</v>
      </c>
      <c r="F47" s="37">
        <v>36583.171329999997</v>
      </c>
      <c r="G47" s="37">
        <v>17762.21313</v>
      </c>
      <c r="H47" s="37">
        <v>7417.51368</v>
      </c>
      <c r="I47" s="32" t="s">
        <v>97</v>
      </c>
    </row>
    <row r="48" spans="1:9" ht="21.75" x14ac:dyDescent="0.25">
      <c r="A48" s="31" t="s">
        <v>98</v>
      </c>
      <c r="B48" s="37" t="s">
        <v>34</v>
      </c>
      <c r="C48" s="26">
        <v>2578.6624999999999</v>
      </c>
      <c r="D48" s="37" t="s">
        <v>34</v>
      </c>
      <c r="E48" s="37" t="s">
        <v>34</v>
      </c>
      <c r="F48" s="37" t="s">
        <v>34</v>
      </c>
      <c r="G48" s="37">
        <v>11246.5237</v>
      </c>
      <c r="H48" s="37" t="s">
        <v>34</v>
      </c>
      <c r="I48" s="32" t="s">
        <v>99</v>
      </c>
    </row>
    <row r="49" spans="1:9" ht="21.75" x14ac:dyDescent="0.25">
      <c r="A49" s="31" t="s">
        <v>100</v>
      </c>
      <c r="B49" s="37" t="s">
        <v>34</v>
      </c>
      <c r="C49" s="37" t="s">
        <v>34</v>
      </c>
      <c r="D49" s="26">
        <v>231443.47718999995</v>
      </c>
      <c r="E49" s="26" t="s">
        <v>34</v>
      </c>
      <c r="F49" s="26" t="s">
        <v>34</v>
      </c>
      <c r="G49" s="26" t="s">
        <v>34</v>
      </c>
      <c r="H49" s="26" t="s">
        <v>34</v>
      </c>
      <c r="I49" s="32" t="s">
        <v>101</v>
      </c>
    </row>
    <row r="50" spans="1:9" ht="21.75" x14ac:dyDescent="0.25">
      <c r="A50" s="31" t="s">
        <v>156</v>
      </c>
      <c r="B50" s="37" t="s">
        <v>34</v>
      </c>
      <c r="C50" s="37" t="s">
        <v>34</v>
      </c>
      <c r="D50" s="37" t="s">
        <v>34</v>
      </c>
      <c r="E50" s="37">
        <v>553.5</v>
      </c>
      <c r="F50" s="37" t="s">
        <v>34</v>
      </c>
      <c r="G50" s="37" t="s">
        <v>34</v>
      </c>
      <c r="H50" s="37" t="s">
        <v>34</v>
      </c>
      <c r="I50" s="38" t="s">
        <v>164</v>
      </c>
    </row>
    <row r="51" spans="1:9" ht="21.75" x14ac:dyDescent="0.25">
      <c r="A51" s="33" t="s">
        <v>37</v>
      </c>
      <c r="B51" s="28">
        <v>190111.46001000001</v>
      </c>
      <c r="C51" s="28">
        <v>213849.82423999984</v>
      </c>
      <c r="D51" s="20" t="s">
        <v>34</v>
      </c>
      <c r="E51" s="20">
        <v>213889.84269000002</v>
      </c>
      <c r="F51" s="20">
        <v>132121.7273</v>
      </c>
      <c r="G51" s="20">
        <v>66666.281359999906</v>
      </c>
      <c r="H51" s="20">
        <v>44515.413090000104</v>
      </c>
      <c r="I51" s="34" t="s">
        <v>102</v>
      </c>
    </row>
    <row r="52" spans="1:9" ht="21.75" x14ac:dyDescent="0.25">
      <c r="A52" s="22" t="s">
        <v>13</v>
      </c>
      <c r="B52" s="35">
        <f t="shared" ref="B52:C52" si="8">SUM(B53:B54)</f>
        <v>8726.4297100000022</v>
      </c>
      <c r="C52" s="35">
        <f t="shared" si="8"/>
        <v>10181.431139999997</v>
      </c>
      <c r="D52" s="35">
        <f>SUM(D53:D54)</f>
        <v>8395.0911799999994</v>
      </c>
      <c r="E52" s="35">
        <f>SUM(E53:E54)</f>
        <v>6411.2771099999991</v>
      </c>
      <c r="F52" s="35">
        <f>SUM(F53:F54)</f>
        <v>12310.738949999999</v>
      </c>
      <c r="G52" s="35">
        <f t="shared" ref="G52:H52" si="9">SUM(G53:G54)</f>
        <v>34.596719999999998</v>
      </c>
      <c r="H52" s="35">
        <f t="shared" si="9"/>
        <v>0</v>
      </c>
      <c r="I52" s="24" t="s">
        <v>103</v>
      </c>
    </row>
    <row r="53" spans="1:9" ht="21.75" x14ac:dyDescent="0.25">
      <c r="A53" s="36" t="s">
        <v>30</v>
      </c>
      <c r="B53" s="37">
        <v>8726.4297100000022</v>
      </c>
      <c r="C53" s="37">
        <v>10181.431139999997</v>
      </c>
      <c r="D53" s="26">
        <v>8377.39516</v>
      </c>
      <c r="E53" s="26">
        <v>6411.2771099999991</v>
      </c>
      <c r="F53" s="26">
        <v>12310.738949999999</v>
      </c>
      <c r="G53" s="26">
        <v>34.596719999999998</v>
      </c>
      <c r="H53" s="26" t="s">
        <v>34</v>
      </c>
      <c r="I53" s="38" t="s">
        <v>104</v>
      </c>
    </row>
    <row r="54" spans="1:9" ht="21.75" x14ac:dyDescent="0.25">
      <c r="A54" s="19" t="s">
        <v>31</v>
      </c>
      <c r="B54" s="28" t="s">
        <v>34</v>
      </c>
      <c r="C54" s="28" t="s">
        <v>34</v>
      </c>
      <c r="D54" s="20">
        <v>17.696020000000001</v>
      </c>
      <c r="E54" s="20" t="s">
        <v>34</v>
      </c>
      <c r="F54" s="20" t="s">
        <v>34</v>
      </c>
      <c r="G54" s="20" t="s">
        <v>34</v>
      </c>
      <c r="H54" s="20" t="s">
        <v>34</v>
      </c>
      <c r="I54" s="21" t="s">
        <v>104</v>
      </c>
    </row>
    <row r="55" spans="1:9" ht="21.75" x14ac:dyDescent="0.25">
      <c r="A55" s="22" t="s">
        <v>7</v>
      </c>
      <c r="B55" s="35">
        <f t="shared" ref="B55:H55" si="10">SUM(B56:B76)</f>
        <v>1107208.3564599999</v>
      </c>
      <c r="C55" s="35">
        <f t="shared" si="10"/>
        <v>1808076.4558700006</v>
      </c>
      <c r="D55" s="35">
        <f t="shared" si="10"/>
        <v>1388178.0647500004</v>
      </c>
      <c r="E55" s="35">
        <f t="shared" si="10"/>
        <v>1221647.4688899997</v>
      </c>
      <c r="F55" s="35">
        <f t="shared" si="10"/>
        <v>1400782.9334400001</v>
      </c>
      <c r="G55" s="35">
        <f t="shared" si="10"/>
        <v>1410369.19915</v>
      </c>
      <c r="H55" s="35">
        <f t="shared" si="10"/>
        <v>1463158.9216700005</v>
      </c>
      <c r="I55" s="29" t="s">
        <v>105</v>
      </c>
    </row>
    <row r="56" spans="1:9" ht="21.75" x14ac:dyDescent="0.25">
      <c r="A56" s="15" t="s">
        <v>171</v>
      </c>
      <c r="B56" s="16" t="s">
        <v>34</v>
      </c>
      <c r="C56" s="16" t="s">
        <v>34</v>
      </c>
      <c r="D56" s="16" t="s">
        <v>34</v>
      </c>
      <c r="E56" s="16" t="s">
        <v>34</v>
      </c>
      <c r="F56" s="16" t="s">
        <v>34</v>
      </c>
      <c r="G56" s="16">
        <v>44.900199999999998</v>
      </c>
      <c r="H56" s="16">
        <v>6.9396100000000001</v>
      </c>
      <c r="I56" s="17" t="s">
        <v>172</v>
      </c>
    </row>
    <row r="57" spans="1:9" ht="21.75" hidden="1" x14ac:dyDescent="0.25">
      <c r="A57" s="15" t="s">
        <v>173</v>
      </c>
      <c r="B57" s="16" t="s">
        <v>34</v>
      </c>
      <c r="C57" s="16" t="s">
        <v>34</v>
      </c>
      <c r="D57" s="16" t="s">
        <v>34</v>
      </c>
      <c r="E57" s="16" t="s">
        <v>34</v>
      </c>
      <c r="F57" s="16" t="s">
        <v>34</v>
      </c>
      <c r="G57" s="16">
        <v>0</v>
      </c>
      <c r="H57" s="16">
        <v>0.14124</v>
      </c>
      <c r="I57" s="17" t="s">
        <v>174</v>
      </c>
    </row>
    <row r="58" spans="1:9" ht="21.75" x14ac:dyDescent="0.25">
      <c r="A58" s="15" t="s">
        <v>106</v>
      </c>
      <c r="B58" s="16">
        <v>4378.3103499999997</v>
      </c>
      <c r="C58" s="16">
        <v>10548.560949999999</v>
      </c>
      <c r="D58" s="16">
        <v>32866.056649999999</v>
      </c>
      <c r="E58" s="16">
        <v>40676.811549999991</v>
      </c>
      <c r="F58" s="16">
        <v>37212.80356</v>
      </c>
      <c r="G58" s="16">
        <v>41506.165890000004</v>
      </c>
      <c r="H58" s="16">
        <v>54972.908470000002</v>
      </c>
      <c r="I58" s="17" t="s">
        <v>107</v>
      </c>
    </row>
    <row r="59" spans="1:9" ht="21.75" x14ac:dyDescent="0.25">
      <c r="A59" s="15" t="s">
        <v>20</v>
      </c>
      <c r="B59" s="16">
        <v>1712.1278599999996</v>
      </c>
      <c r="C59" s="16">
        <v>8254.4980999999989</v>
      </c>
      <c r="D59" s="16">
        <v>4167.2744799999991</v>
      </c>
      <c r="E59" s="16">
        <v>61.541809999999998</v>
      </c>
      <c r="F59" s="16">
        <v>13683.894299999998</v>
      </c>
      <c r="G59" s="16">
        <v>342.33850000000001</v>
      </c>
      <c r="H59" s="16">
        <v>326.93572999999799</v>
      </c>
      <c r="I59" s="17" t="s">
        <v>108</v>
      </c>
    </row>
    <row r="60" spans="1:9" ht="21.75" x14ac:dyDescent="0.25">
      <c r="A60" s="15" t="s">
        <v>109</v>
      </c>
      <c r="B60" s="16" t="s">
        <v>34</v>
      </c>
      <c r="C60" s="16">
        <v>5.6481399999999997</v>
      </c>
      <c r="D60" s="16" t="s">
        <v>34</v>
      </c>
      <c r="E60" s="16" t="s">
        <v>34</v>
      </c>
      <c r="F60" s="16">
        <v>306.13866999999999</v>
      </c>
      <c r="G60" s="16">
        <v>159.48068000000001</v>
      </c>
      <c r="H60" s="16" t="s">
        <v>34</v>
      </c>
      <c r="I60" s="17" t="s">
        <v>110</v>
      </c>
    </row>
    <row r="61" spans="1:9" ht="21.75" x14ac:dyDescent="0.25">
      <c r="A61" s="15" t="s">
        <v>111</v>
      </c>
      <c r="B61" s="16" t="s">
        <v>34</v>
      </c>
      <c r="C61" s="16" t="s">
        <v>34</v>
      </c>
      <c r="D61" s="16" t="s">
        <v>34</v>
      </c>
      <c r="E61" s="16" t="s">
        <v>34</v>
      </c>
      <c r="F61" s="16" t="s">
        <v>34</v>
      </c>
      <c r="G61" s="16" t="s">
        <v>34</v>
      </c>
      <c r="H61" s="16">
        <v>3.8468800000000001</v>
      </c>
      <c r="I61" s="17" t="s">
        <v>112</v>
      </c>
    </row>
    <row r="62" spans="1:9" ht="21.75" x14ac:dyDescent="0.25">
      <c r="A62" s="15" t="s">
        <v>38</v>
      </c>
      <c r="B62" s="16">
        <v>24069.963009999996</v>
      </c>
      <c r="C62" s="16">
        <v>18840.906169999995</v>
      </c>
      <c r="D62" s="16">
        <v>22059.926910000009</v>
      </c>
      <c r="E62" s="16">
        <v>33294.786420000004</v>
      </c>
      <c r="F62" s="16">
        <v>25772.043169999997</v>
      </c>
      <c r="G62" s="16">
        <v>24127.994300000002</v>
      </c>
      <c r="H62" s="16">
        <v>23996.64255</v>
      </c>
      <c r="I62" s="17" t="s">
        <v>113</v>
      </c>
    </row>
    <row r="63" spans="1:9" ht="21.75" x14ac:dyDescent="0.25">
      <c r="A63" s="15" t="s">
        <v>16</v>
      </c>
      <c r="B63" s="16">
        <v>23950.067069999997</v>
      </c>
      <c r="C63" s="16">
        <v>44038.268859999996</v>
      </c>
      <c r="D63" s="16">
        <v>43345.408179999999</v>
      </c>
      <c r="E63" s="16">
        <v>52769.282339999998</v>
      </c>
      <c r="F63" s="16">
        <v>51308.227530000004</v>
      </c>
      <c r="G63" s="16">
        <v>84221.447819999987</v>
      </c>
      <c r="H63" s="16">
        <v>89802.594290000299</v>
      </c>
      <c r="I63" s="17" t="s">
        <v>114</v>
      </c>
    </row>
    <row r="64" spans="1:9" ht="21.75" x14ac:dyDescent="0.25">
      <c r="A64" s="15" t="s">
        <v>21</v>
      </c>
      <c r="B64" s="16">
        <v>1723.69876</v>
      </c>
      <c r="C64" s="16" t="s">
        <v>34</v>
      </c>
      <c r="D64" s="16">
        <v>8113.1800200000007</v>
      </c>
      <c r="E64" s="16">
        <v>497.09699999999998</v>
      </c>
      <c r="F64" s="16">
        <v>7105.3072599999996</v>
      </c>
      <c r="G64" s="16">
        <v>7354.8490300000003</v>
      </c>
      <c r="H64" s="16">
        <v>7361.1143400000001</v>
      </c>
      <c r="I64" s="17" t="s">
        <v>115</v>
      </c>
    </row>
    <row r="65" spans="1:9" ht="21.75" x14ac:dyDescent="0.25">
      <c r="A65" s="15" t="s">
        <v>22</v>
      </c>
      <c r="B65" s="16">
        <v>45597.044409999995</v>
      </c>
      <c r="C65" s="16">
        <v>49020.427200000013</v>
      </c>
      <c r="D65" s="16">
        <v>45114.810090000014</v>
      </c>
      <c r="E65" s="16">
        <v>35548.939690000021</v>
      </c>
      <c r="F65" s="16">
        <v>39747.926860000007</v>
      </c>
      <c r="G65" s="16">
        <v>83761.431650000013</v>
      </c>
      <c r="H65" s="16">
        <v>46205.90537</v>
      </c>
      <c r="I65" s="17" t="s">
        <v>116</v>
      </c>
    </row>
    <row r="66" spans="1:9" ht="21.75" x14ac:dyDescent="0.25">
      <c r="A66" s="15" t="s">
        <v>17</v>
      </c>
      <c r="B66" s="16">
        <v>31.26887</v>
      </c>
      <c r="C66" s="16">
        <v>1164.2822500000002</v>
      </c>
      <c r="D66" s="16">
        <v>2102.1164400000002</v>
      </c>
      <c r="E66" s="16">
        <v>2457.7581599999999</v>
      </c>
      <c r="F66" s="16">
        <v>3535.5171300000006</v>
      </c>
      <c r="G66" s="16">
        <v>8216.7933799999992</v>
      </c>
      <c r="H66" s="16">
        <v>807.71928000000003</v>
      </c>
      <c r="I66" s="17" t="s">
        <v>117</v>
      </c>
    </row>
    <row r="67" spans="1:9" ht="21.75" x14ac:dyDescent="0.25">
      <c r="A67" s="15" t="s">
        <v>118</v>
      </c>
      <c r="B67" s="16" t="s">
        <v>34</v>
      </c>
      <c r="C67" s="16" t="s">
        <v>34</v>
      </c>
      <c r="D67" s="16" t="s">
        <v>34</v>
      </c>
      <c r="E67" s="16" t="s">
        <v>34</v>
      </c>
      <c r="F67" s="16" t="s">
        <v>34</v>
      </c>
      <c r="G67" s="16">
        <v>11.211549999999999</v>
      </c>
      <c r="H67" s="16" t="s">
        <v>34</v>
      </c>
      <c r="I67" s="17" t="s">
        <v>119</v>
      </c>
    </row>
    <row r="68" spans="1:9" ht="21.75" x14ac:dyDescent="0.25">
      <c r="A68" s="15" t="s">
        <v>120</v>
      </c>
      <c r="B68" s="16" t="s">
        <v>34</v>
      </c>
      <c r="C68" s="16">
        <v>0.6157999999999999</v>
      </c>
      <c r="D68" s="16" t="s">
        <v>34</v>
      </c>
      <c r="E68" s="16" t="s">
        <v>34</v>
      </c>
      <c r="F68" s="16" t="s">
        <v>34</v>
      </c>
      <c r="G68" s="16" t="s">
        <v>34</v>
      </c>
      <c r="H68" s="16">
        <v>703.99249999999995</v>
      </c>
      <c r="I68" s="17" t="s">
        <v>121</v>
      </c>
    </row>
    <row r="69" spans="1:9" ht="21.75" x14ac:dyDescent="0.25">
      <c r="A69" s="15" t="s">
        <v>122</v>
      </c>
      <c r="B69" s="16">
        <v>4676.2546700000003</v>
      </c>
      <c r="C69" s="16">
        <v>3009.9229</v>
      </c>
      <c r="D69" s="16">
        <v>5083.3913300000004</v>
      </c>
      <c r="E69" s="16">
        <v>4570.9106700000011</v>
      </c>
      <c r="F69" s="16">
        <v>4407.9924099999998</v>
      </c>
      <c r="G69" s="16">
        <v>1249.9713999999999</v>
      </c>
      <c r="H69" s="16">
        <v>3081.2966800000004</v>
      </c>
      <c r="I69" s="17" t="s">
        <v>123</v>
      </c>
    </row>
    <row r="70" spans="1:9" ht="21.75" x14ac:dyDescent="0.25">
      <c r="A70" s="15" t="s">
        <v>15</v>
      </c>
      <c r="B70" s="16">
        <v>608.66312999999991</v>
      </c>
      <c r="C70" s="16">
        <v>1647.1818999999998</v>
      </c>
      <c r="D70" s="16">
        <v>3093.6271599999995</v>
      </c>
      <c r="E70" s="16">
        <v>1075.1347299999998</v>
      </c>
      <c r="F70" s="16">
        <v>1338.8176099999998</v>
      </c>
      <c r="G70" s="16">
        <v>753.06245999999999</v>
      </c>
      <c r="H70" s="16">
        <v>690.03035999999906</v>
      </c>
      <c r="I70" s="17" t="s">
        <v>124</v>
      </c>
    </row>
    <row r="71" spans="1:9" ht="21.75" x14ac:dyDescent="0.25">
      <c r="A71" s="15" t="s">
        <v>125</v>
      </c>
      <c r="B71" s="16">
        <v>5470.4243699999997</v>
      </c>
      <c r="C71" s="16">
        <v>2860.4639999999999</v>
      </c>
      <c r="D71" s="16">
        <v>19896.312979999999</v>
      </c>
      <c r="E71" s="16">
        <v>6070.3362699999998</v>
      </c>
      <c r="F71" s="16">
        <v>0</v>
      </c>
      <c r="G71" s="16">
        <v>7.7181199999999999</v>
      </c>
      <c r="H71" s="16">
        <v>23.16104</v>
      </c>
      <c r="I71" s="17" t="s">
        <v>126</v>
      </c>
    </row>
    <row r="72" spans="1:9" ht="21.75" x14ac:dyDescent="0.25">
      <c r="A72" s="15" t="s">
        <v>18</v>
      </c>
      <c r="B72" s="16">
        <v>218607.09901000018</v>
      </c>
      <c r="C72" s="16">
        <v>115670.73841000005</v>
      </c>
      <c r="D72" s="16">
        <v>95499.532769999976</v>
      </c>
      <c r="E72" s="16">
        <v>78765.619199999972</v>
      </c>
      <c r="F72" s="16">
        <v>71278.84580000001</v>
      </c>
      <c r="G72" s="16">
        <v>34054.998639999998</v>
      </c>
      <c r="H72" s="16">
        <v>19739.220740000099</v>
      </c>
      <c r="I72" s="17" t="s">
        <v>127</v>
      </c>
    </row>
    <row r="73" spans="1:9" ht="21.75" x14ac:dyDescent="0.25">
      <c r="A73" s="15" t="s">
        <v>39</v>
      </c>
      <c r="B73" s="16">
        <v>33303.357379999987</v>
      </c>
      <c r="C73" s="16">
        <v>37515.765119999996</v>
      </c>
      <c r="D73" s="16">
        <v>35005.961599999995</v>
      </c>
      <c r="E73" s="16">
        <v>23908.330949999992</v>
      </c>
      <c r="F73" s="16">
        <v>12326.751129999999</v>
      </c>
      <c r="G73" s="16">
        <v>9083.7850799999906</v>
      </c>
      <c r="H73" s="16">
        <v>8368.3918000000103</v>
      </c>
      <c r="I73" s="17" t="s">
        <v>40</v>
      </c>
    </row>
    <row r="74" spans="1:9" ht="21.75" hidden="1" x14ac:dyDescent="0.25">
      <c r="A74" s="15" t="s">
        <v>128</v>
      </c>
      <c r="B74" s="16" t="s">
        <v>34</v>
      </c>
      <c r="C74" s="16" t="s">
        <v>34</v>
      </c>
      <c r="D74" s="16" t="s">
        <v>34</v>
      </c>
      <c r="E74" s="16" t="s">
        <v>34</v>
      </c>
      <c r="F74" s="16">
        <v>0</v>
      </c>
      <c r="G74" s="16">
        <v>0</v>
      </c>
      <c r="H74" s="16"/>
      <c r="I74" s="17" t="s">
        <v>129</v>
      </c>
    </row>
    <row r="75" spans="1:9" ht="21.75" x14ac:dyDescent="0.25">
      <c r="A75" s="15" t="s">
        <v>19</v>
      </c>
      <c r="B75" s="16">
        <v>738371.18641999969</v>
      </c>
      <c r="C75" s="16">
        <v>1492075.1333200005</v>
      </c>
      <c r="D75" s="16">
        <v>1014092.3380200005</v>
      </c>
      <c r="E75" s="16">
        <v>885773.84863999975</v>
      </c>
      <c r="F75" s="16">
        <v>1091416.5146100002</v>
      </c>
      <c r="G75" s="16">
        <v>1085126.41793</v>
      </c>
      <c r="H75" s="16">
        <v>1182018.3936900001</v>
      </c>
      <c r="I75" s="17" t="s">
        <v>130</v>
      </c>
    </row>
    <row r="76" spans="1:9" ht="21.75" x14ac:dyDescent="0.25">
      <c r="A76" s="19" t="s">
        <v>131</v>
      </c>
      <c r="B76" s="20">
        <v>4708.8911500000004</v>
      </c>
      <c r="C76" s="20">
        <v>23424.042750000004</v>
      </c>
      <c r="D76" s="20">
        <v>57738.128119999987</v>
      </c>
      <c r="E76" s="20">
        <v>56177.071459999999</v>
      </c>
      <c r="F76" s="20">
        <v>41342.153400000003</v>
      </c>
      <c r="G76" s="20">
        <v>30346.632519999999</v>
      </c>
      <c r="H76" s="20">
        <v>25049.687100000003</v>
      </c>
      <c r="I76" s="21" t="s">
        <v>132</v>
      </c>
    </row>
    <row r="77" spans="1:9" x14ac:dyDescent="0.35">
      <c r="A77" s="22" t="s">
        <v>9</v>
      </c>
      <c r="B77" s="23">
        <f t="shared" ref="B77:F77" si="11">SUM(B78:B90)</f>
        <v>9299.2139199999929</v>
      </c>
      <c r="C77" s="23">
        <f t="shared" si="11"/>
        <v>8660.7910400000037</v>
      </c>
      <c r="D77" s="23">
        <f t="shared" si="11"/>
        <v>10606.267499999998</v>
      </c>
      <c r="E77" s="23">
        <f t="shared" si="11"/>
        <v>10720.342059999999</v>
      </c>
      <c r="F77" s="23">
        <f t="shared" si="11"/>
        <v>6404.0434399999976</v>
      </c>
      <c r="G77" s="23">
        <f t="shared" ref="G77:H77" si="12">SUM(G78:G90)</f>
        <v>10788.74735</v>
      </c>
      <c r="H77" s="23">
        <f t="shared" si="12"/>
        <v>9553.52045</v>
      </c>
      <c r="I77" s="47" t="s">
        <v>27</v>
      </c>
    </row>
    <row r="78" spans="1:9" ht="21.75" x14ac:dyDescent="0.25">
      <c r="A78" s="15" t="s">
        <v>29</v>
      </c>
      <c r="B78" s="30">
        <v>51.414529999999999</v>
      </c>
      <c r="C78" s="30">
        <v>353.16810000000004</v>
      </c>
      <c r="D78" s="30">
        <v>314.59190999999998</v>
      </c>
      <c r="E78" s="30">
        <v>197.75370000000001</v>
      </c>
      <c r="F78" s="30">
        <v>61.51</v>
      </c>
      <c r="G78" s="30">
        <v>195.33351000000002</v>
      </c>
      <c r="H78" s="30">
        <v>219.60724999999999</v>
      </c>
      <c r="I78" s="17" t="s">
        <v>133</v>
      </c>
    </row>
    <row r="79" spans="1:9" ht="21.75" x14ac:dyDescent="0.25">
      <c r="A79" s="15" t="s">
        <v>134</v>
      </c>
      <c r="B79" s="16" t="s">
        <v>34</v>
      </c>
      <c r="C79" s="16" t="s">
        <v>34</v>
      </c>
      <c r="D79" s="16" t="s">
        <v>34</v>
      </c>
      <c r="E79" s="16" t="s">
        <v>34</v>
      </c>
      <c r="F79" s="16">
        <v>140.41036000000003</v>
      </c>
      <c r="G79" s="16">
        <v>407.51224999999999</v>
      </c>
      <c r="H79" s="16">
        <v>167.46417000000002</v>
      </c>
      <c r="I79" s="17" t="s">
        <v>135</v>
      </c>
    </row>
    <row r="80" spans="1:9" ht="21.75" x14ac:dyDescent="0.25">
      <c r="A80" s="15" t="s">
        <v>175</v>
      </c>
      <c r="B80" s="16" t="s">
        <v>34</v>
      </c>
      <c r="C80" s="16" t="s">
        <v>34</v>
      </c>
      <c r="D80" s="16" t="s">
        <v>34</v>
      </c>
      <c r="E80" s="16" t="s">
        <v>34</v>
      </c>
      <c r="F80" s="16" t="s">
        <v>34</v>
      </c>
      <c r="G80" s="16">
        <v>4134.7830599999998</v>
      </c>
      <c r="H80" s="16">
        <v>1228.8123799999998</v>
      </c>
      <c r="I80" s="17" t="s">
        <v>176</v>
      </c>
    </row>
    <row r="81" spans="1:13" ht="21.75" x14ac:dyDescent="0.25">
      <c r="A81" s="15" t="s">
        <v>41</v>
      </c>
      <c r="B81" s="16" t="s">
        <v>34</v>
      </c>
      <c r="C81" s="16" t="s">
        <v>34</v>
      </c>
      <c r="D81" s="16" t="s">
        <v>34</v>
      </c>
      <c r="E81" s="16">
        <v>106.59605999999999</v>
      </c>
      <c r="F81" s="16" t="s">
        <v>34</v>
      </c>
      <c r="G81" s="16" t="s">
        <v>34</v>
      </c>
      <c r="H81" s="16" t="s">
        <v>34</v>
      </c>
      <c r="I81" s="17" t="s">
        <v>136</v>
      </c>
    </row>
    <row r="82" spans="1:13" ht="21.75" x14ac:dyDescent="0.25">
      <c r="A82" s="15" t="s">
        <v>137</v>
      </c>
      <c r="B82" s="16" t="s">
        <v>34</v>
      </c>
      <c r="C82" s="16" t="s">
        <v>34</v>
      </c>
      <c r="D82" s="16" t="s">
        <v>34</v>
      </c>
      <c r="E82" s="16" t="s">
        <v>34</v>
      </c>
      <c r="F82" s="16" t="s">
        <v>34</v>
      </c>
      <c r="G82" s="16">
        <v>1.9359900000000001</v>
      </c>
      <c r="H82" s="16">
        <v>0</v>
      </c>
      <c r="I82" s="17" t="s">
        <v>138</v>
      </c>
    </row>
    <row r="83" spans="1:13" ht="21.75" x14ac:dyDescent="0.25">
      <c r="A83" s="25" t="s">
        <v>139</v>
      </c>
      <c r="B83" s="16" t="s">
        <v>34</v>
      </c>
      <c r="C83" s="16" t="s">
        <v>34</v>
      </c>
      <c r="D83" s="16" t="s">
        <v>34</v>
      </c>
      <c r="E83" s="16" t="s">
        <v>34</v>
      </c>
      <c r="F83" s="16" t="s">
        <v>34</v>
      </c>
      <c r="G83" s="16" t="s">
        <v>34</v>
      </c>
      <c r="H83" s="16" t="s">
        <v>34</v>
      </c>
      <c r="I83" s="17" t="s">
        <v>140</v>
      </c>
    </row>
    <row r="84" spans="1:13" ht="21.75" hidden="1" x14ac:dyDescent="0.25">
      <c r="A84" s="25" t="s">
        <v>141</v>
      </c>
      <c r="B84" s="16" t="s">
        <v>34</v>
      </c>
      <c r="C84" s="16" t="s">
        <v>34</v>
      </c>
      <c r="D84" s="16" t="s">
        <v>34</v>
      </c>
      <c r="E84" s="16" t="s">
        <v>34</v>
      </c>
      <c r="F84" s="16" t="s">
        <v>34</v>
      </c>
      <c r="G84" s="16">
        <v>0</v>
      </c>
      <c r="H84" s="16">
        <v>0</v>
      </c>
      <c r="I84" s="17" t="s">
        <v>142</v>
      </c>
    </row>
    <row r="85" spans="1:13" ht="21.75" x14ac:dyDescent="0.25">
      <c r="A85" s="25" t="s">
        <v>28</v>
      </c>
      <c r="B85" s="16" t="s">
        <v>34</v>
      </c>
      <c r="C85" s="16" t="s">
        <v>34</v>
      </c>
      <c r="D85" s="16" t="s">
        <v>34</v>
      </c>
      <c r="E85" s="16" t="s">
        <v>34</v>
      </c>
      <c r="F85" s="16" t="s">
        <v>34</v>
      </c>
      <c r="G85" s="16">
        <v>426.51749999999998</v>
      </c>
      <c r="H85" s="16">
        <v>5.0550699999999997</v>
      </c>
      <c r="I85" s="17" t="s">
        <v>143</v>
      </c>
    </row>
    <row r="86" spans="1:13" ht="21.75" x14ac:dyDescent="0.25">
      <c r="A86" s="25" t="s">
        <v>144</v>
      </c>
      <c r="B86" s="16">
        <v>50.727270000000004</v>
      </c>
      <c r="C86" s="16" t="s">
        <v>34</v>
      </c>
      <c r="D86" s="16">
        <v>127.10182</v>
      </c>
      <c r="E86" s="16" t="s">
        <v>34</v>
      </c>
      <c r="F86" s="16">
        <v>23.838999999999999</v>
      </c>
      <c r="G86" s="16">
        <v>43.768879999999996</v>
      </c>
      <c r="H86" s="16">
        <v>108.80688000000001</v>
      </c>
      <c r="I86" s="17" t="s">
        <v>145</v>
      </c>
    </row>
    <row r="87" spans="1:13" ht="21.75" x14ac:dyDescent="0.25">
      <c r="A87" s="15" t="s">
        <v>146</v>
      </c>
      <c r="B87" s="16">
        <v>6.8996500000000003</v>
      </c>
      <c r="C87" s="16">
        <v>4.6300600000000003</v>
      </c>
      <c r="D87" s="16">
        <v>4.6523699999999995</v>
      </c>
      <c r="E87" s="16" t="s">
        <v>34</v>
      </c>
      <c r="F87" s="16" t="s">
        <v>34</v>
      </c>
      <c r="G87" s="16">
        <v>365.29940000000005</v>
      </c>
      <c r="H87" s="16">
        <v>47.299620000000004</v>
      </c>
      <c r="I87" s="17" t="s">
        <v>147</v>
      </c>
    </row>
    <row r="88" spans="1:13" ht="21.75" x14ac:dyDescent="0.25">
      <c r="A88" s="31" t="s">
        <v>148</v>
      </c>
      <c r="B88" s="16" t="s">
        <v>34</v>
      </c>
      <c r="C88" s="16" t="s">
        <v>34</v>
      </c>
      <c r="D88" s="26">
        <v>17.632999999999999</v>
      </c>
      <c r="E88" s="26">
        <v>1177.6343300000001</v>
      </c>
      <c r="F88" s="26">
        <v>92.63633999999999</v>
      </c>
      <c r="G88" s="26">
        <v>36.918779999999998</v>
      </c>
      <c r="H88" s="26">
        <v>957.21255000000099</v>
      </c>
      <c r="I88" s="32" t="s">
        <v>149</v>
      </c>
    </row>
    <row r="89" spans="1:13" ht="21.75" x14ac:dyDescent="0.25">
      <c r="A89" s="52" t="s">
        <v>42</v>
      </c>
      <c r="B89" s="53">
        <v>9190.1724699999922</v>
      </c>
      <c r="C89" s="53">
        <v>8302.9928800000034</v>
      </c>
      <c r="D89" s="53">
        <v>10142.288399999998</v>
      </c>
      <c r="E89" s="53">
        <v>9238.3579699999991</v>
      </c>
      <c r="F89" s="53">
        <v>6085.6477399999976</v>
      </c>
      <c r="G89" s="53">
        <v>5176.6779800000004</v>
      </c>
      <c r="H89" s="53">
        <v>6819.26253</v>
      </c>
      <c r="I89" s="54" t="s">
        <v>150</v>
      </c>
    </row>
    <row r="90" spans="1:13" ht="21.75" hidden="1" x14ac:dyDescent="0.25">
      <c r="A90" s="39" t="s">
        <v>151</v>
      </c>
      <c r="B90" s="40" t="s">
        <v>34</v>
      </c>
      <c r="C90" s="40" t="s">
        <v>34</v>
      </c>
      <c r="D90" s="40" t="s">
        <v>34</v>
      </c>
      <c r="E90" s="40" t="s">
        <v>34</v>
      </c>
      <c r="F90" s="40" t="s">
        <v>34</v>
      </c>
      <c r="G90" s="40">
        <v>0</v>
      </c>
      <c r="H90" s="40">
        <v>0</v>
      </c>
      <c r="I90" s="41" t="s">
        <v>152</v>
      </c>
    </row>
    <row r="91" spans="1:13" s="43" customFormat="1" x14ac:dyDescent="0.35">
      <c r="A91" s="1" t="s">
        <v>32</v>
      </c>
      <c r="B91" s="42"/>
      <c r="C91" s="42"/>
      <c r="D91" s="42"/>
      <c r="E91" s="42"/>
      <c r="F91" s="42"/>
      <c r="G91" s="42"/>
      <c r="H91" s="42"/>
      <c r="I91" s="46" t="s">
        <v>33</v>
      </c>
      <c r="J91" s="2"/>
      <c r="K91" s="2"/>
      <c r="L91" s="2"/>
      <c r="M91" s="2"/>
    </row>
  </sheetData>
  <mergeCells count="5">
    <mergeCell ref="A1:I1"/>
    <mergeCell ref="A2:I2"/>
    <mergeCell ref="A4:A5"/>
    <mergeCell ref="I4:I5"/>
    <mergeCell ref="B4:H4"/>
  </mergeCells>
  <pageMargins left="0.7" right="0.7" top="0.75" bottom="0.75" header="0.3" footer="0.3"/>
  <pageSetup scale="57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15.6</vt:lpstr>
      <vt:lpstr>'15.6'!Print_Area</vt:lpstr>
      <vt:lpstr>'15.6'!Print_Titles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2023-07-20T05:33:51Z</cp:lastPrinted>
  <dcterms:created xsi:type="dcterms:W3CDTF">2019-12-05T04:01:34Z</dcterms:created>
  <dcterms:modified xsi:type="dcterms:W3CDTF">2023-07-20T05:34:01Z</dcterms:modified>
</cp:coreProperties>
</file>