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oreign Trade &amp; BOP\"/>
    </mc:Choice>
  </mc:AlternateContent>
  <xr:revisionPtr revIDLastSave="0" documentId="13_ncr:1_{74E3367A-2980-41B6-AF53-7D46A6994176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15.5" sheetId="5" r:id="rId1"/>
  </sheets>
  <definedNames>
    <definedName name="_xlnm.Print_Area" localSheetId="0">'15.5'!$A$1:$AA$37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5" l="1"/>
  <c r="B8" i="5"/>
  <c r="B18" i="5"/>
  <c r="B22" i="5"/>
  <c r="B30" i="5"/>
  <c r="G18" i="5"/>
  <c r="F8" i="5"/>
  <c r="X9" i="5" l="1"/>
  <c r="Y9" i="5"/>
  <c r="X10" i="5"/>
  <c r="Y10" i="5"/>
  <c r="X11" i="5"/>
  <c r="Y11" i="5"/>
  <c r="X12" i="5"/>
  <c r="Y12" i="5"/>
  <c r="X13" i="5"/>
  <c r="Y13" i="5"/>
  <c r="X14" i="5"/>
  <c r="Y15" i="5"/>
  <c r="X16" i="5"/>
  <c r="Y16" i="5"/>
  <c r="X19" i="5"/>
  <c r="Y19" i="5"/>
  <c r="X20" i="5"/>
  <c r="Y20" i="5"/>
  <c r="X21" i="5"/>
  <c r="Y21" i="5"/>
  <c r="X23" i="5"/>
  <c r="Y23" i="5"/>
  <c r="X24" i="5"/>
  <c r="Y24" i="5"/>
  <c r="X25" i="5"/>
  <c r="Y25" i="5"/>
  <c r="X26" i="5"/>
  <c r="Y26" i="5"/>
  <c r="X27" i="5"/>
  <c r="Y27" i="5"/>
  <c r="X28" i="5"/>
  <c r="Y28" i="5"/>
  <c r="X29" i="5"/>
  <c r="Y29" i="5"/>
  <c r="X32" i="5"/>
  <c r="Y32" i="5"/>
  <c r="Y33" i="5"/>
  <c r="G8" i="5"/>
  <c r="F18" i="5"/>
  <c r="F22" i="5"/>
  <c r="G22" i="5"/>
  <c r="F30" i="5"/>
  <c r="G30" i="5"/>
  <c r="Y30" i="5" l="1"/>
  <c r="Y22" i="5"/>
  <c r="Y18" i="5"/>
  <c r="Y8" i="5"/>
  <c r="F7" i="5"/>
  <c r="O8" i="5" s="1"/>
  <c r="G7" i="5"/>
  <c r="P9" i="5" l="1"/>
  <c r="P13" i="5"/>
  <c r="P17" i="5"/>
  <c r="P21" i="5"/>
  <c r="P25" i="5"/>
  <c r="P29" i="5"/>
  <c r="P33" i="5"/>
  <c r="P10" i="5"/>
  <c r="P14" i="5"/>
  <c r="P18" i="5"/>
  <c r="P22" i="5"/>
  <c r="P26" i="5"/>
  <c r="P30" i="5"/>
  <c r="P11" i="5"/>
  <c r="P15" i="5"/>
  <c r="P19" i="5"/>
  <c r="P23" i="5"/>
  <c r="P27" i="5"/>
  <c r="P31" i="5"/>
  <c r="P12" i="5"/>
  <c r="P16" i="5"/>
  <c r="P20" i="5"/>
  <c r="P24" i="5"/>
  <c r="P28" i="5"/>
  <c r="P32" i="5"/>
  <c r="P8" i="5"/>
  <c r="O11" i="5"/>
  <c r="O15" i="5"/>
  <c r="O19" i="5"/>
  <c r="O23" i="5"/>
  <c r="O27" i="5"/>
  <c r="O31" i="5"/>
  <c r="O25" i="5"/>
  <c r="O29" i="5"/>
  <c r="O33" i="5"/>
  <c r="Y7" i="5"/>
  <c r="O10" i="5"/>
  <c r="O14" i="5"/>
  <c r="O18" i="5"/>
  <c r="O22" i="5"/>
  <c r="O26" i="5"/>
  <c r="O12" i="5"/>
  <c r="O16" i="5"/>
  <c r="O20" i="5"/>
  <c r="O24" i="5"/>
  <c r="O28" i="5"/>
  <c r="O32" i="5"/>
  <c r="O9" i="5"/>
  <c r="O13" i="5"/>
  <c r="O17" i="5"/>
  <c r="O21" i="5"/>
  <c r="O30" i="5"/>
  <c r="O7" i="5" l="1"/>
  <c r="P7" i="5"/>
  <c r="W9" i="5" l="1"/>
  <c r="W10" i="5"/>
  <c r="W11" i="5"/>
  <c r="W12" i="5"/>
  <c r="W13" i="5"/>
  <c r="W14" i="5"/>
  <c r="W15" i="5"/>
  <c r="W16" i="5"/>
  <c r="W19" i="5"/>
  <c r="W21" i="5"/>
  <c r="W23" i="5"/>
  <c r="W24" i="5"/>
  <c r="W25" i="5"/>
  <c r="W26" i="5"/>
  <c r="W27" i="5"/>
  <c r="W28" i="5"/>
  <c r="W29" i="5"/>
  <c r="W32" i="5"/>
  <c r="W33" i="5"/>
  <c r="E8" i="5"/>
  <c r="E18" i="5"/>
  <c r="E22" i="5"/>
  <c r="E30" i="5"/>
  <c r="X8" i="5" l="1"/>
  <c r="X30" i="5"/>
  <c r="X22" i="5"/>
  <c r="X18" i="5"/>
  <c r="E7" i="5"/>
  <c r="N22" i="5" s="1"/>
  <c r="U33" i="5"/>
  <c r="S33" i="5"/>
  <c r="R33" i="5"/>
  <c r="Q33" i="5"/>
  <c r="V32" i="5"/>
  <c r="U32" i="5"/>
  <c r="T32" i="5"/>
  <c r="S32" i="5"/>
  <c r="R32" i="5"/>
  <c r="Q32" i="5"/>
  <c r="R31" i="5"/>
  <c r="Q31" i="5"/>
  <c r="D30" i="5"/>
  <c r="C30" i="5"/>
  <c r="V29" i="5"/>
  <c r="S29" i="5"/>
  <c r="R29" i="5"/>
  <c r="Q29" i="5"/>
  <c r="V28" i="5"/>
  <c r="U28" i="5"/>
  <c r="T28" i="5"/>
  <c r="S28" i="5"/>
  <c r="R28" i="5"/>
  <c r="Q28" i="5"/>
  <c r="V27" i="5"/>
  <c r="U27" i="5"/>
  <c r="T27" i="5"/>
  <c r="S27" i="5"/>
  <c r="R27" i="5"/>
  <c r="Q27" i="5"/>
  <c r="V26" i="5"/>
  <c r="U26" i="5"/>
  <c r="T26" i="5"/>
  <c r="S26" i="5"/>
  <c r="R26" i="5"/>
  <c r="Q26" i="5"/>
  <c r="V25" i="5"/>
  <c r="U25" i="5"/>
  <c r="T25" i="5"/>
  <c r="S25" i="5"/>
  <c r="R25" i="5"/>
  <c r="Q25" i="5"/>
  <c r="V24" i="5"/>
  <c r="U24" i="5"/>
  <c r="T24" i="5"/>
  <c r="S24" i="5"/>
  <c r="R24" i="5"/>
  <c r="Q24" i="5"/>
  <c r="V23" i="5"/>
  <c r="U23" i="5"/>
  <c r="S23" i="5"/>
  <c r="R23" i="5"/>
  <c r="Q23" i="5"/>
  <c r="D22" i="5"/>
  <c r="W22" i="5" s="1"/>
  <c r="C22" i="5"/>
  <c r="V21" i="5"/>
  <c r="U21" i="5"/>
  <c r="T21" i="5"/>
  <c r="R21" i="5"/>
  <c r="Q21" i="5"/>
  <c r="V20" i="5"/>
  <c r="U20" i="5"/>
  <c r="S20" i="5"/>
  <c r="R20" i="5"/>
  <c r="Q20" i="5"/>
  <c r="V19" i="5"/>
  <c r="U19" i="5"/>
  <c r="T19" i="5"/>
  <c r="S19" i="5"/>
  <c r="R19" i="5"/>
  <c r="Q19" i="5"/>
  <c r="D18" i="5"/>
  <c r="W18" i="5" s="1"/>
  <c r="C18" i="5"/>
  <c r="V17" i="5"/>
  <c r="S17" i="5"/>
  <c r="R17" i="5"/>
  <c r="Q17" i="5"/>
  <c r="V16" i="5"/>
  <c r="U16" i="5"/>
  <c r="T16" i="5"/>
  <c r="S16" i="5"/>
  <c r="R16" i="5"/>
  <c r="Q16" i="5"/>
  <c r="T15" i="5"/>
  <c r="S15" i="5"/>
  <c r="R15" i="5"/>
  <c r="Q15" i="5"/>
  <c r="V14" i="5"/>
  <c r="U14" i="5"/>
  <c r="S14" i="5"/>
  <c r="R14" i="5"/>
  <c r="Q14" i="5"/>
  <c r="V13" i="5"/>
  <c r="U13" i="5"/>
  <c r="T13" i="5"/>
  <c r="S13" i="5"/>
  <c r="R13" i="5"/>
  <c r="Q13" i="5"/>
  <c r="V12" i="5"/>
  <c r="U12" i="5"/>
  <c r="T12" i="5"/>
  <c r="S12" i="5"/>
  <c r="R12" i="5"/>
  <c r="Q12" i="5"/>
  <c r="V11" i="5"/>
  <c r="U11" i="5"/>
  <c r="T11" i="5"/>
  <c r="S11" i="5"/>
  <c r="R11" i="5"/>
  <c r="Q11" i="5"/>
  <c r="V10" i="5"/>
  <c r="U10" i="5"/>
  <c r="T10" i="5"/>
  <c r="S10" i="5"/>
  <c r="R10" i="5"/>
  <c r="Q10" i="5"/>
  <c r="V9" i="5"/>
  <c r="U9" i="5"/>
  <c r="T9" i="5"/>
  <c r="S9" i="5"/>
  <c r="R9" i="5"/>
  <c r="Q9" i="5"/>
  <c r="D8" i="5"/>
  <c r="W8" i="5" s="1"/>
  <c r="C8" i="5"/>
  <c r="N18" i="5" l="1"/>
  <c r="X7" i="5"/>
  <c r="N15" i="5"/>
  <c r="N27" i="5"/>
  <c r="N25" i="5"/>
  <c r="N16" i="5"/>
  <c r="N28" i="5"/>
  <c r="N29" i="5"/>
  <c r="N14" i="5"/>
  <c r="N17" i="5"/>
  <c r="N31" i="5"/>
  <c r="N19" i="5"/>
  <c r="N20" i="5"/>
  <c r="N32" i="5"/>
  <c r="N9" i="5"/>
  <c r="N21" i="5"/>
  <c r="N33" i="5"/>
  <c r="N26" i="5"/>
  <c r="N10" i="5"/>
  <c r="N11" i="5"/>
  <c r="N23" i="5"/>
  <c r="N12" i="5"/>
  <c r="N24" i="5"/>
  <c r="N13" i="5"/>
  <c r="N30" i="5"/>
  <c r="N8" i="5"/>
  <c r="S18" i="5"/>
  <c r="T8" i="5"/>
  <c r="Q18" i="5"/>
  <c r="U30" i="5"/>
  <c r="S22" i="5"/>
  <c r="T18" i="5"/>
  <c r="V30" i="5"/>
  <c r="W30" i="5"/>
  <c r="U18" i="5"/>
  <c r="R22" i="5"/>
  <c r="K32" i="5"/>
  <c r="Q30" i="5"/>
  <c r="R30" i="5"/>
  <c r="I15" i="5"/>
  <c r="V22" i="5"/>
  <c r="H29" i="5"/>
  <c r="J20" i="5"/>
  <c r="D7" i="5"/>
  <c r="M22" i="5" s="1"/>
  <c r="C7" i="5"/>
  <c r="L10" i="5" s="1"/>
  <c r="Q8" i="5"/>
  <c r="J29" i="5"/>
  <c r="J27" i="5"/>
  <c r="S8" i="5"/>
  <c r="U8" i="5"/>
  <c r="T22" i="5"/>
  <c r="S30" i="5"/>
  <c r="R8" i="5"/>
  <c r="V8" i="5"/>
  <c r="R18" i="5"/>
  <c r="V18" i="5"/>
  <c r="Q22" i="5"/>
  <c r="U22" i="5"/>
  <c r="T30" i="5"/>
  <c r="N7" i="5" l="1"/>
  <c r="J30" i="5"/>
  <c r="J13" i="5"/>
  <c r="J19" i="5"/>
  <c r="J23" i="5"/>
  <c r="J12" i="5"/>
  <c r="J24" i="5"/>
  <c r="J28" i="5"/>
  <c r="J18" i="5"/>
  <c r="J31" i="5"/>
  <c r="J33" i="5"/>
  <c r="J21" i="5"/>
  <c r="J22" i="5"/>
  <c r="J32" i="5"/>
  <c r="M31" i="5"/>
  <c r="J11" i="5"/>
  <c r="M12" i="5"/>
  <c r="M18" i="5"/>
  <c r="J15" i="5"/>
  <c r="I31" i="5"/>
  <c r="I21" i="5"/>
  <c r="L14" i="5"/>
  <c r="H11" i="5"/>
  <c r="L15" i="5"/>
  <c r="H23" i="5"/>
  <c r="I17" i="5"/>
  <c r="K15" i="5"/>
  <c r="K33" i="5"/>
  <c r="K16" i="5"/>
  <c r="L18" i="5"/>
  <c r="L8" i="5"/>
  <c r="I8" i="5"/>
  <c r="K19" i="5"/>
  <c r="I9" i="5"/>
  <c r="K18" i="5"/>
  <c r="U7" i="5"/>
  <c r="L30" i="5"/>
  <c r="L23" i="5"/>
  <c r="T7" i="5"/>
  <c r="L31" i="5"/>
  <c r="K26" i="5"/>
  <c r="I22" i="5"/>
  <c r="I10" i="5"/>
  <c r="L24" i="5"/>
  <c r="K8" i="5"/>
  <c r="K27" i="5"/>
  <c r="I26" i="5"/>
  <c r="I11" i="5"/>
  <c r="I30" i="5"/>
  <c r="L11" i="5"/>
  <c r="L25" i="5"/>
  <c r="K22" i="5"/>
  <c r="K9" i="5"/>
  <c r="K28" i="5"/>
  <c r="I27" i="5"/>
  <c r="I12" i="5"/>
  <c r="L32" i="5"/>
  <c r="K30" i="5"/>
  <c r="L12" i="5"/>
  <c r="L26" i="5"/>
  <c r="K17" i="5"/>
  <c r="K13" i="5"/>
  <c r="K29" i="5"/>
  <c r="I28" i="5"/>
  <c r="I19" i="5"/>
  <c r="L13" i="5"/>
  <c r="L9" i="5"/>
  <c r="K14" i="5"/>
  <c r="K23" i="5"/>
  <c r="I29" i="5"/>
  <c r="I20" i="5"/>
  <c r="H31" i="5"/>
  <c r="H13" i="5"/>
  <c r="H25" i="5"/>
  <c r="H9" i="5"/>
  <c r="H32" i="5"/>
  <c r="H14" i="5"/>
  <c r="H26" i="5"/>
  <c r="H8" i="5"/>
  <c r="H33" i="5"/>
  <c r="L33" i="5"/>
  <c r="L19" i="5"/>
  <c r="L27" i="5"/>
  <c r="L22" i="5"/>
  <c r="S7" i="5"/>
  <c r="I18" i="5"/>
  <c r="K10" i="5"/>
  <c r="K20" i="5"/>
  <c r="K25" i="5"/>
  <c r="H16" i="5"/>
  <c r="H19" i="5"/>
  <c r="I23" i="5"/>
  <c r="I32" i="5"/>
  <c r="I13" i="5"/>
  <c r="H30" i="5"/>
  <c r="H12" i="5"/>
  <c r="H24" i="5"/>
  <c r="K31" i="5"/>
  <c r="H17" i="5"/>
  <c r="H21" i="5"/>
  <c r="I24" i="5"/>
  <c r="I33" i="5"/>
  <c r="I14" i="5"/>
  <c r="H15" i="5"/>
  <c r="L16" i="5"/>
  <c r="L20" i="5"/>
  <c r="L28" i="5"/>
  <c r="H22" i="5"/>
  <c r="K11" i="5"/>
  <c r="K21" i="5"/>
  <c r="H18" i="5"/>
  <c r="L17" i="5"/>
  <c r="L21" i="5"/>
  <c r="L29" i="5"/>
  <c r="R7" i="5"/>
  <c r="K12" i="5"/>
  <c r="K24" i="5"/>
  <c r="H10" i="5"/>
  <c r="Q7" i="5"/>
  <c r="I25" i="5"/>
  <c r="I16" i="5"/>
  <c r="V7" i="5"/>
  <c r="W7" i="5"/>
  <c r="H27" i="5"/>
  <c r="M23" i="5"/>
  <c r="M29" i="5"/>
  <c r="M11" i="5"/>
  <c r="M8" i="5"/>
  <c r="M32" i="5"/>
  <c r="M24" i="5"/>
  <c r="M33" i="5"/>
  <c r="M14" i="5"/>
  <c r="M13" i="5"/>
  <c r="M16" i="5"/>
  <c r="M15" i="5"/>
  <c r="M30" i="5"/>
  <c r="M26" i="5"/>
  <c r="M17" i="5"/>
  <c r="M19" i="5"/>
  <c r="J10" i="5"/>
  <c r="M25" i="5"/>
  <c r="J14" i="5"/>
  <c r="J25" i="5"/>
  <c r="J16" i="5"/>
  <c r="M27" i="5"/>
  <c r="M9" i="5"/>
  <c r="M20" i="5"/>
  <c r="J9" i="5"/>
  <c r="H20" i="5"/>
  <c r="H28" i="5"/>
  <c r="J8" i="5"/>
  <c r="J26" i="5"/>
  <c r="J17" i="5"/>
  <c r="M28" i="5"/>
  <c r="M10" i="5"/>
  <c r="M21" i="5"/>
  <c r="H7" i="5" l="1"/>
  <c r="L7" i="5"/>
  <c r="K7" i="5"/>
  <c r="I7" i="5"/>
  <c r="J7" i="5"/>
  <c r="M7" i="5"/>
</calcChain>
</file>

<file path=xl/sharedStrings.xml><?xml version="1.0" encoding="utf-8"?>
<sst xmlns="http://schemas.openxmlformats.org/spreadsheetml/2006/main" count="87" uniqueCount="64">
  <si>
    <t>Country</t>
  </si>
  <si>
    <t>cniawtcaws ctogWviawfiheb</t>
  </si>
  <si>
    <t>% urwvcnim ivurutia eruvcSwrwhwa Iruk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</si>
  <si>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</si>
  <si>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</si>
  <si>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</si>
  <si>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</si>
  <si>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</si>
  <si>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</si>
  <si>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</si>
  <si>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</si>
  <si>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</si>
  <si>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</si>
  <si>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</si>
  <si>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</si>
  <si>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</si>
  <si>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</si>
  <si>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</si>
  <si>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</si>
  <si>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</si>
  <si>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</si>
  <si>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>America</t>
  </si>
  <si>
    <t>Oceania</t>
  </si>
  <si>
    <t>Others</t>
  </si>
  <si>
    <t>cnehinehea</t>
  </si>
  <si>
    <t>Africa</t>
  </si>
  <si>
    <t>India</t>
  </si>
  <si>
    <t>Sri Lanka</t>
  </si>
  <si>
    <t>WkcnwlIrcs</t>
  </si>
  <si>
    <t>Thailand</t>
  </si>
  <si>
    <t>cDcneliawt</t>
  </si>
  <si>
    <t>Japan</t>
  </si>
  <si>
    <t>cnWpwj</t>
  </si>
  <si>
    <t xml:space="preserve">Wkiremea </t>
  </si>
  <si>
    <t>itwmuriaudem</t>
  </si>
  <si>
    <t>WainExOa</t>
  </si>
  <si>
    <t>na</t>
  </si>
  <si>
    <t>Source:  Maldives Customs Services</t>
  </si>
  <si>
    <t xml:space="preserve">cswsivrWs cscmwTcswk cscviDclOm :ctWrwfivcaed utWmUluAwm     </t>
  </si>
  <si>
    <t>umuawq</t>
  </si>
  <si>
    <t>Spain</t>
  </si>
  <si>
    <t>cniaepcs</t>
  </si>
  <si>
    <t>Denmark</t>
  </si>
  <si>
    <t>ckWmcneD</t>
  </si>
  <si>
    <t xml:space="preserve">Wkircfea </t>
  </si>
  <si>
    <t>U.S.A.</t>
  </si>
  <si>
    <t>Ea.csea.Uy</t>
  </si>
  <si>
    <t>އޭޝިޔާ</t>
  </si>
  <si>
    <t>WyiDcnia</t>
  </si>
  <si>
    <t>Hong Kong</t>
  </si>
  <si>
    <t>gcnok gcnoh</t>
  </si>
  <si>
    <t>Taiwan</t>
  </si>
  <si>
    <t>ޓައިވާން</t>
  </si>
  <si>
    <t>Iran</t>
  </si>
  <si>
    <t>cnWria</t>
  </si>
  <si>
    <t>U.A.E.</t>
  </si>
  <si>
    <t>Ia .Ea .Uy</t>
  </si>
  <si>
    <t>others</t>
  </si>
  <si>
    <r>
      <rPr>
        <b/>
        <sz val="10"/>
        <rFont val="Calibri"/>
        <family val="2"/>
        <scheme val="minor"/>
      </rPr>
      <t xml:space="preserve"> Value (in MVR. '000)</t>
    </r>
    <r>
      <rPr>
        <b/>
        <sz val="10"/>
        <rFont val="A_Faseyha"/>
      </rPr>
      <t xml:space="preserve">   </t>
    </r>
    <r>
      <rPr>
        <b/>
        <sz val="8"/>
        <rFont val="A_Faseyha"/>
      </rPr>
      <t>(cniaWyifur '000 ) ugwa</t>
    </r>
  </si>
  <si>
    <t>(*)</t>
  </si>
  <si>
    <t xml:space="preserve">Note: (*) - Indicates if the percentage change is greater than 100. </t>
  </si>
  <si>
    <t>ތާވަލު އެކުލަވާލީ: މޯލްޑިވްސް ބިއުރޯ އޮފް ސްޓެޓިސްޓިކްސް</t>
  </si>
  <si>
    <t>2022- 2018 ,cawtumuawq unuvunof Wdum unuverukurEb cnEjcaWr : 15.5 ulwvWt</t>
  </si>
  <si>
    <t>Table  15.5: EXPORTS BY COUNTRY OF DESTINATION, 2018 -2022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</si>
</sst>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#,##0.0"/>
    <numFmt numFmtId="171" formatCode="General_)"/>
    <numFmt numFmtId="172" formatCode="_-* #,##0.00\ _ރ_._-;_-* #,##0.00\ _ރ_.\-;_-* &quot;-&quot;??\ _ރ_._-;_-@_-"/>
    <numFmt numFmtId="173" formatCode="0.0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0"/>
      <name val="A_Randhoo"/>
    </font>
    <font>
      <sz val="10"/>
      <name val="Faruma"/>
      <charset val="1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b/>
      <sz val="8"/>
      <name val="A_Faseyha"/>
    </font>
    <font>
      <i/>
      <sz val="9"/>
      <name val="Calibri Light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43" fontId="7" fillId="0" borderId="0" applyFont="0" applyFill="0" applyBorder="0" applyAlignment="0" applyProtection="0"/>
    <xf numFmtId="171" fontId="19" fillId="0" borderId="0"/>
    <xf numFmtId="40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25" fillId="0" borderId="35" applyNumberFormat="0" applyFill="0" applyAlignment="0" applyProtection="0"/>
    <xf numFmtId="0" fontId="26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38" applyNumberFormat="0" applyAlignment="0" applyProtection="0"/>
    <xf numFmtId="0" fontId="32" fillId="9" borderId="39" applyNumberFormat="0" applyAlignment="0" applyProtection="0"/>
    <xf numFmtId="0" fontId="33" fillId="9" borderId="38" applyNumberFormat="0" applyAlignment="0" applyProtection="0"/>
    <xf numFmtId="0" fontId="34" fillId="0" borderId="40" applyNumberFormat="0" applyFill="0" applyAlignment="0" applyProtection="0"/>
    <xf numFmtId="0" fontId="35" fillId="10" borderId="41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" fillId="0" borderId="43" applyNumberFormat="0" applyFill="0" applyAlignment="0" applyProtection="0"/>
    <xf numFmtId="0" fontId="38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8" fillId="35" borderId="0" applyNumberFormat="0" applyBorder="0" applyAlignment="0" applyProtection="0"/>
    <xf numFmtId="0" fontId="39" fillId="0" borderId="0"/>
    <xf numFmtId="0" fontId="7" fillId="0" borderId="0"/>
    <xf numFmtId="172" fontId="7" fillId="0" borderId="0" applyFont="0" applyFill="0" applyBorder="0" applyAlignment="0" applyProtection="0"/>
    <xf numFmtId="173" fontId="40" fillId="0" borderId="0"/>
    <xf numFmtId="0" fontId="4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4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42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2" fillId="36" borderId="0" applyNumberFormat="0" applyBorder="0" applyAlignment="0" applyProtection="0"/>
    <xf numFmtId="0" fontId="7" fillId="0" borderId="0"/>
  </cellStyleXfs>
  <cellXfs count="108">
    <xf numFmtId="0" fontId="0" fillId="0" borderId="0" xfId="0"/>
    <xf numFmtId="165" fontId="8" fillId="2" borderId="0" xfId="0" applyNumberFormat="1" applyFont="1" applyFill="1" applyAlignment="1">
      <alignment horizontal="right" vertical="center"/>
    </xf>
    <xf numFmtId="165" fontId="11" fillId="2" borderId="3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165" fontId="8" fillId="2" borderId="1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/>
    </xf>
    <xf numFmtId="3" fontId="3" fillId="2" borderId="10" xfId="0" applyNumberFormat="1" applyFont="1" applyFill="1" applyBorder="1" applyAlignment="1">
      <alignment vertical="center"/>
    </xf>
    <xf numFmtId="3" fontId="3" fillId="2" borderId="11" xfId="0" applyNumberFormat="1" applyFont="1" applyFill="1" applyBorder="1" applyAlignment="1">
      <alignment vertical="center"/>
    </xf>
    <xf numFmtId="171" fontId="4" fillId="2" borderId="12" xfId="2" applyFont="1" applyFill="1" applyBorder="1" applyAlignment="1">
      <alignment vertical="center"/>
    </xf>
    <xf numFmtId="171" fontId="5" fillId="2" borderId="13" xfId="2" applyFont="1" applyFill="1" applyBorder="1" applyAlignment="1">
      <alignment vertical="center"/>
    </xf>
    <xf numFmtId="171" fontId="6" fillId="2" borderId="14" xfId="2" applyFont="1" applyFill="1" applyBorder="1" applyAlignment="1">
      <alignment vertical="center"/>
    </xf>
    <xf numFmtId="171" fontId="14" fillId="2" borderId="15" xfId="2" applyFont="1" applyFill="1" applyBorder="1" applyAlignment="1">
      <alignment vertical="center"/>
    </xf>
    <xf numFmtId="171" fontId="6" fillId="2" borderId="3" xfId="2" applyFont="1" applyFill="1" applyBorder="1" applyAlignment="1">
      <alignment horizontal="center" vertical="center"/>
    </xf>
    <xf numFmtId="171" fontId="6" fillId="2" borderId="0" xfId="2" applyFont="1" applyFill="1" applyAlignment="1">
      <alignment horizontal="center" vertical="center"/>
    </xf>
    <xf numFmtId="171" fontId="14" fillId="2" borderId="0" xfId="2" applyFont="1" applyFill="1" applyAlignment="1">
      <alignment vertical="center"/>
    </xf>
    <xf numFmtId="171" fontId="14" fillId="2" borderId="17" xfId="2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9" fillId="2" borderId="18" xfId="0" applyFont="1" applyFill="1" applyBorder="1" applyAlignment="1">
      <alignment horizontal="center" vertical="center"/>
    </xf>
    <xf numFmtId="171" fontId="8" fillId="2" borderId="3" xfId="2" applyFont="1" applyFill="1" applyBorder="1" applyAlignment="1">
      <alignment horizontal="right" vertical="center"/>
    </xf>
    <xf numFmtId="171" fontId="8" fillId="2" borderId="22" xfId="2" applyFont="1" applyFill="1" applyBorder="1" applyAlignment="1">
      <alignment horizontal="right" vertical="center"/>
    </xf>
    <xf numFmtId="171" fontId="8" fillId="2" borderId="23" xfId="2" applyFont="1" applyFill="1" applyBorder="1" applyAlignment="1">
      <alignment horizontal="right" vertical="center"/>
    </xf>
    <xf numFmtId="171" fontId="8" fillId="2" borderId="24" xfId="2" applyFont="1" applyFill="1" applyBorder="1" applyAlignment="1">
      <alignment horizontal="right" vertical="center"/>
    </xf>
    <xf numFmtId="171" fontId="8" fillId="2" borderId="0" xfId="2" applyFont="1" applyFill="1" applyAlignment="1">
      <alignment horizontal="right" vertical="center"/>
    </xf>
    <xf numFmtId="171" fontId="14" fillId="2" borderId="12" xfId="2" applyFont="1" applyFill="1" applyBorder="1" applyAlignment="1">
      <alignment horizontal="center" vertical="center"/>
    </xf>
    <xf numFmtId="171" fontId="8" fillId="3" borderId="17" xfId="2" applyFont="1" applyFill="1" applyBorder="1" applyAlignment="1">
      <alignment horizontal="left" vertical="center"/>
    </xf>
    <xf numFmtId="3" fontId="8" fillId="3" borderId="25" xfId="2" applyNumberFormat="1" applyFont="1" applyFill="1" applyBorder="1" applyAlignment="1">
      <alignment horizontal="right" vertical="center"/>
    </xf>
    <xf numFmtId="3" fontId="8" fillId="3" borderId="26" xfId="2" applyNumberFormat="1" applyFont="1" applyFill="1" applyBorder="1" applyAlignment="1">
      <alignment horizontal="right" vertical="center"/>
    </xf>
    <xf numFmtId="3" fontId="8" fillId="4" borderId="27" xfId="3" applyNumberFormat="1" applyFont="1" applyFill="1" applyBorder="1" applyAlignment="1">
      <alignment horizontal="right" vertical="center"/>
    </xf>
    <xf numFmtId="3" fontId="8" fillId="4" borderId="25" xfId="3" applyNumberFormat="1" applyFont="1" applyFill="1" applyBorder="1" applyAlignment="1">
      <alignment horizontal="right" vertical="center"/>
    </xf>
    <xf numFmtId="171" fontId="14" fillId="2" borderId="12" xfId="2" applyFont="1" applyFill="1" applyBorder="1"/>
    <xf numFmtId="171" fontId="8" fillId="4" borderId="12" xfId="2" applyFont="1" applyFill="1" applyBorder="1"/>
    <xf numFmtId="3" fontId="8" fillId="4" borderId="10" xfId="3" applyNumberFormat="1" applyFont="1" applyFill="1" applyBorder="1" applyAlignment="1">
      <alignment horizontal="right" vertical="center"/>
    </xf>
    <xf numFmtId="165" fontId="8" fillId="4" borderId="29" xfId="3" applyNumberFormat="1" applyFont="1" applyFill="1" applyBorder="1" applyAlignment="1">
      <alignment horizontal="right" vertical="center"/>
    </xf>
    <xf numFmtId="165" fontId="8" fillId="4" borderId="10" xfId="3" applyNumberFormat="1" applyFont="1" applyFill="1" applyBorder="1" applyAlignment="1">
      <alignment horizontal="right" vertical="center"/>
    </xf>
    <xf numFmtId="171" fontId="11" fillId="4" borderId="12" xfId="2" applyFont="1" applyFill="1" applyBorder="1" applyAlignment="1">
      <alignment horizontal="left"/>
    </xf>
    <xf numFmtId="3" fontId="11" fillId="4" borderId="10" xfId="1" applyNumberFormat="1" applyFont="1" applyFill="1" applyBorder="1" applyAlignment="1">
      <alignment horizontal="right" vertical="center"/>
    </xf>
    <xf numFmtId="165" fontId="11" fillId="4" borderId="29" xfId="3" applyNumberFormat="1" applyFont="1" applyFill="1" applyBorder="1" applyAlignment="1">
      <alignment horizontal="right" vertical="center"/>
    </xf>
    <xf numFmtId="165" fontId="11" fillId="4" borderId="10" xfId="3" applyNumberFormat="1" applyFont="1" applyFill="1" applyBorder="1" applyAlignment="1">
      <alignment horizontal="right" vertical="center"/>
    </xf>
    <xf numFmtId="171" fontId="8" fillId="2" borderId="12" xfId="2" applyFont="1" applyFill="1" applyBorder="1"/>
    <xf numFmtId="3" fontId="8" fillId="4" borderId="10" xfId="1" applyNumberFormat="1" applyFont="1" applyFill="1" applyBorder="1" applyAlignment="1">
      <alignment horizontal="right" vertical="center"/>
    </xf>
    <xf numFmtId="3" fontId="8" fillId="2" borderId="10" xfId="3" applyNumberFormat="1" applyFont="1" applyFill="1" applyBorder="1" applyAlignment="1">
      <alignment horizontal="right" vertical="center"/>
    </xf>
    <xf numFmtId="3" fontId="8" fillId="2" borderId="28" xfId="3" applyNumberFormat="1" applyFont="1" applyFill="1" applyBorder="1" applyAlignment="1">
      <alignment horizontal="right" vertical="center"/>
    </xf>
    <xf numFmtId="171" fontId="11" fillId="2" borderId="12" xfId="2" applyFont="1" applyFill="1" applyBorder="1" applyAlignment="1">
      <alignment horizontal="left"/>
    </xf>
    <xf numFmtId="3" fontId="11" fillId="4" borderId="10" xfId="4" applyNumberFormat="1" applyFont="1" applyFill="1" applyBorder="1" applyAlignment="1">
      <alignment horizontal="right" vertical="center"/>
    </xf>
    <xf numFmtId="171" fontId="8" fillId="4" borderId="12" xfId="2" applyFont="1" applyFill="1" applyBorder="1" applyAlignment="1">
      <alignment horizontal="left"/>
    </xf>
    <xf numFmtId="3" fontId="8" fillId="2" borderId="10" xfId="4" applyNumberFormat="1" applyFont="1" applyFill="1" applyBorder="1" applyAlignment="1">
      <alignment horizontal="right" vertical="center"/>
    </xf>
    <xf numFmtId="0" fontId="17" fillId="2" borderId="12" xfId="0" applyFont="1" applyFill="1" applyBorder="1" applyAlignment="1">
      <alignment horizontal="right"/>
    </xf>
    <xf numFmtId="165" fontId="21" fillId="4" borderId="29" xfId="3" applyNumberFormat="1" applyFont="1" applyFill="1" applyBorder="1" applyAlignment="1">
      <alignment horizontal="right" vertical="center"/>
    </xf>
    <xf numFmtId="165" fontId="21" fillId="4" borderId="10" xfId="3" applyNumberFormat="1" applyFont="1" applyFill="1" applyBorder="1" applyAlignment="1">
      <alignment horizontal="right" vertical="center"/>
    </xf>
    <xf numFmtId="171" fontId="4" fillId="2" borderId="12" xfId="2" applyFont="1" applyFill="1" applyBorder="1"/>
    <xf numFmtId="171" fontId="11" fillId="2" borderId="12" xfId="2" applyFont="1" applyFill="1" applyBorder="1"/>
    <xf numFmtId="171" fontId="8" fillId="2" borderId="12" xfId="2" applyFont="1" applyFill="1" applyBorder="1" applyAlignment="1">
      <alignment horizontal="left"/>
    </xf>
    <xf numFmtId="3" fontId="8" fillId="2" borderId="10" xfId="1" applyNumberFormat="1" applyFont="1" applyFill="1" applyBorder="1" applyAlignment="1">
      <alignment horizontal="right" vertical="center"/>
    </xf>
    <xf numFmtId="165" fontId="22" fillId="4" borderId="29" xfId="3" applyNumberFormat="1" applyFont="1" applyFill="1" applyBorder="1" applyAlignment="1">
      <alignment horizontal="right" vertical="center"/>
    </xf>
    <xf numFmtId="165" fontId="22" fillId="4" borderId="10" xfId="3" applyNumberFormat="1" applyFont="1" applyFill="1" applyBorder="1" applyAlignment="1">
      <alignment horizontal="right" vertical="center"/>
    </xf>
    <xf numFmtId="171" fontId="11" fillId="2" borderId="30" xfId="2" applyFont="1" applyFill="1" applyBorder="1"/>
    <xf numFmtId="3" fontId="11" fillId="4" borderId="31" xfId="1" applyNumberFormat="1" applyFont="1" applyFill="1" applyBorder="1" applyAlignment="1">
      <alignment horizontal="right" vertical="center"/>
    </xf>
    <xf numFmtId="165" fontId="21" fillId="4" borderId="33" xfId="3" applyNumberFormat="1" applyFont="1" applyFill="1" applyBorder="1" applyAlignment="1">
      <alignment horizontal="right" vertical="center"/>
    </xf>
    <xf numFmtId="165" fontId="11" fillId="4" borderId="31" xfId="3" applyNumberFormat="1" applyFont="1" applyFill="1" applyBorder="1" applyAlignment="1">
      <alignment horizontal="right" vertical="center"/>
    </xf>
    <xf numFmtId="165" fontId="21" fillId="4" borderId="31" xfId="3" applyNumberFormat="1" applyFont="1" applyFill="1" applyBorder="1" applyAlignment="1">
      <alignment horizontal="right" vertical="center"/>
    </xf>
    <xf numFmtId="4" fontId="16" fillId="2" borderId="17" xfId="1" applyNumberFormat="1" applyFont="1" applyFill="1" applyBorder="1" applyAlignment="1">
      <alignment horizontal="right"/>
    </xf>
    <xf numFmtId="171" fontId="23" fillId="2" borderId="17" xfId="2" applyFont="1" applyFill="1" applyBorder="1"/>
    <xf numFmtId="171" fontId="24" fillId="2" borderId="17" xfId="2" applyFont="1" applyFill="1" applyBorder="1"/>
    <xf numFmtId="171" fontId="10" fillId="2" borderId="12" xfId="2" applyFont="1" applyFill="1" applyBorder="1" applyAlignment="1">
      <alignment vertical="center"/>
    </xf>
    <xf numFmtId="0" fontId="47" fillId="2" borderId="4" xfId="0" applyFont="1" applyFill="1" applyBorder="1" applyAlignment="1">
      <alignment horizontal="right" readingOrder="2"/>
    </xf>
    <xf numFmtId="0" fontId="46" fillId="2" borderId="11" xfId="0" applyFont="1" applyFill="1" applyBorder="1" applyAlignment="1">
      <alignment horizontal="right"/>
    </xf>
    <xf numFmtId="0" fontId="46" fillId="2" borderId="34" xfId="0" applyFont="1" applyFill="1" applyBorder="1" applyAlignment="1">
      <alignment horizontal="right"/>
    </xf>
    <xf numFmtId="3" fontId="8" fillId="4" borderId="10" xfId="4" applyNumberFormat="1" applyFont="1" applyFill="1" applyBorder="1" applyAlignment="1">
      <alignment horizontal="right" vertical="center"/>
    </xf>
    <xf numFmtId="4" fontId="16" fillId="2" borderId="4" xfId="1" applyNumberFormat="1" applyFont="1" applyFill="1" applyBorder="1" applyAlignment="1">
      <alignment horizontal="right"/>
    </xf>
    <xf numFmtId="4" fontId="16" fillId="2" borderId="18" xfId="1" applyNumberFormat="1" applyFont="1" applyFill="1" applyBorder="1" applyAlignment="1">
      <alignment horizontal="right"/>
    </xf>
    <xf numFmtId="165" fontId="11" fillId="2" borderId="0" xfId="0" applyNumberFormat="1" applyFont="1" applyFill="1" applyAlignment="1">
      <alignment horizontal="right" vertical="center"/>
    </xf>
    <xf numFmtId="0" fontId="45" fillId="2" borderId="11" xfId="0" applyFont="1" applyFill="1" applyBorder="1" applyAlignment="1">
      <alignment horizontal="right"/>
    </xf>
    <xf numFmtId="171" fontId="4" fillId="2" borderId="17" xfId="2" applyFont="1" applyFill="1" applyBorder="1" applyAlignment="1">
      <alignment vertical="center"/>
    </xf>
    <xf numFmtId="0" fontId="12" fillId="2" borderId="12" xfId="0" applyFont="1" applyFill="1" applyBorder="1" applyAlignment="1">
      <alignment horizontal="right"/>
    </xf>
    <xf numFmtId="165" fontId="22" fillId="2" borderId="0" xfId="0" applyNumberFormat="1" applyFont="1" applyFill="1" applyAlignment="1">
      <alignment horizontal="right" vertical="center"/>
    </xf>
    <xf numFmtId="165" fontId="21" fillId="2" borderId="0" xfId="0" applyNumberFormat="1" applyFont="1" applyFill="1" applyAlignment="1">
      <alignment horizontal="right" vertical="center"/>
    </xf>
    <xf numFmtId="165" fontId="21" fillId="2" borderId="3" xfId="0" applyNumberFormat="1" applyFont="1" applyFill="1" applyBorder="1" applyAlignment="1">
      <alignment horizontal="right" vertical="center"/>
    </xf>
    <xf numFmtId="0" fontId="49" fillId="2" borderId="0" xfId="72" applyFont="1" applyFill="1" applyAlignment="1">
      <alignment horizontal="left" vertical="center"/>
    </xf>
    <xf numFmtId="3" fontId="8" fillId="4" borderId="26" xfId="3" applyNumberFormat="1" applyFont="1" applyFill="1" applyBorder="1" applyAlignment="1">
      <alignment horizontal="right" vertical="center"/>
    </xf>
    <xf numFmtId="165" fontId="8" fillId="4" borderId="28" xfId="3" applyNumberFormat="1" applyFont="1" applyFill="1" applyBorder="1" applyAlignment="1">
      <alignment horizontal="right" vertical="center"/>
    </xf>
    <xf numFmtId="165" fontId="11" fillId="4" borderId="28" xfId="3" applyNumberFormat="1" applyFont="1" applyFill="1" applyBorder="1" applyAlignment="1">
      <alignment horizontal="right" vertical="center"/>
    </xf>
    <xf numFmtId="165" fontId="11" fillId="4" borderId="32" xfId="3" applyNumberFormat="1" applyFont="1" applyFill="1" applyBorder="1" applyAlignment="1">
      <alignment horizontal="right" vertical="center"/>
    </xf>
    <xf numFmtId="3" fontId="11" fillId="4" borderId="28" xfId="1" applyNumberFormat="1" applyFont="1" applyFill="1" applyBorder="1" applyAlignment="1">
      <alignment horizontal="right" vertical="center"/>
    </xf>
    <xf numFmtId="3" fontId="8" fillId="4" borderId="28" xfId="1" applyNumberFormat="1" applyFont="1" applyFill="1" applyBorder="1" applyAlignment="1">
      <alignment horizontal="right" vertical="center"/>
    </xf>
    <xf numFmtId="3" fontId="11" fillId="4" borderId="28" xfId="4" applyNumberFormat="1" applyFont="1" applyFill="1" applyBorder="1" applyAlignment="1">
      <alignment horizontal="right" vertical="center"/>
    </xf>
    <xf numFmtId="3" fontId="8" fillId="4" borderId="28" xfId="4" applyNumberFormat="1" applyFont="1" applyFill="1" applyBorder="1" applyAlignment="1">
      <alignment horizontal="right" vertical="center"/>
    </xf>
    <xf numFmtId="3" fontId="11" fillId="4" borderId="32" xfId="1" applyNumberFormat="1" applyFont="1" applyFill="1" applyBorder="1" applyAlignment="1">
      <alignment horizontal="right" vertical="center"/>
    </xf>
    <xf numFmtId="0" fontId="43" fillId="2" borderId="1" xfId="0" applyFont="1" applyFill="1" applyBorder="1" applyAlignment="1">
      <alignment horizontal="right" vertical="center"/>
    </xf>
    <xf numFmtId="0" fontId="43" fillId="2" borderId="0" xfId="0" applyFont="1" applyFill="1" applyAlignment="1">
      <alignment horizontal="right" vertical="center"/>
    </xf>
    <xf numFmtId="0" fontId="43" fillId="2" borderId="3" xfId="0" applyFont="1" applyFill="1" applyBorder="1" applyAlignment="1">
      <alignment horizontal="right" vertical="center"/>
    </xf>
    <xf numFmtId="0" fontId="43" fillId="2" borderId="1" xfId="0" applyFont="1" applyFill="1" applyBorder="1" applyAlignment="1">
      <alignment horizontal="center" vertical="center"/>
    </xf>
    <xf numFmtId="3" fontId="44" fillId="2" borderId="5" xfId="0" applyNumberFormat="1" applyFont="1" applyFill="1" applyBorder="1" applyAlignment="1">
      <alignment horizontal="center" vertical="center"/>
    </xf>
    <xf numFmtId="3" fontId="44" fillId="2" borderId="10" xfId="0" applyNumberFormat="1" applyFont="1" applyFill="1" applyBorder="1" applyAlignment="1">
      <alignment horizontal="center" vertical="center"/>
    </xf>
    <xf numFmtId="171" fontId="5" fillId="2" borderId="6" xfId="2" applyFont="1" applyFill="1" applyBorder="1" applyAlignment="1">
      <alignment horizontal="center" vertical="center"/>
    </xf>
    <xf numFmtId="171" fontId="5" fillId="2" borderId="13" xfId="2" applyFont="1" applyFill="1" applyBorder="1" applyAlignment="1">
      <alignment horizontal="center" vertical="center"/>
    </xf>
    <xf numFmtId="171" fontId="8" fillId="2" borderId="16" xfId="2" applyFont="1" applyFill="1" applyBorder="1" applyAlignment="1">
      <alignment horizontal="left" vertical="center"/>
    </xf>
    <xf numFmtId="171" fontId="8" fillId="2" borderId="19" xfId="2" applyFont="1" applyFill="1" applyBorder="1" applyAlignment="1">
      <alignment horizontal="left" vertical="center"/>
    </xf>
    <xf numFmtId="171" fontId="8" fillId="2" borderId="7" xfId="2" applyFont="1" applyFill="1" applyBorder="1" applyAlignment="1">
      <alignment horizontal="left" vertical="center"/>
    </xf>
    <xf numFmtId="171" fontId="45" fillId="2" borderId="1" xfId="2" applyFont="1" applyFill="1" applyBorder="1" applyAlignment="1">
      <alignment horizontal="center" vertical="center"/>
    </xf>
    <xf numFmtId="171" fontId="45" fillId="2" borderId="8" xfId="2" applyFont="1" applyFill="1" applyBorder="1" applyAlignment="1">
      <alignment horizontal="center" vertical="center"/>
    </xf>
    <xf numFmtId="0" fontId="43" fillId="2" borderId="9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171" fontId="45" fillId="2" borderId="1" xfId="2" applyFont="1" applyFill="1" applyBorder="1" applyAlignment="1">
      <alignment vertical="center"/>
    </xf>
    <xf numFmtId="171" fontId="45" fillId="2" borderId="2" xfId="2" applyFont="1" applyFill="1" applyBorder="1" applyAlignment="1">
      <alignment vertical="center"/>
    </xf>
    <xf numFmtId="171" fontId="45" fillId="2" borderId="20" xfId="2" applyFont="1" applyFill="1" applyBorder="1" applyAlignment="1">
      <alignment vertical="center"/>
    </xf>
  </cellXfs>
  <cellStyles count="73">
    <cellStyle name="1" xfId="48" xr:uid="{00000000-0005-0000-0000-000000000000}"/>
    <cellStyle name="20% - Accent1" xfId="24" builtinId="30" customBuiltin="1"/>
    <cellStyle name="20% - Accent1 2" xfId="59" xr:uid="{00000000-0005-0000-0000-000002000000}"/>
    <cellStyle name="20% - Accent2" xfId="28" builtinId="34" customBuiltin="1"/>
    <cellStyle name="20% - Accent2 2" xfId="61" xr:uid="{00000000-0005-0000-0000-000004000000}"/>
    <cellStyle name="20% - Accent3" xfId="32" builtinId="38" customBuiltin="1"/>
    <cellStyle name="20% - Accent3 2" xfId="63" xr:uid="{00000000-0005-0000-0000-000006000000}"/>
    <cellStyle name="20% - Accent4" xfId="36" builtinId="42" customBuiltin="1"/>
    <cellStyle name="20% - Accent4 2" xfId="65" xr:uid="{00000000-0005-0000-0000-000008000000}"/>
    <cellStyle name="20% - Accent5" xfId="40" builtinId="46" customBuiltin="1"/>
    <cellStyle name="20% - Accent5 2" xfId="67" xr:uid="{00000000-0005-0000-0000-00000A000000}"/>
    <cellStyle name="20% - Accent6" xfId="44" builtinId="50" customBuiltin="1"/>
    <cellStyle name="20% - Accent6 2" xfId="69" xr:uid="{00000000-0005-0000-0000-00000C000000}"/>
    <cellStyle name="40% - Accent1" xfId="25" builtinId="31" customBuiltin="1"/>
    <cellStyle name="40% - Accent1 2" xfId="60" xr:uid="{00000000-0005-0000-0000-00000E000000}"/>
    <cellStyle name="40% - Accent2" xfId="29" builtinId="35" customBuiltin="1"/>
    <cellStyle name="40% - Accent2 2" xfId="62" xr:uid="{00000000-0005-0000-0000-000010000000}"/>
    <cellStyle name="40% - Accent3" xfId="33" builtinId="39" customBuiltin="1"/>
    <cellStyle name="40% - Accent3 2" xfId="64" xr:uid="{00000000-0005-0000-0000-000012000000}"/>
    <cellStyle name="40% - Accent4" xfId="37" builtinId="43" customBuiltin="1"/>
    <cellStyle name="40% - Accent4 2" xfId="66" xr:uid="{00000000-0005-0000-0000-000014000000}"/>
    <cellStyle name="40% - Accent5" xfId="41" builtinId="47" customBuiltin="1"/>
    <cellStyle name="40% - Accent5 2" xfId="68" xr:uid="{00000000-0005-0000-0000-000016000000}"/>
    <cellStyle name="40% - Accent6" xfId="45" builtinId="51" customBuiltin="1"/>
    <cellStyle name="40% - Accent6 2" xfId="70" xr:uid="{00000000-0005-0000-0000-000018000000}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71" xr:uid="{00000000-0005-0000-0000-000020000000}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49" xr:uid="{00000000-0005-0000-0000-00002A000000}"/>
    <cellStyle name="Comma 3" xfId="1" xr:uid="{00000000-0005-0000-0000-00002B000000}"/>
    <cellStyle name="Comma 4" xfId="53" xr:uid="{00000000-0005-0000-0000-00002C000000}"/>
    <cellStyle name="Comma 5" xfId="56" xr:uid="{00000000-0005-0000-0000-00002D000000}"/>
    <cellStyle name="Comma_XII7" xfId="4" xr:uid="{00000000-0005-0000-0000-00002E000000}"/>
    <cellStyle name="Comma_XII-7 (Commerce)" xfId="3" xr:uid="{00000000-0005-0000-0000-00002F000000}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50" xr:uid="{00000000-0005-0000-0000-00003A000000}"/>
    <cellStyle name="Normal 2" xfId="6" xr:uid="{00000000-0005-0000-0000-00003B000000}"/>
    <cellStyle name="Normal 3" xfId="52" xr:uid="{00000000-0005-0000-0000-00003C000000}"/>
    <cellStyle name="Normal 4" xfId="55" xr:uid="{00000000-0005-0000-0000-00003D000000}"/>
    <cellStyle name="Normal 5" xfId="5" xr:uid="{00000000-0005-0000-0000-00003E000000}"/>
    <cellStyle name="Normal 6" xfId="58" xr:uid="{00000000-0005-0000-0000-00003F000000}"/>
    <cellStyle name="Normal 7" xfId="47" xr:uid="{00000000-0005-0000-0000-000040000000}"/>
    <cellStyle name="Normal_Quick data" xfId="72" xr:uid="{00000000-0005-0000-0000-000042000000}"/>
    <cellStyle name="Normal_XII-7 (Commerce)" xfId="2" xr:uid="{00000000-0005-0000-0000-000043000000}"/>
    <cellStyle name="Note 2" xfId="54" xr:uid="{00000000-0005-0000-0000-000044000000}"/>
    <cellStyle name="Note 3" xfId="57" xr:uid="{00000000-0005-0000-0000-000045000000}"/>
    <cellStyle name="Output" xfId="16" builtinId="21" customBuiltin="1"/>
    <cellStyle name="Percent 2" xfId="7" xr:uid="{00000000-0005-0000-0000-000048000000}"/>
    <cellStyle name="Title 2" xfId="51" xr:uid="{00000000-0005-0000-0000-000049000000}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E45"/>
  <sheetViews>
    <sheetView tabSelected="1" zoomScale="106" zoomScaleNormal="106" workbookViewId="0">
      <selection activeCell="D12" sqref="D12"/>
    </sheetView>
  </sheetViews>
  <sheetFormatPr defaultColWidth="11" defaultRowHeight="15.75" x14ac:dyDescent="0.25"/>
  <cols>
    <col min="1" max="1" width="22.140625" style="63" customWidth="1"/>
    <col min="2" max="2" width="12.28515625" style="8" hidden="1" customWidth="1"/>
    <col min="3" max="7" width="12.28515625" style="8" customWidth="1"/>
    <col min="8" max="8" width="9.140625" style="8" hidden="1" customWidth="1"/>
    <col min="9" max="9" width="8.140625" style="8" hidden="1" customWidth="1"/>
    <col min="10" max="11" width="8.85546875" style="8" hidden="1" customWidth="1"/>
    <col min="12" max="16" width="8.85546875" style="8" customWidth="1"/>
    <col min="17" max="18" width="9" style="8" hidden="1" customWidth="1"/>
    <col min="19" max="20" width="8.85546875" style="8" hidden="1" customWidth="1"/>
    <col min="21" max="25" width="8.85546875" style="8" customWidth="1"/>
    <col min="26" max="26" width="13" style="8" customWidth="1"/>
    <col min="27" max="27" width="2.28515625" style="8" customWidth="1"/>
    <col min="28" max="28" width="0.140625" style="8" hidden="1" customWidth="1"/>
    <col min="29" max="29" width="11" style="8"/>
    <col min="30" max="30" width="17.28515625" style="8" bestFit="1" customWidth="1"/>
    <col min="31" max="31" width="13.140625" style="8" bestFit="1" customWidth="1"/>
    <col min="32" max="16384" width="11" style="8"/>
  </cols>
  <sheetData>
    <row r="1" spans="1:31" ht="19.5" x14ac:dyDescent="0.25">
      <c r="A1" s="91" t="s">
        <v>62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6"/>
      <c r="AB1" s="7"/>
    </row>
    <row r="2" spans="1:31" s="11" customFormat="1" x14ac:dyDescent="0.25">
      <c r="A2" s="93" t="s">
        <v>63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"/>
      <c r="AB2" s="10"/>
    </row>
    <row r="3" spans="1:31" s="14" customFormat="1" x14ac:dyDescent="0.25">
      <c r="A3" s="12"/>
      <c r="B3" s="12"/>
      <c r="C3" s="12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</row>
    <row r="4" spans="1:31" s="15" customFormat="1" x14ac:dyDescent="0.25">
      <c r="A4" s="95" t="s">
        <v>0</v>
      </c>
      <c r="B4" s="105"/>
      <c r="C4" s="98" t="s">
        <v>58</v>
      </c>
      <c r="D4" s="98"/>
      <c r="E4" s="98"/>
      <c r="F4" s="98"/>
      <c r="G4" s="99"/>
      <c r="H4" s="100" t="s">
        <v>1</v>
      </c>
      <c r="I4" s="90"/>
      <c r="J4" s="90"/>
      <c r="K4" s="90"/>
      <c r="L4" s="90"/>
      <c r="M4" s="90"/>
      <c r="N4" s="90"/>
      <c r="O4" s="90"/>
      <c r="P4" s="101"/>
      <c r="Q4" s="90" t="s">
        <v>2</v>
      </c>
      <c r="R4" s="90"/>
      <c r="S4" s="90"/>
      <c r="T4" s="90"/>
      <c r="U4" s="90"/>
      <c r="V4" s="90"/>
      <c r="W4" s="90"/>
      <c r="X4" s="90"/>
      <c r="Y4" s="90"/>
      <c r="Z4" s="87" t="s">
        <v>39</v>
      </c>
      <c r="AA4" s="16"/>
      <c r="AB4" s="17"/>
    </row>
    <row r="5" spans="1:31" s="15" customFormat="1" x14ac:dyDescent="0.25">
      <c r="A5" s="96"/>
      <c r="B5" s="106"/>
      <c r="C5" s="106"/>
      <c r="D5" s="106"/>
      <c r="E5" s="106"/>
      <c r="F5" s="106"/>
      <c r="G5" s="107"/>
      <c r="H5" s="102" t="s">
        <v>3</v>
      </c>
      <c r="I5" s="103"/>
      <c r="J5" s="103"/>
      <c r="K5" s="103"/>
      <c r="L5" s="103"/>
      <c r="M5" s="103"/>
      <c r="N5" s="103"/>
      <c r="O5" s="103"/>
      <c r="P5" s="104"/>
      <c r="Q5" s="103" t="s">
        <v>4</v>
      </c>
      <c r="R5" s="103"/>
      <c r="S5" s="103"/>
      <c r="T5" s="103"/>
      <c r="U5" s="103"/>
      <c r="V5" s="103"/>
      <c r="W5" s="103"/>
      <c r="X5" s="103"/>
      <c r="Y5" s="103"/>
      <c r="Z5" s="88"/>
      <c r="AA5" s="16"/>
      <c r="AB5" s="17"/>
    </row>
    <row r="6" spans="1:31" s="23" customFormat="1" x14ac:dyDescent="0.25">
      <c r="A6" s="97"/>
      <c r="B6" s="18">
        <v>2017</v>
      </c>
      <c r="C6" s="18">
        <v>2018</v>
      </c>
      <c r="D6" s="18">
        <v>2019</v>
      </c>
      <c r="E6" s="20">
        <v>2020</v>
      </c>
      <c r="F6" s="20">
        <v>2021</v>
      </c>
      <c r="G6" s="21">
        <v>2022</v>
      </c>
      <c r="H6" s="19">
        <v>2014</v>
      </c>
      <c r="I6" s="20">
        <v>2015</v>
      </c>
      <c r="J6" s="20">
        <v>2016</v>
      </c>
      <c r="K6" s="20">
        <v>2017</v>
      </c>
      <c r="L6" s="20">
        <v>2018</v>
      </c>
      <c r="M6" s="20">
        <v>2019</v>
      </c>
      <c r="N6" s="20">
        <v>2020</v>
      </c>
      <c r="O6" s="20">
        <v>2021</v>
      </c>
      <c r="P6" s="21">
        <v>2022</v>
      </c>
      <c r="Q6" s="22">
        <v>2014</v>
      </c>
      <c r="R6" s="18">
        <v>2015</v>
      </c>
      <c r="S6" s="18">
        <v>2016</v>
      </c>
      <c r="T6" s="18">
        <v>2017</v>
      </c>
      <c r="U6" s="18">
        <v>2018</v>
      </c>
      <c r="V6" s="18">
        <v>2019</v>
      </c>
      <c r="W6" s="18">
        <v>2020</v>
      </c>
      <c r="X6" s="18">
        <v>2021</v>
      </c>
      <c r="Y6" s="18">
        <v>2022</v>
      </c>
      <c r="Z6" s="89"/>
      <c r="AC6" s="15"/>
      <c r="AD6" s="15"/>
      <c r="AE6" s="15"/>
    </row>
    <row r="7" spans="1:31" s="29" customFormat="1" ht="15.75" customHeight="1" x14ac:dyDescent="0.4">
      <c r="A7" s="24" t="s">
        <v>5</v>
      </c>
      <c r="B7" s="25">
        <f>SUM(B8,B17,B18,B22,B30,B21)</f>
        <v>3068176.8116000001</v>
      </c>
      <c r="C7" s="25">
        <f>SUM(C8,C17,C18,C22,C30,C21)</f>
        <v>2796690.3097900008</v>
      </c>
      <c r="D7" s="25">
        <f>SUM(D8,D17,D18,D22,D30,D21)</f>
        <v>2431540.8970600003</v>
      </c>
      <c r="E7" s="25">
        <f>SUM(E8,E17,E18,E22,E30,E21)</f>
        <v>2504298.1249300004</v>
      </c>
      <c r="F7" s="25">
        <f t="shared" ref="F7:G7" si="0">SUM(F8,F17,F18,F22,F30,F21)</f>
        <v>2285808.4570199996</v>
      </c>
      <c r="G7" s="26">
        <f t="shared" si="0"/>
        <v>2404843.7606700012</v>
      </c>
      <c r="H7" s="27" t="e">
        <f>SUM(H30,H22,H18,H17,H8,H21)</f>
        <v>#REF!</v>
      </c>
      <c r="I7" s="28" t="e">
        <f t="shared" ref="I7" si="1">SUM(I30,I22,I18,I17,I8,I21)</f>
        <v>#REF!</v>
      </c>
      <c r="J7" s="28" t="e">
        <f>SUM(J30,J22,J18,J17,J8,J21)</f>
        <v>#REF!</v>
      </c>
      <c r="K7" s="28">
        <f>SUM(K30,K22,K18,K17,K8,K21)</f>
        <v>100</v>
      </c>
      <c r="L7" s="28">
        <f>SUM(L30,L22,L18,L17,L8,L21)</f>
        <v>100</v>
      </c>
      <c r="M7" s="28">
        <f>SUM(M30,M22,M18,M17,M8,M21)</f>
        <v>99.999999999999972</v>
      </c>
      <c r="N7" s="28">
        <f>SUM(N30,N22,N18,N17,N8,N21)</f>
        <v>99.999999999999986</v>
      </c>
      <c r="O7" s="28">
        <f t="shared" ref="O7:P7" si="2">SUM(O30,O22,O18,O17,O8,O21)</f>
        <v>100.00000000000001</v>
      </c>
      <c r="P7" s="78">
        <f t="shared" si="2"/>
        <v>100</v>
      </c>
      <c r="Q7" s="4" t="e">
        <f>((#REF!-#REF!)/#REF!)*100</f>
        <v>#REF!</v>
      </c>
      <c r="R7" s="1" t="e">
        <f>((#REF!-#REF!)/#REF!)*100</f>
        <v>#REF!</v>
      </c>
      <c r="S7" s="1" t="e">
        <f>((#REF!-#REF!)/#REF!)*100</f>
        <v>#REF!</v>
      </c>
      <c r="T7" s="1" t="e">
        <f>((B7-#REF!)/#REF!)*100</f>
        <v>#REF!</v>
      </c>
      <c r="U7" s="1">
        <f>((C7-B7)/B7)*100</f>
        <v>-8.8484633865811642</v>
      </c>
      <c r="V7" s="1">
        <f t="shared" ref="V7:Y7" si="3">((D7-C7)/C7)*100</f>
        <v>-13.05648363895604</v>
      </c>
      <c r="W7" s="1">
        <f t="shared" si="3"/>
        <v>2.9922271905017732</v>
      </c>
      <c r="X7" s="1">
        <f t="shared" si="3"/>
        <v>-8.7245869704952952</v>
      </c>
      <c r="Y7" s="1">
        <f t="shared" si="3"/>
        <v>5.2075799826721889</v>
      </c>
      <c r="Z7" s="65" t="s">
        <v>6</v>
      </c>
      <c r="AC7" s="15"/>
      <c r="AD7" s="15"/>
      <c r="AE7" s="15"/>
    </row>
    <row r="8" spans="1:31" s="29" customFormat="1" ht="15.75" customHeight="1" x14ac:dyDescent="0.4">
      <c r="A8" s="30" t="s">
        <v>7</v>
      </c>
      <c r="B8" s="31">
        <f t="shared" ref="B8:D8" si="4">SUM(B9:B16)</f>
        <v>1013711.50981</v>
      </c>
      <c r="C8" s="31">
        <f t="shared" si="4"/>
        <v>1134613.3933700004</v>
      </c>
      <c r="D8" s="40">
        <f t="shared" si="4"/>
        <v>957590.5027500001</v>
      </c>
      <c r="E8" s="40">
        <f t="shared" ref="E8:G8" si="5">SUM(E9:E16)</f>
        <v>885517.88605999993</v>
      </c>
      <c r="F8" s="40">
        <f>SUM(F9:F16)</f>
        <v>693988.16474000027</v>
      </c>
      <c r="G8" s="41">
        <f t="shared" si="5"/>
        <v>741199.62878000049</v>
      </c>
      <c r="H8" s="32" t="e">
        <f>(#REF!/#REF!)*100</f>
        <v>#REF!</v>
      </c>
      <c r="I8" s="33" t="e">
        <f>(#REF!/#REF!)*100</f>
        <v>#REF!</v>
      </c>
      <c r="J8" s="33" t="e">
        <f>(#REF!/#REF!)*100</f>
        <v>#REF!</v>
      </c>
      <c r="K8" s="33">
        <f>(B8/$B$7)*100</f>
        <v>33.039540158748778</v>
      </c>
      <c r="L8" s="33">
        <f t="shared" ref="L8:L30" si="6">(C8/$C$7)*100</f>
        <v>40.569861789780965</v>
      </c>
      <c r="M8" s="33">
        <f t="shared" ref="M8:M33" si="7">(D8/$D$7)*100</f>
        <v>39.382043868060457</v>
      </c>
      <c r="N8" s="33">
        <f>(E8/$E$7)*100</f>
        <v>35.359922895951208</v>
      </c>
      <c r="O8" s="33">
        <f>(F8/$F$7)*100</f>
        <v>30.360731346875415</v>
      </c>
      <c r="P8" s="79">
        <f>(G8/$G$7)*100</f>
        <v>30.821113658273529</v>
      </c>
      <c r="Q8" s="1" t="e">
        <f>((#REF!-#REF!)/#REF!)*100</f>
        <v>#REF!</v>
      </c>
      <c r="R8" s="1" t="e">
        <f>((#REF!-#REF!)/#REF!)*100</f>
        <v>#REF!</v>
      </c>
      <c r="S8" s="1" t="e">
        <f>((#REF!-#REF!)/#REF!)*100</f>
        <v>#REF!</v>
      </c>
      <c r="T8" s="1" t="e">
        <f>((B8-#REF!)/#REF!)*100</f>
        <v>#REF!</v>
      </c>
      <c r="U8" s="1">
        <f>((C8-B8)/B8)*100</f>
        <v>11.92665589667233</v>
      </c>
      <c r="V8" s="1">
        <f t="shared" ref="V8:W13" si="8">((D8-C8)/C8)*100</f>
        <v>-15.602044859898168</v>
      </c>
      <c r="W8" s="1">
        <f t="shared" si="8"/>
        <v>-7.5264548346106883</v>
      </c>
      <c r="X8" s="1">
        <f t="shared" ref="X8:X32" si="9">((F8-E8)/E8)*100</f>
        <v>-21.62911944920582</v>
      </c>
      <c r="Y8" s="1">
        <f t="shared" ref="Y8:Y33" si="10">((G8-F8)/F8)*100</f>
        <v>6.8029206316058426</v>
      </c>
      <c r="Z8" s="65" t="s">
        <v>8</v>
      </c>
      <c r="AC8" s="15"/>
      <c r="AD8" s="15"/>
      <c r="AE8" s="15"/>
    </row>
    <row r="9" spans="1:31" s="49" customFormat="1" ht="15.75" customHeight="1" x14ac:dyDescent="0.4">
      <c r="A9" s="34" t="s">
        <v>18</v>
      </c>
      <c r="B9" s="35">
        <v>213766.68318999998</v>
      </c>
      <c r="C9" s="35">
        <v>206197.43750000015</v>
      </c>
      <c r="D9" s="35">
        <v>231029.20907999997</v>
      </c>
      <c r="E9" s="35">
        <v>200773.89124</v>
      </c>
      <c r="F9" s="35">
        <v>91424.453630000004</v>
      </c>
      <c r="G9" s="82">
        <v>89040.145570000401</v>
      </c>
      <c r="H9" s="36" t="e">
        <f>(#REF!/#REF!)*100</f>
        <v>#REF!</v>
      </c>
      <c r="I9" s="37" t="e">
        <f>(#REF!/#REF!)*100</f>
        <v>#REF!</v>
      </c>
      <c r="J9" s="37" t="e">
        <f>(#REF!/#REF!)*100</f>
        <v>#REF!</v>
      </c>
      <c r="K9" s="37">
        <f>(B9/$B$7)*100</f>
        <v>6.9672217840185162</v>
      </c>
      <c r="L9" s="37">
        <f t="shared" si="6"/>
        <v>7.3729092126572704</v>
      </c>
      <c r="M9" s="37">
        <f t="shared" si="7"/>
        <v>9.5013499200996225</v>
      </c>
      <c r="N9" s="37">
        <f t="shared" ref="N9:N33" si="11">(E9/$E$7)*100</f>
        <v>8.0171721266457432</v>
      </c>
      <c r="O9" s="37">
        <f t="shared" ref="O9:O33" si="12">(F9/$F$7)*100</f>
        <v>3.9996550607389798</v>
      </c>
      <c r="P9" s="80">
        <f t="shared" ref="P9:P33" si="13">(G9/$G$7)*100</f>
        <v>3.7025334878800353</v>
      </c>
      <c r="Q9" s="70" t="e">
        <f>((#REF!-#REF!)/#REF!)*100</f>
        <v>#REF!</v>
      </c>
      <c r="R9" s="70" t="e">
        <f>((#REF!-#REF!)/#REF!)*100</f>
        <v>#REF!</v>
      </c>
      <c r="S9" s="70" t="e">
        <f>((#REF!-#REF!)/#REF!)*100</f>
        <v>#REF!</v>
      </c>
      <c r="T9" s="70" t="e">
        <f>((B9-#REF!)/#REF!)*100</f>
        <v>#REF!</v>
      </c>
      <c r="U9" s="70">
        <f>((C9-B9)/B9)*100</f>
        <v>-3.5408912076687566</v>
      </c>
      <c r="V9" s="70">
        <f t="shared" si="8"/>
        <v>12.042715894565765</v>
      </c>
      <c r="W9" s="70">
        <f t="shared" si="8"/>
        <v>-13.095884265233003</v>
      </c>
      <c r="X9" s="70">
        <f t="shared" si="9"/>
        <v>-54.463972847588259</v>
      </c>
      <c r="Y9" s="70">
        <f t="shared" si="10"/>
        <v>-2.6079543987750085</v>
      </c>
      <c r="Z9" s="65" t="s">
        <v>19</v>
      </c>
      <c r="AC9" s="72"/>
      <c r="AD9" s="72"/>
      <c r="AE9" s="72"/>
    </row>
    <row r="10" spans="1:31" s="49" customFormat="1" ht="15.75" customHeight="1" x14ac:dyDescent="0.4">
      <c r="A10" s="34" t="s">
        <v>13</v>
      </c>
      <c r="B10" s="35">
        <v>88683.157289999988</v>
      </c>
      <c r="C10" s="35">
        <v>122151.57711999999</v>
      </c>
      <c r="D10" s="35">
        <v>92190.691049999965</v>
      </c>
      <c r="E10" s="35">
        <v>105392.97382999997</v>
      </c>
      <c r="F10" s="35">
        <v>45894.306960000002</v>
      </c>
      <c r="G10" s="82">
        <v>52133.793399999995</v>
      </c>
      <c r="H10" s="36" t="e">
        <f>(#REF!/#REF!)*100</f>
        <v>#REF!</v>
      </c>
      <c r="I10" s="37" t="e">
        <f>(#REF!/#REF!)*100</f>
        <v>#REF!</v>
      </c>
      <c r="J10" s="37" t="e">
        <f>(#REF!/#REF!)*100</f>
        <v>#REF!</v>
      </c>
      <c r="K10" s="37">
        <f>(B10/$B$7)*100</f>
        <v>2.8904187318902683</v>
      </c>
      <c r="L10" s="37">
        <f t="shared" si="6"/>
        <v>4.3677191104213522</v>
      </c>
      <c r="M10" s="37">
        <f t="shared" si="7"/>
        <v>3.7914513862986476</v>
      </c>
      <c r="N10" s="37">
        <f t="shared" si="11"/>
        <v>4.2084835180294631</v>
      </c>
      <c r="O10" s="37">
        <f t="shared" si="12"/>
        <v>2.0077932085277279</v>
      </c>
      <c r="P10" s="80">
        <f t="shared" si="13"/>
        <v>2.1678661313729286</v>
      </c>
      <c r="Q10" s="70" t="e">
        <f>((#REF!-#REF!)/#REF!)*100</f>
        <v>#REF!</v>
      </c>
      <c r="R10" s="70" t="e">
        <f>((#REF!-#REF!)/#REF!)*100</f>
        <v>#REF!</v>
      </c>
      <c r="S10" s="70" t="e">
        <f>((#REF!-#REF!)/#REF!)*100</f>
        <v>#REF!</v>
      </c>
      <c r="T10" s="70" t="e">
        <f>((B10-#REF!)/#REF!)*100</f>
        <v>#REF!</v>
      </c>
      <c r="U10" s="70">
        <f>((C10-B10)/B10)*100</f>
        <v>37.739319226711757</v>
      </c>
      <c r="V10" s="70">
        <f t="shared" si="8"/>
        <v>-24.527629340853185</v>
      </c>
      <c r="W10" s="70">
        <f t="shared" si="8"/>
        <v>14.320624598463743</v>
      </c>
      <c r="X10" s="70">
        <f t="shared" si="9"/>
        <v>-56.454111415407993</v>
      </c>
      <c r="Y10" s="70">
        <f t="shared" si="10"/>
        <v>13.595338623237364</v>
      </c>
      <c r="Z10" s="65" t="s">
        <v>14</v>
      </c>
      <c r="AC10" s="72"/>
      <c r="AD10" s="72"/>
      <c r="AE10" s="72"/>
    </row>
    <row r="11" spans="1:31" s="49" customFormat="1" ht="15.75" customHeight="1" x14ac:dyDescent="0.4">
      <c r="A11" s="34" t="s">
        <v>15</v>
      </c>
      <c r="B11" s="35">
        <v>175357.36434999996</v>
      </c>
      <c r="C11" s="35">
        <v>258059.13361999998</v>
      </c>
      <c r="D11" s="35">
        <v>174146.35357000001</v>
      </c>
      <c r="E11" s="35">
        <v>179369.27398999999</v>
      </c>
      <c r="F11" s="35">
        <v>155373.40364999999</v>
      </c>
      <c r="G11" s="82">
        <v>206907.03224999999</v>
      </c>
      <c r="H11" s="36" t="e">
        <f>(#REF!/#REF!)*100</f>
        <v>#REF!</v>
      </c>
      <c r="I11" s="37" t="e">
        <f>(#REF!/#REF!)*100</f>
        <v>#REF!</v>
      </c>
      <c r="J11" s="37" t="e">
        <f>(#REF!/#REF!)*100</f>
        <v>#REF!</v>
      </c>
      <c r="K11" s="37">
        <f>(B11/$B$7)*100</f>
        <v>5.7153604605516257</v>
      </c>
      <c r="L11" s="37">
        <f t="shared" si="6"/>
        <v>9.22730460060761</v>
      </c>
      <c r="M11" s="37">
        <f t="shared" si="7"/>
        <v>7.1619750990230946</v>
      </c>
      <c r="N11" s="37">
        <f t="shared" si="11"/>
        <v>7.1624569057653105</v>
      </c>
      <c r="O11" s="37">
        <f t="shared" si="12"/>
        <v>6.797306361030782</v>
      </c>
      <c r="P11" s="80">
        <f t="shared" si="13"/>
        <v>8.6037619422042901</v>
      </c>
      <c r="Q11" s="70" t="e">
        <f>((#REF!-#REF!)/#REF!)*100</f>
        <v>#REF!</v>
      </c>
      <c r="R11" s="70" t="e">
        <f>((#REF!-#REF!)/#REF!)*100</f>
        <v>#REF!</v>
      </c>
      <c r="S11" s="70" t="e">
        <f>((#REF!-#REF!)/#REF!)*100</f>
        <v>#REF!</v>
      </c>
      <c r="T11" s="70" t="e">
        <f>((B11-#REF!)/#REF!)*100</f>
        <v>#REF!</v>
      </c>
      <c r="U11" s="70">
        <f>((C11-B11)/B11)*100</f>
        <v>47.161845512763058</v>
      </c>
      <c r="V11" s="70">
        <f t="shared" si="8"/>
        <v>-32.516880481186192</v>
      </c>
      <c r="W11" s="70">
        <f t="shared" si="8"/>
        <v>2.9991557749732447</v>
      </c>
      <c r="X11" s="70">
        <f t="shared" si="9"/>
        <v>-13.377915741208712</v>
      </c>
      <c r="Y11" s="70">
        <f t="shared" si="10"/>
        <v>33.167599723879768</v>
      </c>
      <c r="Z11" s="65" t="s">
        <v>16</v>
      </c>
      <c r="AC11" s="72"/>
      <c r="AD11" s="72"/>
      <c r="AE11" s="72"/>
    </row>
    <row r="12" spans="1:31" s="49" customFormat="1" ht="15.75" customHeight="1" x14ac:dyDescent="0.4">
      <c r="A12" s="34" t="s">
        <v>11</v>
      </c>
      <c r="B12" s="35">
        <v>220705.70510999995</v>
      </c>
      <c r="C12" s="35">
        <v>355433.42591000017</v>
      </c>
      <c r="D12" s="35">
        <v>286720.38575000013</v>
      </c>
      <c r="E12" s="35">
        <v>242468.17299000002</v>
      </c>
      <c r="F12" s="35">
        <v>262165.55660000001</v>
      </c>
      <c r="G12" s="82">
        <v>231209.99093</v>
      </c>
      <c r="H12" s="36" t="e">
        <f>(#REF!/#REF!)*100</f>
        <v>#REF!</v>
      </c>
      <c r="I12" s="37" t="e">
        <f>(#REF!/#REF!)*100</f>
        <v>#REF!</v>
      </c>
      <c r="J12" s="37" t="e">
        <f>(#REF!/#REF!)*100</f>
        <v>#REF!</v>
      </c>
      <c r="K12" s="37">
        <f>(B12/$B$7)*100</f>
        <v>7.1933828674921054</v>
      </c>
      <c r="L12" s="37">
        <f t="shared" si="6"/>
        <v>12.709073459645559</v>
      </c>
      <c r="M12" s="37">
        <f t="shared" si="7"/>
        <v>11.791715537117904</v>
      </c>
      <c r="N12" s="37">
        <f t="shared" si="11"/>
        <v>9.6820810021082231</v>
      </c>
      <c r="O12" s="37">
        <f t="shared" si="12"/>
        <v>11.469270567919079</v>
      </c>
      <c r="P12" s="80">
        <f t="shared" si="13"/>
        <v>9.6143456265775775</v>
      </c>
      <c r="Q12" s="70" t="e">
        <f>((#REF!-#REF!)/#REF!)*100</f>
        <v>#REF!</v>
      </c>
      <c r="R12" s="70" t="e">
        <f>((#REF!-#REF!)/#REF!)*100</f>
        <v>#REF!</v>
      </c>
      <c r="S12" s="70" t="e">
        <f>((#REF!-#REF!)/#REF!)*100</f>
        <v>#REF!</v>
      </c>
      <c r="T12" s="70" t="e">
        <f>((B12-#REF!)/#REF!)*100</f>
        <v>#REF!</v>
      </c>
      <c r="U12" s="70">
        <f>((C12-B12)/B12)*100</f>
        <v>61.044058980193462</v>
      </c>
      <c r="V12" s="70">
        <f t="shared" si="8"/>
        <v>-19.332182949332111</v>
      </c>
      <c r="W12" s="70">
        <f t="shared" si="8"/>
        <v>-15.433926208018187</v>
      </c>
      <c r="X12" s="70">
        <f t="shared" si="9"/>
        <v>8.1236986145857415</v>
      </c>
      <c r="Y12" s="70">
        <f t="shared" si="10"/>
        <v>-11.807640206997355</v>
      </c>
      <c r="Z12" s="65" t="s">
        <v>12</v>
      </c>
      <c r="AC12" s="72"/>
      <c r="AD12" s="72"/>
      <c r="AE12" s="72"/>
    </row>
    <row r="13" spans="1:31" s="49" customFormat="1" ht="15.75" customHeight="1" x14ac:dyDescent="0.4">
      <c r="A13" s="34" t="s">
        <v>9</v>
      </c>
      <c r="B13" s="35">
        <v>10599.19361</v>
      </c>
      <c r="C13" s="35">
        <v>17857.254080000002</v>
      </c>
      <c r="D13" s="35">
        <v>31529.092810000006</v>
      </c>
      <c r="E13" s="35">
        <v>36755.579680000003</v>
      </c>
      <c r="F13" s="35">
        <v>59388.490250000097</v>
      </c>
      <c r="G13" s="82">
        <v>46905.211410000098</v>
      </c>
      <c r="H13" s="36" t="e">
        <f>(#REF!/#REF!)*100</f>
        <v>#REF!</v>
      </c>
      <c r="I13" s="37" t="e">
        <f>(#REF!/#REF!)*100</f>
        <v>#REF!</v>
      </c>
      <c r="J13" s="37" t="e">
        <f>(#REF!/#REF!)*100</f>
        <v>#REF!</v>
      </c>
      <c r="K13" s="37">
        <f>(B13/$B$7)*100</f>
        <v>0.34545576284675417</v>
      </c>
      <c r="L13" s="37">
        <f t="shared" si="6"/>
        <v>0.63851381819036213</v>
      </c>
      <c r="M13" s="37">
        <f t="shared" si="7"/>
        <v>1.2966712938335578</v>
      </c>
      <c r="N13" s="37">
        <f t="shared" si="11"/>
        <v>1.4676998442838105</v>
      </c>
      <c r="O13" s="37">
        <f t="shared" si="12"/>
        <v>2.5981394052336593</v>
      </c>
      <c r="P13" s="80">
        <f t="shared" si="13"/>
        <v>1.9504473503481188</v>
      </c>
      <c r="Q13" s="70" t="e">
        <f>((#REF!-#REF!)/#REF!)*100</f>
        <v>#REF!</v>
      </c>
      <c r="R13" s="70" t="e">
        <f>((#REF!-#REF!)/#REF!)*100</f>
        <v>#REF!</v>
      </c>
      <c r="S13" s="70" t="e">
        <f>((#REF!-#REF!)/#REF!)*100</f>
        <v>#REF!</v>
      </c>
      <c r="T13" s="70" t="e">
        <f>((B13-#REF!)/#REF!)*100</f>
        <v>#REF!</v>
      </c>
      <c r="U13" s="70">
        <f>((C13-B13)/B13)*100</f>
        <v>68.477477976742065</v>
      </c>
      <c r="V13" s="70">
        <f t="shared" si="8"/>
        <v>76.561820024235232</v>
      </c>
      <c r="W13" s="70">
        <f t="shared" si="8"/>
        <v>16.576711868926104</v>
      </c>
      <c r="X13" s="70">
        <f t="shared" si="9"/>
        <v>61.576802126495792</v>
      </c>
      <c r="Y13" s="70">
        <f t="shared" si="10"/>
        <v>-21.01969386231363</v>
      </c>
      <c r="Z13" s="65" t="s">
        <v>10</v>
      </c>
      <c r="AC13" s="72"/>
      <c r="AD13" s="72"/>
      <c r="AE13" s="72"/>
    </row>
    <row r="14" spans="1:31" s="49" customFormat="1" ht="15.75" customHeight="1" x14ac:dyDescent="0.4">
      <c r="A14" s="34" t="s">
        <v>40</v>
      </c>
      <c r="B14" s="35">
        <v>62741.776270000002</v>
      </c>
      <c r="C14" s="35">
        <v>56278.4859</v>
      </c>
      <c r="D14" s="35">
        <v>47594.873639999991</v>
      </c>
      <c r="E14" s="35">
        <v>32880.42239</v>
      </c>
      <c r="F14" s="35">
        <v>11513.285519999999</v>
      </c>
      <c r="G14" s="82">
        <v>24377.449559999997</v>
      </c>
      <c r="H14" s="36" t="e">
        <f>(#REF!/#REF!)*100</f>
        <v>#REF!</v>
      </c>
      <c r="I14" s="37" t="e">
        <f>(#REF!/#REF!)*100</f>
        <v>#REF!</v>
      </c>
      <c r="J14" s="37" t="e">
        <f>(#REF!/#REF!)*100</f>
        <v>#REF!</v>
      </c>
      <c r="K14" s="37">
        <f>(B14/$B$7)*100</f>
        <v>2.0449204893534563</v>
      </c>
      <c r="L14" s="37">
        <f t="shared" si="6"/>
        <v>2.012324557459702</v>
      </c>
      <c r="M14" s="37">
        <f t="shared" si="7"/>
        <v>1.9573955633461653</v>
      </c>
      <c r="N14" s="37">
        <f t="shared" si="11"/>
        <v>1.3129595898618927</v>
      </c>
      <c r="O14" s="37">
        <f t="shared" si="12"/>
        <v>0.50368548968489812</v>
      </c>
      <c r="P14" s="80">
        <f t="shared" si="13"/>
        <v>1.0136812194904639</v>
      </c>
      <c r="Q14" s="70" t="e">
        <f>((#REF!-#REF!)/#REF!)*100</f>
        <v>#REF!</v>
      </c>
      <c r="R14" s="70" t="e">
        <f>((#REF!-#REF!)/#REF!)*100</f>
        <v>#REF!</v>
      </c>
      <c r="S14" s="70" t="e">
        <f>((#REF!-#REF!)/#REF!)*100</f>
        <v>#REF!</v>
      </c>
      <c r="T14" s="75" t="s">
        <v>59</v>
      </c>
      <c r="U14" s="70">
        <f>((C14-B14)/B14)*100</f>
        <v>-10.301414391244174</v>
      </c>
      <c r="V14" s="70">
        <f>((D14-C14)/C14)*100</f>
        <v>-15.429719050064225</v>
      </c>
      <c r="W14" s="70">
        <f>((E14-D14)/D14)*100</f>
        <v>-30.916042263916378</v>
      </c>
      <c r="X14" s="70">
        <f t="shared" si="9"/>
        <v>-64.98437464263975</v>
      </c>
      <c r="Y14" s="70" t="s">
        <v>59</v>
      </c>
      <c r="Z14" s="65" t="s">
        <v>41</v>
      </c>
      <c r="AC14" s="72"/>
      <c r="AD14" s="72"/>
      <c r="AE14" s="72"/>
    </row>
    <row r="15" spans="1:31" s="49" customFormat="1" ht="15.75" customHeight="1" x14ac:dyDescent="0.4">
      <c r="A15" s="34" t="s">
        <v>42</v>
      </c>
      <c r="B15" s="35">
        <v>0</v>
      </c>
      <c r="C15" s="35">
        <v>14.380469999999999</v>
      </c>
      <c r="D15" s="35">
        <v>123.50001</v>
      </c>
      <c r="E15" s="35">
        <v>157.57307</v>
      </c>
      <c r="F15" s="35">
        <v>1202.2517600000001</v>
      </c>
      <c r="G15" s="82">
        <v>185.31383</v>
      </c>
      <c r="H15" s="36" t="e">
        <f>(#REF!/#REF!)*100</f>
        <v>#REF!</v>
      </c>
      <c r="I15" s="37" t="e">
        <f>(#REF!/#REF!)*100</f>
        <v>#REF!</v>
      </c>
      <c r="J15" s="37" t="e">
        <f>(#REF!/#REF!)*100</f>
        <v>#REF!</v>
      </c>
      <c r="K15" s="37">
        <f>(B15/$B$7)*100</f>
        <v>0</v>
      </c>
      <c r="L15" s="37">
        <f t="shared" si="6"/>
        <v>5.1419601053646186E-4</v>
      </c>
      <c r="M15" s="37">
        <f t="shared" si="7"/>
        <v>5.0790842197770579E-3</v>
      </c>
      <c r="N15" s="37">
        <f t="shared" si="11"/>
        <v>6.2921050984856069E-3</v>
      </c>
      <c r="O15" s="37">
        <f t="shared" si="12"/>
        <v>5.2596347533308697E-2</v>
      </c>
      <c r="P15" s="80">
        <f t="shared" si="13"/>
        <v>7.7058573629902117E-3</v>
      </c>
      <c r="Q15" s="70" t="e">
        <f>((#REF!-#REF!)/#REF!)*100</f>
        <v>#REF!</v>
      </c>
      <c r="R15" s="70" t="e">
        <f>((#REF!-#REF!)/#REF!)*100</f>
        <v>#REF!</v>
      </c>
      <c r="S15" s="70" t="e">
        <f>((#REF!-#REF!)/#REF!)*100</f>
        <v>#REF!</v>
      </c>
      <c r="T15" s="70" t="e">
        <f>((B15-#REF!)/#REF!)*100</f>
        <v>#REF!</v>
      </c>
      <c r="U15" s="70">
        <v>0</v>
      </c>
      <c r="V15" s="75" t="s">
        <v>59</v>
      </c>
      <c r="W15" s="75">
        <f>((E15-D15)/D15)*100</f>
        <v>27.589520033237243</v>
      </c>
      <c r="X15" s="70" t="s">
        <v>59</v>
      </c>
      <c r="Y15" s="75">
        <f t="shared" si="10"/>
        <v>-84.586104494452968</v>
      </c>
      <c r="Z15" s="65" t="s">
        <v>43</v>
      </c>
      <c r="AC15" s="72"/>
      <c r="AD15" s="72"/>
      <c r="AE15" s="72"/>
    </row>
    <row r="16" spans="1:31" s="49" customFormat="1" ht="15.75" customHeight="1" x14ac:dyDescent="0.4">
      <c r="A16" s="34" t="s">
        <v>23</v>
      </c>
      <c r="B16" s="35">
        <v>241857.62999000002</v>
      </c>
      <c r="C16" s="35">
        <v>118621.69877000025</v>
      </c>
      <c r="D16" s="35">
        <v>94256.396839999914</v>
      </c>
      <c r="E16" s="35">
        <v>87719.99887000001</v>
      </c>
      <c r="F16" s="35">
        <v>67026.416369999992</v>
      </c>
      <c r="G16" s="82">
        <v>90440.691830000011</v>
      </c>
      <c r="H16" s="36" t="e">
        <f>(#REF!/#REF!)*100</f>
        <v>#REF!</v>
      </c>
      <c r="I16" s="37" t="e">
        <f>(#REF!/#REF!)*100</f>
        <v>#REF!</v>
      </c>
      <c r="J16" s="37" t="e">
        <f>(#REF!/#REF!)*100</f>
        <v>#REF!</v>
      </c>
      <c r="K16" s="37">
        <f>(B16/$B$7)*100</f>
        <v>7.8827800625960514</v>
      </c>
      <c r="L16" s="37">
        <f t="shared" si="6"/>
        <v>4.2415028347885748</v>
      </c>
      <c r="M16" s="37">
        <f t="shared" si="7"/>
        <v>3.8764059841216838</v>
      </c>
      <c r="N16" s="37">
        <f t="shared" si="11"/>
        <v>3.5027778041582787</v>
      </c>
      <c r="O16" s="37">
        <f t="shared" si="12"/>
        <v>2.9322849062069745</v>
      </c>
      <c r="P16" s="80">
        <f t="shared" si="13"/>
        <v>3.7607720430371243</v>
      </c>
      <c r="Q16" s="70" t="e">
        <f>((#REF!-#REF!)/#REF!)*100</f>
        <v>#REF!</v>
      </c>
      <c r="R16" s="70" t="e">
        <f>((#REF!-#REF!)/#REF!)*100</f>
        <v>#REF!</v>
      </c>
      <c r="S16" s="70" t="e">
        <f>((#REF!-#REF!)/#REF!)*100</f>
        <v>#REF!</v>
      </c>
      <c r="T16" s="70" t="e">
        <f>((B16-#REF!)/#REF!)*100</f>
        <v>#REF!</v>
      </c>
      <c r="U16" s="70">
        <f>((C16-B16)/B16)*100</f>
        <v>-50.953915005739184</v>
      </c>
      <c r="V16" s="70">
        <f>((D16-C16)/C16)*100</f>
        <v>-20.540341423741594</v>
      </c>
      <c r="W16" s="70">
        <f>((E16-D16)/D16)*100</f>
        <v>-6.9346995950793966</v>
      </c>
      <c r="X16" s="70">
        <f t="shared" si="9"/>
        <v>-23.590495629927744</v>
      </c>
      <c r="Y16" s="70">
        <f t="shared" si="10"/>
        <v>34.932906647952457</v>
      </c>
      <c r="Z16" s="65" t="s">
        <v>24</v>
      </c>
      <c r="AC16" s="72"/>
      <c r="AD16" s="72"/>
      <c r="AE16" s="72"/>
    </row>
    <row r="17" spans="1:31" s="29" customFormat="1" ht="15.75" customHeight="1" x14ac:dyDescent="0.4">
      <c r="A17" s="38" t="s">
        <v>25</v>
      </c>
      <c r="B17" s="39">
        <v>625.16800000000001</v>
      </c>
      <c r="C17" s="39">
        <v>6677.9539800000002</v>
      </c>
      <c r="D17" s="39">
        <v>3193.5310800000002</v>
      </c>
      <c r="E17" s="39">
        <v>11669.233679999999</v>
      </c>
      <c r="F17" s="39">
        <v>67232.635150000002</v>
      </c>
      <c r="G17" s="83">
        <v>137793.42707000001</v>
      </c>
      <c r="H17" s="32" t="e">
        <f>(#REF!/#REF!)*100</f>
        <v>#REF!</v>
      </c>
      <c r="I17" s="33" t="e">
        <f>(#REF!/#REF!)*100</f>
        <v>#REF!</v>
      </c>
      <c r="J17" s="33" t="e">
        <f>(#REF!/#REF!)*100</f>
        <v>#REF!</v>
      </c>
      <c r="K17" s="33">
        <f>(B17/$B$7)*100</f>
        <v>2.0375879174772394E-2</v>
      </c>
      <c r="L17" s="33">
        <f t="shared" si="6"/>
        <v>0.23878060279407332</v>
      </c>
      <c r="M17" s="33">
        <f t="shared" si="7"/>
        <v>0.13133774899123965</v>
      </c>
      <c r="N17" s="33">
        <f t="shared" si="11"/>
        <v>0.46596823133133058</v>
      </c>
      <c r="O17" s="33">
        <f t="shared" si="12"/>
        <v>2.941306606138423</v>
      </c>
      <c r="P17" s="79">
        <f t="shared" si="13"/>
        <v>5.7298286617842518</v>
      </c>
      <c r="Q17" s="1" t="e">
        <f>((#REF!-#REF!)/#REF!)*100</f>
        <v>#REF!</v>
      </c>
      <c r="R17" s="1" t="e">
        <f>((#REF!-#REF!)/#REF!)*100</f>
        <v>#REF!</v>
      </c>
      <c r="S17" s="1" t="e">
        <f>((#REF!-#REF!)/#REF!)*100</f>
        <v>#REF!</v>
      </c>
      <c r="T17" s="74" t="s">
        <v>59</v>
      </c>
      <c r="U17" s="74" t="s">
        <v>59</v>
      </c>
      <c r="V17" s="1">
        <f t="shared" ref="V17:V30" si="14">((D17-C17)/C17)*100</f>
        <v>-52.178001082900536</v>
      </c>
      <c r="W17" s="1" t="s">
        <v>59</v>
      </c>
      <c r="X17" s="1" t="s">
        <v>59</v>
      </c>
      <c r="Y17" s="1" t="s">
        <v>59</v>
      </c>
      <c r="Z17" s="71" t="s">
        <v>44</v>
      </c>
      <c r="AC17" s="15"/>
      <c r="AD17" s="15"/>
      <c r="AE17" s="15"/>
    </row>
    <row r="18" spans="1:31" s="29" customFormat="1" ht="15.75" customHeight="1" x14ac:dyDescent="0.4">
      <c r="A18" s="38" t="s">
        <v>21</v>
      </c>
      <c r="B18" s="40">
        <f t="shared" ref="B18:E18" si="15">SUM(B19:B20)</f>
        <v>226921.45573999983</v>
      </c>
      <c r="C18" s="40">
        <f t="shared" si="15"/>
        <v>248219.53900999992</v>
      </c>
      <c r="D18" s="40">
        <f t="shared" si="15"/>
        <v>231977.77517000001</v>
      </c>
      <c r="E18" s="40">
        <f t="shared" si="15"/>
        <v>187613.28936</v>
      </c>
      <c r="F18" s="40">
        <f t="shared" ref="F18" si="16">SUM(F19:F20)</f>
        <v>103395.1139099999</v>
      </c>
      <c r="G18" s="41">
        <f>SUM(G19:G20)</f>
        <v>53138.262700000101</v>
      </c>
      <c r="H18" s="32" t="e">
        <f>(#REF!/#REF!)*100</f>
        <v>#REF!</v>
      </c>
      <c r="I18" s="33" t="e">
        <f>(#REF!/#REF!)*100</f>
        <v>#REF!</v>
      </c>
      <c r="J18" s="33" t="e">
        <f>(#REF!/#REF!)*100</f>
        <v>#REF!</v>
      </c>
      <c r="K18" s="33">
        <f>(B18/$B$7)*100</f>
        <v>7.3959706260104454</v>
      </c>
      <c r="L18" s="33">
        <f t="shared" si="6"/>
        <v>8.8754746330364469</v>
      </c>
      <c r="M18" s="33">
        <f t="shared" si="7"/>
        <v>9.54036082430226</v>
      </c>
      <c r="N18" s="33">
        <f t="shared" si="11"/>
        <v>7.4916515526778236</v>
      </c>
      <c r="O18" s="33">
        <f t="shared" si="12"/>
        <v>4.5233498717909084</v>
      </c>
      <c r="P18" s="79">
        <f t="shared" si="13"/>
        <v>2.2096347201032107</v>
      </c>
      <c r="Q18" s="1" t="e">
        <f>((#REF!-#REF!)/#REF!)*100</f>
        <v>#REF!</v>
      </c>
      <c r="R18" s="1" t="e">
        <f>((#REF!-#REF!)/#REF!)*100</f>
        <v>#REF!</v>
      </c>
      <c r="S18" s="1" t="e">
        <f>((#REF!-#REF!)/#REF!)*100</f>
        <v>#REF!</v>
      </c>
      <c r="T18" s="1" t="e">
        <f>((B18-#REF!)/#REF!)*100</f>
        <v>#REF!</v>
      </c>
      <c r="U18" s="1">
        <f>((C18-B18)/B18)*100</f>
        <v>9.3856630703104731</v>
      </c>
      <c r="V18" s="1">
        <f t="shared" si="14"/>
        <v>-6.5433059398863787</v>
      </c>
      <c r="W18" s="1">
        <f>((E18-D18)/D18)*100</f>
        <v>-19.124455253305381</v>
      </c>
      <c r="X18" s="1">
        <f t="shared" si="9"/>
        <v>-44.889237717270042</v>
      </c>
      <c r="Y18" s="1">
        <f t="shared" si="10"/>
        <v>-48.606601714028564</v>
      </c>
      <c r="Z18" s="71" t="s">
        <v>33</v>
      </c>
      <c r="AC18" s="15"/>
      <c r="AD18" s="15"/>
      <c r="AE18" s="15"/>
    </row>
    <row r="19" spans="1:31" s="49" customFormat="1" ht="15.75" customHeight="1" x14ac:dyDescent="0.4">
      <c r="A19" s="42" t="s">
        <v>45</v>
      </c>
      <c r="B19" s="43">
        <v>213849.82423999984</v>
      </c>
      <c r="C19" s="43">
        <v>231443.47718999995</v>
      </c>
      <c r="D19" s="43">
        <v>213889.84269000002</v>
      </c>
      <c r="E19" s="43">
        <v>132121.7273</v>
      </c>
      <c r="F19" s="43">
        <v>66666.281359999906</v>
      </c>
      <c r="G19" s="84">
        <v>44515.413090000104</v>
      </c>
      <c r="H19" s="36" t="e">
        <f>(#REF!/#REF!)*100</f>
        <v>#REF!</v>
      </c>
      <c r="I19" s="37" t="e">
        <f>(#REF!/#REF!)*100</f>
        <v>#REF!</v>
      </c>
      <c r="J19" s="37" t="e">
        <f>(#REF!/#REF!)*100</f>
        <v>#REF!</v>
      </c>
      <c r="K19" s="37">
        <f>(B19/$B$7)*100</f>
        <v>6.9699315708106448</v>
      </c>
      <c r="L19" s="37">
        <f t="shared" si="6"/>
        <v>8.2756205211501825</v>
      </c>
      <c r="M19" s="37">
        <f t="shared" si="7"/>
        <v>8.7964731725720231</v>
      </c>
      <c r="N19" s="37">
        <f t="shared" si="11"/>
        <v>5.2757986752752544</v>
      </c>
      <c r="O19" s="37">
        <f t="shared" si="12"/>
        <v>2.9165296486352363</v>
      </c>
      <c r="P19" s="80">
        <f t="shared" si="13"/>
        <v>1.8510729810404771</v>
      </c>
      <c r="Q19" s="70" t="e">
        <f>((#REF!-#REF!)/#REF!)*100</f>
        <v>#REF!</v>
      </c>
      <c r="R19" s="70" t="e">
        <f>((#REF!-#REF!)/#REF!)*100</f>
        <v>#REF!</v>
      </c>
      <c r="S19" s="70" t="e">
        <f>((#REF!-#REF!)/#REF!)*100</f>
        <v>#REF!</v>
      </c>
      <c r="T19" s="70" t="e">
        <f>((B19-#REF!)/#REF!)*100</f>
        <v>#REF!</v>
      </c>
      <c r="U19" s="70">
        <f>((C19-B19)/B19)*100</f>
        <v>8.2271065746844201</v>
      </c>
      <c r="V19" s="70">
        <f t="shared" si="14"/>
        <v>-7.5844153022249756</v>
      </c>
      <c r="W19" s="70">
        <f>((E19-D19)/D19)*100</f>
        <v>-38.229078277695564</v>
      </c>
      <c r="X19" s="70">
        <f t="shared" si="9"/>
        <v>-49.541772786072329</v>
      </c>
      <c r="Y19" s="70">
        <f t="shared" si="10"/>
        <v>-33.22649444084702</v>
      </c>
      <c r="Z19" s="65" t="s">
        <v>46</v>
      </c>
      <c r="AC19" s="72"/>
      <c r="AD19" s="72"/>
      <c r="AE19" s="72"/>
    </row>
    <row r="20" spans="1:31" s="49" customFormat="1" ht="15.75" customHeight="1" x14ac:dyDescent="0.4">
      <c r="A20" s="34" t="s">
        <v>23</v>
      </c>
      <c r="B20" s="43">
        <v>13071.6315</v>
      </c>
      <c r="C20" s="43">
        <v>16776.061819999974</v>
      </c>
      <c r="D20" s="43">
        <v>18087.932479999989</v>
      </c>
      <c r="E20" s="43">
        <v>55491.562059999997</v>
      </c>
      <c r="F20" s="43">
        <v>36728.832549999999</v>
      </c>
      <c r="G20" s="84">
        <v>8622.8496099999993</v>
      </c>
      <c r="H20" s="36" t="e">
        <f>(#REF!/#REF!)*100</f>
        <v>#REF!</v>
      </c>
      <c r="I20" s="37" t="e">
        <f>(#REF!/#REF!)*100</f>
        <v>#REF!</v>
      </c>
      <c r="J20" s="37" t="e">
        <f>(#REF!/#REF!)*100</f>
        <v>#REF!</v>
      </c>
      <c r="K20" s="37">
        <f>(B20/$B$7)*100</f>
        <v>0.4260390551998004</v>
      </c>
      <c r="L20" s="37">
        <f t="shared" si="6"/>
        <v>0.59985411188626248</v>
      </c>
      <c r="M20" s="37">
        <f t="shared" si="7"/>
        <v>0.74388765173023752</v>
      </c>
      <c r="N20" s="37">
        <f t="shared" si="11"/>
        <v>2.2158528774025692</v>
      </c>
      <c r="O20" s="37">
        <f t="shared" si="12"/>
        <v>1.606820223155673</v>
      </c>
      <c r="P20" s="80">
        <f t="shared" si="13"/>
        <v>0.35856173906273364</v>
      </c>
      <c r="Q20" s="70" t="e">
        <f>((#REF!-#REF!)/#REF!)*100</f>
        <v>#REF!</v>
      </c>
      <c r="R20" s="70" t="e">
        <f>((#REF!-#REF!)/#REF!)*100</f>
        <v>#REF!</v>
      </c>
      <c r="S20" s="70" t="e">
        <f>((#REF!-#REF!)/#REF!)*100</f>
        <v>#REF!</v>
      </c>
      <c r="T20" s="75" t="s">
        <v>59</v>
      </c>
      <c r="U20" s="70">
        <f>((C20-B20)/B20)*100</f>
        <v>28.339464128865433</v>
      </c>
      <c r="V20" s="70">
        <f t="shared" si="14"/>
        <v>7.8198964338342973</v>
      </c>
      <c r="W20" s="70" t="s">
        <v>59</v>
      </c>
      <c r="X20" s="70">
        <f t="shared" si="9"/>
        <v>-33.811860422514115</v>
      </c>
      <c r="Y20" s="70">
        <f t="shared" si="10"/>
        <v>-76.522941211753832</v>
      </c>
      <c r="Z20" s="65" t="s">
        <v>24</v>
      </c>
      <c r="AC20" s="72"/>
      <c r="AD20" s="72"/>
      <c r="AE20" s="72"/>
    </row>
    <row r="21" spans="1:31" s="29" customFormat="1" ht="15.75" customHeight="1" x14ac:dyDescent="0.4">
      <c r="A21" s="44" t="s">
        <v>22</v>
      </c>
      <c r="B21" s="45">
        <v>10181.431139999997</v>
      </c>
      <c r="C21" s="45">
        <v>8395.0911799999994</v>
      </c>
      <c r="D21" s="67">
        <v>6411.2771099999991</v>
      </c>
      <c r="E21" s="67">
        <v>12310.738949999999</v>
      </c>
      <c r="F21" s="67">
        <v>34.596719999999998</v>
      </c>
      <c r="G21" s="85">
        <v>0</v>
      </c>
      <c r="H21" s="32" t="e">
        <f>(#REF!/#REF!)*100</f>
        <v>#REF!</v>
      </c>
      <c r="I21" s="33" t="e">
        <f>(#REF!/#REF!)*100</f>
        <v>#REF!</v>
      </c>
      <c r="J21" s="33" t="e">
        <f>(#REF!/#REF!)*100</f>
        <v>#REF!</v>
      </c>
      <c r="K21" s="33">
        <f>(B21/$B$7)*100</f>
        <v>0.33183977864334879</v>
      </c>
      <c r="L21" s="33">
        <f t="shared" si="6"/>
        <v>0.30017950684823497</v>
      </c>
      <c r="M21" s="37">
        <f t="shared" si="7"/>
        <v>0.26367136648830114</v>
      </c>
      <c r="N21" s="37">
        <f t="shared" si="11"/>
        <v>0.49158440153143129</v>
      </c>
      <c r="O21" s="37">
        <f t="shared" si="12"/>
        <v>1.5135441420627001E-3</v>
      </c>
      <c r="P21" s="80">
        <f t="shared" si="13"/>
        <v>0</v>
      </c>
      <c r="Q21" s="1" t="e">
        <f>((#REF!-#REF!)/#REF!)*100</f>
        <v>#REF!</v>
      </c>
      <c r="R21" s="1" t="e">
        <f>((#REF!-#REF!)/#REF!)*100</f>
        <v>#REF!</v>
      </c>
      <c r="S21" s="75" t="s">
        <v>59</v>
      </c>
      <c r="T21" s="1" t="e">
        <f>((B21-#REF!)/#REF!)*100</f>
        <v>#REF!</v>
      </c>
      <c r="U21" s="1">
        <f>((C21-B21)/B21)*100</f>
        <v>-17.545077263077165</v>
      </c>
      <c r="V21" s="1">
        <f t="shared" si="14"/>
        <v>-23.630643520896225</v>
      </c>
      <c r="W21" s="1">
        <f t="shared" ref="W21:W30" si="17">((E21-D21)/D21)*100</f>
        <v>92.016952921880502</v>
      </c>
      <c r="X21" s="1">
        <f t="shared" si="9"/>
        <v>-99.71897121577743</v>
      </c>
      <c r="Y21" s="1">
        <f t="shared" si="10"/>
        <v>-100</v>
      </c>
      <c r="Z21" s="65" t="s">
        <v>35</v>
      </c>
      <c r="AC21" s="15"/>
      <c r="AD21" s="15"/>
      <c r="AE21" s="15"/>
    </row>
    <row r="22" spans="1:31" s="29" customFormat="1" ht="15.75" customHeight="1" x14ac:dyDescent="0.4">
      <c r="A22" s="38" t="s">
        <v>17</v>
      </c>
      <c r="B22" s="40">
        <f t="shared" ref="B22:E22" si="18">SUM(B23:B29)</f>
        <v>1808076.4558700006</v>
      </c>
      <c r="C22" s="40">
        <f t="shared" si="18"/>
        <v>1388178.0647500004</v>
      </c>
      <c r="D22" s="40">
        <f t="shared" si="18"/>
        <v>1221647.4688899999</v>
      </c>
      <c r="E22" s="40">
        <f t="shared" si="18"/>
        <v>1400782.9334400003</v>
      </c>
      <c r="F22" s="40">
        <f t="shared" ref="F22:G22" si="19">SUM(F23:F29)</f>
        <v>1410369.1991499998</v>
      </c>
      <c r="G22" s="41">
        <f t="shared" si="19"/>
        <v>1463158.9216700005</v>
      </c>
      <c r="H22" s="32" t="e">
        <f>(#REF!/#REF!)*100</f>
        <v>#REF!</v>
      </c>
      <c r="I22" s="33" t="e">
        <f>(#REF!/#REF!)*100</f>
        <v>#REF!</v>
      </c>
      <c r="J22" s="33" t="e">
        <f>(#REF!/#REF!)*100</f>
        <v>#REF!</v>
      </c>
      <c r="K22" s="33">
        <f>(B22/$B$7)*100</f>
        <v>58.929995462912075</v>
      </c>
      <c r="L22" s="33">
        <f t="shared" si="6"/>
        <v>49.636459921593413</v>
      </c>
      <c r="M22" s="33">
        <f t="shared" si="7"/>
        <v>50.241699424718931</v>
      </c>
      <c r="N22" s="33">
        <f t="shared" si="11"/>
        <v>55.935150831099826</v>
      </c>
      <c r="O22" s="33">
        <f t="shared" si="12"/>
        <v>61.701110380381266</v>
      </c>
      <c r="P22" s="79">
        <f t="shared" si="13"/>
        <v>60.842161374440288</v>
      </c>
      <c r="Q22" s="1" t="e">
        <f>((#REF!-#REF!)/#REF!)*100</f>
        <v>#REF!</v>
      </c>
      <c r="R22" s="1" t="e">
        <f>((#REF!-#REF!)/#REF!)*100</f>
        <v>#REF!</v>
      </c>
      <c r="S22" s="1" t="e">
        <f>((#REF!-#REF!)/#REF!)*100</f>
        <v>#REF!</v>
      </c>
      <c r="T22" s="1" t="e">
        <f>((B22-#REF!)/#REF!)*100</f>
        <v>#REF!</v>
      </c>
      <c r="U22" s="1">
        <f>((C22-B22)/B22)*100</f>
        <v>-23.223486471314942</v>
      </c>
      <c r="V22" s="1">
        <f t="shared" si="14"/>
        <v>-11.996342550621652</v>
      </c>
      <c r="W22" s="1">
        <f t="shared" si="17"/>
        <v>14.663433528230899</v>
      </c>
      <c r="X22" s="1">
        <f t="shared" si="9"/>
        <v>0.68435055004973699</v>
      </c>
      <c r="Y22" s="1">
        <f t="shared" si="10"/>
        <v>3.7429718794068987</v>
      </c>
      <c r="Z22" s="65" t="s">
        <v>47</v>
      </c>
      <c r="AB22" s="46"/>
      <c r="AC22" s="15"/>
      <c r="AD22" s="15"/>
      <c r="AE22" s="15"/>
    </row>
    <row r="23" spans="1:31" s="49" customFormat="1" ht="15.75" customHeight="1" x14ac:dyDescent="0.4">
      <c r="A23" s="42" t="s">
        <v>29</v>
      </c>
      <c r="B23" s="35">
        <v>1492075.1333200005</v>
      </c>
      <c r="C23" s="35">
        <v>1014092.3380200005</v>
      </c>
      <c r="D23" s="35">
        <v>885773.84863999975</v>
      </c>
      <c r="E23" s="35">
        <v>1091416.5146100002</v>
      </c>
      <c r="F23" s="35">
        <v>1085126.41793</v>
      </c>
      <c r="G23" s="82">
        <v>1182018.3936900001</v>
      </c>
      <c r="H23" s="47" t="e">
        <f>(#REF!/#REF!)*100</f>
        <v>#REF!</v>
      </c>
      <c r="I23" s="37" t="e">
        <f>(#REF!/#REF!)*100</f>
        <v>#REF!</v>
      </c>
      <c r="J23" s="48" t="e">
        <f>(#REF!/#REF!)*100</f>
        <v>#REF!</v>
      </c>
      <c r="K23" s="37">
        <f>(B23/$B$7)*100</f>
        <v>48.63067629214985</v>
      </c>
      <c r="L23" s="37">
        <f t="shared" si="6"/>
        <v>36.260444514364096</v>
      </c>
      <c r="M23" s="37">
        <f t="shared" si="7"/>
        <v>36.428498887721673</v>
      </c>
      <c r="N23" s="37">
        <f t="shared" si="11"/>
        <v>43.5817326916901</v>
      </c>
      <c r="O23" s="37">
        <f t="shared" si="12"/>
        <v>47.472324927202145</v>
      </c>
      <c r="P23" s="80">
        <f t="shared" si="13"/>
        <v>49.151567059004449</v>
      </c>
      <c r="Q23" s="70" t="e">
        <f>((#REF!-#REF!)/#REF!)*100</f>
        <v>#REF!</v>
      </c>
      <c r="R23" s="70" t="e">
        <f>((#REF!-#REF!)/#REF!)*100</f>
        <v>#REF!</v>
      </c>
      <c r="S23" s="70" t="e">
        <f>((#REF!-#REF!)/#REF!)*100</f>
        <v>#REF!</v>
      </c>
      <c r="T23" s="75" t="s">
        <v>59</v>
      </c>
      <c r="U23" s="70">
        <f>((C23-B23)/B23)*100</f>
        <v>-32.034767192751588</v>
      </c>
      <c r="V23" s="70">
        <f t="shared" si="14"/>
        <v>-12.653531100584056</v>
      </c>
      <c r="W23" s="70">
        <f t="shared" si="17"/>
        <v>23.216159100400205</v>
      </c>
      <c r="X23" s="70">
        <f t="shared" si="9"/>
        <v>-0.57632412518953458</v>
      </c>
      <c r="Y23" s="70">
        <f t="shared" si="10"/>
        <v>8.9290956481211055</v>
      </c>
      <c r="Z23" s="65" t="s">
        <v>30</v>
      </c>
      <c r="AC23" s="72"/>
      <c r="AD23" s="72"/>
      <c r="AE23" s="72"/>
    </row>
    <row r="24" spans="1:31" s="49" customFormat="1" ht="15.75" customHeight="1" x14ac:dyDescent="0.4">
      <c r="A24" s="34" t="s">
        <v>27</v>
      </c>
      <c r="B24" s="35">
        <v>115670.73841000005</v>
      </c>
      <c r="C24" s="35">
        <v>95499.532769999976</v>
      </c>
      <c r="D24" s="35">
        <v>78765.619199999972</v>
      </c>
      <c r="E24" s="35">
        <v>71278.84580000001</v>
      </c>
      <c r="F24" s="35">
        <v>34054.998639999998</v>
      </c>
      <c r="G24" s="82">
        <v>19739.220740000099</v>
      </c>
      <c r="H24" s="47" t="e">
        <f>(#REF!/#REF!)*100</f>
        <v>#REF!</v>
      </c>
      <c r="I24" s="37" t="e">
        <f>(#REF!/#REF!)*100</f>
        <v>#REF!</v>
      </c>
      <c r="J24" s="48" t="e">
        <f>(#REF!/#REF!)*100</f>
        <v>#REF!</v>
      </c>
      <c r="K24" s="37">
        <f>(B24/$B$7)*100</f>
        <v>3.7700154036976699</v>
      </c>
      <c r="L24" s="37">
        <f t="shared" si="6"/>
        <v>3.4147339244426709</v>
      </c>
      <c r="M24" s="37">
        <f t="shared" si="7"/>
        <v>3.2393294019950987</v>
      </c>
      <c r="N24" s="37">
        <f t="shared" si="11"/>
        <v>2.8462603988889055</v>
      </c>
      <c r="O24" s="37">
        <f t="shared" si="12"/>
        <v>1.4898448089739496</v>
      </c>
      <c r="P24" s="80">
        <f t="shared" si="13"/>
        <v>0.82081094259947496</v>
      </c>
      <c r="Q24" s="70" t="e">
        <f>((#REF!-#REF!)/#REF!)*100</f>
        <v>#REF!</v>
      </c>
      <c r="R24" s="70" t="e">
        <f>((#REF!-#REF!)/#REF!)*100</f>
        <v>#REF!</v>
      </c>
      <c r="S24" s="70" t="e">
        <f>((#REF!-#REF!)/#REF!)*100</f>
        <v>#REF!</v>
      </c>
      <c r="T24" s="70" t="e">
        <f>((B24-#REF!)/#REF!)*100</f>
        <v>#REF!</v>
      </c>
      <c r="U24" s="70">
        <f>((C24-B24)/B24)*100</f>
        <v>-17.438468810065292</v>
      </c>
      <c r="V24" s="70">
        <f t="shared" si="14"/>
        <v>-17.522508314571319</v>
      </c>
      <c r="W24" s="70">
        <f t="shared" si="17"/>
        <v>-9.5051286031151587</v>
      </c>
      <c r="X24" s="70">
        <f t="shared" si="9"/>
        <v>-52.222853417752745</v>
      </c>
      <c r="Y24" s="70">
        <f t="shared" si="10"/>
        <v>-42.037229398638146</v>
      </c>
      <c r="Z24" s="65" t="s">
        <v>28</v>
      </c>
      <c r="AC24" s="72"/>
      <c r="AD24" s="72"/>
      <c r="AE24" s="72"/>
    </row>
    <row r="25" spans="1:31" s="49" customFormat="1" ht="15.75" customHeight="1" x14ac:dyDescent="0.4">
      <c r="A25" s="50" t="s">
        <v>31</v>
      </c>
      <c r="B25" s="35">
        <v>49020.427200000013</v>
      </c>
      <c r="C25" s="35">
        <v>45114.810090000014</v>
      </c>
      <c r="D25" s="35">
        <v>35548.939690000021</v>
      </c>
      <c r="E25" s="35">
        <v>39747.926860000007</v>
      </c>
      <c r="F25" s="35">
        <v>83761.431650000013</v>
      </c>
      <c r="G25" s="82">
        <v>46205.90537</v>
      </c>
      <c r="H25" s="47" t="e">
        <f>(#REF!/#REF!)*100</f>
        <v>#REF!</v>
      </c>
      <c r="I25" s="37" t="e">
        <f>(#REF!/#REF!)*100</f>
        <v>#REF!</v>
      </c>
      <c r="J25" s="48" t="e">
        <f>(#REF!/#REF!)*100</f>
        <v>#REF!</v>
      </c>
      <c r="K25" s="37">
        <f>(B25/$B$7)*100</f>
        <v>1.5977054195399101</v>
      </c>
      <c r="L25" s="37">
        <f t="shared" si="6"/>
        <v>1.6131500127873515</v>
      </c>
      <c r="M25" s="37">
        <f t="shared" si="7"/>
        <v>1.4619922590231811</v>
      </c>
      <c r="N25" s="37">
        <f t="shared" si="11"/>
        <v>1.587188300958019</v>
      </c>
      <c r="O25" s="37">
        <f t="shared" si="12"/>
        <v>3.6644116611240252</v>
      </c>
      <c r="P25" s="80">
        <f t="shared" si="13"/>
        <v>1.9213682870244682</v>
      </c>
      <c r="Q25" s="70" t="e">
        <f>((#REF!-#REF!)/#REF!)*100</f>
        <v>#REF!</v>
      </c>
      <c r="R25" s="70" t="e">
        <f>((#REF!-#REF!)/#REF!)*100</f>
        <v>#REF!</v>
      </c>
      <c r="S25" s="70" t="e">
        <f>((#REF!-#REF!)/#REF!)*100</f>
        <v>#REF!</v>
      </c>
      <c r="T25" s="70" t="e">
        <f>((B25-#REF!)/#REF!)*100</f>
        <v>#REF!</v>
      </c>
      <c r="U25" s="70">
        <f>((C25-B25)/B25)*100</f>
        <v>-7.9673257315064738</v>
      </c>
      <c r="V25" s="70">
        <f t="shared" si="14"/>
        <v>-21.203392812508657</v>
      </c>
      <c r="W25" s="70">
        <f t="shared" si="17"/>
        <v>11.811849260812604</v>
      </c>
      <c r="X25" s="70">
        <f t="shared" si="9"/>
        <v>110.73157335984894</v>
      </c>
      <c r="Y25" s="70">
        <f t="shared" si="10"/>
        <v>-44.83629940439301</v>
      </c>
      <c r="Z25" s="65" t="s">
        <v>32</v>
      </c>
      <c r="AC25" s="72"/>
      <c r="AD25" s="72"/>
      <c r="AE25" s="72"/>
    </row>
    <row r="26" spans="1:31" s="49" customFormat="1" ht="15.75" customHeight="1" x14ac:dyDescent="0.4">
      <c r="A26" s="50" t="s">
        <v>26</v>
      </c>
      <c r="B26" s="35">
        <v>44038.268859999996</v>
      </c>
      <c r="C26" s="35">
        <v>43345.408179999999</v>
      </c>
      <c r="D26" s="35">
        <v>52769.282339999998</v>
      </c>
      <c r="E26" s="35">
        <v>51308.227530000004</v>
      </c>
      <c r="F26" s="35">
        <v>84221.447819999987</v>
      </c>
      <c r="G26" s="82">
        <v>89802.594290000299</v>
      </c>
      <c r="H26" s="47" t="e">
        <f>(#REF!/#REF!)*100</f>
        <v>#REF!</v>
      </c>
      <c r="I26" s="37" t="e">
        <f>(#REF!/#REF!)*100</f>
        <v>#REF!</v>
      </c>
      <c r="J26" s="48" t="e">
        <f>(#REF!/#REF!)*100</f>
        <v>#REF!</v>
      </c>
      <c r="K26" s="37">
        <f>(B26/$B$7)*100</f>
        <v>1.4353236975620975</v>
      </c>
      <c r="L26" s="37">
        <f t="shared" si="6"/>
        <v>1.5498823029588407</v>
      </c>
      <c r="M26" s="37">
        <f t="shared" si="7"/>
        <v>2.1701992511745885</v>
      </c>
      <c r="N26" s="37">
        <f t="shared" si="11"/>
        <v>2.048806690354974</v>
      </c>
      <c r="O26" s="37">
        <f t="shared" si="12"/>
        <v>3.6845365394176195</v>
      </c>
      <c r="P26" s="80">
        <f t="shared" si="13"/>
        <v>3.7342381970370027</v>
      </c>
      <c r="Q26" s="70" t="e">
        <f>((#REF!-#REF!)/#REF!)*100</f>
        <v>#REF!</v>
      </c>
      <c r="R26" s="70" t="e">
        <f>((#REF!-#REF!)/#REF!)*100</f>
        <v>#REF!</v>
      </c>
      <c r="S26" s="70" t="e">
        <f>((#REF!-#REF!)/#REF!)*100</f>
        <v>#REF!</v>
      </c>
      <c r="T26" s="70" t="e">
        <f>((B26-#REF!)/#REF!)*100</f>
        <v>#REF!</v>
      </c>
      <c r="U26" s="70">
        <f>((C26-B26)/B26)*100</f>
        <v>-1.5733149779402977</v>
      </c>
      <c r="V26" s="70">
        <f t="shared" si="14"/>
        <v>21.741343675587459</v>
      </c>
      <c r="W26" s="70">
        <f t="shared" si="17"/>
        <v>-2.768760053597489</v>
      </c>
      <c r="X26" s="70">
        <f t="shared" si="9"/>
        <v>64.148036045009675</v>
      </c>
      <c r="Y26" s="70">
        <f t="shared" si="10"/>
        <v>6.6267519906906216</v>
      </c>
      <c r="Z26" s="65" t="s">
        <v>48</v>
      </c>
      <c r="AC26" s="72"/>
      <c r="AD26" s="72"/>
      <c r="AE26" s="72"/>
    </row>
    <row r="27" spans="1:31" s="49" customFormat="1" ht="15.75" customHeight="1" x14ac:dyDescent="0.4">
      <c r="A27" s="42" t="s">
        <v>49</v>
      </c>
      <c r="B27" s="35">
        <v>18840.906169999995</v>
      </c>
      <c r="C27" s="35">
        <v>22059.926910000009</v>
      </c>
      <c r="D27" s="35">
        <v>33294.786420000004</v>
      </c>
      <c r="E27" s="35">
        <v>25772.043169999997</v>
      </c>
      <c r="F27" s="35">
        <v>24127.994300000002</v>
      </c>
      <c r="G27" s="82">
        <v>23996.64255</v>
      </c>
      <c r="H27" s="47" t="e">
        <f>(#REF!/#REF!)*100</f>
        <v>#REF!</v>
      </c>
      <c r="I27" s="37" t="e">
        <f>(#REF!/#REF!)*100</f>
        <v>#REF!</v>
      </c>
      <c r="J27" s="48" t="e">
        <f>(#REF!/#REF!)*100</f>
        <v>#REF!</v>
      </c>
      <c r="K27" s="37">
        <f>(B27/$B$7)*100</f>
        <v>0.61407498090616219</v>
      </c>
      <c r="L27" s="37">
        <f t="shared" si="6"/>
        <v>0.78878690403359153</v>
      </c>
      <c r="M27" s="37">
        <f t="shared" si="7"/>
        <v>1.3692875353343656</v>
      </c>
      <c r="N27" s="37">
        <f t="shared" si="11"/>
        <v>1.0291124252916322</v>
      </c>
      <c r="O27" s="37">
        <f t="shared" si="12"/>
        <v>1.0555562617637517</v>
      </c>
      <c r="P27" s="80">
        <f t="shared" si="13"/>
        <v>0.99784621946975971</v>
      </c>
      <c r="Q27" s="70" t="e">
        <f>((#REF!-#REF!)/#REF!)*100</f>
        <v>#REF!</v>
      </c>
      <c r="R27" s="70" t="e">
        <f>((#REF!-#REF!)/#REF!)*100</f>
        <v>#REF!</v>
      </c>
      <c r="S27" s="70" t="e">
        <f>((#REF!-#REF!)/#REF!)*100</f>
        <v>#REF!</v>
      </c>
      <c r="T27" s="70" t="e">
        <f>((B27-#REF!)/#REF!)*100</f>
        <v>#REF!</v>
      </c>
      <c r="U27" s="70">
        <f>((C27-B27)/B27)*100</f>
        <v>17.085275575150405</v>
      </c>
      <c r="V27" s="70">
        <f t="shared" si="14"/>
        <v>50.928815656715109</v>
      </c>
      <c r="W27" s="70">
        <f t="shared" si="17"/>
        <v>-22.594358032827429</v>
      </c>
      <c r="X27" s="70">
        <f t="shared" si="9"/>
        <v>-6.379194925118524</v>
      </c>
      <c r="Y27" s="70">
        <f t="shared" si="10"/>
        <v>-0.5443956441916169</v>
      </c>
      <c r="Z27" s="65" t="s">
        <v>50</v>
      </c>
      <c r="AA27" s="73"/>
      <c r="AC27" s="72"/>
      <c r="AD27" s="72"/>
      <c r="AE27" s="72"/>
    </row>
    <row r="28" spans="1:31" s="49" customFormat="1" ht="15.75" customHeight="1" x14ac:dyDescent="0.4">
      <c r="A28" s="42" t="s">
        <v>51</v>
      </c>
      <c r="B28" s="35">
        <v>37515.765119999996</v>
      </c>
      <c r="C28" s="35">
        <v>35005.961599999995</v>
      </c>
      <c r="D28" s="35">
        <v>23908.330949999992</v>
      </c>
      <c r="E28" s="35">
        <v>12326.751129999999</v>
      </c>
      <c r="F28" s="35">
        <v>9083.7850799999906</v>
      </c>
      <c r="G28" s="82">
        <v>8368.3918000000103</v>
      </c>
      <c r="H28" s="47" t="e">
        <f>(#REF!/#REF!)*100</f>
        <v>#REF!</v>
      </c>
      <c r="I28" s="37" t="e">
        <f>(#REF!/#REF!)*100</f>
        <v>#REF!</v>
      </c>
      <c r="J28" s="48" t="e">
        <f>(#REF!/#REF!)*100</f>
        <v>#REF!</v>
      </c>
      <c r="K28" s="37">
        <f>(B28/$B$7)*100</f>
        <v>1.2227380435886999</v>
      </c>
      <c r="L28" s="37">
        <f t="shared" si="6"/>
        <v>1.2516924550944841</v>
      </c>
      <c r="M28" s="37">
        <f t="shared" si="7"/>
        <v>0.98325843414387093</v>
      </c>
      <c r="N28" s="37">
        <f t="shared" si="11"/>
        <v>0.49222378946374662</v>
      </c>
      <c r="O28" s="37">
        <f t="shared" si="12"/>
        <v>0.39739922442331366</v>
      </c>
      <c r="P28" s="80">
        <f t="shared" si="13"/>
        <v>0.3479806853509908</v>
      </c>
      <c r="Q28" s="70" t="e">
        <f>((#REF!-#REF!)/#REF!)*100</f>
        <v>#REF!</v>
      </c>
      <c r="R28" s="70" t="e">
        <f>((#REF!-#REF!)/#REF!)*100</f>
        <v>#REF!</v>
      </c>
      <c r="S28" s="70" t="e">
        <f>((#REF!-#REF!)/#REF!)*100</f>
        <v>#REF!</v>
      </c>
      <c r="T28" s="70" t="e">
        <f>((B28-#REF!)/#REF!)*100</f>
        <v>#REF!</v>
      </c>
      <c r="U28" s="70">
        <f>((C28-B28)/B28)*100</f>
        <v>-6.6899968905658875</v>
      </c>
      <c r="V28" s="70">
        <f t="shared" si="14"/>
        <v>-31.702116276103109</v>
      </c>
      <c r="W28" s="70">
        <f t="shared" si="17"/>
        <v>-48.44160742220275</v>
      </c>
      <c r="X28" s="70">
        <f t="shared" si="9"/>
        <v>-26.308359889796918</v>
      </c>
      <c r="Y28" s="70">
        <f t="shared" si="10"/>
        <v>-7.8754976444244642</v>
      </c>
      <c r="Z28" s="65" t="s">
        <v>52</v>
      </c>
      <c r="AA28" s="73"/>
      <c r="AC28" s="72"/>
      <c r="AD28" s="72"/>
      <c r="AE28" s="72"/>
    </row>
    <row r="29" spans="1:31" s="49" customFormat="1" ht="15.75" customHeight="1" x14ac:dyDescent="0.4">
      <c r="A29" s="34" t="s">
        <v>23</v>
      </c>
      <c r="B29" s="35">
        <v>50915.216789999999</v>
      </c>
      <c r="C29" s="35">
        <v>133060.08717999986</v>
      </c>
      <c r="D29" s="35">
        <v>111586.6616500001</v>
      </c>
      <c r="E29" s="35">
        <v>108932.62434000001</v>
      </c>
      <c r="F29" s="35">
        <v>89993.123729999992</v>
      </c>
      <c r="G29" s="82">
        <v>93027.773229999992</v>
      </c>
      <c r="H29" s="47" t="e">
        <f>(#REF!/#REF!)*100</f>
        <v>#REF!</v>
      </c>
      <c r="I29" s="37" t="e">
        <f>(#REF!/#REF!)*100</f>
        <v>#REF!</v>
      </c>
      <c r="J29" s="48" t="e">
        <f>(#REF!/#REF!)*100</f>
        <v>#REF!</v>
      </c>
      <c r="K29" s="37">
        <f>(B29/$B$7)*100</f>
        <v>1.6594616254676866</v>
      </c>
      <c r="L29" s="37">
        <f t="shared" si="6"/>
        <v>4.7577698079123802</v>
      </c>
      <c r="M29" s="37">
        <f t="shared" si="7"/>
        <v>4.5891336553261599</v>
      </c>
      <c r="N29" s="37">
        <f t="shared" si="11"/>
        <v>4.3498265344524372</v>
      </c>
      <c r="O29" s="37">
        <f t="shared" si="12"/>
        <v>3.9370369574764683</v>
      </c>
      <c r="P29" s="80">
        <f t="shared" si="13"/>
        <v>3.8683499839541344</v>
      </c>
      <c r="Q29" s="70" t="e">
        <f>((#REF!-#REF!)/#REF!)*100</f>
        <v>#REF!</v>
      </c>
      <c r="R29" s="70" t="e">
        <f>((#REF!-#REF!)/#REF!)*100</f>
        <v>#REF!</v>
      </c>
      <c r="S29" s="70" t="e">
        <f>((#REF!-#REF!)/#REF!)*100</f>
        <v>#REF!</v>
      </c>
      <c r="T29" s="75" t="s">
        <v>59</v>
      </c>
      <c r="U29" s="75" t="s">
        <v>59</v>
      </c>
      <c r="V29" s="70">
        <f t="shared" si="14"/>
        <v>-16.138141786237618</v>
      </c>
      <c r="W29" s="70">
        <f t="shared" si="17"/>
        <v>-2.3784539036795218</v>
      </c>
      <c r="X29" s="70">
        <f t="shared" si="9"/>
        <v>-17.386435629133594</v>
      </c>
      <c r="Y29" s="70">
        <f t="shared" si="10"/>
        <v>3.3720904156018006</v>
      </c>
      <c r="Z29" s="65" t="s">
        <v>24</v>
      </c>
      <c r="AC29" s="72"/>
      <c r="AD29" s="72"/>
      <c r="AE29" s="72"/>
    </row>
    <row r="30" spans="1:31" s="29" customFormat="1" ht="15.75" customHeight="1" x14ac:dyDescent="0.4">
      <c r="A30" s="51" t="s">
        <v>20</v>
      </c>
      <c r="B30" s="52">
        <f t="shared" ref="B30:E30" si="20">SUM(B31:B33)</f>
        <v>8660.7910400000037</v>
      </c>
      <c r="C30" s="52">
        <f t="shared" si="20"/>
        <v>10606.267499999998</v>
      </c>
      <c r="D30" s="40">
        <f t="shared" si="20"/>
        <v>10720.342059999999</v>
      </c>
      <c r="E30" s="40">
        <f t="shared" si="20"/>
        <v>6404.0434399999976</v>
      </c>
      <c r="F30" s="40">
        <f t="shared" ref="F30:G30" si="21">SUM(F31:F33)</f>
        <v>10788.74735</v>
      </c>
      <c r="G30" s="41">
        <f t="shared" si="21"/>
        <v>9553.52045</v>
      </c>
      <c r="H30" s="53" t="e">
        <f>(#REF!/#REF!)*100</f>
        <v>#REF!</v>
      </c>
      <c r="I30" s="33" t="e">
        <f>(#REF!/#REF!)*100</f>
        <v>#REF!</v>
      </c>
      <c r="J30" s="54" t="e">
        <f>(#REF!/#REF!)*100</f>
        <v>#REF!</v>
      </c>
      <c r="K30" s="33">
        <f>(B30/$B$7)*100</f>
        <v>0.28227809451058178</v>
      </c>
      <c r="L30" s="33">
        <f t="shared" si="6"/>
        <v>0.37924354594686627</v>
      </c>
      <c r="M30" s="33">
        <f t="shared" si="7"/>
        <v>0.44088676743879024</v>
      </c>
      <c r="N30" s="33">
        <f t="shared" si="11"/>
        <v>0.2557220874083832</v>
      </c>
      <c r="O30" s="33">
        <f t="shared" si="12"/>
        <v>0.47198825067194172</v>
      </c>
      <c r="P30" s="79">
        <f t="shared" si="13"/>
        <v>0.39726158539872641</v>
      </c>
      <c r="Q30" s="1" t="e">
        <f>((#REF!-#REF!)/#REF!)*100</f>
        <v>#REF!</v>
      </c>
      <c r="R30" s="1" t="e">
        <f>((#REF!-#REF!)/#REF!)*100</f>
        <v>#REF!</v>
      </c>
      <c r="S30" s="1" t="e">
        <f>((#REF!-#REF!)/#REF!)*100</f>
        <v>#REF!</v>
      </c>
      <c r="T30" s="1" t="e">
        <f>((B30-#REF!)/#REF!)*100</f>
        <v>#REF!</v>
      </c>
      <c r="U30" s="1">
        <f>((C30-B30)/B30)*100</f>
        <v>22.46303427729384</v>
      </c>
      <c r="V30" s="1">
        <f t="shared" si="14"/>
        <v>1.0755391564468928</v>
      </c>
      <c r="W30" s="1">
        <f t="shared" si="17"/>
        <v>-40.262694938672524</v>
      </c>
      <c r="X30" s="1">
        <f t="shared" si="9"/>
        <v>68.467741530497861</v>
      </c>
      <c r="Y30" s="1">
        <f t="shared" si="10"/>
        <v>-11.449215186228265</v>
      </c>
      <c r="Z30" s="65" t="s">
        <v>34</v>
      </c>
      <c r="AC30" s="15"/>
      <c r="AD30" s="15"/>
      <c r="AE30" s="15"/>
    </row>
    <row r="31" spans="1:31" s="49" customFormat="1" ht="15.75" customHeight="1" x14ac:dyDescent="0.4">
      <c r="A31" s="42" t="s">
        <v>53</v>
      </c>
      <c r="B31" s="35">
        <v>0</v>
      </c>
      <c r="C31" s="35">
        <v>0</v>
      </c>
      <c r="D31" s="35">
        <v>106.59605999999999</v>
      </c>
      <c r="E31" s="35">
        <v>0</v>
      </c>
      <c r="F31" s="35">
        <v>0</v>
      </c>
      <c r="G31" s="82">
        <v>0</v>
      </c>
      <c r="H31" s="47" t="e">
        <f>(#REF!/#REF!)*100</f>
        <v>#REF!</v>
      </c>
      <c r="I31" s="37" t="e">
        <f>(#REF!/#REF!)*100</f>
        <v>#REF!</v>
      </c>
      <c r="J31" s="48" t="e">
        <f>(#REF!/#REF!)*100</f>
        <v>#REF!</v>
      </c>
      <c r="K31" s="37">
        <f>(B31/$B$7)*100</f>
        <v>0</v>
      </c>
      <c r="L31" s="37">
        <f>(C31/$B$7)*100</f>
        <v>0</v>
      </c>
      <c r="M31" s="37">
        <f t="shared" si="7"/>
        <v>4.3838892501823152E-3</v>
      </c>
      <c r="N31" s="37">
        <f t="shared" si="11"/>
        <v>0</v>
      </c>
      <c r="O31" s="37">
        <f t="shared" si="12"/>
        <v>0</v>
      </c>
      <c r="P31" s="80">
        <f t="shared" si="13"/>
        <v>0</v>
      </c>
      <c r="Q31" s="70" t="e">
        <f>((#REF!-#REF!)/#REF!)*100</f>
        <v>#REF!</v>
      </c>
      <c r="R31" s="70" t="e">
        <f>((#REF!-#REF!)/#REF!)*100</f>
        <v>#REF!</v>
      </c>
      <c r="S31" s="70">
        <v>0</v>
      </c>
      <c r="T31" s="70">
        <v>0</v>
      </c>
      <c r="U31" s="70">
        <v>0</v>
      </c>
      <c r="V31" s="70">
        <v>0</v>
      </c>
      <c r="W31" s="70">
        <v>1</v>
      </c>
      <c r="X31" s="70" t="s">
        <v>36</v>
      </c>
      <c r="Y31" s="70" t="s">
        <v>36</v>
      </c>
      <c r="Z31" s="65" t="s">
        <v>54</v>
      </c>
      <c r="AC31" s="72"/>
      <c r="AD31" s="72"/>
      <c r="AE31" s="72"/>
    </row>
    <row r="32" spans="1:31" s="49" customFormat="1" ht="15.75" customHeight="1" x14ac:dyDescent="0.4">
      <c r="A32" s="42" t="s">
        <v>55</v>
      </c>
      <c r="B32" s="35">
        <v>8302.9928800000034</v>
      </c>
      <c r="C32" s="35">
        <v>10142.288399999998</v>
      </c>
      <c r="D32" s="35">
        <v>9238.3579699999991</v>
      </c>
      <c r="E32" s="35">
        <v>6085.6477399999976</v>
      </c>
      <c r="F32" s="35">
        <v>5176.6779800000004</v>
      </c>
      <c r="G32" s="82">
        <v>6819.26253</v>
      </c>
      <c r="H32" s="47" t="e">
        <f>(#REF!/#REF!)*100</f>
        <v>#REF!</v>
      </c>
      <c r="I32" s="37" t="e">
        <f>(#REF!/#REF!)*100</f>
        <v>#REF!</v>
      </c>
      <c r="J32" s="48" t="e">
        <f>(#REF!/#REF!)*100</f>
        <v>#REF!</v>
      </c>
      <c r="K32" s="37">
        <f>(B32/$B$7)*100</f>
        <v>0.27061650582223584</v>
      </c>
      <c r="L32" s="37">
        <f>(C32/$C$7)*100</f>
        <v>0.36265325354388511</v>
      </c>
      <c r="M32" s="37">
        <f t="shared" si="7"/>
        <v>0.37993841605420609</v>
      </c>
      <c r="N32" s="37">
        <f t="shared" si="11"/>
        <v>0.24300811790010432</v>
      </c>
      <c r="O32" s="37">
        <f t="shared" si="12"/>
        <v>0.22647033105953318</v>
      </c>
      <c r="P32" s="80">
        <f t="shared" si="13"/>
        <v>0.28356364107829274</v>
      </c>
      <c r="Q32" s="70" t="e">
        <f>((#REF!-#REF!)/#REF!)*100</f>
        <v>#REF!</v>
      </c>
      <c r="R32" s="70" t="e">
        <f>((#REF!-#REF!)/#REF!)*100</f>
        <v>#REF!</v>
      </c>
      <c r="S32" s="70" t="e">
        <f>((#REF!-#REF!)/#REF!)*100</f>
        <v>#REF!</v>
      </c>
      <c r="T32" s="70" t="e">
        <f>((B32-#REF!)/#REF!)*100</f>
        <v>#REF!</v>
      </c>
      <c r="U32" s="70">
        <f>((C32-B32)/B32)*100</f>
        <v>22.152199171824336</v>
      </c>
      <c r="V32" s="70">
        <f>((D32-C32)/C32)*100</f>
        <v>-8.9124899071101016</v>
      </c>
      <c r="W32" s="70">
        <f>((E32-D32)/D32)*100</f>
        <v>-34.126305131689996</v>
      </c>
      <c r="X32" s="70">
        <f t="shared" si="9"/>
        <v>-14.936286141333538</v>
      </c>
      <c r="Y32" s="70">
        <f t="shared" si="10"/>
        <v>31.730475728760695</v>
      </c>
      <c r="Z32" s="65" t="s">
        <v>56</v>
      </c>
      <c r="AC32" s="72"/>
      <c r="AD32" s="72"/>
      <c r="AE32" s="72"/>
    </row>
    <row r="33" spans="1:31" s="49" customFormat="1" ht="15.75" customHeight="1" x14ac:dyDescent="0.4">
      <c r="A33" s="55" t="s">
        <v>57</v>
      </c>
      <c r="B33" s="56">
        <v>357.79816000000005</v>
      </c>
      <c r="C33" s="56">
        <v>463.97909999999996</v>
      </c>
      <c r="D33" s="56">
        <v>1375.3880300000001</v>
      </c>
      <c r="E33" s="56">
        <v>318.39570000000003</v>
      </c>
      <c r="F33" s="56">
        <v>5612.0693699999993</v>
      </c>
      <c r="G33" s="86">
        <v>2734.2579200000009</v>
      </c>
      <c r="H33" s="57" t="e">
        <f>(#REF!/#REF!)*100</f>
        <v>#REF!</v>
      </c>
      <c r="I33" s="58" t="e">
        <f>(#REF!/#REF!)*100</f>
        <v>#REF!</v>
      </c>
      <c r="J33" s="59" t="e">
        <f>(#REF!/#REF!)*100</f>
        <v>#REF!</v>
      </c>
      <c r="K33" s="58">
        <f>(B33/$B$7)*100</f>
        <v>1.1661588688345983E-2</v>
      </c>
      <c r="L33" s="58">
        <f>(C33/$C$7)*100</f>
        <v>1.6590292402981134E-2</v>
      </c>
      <c r="M33" s="58">
        <f t="shared" si="7"/>
        <v>5.6564462134401902E-2</v>
      </c>
      <c r="N33" s="58">
        <f t="shared" si="11"/>
        <v>1.2713969508278881E-2</v>
      </c>
      <c r="O33" s="58">
        <f t="shared" si="12"/>
        <v>0.24551791961240857</v>
      </c>
      <c r="P33" s="81">
        <f t="shared" si="13"/>
        <v>0.11369794432043367</v>
      </c>
      <c r="Q33" s="2" t="e">
        <f>((#REF!-#REF!)/#REF!)*100</f>
        <v>#REF!</v>
      </c>
      <c r="R33" s="2" t="e">
        <f>((#REF!-#REF!)/#REF!)*100</f>
        <v>#REF!</v>
      </c>
      <c r="S33" s="2" t="e">
        <f>((#REF!-#REF!)/#REF!)*100</f>
        <v>#REF!</v>
      </c>
      <c r="T33" s="76" t="s">
        <v>59</v>
      </c>
      <c r="U33" s="2">
        <f>((C33-B33)/B33)*100</f>
        <v>29.676211862017372</v>
      </c>
      <c r="V33" s="76" t="s">
        <v>59</v>
      </c>
      <c r="W33" s="76">
        <f>((E33-D33)/D33)*100</f>
        <v>-76.850481969077478</v>
      </c>
      <c r="X33" s="2" t="s">
        <v>59</v>
      </c>
      <c r="Y33" s="76">
        <f t="shared" si="10"/>
        <v>-51.278971450062436</v>
      </c>
      <c r="Z33" s="66" t="s">
        <v>24</v>
      </c>
      <c r="AC33" s="72"/>
      <c r="AD33" s="72"/>
      <c r="AE33" s="72"/>
    </row>
    <row r="34" spans="1:31" s="29" customFormat="1" ht="17.25" x14ac:dyDescent="0.35">
      <c r="A34" s="77" t="s">
        <v>60</v>
      </c>
      <c r="B34" s="60"/>
      <c r="C34" s="60"/>
      <c r="D34" s="68"/>
      <c r="E34" s="69"/>
      <c r="F34" s="69"/>
      <c r="G34" s="69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4" t="s">
        <v>38</v>
      </c>
      <c r="AA34" s="62"/>
      <c r="AC34" s="15"/>
      <c r="AD34" s="15"/>
      <c r="AE34" s="15"/>
    </row>
    <row r="35" spans="1:31" ht="19.5" x14ac:dyDescent="0.5">
      <c r="A35" s="3" t="s">
        <v>37</v>
      </c>
      <c r="K35" s="61"/>
      <c r="L35" s="61"/>
      <c r="Z35" s="5" t="s">
        <v>61</v>
      </c>
      <c r="AC35" s="15"/>
      <c r="AD35" s="15"/>
      <c r="AE35" s="15"/>
    </row>
    <row r="36" spans="1:31" x14ac:dyDescent="0.25">
      <c r="K36" s="61"/>
      <c r="L36" s="61"/>
      <c r="AC36" s="15"/>
      <c r="AD36" s="15"/>
      <c r="AE36" s="15"/>
    </row>
    <row r="37" spans="1:31" x14ac:dyDescent="0.25">
      <c r="K37" s="61"/>
      <c r="L37" s="61"/>
      <c r="AC37" s="15"/>
      <c r="AD37" s="15"/>
      <c r="AE37" s="15"/>
    </row>
    <row r="38" spans="1:31" x14ac:dyDescent="0.25">
      <c r="K38" s="61"/>
      <c r="L38" s="61"/>
      <c r="AC38" s="15"/>
      <c r="AD38" s="15"/>
      <c r="AE38" s="15"/>
    </row>
    <row r="39" spans="1:31" x14ac:dyDescent="0.25">
      <c r="K39" s="61"/>
      <c r="L39" s="61"/>
      <c r="AC39" s="15"/>
      <c r="AD39" s="15"/>
      <c r="AE39" s="15"/>
    </row>
    <row r="40" spans="1:31" x14ac:dyDescent="0.25">
      <c r="K40" s="61"/>
      <c r="L40" s="61"/>
      <c r="AC40" s="15"/>
      <c r="AD40" s="15"/>
      <c r="AE40" s="15"/>
    </row>
    <row r="41" spans="1:31" x14ac:dyDescent="0.25">
      <c r="K41" s="61"/>
      <c r="L41" s="61"/>
    </row>
    <row r="42" spans="1:31" x14ac:dyDescent="0.25">
      <c r="K42" s="61"/>
      <c r="L42" s="61"/>
    </row>
    <row r="43" spans="1:31" x14ac:dyDescent="0.25">
      <c r="K43" s="61"/>
      <c r="L43" s="61"/>
    </row>
    <row r="44" spans="1:31" x14ac:dyDescent="0.25">
      <c r="K44" s="61"/>
      <c r="L44" s="61"/>
    </row>
    <row r="45" spans="1:31" x14ac:dyDescent="0.25">
      <c r="K45" s="61"/>
      <c r="L45" s="61"/>
    </row>
  </sheetData>
  <mergeCells count="9">
    <mergeCell ref="A1:Z1"/>
    <mergeCell ref="A2:Z2"/>
    <mergeCell ref="A4:A6"/>
    <mergeCell ref="Z4:Z6"/>
    <mergeCell ref="H4:P4"/>
    <mergeCell ref="H5:P5"/>
    <mergeCell ref="Q4:Y4"/>
    <mergeCell ref="Q5:Y5"/>
    <mergeCell ref="C4:G4"/>
  </mergeCells>
  <pageMargins left="0.7" right="0.7" top="0.75" bottom="0.75" header="0.3" footer="0.3"/>
  <pageSetup scale="46" orientation="portrait" r:id="rId1"/>
  <ignoredErrors>
    <ignoredError sqref="C18:G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2023-07-20T05:27:00Z</cp:lastPrinted>
  <dcterms:created xsi:type="dcterms:W3CDTF">2019-12-05T04:01:34Z</dcterms:created>
  <dcterms:modified xsi:type="dcterms:W3CDTF">2023-07-20T05:31:57Z</dcterms:modified>
</cp:coreProperties>
</file>