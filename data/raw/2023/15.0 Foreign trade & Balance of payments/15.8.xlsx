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Foreign Trade &amp; BOP\"/>
    </mc:Choice>
  </mc:AlternateContent>
  <xr:revisionPtr revIDLastSave="0" documentId="13_ncr:1_{3AF8692F-7085-4574-8EF5-B6C5F7F1BDE4}" xr6:coauthVersionLast="47" xr6:coauthVersionMax="47" xr10:uidLastSave="{00000000-0000-0000-0000-000000000000}"/>
  <bookViews>
    <workbookView xWindow="-120" yWindow="-120" windowWidth="29040" windowHeight="15720" tabRatio="765" xr2:uid="{00000000-000D-0000-FFFF-FFFF00000000}"/>
  </bookViews>
  <sheets>
    <sheet name="15.8" sheetId="8" r:id="rId1"/>
  </sheets>
  <definedNames>
    <definedName name="_xlnm.Print_Area" localSheetId="0">'15.8'!$A$1:$Z$148</definedName>
    <definedName name="_xlnm.Print_Titles" localSheetId="0">'15.8'!$3:$5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8" l="1"/>
  <c r="B6" i="8" s="1"/>
  <c r="B15" i="8"/>
  <c r="B26" i="8"/>
  <c r="B29" i="8"/>
  <c r="B40" i="8"/>
  <c r="B45" i="8"/>
  <c r="B58" i="8"/>
  <c r="B62" i="8"/>
  <c r="B67" i="8"/>
  <c r="B72" i="8"/>
  <c r="B77" i="8"/>
  <c r="B92" i="8"/>
  <c r="B98" i="8"/>
  <c r="B103" i="8"/>
  <c r="B106" i="8"/>
  <c r="B119" i="8"/>
  <c r="B123" i="8"/>
  <c r="B129" i="8"/>
  <c r="B134" i="8"/>
  <c r="B137" i="8"/>
  <c r="B142" i="8"/>
  <c r="Y9" i="8" l="1"/>
  <c r="X10" i="8"/>
  <c r="Y10" i="8"/>
  <c r="X11" i="8"/>
  <c r="Y11" i="8"/>
  <c r="X12" i="8"/>
  <c r="Y12" i="8"/>
  <c r="X13" i="8"/>
  <c r="Y13" i="8"/>
  <c r="X16" i="8"/>
  <c r="Y16" i="8"/>
  <c r="X17" i="8"/>
  <c r="Y17" i="8"/>
  <c r="X18" i="8"/>
  <c r="Y18" i="8"/>
  <c r="X19" i="8"/>
  <c r="Y19" i="8"/>
  <c r="X20" i="8"/>
  <c r="Y20" i="8"/>
  <c r="X21" i="8"/>
  <c r="Y21" i="8"/>
  <c r="X22" i="8"/>
  <c r="Y22" i="8"/>
  <c r="X23" i="8"/>
  <c r="Y23" i="8"/>
  <c r="X24" i="8"/>
  <c r="Y24" i="8"/>
  <c r="X27" i="8"/>
  <c r="Y27" i="8"/>
  <c r="X30" i="8"/>
  <c r="Y30" i="8"/>
  <c r="X31" i="8"/>
  <c r="Y31" i="8"/>
  <c r="X32" i="8"/>
  <c r="Y32" i="8"/>
  <c r="X33" i="8"/>
  <c r="Y33" i="8"/>
  <c r="X34" i="8"/>
  <c r="Y34" i="8"/>
  <c r="X35" i="8"/>
  <c r="Y35" i="8"/>
  <c r="X36" i="8"/>
  <c r="Y36" i="8"/>
  <c r="X37" i="8"/>
  <c r="Y37" i="8"/>
  <c r="X38" i="8"/>
  <c r="Y38" i="8"/>
  <c r="X41" i="8"/>
  <c r="Y41" i="8"/>
  <c r="X42" i="8"/>
  <c r="X43" i="8"/>
  <c r="Y43" i="8"/>
  <c r="X46" i="8"/>
  <c r="Y46" i="8"/>
  <c r="X47" i="8"/>
  <c r="Y47" i="8"/>
  <c r="X48" i="8"/>
  <c r="Y48" i="8"/>
  <c r="X49" i="8"/>
  <c r="Y49" i="8"/>
  <c r="X50" i="8"/>
  <c r="Y50" i="8"/>
  <c r="X51" i="8"/>
  <c r="Y51" i="8"/>
  <c r="X52" i="8"/>
  <c r="Y52" i="8"/>
  <c r="X53" i="8"/>
  <c r="Y53" i="8"/>
  <c r="X54" i="8"/>
  <c r="Y54" i="8"/>
  <c r="X55" i="8"/>
  <c r="Y55" i="8"/>
  <c r="X56" i="8"/>
  <c r="Y56" i="8"/>
  <c r="X59" i="8"/>
  <c r="Y59" i="8"/>
  <c r="X60" i="8"/>
  <c r="Y60" i="8"/>
  <c r="Y63" i="8"/>
  <c r="X64" i="8"/>
  <c r="Y64" i="8"/>
  <c r="X65" i="8"/>
  <c r="X68" i="8"/>
  <c r="Y68" i="8"/>
  <c r="X69" i="8"/>
  <c r="Y69" i="8"/>
  <c r="X70" i="8"/>
  <c r="Y70" i="8"/>
  <c r="X73" i="8"/>
  <c r="Y73" i="8"/>
  <c r="X74" i="8"/>
  <c r="Y74" i="8"/>
  <c r="Y75" i="8"/>
  <c r="X78" i="8"/>
  <c r="Y78" i="8"/>
  <c r="Y79" i="8"/>
  <c r="X80" i="8"/>
  <c r="Y80" i="8"/>
  <c r="X81" i="8"/>
  <c r="Y81" i="8"/>
  <c r="X82" i="8"/>
  <c r="Y82" i="8"/>
  <c r="X83" i="8"/>
  <c r="Y83" i="8"/>
  <c r="X84" i="8"/>
  <c r="Y84" i="8"/>
  <c r="X85" i="8"/>
  <c r="Y85" i="8"/>
  <c r="X86" i="8"/>
  <c r="Y86" i="8"/>
  <c r="X87" i="8"/>
  <c r="Y87" i="8"/>
  <c r="X88" i="8"/>
  <c r="Y88" i="8"/>
  <c r="X89" i="8"/>
  <c r="Y89" i="8"/>
  <c r="X90" i="8"/>
  <c r="Y90" i="8"/>
  <c r="X93" i="8"/>
  <c r="Y93" i="8"/>
  <c r="X94" i="8"/>
  <c r="Y94" i="8"/>
  <c r="X95" i="8"/>
  <c r="Y95" i="8"/>
  <c r="Y96" i="8"/>
  <c r="X99" i="8"/>
  <c r="Y99" i="8"/>
  <c r="X100" i="8"/>
  <c r="Y100" i="8"/>
  <c r="X101" i="8"/>
  <c r="Y101" i="8"/>
  <c r="X104" i="8"/>
  <c r="Y104" i="8"/>
  <c r="X107" i="8"/>
  <c r="X108" i="8"/>
  <c r="Y108" i="8"/>
  <c r="X109" i="8"/>
  <c r="Y109" i="8"/>
  <c r="X111" i="8"/>
  <c r="Y111" i="8"/>
  <c r="X112" i="8"/>
  <c r="Y112" i="8"/>
  <c r="X113" i="8"/>
  <c r="Y113" i="8"/>
  <c r="X114" i="8"/>
  <c r="X115" i="8"/>
  <c r="Y115" i="8"/>
  <c r="X116" i="8"/>
  <c r="Y116" i="8"/>
  <c r="X117" i="8"/>
  <c r="Y117" i="8"/>
  <c r="X120" i="8"/>
  <c r="Y120" i="8"/>
  <c r="X121" i="8"/>
  <c r="Y121" i="8"/>
  <c r="X124" i="8"/>
  <c r="X125" i="8"/>
  <c r="Y125" i="8"/>
  <c r="X127" i="8"/>
  <c r="X130" i="8"/>
  <c r="Y130" i="8"/>
  <c r="X131" i="8"/>
  <c r="Y131" i="8"/>
  <c r="X132" i="8"/>
  <c r="Y132" i="8"/>
  <c r="X138" i="8"/>
  <c r="Y138" i="8"/>
  <c r="X139" i="8"/>
  <c r="Y139" i="8"/>
  <c r="X140" i="8"/>
  <c r="Y140" i="8"/>
  <c r="X143" i="8"/>
  <c r="Y143" i="8"/>
  <c r="F8" i="8"/>
  <c r="G8" i="8"/>
  <c r="F15" i="8"/>
  <c r="G15" i="8"/>
  <c r="F26" i="8"/>
  <c r="G26" i="8"/>
  <c r="F29" i="8"/>
  <c r="G29" i="8"/>
  <c r="F40" i="8"/>
  <c r="G40" i="8"/>
  <c r="F45" i="8"/>
  <c r="G45" i="8"/>
  <c r="F58" i="8"/>
  <c r="G58" i="8"/>
  <c r="F62" i="8"/>
  <c r="G62" i="8"/>
  <c r="F67" i="8"/>
  <c r="G67" i="8"/>
  <c r="F72" i="8"/>
  <c r="G72" i="8"/>
  <c r="F77" i="8"/>
  <c r="G77" i="8"/>
  <c r="F92" i="8"/>
  <c r="G92" i="8"/>
  <c r="F98" i="8"/>
  <c r="G98" i="8"/>
  <c r="F103" i="8"/>
  <c r="G103" i="8"/>
  <c r="F106" i="8"/>
  <c r="G106" i="8"/>
  <c r="F119" i="8"/>
  <c r="G119" i="8"/>
  <c r="F123" i="8"/>
  <c r="G123" i="8"/>
  <c r="F129" i="8"/>
  <c r="G129" i="8"/>
  <c r="F134" i="8"/>
  <c r="G134" i="8"/>
  <c r="F137" i="8"/>
  <c r="G137" i="8"/>
  <c r="F142" i="8"/>
  <c r="G142" i="8"/>
  <c r="Y15" i="8" l="1"/>
  <c r="Y26" i="8"/>
  <c r="Y142" i="8"/>
  <c r="Y119" i="8"/>
  <c r="Y106" i="8"/>
  <c r="Y98" i="8"/>
  <c r="Y92" i="8"/>
  <c r="Y77" i="8"/>
  <c r="Y72" i="8"/>
  <c r="Y67" i="8"/>
  <c r="Y62" i="8"/>
  <c r="Y58" i="8"/>
  <c r="Y45" i="8"/>
  <c r="Y40" i="8"/>
  <c r="Y29" i="8"/>
  <c r="Y137" i="8"/>
  <c r="Y129" i="8"/>
  <c r="Y103" i="8"/>
  <c r="Y8" i="8"/>
  <c r="G6" i="8"/>
  <c r="P103" i="8" s="1"/>
  <c r="F6" i="8"/>
  <c r="O92" i="8" s="1"/>
  <c r="P26" i="8" l="1"/>
  <c r="O62" i="8"/>
  <c r="O29" i="8"/>
  <c r="O119" i="8"/>
  <c r="O77" i="8"/>
  <c r="O123" i="8"/>
  <c r="P40" i="8"/>
  <c r="O67" i="8"/>
  <c r="P129" i="8"/>
  <c r="O8" i="8"/>
  <c r="P106" i="8"/>
  <c r="O15" i="8"/>
  <c r="P77" i="8"/>
  <c r="O58" i="8"/>
  <c r="O103" i="8"/>
  <c r="O72" i="8"/>
  <c r="P123" i="8"/>
  <c r="O98" i="8"/>
  <c r="O137" i="8"/>
  <c r="O134" i="8"/>
  <c r="P29" i="8"/>
  <c r="O45" i="8"/>
  <c r="P8" i="8"/>
  <c r="P15" i="8"/>
  <c r="P72" i="8"/>
  <c r="P58" i="8"/>
  <c r="P62" i="8"/>
  <c r="O12" i="8"/>
  <c r="O18" i="8"/>
  <c r="O24" i="8"/>
  <c r="O31" i="8"/>
  <c r="O37" i="8"/>
  <c r="O51" i="8"/>
  <c r="O65" i="8"/>
  <c r="O79" i="8"/>
  <c r="O85" i="8"/>
  <c r="O99" i="8"/>
  <c r="O112" i="8"/>
  <c r="O126" i="8"/>
  <c r="O143" i="8"/>
  <c r="O64" i="8"/>
  <c r="O84" i="8"/>
  <c r="O50" i="8"/>
  <c r="O13" i="8"/>
  <c r="O19" i="8"/>
  <c r="O32" i="8"/>
  <c r="O38" i="8"/>
  <c r="O46" i="8"/>
  <c r="O52" i="8"/>
  <c r="O59" i="8"/>
  <c r="O73" i="8"/>
  <c r="O80" i="8"/>
  <c r="O86" i="8"/>
  <c r="O93" i="8"/>
  <c r="O100" i="8"/>
  <c r="O107" i="8"/>
  <c r="O113" i="8"/>
  <c r="O120" i="8"/>
  <c r="O127" i="8"/>
  <c r="O135" i="8"/>
  <c r="O56" i="8"/>
  <c r="O104" i="8"/>
  <c r="O43" i="8"/>
  <c r="O111" i="8"/>
  <c r="O14" i="8"/>
  <c r="O20" i="8"/>
  <c r="O27" i="8"/>
  <c r="O33" i="8"/>
  <c r="O47" i="8"/>
  <c r="O53" i="8"/>
  <c r="O60" i="8"/>
  <c r="O68" i="8"/>
  <c r="O74" i="8"/>
  <c r="O81" i="8"/>
  <c r="O87" i="8"/>
  <c r="O94" i="8"/>
  <c r="O101" i="8"/>
  <c r="O108" i="8"/>
  <c r="O114" i="8"/>
  <c r="O121" i="8"/>
  <c r="O36" i="8"/>
  <c r="O30" i="8"/>
  <c r="O132" i="8"/>
  <c r="O9" i="8"/>
  <c r="O21" i="8"/>
  <c r="O28" i="8"/>
  <c r="O34" i="8"/>
  <c r="O41" i="8"/>
  <c r="O48" i="8"/>
  <c r="O54" i="8"/>
  <c r="O69" i="8"/>
  <c r="O75" i="8"/>
  <c r="O82" i="8"/>
  <c r="O88" i="8"/>
  <c r="O95" i="8"/>
  <c r="O102" i="8"/>
  <c r="O109" i="8"/>
  <c r="O115" i="8"/>
  <c r="O130" i="8"/>
  <c r="O138" i="8"/>
  <c r="O23" i="8"/>
  <c r="O125" i="8"/>
  <c r="O17" i="8"/>
  <c r="O117" i="8"/>
  <c r="O10" i="8"/>
  <c r="O16" i="8"/>
  <c r="O22" i="8"/>
  <c r="O35" i="8"/>
  <c r="O42" i="8"/>
  <c r="O49" i="8"/>
  <c r="O55" i="8"/>
  <c r="O63" i="8"/>
  <c r="O70" i="8"/>
  <c r="O83" i="8"/>
  <c r="O89" i="8"/>
  <c r="O96" i="8"/>
  <c r="O110" i="8"/>
  <c r="O116" i="8"/>
  <c r="O124" i="8"/>
  <c r="O131" i="8"/>
  <c r="O139" i="8"/>
  <c r="O11" i="8"/>
  <c r="O71" i="8"/>
  <c r="O78" i="8"/>
  <c r="O140" i="8"/>
  <c r="O90" i="8"/>
  <c r="P119" i="8"/>
  <c r="O129" i="8"/>
  <c r="P98" i="8"/>
  <c r="P11" i="8"/>
  <c r="P125" i="8"/>
  <c r="P12" i="8"/>
  <c r="P18" i="8"/>
  <c r="P24" i="8"/>
  <c r="P31" i="8"/>
  <c r="P37" i="8"/>
  <c r="P51" i="8"/>
  <c r="P65" i="8"/>
  <c r="P79" i="8"/>
  <c r="P85" i="8"/>
  <c r="P99" i="8"/>
  <c r="P112" i="8"/>
  <c r="P126" i="8"/>
  <c r="P143" i="8"/>
  <c r="P23" i="8"/>
  <c r="P111" i="8"/>
  <c r="P30" i="8"/>
  <c r="P64" i="8"/>
  <c r="P84" i="8"/>
  <c r="P132" i="8"/>
  <c r="P13" i="8"/>
  <c r="P19" i="8"/>
  <c r="P32" i="8"/>
  <c r="P38" i="8"/>
  <c r="P46" i="8"/>
  <c r="P52" i="8"/>
  <c r="P59" i="8"/>
  <c r="P73" i="8"/>
  <c r="P80" i="8"/>
  <c r="P86" i="8"/>
  <c r="P93" i="8"/>
  <c r="P100" i="8"/>
  <c r="P107" i="8"/>
  <c r="P113" i="8"/>
  <c r="P120" i="8"/>
  <c r="P127" i="8"/>
  <c r="P135" i="8"/>
  <c r="P140" i="8"/>
  <c r="Y6" i="8"/>
  <c r="P17" i="8"/>
  <c r="P117" i="8"/>
  <c r="P14" i="8"/>
  <c r="P20" i="8"/>
  <c r="P27" i="8"/>
  <c r="P33" i="8"/>
  <c r="P47" i="8"/>
  <c r="P53" i="8"/>
  <c r="P60" i="8"/>
  <c r="P68" i="8"/>
  <c r="P74" i="8"/>
  <c r="P81" i="8"/>
  <c r="P87" i="8"/>
  <c r="P94" i="8"/>
  <c r="P101" i="8"/>
  <c r="P108" i="8"/>
  <c r="P114" i="8"/>
  <c r="P121" i="8"/>
  <c r="P36" i="8"/>
  <c r="P56" i="8"/>
  <c r="P90" i="8"/>
  <c r="P9" i="8"/>
  <c r="P21" i="8"/>
  <c r="P28" i="8"/>
  <c r="P34" i="8"/>
  <c r="P41" i="8"/>
  <c r="P48" i="8"/>
  <c r="P54" i="8"/>
  <c r="P69" i="8"/>
  <c r="P75" i="8"/>
  <c r="P82" i="8"/>
  <c r="P88" i="8"/>
  <c r="P95" i="8"/>
  <c r="P102" i="8"/>
  <c r="P109" i="8"/>
  <c r="P115" i="8"/>
  <c r="P130" i="8"/>
  <c r="P138" i="8"/>
  <c r="P43" i="8"/>
  <c r="P71" i="8"/>
  <c r="P10" i="8"/>
  <c r="P16" i="8"/>
  <c r="P22" i="8"/>
  <c r="P35" i="8"/>
  <c r="P42" i="8"/>
  <c r="P49" i="8"/>
  <c r="P55" i="8"/>
  <c r="P63" i="8"/>
  <c r="P70" i="8"/>
  <c r="P83" i="8"/>
  <c r="P89" i="8"/>
  <c r="P96" i="8"/>
  <c r="P110" i="8"/>
  <c r="P116" i="8"/>
  <c r="P124" i="8"/>
  <c r="P131" i="8"/>
  <c r="P139" i="8"/>
  <c r="P50" i="8"/>
  <c r="P78" i="8"/>
  <c r="P104" i="8"/>
  <c r="P67" i="8"/>
  <c r="P45" i="8"/>
  <c r="P134" i="8"/>
  <c r="P137" i="8"/>
  <c r="O40" i="8"/>
  <c r="P92" i="8"/>
  <c r="O26" i="8"/>
  <c r="O106" i="8"/>
  <c r="W138" i="8"/>
  <c r="W139" i="8"/>
  <c r="W140" i="8"/>
  <c r="W143" i="8"/>
  <c r="W63" i="8"/>
  <c r="W135" i="8"/>
  <c r="W132" i="8"/>
  <c r="W131" i="8"/>
  <c r="W130" i="8"/>
  <c r="W127" i="8"/>
  <c r="W126" i="8"/>
  <c r="W125" i="8"/>
  <c r="W124" i="8"/>
  <c r="W121" i="8"/>
  <c r="W120" i="8"/>
  <c r="W117" i="8"/>
  <c r="W116" i="8"/>
  <c r="W115" i="8"/>
  <c r="W114" i="8"/>
  <c r="W113" i="8"/>
  <c r="W112" i="8"/>
  <c r="W111" i="8"/>
  <c r="W110" i="8"/>
  <c r="W109" i="8"/>
  <c r="W108" i="8"/>
  <c r="W107" i="8"/>
  <c r="W104" i="8"/>
  <c r="W101" i="8"/>
  <c r="W100" i="8"/>
  <c r="W99" i="8"/>
  <c r="W96" i="8"/>
  <c r="W95" i="8"/>
  <c r="W94" i="8"/>
  <c r="W93" i="8"/>
  <c r="W90" i="8"/>
  <c r="W89" i="8"/>
  <c r="W88" i="8"/>
  <c r="W87" i="8"/>
  <c r="W86" i="8"/>
  <c r="W85" i="8"/>
  <c r="W84" i="8"/>
  <c r="W83" i="8"/>
  <c r="W82" i="8"/>
  <c r="W81" i="8"/>
  <c r="W80" i="8"/>
  <c r="W79" i="8"/>
  <c r="W78" i="8"/>
  <c r="W75" i="8"/>
  <c r="W74" i="8"/>
  <c r="W73" i="8"/>
  <c r="W70" i="8"/>
  <c r="W69" i="8"/>
  <c r="W68" i="8"/>
  <c r="W65" i="8"/>
  <c r="W64" i="8"/>
  <c r="W60" i="8"/>
  <c r="W59" i="8"/>
  <c r="W56" i="8"/>
  <c r="W55" i="8"/>
  <c r="W54" i="8"/>
  <c r="W53" i="8"/>
  <c r="W52" i="8"/>
  <c r="W51" i="8"/>
  <c r="W50" i="8"/>
  <c r="W49" i="8"/>
  <c r="W48" i="8"/>
  <c r="W47" i="8"/>
  <c r="W46" i="8"/>
  <c r="W43" i="8"/>
  <c r="W42" i="8"/>
  <c r="W41" i="8"/>
  <c r="W38" i="8"/>
  <c r="W37" i="8"/>
  <c r="W36" i="8"/>
  <c r="W35" i="8"/>
  <c r="W34" i="8"/>
  <c r="W33" i="8"/>
  <c r="W32" i="8"/>
  <c r="W31" i="8"/>
  <c r="W30" i="8"/>
  <c r="W27" i="8"/>
  <c r="W24" i="8"/>
  <c r="W23" i="8"/>
  <c r="W22" i="8"/>
  <c r="W21" i="8"/>
  <c r="W20" i="8"/>
  <c r="W19" i="8"/>
  <c r="W18" i="8"/>
  <c r="W17" i="8"/>
  <c r="W16" i="8"/>
  <c r="W13" i="8"/>
  <c r="W12" i="8"/>
  <c r="W11" i="8"/>
  <c r="W10" i="8"/>
  <c r="W9" i="8"/>
  <c r="E8" i="8" l="1"/>
  <c r="E15" i="8"/>
  <c r="X15" i="8" s="1"/>
  <c r="E26" i="8"/>
  <c r="X26" i="8" s="1"/>
  <c r="E29" i="8"/>
  <c r="X29" i="8" s="1"/>
  <c r="E40" i="8"/>
  <c r="X40" i="8" s="1"/>
  <c r="E45" i="8"/>
  <c r="X45" i="8" s="1"/>
  <c r="E58" i="8"/>
  <c r="X58" i="8" s="1"/>
  <c r="E62" i="8"/>
  <c r="X62" i="8" s="1"/>
  <c r="E67" i="8"/>
  <c r="X67" i="8" s="1"/>
  <c r="E72" i="8"/>
  <c r="X72" i="8" s="1"/>
  <c r="E77" i="8"/>
  <c r="X77" i="8" s="1"/>
  <c r="E92" i="8"/>
  <c r="X92" i="8" s="1"/>
  <c r="E98" i="8"/>
  <c r="X98" i="8" s="1"/>
  <c r="E103" i="8"/>
  <c r="X103" i="8" s="1"/>
  <c r="E106" i="8"/>
  <c r="X106" i="8" s="1"/>
  <c r="E119" i="8"/>
  <c r="X119" i="8" s="1"/>
  <c r="E123" i="8"/>
  <c r="X123" i="8" s="1"/>
  <c r="E129" i="8"/>
  <c r="X129" i="8" s="1"/>
  <c r="E134" i="8"/>
  <c r="E137" i="8"/>
  <c r="X137" i="8" s="1"/>
  <c r="E142" i="8"/>
  <c r="X142" i="8" l="1"/>
  <c r="X8" i="8"/>
  <c r="E6" i="8"/>
  <c r="X6" i="8" s="1"/>
  <c r="N8" i="8" l="1"/>
  <c r="N62" i="8"/>
  <c r="N15" i="8"/>
  <c r="N77" i="8"/>
  <c r="N92" i="8"/>
  <c r="N98" i="8"/>
  <c r="N45" i="8"/>
  <c r="N67" i="8"/>
  <c r="N72" i="8"/>
  <c r="N22" i="8"/>
  <c r="N32" i="8"/>
  <c r="N41" i="8"/>
  <c r="N50" i="8"/>
  <c r="N59" i="8"/>
  <c r="N69" i="8"/>
  <c r="N79" i="8"/>
  <c r="N87" i="8"/>
  <c r="N96" i="8"/>
  <c r="N114" i="8"/>
  <c r="N124" i="8"/>
  <c r="N9" i="8"/>
  <c r="N18" i="8"/>
  <c r="N30" i="8"/>
  <c r="N94" i="8"/>
  <c r="N31" i="8"/>
  <c r="N68" i="8"/>
  <c r="N104" i="8"/>
  <c r="N143" i="8"/>
  <c r="N23" i="8"/>
  <c r="N33" i="8"/>
  <c r="N42" i="8"/>
  <c r="N51" i="8"/>
  <c r="N60" i="8"/>
  <c r="N70" i="8"/>
  <c r="N80" i="8"/>
  <c r="N88" i="8"/>
  <c r="N107" i="8"/>
  <c r="N115" i="8"/>
  <c r="N125" i="8"/>
  <c r="N135" i="8"/>
  <c r="N10" i="8"/>
  <c r="N38" i="8"/>
  <c r="N16" i="8"/>
  <c r="N49" i="8"/>
  <c r="N86" i="8"/>
  <c r="N132" i="8"/>
  <c r="N24" i="8"/>
  <c r="N34" i="8"/>
  <c r="N43" i="8"/>
  <c r="N52" i="8"/>
  <c r="N81" i="8"/>
  <c r="N89" i="8"/>
  <c r="N99" i="8"/>
  <c r="N108" i="8"/>
  <c r="N116" i="8"/>
  <c r="N126" i="8"/>
  <c r="N11" i="8"/>
  <c r="N35" i="8"/>
  <c r="N53" i="8"/>
  <c r="N63" i="8"/>
  <c r="N73" i="8"/>
  <c r="N82" i="8"/>
  <c r="N90" i="8"/>
  <c r="N100" i="8"/>
  <c r="N109" i="8"/>
  <c r="N117" i="8"/>
  <c r="N127" i="8"/>
  <c r="N138" i="8"/>
  <c r="N12" i="8"/>
  <c r="N48" i="8"/>
  <c r="N85" i="8"/>
  <c r="N131" i="8"/>
  <c r="N21" i="8"/>
  <c r="N78" i="8"/>
  <c r="N17" i="8"/>
  <c r="N27" i="8"/>
  <c r="N36" i="8"/>
  <c r="N46" i="8"/>
  <c r="N54" i="8"/>
  <c r="N64" i="8"/>
  <c r="N74" i="8"/>
  <c r="N83" i="8"/>
  <c r="N101" i="8"/>
  <c r="N110" i="8"/>
  <c r="N139" i="8"/>
  <c r="N13" i="8"/>
  <c r="N121" i="8"/>
  <c r="N113" i="8"/>
  <c r="N19" i="8"/>
  <c r="N37" i="8"/>
  <c r="N47" i="8"/>
  <c r="N55" i="8"/>
  <c r="N65" i="8"/>
  <c r="N75" i="8"/>
  <c r="N84" i="8"/>
  <c r="N93" i="8"/>
  <c r="N102" i="8"/>
  <c r="N111" i="8"/>
  <c r="N120" i="8"/>
  <c r="N130" i="8"/>
  <c r="N140" i="8"/>
  <c r="N20" i="8"/>
  <c r="N56" i="8"/>
  <c r="N112" i="8"/>
  <c r="N95" i="8"/>
  <c r="N129" i="8"/>
  <c r="N134" i="8"/>
  <c r="N137" i="8"/>
  <c r="N103" i="8"/>
  <c r="N123" i="8"/>
  <c r="N119" i="8"/>
  <c r="N58" i="8"/>
  <c r="N26" i="8"/>
  <c r="N29" i="8"/>
  <c r="N40" i="8"/>
  <c r="N106" i="8"/>
  <c r="V24" i="8" l="1"/>
  <c r="V23" i="8"/>
  <c r="V22" i="8"/>
  <c r="V21" i="8"/>
  <c r="V20" i="8"/>
  <c r="V19" i="8"/>
  <c r="V18" i="8"/>
  <c r="V17" i="8"/>
  <c r="V16" i="8"/>
  <c r="V13" i="8"/>
  <c r="V12" i="8"/>
  <c r="V11" i="8"/>
  <c r="V10" i="8"/>
  <c r="V9" i="8"/>
  <c r="V27" i="8"/>
  <c r="D62" i="8"/>
  <c r="W62" i="8" s="1"/>
  <c r="V140" i="8"/>
  <c r="V139" i="8"/>
  <c r="V138" i="8"/>
  <c r="V132" i="8"/>
  <c r="V131" i="8"/>
  <c r="V130" i="8"/>
  <c r="V127" i="8"/>
  <c r="V126" i="8"/>
  <c r="V125" i="8"/>
  <c r="V124" i="8"/>
  <c r="V121" i="8"/>
  <c r="V120" i="8"/>
  <c r="V117" i="8"/>
  <c r="V116" i="8"/>
  <c r="V115" i="8"/>
  <c r="V114" i="8"/>
  <c r="V113" i="8"/>
  <c r="V111" i="8"/>
  <c r="V110" i="8"/>
  <c r="V109" i="8"/>
  <c r="V108" i="8"/>
  <c r="V107" i="8"/>
  <c r="V104" i="8"/>
  <c r="V101" i="8"/>
  <c r="V100" i="8"/>
  <c r="V99" i="8"/>
  <c r="V96" i="8"/>
  <c r="V95" i="8"/>
  <c r="V94" i="8"/>
  <c r="V93" i="8"/>
  <c r="V90" i="8"/>
  <c r="V89" i="8"/>
  <c r="V88" i="8"/>
  <c r="V87" i="8"/>
  <c r="V86" i="8"/>
  <c r="V85" i="8"/>
  <c r="V84" i="8"/>
  <c r="V83" i="8"/>
  <c r="V82" i="8"/>
  <c r="V81" i="8"/>
  <c r="V80" i="8"/>
  <c r="V79" i="8"/>
  <c r="V78" i="8"/>
  <c r="V75" i="8"/>
  <c r="V74" i="8"/>
  <c r="V73" i="8"/>
  <c r="V70" i="8"/>
  <c r="V69" i="8"/>
  <c r="V68" i="8"/>
  <c r="V64" i="8"/>
  <c r="V63" i="8"/>
  <c r="V60" i="8"/>
  <c r="V59" i="8"/>
  <c r="V56" i="8"/>
  <c r="V55" i="8"/>
  <c r="V54" i="8"/>
  <c r="V53" i="8"/>
  <c r="V52" i="8"/>
  <c r="V51" i="8"/>
  <c r="V50" i="8"/>
  <c r="V49" i="8"/>
  <c r="V48" i="8"/>
  <c r="V47" i="8"/>
  <c r="V46" i="8"/>
  <c r="V43" i="8"/>
  <c r="V41" i="8"/>
  <c r="V38" i="8"/>
  <c r="V30" i="8"/>
  <c r="V31" i="8"/>
  <c r="V32" i="8"/>
  <c r="V33" i="8"/>
  <c r="V34" i="8"/>
  <c r="V35" i="8"/>
  <c r="V36" i="8"/>
  <c r="V37" i="8"/>
  <c r="D142" i="8" l="1"/>
  <c r="D137" i="8"/>
  <c r="W137" i="8" s="1"/>
  <c r="D134" i="8"/>
  <c r="W134" i="8" s="1"/>
  <c r="D129" i="8"/>
  <c r="W129" i="8" s="1"/>
  <c r="D123" i="8"/>
  <c r="W123" i="8" s="1"/>
  <c r="D119" i="8"/>
  <c r="W119" i="8" s="1"/>
  <c r="D106" i="8"/>
  <c r="W106" i="8" s="1"/>
  <c r="D103" i="8"/>
  <c r="W103" i="8" s="1"/>
  <c r="D98" i="8"/>
  <c r="W98" i="8" s="1"/>
  <c r="D92" i="8"/>
  <c r="W92" i="8" s="1"/>
  <c r="D77" i="8"/>
  <c r="W77" i="8" s="1"/>
  <c r="D72" i="8"/>
  <c r="W72" i="8" s="1"/>
  <c r="D67" i="8"/>
  <c r="W67" i="8" s="1"/>
  <c r="D58" i="8"/>
  <c r="W58" i="8" s="1"/>
  <c r="D45" i="8"/>
  <c r="W45" i="8" s="1"/>
  <c r="D40" i="8"/>
  <c r="W40" i="8" s="1"/>
  <c r="D29" i="8"/>
  <c r="W29" i="8" s="1"/>
  <c r="D26" i="8"/>
  <c r="W26" i="8" s="1"/>
  <c r="D15" i="8"/>
  <c r="W15" i="8" s="1"/>
  <c r="D8" i="8"/>
  <c r="W142" i="8" l="1"/>
  <c r="W8" i="8"/>
  <c r="D6" i="8"/>
  <c r="U143" i="8"/>
  <c r="T143" i="8"/>
  <c r="S143" i="8"/>
  <c r="R143" i="8"/>
  <c r="Q143" i="8"/>
  <c r="C142" i="8"/>
  <c r="U140" i="8"/>
  <c r="T140" i="8"/>
  <c r="S140" i="8"/>
  <c r="R140" i="8"/>
  <c r="Q140" i="8"/>
  <c r="U139" i="8"/>
  <c r="T139" i="8"/>
  <c r="S139" i="8"/>
  <c r="R139" i="8"/>
  <c r="Q139" i="8"/>
  <c r="U138" i="8"/>
  <c r="T138" i="8"/>
  <c r="S138" i="8"/>
  <c r="R138" i="8"/>
  <c r="Q138" i="8"/>
  <c r="C137" i="8"/>
  <c r="V137" i="8" s="1"/>
  <c r="S135" i="8"/>
  <c r="C134" i="8"/>
  <c r="U132" i="8"/>
  <c r="T132" i="8"/>
  <c r="S132" i="8"/>
  <c r="R132" i="8"/>
  <c r="Q132" i="8"/>
  <c r="U131" i="8"/>
  <c r="T131" i="8"/>
  <c r="S131" i="8"/>
  <c r="R131" i="8"/>
  <c r="Q131" i="8"/>
  <c r="U130" i="8"/>
  <c r="T130" i="8"/>
  <c r="S130" i="8"/>
  <c r="R130" i="8"/>
  <c r="Q130" i="8"/>
  <c r="C129" i="8"/>
  <c r="V129" i="8" s="1"/>
  <c r="U127" i="8"/>
  <c r="T127" i="8"/>
  <c r="S127" i="8"/>
  <c r="R127" i="8"/>
  <c r="Q127" i="8"/>
  <c r="U126" i="8"/>
  <c r="T126" i="8"/>
  <c r="S126" i="8"/>
  <c r="R126" i="8"/>
  <c r="Q126" i="8"/>
  <c r="U125" i="8"/>
  <c r="T125" i="8"/>
  <c r="S125" i="8"/>
  <c r="R125" i="8"/>
  <c r="Q125" i="8"/>
  <c r="U124" i="8"/>
  <c r="T124" i="8"/>
  <c r="R124" i="8"/>
  <c r="Q124" i="8"/>
  <c r="C123" i="8"/>
  <c r="V123" i="8" s="1"/>
  <c r="U121" i="8"/>
  <c r="T121" i="8"/>
  <c r="S121" i="8"/>
  <c r="R121" i="8"/>
  <c r="Q121" i="8"/>
  <c r="U120" i="8"/>
  <c r="T120" i="8"/>
  <c r="S120" i="8"/>
  <c r="R120" i="8"/>
  <c r="Q120" i="8"/>
  <c r="C119" i="8"/>
  <c r="V119" i="8" s="1"/>
  <c r="U117" i="8"/>
  <c r="T117" i="8"/>
  <c r="S117" i="8"/>
  <c r="R117" i="8"/>
  <c r="Q117" i="8"/>
  <c r="U116" i="8"/>
  <c r="T116" i="8"/>
  <c r="S116" i="8"/>
  <c r="R116" i="8"/>
  <c r="Q116" i="8"/>
  <c r="U115" i="8"/>
  <c r="T115" i="8"/>
  <c r="Q115" i="8"/>
  <c r="U114" i="8"/>
  <c r="S114" i="8"/>
  <c r="R114" i="8"/>
  <c r="Q114" i="8"/>
  <c r="U113" i="8"/>
  <c r="T113" i="8"/>
  <c r="R113" i="8"/>
  <c r="Q113" i="8"/>
  <c r="U112" i="8"/>
  <c r="T112" i="8"/>
  <c r="S112" i="8"/>
  <c r="R112" i="8"/>
  <c r="Q112" i="8"/>
  <c r="U111" i="8"/>
  <c r="T111" i="8"/>
  <c r="S111" i="8"/>
  <c r="R111" i="8"/>
  <c r="Q111" i="8"/>
  <c r="S110" i="8"/>
  <c r="R110" i="8"/>
  <c r="Q110" i="8"/>
  <c r="U109" i="8"/>
  <c r="T109" i="8"/>
  <c r="S109" i="8"/>
  <c r="R109" i="8"/>
  <c r="Q109" i="8"/>
  <c r="U108" i="8"/>
  <c r="T108" i="8"/>
  <c r="S108" i="8"/>
  <c r="R108" i="8"/>
  <c r="Q108" i="8"/>
  <c r="U107" i="8"/>
  <c r="T107" i="8"/>
  <c r="S107" i="8"/>
  <c r="R107" i="8"/>
  <c r="Q107" i="8"/>
  <c r="C106" i="8"/>
  <c r="V106" i="8" s="1"/>
  <c r="U104" i="8"/>
  <c r="T104" i="8"/>
  <c r="S104" i="8"/>
  <c r="R104" i="8"/>
  <c r="Q104" i="8"/>
  <c r="C103" i="8"/>
  <c r="V103" i="8" s="1"/>
  <c r="U101" i="8"/>
  <c r="T101" i="8"/>
  <c r="S101" i="8"/>
  <c r="R101" i="8"/>
  <c r="Q101" i="8"/>
  <c r="U100" i="8"/>
  <c r="T100" i="8"/>
  <c r="S100" i="8"/>
  <c r="R100" i="8"/>
  <c r="Q100" i="8"/>
  <c r="U99" i="8"/>
  <c r="T99" i="8"/>
  <c r="S99" i="8"/>
  <c r="R99" i="8"/>
  <c r="Q99" i="8"/>
  <c r="C98" i="8"/>
  <c r="V98" i="8" s="1"/>
  <c r="U96" i="8"/>
  <c r="T96" i="8"/>
  <c r="S96" i="8"/>
  <c r="Q96" i="8"/>
  <c r="U95" i="8"/>
  <c r="T95" i="8"/>
  <c r="S95" i="8"/>
  <c r="R95" i="8"/>
  <c r="Q95" i="8"/>
  <c r="U94" i="8"/>
  <c r="T94" i="8"/>
  <c r="S94" i="8"/>
  <c r="R94" i="8"/>
  <c r="Q94" i="8"/>
  <c r="U93" i="8"/>
  <c r="T93" i="8"/>
  <c r="S93" i="8"/>
  <c r="R93" i="8"/>
  <c r="Q93" i="8"/>
  <c r="C92" i="8"/>
  <c r="V92" i="8" s="1"/>
  <c r="U90" i="8"/>
  <c r="T90" i="8"/>
  <c r="S90" i="8"/>
  <c r="R90" i="8"/>
  <c r="Q90" i="8"/>
  <c r="U89" i="8"/>
  <c r="T89" i="8"/>
  <c r="S89" i="8"/>
  <c r="R89" i="8"/>
  <c r="Q89" i="8"/>
  <c r="U88" i="8"/>
  <c r="T88" i="8"/>
  <c r="S88" i="8"/>
  <c r="R88" i="8"/>
  <c r="Q88" i="8"/>
  <c r="U87" i="8"/>
  <c r="T87" i="8"/>
  <c r="S87" i="8"/>
  <c r="R87" i="8"/>
  <c r="Q87" i="8"/>
  <c r="U86" i="8"/>
  <c r="T86" i="8"/>
  <c r="S86" i="8"/>
  <c r="R86" i="8"/>
  <c r="Q86" i="8"/>
  <c r="T85" i="8"/>
  <c r="S85" i="8"/>
  <c r="R85" i="8"/>
  <c r="Q85" i="8"/>
  <c r="U84" i="8"/>
  <c r="T84" i="8"/>
  <c r="S84" i="8"/>
  <c r="R84" i="8"/>
  <c r="Q84" i="8"/>
  <c r="U83" i="8"/>
  <c r="T83" i="8"/>
  <c r="S83" i="8"/>
  <c r="R83" i="8"/>
  <c r="Q83" i="8"/>
  <c r="U82" i="8"/>
  <c r="T82" i="8"/>
  <c r="S82" i="8"/>
  <c r="R82" i="8"/>
  <c r="Q82" i="8"/>
  <c r="U81" i="8"/>
  <c r="T81" i="8"/>
  <c r="S81" i="8"/>
  <c r="R81" i="8"/>
  <c r="Q81" i="8"/>
  <c r="U80" i="8"/>
  <c r="T80" i="8"/>
  <c r="S80" i="8"/>
  <c r="R80" i="8"/>
  <c r="Q80" i="8"/>
  <c r="U79" i="8"/>
  <c r="T79" i="8"/>
  <c r="S79" i="8"/>
  <c r="Q79" i="8"/>
  <c r="U78" i="8"/>
  <c r="T78" i="8"/>
  <c r="S78" i="8"/>
  <c r="R78" i="8"/>
  <c r="Q78" i="8"/>
  <c r="C77" i="8"/>
  <c r="V77" i="8" s="1"/>
  <c r="U75" i="8"/>
  <c r="T75" i="8"/>
  <c r="S75" i="8"/>
  <c r="R75" i="8"/>
  <c r="Q75" i="8"/>
  <c r="U74" i="8"/>
  <c r="T74" i="8"/>
  <c r="S74" i="8"/>
  <c r="R74" i="8"/>
  <c r="Q74" i="8"/>
  <c r="U73" i="8"/>
  <c r="T73" i="8"/>
  <c r="S73" i="8"/>
  <c r="R73" i="8"/>
  <c r="Q73" i="8"/>
  <c r="C72" i="8"/>
  <c r="S70" i="8"/>
  <c r="R70" i="8"/>
  <c r="Q70" i="8"/>
  <c r="U69" i="8"/>
  <c r="T69" i="8"/>
  <c r="S69" i="8"/>
  <c r="R69" i="8"/>
  <c r="Q69" i="8"/>
  <c r="U68" i="8"/>
  <c r="T68" i="8"/>
  <c r="S68" i="8"/>
  <c r="R68" i="8"/>
  <c r="Q68" i="8"/>
  <c r="C67" i="8"/>
  <c r="U64" i="8"/>
  <c r="T64" i="8"/>
  <c r="S64" i="8"/>
  <c r="R64" i="8"/>
  <c r="Q64" i="8"/>
  <c r="U63" i="8"/>
  <c r="T63" i="8"/>
  <c r="S63" i="8"/>
  <c r="Q63" i="8"/>
  <c r="C62" i="8"/>
  <c r="V62" i="8" s="1"/>
  <c r="U60" i="8"/>
  <c r="T60" i="8"/>
  <c r="S60" i="8"/>
  <c r="R60" i="8"/>
  <c r="Q60" i="8"/>
  <c r="U59" i="8"/>
  <c r="T59" i="8"/>
  <c r="S59" i="8"/>
  <c r="R59" i="8"/>
  <c r="Q59" i="8"/>
  <c r="C58" i="8"/>
  <c r="V58" i="8" s="1"/>
  <c r="U56" i="8"/>
  <c r="T56" i="8"/>
  <c r="S56" i="8"/>
  <c r="R56" i="8"/>
  <c r="Q56" i="8"/>
  <c r="U55" i="8"/>
  <c r="T55" i="8"/>
  <c r="S55" i="8"/>
  <c r="R55" i="8"/>
  <c r="Q55" i="8"/>
  <c r="U54" i="8"/>
  <c r="T54" i="8"/>
  <c r="S54" i="8"/>
  <c r="Q54" i="8"/>
  <c r="U53" i="8"/>
  <c r="T53" i="8"/>
  <c r="S53" i="8"/>
  <c r="R53" i="8"/>
  <c r="Q53" i="8"/>
  <c r="U52" i="8"/>
  <c r="T52" i="8"/>
  <c r="S52" i="8"/>
  <c r="R52" i="8"/>
  <c r="Q52" i="8"/>
  <c r="U51" i="8"/>
  <c r="T51" i="8"/>
  <c r="S51" i="8"/>
  <c r="R51" i="8"/>
  <c r="Q51" i="8"/>
  <c r="U50" i="8"/>
  <c r="T50" i="8"/>
  <c r="S50" i="8"/>
  <c r="R50" i="8"/>
  <c r="Q50" i="8"/>
  <c r="U49" i="8"/>
  <c r="T49" i="8"/>
  <c r="S49" i="8"/>
  <c r="R49" i="8"/>
  <c r="Q49" i="8"/>
  <c r="U48" i="8"/>
  <c r="T48" i="8"/>
  <c r="S48" i="8"/>
  <c r="R48" i="8"/>
  <c r="Q48" i="8"/>
  <c r="U47" i="8"/>
  <c r="T47" i="8"/>
  <c r="R47" i="8"/>
  <c r="Q47" i="8"/>
  <c r="U46" i="8"/>
  <c r="T46" i="8"/>
  <c r="R46" i="8"/>
  <c r="Q46" i="8"/>
  <c r="C45" i="8"/>
  <c r="U43" i="8"/>
  <c r="T43" i="8"/>
  <c r="S43" i="8"/>
  <c r="R43" i="8"/>
  <c r="Q43" i="8"/>
  <c r="U42" i="8"/>
  <c r="R42" i="8"/>
  <c r="Q42" i="8"/>
  <c r="U41" i="8"/>
  <c r="T41" i="8"/>
  <c r="S41" i="8"/>
  <c r="R41" i="8"/>
  <c r="Q41" i="8"/>
  <c r="C40" i="8"/>
  <c r="U38" i="8"/>
  <c r="T38" i="8"/>
  <c r="S38" i="8"/>
  <c r="R38" i="8"/>
  <c r="Q38" i="8"/>
  <c r="U37" i="8"/>
  <c r="T37" i="8"/>
  <c r="S37" i="8"/>
  <c r="R37" i="8"/>
  <c r="Q37" i="8"/>
  <c r="U36" i="8"/>
  <c r="T36" i="8"/>
  <c r="S36" i="8"/>
  <c r="R36" i="8"/>
  <c r="Q36" i="8"/>
  <c r="U35" i="8"/>
  <c r="T35" i="8"/>
  <c r="S35" i="8"/>
  <c r="R35" i="8"/>
  <c r="Q35" i="8"/>
  <c r="U34" i="8"/>
  <c r="T34" i="8"/>
  <c r="S34" i="8"/>
  <c r="R34" i="8"/>
  <c r="Q34" i="8"/>
  <c r="U33" i="8"/>
  <c r="T33" i="8"/>
  <c r="S33" i="8"/>
  <c r="R33" i="8"/>
  <c r="Q33" i="8"/>
  <c r="U32" i="8"/>
  <c r="T32" i="8"/>
  <c r="S32" i="8"/>
  <c r="R32" i="8"/>
  <c r="Q32" i="8"/>
  <c r="U31" i="8"/>
  <c r="T31" i="8"/>
  <c r="S31" i="8"/>
  <c r="R31" i="8"/>
  <c r="Q31" i="8"/>
  <c r="U30" i="8"/>
  <c r="T30" i="8"/>
  <c r="S30" i="8"/>
  <c r="R30" i="8"/>
  <c r="Q30" i="8"/>
  <c r="C29" i="8"/>
  <c r="U27" i="8"/>
  <c r="T27" i="8"/>
  <c r="S27" i="8"/>
  <c r="R27" i="8"/>
  <c r="Q27" i="8"/>
  <c r="C26" i="8"/>
  <c r="T24" i="8"/>
  <c r="S24" i="8"/>
  <c r="R24" i="8"/>
  <c r="Q24" i="8"/>
  <c r="U23" i="8"/>
  <c r="S23" i="8"/>
  <c r="R23" i="8"/>
  <c r="Q23" i="8"/>
  <c r="U22" i="8"/>
  <c r="T22" i="8"/>
  <c r="S22" i="8"/>
  <c r="R22" i="8"/>
  <c r="Q22" i="8"/>
  <c r="U21" i="8"/>
  <c r="T21" i="8"/>
  <c r="S21" i="8"/>
  <c r="R21" i="8"/>
  <c r="Q21" i="8"/>
  <c r="U20" i="8"/>
  <c r="T20" i="8"/>
  <c r="S20" i="8"/>
  <c r="R20" i="8"/>
  <c r="Q20" i="8"/>
  <c r="U19" i="8"/>
  <c r="T19" i="8"/>
  <c r="S19" i="8"/>
  <c r="R19" i="8"/>
  <c r="Q19" i="8"/>
  <c r="U18" i="8"/>
  <c r="T18" i="8"/>
  <c r="S18" i="8"/>
  <c r="R18" i="8"/>
  <c r="Q18" i="8"/>
  <c r="U17" i="8"/>
  <c r="T17" i="8"/>
  <c r="S17" i="8"/>
  <c r="R17" i="8"/>
  <c r="Q17" i="8"/>
  <c r="U16" i="8"/>
  <c r="T16" i="8"/>
  <c r="S16" i="8"/>
  <c r="R16" i="8"/>
  <c r="Q16" i="8"/>
  <c r="C15" i="8"/>
  <c r="V15" i="8" s="1"/>
  <c r="U13" i="8"/>
  <c r="T13" i="8"/>
  <c r="S13" i="8"/>
  <c r="R13" i="8"/>
  <c r="Q13" i="8"/>
  <c r="U12" i="8"/>
  <c r="T12" i="8"/>
  <c r="S12" i="8"/>
  <c r="R12" i="8"/>
  <c r="Q12" i="8"/>
  <c r="U11" i="8"/>
  <c r="T11" i="8"/>
  <c r="S11" i="8"/>
  <c r="R11" i="8"/>
  <c r="Q11" i="8"/>
  <c r="U10" i="8"/>
  <c r="T10" i="8"/>
  <c r="S10" i="8"/>
  <c r="R10" i="8"/>
  <c r="Q10" i="8"/>
  <c r="U9" i="8"/>
  <c r="T9" i="8"/>
  <c r="S9" i="8"/>
  <c r="R9" i="8"/>
  <c r="Q9" i="8"/>
  <c r="C8" i="8"/>
  <c r="V8" i="8" s="1"/>
  <c r="W6" i="8" l="1"/>
  <c r="M8" i="8"/>
  <c r="T135" i="8"/>
  <c r="U135" i="8"/>
  <c r="Q45" i="8"/>
  <c r="U26" i="8"/>
  <c r="R45" i="8"/>
  <c r="U67" i="8"/>
  <c r="S72" i="8"/>
  <c r="U72" i="8"/>
  <c r="Q92" i="8"/>
  <c r="S103" i="8"/>
  <c r="S119" i="8"/>
  <c r="S134" i="8"/>
  <c r="U45" i="8"/>
  <c r="R8" i="8"/>
  <c r="U40" i="8"/>
  <c r="S58" i="8"/>
  <c r="S62" i="8"/>
  <c r="S92" i="8"/>
  <c r="Q98" i="8"/>
  <c r="T103" i="8"/>
  <c r="T123" i="8"/>
  <c r="R129" i="8"/>
  <c r="Q72" i="8"/>
  <c r="Q15" i="8"/>
  <c r="T77" i="8"/>
  <c r="S98" i="8"/>
  <c r="U29" i="8"/>
  <c r="V29" i="8"/>
  <c r="M40" i="8"/>
  <c r="V45" i="8"/>
  <c r="S8" i="8"/>
  <c r="Q67" i="8"/>
  <c r="Q123" i="8"/>
  <c r="V40" i="8"/>
  <c r="V26" i="8"/>
  <c r="V72" i="8"/>
  <c r="Q106" i="8"/>
  <c r="V67" i="8"/>
  <c r="M15" i="8"/>
  <c r="U15" i="8"/>
  <c r="R26" i="8"/>
  <c r="T40" i="8"/>
  <c r="R72" i="8"/>
  <c r="S77" i="8"/>
  <c r="T92" i="8"/>
  <c r="U103" i="8"/>
  <c r="U119" i="8"/>
  <c r="M77" i="8"/>
  <c r="M67" i="8"/>
  <c r="T26" i="8"/>
  <c r="R62" i="8"/>
  <c r="R67" i="8"/>
  <c r="T98" i="8"/>
  <c r="T106" i="8"/>
  <c r="M29" i="8"/>
  <c r="M106" i="8"/>
  <c r="U106" i="8"/>
  <c r="M119" i="8"/>
  <c r="T58" i="8"/>
  <c r="M129" i="8"/>
  <c r="M58" i="8"/>
  <c r="M137" i="8"/>
  <c r="M72" i="8"/>
  <c r="M103" i="8"/>
  <c r="Q26" i="8"/>
  <c r="S40" i="8"/>
  <c r="Q129" i="8"/>
  <c r="T137" i="8"/>
  <c r="M92" i="8"/>
  <c r="M10" i="8"/>
  <c r="M19" i="8"/>
  <c r="M37" i="8"/>
  <c r="M47" i="8"/>
  <c r="M55" i="8"/>
  <c r="M64" i="8"/>
  <c r="M73" i="8"/>
  <c r="M82" i="8"/>
  <c r="M90" i="8"/>
  <c r="M100" i="8"/>
  <c r="M109" i="8"/>
  <c r="M117" i="8"/>
  <c r="M127" i="8"/>
  <c r="M138" i="8"/>
  <c r="M114" i="8"/>
  <c r="M17" i="8"/>
  <c r="M11" i="8"/>
  <c r="M20" i="8"/>
  <c r="M30" i="8"/>
  <c r="M38" i="8"/>
  <c r="M48" i="8"/>
  <c r="M56" i="8"/>
  <c r="M65" i="8"/>
  <c r="M74" i="8"/>
  <c r="M83" i="8"/>
  <c r="M101" i="8"/>
  <c r="M110" i="8"/>
  <c r="M139" i="8"/>
  <c r="M52" i="8"/>
  <c r="M134" i="8"/>
  <c r="M62" i="8"/>
  <c r="M107" i="8"/>
  <c r="M12" i="8"/>
  <c r="M21" i="8"/>
  <c r="M31" i="8"/>
  <c r="M49" i="8"/>
  <c r="M75" i="8"/>
  <c r="M84" i="8"/>
  <c r="M93" i="8"/>
  <c r="M102" i="8"/>
  <c r="M111" i="8"/>
  <c r="M120" i="8"/>
  <c r="M130" i="8"/>
  <c r="M140" i="8"/>
  <c r="M24" i="8"/>
  <c r="M87" i="8"/>
  <c r="M35" i="8"/>
  <c r="M98" i="8"/>
  <c r="M13" i="8"/>
  <c r="M22" i="8"/>
  <c r="M32" i="8"/>
  <c r="M41" i="8"/>
  <c r="M50" i="8"/>
  <c r="M59" i="8"/>
  <c r="M68" i="8"/>
  <c r="M85" i="8"/>
  <c r="M94" i="8"/>
  <c r="M112" i="8"/>
  <c r="M121" i="8"/>
  <c r="M131" i="8"/>
  <c r="M34" i="8"/>
  <c r="M70" i="8"/>
  <c r="M79" i="8"/>
  <c r="M124" i="8"/>
  <c r="M53" i="8"/>
  <c r="M88" i="8"/>
  <c r="M135" i="8"/>
  <c r="M23" i="8"/>
  <c r="M33" i="8"/>
  <c r="M42" i="8"/>
  <c r="M51" i="8"/>
  <c r="M60" i="8"/>
  <c r="M69" i="8"/>
  <c r="M78" i="8"/>
  <c r="M86" i="8"/>
  <c r="M95" i="8"/>
  <c r="M104" i="8"/>
  <c r="M113" i="8"/>
  <c r="M132" i="8"/>
  <c r="M143" i="8"/>
  <c r="M16" i="8"/>
  <c r="M96" i="8"/>
  <c r="M9" i="8"/>
  <c r="M45" i="8"/>
  <c r="M80" i="8"/>
  <c r="M125" i="8"/>
  <c r="M18" i="8"/>
  <c r="M27" i="8"/>
  <c r="M36" i="8"/>
  <c r="M46" i="8"/>
  <c r="M54" i="8"/>
  <c r="M63" i="8"/>
  <c r="M81" i="8"/>
  <c r="M89" i="8"/>
  <c r="M99" i="8"/>
  <c r="M108" i="8"/>
  <c r="M116" i="8"/>
  <c r="M126" i="8"/>
  <c r="M43" i="8"/>
  <c r="M26" i="8"/>
  <c r="M115" i="8"/>
  <c r="M123" i="8"/>
  <c r="I143" i="8"/>
  <c r="S129" i="8"/>
  <c r="J131" i="8"/>
  <c r="Q29" i="8"/>
  <c r="Q58" i="8"/>
  <c r="T62" i="8"/>
  <c r="S67" i="8"/>
  <c r="T72" i="8"/>
  <c r="U77" i="8"/>
  <c r="R106" i="8"/>
  <c r="R123" i="8"/>
  <c r="S123" i="8"/>
  <c r="U137" i="8"/>
  <c r="Q8" i="8"/>
  <c r="S26" i="8"/>
  <c r="R29" i="8"/>
  <c r="R58" i="8"/>
  <c r="U62" i="8"/>
  <c r="T67" i="8"/>
  <c r="R92" i="8"/>
  <c r="R98" i="8"/>
  <c r="S106" i="8"/>
  <c r="T129" i="8"/>
  <c r="U92" i="8"/>
  <c r="U98" i="8"/>
  <c r="Q119" i="8"/>
  <c r="T8" i="8"/>
  <c r="R15" i="8"/>
  <c r="S45" i="8"/>
  <c r="C6" i="8"/>
  <c r="U8" i="8"/>
  <c r="S15" i="8"/>
  <c r="Q40" i="8"/>
  <c r="U58" i="8"/>
  <c r="T15" i="8"/>
  <c r="U123" i="8"/>
  <c r="U129" i="8"/>
  <c r="S142" i="8"/>
  <c r="R142" i="8"/>
  <c r="H77" i="8"/>
  <c r="T29" i="8"/>
  <c r="S29" i="8"/>
  <c r="Q77" i="8"/>
  <c r="Q103" i="8"/>
  <c r="Q142" i="8"/>
  <c r="R40" i="8"/>
  <c r="T45" i="8"/>
  <c r="Q62" i="8"/>
  <c r="R77" i="8"/>
  <c r="R103" i="8"/>
  <c r="R119" i="8"/>
  <c r="Q137" i="8"/>
  <c r="R137" i="8"/>
  <c r="T142" i="8"/>
  <c r="T119" i="8"/>
  <c r="S137" i="8"/>
  <c r="U142" i="8"/>
  <c r="L72" i="8" l="1"/>
  <c r="O142" i="8"/>
  <c r="P142" i="8"/>
  <c r="N142" i="8"/>
  <c r="N6" i="8" s="1"/>
  <c r="M142" i="8"/>
  <c r="L142" i="8"/>
  <c r="V6" i="8"/>
  <c r="U134" i="8"/>
  <c r="T134" i="8"/>
  <c r="J98" i="8"/>
  <c r="J17" i="8"/>
  <c r="J72" i="8"/>
  <c r="J13" i="8"/>
  <c r="J96" i="8"/>
  <c r="J120" i="8"/>
  <c r="J113" i="8"/>
  <c r="J58" i="8"/>
  <c r="J114" i="8"/>
  <c r="J77" i="8"/>
  <c r="J79" i="8"/>
  <c r="J134" i="8"/>
  <c r="J11" i="8"/>
  <c r="J37" i="8"/>
  <c r="J45" i="8"/>
  <c r="J16" i="8"/>
  <c r="J53" i="8"/>
  <c r="J20" i="8"/>
  <c r="J130" i="8"/>
  <c r="J142" i="8"/>
  <c r="I29" i="8"/>
  <c r="J95" i="8"/>
  <c r="J83" i="8"/>
  <c r="J117" i="8"/>
  <c r="J10" i="8"/>
  <c r="J80" i="8"/>
  <c r="J123" i="8"/>
  <c r="J30" i="8"/>
  <c r="J41" i="8"/>
  <c r="J107" i="8"/>
  <c r="J84" i="8"/>
  <c r="J119" i="8"/>
  <c r="J12" i="8"/>
  <c r="J55" i="8"/>
  <c r="J36" i="8"/>
  <c r="J121" i="8"/>
  <c r="J100" i="8"/>
  <c r="J70" i="8"/>
  <c r="J59" i="8"/>
  <c r="J40" i="8"/>
  <c r="J63" i="8"/>
  <c r="J46" i="8"/>
  <c r="J24" i="8"/>
  <c r="J135" i="8"/>
  <c r="J50" i="8"/>
  <c r="H103" i="8"/>
  <c r="J18" i="8"/>
  <c r="J78" i="8"/>
  <c r="J42" i="8"/>
  <c r="J127" i="8"/>
  <c r="J108" i="8"/>
  <c r="J75" i="8"/>
  <c r="J67" i="8"/>
  <c r="J35" i="8"/>
  <c r="J99" i="8"/>
  <c r="J129" i="8"/>
  <c r="I58" i="8"/>
  <c r="H137" i="8"/>
  <c r="J9" i="8"/>
  <c r="J90" i="8"/>
  <c r="J56" i="8"/>
  <c r="J33" i="8"/>
  <c r="J124" i="8"/>
  <c r="J89" i="8"/>
  <c r="I92" i="8"/>
  <c r="I43" i="8"/>
  <c r="I123" i="8"/>
  <c r="I77" i="8"/>
  <c r="H142" i="8"/>
  <c r="I11" i="8"/>
  <c r="I17" i="8"/>
  <c r="I82" i="8"/>
  <c r="I78" i="8"/>
  <c r="I9" i="8"/>
  <c r="I63" i="8"/>
  <c r="I56" i="8"/>
  <c r="I107" i="8"/>
  <c r="I37" i="8"/>
  <c r="I80" i="8"/>
  <c r="I124" i="8"/>
  <c r="I50" i="8"/>
  <c r="I95" i="8"/>
  <c r="I40" i="8"/>
  <c r="I106" i="8"/>
  <c r="I8" i="8"/>
  <c r="I26" i="8"/>
  <c r="I19" i="8"/>
  <c r="I10" i="8"/>
  <c r="I138" i="8"/>
  <c r="I73" i="8"/>
  <c r="I115" i="8"/>
  <c r="I45" i="8"/>
  <c r="I88" i="8"/>
  <c r="I65" i="8"/>
  <c r="I60" i="8"/>
  <c r="I109" i="8"/>
  <c r="I23" i="8"/>
  <c r="I84" i="8"/>
  <c r="I101" i="8"/>
  <c r="I27" i="8"/>
  <c r="I12" i="8"/>
  <c r="I67" i="8"/>
  <c r="I47" i="8"/>
  <c r="I16" i="8"/>
  <c r="I32" i="8"/>
  <c r="I79" i="8"/>
  <c r="I121" i="8"/>
  <c r="I49" i="8"/>
  <c r="I94" i="8"/>
  <c r="I140" i="8"/>
  <c r="I70" i="8"/>
  <c r="I113" i="8"/>
  <c r="I135" i="8"/>
  <c r="I137" i="8"/>
  <c r="I62" i="8"/>
  <c r="I18" i="8"/>
  <c r="I21" i="8"/>
  <c r="I126" i="8"/>
  <c r="I36" i="8"/>
  <c r="I83" i="8"/>
  <c r="I127" i="8"/>
  <c r="I53" i="8"/>
  <c r="I100" i="8"/>
  <c r="I30" i="8"/>
  <c r="I75" i="8"/>
  <c r="I117" i="8"/>
  <c r="I35" i="8"/>
  <c r="I111" i="8"/>
  <c r="I54" i="8"/>
  <c r="I142" i="8"/>
  <c r="I72" i="8"/>
  <c r="I20" i="8"/>
  <c r="I119" i="8"/>
  <c r="I98" i="8"/>
  <c r="I22" i="8"/>
  <c r="I55" i="8"/>
  <c r="I96" i="8"/>
  <c r="I24" i="8"/>
  <c r="I42" i="8"/>
  <c r="I87" i="8"/>
  <c r="I64" i="8"/>
  <c r="I59" i="8"/>
  <c r="I108" i="8"/>
  <c r="I34" i="8"/>
  <c r="I81" i="8"/>
  <c r="I125" i="8"/>
  <c r="I104" i="8"/>
  <c r="I114" i="8"/>
  <c r="I31" i="8"/>
  <c r="I110" i="8"/>
  <c r="I134" i="8"/>
  <c r="I41" i="8"/>
  <c r="I48" i="8"/>
  <c r="I93" i="8"/>
  <c r="I139" i="8"/>
  <c r="I69" i="8"/>
  <c r="I112" i="8"/>
  <c r="I38" i="8"/>
  <c r="I85" i="8"/>
  <c r="I131" i="8"/>
  <c r="I86" i="8"/>
  <c r="I68" i="8"/>
  <c r="I130" i="8"/>
  <c r="I15" i="8"/>
  <c r="I129" i="8"/>
  <c r="I103" i="8"/>
  <c r="H72" i="8"/>
  <c r="I132" i="8"/>
  <c r="I51" i="8"/>
  <c r="I13" i="8"/>
  <c r="I120" i="8"/>
  <c r="I90" i="8"/>
  <c r="I52" i="8"/>
  <c r="I99" i="8"/>
  <c r="I33" i="8"/>
  <c r="I74" i="8"/>
  <c r="I116" i="8"/>
  <c r="I46" i="8"/>
  <c r="I89" i="8"/>
  <c r="L119" i="8"/>
  <c r="L137" i="8"/>
  <c r="L103" i="8"/>
  <c r="L106" i="8"/>
  <c r="L58" i="8"/>
  <c r="L123" i="8"/>
  <c r="L62" i="8"/>
  <c r="L77" i="8"/>
  <c r="L92" i="8"/>
  <c r="R6" i="8"/>
  <c r="L40" i="8"/>
  <c r="L134" i="8"/>
  <c r="J92" i="8"/>
  <c r="J29" i="8"/>
  <c r="J103" i="8"/>
  <c r="H8" i="8"/>
  <c r="J26" i="8"/>
  <c r="J21" i="8"/>
  <c r="J27" i="8"/>
  <c r="J22" i="8"/>
  <c r="J19" i="8"/>
  <c r="S6" i="8"/>
  <c r="J47" i="8"/>
  <c r="J82" i="8"/>
  <c r="J104" i="8"/>
  <c r="J126" i="8"/>
  <c r="J138" i="8"/>
  <c r="J48" i="8"/>
  <c r="J68" i="8"/>
  <c r="J87" i="8"/>
  <c r="J111" i="8"/>
  <c r="J64" i="8"/>
  <c r="J43" i="8"/>
  <c r="J69" i="8"/>
  <c r="J88" i="8"/>
  <c r="J112" i="8"/>
  <c r="J65" i="8"/>
  <c r="J34" i="8"/>
  <c r="J54" i="8"/>
  <c r="J81" i="8"/>
  <c r="J101" i="8"/>
  <c r="J125" i="8"/>
  <c r="J106" i="8"/>
  <c r="H58" i="8"/>
  <c r="J15" i="8"/>
  <c r="L98" i="8"/>
  <c r="H134" i="8"/>
  <c r="J137" i="8"/>
  <c r="J143" i="8"/>
  <c r="J8" i="8"/>
  <c r="J62" i="8"/>
  <c r="J23" i="8"/>
  <c r="J31" i="8"/>
  <c r="J51" i="8"/>
  <c r="J86" i="8"/>
  <c r="J110" i="8"/>
  <c r="J132" i="8"/>
  <c r="J32" i="8"/>
  <c r="J52" i="8"/>
  <c r="J73" i="8"/>
  <c r="J93" i="8"/>
  <c r="J115" i="8"/>
  <c r="J139" i="8"/>
  <c r="J49" i="8"/>
  <c r="J74" i="8"/>
  <c r="J94" i="8"/>
  <c r="J116" i="8"/>
  <c r="J140" i="8"/>
  <c r="J38" i="8"/>
  <c r="J60" i="8"/>
  <c r="J85" i="8"/>
  <c r="J109" i="8"/>
  <c r="H92" i="8"/>
  <c r="H106" i="8"/>
  <c r="H40" i="8"/>
  <c r="H119" i="8"/>
  <c r="L45" i="8"/>
  <c r="L130" i="8"/>
  <c r="L124" i="8"/>
  <c r="L116" i="8"/>
  <c r="L112" i="8"/>
  <c r="L108" i="8"/>
  <c r="L100" i="8"/>
  <c r="L94" i="8"/>
  <c r="L88" i="8"/>
  <c r="L84" i="8"/>
  <c r="L80" i="8"/>
  <c r="L74" i="8"/>
  <c r="L69" i="8"/>
  <c r="L59" i="8"/>
  <c r="L53" i="8"/>
  <c r="L49" i="8"/>
  <c r="L43" i="8"/>
  <c r="L37" i="8"/>
  <c r="L33" i="8"/>
  <c r="L139" i="8"/>
  <c r="L64" i="8"/>
  <c r="L127" i="8"/>
  <c r="L121" i="8"/>
  <c r="L115" i="8"/>
  <c r="L111" i="8"/>
  <c r="L107" i="8"/>
  <c r="L99" i="8"/>
  <c r="L93" i="8"/>
  <c r="L87" i="8"/>
  <c r="L83" i="8"/>
  <c r="L79" i="8"/>
  <c r="L73" i="8"/>
  <c r="L68" i="8"/>
  <c r="L56" i="8"/>
  <c r="L52" i="8"/>
  <c r="L48" i="8"/>
  <c r="L42" i="8"/>
  <c r="L36" i="8"/>
  <c r="L32" i="8"/>
  <c r="L138" i="8"/>
  <c r="L135" i="8"/>
  <c r="L63" i="8"/>
  <c r="L132" i="8"/>
  <c r="L126" i="8"/>
  <c r="L120" i="8"/>
  <c r="L114" i="8"/>
  <c r="L110" i="8"/>
  <c r="L104" i="8"/>
  <c r="L96" i="8"/>
  <c r="L90" i="8"/>
  <c r="L86" i="8"/>
  <c r="L82" i="8"/>
  <c r="L78" i="8"/>
  <c r="L55" i="8"/>
  <c r="L51" i="8"/>
  <c r="L47" i="8"/>
  <c r="L41" i="8"/>
  <c r="L35" i="8"/>
  <c r="L31" i="8"/>
  <c r="L143" i="8"/>
  <c r="L131" i="8"/>
  <c r="L125" i="8"/>
  <c r="L117" i="8"/>
  <c r="L113" i="8"/>
  <c r="L109" i="8"/>
  <c r="L101" i="8"/>
  <c r="L95" i="8"/>
  <c r="L89" i="8"/>
  <c r="L85" i="8"/>
  <c r="L81" i="8"/>
  <c r="L75" i="8"/>
  <c r="L70" i="8"/>
  <c r="L60" i="8"/>
  <c r="L54" i="8"/>
  <c r="L50" i="8"/>
  <c r="L46" i="8"/>
  <c r="L38" i="8"/>
  <c r="L34" i="8"/>
  <c r="L30" i="8"/>
  <c r="L22" i="8"/>
  <c r="L18" i="8"/>
  <c r="L12" i="8"/>
  <c r="L27" i="8"/>
  <c r="L140" i="8"/>
  <c r="L13" i="8"/>
  <c r="L9" i="8"/>
  <c r="L21" i="8"/>
  <c r="L17" i="8"/>
  <c r="L11" i="8"/>
  <c r="L23" i="8"/>
  <c r="L26" i="8"/>
  <c r="L19" i="8"/>
  <c r="L15" i="8"/>
  <c r="L24" i="8"/>
  <c r="L20" i="8"/>
  <c r="L16" i="8"/>
  <c r="L10" i="8"/>
  <c r="L65" i="8"/>
  <c r="H132" i="8"/>
  <c r="H126" i="8"/>
  <c r="H120" i="8"/>
  <c r="H114" i="8"/>
  <c r="H110" i="8"/>
  <c r="H104" i="8"/>
  <c r="H96" i="8"/>
  <c r="H90" i="8"/>
  <c r="H86" i="8"/>
  <c r="H82" i="8"/>
  <c r="H78" i="8"/>
  <c r="H55" i="8"/>
  <c r="H51" i="8"/>
  <c r="H47" i="8"/>
  <c r="H41" i="8"/>
  <c r="H35" i="8"/>
  <c r="H31" i="8"/>
  <c r="H143" i="8"/>
  <c r="H131" i="8"/>
  <c r="H125" i="8"/>
  <c r="H117" i="8"/>
  <c r="H113" i="8"/>
  <c r="H109" i="8"/>
  <c r="H101" i="8"/>
  <c r="H95" i="8"/>
  <c r="H89" i="8"/>
  <c r="H85" i="8"/>
  <c r="H81" i="8"/>
  <c r="H75" i="8"/>
  <c r="H70" i="8"/>
  <c r="H60" i="8"/>
  <c r="H54" i="8"/>
  <c r="H50" i="8"/>
  <c r="H46" i="8"/>
  <c r="H38" i="8"/>
  <c r="H34" i="8"/>
  <c r="H30" i="8"/>
  <c r="H140" i="8"/>
  <c r="H65" i="8"/>
  <c r="H130" i="8"/>
  <c r="H124" i="8"/>
  <c r="H116" i="8"/>
  <c r="H112" i="8"/>
  <c r="H108" i="8"/>
  <c r="H100" i="8"/>
  <c r="H94" i="8"/>
  <c r="H88" i="8"/>
  <c r="H84" i="8"/>
  <c r="H80" i="8"/>
  <c r="H74" i="8"/>
  <c r="H69" i="8"/>
  <c r="H59" i="8"/>
  <c r="H53" i="8"/>
  <c r="H49" i="8"/>
  <c r="H43" i="8"/>
  <c r="H37" i="8"/>
  <c r="H33" i="8"/>
  <c r="H139" i="8"/>
  <c r="H64" i="8"/>
  <c r="H127" i="8"/>
  <c r="H121" i="8"/>
  <c r="H115" i="8"/>
  <c r="H111" i="8"/>
  <c r="H107" i="8"/>
  <c r="H99" i="8"/>
  <c r="H93" i="8"/>
  <c r="H87" i="8"/>
  <c r="H83" i="8"/>
  <c r="H79" i="8"/>
  <c r="H73" i="8"/>
  <c r="H68" i="8"/>
  <c r="H56" i="8"/>
  <c r="H52" i="8"/>
  <c r="H48" i="8"/>
  <c r="H42" i="8"/>
  <c r="H36" i="8"/>
  <c r="H32" i="8"/>
  <c r="H26" i="8"/>
  <c r="Q6" i="8"/>
  <c r="H135" i="8"/>
  <c r="H63" i="8"/>
  <c r="H24" i="8"/>
  <c r="H20" i="8"/>
  <c r="H16" i="8"/>
  <c r="H10" i="8"/>
  <c r="H17" i="8"/>
  <c r="H11" i="8"/>
  <c r="H21" i="8"/>
  <c r="H23" i="8"/>
  <c r="H19" i="8"/>
  <c r="H15" i="8"/>
  <c r="H13" i="8"/>
  <c r="H9" i="8"/>
  <c r="H27" i="8"/>
  <c r="H138" i="8"/>
  <c r="H22" i="8"/>
  <c r="H18" i="8"/>
  <c r="H12" i="8"/>
  <c r="H29" i="8"/>
  <c r="L129" i="8"/>
  <c r="H129" i="8"/>
  <c r="L67" i="8"/>
  <c r="L29" i="8"/>
  <c r="H98" i="8"/>
  <c r="H123" i="8"/>
  <c r="H62" i="8"/>
  <c r="H67" i="8"/>
  <c r="H45" i="8"/>
  <c r="L8" i="8"/>
  <c r="K24" i="8" l="1"/>
  <c r="U6" i="8"/>
  <c r="K35" i="8"/>
  <c r="K143" i="8"/>
  <c r="I6" i="8"/>
  <c r="K34" i="8"/>
  <c r="K33" i="8"/>
  <c r="K134" i="8"/>
  <c r="K87" i="8"/>
  <c r="K75" i="8"/>
  <c r="K94" i="8"/>
  <c r="K48" i="8"/>
  <c r="K13" i="8"/>
  <c r="K38" i="8"/>
  <c r="K99" i="8"/>
  <c r="K9" i="8"/>
  <c r="K26" i="8"/>
  <c r="K140" i="8"/>
  <c r="K23" i="8"/>
  <c r="K51" i="8"/>
  <c r="K64" i="8"/>
  <c r="K68" i="8"/>
  <c r="K123" i="8"/>
  <c r="K135" i="8"/>
  <c r="K60" i="8"/>
  <c r="K126" i="8"/>
  <c r="K116" i="8"/>
  <c r="K115" i="8"/>
  <c r="K138" i="8"/>
  <c r="K73" i="8"/>
  <c r="K112" i="8"/>
  <c r="K45" i="8"/>
  <c r="K120" i="8"/>
  <c r="K106" i="8"/>
  <c r="K70" i="8"/>
  <c r="K53" i="8"/>
  <c r="K29" i="8"/>
  <c r="K98" i="8"/>
  <c r="K50" i="8"/>
  <c r="K124" i="8"/>
  <c r="K132" i="8"/>
  <c r="K113" i="8"/>
  <c r="K93" i="8"/>
  <c r="K27" i="8"/>
  <c r="K46" i="8"/>
  <c r="K95" i="8"/>
  <c r="K96" i="8"/>
  <c r="K74" i="8"/>
  <c r="K142" i="8"/>
  <c r="K109" i="8"/>
  <c r="K40" i="8"/>
  <c r="K125" i="8"/>
  <c r="K49" i="8"/>
  <c r="K18" i="8"/>
  <c r="K42" i="8"/>
  <c r="K30" i="8"/>
  <c r="K22" i="8"/>
  <c r="K127" i="8"/>
  <c r="K82" i="8"/>
  <c r="K131" i="8"/>
  <c r="K88" i="8"/>
  <c r="K104" i="8"/>
  <c r="K77" i="8"/>
  <c r="K58" i="8"/>
  <c r="K54" i="8"/>
  <c r="K62" i="8"/>
  <c r="K111" i="8"/>
  <c r="K47" i="8"/>
  <c r="K103" i="8"/>
  <c r="K59" i="8"/>
  <c r="K78" i="8"/>
  <c r="K11" i="8"/>
  <c r="K72" i="8"/>
  <c r="K36" i="8"/>
  <c r="K117" i="8"/>
  <c r="K84" i="8"/>
  <c r="K55" i="8"/>
  <c r="K65" i="8"/>
  <c r="T6" i="8"/>
  <c r="K80" i="8"/>
  <c r="K8" i="8"/>
  <c r="K121" i="8"/>
  <c r="K16" i="8"/>
  <c r="K43" i="8"/>
  <c r="K21" i="8"/>
  <c r="K32" i="8"/>
  <c r="K90" i="8"/>
  <c r="J6" i="8"/>
  <c r="K19" i="8"/>
  <c r="K83" i="8"/>
  <c r="K10" i="8"/>
  <c r="K139" i="8"/>
  <c r="K31" i="8"/>
  <c r="K92" i="8"/>
  <c r="K56" i="8"/>
  <c r="K37" i="8"/>
  <c r="K41" i="8"/>
  <c r="K89" i="8"/>
  <c r="K137" i="8"/>
  <c r="K129" i="8"/>
  <c r="K101" i="8"/>
  <c r="K85" i="8"/>
  <c r="K107" i="8"/>
  <c r="K15" i="8"/>
  <c r="K100" i="8"/>
  <c r="K79" i="8"/>
  <c r="K119" i="8"/>
  <c r="K52" i="8"/>
  <c r="K81" i="8"/>
  <c r="K67" i="8"/>
  <c r="K130" i="8"/>
  <c r="K63" i="8"/>
  <c r="K12" i="8"/>
  <c r="K69" i="8"/>
  <c r="K86" i="8"/>
  <c r="K17" i="8"/>
  <c r="K110" i="8"/>
  <c r="K108" i="8"/>
  <c r="K114" i="8"/>
  <c r="K20" i="8"/>
  <c r="M6" i="8"/>
  <c r="H6" i="8"/>
  <c r="L6" i="8"/>
  <c r="P6" i="8" l="1"/>
  <c r="O6" i="8"/>
  <c r="K6" i="8"/>
</calcChain>
</file>

<file path=xl/sharedStrings.xml><?xml version="1.0" encoding="utf-8"?>
<sst xmlns="http://schemas.openxmlformats.org/spreadsheetml/2006/main" count="200" uniqueCount="152">
  <si>
    <t>Source:  Maldives Customs Services</t>
  </si>
  <si>
    <t xml:space="preserve">cswsivrWs cscmwTcswk cscviDclOm :ctWrwfivcaed utWmUluAwm     </t>
  </si>
  <si>
    <t>Harmonized System</t>
  </si>
  <si>
    <t>TOTAL</t>
  </si>
  <si>
    <t xml:space="preserve">Percentage  Share  </t>
  </si>
  <si>
    <t xml:space="preserve">% Change Over Previous Year  </t>
  </si>
  <si>
    <t xml:space="preserve">       Section I</t>
  </si>
  <si>
    <t>LIVE ANIMALS; ANIMAL PRODUCT</t>
  </si>
  <si>
    <t xml:space="preserve">Live animals </t>
  </si>
  <si>
    <t>Meat and edible meat offals</t>
  </si>
  <si>
    <t>Fish and crustaceans and molluscs and other...</t>
  </si>
  <si>
    <t>Dairy products; birds' eggs; natural honey; ...</t>
  </si>
  <si>
    <t>Products of animal origin, not elsewhere ...</t>
  </si>
  <si>
    <t xml:space="preserve">       Section II</t>
  </si>
  <si>
    <t>VEGETABLE PRODUCTS</t>
  </si>
  <si>
    <t>Live trees and other plants; bulbs roots and ...</t>
  </si>
  <si>
    <t>Edible vegetables and certain roots and tubers</t>
  </si>
  <si>
    <t>Edible fruits and nuts; peel of citrus fruit or melons</t>
  </si>
  <si>
    <t>Coffee, tea, mate and spices</t>
  </si>
  <si>
    <t>Cereals</t>
  </si>
  <si>
    <t>Products of the milling industry; malt; starches; inulin...</t>
  </si>
  <si>
    <t>Oil seeds and oleaginous fruit; miscellaneous ...</t>
  </si>
  <si>
    <t>Lac; gums, resins and other vegetable saps and extracts</t>
  </si>
  <si>
    <t>Vegetable plaiting materials, vegetable products not elsewhere...</t>
  </si>
  <si>
    <t xml:space="preserve">       Section III</t>
  </si>
  <si>
    <t>ANIMAL AND VEGETABLE FATS AND OILS AND THEIR...</t>
  </si>
  <si>
    <t>Animal and Vegetable fats and oils and...</t>
  </si>
  <si>
    <t xml:space="preserve">       Section IV</t>
  </si>
  <si>
    <t>PREPARED FOODSTUFFS; BEVERAGES, SPIRITS AND...</t>
  </si>
  <si>
    <t>Preparations of meat, of fish, of crustaceans...</t>
  </si>
  <si>
    <t>Sugar and sugar confectionery</t>
  </si>
  <si>
    <t>Cocoa and cocoa preparations</t>
  </si>
  <si>
    <t>Preparations of cereals, flour, starch or milk...</t>
  </si>
  <si>
    <t>Preparations of vegetables, fruits...</t>
  </si>
  <si>
    <t>Miscellaneous edible preparations</t>
  </si>
  <si>
    <t>Beverages, spirits and vinegar</t>
  </si>
  <si>
    <t>Residues and waste from the food industries...</t>
  </si>
  <si>
    <t>Tobacco and manufactured tobacco substitutes</t>
  </si>
  <si>
    <t xml:space="preserve">       Section V</t>
  </si>
  <si>
    <t>MINERAL PRODUCTS</t>
  </si>
  <si>
    <t>Salt, sulphur, earths and stones; plastering</t>
  </si>
  <si>
    <t xml:space="preserve"> Ores, slag and ash</t>
  </si>
  <si>
    <t xml:space="preserve"> Mineral fuels, mineral oils and products of ...</t>
  </si>
  <si>
    <t xml:space="preserve">        Section VI</t>
  </si>
  <si>
    <t xml:space="preserve"> PRODUCTS OF THE CHEMICAL &amp; ALLIED INDUSTRIES</t>
  </si>
  <si>
    <t xml:space="preserve"> Inorganic chemicals; organic and inorganic compounds</t>
  </si>
  <si>
    <t xml:space="preserve"> Organic chemicals</t>
  </si>
  <si>
    <t xml:space="preserve"> Pharmaceutical products</t>
  </si>
  <si>
    <t xml:space="preserve"> Fertilizers</t>
  </si>
  <si>
    <t xml:space="preserve"> Tanning and dyeing extracts...</t>
  </si>
  <si>
    <t xml:space="preserve"> Essential oils and resinoids; perfumery, ...</t>
  </si>
  <si>
    <t xml:space="preserve"> Soap, organic surface-active agents...</t>
  </si>
  <si>
    <t xml:space="preserve"> Albuminoidal substances; modified starches; glues...</t>
  </si>
  <si>
    <t xml:space="preserve"> Explosives; pyrotechnic products; matches ...</t>
  </si>
  <si>
    <t xml:space="preserve"> Photographic and cinematographic goods</t>
  </si>
  <si>
    <t xml:space="preserve"> Miscellaneous chemical products</t>
  </si>
  <si>
    <t xml:space="preserve">        Section VII</t>
  </si>
  <si>
    <t xml:space="preserve"> PLASTIC &amp; ARTICLES THEREOF; RUBBER &amp; ARTICLES THEREOF</t>
  </si>
  <si>
    <t xml:space="preserve"> Plastics and articles thereof</t>
  </si>
  <si>
    <t xml:space="preserve"> Rubber and articles thereof</t>
  </si>
  <si>
    <t xml:space="preserve">        Section VIII</t>
  </si>
  <si>
    <t xml:space="preserve"> RAW HIDES &amp; SKINS, LEATHER, FURSKINS &amp; ARTICLES...   </t>
  </si>
  <si>
    <t xml:space="preserve"> Raw hides and skins (other than furskins) </t>
  </si>
  <si>
    <t xml:space="preserve"> Articles of leather; saddlery and harness;....</t>
  </si>
  <si>
    <t>Furkins and artificial fur; manufactures thereof</t>
  </si>
  <si>
    <t xml:space="preserve">         Section IX</t>
  </si>
  <si>
    <t xml:space="preserve"> WOOD; ARTICLES OF WOOD; WOOD CHARCOAL; CORK &amp; ARTICLES</t>
  </si>
  <si>
    <t xml:space="preserve"> Wood and articles of wood; wood charcoal</t>
  </si>
  <si>
    <t xml:space="preserve"> Cork and articles of cork</t>
  </si>
  <si>
    <t xml:space="preserve"> Manufactures of straw, of esparto and of other plating...</t>
  </si>
  <si>
    <t xml:space="preserve">         Section X</t>
  </si>
  <si>
    <t xml:space="preserve"> PULP OF WOOD OR OF OTHER FIBROUS CELLULOSIC MATERIAL</t>
  </si>
  <si>
    <t>pulp of wood or of other fibrous cellulosic material; recovered (waste and scrap) paper or paperboard</t>
  </si>
  <si>
    <t xml:space="preserve"> Paper and paperboard; articles of paper pulp</t>
  </si>
  <si>
    <t xml:space="preserve"> Printed books, newspapers, pictures and other products...</t>
  </si>
  <si>
    <t xml:space="preserve">        Section XI</t>
  </si>
  <si>
    <t xml:space="preserve"> TEXTILES AND TEXTILE ARTICLES</t>
  </si>
  <si>
    <t xml:space="preserve"> Silk </t>
  </si>
  <si>
    <t xml:space="preserve"> Wool, fine or coarse animal hair...</t>
  </si>
  <si>
    <t xml:space="preserve"> Cotton</t>
  </si>
  <si>
    <t xml:space="preserve"> Other vegetable textile fibres...</t>
  </si>
  <si>
    <t xml:space="preserve"> Man-made filaments</t>
  </si>
  <si>
    <t xml:space="preserve"> Man-made staple fibres</t>
  </si>
  <si>
    <t xml:space="preserve"> Wadding, felt and nonwovens; special yarns;...</t>
  </si>
  <si>
    <t xml:space="preserve"> Carpets and other textile floor coverings</t>
  </si>
  <si>
    <t xml:space="preserve"> Special woven fabrics…</t>
  </si>
  <si>
    <t xml:space="preserve"> Impregnated, coated, covered or laminated textile...</t>
  </si>
  <si>
    <t xml:space="preserve"> Articles of apparel and clothing accessories, knitted...</t>
  </si>
  <si>
    <t xml:space="preserve"> Articles of apparel and clothing accessories, not knitted...</t>
  </si>
  <si>
    <t xml:space="preserve"> Other made up textile articles; sets; worn clothing...</t>
  </si>
  <si>
    <t xml:space="preserve">        Section XII</t>
  </si>
  <si>
    <t xml:space="preserve"> FOOTWEAR, HEADGEAR, UMBRELLAS, SUNSHADES, ...</t>
  </si>
  <si>
    <t xml:space="preserve"> Footwear, gaiters and the like; parts of such articles</t>
  </si>
  <si>
    <t xml:space="preserve"> Headgear and parts thereof </t>
  </si>
  <si>
    <t xml:space="preserve"> Umbrellas, sun umbrellas, walking-sticks...</t>
  </si>
  <si>
    <t xml:space="preserve"> Prepared feathers and down and articles made of feathers...</t>
  </si>
  <si>
    <t xml:space="preserve">        Section XIII</t>
  </si>
  <si>
    <t xml:space="preserve"> ARTICLES OF STONE, PLASTER, CEMENT, ASBESTOS  </t>
  </si>
  <si>
    <t xml:space="preserve"> Articles of stone, plaster, cement, asbestos...</t>
  </si>
  <si>
    <t xml:space="preserve"> Ceramic products</t>
  </si>
  <si>
    <t xml:space="preserve"> Glass and glassware</t>
  </si>
  <si>
    <t xml:space="preserve">        Section XIV</t>
  </si>
  <si>
    <t xml:space="preserve"> PEARLS, PRECIOUS AND SEMI-PRECIOUS STONES, ...</t>
  </si>
  <si>
    <t xml:space="preserve"> Natural or cultured pearls, precious or semi-precious stones...</t>
  </si>
  <si>
    <t xml:space="preserve">        Section XV</t>
  </si>
  <si>
    <t xml:space="preserve"> BASE METAL AND ARTICLES OF BASE METAL</t>
  </si>
  <si>
    <t xml:space="preserve"> Iron and steel </t>
  </si>
  <si>
    <t xml:space="preserve"> Articles of iron or steel</t>
  </si>
  <si>
    <t xml:space="preserve"> Copper and articles thereof...</t>
  </si>
  <si>
    <t xml:space="preserve"> Nickel and articles thereof...</t>
  </si>
  <si>
    <t xml:space="preserve"> Aluminum and articles thereof...</t>
  </si>
  <si>
    <t xml:space="preserve"> Lead and articles thereof...</t>
  </si>
  <si>
    <t xml:space="preserve"> Zinc and articles thereof...</t>
  </si>
  <si>
    <t xml:space="preserve"> Tin and articles thereof...</t>
  </si>
  <si>
    <t xml:space="preserve"> Other base metals, cermets, articles thereof...</t>
  </si>
  <si>
    <t xml:space="preserve"> Tools, implements, cutlery, spoons and forks…</t>
  </si>
  <si>
    <t xml:space="preserve"> Miscellaneous articles of base metals</t>
  </si>
  <si>
    <t xml:space="preserve">        Section XVI</t>
  </si>
  <si>
    <t xml:space="preserve"> MACHINERY &amp; MECHANICAL APPLIANCES; ELECTRICAL</t>
  </si>
  <si>
    <t xml:space="preserve"> Nuclear reactors, boilers, machinery &amp; mechanical appliances;...</t>
  </si>
  <si>
    <t xml:space="preserve"> Electrical machinery and equipment; parts thereof...</t>
  </si>
  <si>
    <t xml:space="preserve">        Section XVII</t>
  </si>
  <si>
    <t xml:space="preserve"> VEHICLES, AIRCRAFT, &amp; PARTS THEREOF;</t>
  </si>
  <si>
    <t xml:space="preserve"> Railway tramway locomotives, rolling stocks and parts thereof</t>
  </si>
  <si>
    <t xml:space="preserve"> Vehicles other than railway or tramway...</t>
  </si>
  <si>
    <t xml:space="preserve"> Aircraft, spacecraft, and parts thereof…</t>
  </si>
  <si>
    <t xml:space="preserve"> Ships, boats and floating structures</t>
  </si>
  <si>
    <t xml:space="preserve">        Section XVIII</t>
  </si>
  <si>
    <t xml:space="preserve"> OPTICAL, PHOTOGRAPHIC, CINEMATOGRAPHIC, ...</t>
  </si>
  <si>
    <t xml:space="preserve"> Optical, photographic, cinematographic, ...</t>
  </si>
  <si>
    <t xml:space="preserve"> Clocks and watches and parts thereof</t>
  </si>
  <si>
    <t xml:space="preserve"> Musical instruments; parts and accessories </t>
  </si>
  <si>
    <t xml:space="preserve">        Section XIX</t>
  </si>
  <si>
    <t xml:space="preserve"> ARMS &amp; AMMUNITION; PARTS &amp; ACCESSORIES THEREOF</t>
  </si>
  <si>
    <t xml:space="preserve"> Arms and ammunition; parts and accessories thereof</t>
  </si>
  <si>
    <t xml:space="preserve">        Section XX</t>
  </si>
  <si>
    <t xml:space="preserve"> MISCELLANEOUS MANUFACTURED ARTICLES</t>
  </si>
  <si>
    <t xml:space="preserve"> Furniture and parts thereof; bedding, ...</t>
  </si>
  <si>
    <t xml:space="preserve"> Toys, games and sports requisities parts thereof...</t>
  </si>
  <si>
    <t xml:space="preserve"> Miscellaneous manufactured articles</t>
  </si>
  <si>
    <t xml:space="preserve">        Section XXI</t>
  </si>
  <si>
    <t xml:space="preserve"> WORK OF ART, COLLECTORS PIECES, &amp; ANTIQUES.</t>
  </si>
  <si>
    <t xml:space="preserve"> Work of art, collectors pieces, and antiques.</t>
  </si>
  <si>
    <t>މަޢުލޫމާތު ދެއްވީ: މޯލްޑިވްސް ކަސްޓަމްސް ސާރވިސް</t>
  </si>
  <si>
    <t xml:space="preserve">    (cnuhWh Wyifur) ugwa</t>
  </si>
  <si>
    <t xml:space="preserve">   cniawtcaws ctogWviawfiheb</t>
  </si>
  <si>
    <t xml:space="preserve">   % urwvcnim ivurutia eruvcSwrwhwa Iruk</t>
  </si>
  <si>
    <t xml:space="preserve">        Value (in MVR. '000</t>
  </si>
  <si>
    <t>(*)</t>
  </si>
  <si>
    <t xml:space="preserve">Note: (*) - Indicates if the percentage change is greater than 100. </t>
  </si>
  <si>
    <t>ތާވަލު 15.8: ހާމޮނައިޒްޑް ސިސްޓަމްގެ ބައިތަކުގެ ގޮތުން، ރާއްޖެއަށް އެތެރެކުރެވުނު މައިގަނޑު މުދަލުގެ ބާވަތްތައް، 2018 - 2022</t>
  </si>
  <si>
    <t>Table  15.8 : IMPORTS CLASSIFIED BY HARMONIZED SYSTEM , 2018 - 2022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</si>
</sst>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5" formatCode="#,##0.0"/>
    <numFmt numFmtId="172" formatCode="_-* #,##0.00\ _ރ_._-;_-* #,##0.00\ _ރ_.\-;_-* &quot;-&quot;??\ _ރ_._-;_-@_-"/>
    <numFmt numFmtId="173" formatCode="0.00_)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i/>
      <sz val="9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0"/>
      <name val="Faruma"/>
    </font>
    <font>
      <sz val="10"/>
      <color theme="1"/>
      <name val="Calibri"/>
      <family val="2"/>
      <scheme val="minor"/>
    </font>
    <font>
      <b/>
      <sz val="11"/>
      <name val="Faruma"/>
    </font>
    <font>
      <b/>
      <i/>
      <sz val="9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  <font>
      <b/>
      <sz val="10"/>
      <name val="A_Faseyha"/>
    </font>
    <font>
      <sz val="10"/>
      <name val="A_Faseyha"/>
    </font>
    <font>
      <sz val="9"/>
      <name val="A_Faseyha"/>
    </font>
    <font>
      <i/>
      <sz val="9"/>
      <name val="Calibri Light"/>
      <family val="2"/>
      <scheme val="major"/>
    </font>
    <font>
      <b/>
      <sz val="11"/>
      <name val="Faruma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2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/>
      <top/>
      <bottom style="dotted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hair">
        <color indexed="64"/>
      </right>
      <top style="dotted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0">
    <xf numFmtId="0" fontId="0" fillId="0" borderId="0"/>
    <xf numFmtId="43" fontId="4" fillId="0" borderId="0" applyFont="0" applyFill="0" applyBorder="0" applyAlignment="0" applyProtection="0"/>
    <xf numFmtId="0" fontId="1" fillId="0" borderId="0"/>
    <xf numFmtId="0" fontId="4" fillId="0" borderId="0"/>
    <xf numFmtId="9" fontId="4" fillId="0" borderId="0" applyFont="0" applyFill="0" applyBorder="0" applyAlignment="0" applyProtection="0"/>
    <xf numFmtId="0" fontId="15" fillId="0" borderId="19" applyNumberFormat="0" applyFill="0" applyAlignment="0" applyProtection="0"/>
    <xf numFmtId="0" fontId="16" fillId="0" borderId="20" applyNumberFormat="0" applyFill="0" applyAlignment="0" applyProtection="0"/>
    <xf numFmtId="0" fontId="17" fillId="0" borderId="21" applyNumberFormat="0" applyFill="0" applyAlignment="0" applyProtection="0"/>
    <xf numFmtId="0" fontId="17" fillId="0" borderId="0" applyNumberFormat="0" applyFill="0" applyBorder="0" applyAlignment="0" applyProtection="0"/>
    <xf numFmtId="0" fontId="18" fillId="3" borderId="0" applyNumberFormat="0" applyBorder="0" applyAlignment="0" applyProtection="0"/>
    <xf numFmtId="0" fontId="19" fillId="4" borderId="0" applyNumberFormat="0" applyBorder="0" applyAlignment="0" applyProtection="0"/>
    <xf numFmtId="0" fontId="20" fillId="5" borderId="0" applyNumberFormat="0" applyBorder="0" applyAlignment="0" applyProtection="0"/>
    <xf numFmtId="0" fontId="21" fillId="6" borderId="22" applyNumberFormat="0" applyAlignment="0" applyProtection="0"/>
    <xf numFmtId="0" fontId="22" fillId="7" borderId="23" applyNumberFormat="0" applyAlignment="0" applyProtection="0"/>
    <xf numFmtId="0" fontId="23" fillId="7" borderId="22" applyNumberFormat="0" applyAlignment="0" applyProtection="0"/>
    <xf numFmtId="0" fontId="24" fillId="0" borderId="24" applyNumberFormat="0" applyFill="0" applyAlignment="0" applyProtection="0"/>
    <xf numFmtId="0" fontId="25" fillId="8" borderId="25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" fillId="0" borderId="27" applyNumberFormat="0" applyFill="0" applyAlignment="0" applyProtection="0"/>
    <xf numFmtId="0" fontId="28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8" fillId="25" borderId="0" applyNumberFormat="0" applyBorder="0" applyAlignment="0" applyProtection="0"/>
    <xf numFmtId="0" fontId="28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8" fillId="29" borderId="0" applyNumberFormat="0" applyBorder="0" applyAlignment="0" applyProtection="0"/>
    <xf numFmtId="0" fontId="28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8" fillId="33" borderId="0" applyNumberFormat="0" applyBorder="0" applyAlignment="0" applyProtection="0"/>
    <xf numFmtId="0" fontId="29" fillId="0" borderId="0"/>
    <xf numFmtId="0" fontId="4" fillId="0" borderId="0"/>
    <xf numFmtId="172" fontId="4" fillId="0" borderId="0" applyFont="0" applyFill="0" applyBorder="0" applyAlignment="0" applyProtection="0"/>
    <xf numFmtId="173" fontId="30" fillId="0" borderId="0"/>
    <xf numFmtId="0" fontId="31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26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26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2" fillId="34" borderId="0" applyNumberFormat="0" applyBorder="0" applyAlignment="0" applyProtection="0"/>
    <xf numFmtId="0" fontId="4" fillId="0" borderId="0"/>
  </cellStyleXfs>
  <cellXfs count="69">
    <xf numFmtId="0" fontId="0" fillId="0" borderId="0" xfId="0"/>
    <xf numFmtId="3" fontId="5" fillId="2" borderId="0" xfId="0" applyNumberFormat="1" applyFont="1" applyFill="1" applyAlignment="1">
      <alignment horizontal="right" vertical="center"/>
    </xf>
    <xf numFmtId="165" fontId="5" fillId="2" borderId="0" xfId="0" applyNumberFormat="1" applyFont="1" applyFill="1" applyAlignment="1">
      <alignment horizontal="right" vertical="center"/>
    </xf>
    <xf numFmtId="3" fontId="6" fillId="2" borderId="0" xfId="0" applyNumberFormat="1" applyFont="1" applyFill="1" applyAlignment="1">
      <alignment horizontal="right" vertical="center"/>
    </xf>
    <xf numFmtId="3" fontId="6" fillId="2" borderId="3" xfId="0" applyNumberFormat="1" applyFont="1" applyFill="1" applyBorder="1" applyAlignment="1">
      <alignment horizontal="right" vertical="center"/>
    </xf>
    <xf numFmtId="165" fontId="6" fillId="2" borderId="3" xfId="0" applyNumberFormat="1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3" fontId="5" fillId="2" borderId="1" xfId="0" applyNumberFormat="1" applyFont="1" applyFill="1" applyBorder="1" applyAlignment="1">
      <alignment horizontal="right" vertical="center"/>
    </xf>
    <xf numFmtId="0" fontId="10" fillId="2" borderId="0" xfId="0" applyFont="1" applyFill="1" applyAlignment="1">
      <alignment vertical="center"/>
    </xf>
    <xf numFmtId="165" fontId="6" fillId="2" borderId="10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0" fillId="2" borderId="0" xfId="0" applyFill="1"/>
    <xf numFmtId="0" fontId="7" fillId="2" borderId="15" xfId="0" applyFont="1" applyFill="1" applyBorder="1" applyAlignment="1">
      <alignment horizontal="right" readingOrder="2"/>
    </xf>
    <xf numFmtId="0" fontId="6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9" fillId="2" borderId="0" xfId="0" applyFont="1" applyFill="1"/>
    <xf numFmtId="0" fontId="5" fillId="2" borderId="3" xfId="0" applyFont="1" applyFill="1" applyBorder="1" applyAlignment="1">
      <alignment vertical="center"/>
    </xf>
    <xf numFmtId="0" fontId="5" fillId="2" borderId="11" xfId="0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0" fontId="14" fillId="2" borderId="0" xfId="0" applyFont="1" applyFill="1" applyAlignment="1">
      <alignment horizontal="left" vertical="center"/>
    </xf>
    <xf numFmtId="3" fontId="5" fillId="2" borderId="0" xfId="0" applyNumberFormat="1" applyFont="1" applyFill="1" applyAlignment="1" applyProtection="1">
      <alignment horizontal="right" vertical="center"/>
      <protection locked="0"/>
    </xf>
    <xf numFmtId="0" fontId="10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10" fillId="2" borderId="3" xfId="0" applyFont="1" applyFill="1" applyBorder="1" applyAlignment="1">
      <alignment horizontal="left" vertical="center"/>
    </xf>
    <xf numFmtId="10" fontId="6" fillId="2" borderId="0" xfId="4" applyNumberFormat="1" applyFont="1" applyFill="1" applyBorder="1" applyAlignment="1" applyProtection="1">
      <alignment vertical="center"/>
    </xf>
    <xf numFmtId="10" fontId="10" fillId="2" borderId="0" xfId="4" applyNumberFormat="1" applyFont="1" applyFill="1" applyBorder="1" applyAlignment="1" applyProtection="1">
      <alignment vertical="center"/>
    </xf>
    <xf numFmtId="10" fontId="10" fillId="2" borderId="0" xfId="4" applyNumberFormat="1" applyFont="1" applyFill="1" applyBorder="1" applyAlignment="1">
      <alignment vertical="center"/>
    </xf>
    <xf numFmtId="10" fontId="6" fillId="2" borderId="0" xfId="4" applyNumberFormat="1" applyFont="1" applyFill="1" applyBorder="1" applyAlignment="1">
      <alignment vertical="center"/>
    </xf>
    <xf numFmtId="0" fontId="11" fillId="2" borderId="15" xfId="0" applyFont="1" applyFill="1" applyBorder="1"/>
    <xf numFmtId="0" fontId="35" fillId="2" borderId="4" xfId="0" applyFont="1" applyFill="1" applyBorder="1" applyAlignment="1">
      <alignment horizontal="right" readingOrder="2"/>
    </xf>
    <xf numFmtId="165" fontId="6" fillId="2" borderId="14" xfId="0" applyNumberFormat="1" applyFont="1" applyFill="1" applyBorder="1" applyAlignment="1">
      <alignment horizontal="right" vertical="center"/>
    </xf>
    <xf numFmtId="165" fontId="6" fillId="2" borderId="0" xfId="0" applyNumberFormat="1" applyFont="1" applyFill="1" applyAlignment="1">
      <alignment horizontal="right" vertical="center"/>
    </xf>
    <xf numFmtId="0" fontId="9" fillId="2" borderId="0" xfId="0" applyFont="1" applyFill="1" applyAlignment="1">
      <alignment horizontal="left" vertical="center"/>
    </xf>
    <xf numFmtId="0" fontId="6" fillId="2" borderId="0" xfId="0" applyFont="1" applyFill="1" applyAlignment="1">
      <alignment wrapText="1"/>
    </xf>
    <xf numFmtId="165" fontId="12" fillId="2" borderId="17" xfId="0" applyNumberFormat="1" applyFont="1" applyFill="1" applyBorder="1" applyAlignment="1">
      <alignment horizontal="right" vertical="center"/>
    </xf>
    <xf numFmtId="165" fontId="12" fillId="2" borderId="18" xfId="0" applyNumberFormat="1" applyFont="1" applyFill="1" applyBorder="1" applyAlignment="1">
      <alignment horizontal="right" vertical="center"/>
    </xf>
    <xf numFmtId="0" fontId="36" fillId="2" borderId="0" xfId="69" applyFont="1" applyFill="1" applyAlignment="1">
      <alignment horizontal="left" vertical="center"/>
    </xf>
    <xf numFmtId="0" fontId="34" fillId="2" borderId="4" xfId="0" applyFont="1" applyFill="1" applyBorder="1" applyAlignment="1">
      <alignment horizontal="right" readingOrder="2"/>
    </xf>
    <xf numFmtId="3" fontId="5" fillId="2" borderId="5" xfId="0" applyNumberFormat="1" applyFont="1" applyFill="1" applyBorder="1" applyAlignment="1">
      <alignment horizontal="right" vertical="center"/>
    </xf>
    <xf numFmtId="165" fontId="6" fillId="2" borderId="13" xfId="0" applyNumberFormat="1" applyFont="1" applyFill="1" applyBorder="1" applyAlignment="1">
      <alignment horizontal="right" vertical="center"/>
    </xf>
    <xf numFmtId="165" fontId="6" fillId="2" borderId="9" xfId="0" applyNumberFormat="1" applyFont="1" applyFill="1" applyBorder="1" applyAlignment="1">
      <alignment horizontal="right" vertical="center"/>
    </xf>
    <xf numFmtId="0" fontId="5" fillId="2" borderId="10" xfId="0" applyFont="1" applyFill="1" applyBorder="1" applyAlignment="1">
      <alignment vertical="center"/>
    </xf>
    <xf numFmtId="165" fontId="5" fillId="2" borderId="6" xfId="0" applyNumberFormat="1" applyFont="1" applyFill="1" applyBorder="1" applyAlignment="1">
      <alignment horizontal="right" vertical="center"/>
    </xf>
    <xf numFmtId="165" fontId="5" fillId="2" borderId="5" xfId="0" applyNumberFormat="1" applyFont="1" applyFill="1" applyBorder="1" applyAlignment="1">
      <alignment horizontal="right" vertical="center"/>
    </xf>
    <xf numFmtId="165" fontId="5" fillId="2" borderId="14" xfId="0" applyNumberFormat="1" applyFont="1" applyFill="1" applyBorder="1" applyAlignment="1">
      <alignment horizontal="right" vertical="center"/>
    </xf>
    <xf numFmtId="165" fontId="5" fillId="2" borderId="13" xfId="0" applyNumberFormat="1" applyFont="1" applyFill="1" applyBorder="1" applyAlignment="1">
      <alignment horizontal="right" vertical="center"/>
    </xf>
    <xf numFmtId="0" fontId="5" fillId="2" borderId="12" xfId="0" applyFont="1" applyFill="1" applyBorder="1" applyAlignment="1">
      <alignment vertical="center"/>
    </xf>
    <xf numFmtId="3" fontId="5" fillId="2" borderId="13" xfId="0" applyNumberFormat="1" applyFont="1" applyFill="1" applyBorder="1" applyAlignment="1">
      <alignment horizontal="right" vertical="center"/>
    </xf>
    <xf numFmtId="3" fontId="5" fillId="2" borderId="13" xfId="0" applyNumberFormat="1" applyFont="1" applyFill="1" applyBorder="1" applyAlignment="1" applyProtection="1">
      <alignment horizontal="right" vertical="center"/>
      <protection locked="0"/>
    </xf>
    <xf numFmtId="3" fontId="6" fillId="2" borderId="13" xfId="0" applyNumberFormat="1" applyFont="1" applyFill="1" applyBorder="1" applyAlignment="1">
      <alignment horizontal="right" vertical="center"/>
    </xf>
    <xf numFmtId="1" fontId="5" fillId="2" borderId="12" xfId="0" applyNumberFormat="1" applyFont="1" applyFill="1" applyBorder="1" applyAlignment="1">
      <alignment vertical="center"/>
    </xf>
    <xf numFmtId="1" fontId="5" fillId="2" borderId="11" xfId="0" applyNumberFormat="1" applyFont="1" applyFill="1" applyBorder="1" applyAlignment="1">
      <alignment vertical="center"/>
    </xf>
    <xf numFmtId="3" fontId="6" fillId="2" borderId="9" xfId="0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37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wrapText="1"/>
    </xf>
    <xf numFmtId="0" fontId="5" fillId="2" borderId="16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3" fillId="2" borderId="8" xfId="0" applyFont="1" applyFill="1" applyBorder="1" applyAlignment="1">
      <alignment horizontal="center" vertical="center"/>
    </xf>
    <xf numFmtId="0" fontId="33" fillId="2" borderId="2" xfId="0" applyFont="1" applyFill="1" applyBorder="1" applyAlignment="1">
      <alignment horizontal="center" vertical="center"/>
    </xf>
    <xf numFmtId="0" fontId="33" fillId="2" borderId="7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33" fillId="2" borderId="2" xfId="0" applyFont="1" applyFill="1" applyBorder="1" applyAlignment="1">
      <alignment vertical="center"/>
    </xf>
  </cellXfs>
  <cellStyles count="70">
    <cellStyle name="1" xfId="45" xr:uid="{00000000-0005-0000-0000-000000000000}"/>
    <cellStyle name="20% - Accent1" xfId="21" builtinId="30" customBuiltin="1"/>
    <cellStyle name="20% - Accent1 2" xfId="56" xr:uid="{00000000-0005-0000-0000-000002000000}"/>
    <cellStyle name="20% - Accent2" xfId="25" builtinId="34" customBuiltin="1"/>
    <cellStyle name="20% - Accent2 2" xfId="58" xr:uid="{00000000-0005-0000-0000-000004000000}"/>
    <cellStyle name="20% - Accent3" xfId="29" builtinId="38" customBuiltin="1"/>
    <cellStyle name="20% - Accent3 2" xfId="60" xr:uid="{00000000-0005-0000-0000-000006000000}"/>
    <cellStyle name="20% - Accent4" xfId="33" builtinId="42" customBuiltin="1"/>
    <cellStyle name="20% - Accent4 2" xfId="62" xr:uid="{00000000-0005-0000-0000-000008000000}"/>
    <cellStyle name="20% - Accent5" xfId="37" builtinId="46" customBuiltin="1"/>
    <cellStyle name="20% - Accent5 2" xfId="64" xr:uid="{00000000-0005-0000-0000-00000A000000}"/>
    <cellStyle name="20% - Accent6" xfId="41" builtinId="50" customBuiltin="1"/>
    <cellStyle name="20% - Accent6 2" xfId="66" xr:uid="{00000000-0005-0000-0000-00000C000000}"/>
    <cellStyle name="40% - Accent1" xfId="22" builtinId="31" customBuiltin="1"/>
    <cellStyle name="40% - Accent1 2" xfId="57" xr:uid="{00000000-0005-0000-0000-00000E000000}"/>
    <cellStyle name="40% - Accent2" xfId="26" builtinId="35" customBuiltin="1"/>
    <cellStyle name="40% - Accent2 2" xfId="59" xr:uid="{00000000-0005-0000-0000-000010000000}"/>
    <cellStyle name="40% - Accent3" xfId="30" builtinId="39" customBuiltin="1"/>
    <cellStyle name="40% - Accent3 2" xfId="61" xr:uid="{00000000-0005-0000-0000-000012000000}"/>
    <cellStyle name="40% - Accent4" xfId="34" builtinId="43" customBuiltin="1"/>
    <cellStyle name="40% - Accent4 2" xfId="63" xr:uid="{00000000-0005-0000-0000-000014000000}"/>
    <cellStyle name="40% - Accent5" xfId="38" builtinId="47" customBuiltin="1"/>
    <cellStyle name="40% - Accent5 2" xfId="65" xr:uid="{00000000-0005-0000-0000-000016000000}"/>
    <cellStyle name="40% - Accent6" xfId="42" builtinId="51" customBuiltin="1"/>
    <cellStyle name="40% - Accent6 2" xfId="67" xr:uid="{00000000-0005-0000-0000-000018000000}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1 - 20%" xfId="68" xr:uid="{00000000-0005-0000-0000-000020000000}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 2" xfId="46" xr:uid="{00000000-0005-0000-0000-00002A000000}"/>
    <cellStyle name="Comma 3" xfId="1" xr:uid="{00000000-0005-0000-0000-00002B000000}"/>
    <cellStyle name="Comma 4" xfId="50" xr:uid="{00000000-0005-0000-0000-00002C000000}"/>
    <cellStyle name="Comma 5" xfId="53" xr:uid="{00000000-0005-0000-0000-00002D000000}"/>
    <cellStyle name="Explanatory Text" xfId="18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- Style1" xfId="47" xr:uid="{00000000-0005-0000-0000-00003A000000}"/>
    <cellStyle name="Normal 2" xfId="3" xr:uid="{00000000-0005-0000-0000-00003B000000}"/>
    <cellStyle name="Normal 3" xfId="49" xr:uid="{00000000-0005-0000-0000-00003C000000}"/>
    <cellStyle name="Normal 4" xfId="52" xr:uid="{00000000-0005-0000-0000-00003D000000}"/>
    <cellStyle name="Normal 5" xfId="2" xr:uid="{00000000-0005-0000-0000-00003E000000}"/>
    <cellStyle name="Normal 6" xfId="55" xr:uid="{00000000-0005-0000-0000-00003F000000}"/>
    <cellStyle name="Normal 7" xfId="44" xr:uid="{00000000-0005-0000-0000-000040000000}"/>
    <cellStyle name="Normal_Quick data" xfId="69" xr:uid="{00000000-0005-0000-0000-000042000000}"/>
    <cellStyle name="Note 2" xfId="51" xr:uid="{00000000-0005-0000-0000-000044000000}"/>
    <cellStyle name="Note 3" xfId="54" xr:uid="{00000000-0005-0000-0000-000045000000}"/>
    <cellStyle name="Output" xfId="13" builtinId="21" customBuiltin="1"/>
    <cellStyle name="Percent 2" xfId="4" xr:uid="{00000000-0005-0000-0000-000048000000}"/>
    <cellStyle name="Title 2" xfId="48" xr:uid="{00000000-0005-0000-0000-000049000000}"/>
    <cellStyle name="Total" xfId="19" builtinId="25" customBuiltin="1"/>
    <cellStyle name="Warning Text" xfId="17" builtinId="11" customBuiltin="1"/>
  </cellStyles>
  <dxfs count="0"/>
  <tableStyles count="0" defaultTableStyle="TableStyleMedium2" defaultPivotStyle="PivotStyleLight16"/>
  <colors>
    <mruColors>
      <color rgb="FFC1FFFF"/>
      <color rgb="FF00DFDA"/>
      <color rgb="FF009999"/>
      <color rgb="FFCB9763"/>
      <color rgb="FF7B5229"/>
      <color rgb="FFECD9C6"/>
      <color rgb="FFE8D1BA"/>
      <color rgb="FFDAB48E"/>
      <color rgb="FF996633"/>
      <color rgb="FFC78E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Y248"/>
  <sheetViews>
    <sheetView tabSelected="1" zoomScale="89" zoomScaleNormal="89" workbookViewId="0">
      <selection sqref="A1:Y1"/>
    </sheetView>
  </sheetViews>
  <sheetFormatPr defaultColWidth="9" defaultRowHeight="15" x14ac:dyDescent="0.25"/>
  <cols>
    <col min="1" max="1" width="59.28515625" style="13" customWidth="1"/>
    <col min="2" max="2" width="10.42578125" style="28" hidden="1" customWidth="1"/>
    <col min="3" max="7" width="11.28515625" style="28" customWidth="1"/>
    <col min="8" max="8" width="10.42578125" style="28" hidden="1" customWidth="1"/>
    <col min="9" max="11" width="8.7109375" style="28" hidden="1" customWidth="1"/>
    <col min="12" max="16" width="8.7109375" style="28" customWidth="1"/>
    <col min="17" max="20" width="8.7109375" style="13" hidden="1" customWidth="1"/>
    <col min="21" max="23" width="8.7109375" style="13" customWidth="1"/>
    <col min="24" max="24" width="9.140625" style="11" customWidth="1"/>
    <col min="25" max="25" width="9" style="13"/>
    <col min="26" max="26" width="3.28515625" style="13" customWidth="1"/>
    <col min="27" max="16384" width="9" style="13"/>
  </cols>
  <sheetData>
    <row r="1" spans="1:25" ht="21" customHeight="1" x14ac:dyDescent="0.25">
      <c r="A1" s="57" t="s">
        <v>150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 spans="1:25" s="14" customFormat="1" ht="17.25" customHeight="1" x14ac:dyDescent="0.25">
      <c r="A2" s="54" t="s">
        <v>151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</row>
    <row r="3" spans="1:25" s="15" customFormat="1" ht="21" customHeight="1" x14ac:dyDescent="0.2">
      <c r="A3" s="60" t="s">
        <v>2</v>
      </c>
      <c r="B3" s="67"/>
      <c r="C3" s="62" t="s">
        <v>147</v>
      </c>
      <c r="D3" s="62"/>
      <c r="E3" s="62"/>
      <c r="F3" s="62"/>
      <c r="G3" s="63"/>
      <c r="H3" s="61" t="s">
        <v>4</v>
      </c>
      <c r="I3" s="62"/>
      <c r="J3" s="62"/>
      <c r="K3" s="62"/>
      <c r="L3" s="62"/>
      <c r="M3" s="62"/>
      <c r="N3" s="62"/>
      <c r="O3" s="62"/>
      <c r="P3" s="63"/>
      <c r="Q3" s="62" t="s">
        <v>5</v>
      </c>
      <c r="R3" s="62"/>
      <c r="S3" s="62"/>
      <c r="T3" s="62"/>
      <c r="U3" s="62"/>
      <c r="V3" s="62"/>
      <c r="W3" s="62"/>
      <c r="X3" s="62"/>
      <c r="Y3" s="62"/>
    </row>
    <row r="4" spans="1:25" s="15" customFormat="1" ht="21" customHeight="1" x14ac:dyDescent="0.2">
      <c r="A4" s="55"/>
      <c r="B4" s="68"/>
      <c r="C4" s="65" t="s">
        <v>144</v>
      </c>
      <c r="D4" s="65"/>
      <c r="E4" s="65"/>
      <c r="F4" s="65"/>
      <c r="G4" s="66"/>
      <c r="H4" s="64" t="s">
        <v>145</v>
      </c>
      <c r="I4" s="65"/>
      <c r="J4" s="65"/>
      <c r="K4" s="65"/>
      <c r="L4" s="65"/>
      <c r="M4" s="65"/>
      <c r="N4" s="65"/>
      <c r="O4" s="65"/>
      <c r="P4" s="66"/>
      <c r="Q4" s="65" t="s">
        <v>146</v>
      </c>
      <c r="R4" s="65"/>
      <c r="S4" s="65"/>
      <c r="T4" s="65"/>
      <c r="U4" s="65"/>
      <c r="V4" s="65"/>
      <c r="W4" s="65"/>
      <c r="X4" s="65"/>
      <c r="Y4" s="65"/>
    </row>
    <row r="5" spans="1:25" s="18" customFormat="1" ht="17.25" customHeight="1" x14ac:dyDescent="0.25">
      <c r="A5" s="56"/>
      <c r="B5" s="16">
        <v>2017</v>
      </c>
      <c r="C5" s="16">
        <v>2018</v>
      </c>
      <c r="D5" s="17">
        <v>2019</v>
      </c>
      <c r="E5" s="17">
        <v>2020</v>
      </c>
      <c r="F5" s="17">
        <v>2021</v>
      </c>
      <c r="G5" s="47">
        <v>2022</v>
      </c>
      <c r="H5" s="42">
        <v>2014</v>
      </c>
      <c r="I5" s="16">
        <v>2015</v>
      </c>
      <c r="J5" s="16">
        <v>2016</v>
      </c>
      <c r="K5" s="17">
        <v>2017</v>
      </c>
      <c r="L5" s="17">
        <v>2018</v>
      </c>
      <c r="M5" s="17">
        <v>2019</v>
      </c>
      <c r="N5" s="17">
        <v>2020</v>
      </c>
      <c r="O5" s="17">
        <v>2021</v>
      </c>
      <c r="P5" s="51">
        <v>2022</v>
      </c>
      <c r="Q5" s="16">
        <v>2014</v>
      </c>
      <c r="R5" s="16">
        <v>2015</v>
      </c>
      <c r="S5" s="16">
        <v>2016</v>
      </c>
      <c r="T5" s="17">
        <v>2017</v>
      </c>
      <c r="U5" s="17">
        <v>2018</v>
      </c>
      <c r="V5" s="17">
        <v>2019</v>
      </c>
      <c r="W5" s="17">
        <v>2020</v>
      </c>
      <c r="X5" s="17">
        <v>2021</v>
      </c>
      <c r="Y5" s="52">
        <v>2022</v>
      </c>
    </row>
    <row r="6" spans="1:25" s="18" customFormat="1" ht="19.5" customHeight="1" x14ac:dyDescent="0.25">
      <c r="A6" s="33" t="s">
        <v>3</v>
      </c>
      <c r="B6" s="7">
        <f t="shared" ref="B6:L6" si="0">B8+B15+B26+B29+B40+B45+B58+B62+B67+B72+B77+B92+B98+B103+B106+B119+B123+B129+B134+B137+B142</f>
        <v>36323926.056298584</v>
      </c>
      <c r="C6" s="7">
        <f t="shared" si="0"/>
        <v>45572679.69287999</v>
      </c>
      <c r="D6" s="7">
        <f t="shared" ref="D6:E6" si="1">D8+D15+D26+D29+D40+D45+D58+D62+D67+D72+D77+D92+D98+D103+D106+D119+D123+D129+D134+D137+D142</f>
        <v>44419161.239239991</v>
      </c>
      <c r="E6" s="7">
        <f t="shared" si="1"/>
        <v>28255524.517000012</v>
      </c>
      <c r="F6" s="7">
        <f t="shared" ref="F6:G6" si="2">F8+F15+F26+F29+F40+F45+F58+F62+F67+F72+F77+F92+F98+F103+F106+F119+F123+F129+F134+F137+F142</f>
        <v>38244243.662689999</v>
      </c>
      <c r="G6" s="39">
        <f t="shared" si="2"/>
        <v>53660565.957659975</v>
      </c>
      <c r="H6" s="43" t="e">
        <f t="shared" si="0"/>
        <v>#REF!</v>
      </c>
      <c r="I6" s="10" t="e">
        <f t="shared" si="0"/>
        <v>#REF!</v>
      </c>
      <c r="J6" s="10" t="e">
        <f t="shared" si="0"/>
        <v>#REF!</v>
      </c>
      <c r="K6" s="10">
        <f t="shared" si="0"/>
        <v>100.00000000000001</v>
      </c>
      <c r="L6" s="10">
        <f t="shared" si="0"/>
        <v>99.999999999999972</v>
      </c>
      <c r="M6" s="10">
        <f t="shared" ref="M6" si="3">M8+M15+M26+M29+M40+M45+M58+M62+M67+M72+M77+M92+M98+M103+M106+M119+M123+M129+M134+M137+M142</f>
        <v>99.999802670871517</v>
      </c>
      <c r="N6" s="10">
        <f>N8+N15+N26+N29+N40+N45+N58+N62+N67+N72+N77+N92+N98+N103+N106+N119+N123+N129+N134+N137+N142</f>
        <v>99.998711054177974</v>
      </c>
      <c r="O6" s="10">
        <f t="shared" ref="O6:P6" si="4">O8+O15+O26+O29+O40+O45+O58+O62+O67+O72+O77+O92+O98+O103+O106+O119+O123+O129+O134+O137+O142</f>
        <v>99.999569904010926</v>
      </c>
      <c r="P6" s="44">
        <f t="shared" si="4"/>
        <v>100.00062054012993</v>
      </c>
      <c r="Q6" s="2" t="e">
        <f>((#REF!-#REF!)/#REF!)*100</f>
        <v>#REF!</v>
      </c>
      <c r="R6" s="2" t="e">
        <f>((#REF!-#REF!)/#REF!)*100</f>
        <v>#REF!</v>
      </c>
      <c r="S6" s="2" t="e">
        <f>((#REF!-#REF!)/#REF!)*100</f>
        <v>#REF!</v>
      </c>
      <c r="T6" s="2" t="e">
        <f>((B6-#REF!)/#REF!)*100</f>
        <v>#REF!</v>
      </c>
      <c r="U6" s="2">
        <f>((C6-B6)/B6)*100</f>
        <v>25.461877722817544</v>
      </c>
      <c r="V6" s="2">
        <f t="shared" ref="V6:W6" si="5">((D6-C6)/C6)*100</f>
        <v>-2.5311622257319621</v>
      </c>
      <c r="W6" s="2">
        <f t="shared" si="5"/>
        <v>-36.388883246091069</v>
      </c>
      <c r="X6" s="2">
        <f>((F6-E6)/E6)*100</f>
        <v>35.351384610398043</v>
      </c>
      <c r="Y6" s="2">
        <f>((G6-F6)/F6)*100</f>
        <v>40.31017695353119</v>
      </c>
    </row>
    <row r="7" spans="1:25" s="18" customFormat="1" ht="19.5" customHeight="1" x14ac:dyDescent="0.25">
      <c r="A7" s="19" t="s">
        <v>6</v>
      </c>
      <c r="B7" s="1"/>
      <c r="C7" s="1"/>
      <c r="D7" s="1"/>
      <c r="E7" s="1"/>
      <c r="F7" s="1"/>
      <c r="G7" s="48"/>
      <c r="H7" s="31"/>
      <c r="I7" s="32"/>
      <c r="J7" s="32"/>
      <c r="K7" s="32"/>
      <c r="L7" s="32"/>
      <c r="M7" s="32"/>
      <c r="N7" s="32"/>
      <c r="O7" s="32"/>
      <c r="P7" s="40"/>
      <c r="Q7" s="2"/>
      <c r="R7" s="2"/>
      <c r="S7" s="32"/>
      <c r="T7" s="32"/>
      <c r="U7" s="32"/>
      <c r="V7" s="2"/>
      <c r="W7" s="32"/>
      <c r="X7" s="2"/>
      <c r="Y7" s="2"/>
    </row>
    <row r="8" spans="1:25" s="18" customFormat="1" ht="19.5" customHeight="1" x14ac:dyDescent="0.25">
      <c r="A8" s="33" t="s">
        <v>7</v>
      </c>
      <c r="B8" s="20">
        <f t="shared" ref="B8:C8" si="6">SUM(B9:B13)</f>
        <v>2143496.4560899986</v>
      </c>
      <c r="C8" s="20">
        <f t="shared" si="6"/>
        <v>2356170.8097600015</v>
      </c>
      <c r="D8" s="20">
        <f t="shared" ref="D8:E8" si="7">SUM(D9:D13)</f>
        <v>2603063.8518500016</v>
      </c>
      <c r="E8" s="20">
        <f t="shared" si="7"/>
        <v>1591172.9614499975</v>
      </c>
      <c r="F8" s="20">
        <f t="shared" ref="F8:G8" si="8">SUM(F9:F13)</f>
        <v>2619930.4366799989</v>
      </c>
      <c r="G8" s="49">
        <f t="shared" si="8"/>
        <v>3322902.5787200006</v>
      </c>
      <c r="H8" s="45" t="e">
        <f>#REF!/#REF!*100</f>
        <v>#REF!</v>
      </c>
      <c r="I8" s="2" t="e">
        <f>#REF!/#REF!*100</f>
        <v>#REF!</v>
      </c>
      <c r="J8" s="2" t="e">
        <f>#REF!/#REF!*100</f>
        <v>#REF!</v>
      </c>
      <c r="K8" s="2">
        <f>B8/$B$6*100</f>
        <v>5.9010594085225963</v>
      </c>
      <c r="L8" s="2">
        <f>C8/$C$6*100</f>
        <v>5.1701388323849562</v>
      </c>
      <c r="M8" s="2">
        <f>D8/$D$6*100</f>
        <v>5.8602273866226202</v>
      </c>
      <c r="N8" s="2">
        <f>E8/$E$6*100</f>
        <v>5.6313693999651786</v>
      </c>
      <c r="O8" s="2">
        <f>F8/$F$6*100</f>
        <v>6.8505222898052205</v>
      </c>
      <c r="P8" s="46">
        <f>G8/$G$6*100</f>
        <v>6.1924478794015787</v>
      </c>
      <c r="Q8" s="2" t="e">
        <f>((#REF!-#REF!)/#REF!)*100</f>
        <v>#REF!</v>
      </c>
      <c r="R8" s="2" t="e">
        <f>((#REF!-#REF!)/#REF!)*100</f>
        <v>#REF!</v>
      </c>
      <c r="S8" s="2" t="e">
        <f>((#REF!-#REF!)/#REF!)*100</f>
        <v>#REF!</v>
      </c>
      <c r="T8" s="2" t="e">
        <f>((B8-#REF!)/#REF!)*100</f>
        <v>#REF!</v>
      </c>
      <c r="U8" s="2">
        <f>((C8-B8)/B8)*100</f>
        <v>9.9218430273473412</v>
      </c>
      <c r="V8" s="2">
        <f t="shared" ref="V8:V13" si="9">((D8-C8)/C8)*100</f>
        <v>10.478571462955546</v>
      </c>
      <c r="W8" s="2">
        <f t="shared" ref="W8:W13" si="10">((E8-D8)/D8)*100</f>
        <v>-38.873072194554567</v>
      </c>
      <c r="X8" s="2">
        <f t="shared" ref="X8:X70" si="11">((F8-E8)/E8)*100</f>
        <v>64.654031972270289</v>
      </c>
      <c r="Y8" s="2">
        <f t="shared" ref="Y8:Y70" si="12">((G8-F8)/F8)*100</f>
        <v>26.831710193451347</v>
      </c>
    </row>
    <row r="9" spans="1:25" s="18" customFormat="1" ht="19.5" customHeight="1" x14ac:dyDescent="0.25">
      <c r="A9" s="21" t="s">
        <v>8</v>
      </c>
      <c r="B9" s="3">
        <v>1896.0983000000001</v>
      </c>
      <c r="C9" s="3">
        <v>2445.4350100000001</v>
      </c>
      <c r="D9" s="3">
        <v>3615.096770000001</v>
      </c>
      <c r="E9" s="3">
        <v>3047.7427899999998</v>
      </c>
      <c r="F9" s="3">
        <v>6300.8061699999989</v>
      </c>
      <c r="G9" s="50">
        <v>12598.893740000003</v>
      </c>
      <c r="H9" s="31" t="e">
        <f>#REF!/#REF!*100</f>
        <v>#REF!</v>
      </c>
      <c r="I9" s="32" t="e">
        <f>#REF!/#REF!*100</f>
        <v>#REF!</v>
      </c>
      <c r="J9" s="32" t="e">
        <f>#REF!/#REF!*100</f>
        <v>#REF!</v>
      </c>
      <c r="K9" s="32">
        <f>B9/$B$6*100</f>
        <v>5.2199707076300908E-3</v>
      </c>
      <c r="L9" s="32">
        <f t="shared" ref="L9:L72" si="13">C9/$C$6*100</f>
        <v>5.3660110102809267E-3</v>
      </c>
      <c r="M9" s="32">
        <f t="shared" ref="M9:M13" si="14">D9/$D$6*100</f>
        <v>8.1385975537206154E-3</v>
      </c>
      <c r="N9" s="32">
        <f t="shared" ref="N9:N72" si="15">E9/$E$6*100</f>
        <v>1.0786360692636646E-2</v>
      </c>
      <c r="O9" s="32">
        <f t="shared" ref="O9:O72" si="16">F9/$F$6*100</f>
        <v>1.6475175259242705E-2</v>
      </c>
      <c r="P9" s="40">
        <f t="shared" ref="P9:P72" si="17">G9/$G$6*100</f>
        <v>2.3478868541828207E-2</v>
      </c>
      <c r="Q9" s="32" t="e">
        <f>((#REF!-#REF!)/#REF!)*100</f>
        <v>#REF!</v>
      </c>
      <c r="R9" s="32" t="e">
        <f>((#REF!-#REF!)/#REF!)*100</f>
        <v>#REF!</v>
      </c>
      <c r="S9" s="32" t="e">
        <f>((#REF!-#REF!)/#REF!)*100</f>
        <v>#REF!</v>
      </c>
      <c r="T9" s="32" t="e">
        <f>((B9-#REF!)/#REF!)*100</f>
        <v>#REF!</v>
      </c>
      <c r="U9" s="32">
        <f>((C9-B9)/B9)*100</f>
        <v>28.971953089141</v>
      </c>
      <c r="V9" s="32">
        <f t="shared" si="9"/>
        <v>47.830416887668619</v>
      </c>
      <c r="W9" s="32">
        <f t="shared" si="10"/>
        <v>-15.694019167293302</v>
      </c>
      <c r="X9" s="35" t="s">
        <v>148</v>
      </c>
      <c r="Y9" s="32">
        <f t="shared" si="12"/>
        <v>99.956853140270539</v>
      </c>
    </row>
    <row r="10" spans="1:25" s="18" customFormat="1" ht="19.5" customHeight="1" x14ac:dyDescent="0.25">
      <c r="A10" s="21" t="s">
        <v>9</v>
      </c>
      <c r="B10" s="3">
        <v>826778.15667000005</v>
      </c>
      <c r="C10" s="3">
        <v>926940.45151000016</v>
      </c>
      <c r="D10" s="3">
        <v>1022257.8311100008</v>
      </c>
      <c r="E10" s="3">
        <v>598189.01617999922</v>
      </c>
      <c r="F10" s="3">
        <v>1053564.9102499997</v>
      </c>
      <c r="G10" s="50">
        <v>1486819.1270800009</v>
      </c>
      <c r="H10" s="31" t="e">
        <f>#REF!/#REF!*100</f>
        <v>#REF!</v>
      </c>
      <c r="I10" s="32" t="e">
        <f>#REF!/#REF!*100</f>
        <v>#REF!</v>
      </c>
      <c r="J10" s="32" t="e">
        <f>#REF!/#REF!*100</f>
        <v>#REF!</v>
      </c>
      <c r="K10" s="32">
        <f>B10/$B$6*100</f>
        <v>2.2761255360683577</v>
      </c>
      <c r="L10" s="32">
        <f t="shared" si="13"/>
        <v>2.0339827672122159</v>
      </c>
      <c r="M10" s="32">
        <f t="shared" si="14"/>
        <v>2.301389316210086</v>
      </c>
      <c r="N10" s="32">
        <f t="shared" si="15"/>
        <v>2.1170692330276766</v>
      </c>
      <c r="O10" s="32">
        <f t="shared" si="16"/>
        <v>2.7548326476065936</v>
      </c>
      <c r="P10" s="40">
        <f t="shared" si="17"/>
        <v>2.770785399939971</v>
      </c>
      <c r="Q10" s="32" t="e">
        <f>((#REF!-#REF!)/#REF!)*100</f>
        <v>#REF!</v>
      </c>
      <c r="R10" s="32" t="e">
        <f>((#REF!-#REF!)/#REF!)*100</f>
        <v>#REF!</v>
      </c>
      <c r="S10" s="32" t="e">
        <f>((#REF!-#REF!)/#REF!)*100</f>
        <v>#REF!</v>
      </c>
      <c r="T10" s="32" t="e">
        <f>((B10-#REF!)/#REF!)*100</f>
        <v>#REF!</v>
      </c>
      <c r="U10" s="32">
        <f>((C10-B10)/B10)*100</f>
        <v>12.114772751547045</v>
      </c>
      <c r="V10" s="32">
        <f t="shared" si="9"/>
        <v>10.283010029902915</v>
      </c>
      <c r="W10" s="32">
        <f t="shared" si="10"/>
        <v>-41.483547694570746</v>
      </c>
      <c r="X10" s="32">
        <f t="shared" si="11"/>
        <v>76.125753190522431</v>
      </c>
      <c r="Y10" s="32">
        <f t="shared" si="12"/>
        <v>41.122688560991897</v>
      </c>
    </row>
    <row r="11" spans="1:25" s="18" customFormat="1" ht="19.5" customHeight="1" x14ac:dyDescent="0.25">
      <c r="A11" s="21" t="s">
        <v>10</v>
      </c>
      <c r="B11" s="3">
        <v>442908.68807999947</v>
      </c>
      <c r="C11" s="3">
        <v>434670.95931000076</v>
      </c>
      <c r="D11" s="3">
        <v>485518.79933000141</v>
      </c>
      <c r="E11" s="3">
        <v>195293.61287999971</v>
      </c>
      <c r="F11" s="3">
        <v>369065.73056</v>
      </c>
      <c r="G11" s="50">
        <v>468798.47665999993</v>
      </c>
      <c r="H11" s="31" t="e">
        <f>#REF!/#REF!*100</f>
        <v>#REF!</v>
      </c>
      <c r="I11" s="32" t="e">
        <f>#REF!/#REF!*100</f>
        <v>#REF!</v>
      </c>
      <c r="J11" s="32" t="e">
        <f>#REF!/#REF!*100</f>
        <v>#REF!</v>
      </c>
      <c r="K11" s="32">
        <f>B11/$B$6*100</f>
        <v>1.2193304418512847</v>
      </c>
      <c r="L11" s="32">
        <f t="shared" si="13"/>
        <v>0.9537972360618312</v>
      </c>
      <c r="M11" s="32">
        <f t="shared" si="14"/>
        <v>1.0930390979582321</v>
      </c>
      <c r="N11" s="32">
        <f t="shared" si="15"/>
        <v>0.69116966051187889</v>
      </c>
      <c r="O11" s="32">
        <f t="shared" si="16"/>
        <v>0.96502295565083984</v>
      </c>
      <c r="P11" s="40">
        <f t="shared" si="17"/>
        <v>0.87363684727048541</v>
      </c>
      <c r="Q11" s="32" t="e">
        <f>((#REF!-#REF!)/#REF!)*100</f>
        <v>#REF!</v>
      </c>
      <c r="R11" s="32" t="e">
        <f>((#REF!-#REF!)/#REF!)*100</f>
        <v>#REF!</v>
      </c>
      <c r="S11" s="32" t="e">
        <f>((#REF!-#REF!)/#REF!)*100</f>
        <v>#REF!</v>
      </c>
      <c r="T11" s="32" t="e">
        <f>((B11-#REF!)/#REF!)*100</f>
        <v>#REF!</v>
      </c>
      <c r="U11" s="32">
        <f>((C11-B11)/B11)*100</f>
        <v>-1.8599158227645296</v>
      </c>
      <c r="V11" s="32">
        <f t="shared" si="9"/>
        <v>11.698007177824072</v>
      </c>
      <c r="W11" s="32">
        <f t="shared" si="10"/>
        <v>-59.776302555225882</v>
      </c>
      <c r="X11" s="32">
        <f t="shared" si="11"/>
        <v>88.979928794075036</v>
      </c>
      <c r="Y11" s="32">
        <f t="shared" si="12"/>
        <v>27.023030815857911</v>
      </c>
    </row>
    <row r="12" spans="1:25" s="18" customFormat="1" ht="19.5" customHeight="1" x14ac:dyDescent="0.25">
      <c r="A12" s="21" t="s">
        <v>11</v>
      </c>
      <c r="B12" s="3">
        <v>869114.13800999895</v>
      </c>
      <c r="C12" s="3">
        <v>987383.69959000021</v>
      </c>
      <c r="D12" s="3">
        <v>1086351.8534599992</v>
      </c>
      <c r="E12" s="3">
        <v>789446.62267999863</v>
      </c>
      <c r="F12" s="3">
        <v>1187216.072219999</v>
      </c>
      <c r="G12" s="50">
        <v>1351385.4637199997</v>
      </c>
      <c r="H12" s="31" t="e">
        <f>#REF!/#REF!*100</f>
        <v>#REF!</v>
      </c>
      <c r="I12" s="32" t="e">
        <f>#REF!/#REF!*100</f>
        <v>#REF!</v>
      </c>
      <c r="J12" s="32" t="e">
        <f>#REF!/#REF!*100</f>
        <v>#REF!</v>
      </c>
      <c r="K12" s="32">
        <f>B12/$B$6*100</f>
        <v>2.3926767625915653</v>
      </c>
      <c r="L12" s="32">
        <f t="shared" si="13"/>
        <v>2.1666132126618467</v>
      </c>
      <c r="M12" s="32">
        <f t="shared" si="14"/>
        <v>2.4456829511231595</v>
      </c>
      <c r="N12" s="32">
        <f t="shared" si="15"/>
        <v>2.7939549386351894</v>
      </c>
      <c r="O12" s="32">
        <f t="shared" si="16"/>
        <v>3.1043000423569977</v>
      </c>
      <c r="P12" s="40">
        <f t="shared" si="17"/>
        <v>2.5183958454450313</v>
      </c>
      <c r="Q12" s="32" t="e">
        <f>((#REF!-#REF!)/#REF!)*100</f>
        <v>#REF!</v>
      </c>
      <c r="R12" s="32" t="e">
        <f>((#REF!-#REF!)/#REF!)*100</f>
        <v>#REF!</v>
      </c>
      <c r="S12" s="32" t="e">
        <f>((#REF!-#REF!)/#REF!)*100</f>
        <v>#REF!</v>
      </c>
      <c r="T12" s="32" t="e">
        <f>((B12-#REF!)/#REF!)*100</f>
        <v>#REF!</v>
      </c>
      <c r="U12" s="32">
        <f>((C12-B12)/B12)*100</f>
        <v>13.608058643574914</v>
      </c>
      <c r="V12" s="32">
        <f t="shared" si="9"/>
        <v>10.023271997612923</v>
      </c>
      <c r="W12" s="32">
        <f t="shared" si="10"/>
        <v>-27.330485038927861</v>
      </c>
      <c r="X12" s="32">
        <f t="shared" si="11"/>
        <v>50.385857398396375</v>
      </c>
      <c r="Y12" s="32">
        <f t="shared" si="12"/>
        <v>13.828097120772378</v>
      </c>
    </row>
    <row r="13" spans="1:25" s="18" customFormat="1" ht="19.5" customHeight="1" x14ac:dyDescent="0.25">
      <c r="A13" s="21" t="s">
        <v>12</v>
      </c>
      <c r="B13" s="3">
        <v>2799.3750299999992</v>
      </c>
      <c r="C13" s="3">
        <v>4730.2643399999997</v>
      </c>
      <c r="D13" s="3">
        <v>5320.2711800000006</v>
      </c>
      <c r="E13" s="3">
        <v>5195.9669199999989</v>
      </c>
      <c r="F13" s="3">
        <v>3782.9174800000005</v>
      </c>
      <c r="G13" s="50">
        <v>3300.6175200000007</v>
      </c>
      <c r="H13" s="31" t="e">
        <f>#REF!/#REF!*100</f>
        <v>#REF!</v>
      </c>
      <c r="I13" s="32" t="e">
        <f>#REF!/#REF!*100</f>
        <v>#REF!</v>
      </c>
      <c r="J13" s="32" t="e">
        <f>#REF!/#REF!*100</f>
        <v>#REF!</v>
      </c>
      <c r="K13" s="32">
        <f>B13/$B$6*100</f>
        <v>7.7066973037585142E-3</v>
      </c>
      <c r="L13" s="32">
        <f t="shared" si="13"/>
        <v>1.0379605438780087E-2</v>
      </c>
      <c r="M13" s="32">
        <f t="shared" si="14"/>
        <v>1.197742377742167E-2</v>
      </c>
      <c r="N13" s="32">
        <f t="shared" si="15"/>
        <v>1.8389207097797219E-2</v>
      </c>
      <c r="O13" s="32">
        <f t="shared" si="16"/>
        <v>9.8914689315467048E-3</v>
      </c>
      <c r="P13" s="40">
        <f t="shared" si="17"/>
        <v>6.150918204262514E-3</v>
      </c>
      <c r="Q13" s="32" t="e">
        <f>((#REF!-#REF!)/#REF!)*100</f>
        <v>#REF!</v>
      </c>
      <c r="R13" s="32" t="e">
        <f>((#REF!-#REF!)/#REF!)*100</f>
        <v>#REF!</v>
      </c>
      <c r="S13" s="32" t="e">
        <f>((#REF!-#REF!)/#REF!)*100</f>
        <v>#REF!</v>
      </c>
      <c r="T13" s="32" t="e">
        <f>((B13-#REF!)/#REF!)*100</f>
        <v>#REF!</v>
      </c>
      <c r="U13" s="32">
        <f>((C13-B13)/B13)*100</f>
        <v>68.975728128860283</v>
      </c>
      <c r="V13" s="32">
        <f t="shared" si="9"/>
        <v>12.473020482402914</v>
      </c>
      <c r="W13" s="32">
        <f t="shared" si="10"/>
        <v>-2.336427144302101</v>
      </c>
      <c r="X13" s="32">
        <f t="shared" si="11"/>
        <v>-27.195120018200551</v>
      </c>
      <c r="Y13" s="32">
        <f t="shared" si="12"/>
        <v>-12.749417943951549</v>
      </c>
    </row>
    <row r="14" spans="1:25" s="18" customFormat="1" ht="19.5" customHeight="1" x14ac:dyDescent="0.25">
      <c r="A14" s="19" t="s">
        <v>13</v>
      </c>
      <c r="B14" s="3"/>
      <c r="C14" s="3"/>
      <c r="D14" s="3"/>
      <c r="E14" s="3"/>
      <c r="F14" s="3"/>
      <c r="G14" s="50"/>
      <c r="H14" s="31"/>
      <c r="I14" s="32"/>
      <c r="J14" s="32"/>
      <c r="K14" s="32"/>
      <c r="L14" s="32"/>
      <c r="M14" s="32"/>
      <c r="N14" s="32"/>
      <c r="O14" s="32">
        <f t="shared" si="16"/>
        <v>0</v>
      </c>
      <c r="P14" s="40">
        <f t="shared" si="17"/>
        <v>0</v>
      </c>
      <c r="Q14" s="2"/>
      <c r="R14" s="2"/>
      <c r="S14" s="32"/>
      <c r="T14" s="32"/>
      <c r="U14" s="32"/>
      <c r="V14" s="2"/>
      <c r="W14" s="32"/>
      <c r="X14" s="2"/>
      <c r="Y14" s="2"/>
    </row>
    <row r="15" spans="1:25" s="18" customFormat="1" ht="19.5" customHeight="1" x14ac:dyDescent="0.25">
      <c r="A15" s="33" t="s">
        <v>14</v>
      </c>
      <c r="B15" s="20">
        <f t="shared" ref="B15:C15" si="18">SUM(B16:B24)</f>
        <v>2428930.532674694</v>
      </c>
      <c r="C15" s="20">
        <f t="shared" si="18"/>
        <v>2688480.3675899953</v>
      </c>
      <c r="D15" s="20">
        <f t="shared" ref="D15:E15" si="19">SUM(D16:D24)</f>
        <v>2940826.6718500056</v>
      </c>
      <c r="E15" s="20">
        <f t="shared" si="19"/>
        <v>2178534.8222399955</v>
      </c>
      <c r="F15" s="20">
        <f t="shared" ref="F15:G15" si="20">SUM(F16:F24)</f>
        <v>2821434.924889999</v>
      </c>
      <c r="G15" s="49">
        <f t="shared" si="20"/>
        <v>3334408.7723699976</v>
      </c>
      <c r="H15" s="45" t="e">
        <f>#REF!/#REF!*100</f>
        <v>#REF!</v>
      </c>
      <c r="I15" s="2" t="e">
        <f>#REF!/#REF!*100</f>
        <v>#REF!</v>
      </c>
      <c r="J15" s="2" t="e">
        <f>#REF!/#REF!*100</f>
        <v>#REF!</v>
      </c>
      <c r="K15" s="2">
        <f>B15/$B$6*100</f>
        <v>6.6868612410180717</v>
      </c>
      <c r="L15" s="2">
        <f t="shared" si="13"/>
        <v>5.899324739532549</v>
      </c>
      <c r="M15" s="2">
        <f t="shared" ref="M15:M24" si="21">D15/$D$6*100</f>
        <v>6.6206263013630986</v>
      </c>
      <c r="N15" s="2">
        <f t="shared" si="15"/>
        <v>7.7101199127599775</v>
      </c>
      <c r="O15" s="2">
        <f t="shared" si="16"/>
        <v>7.3774107020516428</v>
      </c>
      <c r="P15" s="46">
        <f t="shared" si="17"/>
        <v>6.2138904293349428</v>
      </c>
      <c r="Q15" s="2" t="e">
        <f>((#REF!-#REF!)/#REF!)*100</f>
        <v>#REF!</v>
      </c>
      <c r="R15" s="2" t="e">
        <f>((#REF!-#REF!)/#REF!)*100</f>
        <v>#REF!</v>
      </c>
      <c r="S15" s="2" t="e">
        <f>((#REF!-#REF!)/#REF!)*100</f>
        <v>#REF!</v>
      </c>
      <c r="T15" s="2" t="e">
        <f>((B15-#REF!)/#REF!)*100</f>
        <v>#REF!</v>
      </c>
      <c r="U15" s="2">
        <f>((C15-B15)/B15)*100</f>
        <v>10.685766077858544</v>
      </c>
      <c r="V15" s="2">
        <f t="shared" ref="V15:V24" si="22">((D15-C15)/C15)*100</f>
        <v>9.386205951216164</v>
      </c>
      <c r="W15" s="2">
        <f t="shared" ref="W15:W24" si="23">((E15-D15)/D15)*100</f>
        <v>-25.921005712671601</v>
      </c>
      <c r="X15" s="2">
        <f t="shared" si="11"/>
        <v>29.510664511158279</v>
      </c>
      <c r="Y15" s="2">
        <f t="shared" si="12"/>
        <v>18.181310614491604</v>
      </c>
    </row>
    <row r="16" spans="1:25" s="18" customFormat="1" ht="19.5" customHeight="1" x14ac:dyDescent="0.25">
      <c r="A16" s="21" t="s">
        <v>15</v>
      </c>
      <c r="B16" s="3">
        <v>25043.424599999995</v>
      </c>
      <c r="C16" s="3">
        <v>73225.987119999962</v>
      </c>
      <c r="D16" s="3">
        <v>64652.505540000035</v>
      </c>
      <c r="E16" s="3">
        <v>30223.360089999995</v>
      </c>
      <c r="F16" s="3">
        <v>37432.967809999987</v>
      </c>
      <c r="G16" s="50">
        <v>35582.806770000003</v>
      </c>
      <c r="H16" s="31" t="e">
        <f>#REF!/#REF!*100</f>
        <v>#REF!</v>
      </c>
      <c r="I16" s="32" t="e">
        <f>#REF!/#REF!*100</f>
        <v>#REF!</v>
      </c>
      <c r="J16" s="32" t="e">
        <f>#REF!/#REF!*100</f>
        <v>#REF!</v>
      </c>
      <c r="K16" s="32">
        <f>B16/$B$6*100</f>
        <v>6.8944707576997874E-2</v>
      </c>
      <c r="L16" s="32">
        <f t="shared" si="13"/>
        <v>0.16067957296669644</v>
      </c>
      <c r="M16" s="32">
        <f t="shared" si="21"/>
        <v>0.14555093733486768</v>
      </c>
      <c r="N16" s="32">
        <f t="shared" si="15"/>
        <v>0.10696442768852521</v>
      </c>
      <c r="O16" s="32">
        <f t="shared" si="16"/>
        <v>9.7878698138613024E-2</v>
      </c>
      <c r="P16" s="40">
        <f t="shared" si="17"/>
        <v>6.6310904730442197E-2</v>
      </c>
      <c r="Q16" s="32" t="e">
        <f>((#REF!-#REF!)/#REF!)*100</f>
        <v>#REF!</v>
      </c>
      <c r="R16" s="32" t="e">
        <f>((#REF!-#REF!)/#REF!)*100</f>
        <v>#REF!</v>
      </c>
      <c r="S16" s="32" t="e">
        <f>((#REF!-#REF!)/#REF!)*100</f>
        <v>#REF!</v>
      </c>
      <c r="T16" s="32" t="e">
        <f>((B16-#REF!)/#REF!)*100</f>
        <v>#REF!</v>
      </c>
      <c r="U16" s="32">
        <f>((C16-B16)/B16)*100</f>
        <v>192.39606120003242</v>
      </c>
      <c r="V16" s="32">
        <f t="shared" si="22"/>
        <v>-11.708249922189552</v>
      </c>
      <c r="W16" s="32">
        <f t="shared" si="23"/>
        <v>-53.252608174170412</v>
      </c>
      <c r="X16" s="32">
        <f t="shared" si="11"/>
        <v>23.854421541916633</v>
      </c>
      <c r="Y16" s="32">
        <f t="shared" si="12"/>
        <v>-4.9425977907787617</v>
      </c>
    </row>
    <row r="17" spans="1:25" s="18" customFormat="1" ht="19.5" customHeight="1" x14ac:dyDescent="0.25">
      <c r="A17" s="21" t="s">
        <v>16</v>
      </c>
      <c r="B17" s="3">
        <v>773352.6762282952</v>
      </c>
      <c r="C17" s="3">
        <v>829480.21273999941</v>
      </c>
      <c r="D17" s="3">
        <v>962382.18322000012</v>
      </c>
      <c r="E17" s="3">
        <v>691918.16649000137</v>
      </c>
      <c r="F17" s="3">
        <v>928080.4846899996</v>
      </c>
      <c r="G17" s="50">
        <v>1095055.6846599986</v>
      </c>
      <c r="H17" s="31" t="e">
        <f>#REF!/#REF!*100</f>
        <v>#REF!</v>
      </c>
      <c r="I17" s="32" t="e">
        <f>#REF!/#REF!*100</f>
        <v>#REF!</v>
      </c>
      <c r="J17" s="32" t="e">
        <f>#REF!/#REF!*100</f>
        <v>#REF!</v>
      </c>
      <c r="K17" s="32">
        <f>B17/$B$6*100</f>
        <v>2.1290448478219921</v>
      </c>
      <c r="L17" s="32">
        <f t="shared" si="13"/>
        <v>1.8201260455386226</v>
      </c>
      <c r="M17" s="32">
        <f t="shared" si="21"/>
        <v>2.166592426265423</v>
      </c>
      <c r="N17" s="32">
        <f t="shared" si="15"/>
        <v>2.4487889654064179</v>
      </c>
      <c r="O17" s="32">
        <f t="shared" si="16"/>
        <v>2.4267194113591755</v>
      </c>
      <c r="P17" s="40">
        <f t="shared" si="17"/>
        <v>2.0407084143019194</v>
      </c>
      <c r="Q17" s="32" t="e">
        <f>((#REF!-#REF!)/#REF!)*100</f>
        <v>#REF!</v>
      </c>
      <c r="R17" s="32" t="e">
        <f>((#REF!-#REF!)/#REF!)*100</f>
        <v>#REF!</v>
      </c>
      <c r="S17" s="32" t="e">
        <f>((#REF!-#REF!)/#REF!)*100</f>
        <v>#REF!</v>
      </c>
      <c r="T17" s="32" t="e">
        <f>((B17-#REF!)/#REF!)*100</f>
        <v>#REF!</v>
      </c>
      <c r="U17" s="32">
        <f>((C17-B17)/B17)*100</f>
        <v>7.2576895686768461</v>
      </c>
      <c r="V17" s="32">
        <f t="shared" si="22"/>
        <v>16.022319572999731</v>
      </c>
      <c r="W17" s="32">
        <f t="shared" si="23"/>
        <v>-28.103597660657314</v>
      </c>
      <c r="X17" s="32">
        <f t="shared" si="11"/>
        <v>34.131538906980111</v>
      </c>
      <c r="Y17" s="32">
        <f t="shared" si="12"/>
        <v>17.991456853634048</v>
      </c>
    </row>
    <row r="18" spans="1:25" s="18" customFormat="1" ht="19.5" customHeight="1" x14ac:dyDescent="0.25">
      <c r="A18" s="21" t="s">
        <v>17</v>
      </c>
      <c r="B18" s="3">
        <v>799745.8344613997</v>
      </c>
      <c r="C18" s="3">
        <v>875606.91040999675</v>
      </c>
      <c r="D18" s="3">
        <v>986228.02829000494</v>
      </c>
      <c r="E18" s="3">
        <v>619264.37756999477</v>
      </c>
      <c r="F18" s="3">
        <v>985942.34633999981</v>
      </c>
      <c r="G18" s="50">
        <v>1184662.8664799994</v>
      </c>
      <c r="H18" s="31" t="e">
        <f>#REF!/#REF!*100</f>
        <v>#REF!</v>
      </c>
      <c r="I18" s="32" t="e">
        <f>#REF!/#REF!*100</f>
        <v>#REF!</v>
      </c>
      <c r="J18" s="32" t="e">
        <f>#REF!/#REF!*100</f>
        <v>#REF!</v>
      </c>
      <c r="K18" s="32">
        <f>B18/$B$6*100</f>
        <v>2.2017053806955524</v>
      </c>
      <c r="L18" s="32">
        <f t="shared" si="13"/>
        <v>1.9213417255926613</v>
      </c>
      <c r="M18" s="32">
        <f t="shared" si="21"/>
        <v>2.2202761168276379</v>
      </c>
      <c r="N18" s="32">
        <f t="shared" si="15"/>
        <v>2.1916576958159553</v>
      </c>
      <c r="O18" s="32">
        <f t="shared" si="16"/>
        <v>2.5780150211255379</v>
      </c>
      <c r="P18" s="40">
        <f t="shared" si="17"/>
        <v>2.207697301244901</v>
      </c>
      <c r="Q18" s="32" t="e">
        <f>((#REF!-#REF!)/#REF!)*100</f>
        <v>#REF!</v>
      </c>
      <c r="R18" s="32" t="e">
        <f>((#REF!-#REF!)/#REF!)*100</f>
        <v>#REF!</v>
      </c>
      <c r="S18" s="32" t="e">
        <f>((#REF!-#REF!)/#REF!)*100</f>
        <v>#REF!</v>
      </c>
      <c r="T18" s="32" t="e">
        <f>((B18-#REF!)/#REF!)*100</f>
        <v>#REF!</v>
      </c>
      <c r="U18" s="32">
        <f>((C18-B18)/B18)*100</f>
        <v>9.4856481496632963</v>
      </c>
      <c r="V18" s="32">
        <f t="shared" si="22"/>
        <v>12.633650621625476</v>
      </c>
      <c r="W18" s="32">
        <f t="shared" si="23"/>
        <v>-37.208803663416347</v>
      </c>
      <c r="X18" s="32">
        <f t="shared" si="11"/>
        <v>59.211862017456319</v>
      </c>
      <c r="Y18" s="32">
        <f t="shared" si="12"/>
        <v>20.155389498958723</v>
      </c>
    </row>
    <row r="19" spans="1:25" s="18" customFormat="1" ht="19.5" customHeight="1" x14ac:dyDescent="0.25">
      <c r="A19" s="21" t="s">
        <v>18</v>
      </c>
      <c r="B19" s="3">
        <v>243171.24464999986</v>
      </c>
      <c r="C19" s="3">
        <v>262106.20295999991</v>
      </c>
      <c r="D19" s="3">
        <v>289449.73965999973</v>
      </c>
      <c r="E19" s="3">
        <v>227669.01538999975</v>
      </c>
      <c r="F19" s="3">
        <v>274457.51908000017</v>
      </c>
      <c r="G19" s="50">
        <v>331125.70302999986</v>
      </c>
      <c r="H19" s="31" t="e">
        <f>#REF!/#REF!*100</f>
        <v>#REF!</v>
      </c>
      <c r="I19" s="32" t="e">
        <f>#REF!/#REF!*100</f>
        <v>#REF!</v>
      </c>
      <c r="J19" s="32" t="e">
        <f>#REF!/#REF!*100</f>
        <v>#REF!</v>
      </c>
      <c r="K19" s="32">
        <f>B19/$B$6*100</f>
        <v>0.66945198675139872</v>
      </c>
      <c r="L19" s="32">
        <f t="shared" si="13"/>
        <v>0.57513888743511798</v>
      </c>
      <c r="M19" s="32">
        <f t="shared" si="21"/>
        <v>0.65163260985734051</v>
      </c>
      <c r="N19" s="32">
        <f t="shared" si="15"/>
        <v>0.80575044803370077</v>
      </c>
      <c r="O19" s="32">
        <f t="shared" si="16"/>
        <v>0.71764399761879238</v>
      </c>
      <c r="P19" s="40">
        <f t="shared" si="17"/>
        <v>0.61707456326731513</v>
      </c>
      <c r="Q19" s="32" t="e">
        <f>((#REF!-#REF!)/#REF!)*100</f>
        <v>#REF!</v>
      </c>
      <c r="R19" s="32" t="e">
        <f>((#REF!-#REF!)/#REF!)*100</f>
        <v>#REF!</v>
      </c>
      <c r="S19" s="32" t="e">
        <f>((#REF!-#REF!)/#REF!)*100</f>
        <v>#REF!</v>
      </c>
      <c r="T19" s="32" t="e">
        <f>((B19-#REF!)/#REF!)*100</f>
        <v>#REF!</v>
      </c>
      <c r="U19" s="32">
        <f>((C19-B19)/B19)*100</f>
        <v>7.7866765608957698</v>
      </c>
      <c r="V19" s="32">
        <f t="shared" si="22"/>
        <v>10.432235632429014</v>
      </c>
      <c r="W19" s="32">
        <f t="shared" si="23"/>
        <v>-21.344197560022099</v>
      </c>
      <c r="X19" s="32">
        <f t="shared" si="11"/>
        <v>20.551107321236117</v>
      </c>
      <c r="Y19" s="32">
        <f t="shared" si="12"/>
        <v>20.64734248854074</v>
      </c>
    </row>
    <row r="20" spans="1:25" s="18" customFormat="1" ht="19.5" customHeight="1" x14ac:dyDescent="0.25">
      <c r="A20" s="21" t="s">
        <v>19</v>
      </c>
      <c r="B20" s="3">
        <v>361564.74127999973</v>
      </c>
      <c r="C20" s="3">
        <v>394921.75075999979</v>
      </c>
      <c r="D20" s="3">
        <v>378018.5259200001</v>
      </c>
      <c r="E20" s="3">
        <v>387327.76334999973</v>
      </c>
      <c r="F20" s="3">
        <v>349426.11791999958</v>
      </c>
      <c r="G20" s="50">
        <v>374795.66226999956</v>
      </c>
      <c r="H20" s="31" t="e">
        <f>#REF!/#REF!*100</f>
        <v>#REF!</v>
      </c>
      <c r="I20" s="32" t="e">
        <f>#REF!/#REF!*100</f>
        <v>#REF!</v>
      </c>
      <c r="J20" s="32" t="e">
        <f>#REF!/#REF!*100</f>
        <v>#REF!</v>
      </c>
      <c r="K20" s="32">
        <f>B20/$B$6*100</f>
        <v>0.99539003773878743</v>
      </c>
      <c r="L20" s="32">
        <f t="shared" si="13"/>
        <v>0.8665756620445122</v>
      </c>
      <c r="M20" s="32">
        <f t="shared" si="21"/>
        <v>0.85102580817320272</v>
      </c>
      <c r="N20" s="32">
        <f t="shared" si="15"/>
        <v>1.3708036568811983</v>
      </c>
      <c r="O20" s="32">
        <f t="shared" si="16"/>
        <v>0.9136698348695278</v>
      </c>
      <c r="P20" s="40">
        <f t="shared" si="17"/>
        <v>0.69845640943430631</v>
      </c>
      <c r="Q20" s="32" t="e">
        <f>((#REF!-#REF!)/#REF!)*100</f>
        <v>#REF!</v>
      </c>
      <c r="R20" s="32" t="e">
        <f>((#REF!-#REF!)/#REF!)*100</f>
        <v>#REF!</v>
      </c>
      <c r="S20" s="32" t="e">
        <f>((#REF!-#REF!)/#REF!)*100</f>
        <v>#REF!</v>
      </c>
      <c r="T20" s="32" t="e">
        <f>((B20-#REF!)/#REF!)*100</f>
        <v>#REF!</v>
      </c>
      <c r="U20" s="32">
        <f>((C20-B20)/B20)*100</f>
        <v>9.2257362711614714</v>
      </c>
      <c r="V20" s="32">
        <f t="shared" si="22"/>
        <v>-4.2801453218189662</v>
      </c>
      <c r="W20" s="32">
        <f t="shared" si="23"/>
        <v>2.4626405299431648</v>
      </c>
      <c r="X20" s="32">
        <f t="shared" si="11"/>
        <v>-9.7854192279398298</v>
      </c>
      <c r="Y20" s="32">
        <f t="shared" si="12"/>
        <v>7.2603457637955646</v>
      </c>
    </row>
    <row r="21" spans="1:25" s="18" customFormat="1" ht="19.5" customHeight="1" x14ac:dyDescent="0.25">
      <c r="A21" s="21" t="s">
        <v>20</v>
      </c>
      <c r="B21" s="3">
        <v>176334.26828999969</v>
      </c>
      <c r="C21" s="3">
        <v>198076.62495999993</v>
      </c>
      <c r="D21" s="3">
        <v>205126.35899000021</v>
      </c>
      <c r="E21" s="3">
        <v>184410.12513000015</v>
      </c>
      <c r="F21" s="3">
        <v>187930.99277999991</v>
      </c>
      <c r="G21" s="50">
        <v>243626.50458999985</v>
      </c>
      <c r="H21" s="31" t="e">
        <f>#REF!/#REF!*100</f>
        <v>#REF!</v>
      </c>
      <c r="I21" s="32" t="e">
        <f>#REF!/#REF!*100</f>
        <v>#REF!</v>
      </c>
      <c r="J21" s="32" t="e">
        <f>#REF!/#REF!*100</f>
        <v>#REF!</v>
      </c>
      <c r="K21" s="32">
        <f>B21/$B$6*100</f>
        <v>0.48544936474294814</v>
      </c>
      <c r="L21" s="32">
        <f t="shared" si="13"/>
        <v>0.4346389685549833</v>
      </c>
      <c r="M21" s="32">
        <f t="shared" si="21"/>
        <v>0.46179701117091582</v>
      </c>
      <c r="N21" s="32">
        <f t="shared" si="15"/>
        <v>0.65265157268288998</v>
      </c>
      <c r="O21" s="32">
        <f t="shared" si="16"/>
        <v>0.49139680846490391</v>
      </c>
      <c r="P21" s="40">
        <f t="shared" si="17"/>
        <v>0.45401404223397401</v>
      </c>
      <c r="Q21" s="32" t="e">
        <f>((#REF!-#REF!)/#REF!)*100</f>
        <v>#REF!</v>
      </c>
      <c r="R21" s="32" t="e">
        <f>((#REF!-#REF!)/#REF!)*100</f>
        <v>#REF!</v>
      </c>
      <c r="S21" s="32" t="e">
        <f>((#REF!-#REF!)/#REF!)*100</f>
        <v>#REF!</v>
      </c>
      <c r="T21" s="32" t="e">
        <f>((B21-#REF!)/#REF!)*100</f>
        <v>#REF!</v>
      </c>
      <c r="U21" s="32">
        <f>((C21-B21)/B21)*100</f>
        <v>12.330193603799529</v>
      </c>
      <c r="V21" s="32">
        <f t="shared" si="22"/>
        <v>3.5590943814919722</v>
      </c>
      <c r="W21" s="32">
        <f t="shared" si="23"/>
        <v>-10.099254899274047</v>
      </c>
      <c r="X21" s="32">
        <f t="shared" si="11"/>
        <v>1.9092594007610633</v>
      </c>
      <c r="Y21" s="32">
        <f t="shared" si="12"/>
        <v>29.636150475296802</v>
      </c>
    </row>
    <row r="22" spans="1:25" s="18" customFormat="1" ht="19.5" customHeight="1" x14ac:dyDescent="0.25">
      <c r="A22" s="21" t="s">
        <v>21</v>
      </c>
      <c r="B22" s="3">
        <v>32239.872104999984</v>
      </c>
      <c r="C22" s="3">
        <v>32503.019920000068</v>
      </c>
      <c r="D22" s="3">
        <v>39397.833299999897</v>
      </c>
      <c r="E22" s="3">
        <v>28702.621459999948</v>
      </c>
      <c r="F22" s="3">
        <v>48275.411149999993</v>
      </c>
      <c r="G22" s="50">
        <v>56304.950020000026</v>
      </c>
      <c r="H22" s="31" t="e">
        <f>#REF!/#REF!*100</f>
        <v>#REF!</v>
      </c>
      <c r="I22" s="32" t="e">
        <f>#REF!/#REF!*100</f>
        <v>#REF!</v>
      </c>
      <c r="J22" s="32" t="e">
        <f>#REF!/#REF!*100</f>
        <v>#REF!</v>
      </c>
      <c r="K22" s="32">
        <f>B22/$B$6*100</f>
        <v>8.8756573436008235E-2</v>
      </c>
      <c r="L22" s="32">
        <f t="shared" si="13"/>
        <v>7.1321283143852859E-2</v>
      </c>
      <c r="M22" s="32">
        <f t="shared" si="21"/>
        <v>8.8695581368150103E-2</v>
      </c>
      <c r="N22" s="32">
        <f t="shared" si="15"/>
        <v>0.10158233460763023</v>
      </c>
      <c r="O22" s="32">
        <f t="shared" si="16"/>
        <v>0.12622922177722687</v>
      </c>
      <c r="P22" s="40">
        <f t="shared" si="17"/>
        <v>0.10492798392105399</v>
      </c>
      <c r="Q22" s="32" t="e">
        <f>((#REF!-#REF!)/#REF!)*100</f>
        <v>#REF!</v>
      </c>
      <c r="R22" s="32" t="e">
        <f>((#REF!-#REF!)/#REF!)*100</f>
        <v>#REF!</v>
      </c>
      <c r="S22" s="32" t="e">
        <f>((#REF!-#REF!)/#REF!)*100</f>
        <v>#REF!</v>
      </c>
      <c r="T22" s="32" t="e">
        <f>((B22-#REF!)/#REF!)*100</f>
        <v>#REF!</v>
      </c>
      <c r="U22" s="32">
        <f>((C22-B22)/B22)*100</f>
        <v>0.81621854498384672</v>
      </c>
      <c r="V22" s="32">
        <f t="shared" si="22"/>
        <v>21.212839289918552</v>
      </c>
      <c r="W22" s="32">
        <f t="shared" si="23"/>
        <v>-27.146700577566985</v>
      </c>
      <c r="X22" s="32">
        <f t="shared" si="11"/>
        <v>68.19164485472777</v>
      </c>
      <c r="Y22" s="32">
        <f t="shared" si="12"/>
        <v>16.632771588523351</v>
      </c>
    </row>
    <row r="23" spans="1:25" s="18" customFormat="1" ht="19.5" customHeight="1" x14ac:dyDescent="0.25">
      <c r="A23" s="21" t="s">
        <v>22</v>
      </c>
      <c r="B23" s="3">
        <v>10447.163960000007</v>
      </c>
      <c r="C23" s="3">
        <v>2741.4319700000001</v>
      </c>
      <c r="D23" s="3">
        <v>3382.0880900000002</v>
      </c>
      <c r="E23" s="3">
        <v>1668.0979599999989</v>
      </c>
      <c r="F23" s="3">
        <v>2296.3244599999998</v>
      </c>
      <c r="G23" s="50">
        <v>3045.9394500000008</v>
      </c>
      <c r="H23" s="31" t="e">
        <f>#REF!/#REF!*100</f>
        <v>#REF!</v>
      </c>
      <c r="I23" s="32" t="e">
        <f>#REF!/#REF!*100</f>
        <v>#REF!</v>
      </c>
      <c r="J23" s="32" t="e">
        <f>#REF!/#REF!*100</f>
        <v>#REF!</v>
      </c>
      <c r="K23" s="32">
        <f>B23/$B$6*100</f>
        <v>2.8761108983120134E-2</v>
      </c>
      <c r="L23" s="32">
        <f t="shared" si="13"/>
        <v>6.0155162884316972E-3</v>
      </c>
      <c r="M23" s="32">
        <f t="shared" si="21"/>
        <v>7.6140296116448403E-3</v>
      </c>
      <c r="N23" s="32">
        <f t="shared" si="15"/>
        <v>5.9036170395505606E-3</v>
      </c>
      <c r="O23" s="32">
        <f t="shared" si="16"/>
        <v>6.0043662524831912E-3</v>
      </c>
      <c r="P23" s="40">
        <f t="shared" si="17"/>
        <v>5.6763088417728421E-3</v>
      </c>
      <c r="Q23" s="32" t="e">
        <f>((#REF!-#REF!)/#REF!)*100</f>
        <v>#REF!</v>
      </c>
      <c r="R23" s="32" t="e">
        <f>((#REF!-#REF!)/#REF!)*100</f>
        <v>#REF!</v>
      </c>
      <c r="S23" s="32" t="e">
        <f>((#REF!-#REF!)/#REF!)*100</f>
        <v>#REF!</v>
      </c>
      <c r="T23" s="35" t="s">
        <v>148</v>
      </c>
      <c r="U23" s="32">
        <f>((C23-B23)/B23)*100</f>
        <v>-73.759079684243829</v>
      </c>
      <c r="V23" s="32">
        <f t="shared" si="22"/>
        <v>23.369396979783527</v>
      </c>
      <c r="W23" s="32">
        <f t="shared" si="23"/>
        <v>-50.678459117249105</v>
      </c>
      <c r="X23" s="32">
        <f t="shared" si="11"/>
        <v>37.661247424581781</v>
      </c>
      <c r="Y23" s="32">
        <f t="shared" si="12"/>
        <v>32.644123383156447</v>
      </c>
    </row>
    <row r="24" spans="1:25" s="18" customFormat="1" ht="36.75" customHeight="1" x14ac:dyDescent="0.25">
      <c r="A24" s="22" t="s">
        <v>23</v>
      </c>
      <c r="B24" s="3">
        <v>7031.3071000000036</v>
      </c>
      <c r="C24" s="3">
        <v>19818.226749999998</v>
      </c>
      <c r="D24" s="3">
        <v>12189.408839999995</v>
      </c>
      <c r="E24" s="3">
        <v>7351.2947999999997</v>
      </c>
      <c r="F24" s="3">
        <v>7592.7606599999972</v>
      </c>
      <c r="G24" s="50">
        <v>10208.6551</v>
      </c>
      <c r="H24" s="31" t="e">
        <f>#REF!/#REF!*100</f>
        <v>#REF!</v>
      </c>
      <c r="I24" s="32" t="e">
        <f>#REF!/#REF!*100</f>
        <v>#REF!</v>
      </c>
      <c r="J24" s="32" t="e">
        <f>#REF!/#REF!*100</f>
        <v>#REF!</v>
      </c>
      <c r="K24" s="32">
        <f>B24/$B$6*100</f>
        <v>1.9357233271266316E-2</v>
      </c>
      <c r="L24" s="32">
        <f t="shared" si="13"/>
        <v>4.3487077967671678E-2</v>
      </c>
      <c r="M24" s="32">
        <f t="shared" si="21"/>
        <v>2.7441780753914465E-2</v>
      </c>
      <c r="N24" s="32">
        <f t="shared" si="15"/>
        <v>2.6017194604110332E-2</v>
      </c>
      <c r="O24" s="32">
        <f t="shared" si="16"/>
        <v>1.9853342445381603E-2</v>
      </c>
      <c r="P24" s="40">
        <f t="shared" si="17"/>
        <v>1.902450135925696E-2</v>
      </c>
      <c r="Q24" s="32" t="e">
        <f>((#REF!-#REF!)/#REF!)*100</f>
        <v>#REF!</v>
      </c>
      <c r="R24" s="32" t="e">
        <f>((#REF!-#REF!)/#REF!)*100</f>
        <v>#REF!</v>
      </c>
      <c r="S24" s="32" t="e">
        <f>((#REF!-#REF!)/#REF!)*100</f>
        <v>#REF!</v>
      </c>
      <c r="T24" s="32" t="e">
        <f>((B24-#REF!)/#REF!)*100</f>
        <v>#REF!</v>
      </c>
      <c r="U24" s="35" t="s">
        <v>148</v>
      </c>
      <c r="V24" s="32">
        <f t="shared" si="22"/>
        <v>-38.493948052138435</v>
      </c>
      <c r="W24" s="35">
        <f t="shared" si="23"/>
        <v>-39.691129434624798</v>
      </c>
      <c r="X24" s="32">
        <f t="shared" si="11"/>
        <v>3.284671157521768</v>
      </c>
      <c r="Y24" s="32">
        <f t="shared" si="12"/>
        <v>34.452481213861994</v>
      </c>
    </row>
    <row r="25" spans="1:25" s="18" customFormat="1" ht="27" customHeight="1" x14ac:dyDescent="0.25">
      <c r="A25" s="19" t="s">
        <v>24</v>
      </c>
      <c r="B25" s="3"/>
      <c r="C25" s="3"/>
      <c r="D25" s="3"/>
      <c r="E25" s="3"/>
      <c r="F25" s="3"/>
      <c r="G25" s="50"/>
      <c r="H25" s="31"/>
      <c r="I25" s="32"/>
      <c r="J25" s="32"/>
      <c r="K25" s="2"/>
      <c r="L25" s="2"/>
      <c r="M25" s="2"/>
      <c r="N25" s="2"/>
      <c r="O25" s="2"/>
      <c r="P25" s="46"/>
      <c r="Q25" s="2"/>
      <c r="R25" s="2"/>
      <c r="S25" s="32"/>
      <c r="T25" s="32"/>
      <c r="U25" s="32"/>
      <c r="V25" s="32"/>
      <c r="W25" s="32"/>
      <c r="X25" s="32"/>
      <c r="Y25" s="32"/>
    </row>
    <row r="26" spans="1:25" s="18" customFormat="1" ht="19.5" customHeight="1" x14ac:dyDescent="0.25">
      <c r="A26" s="33" t="s">
        <v>25</v>
      </c>
      <c r="B26" s="20">
        <f t="shared" ref="B26:G26" si="24">B27</f>
        <v>218073.53435000018</v>
      </c>
      <c r="C26" s="20">
        <f t="shared" si="24"/>
        <v>235805.20949999994</v>
      </c>
      <c r="D26" s="20">
        <f t="shared" si="24"/>
        <v>224097.96992000018</v>
      </c>
      <c r="E26" s="20">
        <f t="shared" si="24"/>
        <v>210211.80439000003</v>
      </c>
      <c r="F26" s="20">
        <f t="shared" si="24"/>
        <v>343133.87659000012</v>
      </c>
      <c r="G26" s="49">
        <f t="shared" si="24"/>
        <v>435893.04565999977</v>
      </c>
      <c r="H26" s="45" t="e">
        <f>#REF!/#REF!*100</f>
        <v>#REF!</v>
      </c>
      <c r="I26" s="2" t="e">
        <f>#REF!/#REF!*100</f>
        <v>#REF!</v>
      </c>
      <c r="J26" s="2" t="e">
        <f>#REF!/#REF!*100</f>
        <v>#REF!</v>
      </c>
      <c r="K26" s="2">
        <f>B26/$B$6*100</f>
        <v>0.60035783029622736</v>
      </c>
      <c r="L26" s="2">
        <f t="shared" si="13"/>
        <v>0.51742669311772072</v>
      </c>
      <c r="M26" s="2">
        <f>D26/$D$6*100</f>
        <v>0.50450743253123731</v>
      </c>
      <c r="N26" s="2">
        <f t="shared" si="15"/>
        <v>0.74396709310253828</v>
      </c>
      <c r="O26" s="2">
        <f t="shared" si="16"/>
        <v>0.89721705471914415</v>
      </c>
      <c r="P26" s="46">
        <f t="shared" si="17"/>
        <v>0.81231540868192531</v>
      </c>
      <c r="Q26" s="2" t="e">
        <f>((#REF!-#REF!)/#REF!)*100</f>
        <v>#REF!</v>
      </c>
      <c r="R26" s="2" t="e">
        <f>((#REF!-#REF!)/#REF!)*100</f>
        <v>#REF!</v>
      </c>
      <c r="S26" s="2" t="e">
        <f>((#REF!-#REF!)/#REF!)*100</f>
        <v>#REF!</v>
      </c>
      <c r="T26" s="2" t="e">
        <f>((B26-#REF!)/#REF!)*100</f>
        <v>#REF!</v>
      </c>
      <c r="U26" s="2">
        <f>((C26-B26)/B26)*100</f>
        <v>8.1310532260833916</v>
      </c>
      <c r="V26" s="2">
        <f t="shared" ref="V26:W27" si="25">((D26-C26)/C26)*100</f>
        <v>-4.9647925950506888</v>
      </c>
      <c r="W26" s="2">
        <f t="shared" si="25"/>
        <v>-6.196470916250294</v>
      </c>
      <c r="X26" s="2">
        <f t="shared" si="11"/>
        <v>63.23244909376902</v>
      </c>
      <c r="Y26" s="2">
        <f t="shared" si="12"/>
        <v>27.032938278150446</v>
      </c>
    </row>
    <row r="27" spans="1:25" s="18" customFormat="1" ht="19.5" customHeight="1" x14ac:dyDescent="0.25">
      <c r="A27" s="21" t="s">
        <v>26</v>
      </c>
      <c r="B27" s="3">
        <v>218073.53435000018</v>
      </c>
      <c r="C27" s="3">
        <v>235805.20949999994</v>
      </c>
      <c r="D27" s="3">
        <v>224097.96992000018</v>
      </c>
      <c r="E27" s="3">
        <v>210211.80439000003</v>
      </c>
      <c r="F27" s="3">
        <v>343133.87659000012</v>
      </c>
      <c r="G27" s="50">
        <v>435893.04565999977</v>
      </c>
      <c r="H27" s="31" t="e">
        <f>#REF!/#REF!*100</f>
        <v>#REF!</v>
      </c>
      <c r="I27" s="32" t="e">
        <f>#REF!/#REF!*100</f>
        <v>#REF!</v>
      </c>
      <c r="J27" s="32" t="e">
        <f>#REF!/#REF!*100</f>
        <v>#REF!</v>
      </c>
      <c r="K27" s="32">
        <f>B27/$B$6*100</f>
        <v>0.60035783029622736</v>
      </c>
      <c r="L27" s="32">
        <f t="shared" si="13"/>
        <v>0.51742669311772072</v>
      </c>
      <c r="M27" s="32">
        <f>D27/$D$6*100</f>
        <v>0.50450743253123731</v>
      </c>
      <c r="N27" s="32">
        <f t="shared" si="15"/>
        <v>0.74396709310253828</v>
      </c>
      <c r="O27" s="32">
        <f t="shared" si="16"/>
        <v>0.89721705471914415</v>
      </c>
      <c r="P27" s="40">
        <f t="shared" si="17"/>
        <v>0.81231540868192531</v>
      </c>
      <c r="Q27" s="32" t="e">
        <f>((#REF!-#REF!)/#REF!)*100</f>
        <v>#REF!</v>
      </c>
      <c r="R27" s="32" t="e">
        <f>((#REF!-#REF!)/#REF!)*100</f>
        <v>#REF!</v>
      </c>
      <c r="S27" s="32" t="e">
        <f>((#REF!-#REF!)/#REF!)*100</f>
        <v>#REF!</v>
      </c>
      <c r="T27" s="32" t="e">
        <f>((B27-#REF!)/#REF!)*100</f>
        <v>#REF!</v>
      </c>
      <c r="U27" s="32">
        <f>((C27-B27)/B27)*100</f>
        <v>8.1310532260833916</v>
      </c>
      <c r="V27" s="2">
        <f t="shared" si="25"/>
        <v>-4.9647925950506888</v>
      </c>
      <c r="W27" s="32">
        <f t="shared" si="25"/>
        <v>-6.196470916250294</v>
      </c>
      <c r="X27" s="2">
        <f t="shared" si="11"/>
        <v>63.23244909376902</v>
      </c>
      <c r="Y27" s="2">
        <f t="shared" si="12"/>
        <v>27.032938278150446</v>
      </c>
    </row>
    <row r="28" spans="1:25" s="18" customFormat="1" ht="19.5" customHeight="1" x14ac:dyDescent="0.25">
      <c r="A28" s="19" t="s">
        <v>27</v>
      </c>
      <c r="B28" s="3"/>
      <c r="C28" s="3"/>
      <c r="D28" s="3"/>
      <c r="E28" s="3"/>
      <c r="F28" s="3"/>
      <c r="G28" s="50"/>
      <c r="H28" s="31"/>
      <c r="I28" s="32"/>
      <c r="J28" s="32"/>
      <c r="K28" s="2"/>
      <c r="L28" s="2"/>
      <c r="M28" s="2"/>
      <c r="N28" s="2"/>
      <c r="O28" s="2">
        <f t="shared" si="16"/>
        <v>0</v>
      </c>
      <c r="P28" s="46">
        <f t="shared" si="17"/>
        <v>0</v>
      </c>
      <c r="Q28" s="2"/>
      <c r="R28" s="2"/>
      <c r="S28" s="32"/>
      <c r="T28" s="32"/>
      <c r="U28" s="32"/>
      <c r="V28" s="32"/>
      <c r="W28" s="32"/>
      <c r="X28" s="32"/>
      <c r="Y28" s="32"/>
    </row>
    <row r="29" spans="1:25" s="18" customFormat="1" ht="19.5" customHeight="1" x14ac:dyDescent="0.25">
      <c r="A29" s="33" t="s">
        <v>28</v>
      </c>
      <c r="B29" s="20">
        <f t="shared" ref="B29:C29" si="26">SUM(B30:B38)</f>
        <v>2577125.4142599991</v>
      </c>
      <c r="C29" s="20">
        <f t="shared" si="26"/>
        <v>2694268.5785499997</v>
      </c>
      <c r="D29" s="20">
        <f t="shared" ref="D29:E29" si="27">SUM(D30:D38)</f>
        <v>2972782.9682599981</v>
      </c>
      <c r="E29" s="20">
        <f t="shared" si="27"/>
        <v>2159406.7399600004</v>
      </c>
      <c r="F29" s="20">
        <f t="shared" ref="F29:G29" si="28">SUM(F30:F38)</f>
        <v>3069285.5213800003</v>
      </c>
      <c r="G29" s="49">
        <f t="shared" si="28"/>
        <v>3650314.9982399996</v>
      </c>
      <c r="H29" s="45" t="e">
        <f>#REF!/#REF!*100</f>
        <v>#REF!</v>
      </c>
      <c r="I29" s="2" t="e">
        <f>#REF!/#REF!*100</f>
        <v>#REF!</v>
      </c>
      <c r="J29" s="2" t="e">
        <f>#REF!/#REF!*100</f>
        <v>#REF!</v>
      </c>
      <c r="K29" s="2">
        <f>B29/$B$6*100</f>
        <v>7.0948426947728693</v>
      </c>
      <c r="L29" s="2">
        <f t="shared" si="13"/>
        <v>5.9120257941973442</v>
      </c>
      <c r="M29" s="2">
        <f t="shared" ref="M29:M38" si="29">D29/$D$6*100</f>
        <v>6.6925688944208046</v>
      </c>
      <c r="N29" s="2">
        <f t="shared" si="15"/>
        <v>7.642423125646765</v>
      </c>
      <c r="O29" s="2">
        <f t="shared" si="16"/>
        <v>8.0254836478157578</v>
      </c>
      <c r="P29" s="46">
        <f t="shared" si="17"/>
        <v>6.8026024942044465</v>
      </c>
      <c r="Q29" s="2" t="e">
        <f>((#REF!-#REF!)/#REF!)*100</f>
        <v>#REF!</v>
      </c>
      <c r="R29" s="2" t="e">
        <f>((#REF!-#REF!)/#REF!)*100</f>
        <v>#REF!</v>
      </c>
      <c r="S29" s="2" t="e">
        <f>((#REF!-#REF!)/#REF!)*100</f>
        <v>#REF!</v>
      </c>
      <c r="T29" s="2" t="e">
        <f>((B29-#REF!)/#REF!)*100</f>
        <v>#REF!</v>
      </c>
      <c r="U29" s="2">
        <f>((C29-B29)/B29)*100</f>
        <v>4.5454972288819482</v>
      </c>
      <c r="V29" s="2">
        <f>((D29-C29)/C29)*100</f>
        <v>10.337291238421715</v>
      </c>
      <c r="W29" s="2">
        <f t="shared" ref="W29:W38" si="30">((E29-D29)/D29)*100</f>
        <v>-27.360767233407408</v>
      </c>
      <c r="X29" s="2">
        <f t="shared" si="11"/>
        <v>42.135590511162988</v>
      </c>
      <c r="Y29" s="2">
        <f t="shared" si="12"/>
        <v>18.930447259229215</v>
      </c>
    </row>
    <row r="30" spans="1:25" s="18" customFormat="1" ht="19.5" customHeight="1" x14ac:dyDescent="0.25">
      <c r="A30" s="21" t="s">
        <v>29</v>
      </c>
      <c r="B30" s="3">
        <v>153783.01404999982</v>
      </c>
      <c r="C30" s="3">
        <v>145138.62293999997</v>
      </c>
      <c r="D30" s="3">
        <v>159710.02546999996</v>
      </c>
      <c r="E30" s="3">
        <v>83180.566279999883</v>
      </c>
      <c r="F30" s="3">
        <v>148725.35214999996</v>
      </c>
      <c r="G30" s="50">
        <v>189708.56569000005</v>
      </c>
      <c r="H30" s="31" t="e">
        <f>#REF!/#REF!*100</f>
        <v>#REF!</v>
      </c>
      <c r="I30" s="32" t="e">
        <f>#REF!/#REF!*100</f>
        <v>#REF!</v>
      </c>
      <c r="J30" s="32" t="e">
        <f>#REF!/#REF!*100</f>
        <v>#REF!</v>
      </c>
      <c r="K30" s="32">
        <f>B30/$B$6*100</f>
        <v>0.42336561805475265</v>
      </c>
      <c r="L30" s="32">
        <f t="shared" si="13"/>
        <v>0.31847726295251316</v>
      </c>
      <c r="M30" s="32">
        <f t="shared" si="29"/>
        <v>0.35955209646982655</v>
      </c>
      <c r="N30" s="32">
        <f t="shared" si="15"/>
        <v>0.29438691265474143</v>
      </c>
      <c r="O30" s="32">
        <f t="shared" si="16"/>
        <v>0.38888297402804234</v>
      </c>
      <c r="P30" s="40">
        <f t="shared" si="17"/>
        <v>0.3535344107993319</v>
      </c>
      <c r="Q30" s="32" t="e">
        <f>((#REF!-#REF!)/#REF!)*100</f>
        <v>#REF!</v>
      </c>
      <c r="R30" s="32" t="e">
        <f>((#REF!-#REF!)/#REF!)*100</f>
        <v>#REF!</v>
      </c>
      <c r="S30" s="32" t="e">
        <f>((#REF!-#REF!)/#REF!)*100</f>
        <v>#REF!</v>
      </c>
      <c r="T30" s="32" t="e">
        <f>((B30-#REF!)/#REF!)*100</f>
        <v>#REF!</v>
      </c>
      <c r="U30" s="32">
        <f>((C30-B30)/B30)*100</f>
        <v>-5.6211611948178364</v>
      </c>
      <c r="V30" s="32">
        <f t="shared" ref="V30:V38" si="31">((D30-C30)/C30)*100</f>
        <v>10.03964501993641</v>
      </c>
      <c r="W30" s="32">
        <f t="shared" si="30"/>
        <v>-47.917755297318784</v>
      </c>
      <c r="X30" s="32">
        <f t="shared" si="11"/>
        <v>78.798196263013196</v>
      </c>
      <c r="Y30" s="32">
        <f t="shared" si="12"/>
        <v>27.556306270275719</v>
      </c>
    </row>
    <row r="31" spans="1:25" s="18" customFormat="1" ht="19.5" customHeight="1" x14ac:dyDescent="0.25">
      <c r="A31" s="21" t="s">
        <v>30</v>
      </c>
      <c r="B31" s="3">
        <v>181245.23678000033</v>
      </c>
      <c r="C31" s="3">
        <v>175511.6798000001</v>
      </c>
      <c r="D31" s="3">
        <v>177051.95559000006</v>
      </c>
      <c r="E31" s="3">
        <v>138998.21277000039</v>
      </c>
      <c r="F31" s="3">
        <v>160603.96760000003</v>
      </c>
      <c r="G31" s="50">
        <v>177702.77276000005</v>
      </c>
      <c r="H31" s="31" t="e">
        <f>#REF!/#REF!*100</f>
        <v>#REF!</v>
      </c>
      <c r="I31" s="32" t="e">
        <f>#REF!/#REF!*100</f>
        <v>#REF!</v>
      </c>
      <c r="J31" s="32" t="e">
        <f>#REF!/#REF!*100</f>
        <v>#REF!</v>
      </c>
      <c r="K31" s="32">
        <f>B31/$B$6*100</f>
        <v>0.49896929230361192</v>
      </c>
      <c r="L31" s="32">
        <f t="shared" si="13"/>
        <v>0.38512477427879016</v>
      </c>
      <c r="M31" s="32">
        <f t="shared" si="29"/>
        <v>0.39859364889040705</v>
      </c>
      <c r="N31" s="32">
        <f t="shared" si="15"/>
        <v>0.4919328702830193</v>
      </c>
      <c r="O31" s="32">
        <f t="shared" si="16"/>
        <v>0.41994285209693066</v>
      </c>
      <c r="P31" s="40">
        <f t="shared" si="17"/>
        <v>0.33116082469240748</v>
      </c>
      <c r="Q31" s="32" t="e">
        <f>((#REF!-#REF!)/#REF!)*100</f>
        <v>#REF!</v>
      </c>
      <c r="R31" s="32" t="e">
        <f>((#REF!-#REF!)/#REF!)*100</f>
        <v>#REF!</v>
      </c>
      <c r="S31" s="32" t="e">
        <f>((#REF!-#REF!)/#REF!)*100</f>
        <v>#REF!</v>
      </c>
      <c r="T31" s="32" t="e">
        <f>((B31-#REF!)/#REF!)*100</f>
        <v>#REF!</v>
      </c>
      <c r="U31" s="32">
        <f>((C31-B31)/B31)*100</f>
        <v>-3.1634249163522852</v>
      </c>
      <c r="V31" s="32">
        <f t="shared" si="31"/>
        <v>0.87759161769469607</v>
      </c>
      <c r="W31" s="32">
        <f t="shared" si="30"/>
        <v>-21.492980799444471</v>
      </c>
      <c r="X31" s="32">
        <f t="shared" si="11"/>
        <v>15.543908370786443</v>
      </c>
      <c r="Y31" s="32">
        <f t="shared" si="12"/>
        <v>10.646564599565979</v>
      </c>
    </row>
    <row r="32" spans="1:25" s="18" customFormat="1" ht="19.5" customHeight="1" x14ac:dyDescent="0.25">
      <c r="A32" s="21" t="s">
        <v>31</v>
      </c>
      <c r="B32" s="3">
        <v>192748.38200999965</v>
      </c>
      <c r="C32" s="3">
        <v>184283.30394999997</v>
      </c>
      <c r="D32" s="3">
        <v>207687.58897000024</v>
      </c>
      <c r="E32" s="3">
        <v>159475.6536299999</v>
      </c>
      <c r="F32" s="3">
        <v>252666.85902999996</v>
      </c>
      <c r="G32" s="50">
        <v>282421.12241000013</v>
      </c>
      <c r="H32" s="31" t="e">
        <f>#REF!/#REF!*100</f>
        <v>#REF!</v>
      </c>
      <c r="I32" s="32" t="e">
        <f>#REF!/#REF!*100</f>
        <v>#REF!</v>
      </c>
      <c r="J32" s="32" t="e">
        <f>#REF!/#REF!*100</f>
        <v>#REF!</v>
      </c>
      <c r="K32" s="32">
        <f>B32/$B$6*100</f>
        <v>0.53063752445497836</v>
      </c>
      <c r="L32" s="32">
        <f t="shared" si="13"/>
        <v>0.4043723239272044</v>
      </c>
      <c r="M32" s="32">
        <f t="shared" si="29"/>
        <v>0.46756305876962068</v>
      </c>
      <c r="N32" s="32">
        <f t="shared" si="15"/>
        <v>0.56440521404602118</v>
      </c>
      <c r="O32" s="32">
        <f t="shared" si="16"/>
        <v>0.66066637703308695</v>
      </c>
      <c r="P32" s="40">
        <f t="shared" si="17"/>
        <v>0.52631036846096635</v>
      </c>
      <c r="Q32" s="32" t="e">
        <f>((#REF!-#REF!)/#REF!)*100</f>
        <v>#REF!</v>
      </c>
      <c r="R32" s="32" t="e">
        <f>((#REF!-#REF!)/#REF!)*100</f>
        <v>#REF!</v>
      </c>
      <c r="S32" s="32" t="e">
        <f>((#REF!-#REF!)/#REF!)*100</f>
        <v>#REF!</v>
      </c>
      <c r="T32" s="32" t="e">
        <f>((B32-#REF!)/#REF!)*100</f>
        <v>#REF!</v>
      </c>
      <c r="U32" s="32">
        <f>((C32-B32)/B32)*100</f>
        <v>-4.3917764557735781</v>
      </c>
      <c r="V32" s="32">
        <f t="shared" si="31"/>
        <v>12.700165733055426</v>
      </c>
      <c r="W32" s="32">
        <f t="shared" si="30"/>
        <v>-23.21368146219098</v>
      </c>
      <c r="X32" s="32">
        <f t="shared" si="11"/>
        <v>58.436007803556869</v>
      </c>
      <c r="Y32" s="32">
        <f t="shared" si="12"/>
        <v>11.776084720500421</v>
      </c>
    </row>
    <row r="33" spans="1:25" s="18" customFormat="1" ht="19.5" customHeight="1" x14ac:dyDescent="0.25">
      <c r="A33" s="21" t="s">
        <v>32</v>
      </c>
      <c r="B33" s="3">
        <v>444786.78798000002</v>
      </c>
      <c r="C33" s="3">
        <v>462828.62312000006</v>
      </c>
      <c r="D33" s="3">
        <v>489636.26147999929</v>
      </c>
      <c r="E33" s="3">
        <v>424503.66345999984</v>
      </c>
      <c r="F33" s="3">
        <v>559579.96146000072</v>
      </c>
      <c r="G33" s="50">
        <v>669121.12094000005</v>
      </c>
      <c r="H33" s="31" t="e">
        <f>#REF!/#REF!*100</f>
        <v>#REF!</v>
      </c>
      <c r="I33" s="32" t="e">
        <f>#REF!/#REF!*100</f>
        <v>#REF!</v>
      </c>
      <c r="J33" s="32" t="e">
        <f>#REF!/#REF!*100</f>
        <v>#REF!</v>
      </c>
      <c r="K33" s="32">
        <f>B33/$B$6*100</f>
        <v>1.2245008628489755</v>
      </c>
      <c r="L33" s="32">
        <f t="shared" si="13"/>
        <v>1.0155835167891383</v>
      </c>
      <c r="M33" s="32">
        <f t="shared" si="29"/>
        <v>1.1023086609916748</v>
      </c>
      <c r="N33" s="32">
        <f t="shared" si="15"/>
        <v>1.5023740338091975</v>
      </c>
      <c r="O33" s="32">
        <f t="shared" si="16"/>
        <v>1.4631743443416847</v>
      </c>
      <c r="P33" s="40">
        <f t="shared" si="17"/>
        <v>1.2469512928133475</v>
      </c>
      <c r="Q33" s="32" t="e">
        <f>((#REF!-#REF!)/#REF!)*100</f>
        <v>#REF!</v>
      </c>
      <c r="R33" s="32" t="e">
        <f>((#REF!-#REF!)/#REF!)*100</f>
        <v>#REF!</v>
      </c>
      <c r="S33" s="32" t="e">
        <f>((#REF!-#REF!)/#REF!)*100</f>
        <v>#REF!</v>
      </c>
      <c r="T33" s="32" t="e">
        <f>((B33-#REF!)/#REF!)*100</f>
        <v>#REF!</v>
      </c>
      <c r="U33" s="32">
        <f>((C33-B33)/B33)*100</f>
        <v>4.0562884572037463</v>
      </c>
      <c r="V33" s="32">
        <f t="shared" si="31"/>
        <v>5.7921306118201485</v>
      </c>
      <c r="W33" s="32">
        <f t="shared" si="30"/>
        <v>-13.30224150946794</v>
      </c>
      <c r="X33" s="32">
        <f t="shared" si="11"/>
        <v>31.819819150448598</v>
      </c>
      <c r="Y33" s="32">
        <f t="shared" si="12"/>
        <v>19.575604386224867</v>
      </c>
    </row>
    <row r="34" spans="1:25" s="18" customFormat="1" ht="19.5" customHeight="1" x14ac:dyDescent="0.25">
      <c r="A34" s="21" t="s">
        <v>33</v>
      </c>
      <c r="B34" s="3">
        <v>402853.98653999914</v>
      </c>
      <c r="C34" s="3">
        <v>383888.43776000023</v>
      </c>
      <c r="D34" s="3">
        <v>419559.57522999879</v>
      </c>
      <c r="E34" s="3">
        <v>289946.12726000021</v>
      </c>
      <c r="F34" s="3">
        <v>410289.18795000028</v>
      </c>
      <c r="G34" s="50">
        <v>511450.07368000021</v>
      </c>
      <c r="H34" s="31" t="e">
        <f>#REF!/#REF!*100</f>
        <v>#REF!</v>
      </c>
      <c r="I34" s="32" t="e">
        <f>#REF!/#REF!*100</f>
        <v>#REF!</v>
      </c>
      <c r="J34" s="32" t="e">
        <f>#REF!/#REF!*100</f>
        <v>#REF!</v>
      </c>
      <c r="K34" s="32">
        <f>B34/$B$6*100</f>
        <v>1.1090595931607565</v>
      </c>
      <c r="L34" s="32">
        <f t="shared" si="13"/>
        <v>0.84236529505632007</v>
      </c>
      <c r="M34" s="32">
        <f t="shared" si="29"/>
        <v>0.94454637036090383</v>
      </c>
      <c r="N34" s="32">
        <f t="shared" si="15"/>
        <v>1.0261572992055177</v>
      </c>
      <c r="O34" s="32">
        <f t="shared" si="16"/>
        <v>1.072812922040518</v>
      </c>
      <c r="P34" s="40">
        <f t="shared" si="17"/>
        <v>0.95312090834739216</v>
      </c>
      <c r="Q34" s="32" t="e">
        <f>((#REF!-#REF!)/#REF!)*100</f>
        <v>#REF!</v>
      </c>
      <c r="R34" s="32" t="e">
        <f>((#REF!-#REF!)/#REF!)*100</f>
        <v>#REF!</v>
      </c>
      <c r="S34" s="32" t="e">
        <f>((#REF!-#REF!)/#REF!)*100</f>
        <v>#REF!</v>
      </c>
      <c r="T34" s="32" t="e">
        <f>((B34-#REF!)/#REF!)*100</f>
        <v>#REF!</v>
      </c>
      <c r="U34" s="32">
        <f>((C34-B34)/B34)*100</f>
        <v>-4.7077972202506251</v>
      </c>
      <c r="V34" s="32">
        <f t="shared" si="31"/>
        <v>9.2920583068718212</v>
      </c>
      <c r="W34" s="32">
        <f t="shared" si="30"/>
        <v>-30.892739821024378</v>
      </c>
      <c r="X34" s="32">
        <f t="shared" si="11"/>
        <v>41.505317497165997</v>
      </c>
      <c r="Y34" s="32">
        <f t="shared" si="12"/>
        <v>24.655995990400765</v>
      </c>
    </row>
    <row r="35" spans="1:25" s="18" customFormat="1" ht="19.5" customHeight="1" x14ac:dyDescent="0.25">
      <c r="A35" s="21" t="s">
        <v>34</v>
      </c>
      <c r="B35" s="3">
        <v>405486.59810999938</v>
      </c>
      <c r="C35" s="3">
        <v>450768.40821000037</v>
      </c>
      <c r="D35" s="3">
        <v>537297.93849999935</v>
      </c>
      <c r="E35" s="3">
        <v>374224.00030000025</v>
      </c>
      <c r="F35" s="3">
        <v>548980.15801000013</v>
      </c>
      <c r="G35" s="50">
        <v>672352.65419999952</v>
      </c>
      <c r="H35" s="31" t="e">
        <f>#REF!/#REF!*100</f>
        <v>#REF!</v>
      </c>
      <c r="I35" s="32" t="e">
        <f>#REF!/#REF!*100</f>
        <v>#REF!</v>
      </c>
      <c r="J35" s="32" t="e">
        <f>#REF!/#REF!*100</f>
        <v>#REF!</v>
      </c>
      <c r="K35" s="32">
        <f>B35/$B$6*100</f>
        <v>1.1163071895960097</v>
      </c>
      <c r="L35" s="32">
        <f t="shared" si="13"/>
        <v>0.98911982189282111</v>
      </c>
      <c r="M35" s="32">
        <f t="shared" si="29"/>
        <v>1.2096084741585555</v>
      </c>
      <c r="N35" s="32">
        <f t="shared" si="15"/>
        <v>1.3244277241247013</v>
      </c>
      <c r="O35" s="32">
        <f t="shared" si="16"/>
        <v>1.4354582688363364</v>
      </c>
      <c r="P35" s="40">
        <f t="shared" si="17"/>
        <v>1.2529734679475963</v>
      </c>
      <c r="Q35" s="32" t="e">
        <f>((#REF!-#REF!)/#REF!)*100</f>
        <v>#REF!</v>
      </c>
      <c r="R35" s="32" t="e">
        <f>((#REF!-#REF!)/#REF!)*100</f>
        <v>#REF!</v>
      </c>
      <c r="S35" s="32" t="e">
        <f>((#REF!-#REF!)/#REF!)*100</f>
        <v>#REF!</v>
      </c>
      <c r="T35" s="32" t="e">
        <f>((B35-#REF!)/#REF!)*100</f>
        <v>#REF!</v>
      </c>
      <c r="U35" s="32">
        <f>((C35-B35)/B35)*100</f>
        <v>11.167276627899071</v>
      </c>
      <c r="V35" s="32">
        <f t="shared" si="31"/>
        <v>19.196005912128449</v>
      </c>
      <c r="W35" s="32">
        <f t="shared" si="30"/>
        <v>-30.350747046463738</v>
      </c>
      <c r="X35" s="32">
        <f t="shared" si="11"/>
        <v>46.698276318436264</v>
      </c>
      <c r="Y35" s="32">
        <f t="shared" si="12"/>
        <v>22.473033749928728</v>
      </c>
    </row>
    <row r="36" spans="1:25" s="18" customFormat="1" ht="19.5" customHeight="1" x14ac:dyDescent="0.25">
      <c r="A36" s="21" t="s">
        <v>35</v>
      </c>
      <c r="B36" s="3">
        <v>535302.25612000097</v>
      </c>
      <c r="C36" s="3">
        <v>600118.57508999959</v>
      </c>
      <c r="D36" s="3">
        <v>685315.43484000012</v>
      </c>
      <c r="E36" s="3">
        <v>422198.78253999993</v>
      </c>
      <c r="F36" s="3">
        <v>729282.35048999917</v>
      </c>
      <c r="G36" s="50">
        <v>847644.31469999941</v>
      </c>
      <c r="H36" s="31" t="e">
        <f>#REF!/#REF!*100</f>
        <v>#REF!</v>
      </c>
      <c r="I36" s="32" t="e">
        <f>#REF!/#REF!*100</f>
        <v>#REF!</v>
      </c>
      <c r="J36" s="32" t="e">
        <f>#REF!/#REF!*100</f>
        <v>#REF!</v>
      </c>
      <c r="K36" s="32">
        <f>B36/$B$6*100</f>
        <v>1.4736905236794451</v>
      </c>
      <c r="L36" s="32">
        <f t="shared" si="13"/>
        <v>1.3168384636020396</v>
      </c>
      <c r="M36" s="32">
        <f t="shared" si="29"/>
        <v>1.542837405571249</v>
      </c>
      <c r="N36" s="32">
        <f t="shared" si="15"/>
        <v>1.4942167585173756</v>
      </c>
      <c r="O36" s="32">
        <f t="shared" si="16"/>
        <v>1.9069074993930821</v>
      </c>
      <c r="P36" s="40">
        <f t="shared" si="17"/>
        <v>1.5796410260913381</v>
      </c>
      <c r="Q36" s="32" t="e">
        <f>((#REF!-#REF!)/#REF!)*100</f>
        <v>#REF!</v>
      </c>
      <c r="R36" s="32" t="e">
        <f>((#REF!-#REF!)/#REF!)*100</f>
        <v>#REF!</v>
      </c>
      <c r="S36" s="32" t="e">
        <f>((#REF!-#REF!)/#REF!)*100</f>
        <v>#REF!</v>
      </c>
      <c r="T36" s="32" t="e">
        <f>((B36-#REF!)/#REF!)*100</f>
        <v>#REF!</v>
      </c>
      <c r="U36" s="32">
        <f>((C36-B36)/B36)*100</f>
        <v>12.108359011935207</v>
      </c>
      <c r="V36" s="32">
        <f t="shared" si="31"/>
        <v>14.196671005763084</v>
      </c>
      <c r="W36" s="32">
        <f t="shared" si="30"/>
        <v>-38.393510334613985</v>
      </c>
      <c r="X36" s="32">
        <f t="shared" si="11"/>
        <v>72.73435657548481</v>
      </c>
      <c r="Y36" s="32">
        <f t="shared" si="12"/>
        <v>16.22992303741805</v>
      </c>
    </row>
    <row r="37" spans="1:25" s="18" customFormat="1" ht="19.5" customHeight="1" x14ac:dyDescent="0.25">
      <c r="A37" s="21" t="s">
        <v>36</v>
      </c>
      <c r="B37" s="3">
        <v>6149.230889999998</v>
      </c>
      <c r="C37" s="3">
        <v>7531.57294</v>
      </c>
      <c r="D37" s="3">
        <v>7107.3125699999991</v>
      </c>
      <c r="E37" s="3">
        <v>9493.1084099999971</v>
      </c>
      <c r="F37" s="3">
        <v>14993.665350000001</v>
      </c>
      <c r="G37" s="50">
        <v>19504.522279999994</v>
      </c>
      <c r="H37" s="31" t="e">
        <f>#REF!/#REF!*100</f>
        <v>#REF!</v>
      </c>
      <c r="I37" s="32" t="e">
        <f>#REF!/#REF!*100</f>
        <v>#REF!</v>
      </c>
      <c r="J37" s="32" t="e">
        <f>#REF!/#REF!*100</f>
        <v>#REF!</v>
      </c>
      <c r="K37" s="32">
        <f>B37/$B$6*100</f>
        <v>1.6928871841852346E-2</v>
      </c>
      <c r="L37" s="32">
        <f t="shared" si="13"/>
        <v>1.6526508844237855E-2</v>
      </c>
      <c r="M37" s="32">
        <f t="shared" si="29"/>
        <v>1.6000555552411876E-2</v>
      </c>
      <c r="N37" s="32">
        <f t="shared" si="15"/>
        <v>3.3597353339834282E-2</v>
      </c>
      <c r="O37" s="32">
        <f t="shared" si="16"/>
        <v>3.9205025159452678E-2</v>
      </c>
      <c r="P37" s="40">
        <f t="shared" si="17"/>
        <v>3.6347962292067014E-2</v>
      </c>
      <c r="Q37" s="32" t="e">
        <f>((#REF!-#REF!)/#REF!)*100</f>
        <v>#REF!</v>
      </c>
      <c r="R37" s="32" t="e">
        <f>((#REF!-#REF!)/#REF!)*100</f>
        <v>#REF!</v>
      </c>
      <c r="S37" s="32" t="e">
        <f>((#REF!-#REF!)/#REF!)*100</f>
        <v>#REF!</v>
      </c>
      <c r="T37" s="32" t="e">
        <f>((B37-#REF!)/#REF!)*100</f>
        <v>#REF!</v>
      </c>
      <c r="U37" s="32">
        <f>((C37-B37)/B37)*100</f>
        <v>22.479917809688921</v>
      </c>
      <c r="V37" s="32">
        <f t="shared" si="31"/>
        <v>-5.6330911667437276</v>
      </c>
      <c r="W37" s="32">
        <f t="shared" si="30"/>
        <v>33.568185112196332</v>
      </c>
      <c r="X37" s="32">
        <f t="shared" si="11"/>
        <v>57.942632722973464</v>
      </c>
      <c r="Y37" s="32">
        <f t="shared" si="12"/>
        <v>30.085084765480591</v>
      </c>
    </row>
    <row r="38" spans="1:25" s="18" customFormat="1" ht="19.5" customHeight="1" x14ac:dyDescent="0.25">
      <c r="A38" s="21" t="s">
        <v>37</v>
      </c>
      <c r="B38" s="3">
        <v>254769.92177999989</v>
      </c>
      <c r="C38" s="3">
        <v>284199.35473999957</v>
      </c>
      <c r="D38" s="3">
        <v>289416.8756100001</v>
      </c>
      <c r="E38" s="3">
        <v>257386.62530999977</v>
      </c>
      <c r="F38" s="3">
        <v>244164.01933999997</v>
      </c>
      <c r="G38" s="50">
        <v>280409.85158000002</v>
      </c>
      <c r="H38" s="31" t="e">
        <f>#REF!/#REF!*100</f>
        <v>#REF!</v>
      </c>
      <c r="I38" s="32" t="e">
        <f>#REF!/#REF!*100</f>
        <v>#REF!</v>
      </c>
      <c r="J38" s="32" t="e">
        <f>#REF!/#REF!*100</f>
        <v>#REF!</v>
      </c>
      <c r="K38" s="32">
        <f>B38/$B$6*100</f>
        <v>0.70138321883248822</v>
      </c>
      <c r="L38" s="32">
        <f t="shared" si="13"/>
        <v>0.62361782685427913</v>
      </c>
      <c r="M38" s="32">
        <f t="shared" si="29"/>
        <v>0.65155862365615436</v>
      </c>
      <c r="N38" s="32">
        <f t="shared" si="15"/>
        <v>0.91092495966635623</v>
      </c>
      <c r="O38" s="32">
        <f t="shared" si="16"/>
        <v>0.63843338488662404</v>
      </c>
      <c r="P38" s="40">
        <f t="shared" si="17"/>
        <v>0.52256223275999925</v>
      </c>
      <c r="Q38" s="32" t="e">
        <f>((#REF!-#REF!)/#REF!)*100</f>
        <v>#REF!</v>
      </c>
      <c r="R38" s="32" t="e">
        <f>((#REF!-#REF!)/#REF!)*100</f>
        <v>#REF!</v>
      </c>
      <c r="S38" s="32" t="e">
        <f>((#REF!-#REF!)/#REF!)*100</f>
        <v>#REF!</v>
      </c>
      <c r="T38" s="32" t="e">
        <f>((B38-#REF!)/#REF!)*100</f>
        <v>#REF!</v>
      </c>
      <c r="U38" s="32">
        <f>((C38-B38)/B38)*100</f>
        <v>11.551376533927238</v>
      </c>
      <c r="V38" s="32">
        <f t="shared" si="31"/>
        <v>1.8358665433191403</v>
      </c>
      <c r="W38" s="32">
        <f t="shared" si="30"/>
        <v>-11.067167466475686</v>
      </c>
      <c r="X38" s="32">
        <f t="shared" si="11"/>
        <v>-5.137254491788112</v>
      </c>
      <c r="Y38" s="32">
        <f t="shared" si="12"/>
        <v>14.844870402271471</v>
      </c>
    </row>
    <row r="39" spans="1:25" s="18" customFormat="1" ht="19.5" customHeight="1" x14ac:dyDescent="0.25">
      <c r="A39" s="19" t="s">
        <v>38</v>
      </c>
      <c r="B39" s="3"/>
      <c r="C39" s="3"/>
      <c r="D39" s="3"/>
      <c r="E39" s="3"/>
      <c r="F39" s="3"/>
      <c r="G39" s="50"/>
      <c r="H39" s="31"/>
      <c r="I39" s="32"/>
      <c r="J39" s="32"/>
      <c r="K39" s="2"/>
      <c r="L39" s="2"/>
      <c r="M39" s="2"/>
      <c r="N39" s="2"/>
      <c r="O39" s="2"/>
      <c r="P39" s="46"/>
      <c r="Q39" s="2"/>
      <c r="R39" s="2"/>
      <c r="S39" s="32"/>
      <c r="T39" s="32"/>
      <c r="U39" s="32"/>
      <c r="V39" s="32"/>
      <c r="W39" s="32"/>
      <c r="X39" s="32"/>
      <c r="Y39" s="32"/>
    </row>
    <row r="40" spans="1:25" s="18" customFormat="1" ht="19.5" customHeight="1" x14ac:dyDescent="0.25">
      <c r="A40" s="33" t="s">
        <v>39</v>
      </c>
      <c r="B40" s="20">
        <f t="shared" ref="B40:C40" si="32">SUM(B41:B43)</f>
        <v>6723146.6145799952</v>
      </c>
      <c r="C40" s="20">
        <f t="shared" si="32"/>
        <v>9854282.6076300014</v>
      </c>
      <c r="D40" s="20">
        <f t="shared" ref="D40:E40" si="33">SUM(D41:D43)</f>
        <v>8813276.1820899975</v>
      </c>
      <c r="E40" s="20">
        <f t="shared" si="33"/>
        <v>5190653.5381400008</v>
      </c>
      <c r="F40" s="20">
        <f t="shared" ref="F40:G40" si="34">SUM(F41:F43)</f>
        <v>7987242.5962000014</v>
      </c>
      <c r="G40" s="49">
        <f t="shared" si="34"/>
        <v>14387905.749579996</v>
      </c>
      <c r="H40" s="45" t="e">
        <f>#REF!/#REF!*100</f>
        <v>#REF!</v>
      </c>
      <c r="I40" s="2" t="e">
        <f>#REF!/#REF!*100</f>
        <v>#REF!</v>
      </c>
      <c r="J40" s="2" t="e">
        <f>#REF!/#REF!*100</f>
        <v>#REF!</v>
      </c>
      <c r="K40" s="2">
        <f>B40/$B$6*100</f>
        <v>18.508865490365128</v>
      </c>
      <c r="L40" s="2">
        <f t="shared" si="13"/>
        <v>21.623223988668759</v>
      </c>
      <c r="M40" s="2">
        <f>D40/$D$6*100</f>
        <v>19.841158491539296</v>
      </c>
      <c r="N40" s="2">
        <f t="shared" si="15"/>
        <v>18.370402343856792</v>
      </c>
      <c r="O40" s="2">
        <f t="shared" si="16"/>
        <v>20.884822998845522</v>
      </c>
      <c r="P40" s="46">
        <f t="shared" si="17"/>
        <v>26.812810287786654</v>
      </c>
      <c r="Q40" s="2" t="e">
        <f>((#REF!-#REF!)/#REF!)*100</f>
        <v>#REF!</v>
      </c>
      <c r="R40" s="2" t="e">
        <f>((#REF!-#REF!)/#REF!)*100</f>
        <v>#REF!</v>
      </c>
      <c r="S40" s="2" t="e">
        <f>((#REF!-#REF!)/#REF!)*100</f>
        <v>#REF!</v>
      </c>
      <c r="T40" s="2" t="e">
        <f>((B40-#REF!)/#REF!)*100</f>
        <v>#REF!</v>
      </c>
      <c r="U40" s="2">
        <f>((C40-B40)/B40)*100</f>
        <v>46.57247822410627</v>
      </c>
      <c r="V40" s="2">
        <f t="shared" ref="V40:V41" si="35">((D40-C40)/C40)*100</f>
        <v>-10.564000110307072</v>
      </c>
      <c r="W40" s="2">
        <f t="shared" ref="W40:W43" si="36">((E40-D40)/D40)*100</f>
        <v>-41.104154336065761</v>
      </c>
      <c r="X40" s="2">
        <f t="shared" si="11"/>
        <v>53.877397855802947</v>
      </c>
      <c r="Y40" s="2">
        <f t="shared" si="12"/>
        <v>80.13608045942118</v>
      </c>
    </row>
    <row r="41" spans="1:25" s="18" customFormat="1" ht="19.5" customHeight="1" x14ac:dyDescent="0.25">
      <c r="A41" s="21" t="s">
        <v>40</v>
      </c>
      <c r="B41" s="3">
        <v>1864607.7501499956</v>
      </c>
      <c r="C41" s="3">
        <v>2650174.5140799982</v>
      </c>
      <c r="D41" s="3">
        <v>1628386.5577299986</v>
      </c>
      <c r="E41" s="3">
        <v>1117578.8246399995</v>
      </c>
      <c r="F41" s="3">
        <v>1256850.7748099996</v>
      </c>
      <c r="G41" s="50">
        <v>1620653.2828099993</v>
      </c>
      <c r="H41" s="31" t="e">
        <f>#REF!/#REF!*100</f>
        <v>#REF!</v>
      </c>
      <c r="I41" s="32" t="e">
        <f>#REF!/#REF!*100</f>
        <v>#REF!</v>
      </c>
      <c r="J41" s="32" t="e">
        <f>#REF!/#REF!*100</f>
        <v>#REF!</v>
      </c>
      <c r="K41" s="32">
        <f>B41/$B$6*100</f>
        <v>5.1332770231390557</v>
      </c>
      <c r="L41" s="32">
        <f t="shared" si="13"/>
        <v>5.8152703153289584</v>
      </c>
      <c r="M41" s="32">
        <f>D41/$D$6*100</f>
        <v>3.665955214596619</v>
      </c>
      <c r="N41" s="32">
        <f t="shared" si="15"/>
        <v>3.9552577548776529</v>
      </c>
      <c r="O41" s="32">
        <f t="shared" si="16"/>
        <v>3.2863789539029313</v>
      </c>
      <c r="P41" s="40">
        <f t="shared" si="17"/>
        <v>3.0201941665854779</v>
      </c>
      <c r="Q41" s="32" t="e">
        <f>((#REF!-#REF!)/#REF!)*100</f>
        <v>#REF!</v>
      </c>
      <c r="R41" s="32" t="e">
        <f>((#REF!-#REF!)/#REF!)*100</f>
        <v>#REF!</v>
      </c>
      <c r="S41" s="32" t="e">
        <f>((#REF!-#REF!)/#REF!)*100</f>
        <v>#REF!</v>
      </c>
      <c r="T41" s="32" t="e">
        <f>((B41-#REF!)/#REF!)*100</f>
        <v>#REF!</v>
      </c>
      <c r="U41" s="32">
        <f>((C41-B41)/B41)*100</f>
        <v>42.130403237185355</v>
      </c>
      <c r="V41" s="32">
        <f t="shared" si="35"/>
        <v>-38.555497040718876</v>
      </c>
      <c r="W41" s="32">
        <f t="shared" si="36"/>
        <v>-31.368948034186346</v>
      </c>
      <c r="X41" s="32">
        <f t="shared" si="11"/>
        <v>12.461935310456791</v>
      </c>
      <c r="Y41" s="32">
        <f t="shared" si="12"/>
        <v>28.945561023741767</v>
      </c>
    </row>
    <row r="42" spans="1:25" s="18" customFormat="1" ht="19.5" customHeight="1" x14ac:dyDescent="0.25">
      <c r="A42" s="21" t="s">
        <v>41</v>
      </c>
      <c r="B42" s="3">
        <v>22514.495210000001</v>
      </c>
      <c r="C42" s="3">
        <v>7149.842889999999</v>
      </c>
      <c r="D42" s="3">
        <v>15123.691989999998</v>
      </c>
      <c r="E42" s="3">
        <v>6453.0226600000024</v>
      </c>
      <c r="F42" s="3">
        <v>1650.8165499999998</v>
      </c>
      <c r="G42" s="50">
        <v>6385.153299999999</v>
      </c>
      <c r="H42" s="31" t="e">
        <f>#REF!/#REF!*100</f>
        <v>#REF!</v>
      </c>
      <c r="I42" s="32" t="e">
        <f>#REF!/#REF!*100</f>
        <v>#REF!</v>
      </c>
      <c r="J42" s="32" t="e">
        <f>#REF!/#REF!*100</f>
        <v>#REF!</v>
      </c>
      <c r="K42" s="32">
        <f>B42/$B$6*100</f>
        <v>6.1982548844265087E-2</v>
      </c>
      <c r="L42" s="32">
        <f t="shared" si="13"/>
        <v>1.5688879693236579E-2</v>
      </c>
      <c r="M42" s="32">
        <f>D42/$D$6*100</f>
        <v>3.4047675750886741E-2</v>
      </c>
      <c r="N42" s="32">
        <f t="shared" si="15"/>
        <v>2.283809191408754E-2</v>
      </c>
      <c r="O42" s="32">
        <f t="shared" si="16"/>
        <v>4.3165098637065998E-3</v>
      </c>
      <c r="P42" s="40">
        <f t="shared" si="17"/>
        <v>1.1899153849845906E-2</v>
      </c>
      <c r="Q42" s="32" t="e">
        <f>((#REF!-#REF!)/#REF!)*100</f>
        <v>#REF!</v>
      </c>
      <c r="R42" s="32" t="e">
        <f>((#REF!-#REF!)/#REF!)*100</f>
        <v>#REF!</v>
      </c>
      <c r="S42" s="35" t="s">
        <v>148</v>
      </c>
      <c r="T42" s="35" t="s">
        <v>148</v>
      </c>
      <c r="U42" s="32">
        <f>((C42-B42)/B42)*100</f>
        <v>-68.243379106166515</v>
      </c>
      <c r="V42" s="35" t="s">
        <v>148</v>
      </c>
      <c r="W42" s="32">
        <f t="shared" si="36"/>
        <v>-57.33169741709343</v>
      </c>
      <c r="X42" s="35">
        <f t="shared" si="11"/>
        <v>-74.41793347119598</v>
      </c>
      <c r="Y42" s="35" t="s">
        <v>148</v>
      </c>
    </row>
    <row r="43" spans="1:25" s="18" customFormat="1" ht="19.5" customHeight="1" x14ac:dyDescent="0.25">
      <c r="A43" s="21" t="s">
        <v>42</v>
      </c>
      <c r="B43" s="3">
        <v>4836024.3692199998</v>
      </c>
      <c r="C43" s="3">
        <v>7196958.2506600032</v>
      </c>
      <c r="D43" s="3">
        <v>7169765.9323699996</v>
      </c>
      <c r="E43" s="3">
        <v>4066621.6908400017</v>
      </c>
      <c r="F43" s="3">
        <v>6728741.0048400015</v>
      </c>
      <c r="G43" s="50">
        <v>12760867.313469997</v>
      </c>
      <c r="H43" s="31" t="e">
        <f>#REF!/#REF!*100</f>
        <v>#REF!</v>
      </c>
      <c r="I43" s="32" t="e">
        <f>#REF!/#REF!*100</f>
        <v>#REF!</v>
      </c>
      <c r="J43" s="32" t="e">
        <f>#REF!/#REF!*100</f>
        <v>#REF!</v>
      </c>
      <c r="K43" s="32">
        <f>B43/$B$6*100</f>
        <v>13.313605918381807</v>
      </c>
      <c r="L43" s="32">
        <f t="shared" si="13"/>
        <v>15.792264793646563</v>
      </c>
      <c r="M43" s="32">
        <f>D43/$D$6*100</f>
        <v>16.141155601191791</v>
      </c>
      <c r="N43" s="32">
        <f t="shared" si="15"/>
        <v>14.392306497065052</v>
      </c>
      <c r="O43" s="32">
        <f t="shared" si="16"/>
        <v>17.594127535078883</v>
      </c>
      <c r="P43" s="40">
        <f t="shared" si="17"/>
        <v>23.780716967351328</v>
      </c>
      <c r="Q43" s="32" t="e">
        <f>((#REF!-#REF!)/#REF!)*100</f>
        <v>#REF!</v>
      </c>
      <c r="R43" s="32" t="e">
        <f>((#REF!-#REF!)/#REF!)*100</f>
        <v>#REF!</v>
      </c>
      <c r="S43" s="32" t="e">
        <f>((#REF!-#REF!)/#REF!)*100</f>
        <v>#REF!</v>
      </c>
      <c r="T43" s="32" t="e">
        <f>((B43-#REF!)/#REF!)*100</f>
        <v>#REF!</v>
      </c>
      <c r="U43" s="32">
        <f>((C43-B43)/B43)*100</f>
        <v>48.819726725669859</v>
      </c>
      <c r="V43" s="32">
        <f>((D43-C43)/C43)*100</f>
        <v>-0.3778307076813997</v>
      </c>
      <c r="W43" s="32">
        <f t="shared" si="36"/>
        <v>-43.280969989828371</v>
      </c>
      <c r="X43" s="32">
        <f t="shared" si="11"/>
        <v>65.462674337187039</v>
      </c>
      <c r="Y43" s="32">
        <f t="shared" si="12"/>
        <v>89.647176259140764</v>
      </c>
    </row>
    <row r="44" spans="1:25" s="18" customFormat="1" ht="19.5" customHeight="1" x14ac:dyDescent="0.25">
      <c r="A44" s="19" t="s">
        <v>43</v>
      </c>
      <c r="B44" s="3"/>
      <c r="C44" s="3"/>
      <c r="D44" s="3"/>
      <c r="E44" s="3"/>
      <c r="F44" s="3"/>
      <c r="G44" s="50"/>
      <c r="H44" s="31"/>
      <c r="I44" s="32"/>
      <c r="J44" s="32"/>
      <c r="K44" s="2"/>
      <c r="L44" s="2"/>
      <c r="M44" s="2"/>
      <c r="N44" s="2"/>
      <c r="O44" s="2"/>
      <c r="P44" s="46"/>
      <c r="Q44" s="2"/>
      <c r="R44" s="2"/>
      <c r="S44" s="32"/>
      <c r="T44" s="32"/>
      <c r="U44" s="32"/>
      <c r="V44" s="32"/>
      <c r="W44" s="32"/>
      <c r="X44" s="32"/>
      <c r="Y44" s="32"/>
    </row>
    <row r="45" spans="1:25" s="18" customFormat="1" ht="16.5" customHeight="1" x14ac:dyDescent="0.25">
      <c r="A45" s="33" t="s">
        <v>44</v>
      </c>
      <c r="B45" s="20">
        <f t="shared" ref="B45:C45" si="37">SUM(B46:B56)</f>
        <v>1915072.1585099993</v>
      </c>
      <c r="C45" s="20">
        <f t="shared" si="37"/>
        <v>2207909.9094800004</v>
      </c>
      <c r="D45" s="20">
        <f t="shared" ref="D45:E45" si="38">SUM(D46:D56)</f>
        <v>2553688.5901900018</v>
      </c>
      <c r="E45" s="20">
        <f t="shared" si="38"/>
        <v>2336053.343789997</v>
      </c>
      <c r="F45" s="20">
        <f t="shared" ref="F45:G45" si="39">SUM(F46:F56)</f>
        <v>2931155.4189899983</v>
      </c>
      <c r="G45" s="49">
        <f t="shared" si="39"/>
        <v>3034464.5007300032</v>
      </c>
      <c r="H45" s="45" t="e">
        <f>#REF!/#REF!*100</f>
        <v>#REF!</v>
      </c>
      <c r="I45" s="2" t="e">
        <f>#REF!/#REF!*100</f>
        <v>#REF!</v>
      </c>
      <c r="J45" s="2" t="e">
        <f>#REF!/#REF!*100</f>
        <v>#REF!</v>
      </c>
      <c r="K45" s="2">
        <f>B45/$B$6*100</f>
        <v>5.2722058610675013</v>
      </c>
      <c r="L45" s="2">
        <f t="shared" si="13"/>
        <v>4.8448103652437871</v>
      </c>
      <c r="M45" s="2">
        <f t="shared" ref="M45:M56" si="40">D45/$D$6*100</f>
        <v>5.7490698134436347</v>
      </c>
      <c r="N45" s="2">
        <f t="shared" si="15"/>
        <v>8.2675985801803265</v>
      </c>
      <c r="O45" s="2">
        <f t="shared" si="16"/>
        <v>7.664304842429269</v>
      </c>
      <c r="P45" s="46">
        <f t="shared" si="17"/>
        <v>5.6549245178000911</v>
      </c>
      <c r="Q45" s="2" t="e">
        <f>((#REF!-#REF!)/#REF!)*100</f>
        <v>#REF!</v>
      </c>
      <c r="R45" s="2" t="e">
        <f>((#REF!-#REF!)/#REF!)*100</f>
        <v>#REF!</v>
      </c>
      <c r="S45" s="2" t="e">
        <f>((#REF!-#REF!)/#REF!)*100</f>
        <v>#REF!</v>
      </c>
      <c r="T45" s="2" t="e">
        <f>((B45-#REF!)/#REF!)*100</f>
        <v>#REF!</v>
      </c>
      <c r="U45" s="2">
        <f>((C45-B45)/B45)*100</f>
        <v>15.291212379059402</v>
      </c>
      <c r="V45" s="2">
        <f t="shared" ref="V45:V56" si="41">((D45-C45)/C45)*100</f>
        <v>15.660905330663516</v>
      </c>
      <c r="W45" s="2">
        <f t="shared" ref="W45:W56" si="42">((E45-D45)/D45)*100</f>
        <v>-8.5223878602916123</v>
      </c>
      <c r="X45" s="2">
        <f t="shared" si="11"/>
        <v>25.474678340799862</v>
      </c>
      <c r="Y45" s="2">
        <f t="shared" si="12"/>
        <v>3.5245173650874722</v>
      </c>
    </row>
    <row r="46" spans="1:25" s="18" customFormat="1" ht="19.5" customHeight="1" x14ac:dyDescent="0.25">
      <c r="A46" s="21" t="s">
        <v>45</v>
      </c>
      <c r="B46" s="3">
        <v>33642.50612999998</v>
      </c>
      <c r="C46" s="3">
        <v>27510.400490000011</v>
      </c>
      <c r="D46" s="3">
        <v>28651.355850000065</v>
      </c>
      <c r="E46" s="3">
        <v>16404.835970000007</v>
      </c>
      <c r="F46" s="3">
        <v>24208.415930000003</v>
      </c>
      <c r="G46" s="50">
        <v>31563.091100000001</v>
      </c>
      <c r="H46" s="31" t="e">
        <f>#REF!/#REF!*100</f>
        <v>#REF!</v>
      </c>
      <c r="I46" s="32" t="e">
        <f>#REF!/#REF!*100</f>
        <v>#REF!</v>
      </c>
      <c r="J46" s="32" t="e">
        <f>#REF!/#REF!*100</f>
        <v>#REF!</v>
      </c>
      <c r="K46" s="32">
        <f>B46/$B$6*100</f>
        <v>9.2618033848701653E-2</v>
      </c>
      <c r="L46" s="32">
        <f t="shared" si="13"/>
        <v>6.0365992685521355E-2</v>
      </c>
      <c r="M46" s="32">
        <f t="shared" si="40"/>
        <v>6.4502244190710628E-2</v>
      </c>
      <c r="N46" s="32">
        <f t="shared" si="15"/>
        <v>5.8058861940892284E-2</v>
      </c>
      <c r="O46" s="32">
        <f t="shared" si="16"/>
        <v>6.3299502386595888E-2</v>
      </c>
      <c r="P46" s="40">
        <f t="shared" si="17"/>
        <v>5.8819899747058875E-2</v>
      </c>
      <c r="Q46" s="32" t="e">
        <f>((#REF!-#REF!)/#REF!)*100</f>
        <v>#REF!</v>
      </c>
      <c r="R46" s="32" t="e">
        <f>((#REF!-#REF!)/#REF!)*100</f>
        <v>#REF!</v>
      </c>
      <c r="S46" s="35" t="s">
        <v>148</v>
      </c>
      <c r="T46" s="32" t="e">
        <f>((B46-#REF!)/#REF!)*100</f>
        <v>#REF!</v>
      </c>
      <c r="U46" s="32">
        <f>((C46-B46)/B46)*100</f>
        <v>-18.227255770734025</v>
      </c>
      <c r="V46" s="32">
        <f t="shared" si="41"/>
        <v>4.1473600517549354</v>
      </c>
      <c r="W46" s="32">
        <f t="shared" si="42"/>
        <v>-42.743247279866623</v>
      </c>
      <c r="X46" s="32">
        <f t="shared" si="11"/>
        <v>47.568777732801628</v>
      </c>
      <c r="Y46" s="32">
        <f t="shared" si="12"/>
        <v>30.380654361138109</v>
      </c>
    </row>
    <row r="47" spans="1:25" s="18" customFormat="1" ht="19.5" customHeight="1" x14ac:dyDescent="0.25">
      <c r="A47" s="21" t="s">
        <v>46</v>
      </c>
      <c r="B47" s="3">
        <v>29515.595189999956</v>
      </c>
      <c r="C47" s="3">
        <v>19092.929239999987</v>
      </c>
      <c r="D47" s="3">
        <v>17331.96376999998</v>
      </c>
      <c r="E47" s="3">
        <v>15004.625680000005</v>
      </c>
      <c r="F47" s="3">
        <v>15776.698880000013</v>
      </c>
      <c r="G47" s="50">
        <v>23184.684530000006</v>
      </c>
      <c r="H47" s="31" t="e">
        <f>#REF!/#REF!*100</f>
        <v>#REF!</v>
      </c>
      <c r="I47" s="32" t="e">
        <f>#REF!/#REF!*100</f>
        <v>#REF!</v>
      </c>
      <c r="J47" s="32" t="e">
        <f>#REF!/#REF!*100</f>
        <v>#REF!</v>
      </c>
      <c r="K47" s="32">
        <f>B47/$B$6*100</f>
        <v>8.1256621721599226E-2</v>
      </c>
      <c r="L47" s="32">
        <f t="shared" si="13"/>
        <v>4.1895559727164682E-2</v>
      </c>
      <c r="M47" s="32">
        <f t="shared" si="40"/>
        <v>3.901911536926745E-2</v>
      </c>
      <c r="N47" s="32">
        <f t="shared" si="15"/>
        <v>5.3103334432784748E-2</v>
      </c>
      <c r="O47" s="32">
        <f t="shared" si="16"/>
        <v>4.1252479769632137E-2</v>
      </c>
      <c r="P47" s="40">
        <f t="shared" si="17"/>
        <v>4.3206187106363203E-2</v>
      </c>
      <c r="Q47" s="32" t="e">
        <f>((#REF!-#REF!)/#REF!)*100</f>
        <v>#REF!</v>
      </c>
      <c r="R47" s="32" t="e">
        <f>((#REF!-#REF!)/#REF!)*100</f>
        <v>#REF!</v>
      </c>
      <c r="S47" s="35" t="s">
        <v>148</v>
      </c>
      <c r="T47" s="32" t="e">
        <f>((B47-#REF!)/#REF!)*100</f>
        <v>#REF!</v>
      </c>
      <c r="U47" s="32">
        <f>((C47-B47)/B47)*100</f>
        <v>-35.312403097096364</v>
      </c>
      <c r="V47" s="32">
        <f t="shared" si="41"/>
        <v>-9.22312887595454</v>
      </c>
      <c r="W47" s="32">
        <f t="shared" si="42"/>
        <v>-13.428011510319344</v>
      </c>
      <c r="X47" s="32">
        <f t="shared" si="11"/>
        <v>5.145567883303622</v>
      </c>
      <c r="Y47" s="32">
        <f t="shared" si="12"/>
        <v>46.955232563835224</v>
      </c>
    </row>
    <row r="48" spans="1:25" s="18" customFormat="1" ht="19.5" customHeight="1" x14ac:dyDescent="0.25">
      <c r="A48" s="21" t="s">
        <v>47</v>
      </c>
      <c r="B48" s="3">
        <v>403597.56512999994</v>
      </c>
      <c r="C48" s="3">
        <v>490620.20334000047</v>
      </c>
      <c r="D48" s="3">
        <v>555684.16395000019</v>
      </c>
      <c r="E48" s="3">
        <v>650425.8227099994</v>
      </c>
      <c r="F48" s="3">
        <v>839063.22376999981</v>
      </c>
      <c r="G48" s="50">
        <v>829293.21707000071</v>
      </c>
      <c r="H48" s="31" t="e">
        <f>#REF!/#REF!*100</f>
        <v>#REF!</v>
      </c>
      <c r="I48" s="32" t="e">
        <f>#REF!/#REF!*100</f>
        <v>#REF!</v>
      </c>
      <c r="J48" s="32" t="e">
        <f>#REF!/#REF!*100</f>
        <v>#REF!</v>
      </c>
      <c r="K48" s="32">
        <f>B48/$B$6*100</f>
        <v>1.111106669759383</v>
      </c>
      <c r="L48" s="32">
        <f t="shared" si="13"/>
        <v>1.0765665013476311</v>
      </c>
      <c r="M48" s="32">
        <f t="shared" si="40"/>
        <v>1.2510010284910726</v>
      </c>
      <c r="N48" s="32">
        <f t="shared" si="15"/>
        <v>2.3019421292946407</v>
      </c>
      <c r="O48" s="32">
        <f t="shared" si="16"/>
        <v>2.1939595175954967</v>
      </c>
      <c r="P48" s="40">
        <f t="shared" si="17"/>
        <v>1.5454425466260298</v>
      </c>
      <c r="Q48" s="32" t="e">
        <f>((#REF!-#REF!)/#REF!)*100</f>
        <v>#REF!</v>
      </c>
      <c r="R48" s="32" t="e">
        <f>((#REF!-#REF!)/#REF!)*100</f>
        <v>#REF!</v>
      </c>
      <c r="S48" s="32" t="e">
        <f>((#REF!-#REF!)/#REF!)*100</f>
        <v>#REF!</v>
      </c>
      <c r="T48" s="32" t="e">
        <f>((B48-#REF!)/#REF!)*100</f>
        <v>#REF!</v>
      </c>
      <c r="U48" s="32">
        <f>((C48-B48)/B48)*100</f>
        <v>21.561735185882572</v>
      </c>
      <c r="V48" s="32">
        <f t="shared" si="41"/>
        <v>13.26157385428955</v>
      </c>
      <c r="W48" s="32">
        <f t="shared" si="42"/>
        <v>17.049551688956164</v>
      </c>
      <c r="X48" s="32">
        <f t="shared" si="11"/>
        <v>29.002138979360108</v>
      </c>
      <c r="Y48" s="32">
        <f t="shared" si="12"/>
        <v>-1.164394579958042</v>
      </c>
    </row>
    <row r="49" spans="1:25" s="18" customFormat="1" ht="19.5" customHeight="1" x14ac:dyDescent="0.25">
      <c r="A49" s="21" t="s">
        <v>48</v>
      </c>
      <c r="B49" s="3">
        <v>31379.457379999993</v>
      </c>
      <c r="C49" s="3">
        <v>34662.660430000033</v>
      </c>
      <c r="D49" s="3">
        <v>36380.053140000004</v>
      </c>
      <c r="E49" s="3">
        <v>39473.263470000005</v>
      </c>
      <c r="F49" s="3">
        <v>29383.190939999989</v>
      </c>
      <c r="G49" s="50">
        <v>33660.465010000014</v>
      </c>
      <c r="H49" s="31" t="e">
        <f>#REF!/#REF!*100</f>
        <v>#REF!</v>
      </c>
      <c r="I49" s="32" t="e">
        <f>#REF!/#REF!*100</f>
        <v>#REF!</v>
      </c>
      <c r="J49" s="32" t="e">
        <f>#REF!/#REF!*100</f>
        <v>#REF!</v>
      </c>
      <c r="K49" s="32">
        <f>B49/$B$6*100</f>
        <v>8.6387846212892458E-2</v>
      </c>
      <c r="L49" s="32">
        <f t="shared" si="13"/>
        <v>7.6060176104622443E-2</v>
      </c>
      <c r="M49" s="32">
        <f t="shared" si="40"/>
        <v>8.1901711164824476E-2</v>
      </c>
      <c r="N49" s="32">
        <f t="shared" si="15"/>
        <v>0.13970104659090937</v>
      </c>
      <c r="O49" s="32">
        <f t="shared" si="16"/>
        <v>7.6830362234788813E-2</v>
      </c>
      <c r="P49" s="40">
        <f t="shared" si="17"/>
        <v>6.2728494210365346E-2</v>
      </c>
      <c r="Q49" s="32" t="e">
        <f>((#REF!-#REF!)/#REF!)*100</f>
        <v>#REF!</v>
      </c>
      <c r="R49" s="32" t="e">
        <f>((#REF!-#REF!)/#REF!)*100</f>
        <v>#REF!</v>
      </c>
      <c r="S49" s="32" t="e">
        <f>((#REF!-#REF!)/#REF!)*100</f>
        <v>#REF!</v>
      </c>
      <c r="T49" s="32" t="e">
        <f>((B49-#REF!)/#REF!)*100</f>
        <v>#REF!</v>
      </c>
      <c r="U49" s="32">
        <f>((C49-B49)/B49)*100</f>
        <v>10.462905748308517</v>
      </c>
      <c r="V49" s="32">
        <f t="shared" si="41"/>
        <v>4.9545900075044225</v>
      </c>
      <c r="W49" s="32">
        <f t="shared" si="42"/>
        <v>8.5024898619485665</v>
      </c>
      <c r="X49" s="32">
        <f t="shared" si="11"/>
        <v>-25.561789532979841</v>
      </c>
      <c r="Y49" s="32">
        <f t="shared" si="12"/>
        <v>14.556873958087637</v>
      </c>
    </row>
    <row r="50" spans="1:25" s="18" customFormat="1" ht="19.5" customHeight="1" x14ac:dyDescent="0.25">
      <c r="A50" s="21" t="s">
        <v>49</v>
      </c>
      <c r="B50" s="3">
        <v>375282.90543000016</v>
      </c>
      <c r="C50" s="3">
        <v>475796.57062000042</v>
      </c>
      <c r="D50" s="3">
        <v>622518.15157000103</v>
      </c>
      <c r="E50" s="3">
        <v>349781.7543099997</v>
      </c>
      <c r="F50" s="3">
        <v>455707.1198800006</v>
      </c>
      <c r="G50" s="50">
        <v>515772.34062999993</v>
      </c>
      <c r="H50" s="31" t="e">
        <f>#REF!/#REF!*100</f>
        <v>#REF!</v>
      </c>
      <c r="I50" s="32" t="e">
        <f>#REF!/#REF!*100</f>
        <v>#REF!</v>
      </c>
      <c r="J50" s="32" t="e">
        <f>#REF!/#REF!*100</f>
        <v>#REF!</v>
      </c>
      <c r="K50" s="32">
        <f>B50/$B$6*100</f>
        <v>1.0331562310977835</v>
      </c>
      <c r="L50" s="32">
        <f t="shared" si="13"/>
        <v>1.0440390466973926</v>
      </c>
      <c r="M50" s="32">
        <f t="shared" si="40"/>
        <v>1.4014630943100004</v>
      </c>
      <c r="N50" s="32">
        <f t="shared" si="15"/>
        <v>1.2379234160015418</v>
      </c>
      <c r="O50" s="32">
        <f t="shared" si="16"/>
        <v>1.191570485480866</v>
      </c>
      <c r="P50" s="40">
        <f t="shared" si="17"/>
        <v>0.96117573757414709</v>
      </c>
      <c r="Q50" s="32" t="e">
        <f>((#REF!-#REF!)/#REF!)*100</f>
        <v>#REF!</v>
      </c>
      <c r="R50" s="32" t="e">
        <f>((#REF!-#REF!)/#REF!)*100</f>
        <v>#REF!</v>
      </c>
      <c r="S50" s="32" t="e">
        <f>((#REF!-#REF!)/#REF!)*100</f>
        <v>#REF!</v>
      </c>
      <c r="T50" s="32" t="e">
        <f>((B50-#REF!)/#REF!)*100</f>
        <v>#REF!</v>
      </c>
      <c r="U50" s="32">
        <f>((C50-B50)/B50)*100</f>
        <v>26.783438237036517</v>
      </c>
      <c r="V50" s="32">
        <f t="shared" si="41"/>
        <v>30.837040451723063</v>
      </c>
      <c r="W50" s="32">
        <f t="shared" si="42"/>
        <v>-43.8117983503221</v>
      </c>
      <c r="X50" s="32">
        <f t="shared" si="11"/>
        <v>30.283273574104967</v>
      </c>
      <c r="Y50" s="32">
        <f t="shared" si="12"/>
        <v>13.180663221986977</v>
      </c>
    </row>
    <row r="51" spans="1:25" s="18" customFormat="1" ht="19.5" customHeight="1" x14ac:dyDescent="0.25">
      <c r="A51" s="21" t="s">
        <v>50</v>
      </c>
      <c r="B51" s="3">
        <v>429145.18425999978</v>
      </c>
      <c r="C51" s="3">
        <v>445670.27586999949</v>
      </c>
      <c r="D51" s="3">
        <v>495714.81984000024</v>
      </c>
      <c r="E51" s="3">
        <v>358210.71859999932</v>
      </c>
      <c r="F51" s="3">
        <v>540245.89426999819</v>
      </c>
      <c r="G51" s="50">
        <v>622979.32191000169</v>
      </c>
      <c r="H51" s="31" t="e">
        <f>#REF!/#REF!*100</f>
        <v>#REF!</v>
      </c>
      <c r="I51" s="32" t="e">
        <f>#REF!/#REF!*100</f>
        <v>#REF!</v>
      </c>
      <c r="J51" s="32" t="e">
        <f>#REF!/#REF!*100</f>
        <v>#REF!</v>
      </c>
      <c r="K51" s="32">
        <f>B51/$B$6*100</f>
        <v>1.181439428091738</v>
      </c>
      <c r="L51" s="32">
        <f t="shared" si="13"/>
        <v>0.97793300475949063</v>
      </c>
      <c r="M51" s="32">
        <f t="shared" si="40"/>
        <v>1.1159932020555234</v>
      </c>
      <c r="N51" s="32">
        <f t="shared" si="15"/>
        <v>1.267754624000984</v>
      </c>
      <c r="O51" s="32">
        <f t="shared" si="16"/>
        <v>1.4126201554275912</v>
      </c>
      <c r="P51" s="40">
        <f t="shared" si="17"/>
        <v>1.1609630103446054</v>
      </c>
      <c r="Q51" s="32" t="e">
        <f>((#REF!-#REF!)/#REF!)*100</f>
        <v>#REF!</v>
      </c>
      <c r="R51" s="32" t="e">
        <f>((#REF!-#REF!)/#REF!)*100</f>
        <v>#REF!</v>
      </c>
      <c r="S51" s="32" t="e">
        <f>((#REF!-#REF!)/#REF!)*100</f>
        <v>#REF!</v>
      </c>
      <c r="T51" s="32" t="e">
        <f>((B51-#REF!)/#REF!)*100</f>
        <v>#REF!</v>
      </c>
      <c r="U51" s="32">
        <f>((C51-B51)/B51)*100</f>
        <v>3.8506995338873242</v>
      </c>
      <c r="V51" s="32">
        <f t="shared" si="41"/>
        <v>11.229051314294647</v>
      </c>
      <c r="W51" s="32">
        <f t="shared" si="42"/>
        <v>-27.738549612937241</v>
      </c>
      <c r="X51" s="32">
        <f t="shared" si="11"/>
        <v>50.817903043619083</v>
      </c>
      <c r="Y51" s="32">
        <f t="shared" si="12"/>
        <v>15.314031724719761</v>
      </c>
    </row>
    <row r="52" spans="1:25" s="18" customFormat="1" ht="19.5" customHeight="1" x14ac:dyDescent="0.25">
      <c r="A52" s="21" t="s">
        <v>51</v>
      </c>
      <c r="B52" s="3">
        <v>282219.70577999967</v>
      </c>
      <c r="C52" s="3">
        <v>303202.18161999981</v>
      </c>
      <c r="D52" s="3">
        <v>360800.73533999937</v>
      </c>
      <c r="E52" s="3">
        <v>303357.97526999877</v>
      </c>
      <c r="F52" s="3">
        <v>358199.15239000024</v>
      </c>
      <c r="G52" s="50">
        <v>407719.6674500003</v>
      </c>
      <c r="H52" s="31" t="e">
        <f>#REF!/#REF!*100</f>
        <v>#REF!</v>
      </c>
      <c r="I52" s="32" t="e">
        <f>#REF!/#REF!*100</f>
        <v>#REF!</v>
      </c>
      <c r="J52" s="32" t="e">
        <f>#REF!/#REF!*100</f>
        <v>#REF!</v>
      </c>
      <c r="K52" s="32">
        <f>B52/$B$6*100</f>
        <v>0.77695264917835793</v>
      </c>
      <c r="L52" s="32">
        <f t="shared" si="13"/>
        <v>0.66531567523199731</v>
      </c>
      <c r="M52" s="32">
        <f t="shared" si="40"/>
        <v>0.81226372870198904</v>
      </c>
      <c r="N52" s="32">
        <f t="shared" si="15"/>
        <v>1.0736235849647124</v>
      </c>
      <c r="O52" s="32">
        <f t="shared" si="16"/>
        <v>0.93660932492031257</v>
      </c>
      <c r="P52" s="40">
        <f t="shared" si="17"/>
        <v>0.7598124622310265</v>
      </c>
      <c r="Q52" s="32" t="e">
        <f>((#REF!-#REF!)/#REF!)*100</f>
        <v>#REF!</v>
      </c>
      <c r="R52" s="32" t="e">
        <f>((#REF!-#REF!)/#REF!)*100</f>
        <v>#REF!</v>
      </c>
      <c r="S52" s="32" t="e">
        <f>((#REF!-#REF!)/#REF!)*100</f>
        <v>#REF!</v>
      </c>
      <c r="T52" s="32" t="e">
        <f>((B52-#REF!)/#REF!)*100</f>
        <v>#REF!</v>
      </c>
      <c r="U52" s="32">
        <f>((C52-B52)/B52)*100</f>
        <v>7.4348018264737092</v>
      </c>
      <c r="V52" s="32">
        <f t="shared" si="41"/>
        <v>18.996747784680267</v>
      </c>
      <c r="W52" s="32">
        <f t="shared" si="42"/>
        <v>-15.92090992161355</v>
      </c>
      <c r="X52" s="32">
        <f t="shared" si="11"/>
        <v>18.078040332116199</v>
      </c>
      <c r="Y52" s="32">
        <f t="shared" si="12"/>
        <v>13.824855455292395</v>
      </c>
    </row>
    <row r="53" spans="1:25" s="18" customFormat="1" ht="19.5" customHeight="1" x14ac:dyDescent="0.25">
      <c r="A53" s="21" t="s">
        <v>52</v>
      </c>
      <c r="B53" s="3">
        <v>51978.41562</v>
      </c>
      <c r="C53" s="3">
        <v>66255.342839999968</v>
      </c>
      <c r="D53" s="3">
        <v>45567.81331999995</v>
      </c>
      <c r="E53" s="3">
        <v>33909.190839999959</v>
      </c>
      <c r="F53" s="3">
        <v>34824.974909999975</v>
      </c>
      <c r="G53" s="50">
        <v>40278.66480000002</v>
      </c>
      <c r="H53" s="31" t="e">
        <f>#REF!/#REF!*100</f>
        <v>#REF!</v>
      </c>
      <c r="I53" s="32" t="e">
        <f>#REF!/#REF!*100</f>
        <v>#REF!</v>
      </c>
      <c r="J53" s="32" t="e">
        <f>#REF!/#REF!*100</f>
        <v>#REF!</v>
      </c>
      <c r="K53" s="32">
        <f>B53/$B$6*100</f>
        <v>0.14309690956709489</v>
      </c>
      <c r="L53" s="32">
        <f t="shared" si="13"/>
        <v>0.14538390826807432</v>
      </c>
      <c r="M53" s="32">
        <f t="shared" si="40"/>
        <v>0.1025859382498768</v>
      </c>
      <c r="N53" s="32">
        <f t="shared" si="15"/>
        <v>0.12000906519926183</v>
      </c>
      <c r="O53" s="32">
        <f t="shared" si="16"/>
        <v>9.1059389792493756E-2</v>
      </c>
      <c r="P53" s="40">
        <f t="shared" si="17"/>
        <v>7.5061945548209968E-2</v>
      </c>
      <c r="Q53" s="32" t="e">
        <f>((#REF!-#REF!)/#REF!)*100</f>
        <v>#REF!</v>
      </c>
      <c r="R53" s="32" t="e">
        <f>((#REF!-#REF!)/#REF!)*100</f>
        <v>#REF!</v>
      </c>
      <c r="S53" s="32" t="e">
        <f>((#REF!-#REF!)/#REF!)*100</f>
        <v>#REF!</v>
      </c>
      <c r="T53" s="32" t="e">
        <f>((B53-#REF!)/#REF!)*100</f>
        <v>#REF!</v>
      </c>
      <c r="U53" s="32">
        <f>((C53-B53)/B53)*100</f>
        <v>27.467030400415982</v>
      </c>
      <c r="V53" s="32">
        <f t="shared" si="41"/>
        <v>-31.22394154680979</v>
      </c>
      <c r="W53" s="32">
        <f t="shared" si="42"/>
        <v>-25.585213839705933</v>
      </c>
      <c r="X53" s="32">
        <f t="shared" si="11"/>
        <v>2.7006957326735703</v>
      </c>
      <c r="Y53" s="32">
        <f t="shared" si="12"/>
        <v>15.660283759268466</v>
      </c>
    </row>
    <row r="54" spans="1:25" s="18" customFormat="1" ht="19.5" customHeight="1" x14ac:dyDescent="0.25">
      <c r="A54" s="21" t="s">
        <v>53</v>
      </c>
      <c r="B54" s="3">
        <v>10622.204799999998</v>
      </c>
      <c r="C54" s="3">
        <v>15706.00628</v>
      </c>
      <c r="D54" s="3">
        <v>11229.044649999998</v>
      </c>
      <c r="E54" s="3">
        <v>6493.3444800000007</v>
      </c>
      <c r="F54" s="3">
        <v>10731.014600000002</v>
      </c>
      <c r="G54" s="50">
        <v>9477.1106199999995</v>
      </c>
      <c r="H54" s="31" t="e">
        <f>#REF!/#REF!*100</f>
        <v>#REF!</v>
      </c>
      <c r="I54" s="32" t="e">
        <f>#REF!/#REF!*100</f>
        <v>#REF!</v>
      </c>
      <c r="J54" s="32" t="e">
        <f>#REF!/#REF!*100</f>
        <v>#REF!</v>
      </c>
      <c r="K54" s="32">
        <f>B54/$B$6*100</f>
        <v>2.924299753153501E-2</v>
      </c>
      <c r="L54" s="32">
        <f t="shared" si="13"/>
        <v>3.4463644415568158E-2</v>
      </c>
      <c r="M54" s="32">
        <f t="shared" si="40"/>
        <v>2.5279731396819431E-2</v>
      </c>
      <c r="N54" s="32">
        <f t="shared" si="15"/>
        <v>2.2980796113316753E-2</v>
      </c>
      <c r="O54" s="32">
        <f t="shared" si="16"/>
        <v>2.8059162823682343E-2</v>
      </c>
      <c r="P54" s="40">
        <f t="shared" si="17"/>
        <v>1.766122002417523E-2</v>
      </c>
      <c r="Q54" s="32" t="e">
        <f>((#REF!-#REF!)/#REF!)*100</f>
        <v>#REF!</v>
      </c>
      <c r="R54" s="35" t="s">
        <v>148</v>
      </c>
      <c r="S54" s="32" t="e">
        <f>((#REF!-#REF!)/#REF!)*100</f>
        <v>#REF!</v>
      </c>
      <c r="T54" s="32" t="e">
        <f>((B54-#REF!)/#REF!)*100</f>
        <v>#REF!</v>
      </c>
      <c r="U54" s="32">
        <f>((C54-B54)/B54)*100</f>
        <v>47.860134272688875</v>
      </c>
      <c r="V54" s="32">
        <f t="shared" si="41"/>
        <v>-28.504774225774739</v>
      </c>
      <c r="W54" s="32">
        <f t="shared" si="42"/>
        <v>-42.1736694225363</v>
      </c>
      <c r="X54" s="32">
        <f t="shared" si="11"/>
        <v>65.261748133836889</v>
      </c>
      <c r="Y54" s="32">
        <f t="shared" si="12"/>
        <v>-11.684859509929309</v>
      </c>
    </row>
    <row r="55" spans="1:25" s="18" customFormat="1" ht="19.5" customHeight="1" x14ac:dyDescent="0.25">
      <c r="A55" s="21" t="s">
        <v>54</v>
      </c>
      <c r="B55" s="3">
        <v>4784.5159099999983</v>
      </c>
      <c r="C55" s="3">
        <v>5307.8126200000006</v>
      </c>
      <c r="D55" s="3">
        <v>4485.3122400000002</v>
      </c>
      <c r="E55" s="3">
        <v>4371.1367299999993</v>
      </c>
      <c r="F55" s="3">
        <v>3832.97129</v>
      </c>
      <c r="G55" s="50">
        <v>4820.7054900000003</v>
      </c>
      <c r="H55" s="31" t="e">
        <f>#REF!/#REF!*100</f>
        <v>#REF!</v>
      </c>
      <c r="I55" s="32" t="e">
        <f>#REF!/#REF!*100</f>
        <v>#REF!</v>
      </c>
      <c r="J55" s="32" t="e">
        <f>#REF!/#REF!*100</f>
        <v>#REF!</v>
      </c>
      <c r="K55" s="32">
        <f>B55/$B$6*100</f>
        <v>1.3171802801779906E-2</v>
      </c>
      <c r="L55" s="32">
        <f t="shared" si="13"/>
        <v>1.1646917968769922E-2</v>
      </c>
      <c r="M55" s="32">
        <f t="shared" si="40"/>
        <v>1.0097696838178171E-2</v>
      </c>
      <c r="N55" s="32">
        <f t="shared" si="15"/>
        <v>1.5470025082599663E-2</v>
      </c>
      <c r="O55" s="32">
        <f t="shared" si="16"/>
        <v>1.0022348261888464E-2</v>
      </c>
      <c r="P55" s="40">
        <f t="shared" si="17"/>
        <v>8.983702284846757E-3</v>
      </c>
      <c r="Q55" s="32" t="e">
        <f>((#REF!-#REF!)/#REF!)*100</f>
        <v>#REF!</v>
      </c>
      <c r="R55" s="32" t="e">
        <f>((#REF!-#REF!)/#REF!)*100</f>
        <v>#REF!</v>
      </c>
      <c r="S55" s="32" t="e">
        <f>((#REF!-#REF!)/#REF!)*100</f>
        <v>#REF!</v>
      </c>
      <c r="T55" s="32" t="e">
        <f>((B55-#REF!)/#REF!)*100</f>
        <v>#REF!</v>
      </c>
      <c r="U55" s="32">
        <f>((C55-B55)/B55)*100</f>
        <v>10.937296893637093</v>
      </c>
      <c r="V55" s="32">
        <f t="shared" si="41"/>
        <v>-15.4960327141315</v>
      </c>
      <c r="W55" s="32">
        <f t="shared" si="42"/>
        <v>-2.5455420691068977</v>
      </c>
      <c r="X55" s="32">
        <f t="shared" si="11"/>
        <v>-12.31179606683224</v>
      </c>
      <c r="Y55" s="32">
        <f t="shared" si="12"/>
        <v>25.769412950651148</v>
      </c>
    </row>
    <row r="56" spans="1:25" s="18" customFormat="1" ht="19.5" customHeight="1" x14ac:dyDescent="0.25">
      <c r="A56" s="21" t="s">
        <v>55</v>
      </c>
      <c r="B56" s="3">
        <v>262904.10287999973</v>
      </c>
      <c r="C56" s="3">
        <v>324085.52612999978</v>
      </c>
      <c r="D56" s="3">
        <v>375325.17652000097</v>
      </c>
      <c r="E56" s="3">
        <v>558620.67573000002</v>
      </c>
      <c r="F56" s="3">
        <v>619182.76212999993</v>
      </c>
      <c r="G56" s="50">
        <v>515715.23212000012</v>
      </c>
      <c r="H56" s="31" t="e">
        <f>#REF!/#REF!*100</f>
        <v>#REF!</v>
      </c>
      <c r="I56" s="32" t="e">
        <f>#REF!/#REF!*100</f>
        <v>#REF!</v>
      </c>
      <c r="J56" s="32" t="e">
        <f>#REF!/#REF!*100</f>
        <v>#REF!</v>
      </c>
      <c r="K56" s="32">
        <f>B56/$B$6*100</f>
        <v>0.72377667125663603</v>
      </c>
      <c r="L56" s="32">
        <f t="shared" si="13"/>
        <v>0.71113993803755415</v>
      </c>
      <c r="M56" s="32">
        <f t="shared" si="40"/>
        <v>0.84496232267537252</v>
      </c>
      <c r="N56" s="32">
        <f t="shared" si="15"/>
        <v>1.9770316965586832</v>
      </c>
      <c r="O56" s="32">
        <f t="shared" si="16"/>
        <v>1.619022113735922</v>
      </c>
      <c r="P56" s="40">
        <f t="shared" si="17"/>
        <v>0.9610693121032623</v>
      </c>
      <c r="Q56" s="32" t="e">
        <f>((#REF!-#REF!)/#REF!)*100</f>
        <v>#REF!</v>
      </c>
      <c r="R56" s="32" t="e">
        <f>((#REF!-#REF!)/#REF!)*100</f>
        <v>#REF!</v>
      </c>
      <c r="S56" s="32" t="e">
        <f>((#REF!-#REF!)/#REF!)*100</f>
        <v>#REF!</v>
      </c>
      <c r="T56" s="32" t="e">
        <f>((B56-#REF!)/#REF!)*100</f>
        <v>#REF!</v>
      </c>
      <c r="U56" s="32">
        <f>((C56-B56)/B56)*100</f>
        <v>23.271383968444866</v>
      </c>
      <c r="V56" s="32">
        <f t="shared" si="41"/>
        <v>15.810533411309313</v>
      </c>
      <c r="W56" s="32">
        <f t="shared" si="42"/>
        <v>48.836451876079053</v>
      </c>
      <c r="X56" s="32">
        <f t="shared" si="11"/>
        <v>10.841361415930043</v>
      </c>
      <c r="Y56" s="32">
        <f t="shared" si="12"/>
        <v>-16.710337615677417</v>
      </c>
    </row>
    <row r="57" spans="1:25" s="18" customFormat="1" ht="19.5" customHeight="1" x14ac:dyDescent="0.25">
      <c r="A57" s="19" t="s">
        <v>56</v>
      </c>
      <c r="B57" s="3"/>
      <c r="C57" s="3"/>
      <c r="D57" s="3"/>
      <c r="E57" s="3"/>
      <c r="F57" s="3"/>
      <c r="G57" s="50"/>
      <c r="H57" s="31"/>
      <c r="I57" s="32"/>
      <c r="J57" s="32"/>
      <c r="K57" s="2"/>
      <c r="L57" s="2"/>
      <c r="M57" s="2"/>
      <c r="N57" s="2"/>
      <c r="O57" s="2"/>
      <c r="P57" s="46"/>
      <c r="Q57" s="2"/>
      <c r="R57" s="2"/>
      <c r="S57" s="32"/>
      <c r="T57" s="32"/>
      <c r="U57" s="32"/>
      <c r="V57" s="32"/>
      <c r="W57" s="32"/>
      <c r="X57" s="32"/>
      <c r="Y57" s="32"/>
    </row>
    <row r="58" spans="1:25" s="18" customFormat="1" ht="19.5" customHeight="1" x14ac:dyDescent="0.25">
      <c r="A58" s="23" t="s">
        <v>57</v>
      </c>
      <c r="B58" s="20">
        <f t="shared" ref="B58:C58" si="43">SUM(B59:B60)</f>
        <v>1366985.4138200032</v>
      </c>
      <c r="C58" s="20">
        <f t="shared" si="43"/>
        <v>1681104.4467199969</v>
      </c>
      <c r="D58" s="20">
        <f t="shared" ref="D58:E58" si="44">SUM(D59:D60)</f>
        <v>1509322.4911999991</v>
      </c>
      <c r="E58" s="20">
        <f t="shared" si="44"/>
        <v>1121103.261980006</v>
      </c>
      <c r="F58" s="20">
        <f t="shared" ref="F58:G58" si="45">SUM(F59:F60)</f>
        <v>1299027.5234100018</v>
      </c>
      <c r="G58" s="49">
        <f t="shared" si="45"/>
        <v>1798781.4736599987</v>
      </c>
      <c r="H58" s="45" t="e">
        <f>#REF!/#REF!*100</f>
        <v>#REF!</v>
      </c>
      <c r="I58" s="2" t="e">
        <f>#REF!/#REF!*100</f>
        <v>#REF!</v>
      </c>
      <c r="J58" s="2" t="e">
        <f>#REF!/#REF!*100</f>
        <v>#REF!</v>
      </c>
      <c r="K58" s="2">
        <f>B58/$B$6*100</f>
        <v>3.7633195588530475</v>
      </c>
      <c r="L58" s="2">
        <f t="shared" si="13"/>
        <v>3.6888426532061986</v>
      </c>
      <c r="M58" s="2">
        <f t="shared" ref="M58:M65" si="46">D58/$D$6*100</f>
        <v>3.3979085806479841</v>
      </c>
      <c r="N58" s="2">
        <f t="shared" si="15"/>
        <v>3.9677311999835334</v>
      </c>
      <c r="O58" s="2">
        <f t="shared" si="16"/>
        <v>3.3966615600174528</v>
      </c>
      <c r="P58" s="46">
        <f t="shared" si="17"/>
        <v>3.3521477859165683</v>
      </c>
      <c r="Q58" s="2" t="e">
        <f>((#REF!-#REF!)/#REF!)*100</f>
        <v>#REF!</v>
      </c>
      <c r="R58" s="2" t="e">
        <f>((#REF!-#REF!)/#REF!)*100</f>
        <v>#REF!</v>
      </c>
      <c r="S58" s="2" t="e">
        <f>((#REF!-#REF!)/#REF!)*100</f>
        <v>#REF!</v>
      </c>
      <c r="T58" s="2" t="e">
        <f>((B58-#REF!)/#REF!)*100</f>
        <v>#REF!</v>
      </c>
      <c r="U58" s="2">
        <f>((C58-B58)/B58)*100</f>
        <v>22.978960106252831</v>
      </c>
      <c r="V58" s="2">
        <f t="shared" ref="V58:V60" si="47">((D58-C58)/C58)*100</f>
        <v>-10.218398735138768</v>
      </c>
      <c r="W58" s="2">
        <f t="shared" ref="W58:W60" si="48">((E58-D58)/D58)*100</f>
        <v>-25.721423452143497</v>
      </c>
      <c r="X58" s="2">
        <f t="shared" si="11"/>
        <v>15.870461487709855</v>
      </c>
      <c r="Y58" s="2">
        <f t="shared" si="12"/>
        <v>38.471390424286149</v>
      </c>
    </row>
    <row r="59" spans="1:25" s="18" customFormat="1" ht="25.5" customHeight="1" x14ac:dyDescent="0.25">
      <c r="A59" s="21" t="s">
        <v>58</v>
      </c>
      <c r="B59" s="3">
        <v>1169981.9072400031</v>
      </c>
      <c r="C59" s="3">
        <v>1484829.5120699964</v>
      </c>
      <c r="D59" s="3">
        <v>1303940.8642799996</v>
      </c>
      <c r="E59" s="3">
        <v>955504.15838000609</v>
      </c>
      <c r="F59" s="3">
        <v>1075754.0898700017</v>
      </c>
      <c r="G59" s="50">
        <v>1525652.7213799986</v>
      </c>
      <c r="H59" s="31" t="e">
        <f>#REF!/#REF!*100</f>
        <v>#REF!</v>
      </c>
      <c r="I59" s="32" t="e">
        <f>#REF!/#REF!*100</f>
        <v>#REF!</v>
      </c>
      <c r="J59" s="32" t="e">
        <f>#REF!/#REF!*100</f>
        <v>#REF!</v>
      </c>
      <c r="K59" s="32">
        <f>B59/$B$6*100</f>
        <v>3.2209676493302073</v>
      </c>
      <c r="L59" s="32">
        <f t="shared" si="13"/>
        <v>3.258157128517456</v>
      </c>
      <c r="M59" s="32">
        <f t="shared" si="46"/>
        <v>2.9355368897152774</v>
      </c>
      <c r="N59" s="32">
        <f t="shared" si="15"/>
        <v>3.3816542949154047</v>
      </c>
      <c r="O59" s="32">
        <f t="shared" si="16"/>
        <v>2.8128523062399502</v>
      </c>
      <c r="P59" s="40">
        <f t="shared" si="17"/>
        <v>2.8431543614053401</v>
      </c>
      <c r="Q59" s="32" t="e">
        <f>((#REF!-#REF!)/#REF!)*100</f>
        <v>#REF!</v>
      </c>
      <c r="R59" s="32" t="e">
        <f>((#REF!-#REF!)/#REF!)*100</f>
        <v>#REF!</v>
      </c>
      <c r="S59" s="32" t="e">
        <f>((#REF!-#REF!)/#REF!)*100</f>
        <v>#REF!</v>
      </c>
      <c r="T59" s="32" t="e">
        <f>((B59-#REF!)/#REF!)*100</f>
        <v>#REF!</v>
      </c>
      <c r="U59" s="32">
        <f>((C59-B59)/B59)*100</f>
        <v>26.910467835585717</v>
      </c>
      <c r="V59" s="32">
        <f t="shared" si="47"/>
        <v>-12.182452350224402</v>
      </c>
      <c r="W59" s="32">
        <f t="shared" si="48"/>
        <v>-26.721818101190557</v>
      </c>
      <c r="X59" s="32">
        <f t="shared" si="11"/>
        <v>12.584972073158882</v>
      </c>
      <c r="Y59" s="32">
        <f t="shared" si="12"/>
        <v>41.821698448235921</v>
      </c>
    </row>
    <row r="60" spans="1:25" s="18" customFormat="1" ht="19.5" customHeight="1" x14ac:dyDescent="0.25">
      <c r="A60" s="21" t="s">
        <v>59</v>
      </c>
      <c r="B60" s="3">
        <v>197003.50657999996</v>
      </c>
      <c r="C60" s="3">
        <v>196274.93465000039</v>
      </c>
      <c r="D60" s="3">
        <v>205381.62691999937</v>
      </c>
      <c r="E60" s="3">
        <v>165599.1036</v>
      </c>
      <c r="F60" s="3">
        <v>223273.4335400002</v>
      </c>
      <c r="G60" s="50">
        <v>273128.75228000007</v>
      </c>
      <c r="H60" s="31" t="e">
        <f>#REF!/#REF!*100</f>
        <v>#REF!</v>
      </c>
      <c r="I60" s="32" t="e">
        <f>#REF!/#REF!*100</f>
        <v>#REF!</v>
      </c>
      <c r="J60" s="32" t="e">
        <f>#REF!/#REF!*100</f>
        <v>#REF!</v>
      </c>
      <c r="K60" s="32">
        <f>B60/$B$6*100</f>
        <v>0.5423519095228404</v>
      </c>
      <c r="L60" s="32">
        <f t="shared" si="13"/>
        <v>0.43068552468874299</v>
      </c>
      <c r="M60" s="32">
        <f t="shared" si="46"/>
        <v>0.46237169093270669</v>
      </c>
      <c r="N60" s="32">
        <f t="shared" si="15"/>
        <v>0.58607690506812871</v>
      </c>
      <c r="O60" s="32">
        <f t="shared" si="16"/>
        <v>0.58380925377750226</v>
      </c>
      <c r="P60" s="40">
        <f t="shared" si="17"/>
        <v>0.50899342451122864</v>
      </c>
      <c r="Q60" s="32" t="e">
        <f>((#REF!-#REF!)/#REF!)*100</f>
        <v>#REF!</v>
      </c>
      <c r="R60" s="32" t="e">
        <f>((#REF!-#REF!)/#REF!)*100</f>
        <v>#REF!</v>
      </c>
      <c r="S60" s="32" t="e">
        <f>((#REF!-#REF!)/#REF!)*100</f>
        <v>#REF!</v>
      </c>
      <c r="T60" s="32" t="e">
        <f>((B60-#REF!)/#REF!)*100</f>
        <v>#REF!</v>
      </c>
      <c r="U60" s="32">
        <f>((C60-B60)/B60)*100</f>
        <v>-0.36982688412386588</v>
      </c>
      <c r="V60" s="32">
        <f t="shared" si="47"/>
        <v>4.639763241413446</v>
      </c>
      <c r="W60" s="32">
        <f t="shared" si="48"/>
        <v>-19.370049754010143</v>
      </c>
      <c r="X60" s="32">
        <f t="shared" si="11"/>
        <v>34.827682448880239</v>
      </c>
      <c r="Y60" s="32">
        <f t="shared" si="12"/>
        <v>22.329265936185873</v>
      </c>
    </row>
    <row r="61" spans="1:25" s="18" customFormat="1" ht="19.5" customHeight="1" x14ac:dyDescent="0.25">
      <c r="A61" s="19" t="s">
        <v>60</v>
      </c>
      <c r="B61" s="3"/>
      <c r="C61" s="3"/>
      <c r="D61" s="3"/>
      <c r="E61" s="3"/>
      <c r="F61" s="3"/>
      <c r="G61" s="50"/>
      <c r="H61" s="31"/>
      <c r="I61" s="32"/>
      <c r="J61" s="32"/>
      <c r="K61" s="2"/>
      <c r="L61" s="2"/>
      <c r="M61" s="2"/>
      <c r="N61" s="2"/>
      <c r="O61" s="2"/>
      <c r="P61" s="46"/>
      <c r="Q61" s="2"/>
      <c r="R61" s="2"/>
      <c r="S61" s="32"/>
      <c r="T61" s="32"/>
      <c r="U61" s="32"/>
      <c r="V61" s="32"/>
      <c r="W61" s="32"/>
      <c r="X61" s="32"/>
      <c r="Y61" s="32"/>
    </row>
    <row r="62" spans="1:25" s="18" customFormat="1" ht="19.5" customHeight="1" x14ac:dyDescent="0.25">
      <c r="A62" s="33" t="s">
        <v>61</v>
      </c>
      <c r="B62" s="20">
        <f t="shared" ref="B62:C62" si="49">SUM(B63:B65)</f>
        <v>61743.707270000072</v>
      </c>
      <c r="C62" s="20">
        <f t="shared" si="49"/>
        <v>65750.86480000001</v>
      </c>
      <c r="D62" s="20">
        <f>SUM(D63:D65)</f>
        <v>79632.210600000079</v>
      </c>
      <c r="E62" s="20">
        <f>SUM(E63:E65)</f>
        <v>35701.211559999996</v>
      </c>
      <c r="F62" s="20">
        <f t="shared" ref="F62:G62" si="50">SUM(F63:F65)</f>
        <v>69221.757690000028</v>
      </c>
      <c r="G62" s="49">
        <f t="shared" si="50"/>
        <v>103160.21446000006</v>
      </c>
      <c r="H62" s="45" t="e">
        <f>#REF!/#REF!*100</f>
        <v>#REF!</v>
      </c>
      <c r="I62" s="2" t="e">
        <f>#REF!/#REF!*100</f>
        <v>#REF!</v>
      </c>
      <c r="J62" s="2" t="e">
        <f>#REF!/#REF!*100</f>
        <v>#REF!</v>
      </c>
      <c r="K62" s="2">
        <f>B62/$B$6*100</f>
        <v>0.16998081973381204</v>
      </c>
      <c r="L62" s="2">
        <f t="shared" si="13"/>
        <v>0.14427693355559373</v>
      </c>
      <c r="M62" s="2">
        <f t="shared" si="46"/>
        <v>0.17927445809051612</v>
      </c>
      <c r="N62" s="2">
        <f t="shared" si="15"/>
        <v>0.12635126110831979</v>
      </c>
      <c r="O62" s="2">
        <f t="shared" si="16"/>
        <v>0.18099915454082</v>
      </c>
      <c r="P62" s="46">
        <f t="shared" si="17"/>
        <v>0.1922458561868263</v>
      </c>
      <c r="Q62" s="2" t="e">
        <f>((#REF!-#REF!)/#REF!)*100</f>
        <v>#REF!</v>
      </c>
      <c r="R62" s="2" t="e">
        <f>((#REF!-#REF!)/#REF!)*100</f>
        <v>#REF!</v>
      </c>
      <c r="S62" s="2" t="e">
        <f>((#REF!-#REF!)/#REF!)*100</f>
        <v>#REF!</v>
      </c>
      <c r="T62" s="2" t="e">
        <f>((B62-#REF!)/#REF!)*100</f>
        <v>#REF!</v>
      </c>
      <c r="U62" s="2">
        <f>((C62-B62)/B62)*100</f>
        <v>6.4899853072912741</v>
      </c>
      <c r="V62" s="2">
        <f t="shared" ref="V62" si="51">((D62-C62)/C62)*100</f>
        <v>21.112035320332495</v>
      </c>
      <c r="W62" s="2">
        <f t="shared" ref="W62:W65" si="52">((E62-D62)/D62)*100</f>
        <v>-55.167373489943074</v>
      </c>
      <c r="X62" s="2">
        <f t="shared" si="11"/>
        <v>93.891900765510144</v>
      </c>
      <c r="Y62" s="2">
        <f t="shared" si="12"/>
        <v>49.028597225150897</v>
      </c>
    </row>
    <row r="63" spans="1:25" s="18" customFormat="1" ht="19.5" customHeight="1" x14ac:dyDescent="0.25">
      <c r="A63" s="21" t="s">
        <v>62</v>
      </c>
      <c r="B63" s="3">
        <v>472.37806999999998</v>
      </c>
      <c r="C63" s="3">
        <v>792.62509</v>
      </c>
      <c r="D63" s="3">
        <v>969.04140000000007</v>
      </c>
      <c r="E63" s="3">
        <v>303.40924999999999</v>
      </c>
      <c r="F63" s="3">
        <v>1145.8590200000001</v>
      </c>
      <c r="G63" s="50">
        <v>976.69888000000014</v>
      </c>
      <c r="H63" s="31" t="e">
        <f>#REF!/#REF!*100</f>
        <v>#REF!</v>
      </c>
      <c r="I63" s="32" t="e">
        <f>#REF!/#REF!*100</f>
        <v>#REF!</v>
      </c>
      <c r="J63" s="32" t="e">
        <f>#REF!/#REF!*100</f>
        <v>#REF!</v>
      </c>
      <c r="K63" s="32">
        <f>B63/$B$6*100</f>
        <v>1.3004598381459633E-3</v>
      </c>
      <c r="L63" s="32">
        <f t="shared" si="13"/>
        <v>1.739254955691875E-3</v>
      </c>
      <c r="M63" s="32">
        <f t="shared" si="46"/>
        <v>2.1815841924181737E-3</v>
      </c>
      <c r="N63" s="32">
        <f t="shared" si="15"/>
        <v>1.0738050529462053E-3</v>
      </c>
      <c r="O63" s="32">
        <f t="shared" si="16"/>
        <v>2.9961607558678634E-3</v>
      </c>
      <c r="P63" s="40">
        <f t="shared" si="17"/>
        <v>1.8201427110751105E-3</v>
      </c>
      <c r="Q63" s="32" t="e">
        <f>((#REF!-#REF!)/#REF!)*100</f>
        <v>#REF!</v>
      </c>
      <c r="R63" s="35" t="s">
        <v>148</v>
      </c>
      <c r="S63" s="32" t="e">
        <f>((#REF!-#REF!)/#REF!)*100</f>
        <v>#REF!</v>
      </c>
      <c r="T63" s="32" t="e">
        <f>((B63-#REF!)/#REF!)*100</f>
        <v>#REF!</v>
      </c>
      <c r="U63" s="32">
        <f>((C63-B63)/B63)*100</f>
        <v>67.794641694522369</v>
      </c>
      <c r="V63" s="32">
        <f>((D63-C63)/C63)*100</f>
        <v>22.257219992872049</v>
      </c>
      <c r="W63" s="32">
        <f>((E63-D63)/D63)*100</f>
        <v>-68.689753605986297</v>
      </c>
      <c r="X63" s="35" t="s">
        <v>148</v>
      </c>
      <c r="Y63" s="32">
        <f t="shared" si="12"/>
        <v>-14.762735820677131</v>
      </c>
    </row>
    <row r="64" spans="1:25" s="18" customFormat="1" ht="19.5" customHeight="1" x14ac:dyDescent="0.25">
      <c r="A64" s="21" t="s">
        <v>63</v>
      </c>
      <c r="B64" s="3">
        <v>61271.329200000073</v>
      </c>
      <c r="C64" s="3">
        <v>64958.239710000016</v>
      </c>
      <c r="D64" s="3">
        <v>78653.788670000082</v>
      </c>
      <c r="E64" s="3">
        <v>35392.494070000001</v>
      </c>
      <c r="F64" s="3">
        <v>68068.716630000024</v>
      </c>
      <c r="G64" s="50">
        <v>102088.49804000006</v>
      </c>
      <c r="H64" s="31" t="e">
        <f>#REF!/#REF!*100</f>
        <v>#REF!</v>
      </c>
      <c r="I64" s="32" t="e">
        <f>#REF!/#REF!*100</f>
        <v>#REF!</v>
      </c>
      <c r="J64" s="32" t="e">
        <f>#REF!/#REF!*100</f>
        <v>#REF!</v>
      </c>
      <c r="K64" s="32">
        <f>B64/$B$6*100</f>
        <v>0.16868035989566607</v>
      </c>
      <c r="L64" s="32">
        <f t="shared" si="13"/>
        <v>0.14253767859990185</v>
      </c>
      <c r="M64" s="32">
        <f t="shared" si="46"/>
        <v>0.17707175569203937</v>
      </c>
      <c r="N64" s="32">
        <f t="shared" si="15"/>
        <v>0.12525866949914877</v>
      </c>
      <c r="O64" s="32">
        <f t="shared" si="16"/>
        <v>0.17798421438363007</v>
      </c>
      <c r="P64" s="40">
        <f t="shared" si="17"/>
        <v>0.19024864202988725</v>
      </c>
      <c r="Q64" s="32" t="e">
        <f>((#REF!-#REF!)/#REF!)*100</f>
        <v>#REF!</v>
      </c>
      <c r="R64" s="32" t="e">
        <f>((#REF!-#REF!)/#REF!)*100</f>
        <v>#REF!</v>
      </c>
      <c r="S64" s="32" t="e">
        <f>((#REF!-#REF!)/#REF!)*100</f>
        <v>#REF!</v>
      </c>
      <c r="T64" s="32" t="e">
        <f>((B64-#REF!)/#REF!)*100</f>
        <v>#REF!</v>
      </c>
      <c r="U64" s="32">
        <f>((C64-B64)/B64)*100</f>
        <v>6.0173502976657129</v>
      </c>
      <c r="V64" s="32">
        <f>((D64-C64)/C64)*100</f>
        <v>21.08362083261887</v>
      </c>
      <c r="W64" s="32">
        <f t="shared" si="52"/>
        <v>-55.002175141883136</v>
      </c>
      <c r="X64" s="32">
        <f t="shared" si="11"/>
        <v>92.325289354777652</v>
      </c>
      <c r="Y64" s="32">
        <f t="shared" si="12"/>
        <v>49.978585015669964</v>
      </c>
    </row>
    <row r="65" spans="1:25" s="18" customFormat="1" ht="19.5" customHeight="1" x14ac:dyDescent="0.25">
      <c r="A65" s="21" t="s">
        <v>64</v>
      </c>
      <c r="B65" s="3">
        <v>0</v>
      </c>
      <c r="C65" s="3">
        <v>0</v>
      </c>
      <c r="D65" s="3">
        <v>9.3805299999999985</v>
      </c>
      <c r="E65" s="3">
        <v>5.3082399999999996</v>
      </c>
      <c r="F65" s="3">
        <v>7.1820399999999998</v>
      </c>
      <c r="G65" s="50">
        <v>95.017539999999997</v>
      </c>
      <c r="H65" s="31" t="e">
        <f>#REF!/#REF!*100</f>
        <v>#REF!</v>
      </c>
      <c r="I65" s="32" t="e">
        <f>#REF!/#REF!*100</f>
        <v>#REF!</v>
      </c>
      <c r="J65" s="32" t="e">
        <f>#REF!/#REF!*100</f>
        <v>#REF!</v>
      </c>
      <c r="K65" s="32">
        <f>B65/$B$6*100</f>
        <v>0</v>
      </c>
      <c r="L65" s="32">
        <f t="shared" si="13"/>
        <v>0</v>
      </c>
      <c r="M65" s="32">
        <f t="shared" si="46"/>
        <v>2.1118206058589903E-5</v>
      </c>
      <c r="N65" s="32">
        <f t="shared" si="15"/>
        <v>1.8786556224805817E-5</v>
      </c>
      <c r="O65" s="32">
        <f t="shared" si="16"/>
        <v>1.8779401322052014E-5</v>
      </c>
      <c r="P65" s="40">
        <f t="shared" si="17"/>
        <v>1.7707144586393681E-4</v>
      </c>
      <c r="Q65" s="32">
        <v>1</v>
      </c>
      <c r="R65" s="32">
        <v>0</v>
      </c>
      <c r="S65" s="32">
        <v>0</v>
      </c>
      <c r="T65" s="32">
        <v>1</v>
      </c>
      <c r="U65" s="32">
        <v>2</v>
      </c>
      <c r="V65" s="32">
        <v>0</v>
      </c>
      <c r="W65" s="32">
        <f t="shared" si="52"/>
        <v>-43.412152618242253</v>
      </c>
      <c r="X65" s="32">
        <f t="shared" si="11"/>
        <v>35.299835727095989</v>
      </c>
      <c r="Y65" s="35" t="s">
        <v>148</v>
      </c>
    </row>
    <row r="66" spans="1:25" s="18" customFormat="1" ht="19.5" customHeight="1" x14ac:dyDescent="0.25">
      <c r="A66" s="19" t="s">
        <v>65</v>
      </c>
      <c r="B66" s="3"/>
      <c r="C66" s="3"/>
      <c r="D66" s="3"/>
      <c r="E66" s="3"/>
      <c r="F66" s="3"/>
      <c r="G66" s="50"/>
      <c r="H66" s="31"/>
      <c r="I66" s="32"/>
      <c r="J66" s="32"/>
      <c r="K66" s="2"/>
      <c r="L66" s="2"/>
      <c r="M66" s="2"/>
      <c r="N66" s="2"/>
      <c r="O66" s="2"/>
      <c r="P66" s="46"/>
      <c r="Q66" s="2"/>
      <c r="S66" s="32"/>
      <c r="T66" s="32"/>
      <c r="U66" s="32"/>
      <c r="V66" s="32"/>
      <c r="W66" s="32"/>
      <c r="X66" s="32"/>
      <c r="Y66" s="32"/>
    </row>
    <row r="67" spans="1:25" s="18" customFormat="1" ht="19.5" customHeight="1" x14ac:dyDescent="0.25">
      <c r="A67" s="23" t="s">
        <v>66</v>
      </c>
      <c r="B67" s="20">
        <f t="shared" ref="B67:C67" si="53">SUM(B68:B70)</f>
        <v>1751019.8070699989</v>
      </c>
      <c r="C67" s="20">
        <f t="shared" si="53"/>
        <v>2145220.6940100025</v>
      </c>
      <c r="D67" s="20">
        <f t="shared" ref="D67:E67" si="54">SUM(D68:D70)</f>
        <v>1944782.7540599951</v>
      </c>
      <c r="E67" s="20">
        <f t="shared" si="54"/>
        <v>1102367.8219099985</v>
      </c>
      <c r="F67" s="20">
        <f t="shared" ref="F67:G67" si="55">SUM(F68:F70)</f>
        <v>940219.97756999999</v>
      </c>
      <c r="G67" s="49">
        <f t="shared" si="55"/>
        <v>1459436.938730001</v>
      </c>
      <c r="H67" s="45" t="e">
        <f>#REF!/#REF!*100</f>
        <v>#REF!</v>
      </c>
      <c r="I67" s="2" t="e">
        <f>#REF!/#REF!*100</f>
        <v>#REF!</v>
      </c>
      <c r="J67" s="2" t="e">
        <f>#REF!/#REF!*100</f>
        <v>#REF!</v>
      </c>
      <c r="K67" s="2">
        <f>B67/$B$6*100</f>
        <v>4.8205686917104913</v>
      </c>
      <c r="L67" s="2">
        <f t="shared" si="13"/>
        <v>4.7072516000088518</v>
      </c>
      <c r="M67" s="2">
        <f t="shared" ref="M67:M75" si="56">D67/$D$6*100</f>
        <v>4.3782518620409459</v>
      </c>
      <c r="N67" s="2">
        <f t="shared" si="15"/>
        <v>3.9014240250495296</v>
      </c>
      <c r="O67" s="2">
        <f t="shared" si="16"/>
        <v>2.4584614245810066</v>
      </c>
      <c r="P67" s="46">
        <f t="shared" si="17"/>
        <v>2.7197568879194205</v>
      </c>
      <c r="Q67" s="2" t="e">
        <f>((#REF!-#REF!)/#REF!)*100</f>
        <v>#REF!</v>
      </c>
      <c r="R67" s="2" t="e">
        <f>((#REF!-#REF!)/#REF!)*100</f>
        <v>#REF!</v>
      </c>
      <c r="S67" s="2" t="e">
        <f>((#REF!-#REF!)/#REF!)*100</f>
        <v>#REF!</v>
      </c>
      <c r="T67" s="2" t="e">
        <f>((B67-#REF!)/#REF!)*100</f>
        <v>#REF!</v>
      </c>
      <c r="U67" s="2">
        <f>((C67-B67)/B67)*100</f>
        <v>22.512645793517571</v>
      </c>
      <c r="V67" s="2">
        <f t="shared" ref="V67:V69" si="57">((D67-C67)/C67)*100</f>
        <v>-9.3434647777583333</v>
      </c>
      <c r="W67" s="2">
        <f t="shared" ref="W67:W70" si="58">((E67-D67)/D67)*100</f>
        <v>-43.316659940106021</v>
      </c>
      <c r="X67" s="2">
        <f t="shared" si="11"/>
        <v>-14.709050928124507</v>
      </c>
      <c r="Y67" s="2">
        <f t="shared" si="12"/>
        <v>55.22292373556219</v>
      </c>
    </row>
    <row r="68" spans="1:25" s="18" customFormat="1" ht="19.5" customHeight="1" x14ac:dyDescent="0.25">
      <c r="A68" s="21" t="s">
        <v>67</v>
      </c>
      <c r="B68" s="3">
        <v>1688429.7073299987</v>
      </c>
      <c r="C68" s="3">
        <v>2003128.3630200026</v>
      </c>
      <c r="D68" s="3">
        <v>1868595.2128299952</v>
      </c>
      <c r="E68" s="3">
        <v>1067232.2336899985</v>
      </c>
      <c r="F68" s="3">
        <v>892193.74230000004</v>
      </c>
      <c r="G68" s="50">
        <v>1375593.469100001</v>
      </c>
      <c r="H68" s="31" t="e">
        <f>#REF!/#REF!*100</f>
        <v>#REF!</v>
      </c>
      <c r="I68" s="32" t="e">
        <f>#REF!/#REF!*100</f>
        <v>#REF!</v>
      </c>
      <c r="J68" s="32" t="e">
        <f>#REF!/#REF!*100</f>
        <v>#REF!</v>
      </c>
      <c r="K68" s="32">
        <f>B68/$B$6*100</f>
        <v>4.6482577481109715</v>
      </c>
      <c r="L68" s="32">
        <f t="shared" si="13"/>
        <v>4.3954588067222211</v>
      </c>
      <c r="M68" s="32">
        <f t="shared" si="56"/>
        <v>4.206732321589346</v>
      </c>
      <c r="N68" s="32">
        <f t="shared" si="15"/>
        <v>3.77707457898329</v>
      </c>
      <c r="O68" s="32">
        <f t="shared" si="16"/>
        <v>2.3328837410645384</v>
      </c>
      <c r="P68" s="40">
        <f t="shared" si="17"/>
        <v>2.5635090583751787</v>
      </c>
      <c r="Q68" s="32" t="e">
        <f>((#REF!-#REF!)/#REF!)*100</f>
        <v>#REF!</v>
      </c>
      <c r="R68" s="32" t="e">
        <f>((#REF!-#REF!)/#REF!)*100</f>
        <v>#REF!</v>
      </c>
      <c r="S68" s="32" t="e">
        <f>((#REF!-#REF!)/#REF!)*100</f>
        <v>#REF!</v>
      </c>
      <c r="T68" s="32" t="e">
        <f>((B68-#REF!)/#REF!)*100</f>
        <v>#REF!</v>
      </c>
      <c r="U68" s="32">
        <f>((C68-B68)/B68)*100</f>
        <v>18.638540551839327</v>
      </c>
      <c r="V68" s="32">
        <f t="shared" si="57"/>
        <v>-6.716152228366405</v>
      </c>
      <c r="W68" s="32">
        <f t="shared" si="58"/>
        <v>-42.885852090262453</v>
      </c>
      <c r="X68" s="32">
        <f t="shared" si="11"/>
        <v>-16.401162358523958</v>
      </c>
      <c r="Y68" s="32">
        <f t="shared" si="12"/>
        <v>54.181026371451267</v>
      </c>
    </row>
    <row r="69" spans="1:25" s="18" customFormat="1" ht="19.5" customHeight="1" x14ac:dyDescent="0.25">
      <c r="A69" s="21" t="s">
        <v>68</v>
      </c>
      <c r="B69" s="3">
        <v>169.59913999999998</v>
      </c>
      <c r="C69" s="3">
        <v>244.55620000000002</v>
      </c>
      <c r="D69" s="3">
        <v>199.41657999999998</v>
      </c>
      <c r="E69" s="3">
        <v>79.187510000000003</v>
      </c>
      <c r="F69" s="3">
        <v>142.64757999999998</v>
      </c>
      <c r="G69" s="50">
        <v>281.95098999999993</v>
      </c>
      <c r="H69" s="31" t="e">
        <f>#REF!/#REF!*100</f>
        <v>#REF!</v>
      </c>
      <c r="I69" s="32" t="e">
        <f>#REF!/#REF!*100</f>
        <v>#REF!</v>
      </c>
      <c r="J69" s="32" t="e">
        <f>#REF!/#REF!*100</f>
        <v>#REF!</v>
      </c>
      <c r="K69" s="32">
        <f>B69/$B$6*100</f>
        <v>4.669075136237687E-4</v>
      </c>
      <c r="L69" s="32">
        <f t="shared" si="13"/>
        <v>5.3662896640727499E-4</v>
      </c>
      <c r="M69" s="32">
        <f t="shared" si="56"/>
        <v>4.4894269598191985E-4</v>
      </c>
      <c r="N69" s="32">
        <f t="shared" si="15"/>
        <v>2.8025496377657625E-4</v>
      </c>
      <c r="O69" s="32">
        <f t="shared" si="16"/>
        <v>3.7299098201061542E-4</v>
      </c>
      <c r="P69" s="40">
        <f t="shared" si="17"/>
        <v>5.2543424574103253E-4</v>
      </c>
      <c r="Q69" s="32" t="e">
        <f>((#REF!-#REF!)/#REF!)*100</f>
        <v>#REF!</v>
      </c>
      <c r="R69" s="32" t="e">
        <f>((#REF!-#REF!)/#REF!)*100</f>
        <v>#REF!</v>
      </c>
      <c r="S69" s="32" t="e">
        <f>((#REF!-#REF!)/#REF!)*100</f>
        <v>#REF!</v>
      </c>
      <c r="T69" s="32" t="e">
        <f>((B69-#REF!)/#REF!)*100</f>
        <v>#REF!</v>
      </c>
      <c r="U69" s="32">
        <f>((C69-B69)/B69)*100</f>
        <v>44.196603827118494</v>
      </c>
      <c r="V69" s="32">
        <f t="shared" si="57"/>
        <v>-18.457769625141392</v>
      </c>
      <c r="W69" s="32">
        <f t="shared" si="58"/>
        <v>-60.290408149613228</v>
      </c>
      <c r="X69" s="32">
        <f t="shared" si="11"/>
        <v>80.13898909057751</v>
      </c>
      <c r="Y69" s="32">
        <f t="shared" si="12"/>
        <v>97.655641967427684</v>
      </c>
    </row>
    <row r="70" spans="1:25" s="18" customFormat="1" ht="19.5" customHeight="1" x14ac:dyDescent="0.25">
      <c r="A70" s="21" t="s">
        <v>69</v>
      </c>
      <c r="B70" s="3">
        <v>62420.500600000036</v>
      </c>
      <c r="C70" s="3">
        <v>141847.77479000008</v>
      </c>
      <c r="D70" s="3">
        <v>75988.124649999911</v>
      </c>
      <c r="E70" s="3">
        <v>35056.40070999998</v>
      </c>
      <c r="F70" s="3">
        <v>47883.587689999993</v>
      </c>
      <c r="G70" s="50">
        <v>83561.51863999998</v>
      </c>
      <c r="H70" s="31" t="e">
        <f>#REF!/#REF!*100</f>
        <v>#REF!</v>
      </c>
      <c r="I70" s="32" t="e">
        <f>#REF!/#REF!*100</f>
        <v>#REF!</v>
      </c>
      <c r="J70" s="32" t="e">
        <f>#REF!/#REF!*100</f>
        <v>#REF!</v>
      </c>
      <c r="K70" s="32">
        <f>B70/$B$6*100</f>
        <v>0.17184403608589632</v>
      </c>
      <c r="L70" s="32">
        <f t="shared" si="13"/>
        <v>0.3112561643202244</v>
      </c>
      <c r="M70" s="32">
        <f t="shared" si="56"/>
        <v>0.17107059775561861</v>
      </c>
      <c r="N70" s="32">
        <f t="shared" si="15"/>
        <v>0.12406919110246283</v>
      </c>
      <c r="O70" s="32">
        <f t="shared" si="16"/>
        <v>0.1252046925344581</v>
      </c>
      <c r="P70" s="40">
        <f t="shared" si="17"/>
        <v>0.15572239529850074</v>
      </c>
      <c r="Q70" s="32" t="e">
        <f>((#REF!-#REF!)/#REF!)*100</f>
        <v>#REF!</v>
      </c>
      <c r="R70" s="32" t="e">
        <f>((#REF!-#REF!)/#REF!)*100</f>
        <v>#REF!</v>
      </c>
      <c r="S70" s="32" t="e">
        <f>((#REF!-#REF!)/#REF!)*100</f>
        <v>#REF!</v>
      </c>
      <c r="T70" s="35" t="s">
        <v>148</v>
      </c>
      <c r="U70" s="35" t="s">
        <v>148</v>
      </c>
      <c r="V70" s="32">
        <f>((D70-C70)/C70)*100</f>
        <v>-46.429808460162825</v>
      </c>
      <c r="W70" s="35">
        <f t="shared" si="58"/>
        <v>-53.865948302489109</v>
      </c>
      <c r="X70" s="32">
        <f t="shared" si="11"/>
        <v>36.590142513806349</v>
      </c>
      <c r="Y70" s="32">
        <f t="shared" si="12"/>
        <v>74.509728011568697</v>
      </c>
    </row>
    <row r="71" spans="1:25" s="18" customFormat="1" ht="19.5" customHeight="1" x14ac:dyDescent="0.25">
      <c r="A71" s="19" t="s">
        <v>70</v>
      </c>
      <c r="B71" s="3"/>
      <c r="C71" s="3"/>
      <c r="D71" s="3"/>
      <c r="E71" s="3"/>
      <c r="F71" s="3"/>
      <c r="G71" s="50"/>
      <c r="H71" s="31"/>
      <c r="I71" s="32"/>
      <c r="J71" s="32"/>
      <c r="K71" s="32"/>
      <c r="L71" s="32"/>
      <c r="M71" s="32"/>
      <c r="N71" s="32"/>
      <c r="O71" s="32">
        <f t="shared" si="16"/>
        <v>0</v>
      </c>
      <c r="P71" s="40">
        <f t="shared" si="17"/>
        <v>0</v>
      </c>
      <c r="Q71" s="2"/>
      <c r="R71" s="2"/>
      <c r="S71" s="32"/>
      <c r="T71" s="32"/>
      <c r="U71" s="32"/>
      <c r="V71" s="32"/>
      <c r="W71" s="32"/>
      <c r="X71" s="32"/>
      <c r="Y71" s="32"/>
    </row>
    <row r="72" spans="1:25" s="18" customFormat="1" ht="19.5" customHeight="1" x14ac:dyDescent="0.25">
      <c r="A72" s="23" t="s">
        <v>71</v>
      </c>
      <c r="B72" s="20">
        <f t="shared" ref="B72:C72" si="59">SUM(B73:B75)</f>
        <v>462322.00358000008</v>
      </c>
      <c r="C72" s="20">
        <f t="shared" si="59"/>
        <v>480319.25514000031</v>
      </c>
      <c r="D72" s="20">
        <f t="shared" ref="D72:E72" si="60">SUM(D73:D75)</f>
        <v>570319.70002999867</v>
      </c>
      <c r="E72" s="20">
        <f t="shared" si="60"/>
        <v>286693.42520000023</v>
      </c>
      <c r="F72" s="20">
        <f t="shared" ref="F72:G72" si="61">SUM(F73:F75)</f>
        <v>500843.52226999972</v>
      </c>
      <c r="G72" s="49">
        <f t="shared" si="61"/>
        <v>552528.07875000092</v>
      </c>
      <c r="H72" s="45" t="e">
        <f>#REF!/#REF!*100</f>
        <v>#REF!</v>
      </c>
      <c r="I72" s="2" t="e">
        <f>#REF!/#REF!*100</f>
        <v>#REF!</v>
      </c>
      <c r="J72" s="2" t="e">
        <f>#REF!/#REF!*100</f>
        <v>#REF!</v>
      </c>
      <c r="K72" s="32">
        <f>B72/$B$6*100</f>
        <v>1.2727754231837318</v>
      </c>
      <c r="L72" s="32">
        <f t="shared" si="13"/>
        <v>1.0539631603340687</v>
      </c>
      <c r="M72" s="32">
        <f t="shared" si="56"/>
        <v>1.2839497282676668</v>
      </c>
      <c r="N72" s="32">
        <f t="shared" si="15"/>
        <v>1.0146455608265574</v>
      </c>
      <c r="O72" s="32">
        <f t="shared" si="16"/>
        <v>1.3095919131971447</v>
      </c>
      <c r="P72" s="40">
        <f t="shared" si="17"/>
        <v>1.0296724771519639</v>
      </c>
      <c r="Q72" s="2" t="e">
        <f>((#REF!-#REF!)/#REF!)*100</f>
        <v>#REF!</v>
      </c>
      <c r="R72" s="2" t="e">
        <f>((#REF!-#REF!)/#REF!)*100</f>
        <v>#REF!</v>
      </c>
      <c r="S72" s="2" t="e">
        <f>((#REF!-#REF!)/#REF!)*100</f>
        <v>#REF!</v>
      </c>
      <c r="T72" s="2" t="e">
        <f>((B72-#REF!)/#REF!)*100</f>
        <v>#REF!</v>
      </c>
      <c r="U72" s="2">
        <f>((C72-B72)/B72)*100</f>
        <v>3.8927958047936597</v>
      </c>
      <c r="V72" s="2">
        <f t="shared" ref="V72:V75" si="62">((D72-C72)/C72)*100</f>
        <v>18.737630008975096</v>
      </c>
      <c r="W72" s="2">
        <f t="shared" ref="W72:W75" si="63">((E72-D72)/D72)*100</f>
        <v>-49.731102540396158</v>
      </c>
      <c r="X72" s="2">
        <f t="shared" ref="X72:X132" si="64">((F72-E72)/E72)*100</f>
        <v>74.696549779823599</v>
      </c>
      <c r="Y72" s="2">
        <f t="shared" ref="Y72:Y132" si="65">((G72-F72)/F72)*100</f>
        <v>10.319501836771</v>
      </c>
    </row>
    <row r="73" spans="1:25" s="8" customFormat="1" ht="26.25" customHeight="1" x14ac:dyDescent="0.25">
      <c r="A73" s="22" t="s">
        <v>72</v>
      </c>
      <c r="B73" s="3">
        <v>64.190049999999985</v>
      </c>
      <c r="C73" s="3">
        <v>62.705839999999995</v>
      </c>
      <c r="D73" s="3">
        <v>89.669120000000007</v>
      </c>
      <c r="E73" s="3">
        <v>68.010639999999981</v>
      </c>
      <c r="F73" s="3">
        <v>73.176709999999986</v>
      </c>
      <c r="G73" s="50">
        <v>136.98570000000001</v>
      </c>
      <c r="H73" s="31" t="e">
        <f>#REF!/#REF!*100</f>
        <v>#REF!</v>
      </c>
      <c r="I73" s="32" t="e">
        <f>#REF!/#REF!*100</f>
        <v>#REF!</v>
      </c>
      <c r="J73" s="32" t="e">
        <f>#REF!/#REF!*100</f>
        <v>#REF!</v>
      </c>
      <c r="K73" s="32">
        <f>B73/$B$6*100</f>
        <v>1.7671561686507012E-4</v>
      </c>
      <c r="L73" s="32">
        <f t="shared" ref="L73:L135" si="66">C73/$C$6*100</f>
        <v>1.3759524439331311E-4</v>
      </c>
      <c r="M73" s="32">
        <f t="shared" si="56"/>
        <v>2.0187035841817314E-4</v>
      </c>
      <c r="N73" s="32">
        <f t="shared" ref="N73:N135" si="67">E73/$E$6*100</f>
        <v>2.4069855776020436E-4</v>
      </c>
      <c r="O73" s="32">
        <f t="shared" ref="O73:O135" si="68">F73/$F$6*100</f>
        <v>1.9134045543013083E-4</v>
      </c>
      <c r="P73" s="40">
        <f t="shared" ref="P73:P135" si="69">G73/$G$6*100</f>
        <v>2.5528187702695198E-4</v>
      </c>
      <c r="Q73" s="32" t="e">
        <f>((#REF!-#REF!)/#REF!)*100</f>
        <v>#REF!</v>
      </c>
      <c r="R73" s="32" t="e">
        <f>((#REF!-#REF!)/#REF!)*100</f>
        <v>#REF!</v>
      </c>
      <c r="S73" s="32" t="e">
        <f>((#REF!-#REF!)/#REF!)*100</f>
        <v>#REF!</v>
      </c>
      <c r="T73" s="32" t="e">
        <f>((B73-#REF!)/#REF!)*100</f>
        <v>#REF!</v>
      </c>
      <c r="U73" s="32">
        <f>((C73-B73)/B73)*100</f>
        <v>-2.3122119393893454</v>
      </c>
      <c r="V73" s="32">
        <f t="shared" si="62"/>
        <v>42.999631294310092</v>
      </c>
      <c r="W73" s="32">
        <f t="shared" si="63"/>
        <v>-24.153777799982898</v>
      </c>
      <c r="X73" s="32">
        <f t="shared" si="64"/>
        <v>7.5959732183082034</v>
      </c>
      <c r="Y73" s="32">
        <f t="shared" si="65"/>
        <v>87.198495258942415</v>
      </c>
    </row>
    <row r="74" spans="1:25" s="8" customFormat="1" ht="31.5" customHeight="1" x14ac:dyDescent="0.25">
      <c r="A74" s="21" t="s">
        <v>73</v>
      </c>
      <c r="B74" s="3">
        <v>269761.29278000037</v>
      </c>
      <c r="C74" s="3">
        <v>308797.33977000049</v>
      </c>
      <c r="D74" s="3">
        <v>337672.78063999891</v>
      </c>
      <c r="E74" s="3">
        <v>216811.42031000022</v>
      </c>
      <c r="F74" s="3">
        <v>324103.76238999981</v>
      </c>
      <c r="G74" s="50">
        <v>396451.38710000052</v>
      </c>
      <c r="H74" s="31" t="e">
        <f>#REF!/#REF!*100</f>
        <v>#REF!</v>
      </c>
      <c r="I74" s="32" t="e">
        <f>#REF!/#REF!*100</f>
        <v>#REF!</v>
      </c>
      <c r="J74" s="32" t="e">
        <f>#REF!/#REF!*100</f>
        <v>#REF!</v>
      </c>
      <c r="K74" s="32">
        <f>B74/$B$6*100</f>
        <v>0.74265455876629738</v>
      </c>
      <c r="L74" s="32">
        <f t="shared" si="66"/>
        <v>0.67759311467094874</v>
      </c>
      <c r="M74" s="32">
        <f t="shared" si="56"/>
        <v>0.76019621086788558</v>
      </c>
      <c r="N74" s="32">
        <f t="shared" si="67"/>
        <v>0.76732399775327143</v>
      </c>
      <c r="O74" s="32">
        <f t="shared" si="68"/>
        <v>0.84745763375152394</v>
      </c>
      <c r="P74" s="40">
        <f t="shared" si="69"/>
        <v>0.7388132794067328</v>
      </c>
      <c r="Q74" s="32" t="e">
        <f>((#REF!-#REF!)/#REF!)*100</f>
        <v>#REF!</v>
      </c>
      <c r="R74" s="32" t="e">
        <f>((#REF!-#REF!)/#REF!)*100</f>
        <v>#REF!</v>
      </c>
      <c r="S74" s="32" t="e">
        <f>((#REF!-#REF!)/#REF!)*100</f>
        <v>#REF!</v>
      </c>
      <c r="T74" s="32" t="e">
        <f>((B74-#REF!)/#REF!)*100</f>
        <v>#REF!</v>
      </c>
      <c r="U74" s="32">
        <f>((C74-B74)/B74)*100</f>
        <v>14.470588640689588</v>
      </c>
      <c r="V74" s="32">
        <f t="shared" si="62"/>
        <v>9.3509357598435034</v>
      </c>
      <c r="W74" s="32">
        <f t="shared" si="63"/>
        <v>-35.792449749999804</v>
      </c>
      <c r="X74" s="32">
        <f t="shared" si="64"/>
        <v>49.486480890439907</v>
      </c>
      <c r="Y74" s="32">
        <f t="shared" si="65"/>
        <v>22.322364966236808</v>
      </c>
    </row>
    <row r="75" spans="1:25" s="8" customFormat="1" ht="19.5" customHeight="1" x14ac:dyDescent="0.25">
      <c r="A75" s="21" t="s">
        <v>74</v>
      </c>
      <c r="B75" s="3">
        <v>192496.52074999973</v>
      </c>
      <c r="C75" s="3">
        <v>171459.20952999982</v>
      </c>
      <c r="D75" s="3">
        <v>232557.25026999979</v>
      </c>
      <c r="E75" s="3">
        <v>69813.994250000032</v>
      </c>
      <c r="F75" s="3">
        <v>176666.58316999991</v>
      </c>
      <c r="G75" s="50">
        <v>155939.70595000038</v>
      </c>
      <c r="H75" s="31" t="e">
        <f>#REF!/#REF!*100</f>
        <v>#REF!</v>
      </c>
      <c r="I75" s="32" t="e">
        <f>#REF!/#REF!*100</f>
        <v>#REF!</v>
      </c>
      <c r="J75" s="32" t="e">
        <f>#REF!/#REF!*100</f>
        <v>#REF!</v>
      </c>
      <c r="K75" s="32">
        <f>B75/$B$6*100</f>
        <v>0.52994414880056939</v>
      </c>
      <c r="L75" s="32">
        <f t="shared" si="66"/>
        <v>0.37623245041872666</v>
      </c>
      <c r="M75" s="32">
        <f t="shared" si="56"/>
        <v>0.52355164704136326</v>
      </c>
      <c r="N75" s="32">
        <f t="shared" si="67"/>
        <v>0.24708086451552599</v>
      </c>
      <c r="O75" s="32">
        <f t="shared" si="68"/>
        <v>0.46194293899019062</v>
      </c>
      <c r="P75" s="40">
        <f t="shared" si="69"/>
        <v>0.29060391586820417</v>
      </c>
      <c r="Q75" s="32" t="e">
        <f>((#REF!-#REF!)/#REF!)*100</f>
        <v>#REF!</v>
      </c>
      <c r="R75" s="32" t="e">
        <f>((#REF!-#REF!)/#REF!)*100</f>
        <v>#REF!</v>
      </c>
      <c r="S75" s="32" t="e">
        <f>((#REF!-#REF!)/#REF!)*100</f>
        <v>#REF!</v>
      </c>
      <c r="T75" s="32" t="e">
        <f>((B75-#REF!)/#REF!)*100</f>
        <v>#REF!</v>
      </c>
      <c r="U75" s="32">
        <f>((C75-B75)/B75)*100</f>
        <v>-10.92867088612039</v>
      </c>
      <c r="V75" s="32">
        <f t="shared" si="62"/>
        <v>35.634155148318108</v>
      </c>
      <c r="W75" s="32">
        <f t="shared" si="63"/>
        <v>-69.979867680347212</v>
      </c>
      <c r="X75" s="35" t="s">
        <v>148</v>
      </c>
      <c r="Y75" s="32">
        <f t="shared" si="65"/>
        <v>-11.732200197733377</v>
      </c>
    </row>
    <row r="76" spans="1:25" s="18" customFormat="1" ht="19.5" customHeight="1" x14ac:dyDescent="0.25">
      <c r="A76" s="19" t="s">
        <v>75</v>
      </c>
      <c r="B76" s="3"/>
      <c r="C76" s="3"/>
      <c r="D76" s="3"/>
      <c r="E76" s="3"/>
      <c r="F76" s="3"/>
      <c r="G76" s="50"/>
      <c r="H76" s="31"/>
      <c r="I76" s="32"/>
      <c r="J76" s="32"/>
      <c r="K76" s="2"/>
      <c r="L76" s="2"/>
      <c r="M76" s="2"/>
      <c r="N76" s="2"/>
      <c r="O76" s="2"/>
      <c r="P76" s="46"/>
      <c r="Q76" s="2"/>
      <c r="R76" s="2"/>
      <c r="S76" s="32"/>
      <c r="T76" s="32"/>
      <c r="U76" s="32"/>
      <c r="V76" s="32"/>
      <c r="W76" s="32"/>
      <c r="X76" s="32"/>
      <c r="Y76" s="32"/>
    </row>
    <row r="77" spans="1:25" s="18" customFormat="1" ht="19.5" customHeight="1" x14ac:dyDescent="0.25">
      <c r="A77" s="33" t="s">
        <v>76</v>
      </c>
      <c r="B77" s="20">
        <f t="shared" ref="B77:C77" si="70">SUM(B78:B90)</f>
        <v>836940.1044500001</v>
      </c>
      <c r="C77" s="20">
        <f t="shared" si="70"/>
        <v>1026687.9543200012</v>
      </c>
      <c r="D77" s="20">
        <f t="shared" ref="D77:E77" si="71">SUM(D78:D90)</f>
        <v>1027103.022559999</v>
      </c>
      <c r="E77" s="20">
        <f t="shared" si="71"/>
        <v>717999.87025999953</v>
      </c>
      <c r="F77" s="20">
        <f t="shared" ref="F77:G77" si="72">SUM(F78:F90)</f>
        <v>1068058.8184200004</v>
      </c>
      <c r="G77" s="49">
        <f t="shared" si="72"/>
        <v>1269790.3624500008</v>
      </c>
      <c r="H77" s="45" t="e">
        <f>#REF!/#REF!*100</f>
        <v>#REF!</v>
      </c>
      <c r="I77" s="2" t="e">
        <f>#REF!/#REF!*100</f>
        <v>#REF!</v>
      </c>
      <c r="J77" s="2" t="e">
        <f>#REF!/#REF!*100</f>
        <v>#REF!</v>
      </c>
      <c r="K77" s="2">
        <f>B77/$B$6*100</f>
        <v>2.3041014430896696</v>
      </c>
      <c r="L77" s="2">
        <f t="shared" si="66"/>
        <v>2.2528584257914614</v>
      </c>
      <c r="M77" s="2">
        <f t="shared" ref="M77:M90" si="73">D77/$D$6*100</f>
        <v>2.3122972021647583</v>
      </c>
      <c r="N77" s="2">
        <f t="shared" si="67"/>
        <v>2.5410955292230124</v>
      </c>
      <c r="O77" s="2">
        <f t="shared" si="68"/>
        <v>2.7927309213908402</v>
      </c>
      <c r="P77" s="46">
        <f t="shared" si="69"/>
        <v>2.3663379984696937</v>
      </c>
      <c r="Q77" s="2" t="e">
        <f>((#REF!-#REF!)/#REF!)*100</f>
        <v>#REF!</v>
      </c>
      <c r="R77" s="2" t="e">
        <f>((#REF!-#REF!)/#REF!)*100</f>
        <v>#REF!</v>
      </c>
      <c r="S77" s="2" t="e">
        <f>((#REF!-#REF!)/#REF!)*100</f>
        <v>#REF!</v>
      </c>
      <c r="T77" s="2" t="e">
        <f>((B77-#REF!)/#REF!)*100</f>
        <v>#REF!</v>
      </c>
      <c r="U77" s="2">
        <f>((C77-B77)/B77)*100</f>
        <v>22.671616387016723</v>
      </c>
      <c r="V77" s="2">
        <f t="shared" ref="V77:V90" si="74">((D77-C77)/C77)*100</f>
        <v>4.042788641391519E-2</v>
      </c>
      <c r="W77" s="2">
        <f t="shared" ref="W77:W90" si="75">((E77-D77)/D77)*100</f>
        <v>-30.094659007971419</v>
      </c>
      <c r="X77" s="2">
        <f t="shared" si="64"/>
        <v>48.754736965793427</v>
      </c>
      <c r="Y77" s="2">
        <f t="shared" si="65"/>
        <v>18.887681141795706</v>
      </c>
    </row>
    <row r="78" spans="1:25" s="18" customFormat="1" ht="19.5" customHeight="1" x14ac:dyDescent="0.25">
      <c r="A78" s="21" t="s">
        <v>77</v>
      </c>
      <c r="B78" s="3">
        <v>2333.1932599999986</v>
      </c>
      <c r="C78" s="3">
        <v>4711.5979899999984</v>
      </c>
      <c r="D78" s="3">
        <v>7012.4340400000001</v>
      </c>
      <c r="E78" s="3">
        <v>11007.237509999999</v>
      </c>
      <c r="F78" s="3">
        <v>6636.5010399999992</v>
      </c>
      <c r="G78" s="50">
        <v>9273.422419999999</v>
      </c>
      <c r="H78" s="31" t="e">
        <f>#REF!/#REF!*100</f>
        <v>#REF!</v>
      </c>
      <c r="I78" s="32" t="e">
        <f>#REF!/#REF!*100</f>
        <v>#REF!</v>
      </c>
      <c r="J78" s="32" t="e">
        <f>#REF!/#REF!*100</f>
        <v>#REF!</v>
      </c>
      <c r="K78" s="32">
        <f>B78/$B$6*100</f>
        <v>6.4232959190142994E-3</v>
      </c>
      <c r="L78" s="32">
        <f t="shared" si="66"/>
        <v>1.0338645920652569E-2</v>
      </c>
      <c r="M78" s="32">
        <f t="shared" si="73"/>
        <v>1.5786957349850181E-2</v>
      </c>
      <c r="N78" s="32">
        <f t="shared" si="67"/>
        <v>3.8956054428851479E-2</v>
      </c>
      <c r="O78" s="32">
        <f t="shared" si="68"/>
        <v>1.7352941003444089E-2</v>
      </c>
      <c r="P78" s="40">
        <f t="shared" si="69"/>
        <v>1.7281633643814055E-2</v>
      </c>
      <c r="Q78" s="32" t="e">
        <f>((#REF!-#REF!)/#REF!)*100</f>
        <v>#REF!</v>
      </c>
      <c r="R78" s="32" t="e">
        <f>((#REF!-#REF!)/#REF!)*100</f>
        <v>#REF!</v>
      </c>
      <c r="S78" s="32" t="e">
        <f>((#REF!-#REF!)/#REF!)*100</f>
        <v>#REF!</v>
      </c>
      <c r="T78" s="32" t="e">
        <f>((B78-#REF!)/#REF!)*100</f>
        <v>#REF!</v>
      </c>
      <c r="U78" s="32">
        <f>((C78-B78)/B78)*100</f>
        <v>101.93775075451748</v>
      </c>
      <c r="V78" s="32">
        <f t="shared" si="74"/>
        <v>48.833454273546849</v>
      </c>
      <c r="W78" s="32">
        <f t="shared" si="75"/>
        <v>56.967430241953465</v>
      </c>
      <c r="X78" s="32">
        <f t="shared" si="64"/>
        <v>-39.707841917912788</v>
      </c>
      <c r="Y78" s="32">
        <f t="shared" si="65"/>
        <v>39.733609082656002</v>
      </c>
    </row>
    <row r="79" spans="1:25" s="18" customFormat="1" ht="19.5" customHeight="1" x14ac:dyDescent="0.25">
      <c r="A79" s="21" t="s">
        <v>78</v>
      </c>
      <c r="B79" s="3">
        <v>1573.2471599999999</v>
      </c>
      <c r="C79" s="3">
        <v>2631.3972900000012</v>
      </c>
      <c r="D79" s="3">
        <v>3066.2075600000012</v>
      </c>
      <c r="E79" s="3">
        <v>1184.4059199999999</v>
      </c>
      <c r="F79" s="3">
        <v>3366.2979899999987</v>
      </c>
      <c r="G79" s="50">
        <v>6344.1697199999999</v>
      </c>
      <c r="H79" s="31" t="e">
        <f>#REF!/#REF!*100</f>
        <v>#REF!</v>
      </c>
      <c r="I79" s="32" t="e">
        <f>#REF!/#REF!*100</f>
        <v>#REF!</v>
      </c>
      <c r="J79" s="32" t="e">
        <f>#REF!/#REF!*100</f>
        <v>#REF!</v>
      </c>
      <c r="K79" s="32">
        <f>B79/$B$6*100</f>
        <v>4.3311594610164622E-3</v>
      </c>
      <c r="L79" s="32">
        <f t="shared" si="66"/>
        <v>5.7740675065265368E-3</v>
      </c>
      <c r="M79" s="32">
        <f t="shared" si="73"/>
        <v>6.9028938738521393E-3</v>
      </c>
      <c r="N79" s="32">
        <f t="shared" si="67"/>
        <v>4.1917675932272962E-3</v>
      </c>
      <c r="O79" s="32">
        <f t="shared" si="68"/>
        <v>8.8021037092284385E-3</v>
      </c>
      <c r="P79" s="40">
        <f t="shared" si="69"/>
        <v>1.1822778248380324E-2</v>
      </c>
      <c r="Q79" s="32" t="e">
        <f>((#REF!-#REF!)/#REF!)*100</f>
        <v>#REF!</v>
      </c>
      <c r="R79" s="35" t="s">
        <v>148</v>
      </c>
      <c r="S79" s="32" t="e">
        <f>((#REF!-#REF!)/#REF!)*100</f>
        <v>#REF!</v>
      </c>
      <c r="T79" s="32" t="e">
        <f>((B79-#REF!)/#REF!)*100</f>
        <v>#REF!</v>
      </c>
      <c r="U79" s="32">
        <f>((C79-B79)/B79)*100</f>
        <v>67.258988727492849</v>
      </c>
      <c r="V79" s="32">
        <f t="shared" si="74"/>
        <v>16.523930903645482</v>
      </c>
      <c r="W79" s="32">
        <f t="shared" si="75"/>
        <v>-61.372284921246511</v>
      </c>
      <c r="X79" s="35" t="s">
        <v>148</v>
      </c>
      <c r="Y79" s="32">
        <f t="shared" si="65"/>
        <v>88.461322760080492</v>
      </c>
    </row>
    <row r="80" spans="1:25" s="18" customFormat="1" ht="19.5" customHeight="1" x14ac:dyDescent="0.25">
      <c r="A80" s="21" t="s">
        <v>79</v>
      </c>
      <c r="B80" s="3">
        <v>33366.156129999988</v>
      </c>
      <c r="C80" s="3">
        <v>34891.330259999981</v>
      </c>
      <c r="D80" s="3">
        <v>34403.913680000012</v>
      </c>
      <c r="E80" s="3">
        <v>18849.543119999998</v>
      </c>
      <c r="F80" s="3">
        <v>28103.430259999994</v>
      </c>
      <c r="G80" s="50">
        <v>30176.673150000002</v>
      </c>
      <c r="H80" s="31" t="e">
        <f>#REF!/#REF!*100</f>
        <v>#REF!</v>
      </c>
      <c r="I80" s="32" t="e">
        <f>#REF!/#REF!*100</f>
        <v>#REF!</v>
      </c>
      <c r="J80" s="32" t="e">
        <f>#REF!/#REF!*100</f>
        <v>#REF!</v>
      </c>
      <c r="K80" s="32">
        <f>B80/$B$6*100</f>
        <v>9.1857240536955348E-2</v>
      </c>
      <c r="L80" s="32">
        <f t="shared" si="66"/>
        <v>7.6561945655021904E-2</v>
      </c>
      <c r="M80" s="32">
        <f t="shared" si="73"/>
        <v>7.7452866556173311E-2</v>
      </c>
      <c r="N80" s="32">
        <f t="shared" si="67"/>
        <v>6.6711000564364395E-2</v>
      </c>
      <c r="O80" s="32">
        <f t="shared" si="68"/>
        <v>7.3484079088788221E-2</v>
      </c>
      <c r="P80" s="40">
        <f t="shared" si="69"/>
        <v>5.6236218555373474E-2</v>
      </c>
      <c r="Q80" s="32" t="e">
        <f>((#REF!-#REF!)/#REF!)*100</f>
        <v>#REF!</v>
      </c>
      <c r="R80" s="32" t="e">
        <f>((#REF!-#REF!)/#REF!)*100</f>
        <v>#REF!</v>
      </c>
      <c r="S80" s="32" t="e">
        <f>((#REF!-#REF!)/#REF!)*100</f>
        <v>#REF!</v>
      </c>
      <c r="T80" s="32" t="e">
        <f>((B80-#REF!)/#REF!)*100</f>
        <v>#REF!</v>
      </c>
      <c r="U80" s="32">
        <f>((C80-B80)/B80)*100</f>
        <v>4.5710213788416771</v>
      </c>
      <c r="V80" s="32">
        <f t="shared" si="74"/>
        <v>-1.3969561388685456</v>
      </c>
      <c r="W80" s="32">
        <f t="shared" si="75"/>
        <v>-45.211049837746273</v>
      </c>
      <c r="X80" s="32">
        <f t="shared" si="64"/>
        <v>49.09342937962942</v>
      </c>
      <c r="Y80" s="32">
        <f t="shared" si="65"/>
        <v>7.3771880187554348</v>
      </c>
    </row>
    <row r="81" spans="1:25" s="18" customFormat="1" ht="19.5" customHeight="1" x14ac:dyDescent="0.25">
      <c r="A81" s="21" t="s">
        <v>80</v>
      </c>
      <c r="B81" s="3">
        <v>5558.5612100000008</v>
      </c>
      <c r="C81" s="3">
        <v>6931.407729999999</v>
      </c>
      <c r="D81" s="3">
        <v>6947.4182700000001</v>
      </c>
      <c r="E81" s="3">
        <v>3355.6512900000002</v>
      </c>
      <c r="F81" s="3">
        <v>5038.8642199999986</v>
      </c>
      <c r="G81" s="50">
        <v>7438.0109700000012</v>
      </c>
      <c r="H81" s="31" t="e">
        <f>#REF!/#REF!*100</f>
        <v>#REF!</v>
      </c>
      <c r="I81" s="32" t="e">
        <f>#REF!/#REF!*100</f>
        <v>#REF!</v>
      </c>
      <c r="J81" s="32" t="e">
        <f>#REF!/#REF!*100</f>
        <v>#REF!</v>
      </c>
      <c r="K81" s="32">
        <f>B81/$B$6*100</f>
        <v>1.5302754447260923E-2</v>
      </c>
      <c r="L81" s="32">
        <f t="shared" si="66"/>
        <v>1.5209568049786903E-2</v>
      </c>
      <c r="M81" s="32">
        <f t="shared" si="73"/>
        <v>1.5640588602250857E-2</v>
      </c>
      <c r="N81" s="32">
        <f t="shared" si="67"/>
        <v>1.1876089180298401E-2</v>
      </c>
      <c r="O81" s="32">
        <f t="shared" si="68"/>
        <v>1.3175484040009325E-2</v>
      </c>
      <c r="P81" s="40">
        <f t="shared" si="69"/>
        <v>1.3861223483682312E-2</v>
      </c>
      <c r="Q81" s="32" t="e">
        <f>((#REF!-#REF!)/#REF!)*100</f>
        <v>#REF!</v>
      </c>
      <c r="R81" s="32" t="e">
        <f>((#REF!-#REF!)/#REF!)*100</f>
        <v>#REF!</v>
      </c>
      <c r="S81" s="32" t="e">
        <f>((#REF!-#REF!)/#REF!)*100</f>
        <v>#REF!</v>
      </c>
      <c r="T81" s="32" t="e">
        <f>((B81-#REF!)/#REF!)*100</f>
        <v>#REF!</v>
      </c>
      <c r="U81" s="32">
        <f>((C81-B81)/B81)*100</f>
        <v>24.69787536980272</v>
      </c>
      <c r="V81" s="32">
        <f t="shared" si="74"/>
        <v>0.23098540186440786</v>
      </c>
      <c r="W81" s="32">
        <f t="shared" si="75"/>
        <v>-51.699305273007546</v>
      </c>
      <c r="X81" s="32">
        <f t="shared" si="64"/>
        <v>50.160543648145214</v>
      </c>
      <c r="Y81" s="32">
        <f t="shared" si="65"/>
        <v>47.612847761950675</v>
      </c>
    </row>
    <row r="82" spans="1:25" s="18" customFormat="1" ht="19.5" customHeight="1" x14ac:dyDescent="0.25">
      <c r="A82" s="21" t="s">
        <v>81</v>
      </c>
      <c r="B82" s="3">
        <v>54624.88858999998</v>
      </c>
      <c r="C82" s="3">
        <v>48902.594350000036</v>
      </c>
      <c r="D82" s="3">
        <v>52539.264419999985</v>
      </c>
      <c r="E82" s="3">
        <v>31360.103269999963</v>
      </c>
      <c r="F82" s="3">
        <v>46334.430690000001</v>
      </c>
      <c r="G82" s="50">
        <v>64427.579610000008</v>
      </c>
      <c r="H82" s="31" t="e">
        <f>#REF!/#REF!*100</f>
        <v>#REF!</v>
      </c>
      <c r="I82" s="32" t="e">
        <f>#REF!/#REF!*100</f>
        <v>#REF!</v>
      </c>
      <c r="J82" s="32" t="e">
        <f>#REF!/#REF!*100</f>
        <v>#REF!</v>
      </c>
      <c r="K82" s="32">
        <f>B82/$B$6*100</f>
        <v>0.15038266652491439</v>
      </c>
      <c r="L82" s="32">
        <f t="shared" si="66"/>
        <v>0.10730682215652175</v>
      </c>
      <c r="M82" s="32">
        <f t="shared" si="73"/>
        <v>0.11828063149825234</v>
      </c>
      <c r="N82" s="32">
        <f t="shared" si="67"/>
        <v>0.11098751060569438</v>
      </c>
      <c r="O82" s="32">
        <f t="shared" si="68"/>
        <v>0.12115399927545845</v>
      </c>
      <c r="P82" s="40">
        <f t="shared" si="69"/>
        <v>0.12006503930807508</v>
      </c>
      <c r="Q82" s="32" t="e">
        <f>((#REF!-#REF!)/#REF!)*100</f>
        <v>#REF!</v>
      </c>
      <c r="R82" s="32" t="e">
        <f>((#REF!-#REF!)/#REF!)*100</f>
        <v>#REF!</v>
      </c>
      <c r="S82" s="32" t="e">
        <f>((#REF!-#REF!)/#REF!)*100</f>
        <v>#REF!</v>
      </c>
      <c r="T82" s="32" t="e">
        <f>((B82-#REF!)/#REF!)*100</f>
        <v>#REF!</v>
      </c>
      <c r="U82" s="32">
        <f>((C82-B82)/B82)*100</f>
        <v>-10.475617228164943</v>
      </c>
      <c r="V82" s="32">
        <f t="shared" si="74"/>
        <v>7.4365585677765713</v>
      </c>
      <c r="W82" s="32">
        <f t="shared" si="75"/>
        <v>-40.311110906870262</v>
      </c>
      <c r="X82" s="32">
        <f t="shared" si="64"/>
        <v>47.749611316889187</v>
      </c>
      <c r="Y82" s="32">
        <f t="shared" si="65"/>
        <v>39.049036862138273</v>
      </c>
    </row>
    <row r="83" spans="1:25" s="18" customFormat="1" ht="19.5" customHeight="1" x14ac:dyDescent="0.25">
      <c r="A83" s="21" t="s">
        <v>82</v>
      </c>
      <c r="B83" s="3">
        <v>9070.3105099999975</v>
      </c>
      <c r="C83" s="3">
        <v>9925.9497800000008</v>
      </c>
      <c r="D83" s="3">
        <v>13215.747079999996</v>
      </c>
      <c r="E83" s="3">
        <v>8240.7655900000009</v>
      </c>
      <c r="F83" s="3">
        <v>8115.8022099999989</v>
      </c>
      <c r="G83" s="50">
        <v>13039.96141</v>
      </c>
      <c r="H83" s="31" t="e">
        <f>#REF!/#REF!*100</f>
        <v>#REF!</v>
      </c>
      <c r="I83" s="32" t="e">
        <f>#REF!/#REF!*100</f>
        <v>#REF!</v>
      </c>
      <c r="J83" s="32" t="e">
        <f>#REF!/#REF!*100</f>
        <v>#REF!</v>
      </c>
      <c r="K83" s="32">
        <f>B83/$B$6*100</f>
        <v>2.4970622657754259E-2</v>
      </c>
      <c r="L83" s="32">
        <f t="shared" si="66"/>
        <v>2.1780483058912101E-2</v>
      </c>
      <c r="M83" s="32">
        <f t="shared" si="73"/>
        <v>2.9752356215869233E-2</v>
      </c>
      <c r="N83" s="32">
        <f t="shared" si="67"/>
        <v>2.916514816435958E-2</v>
      </c>
      <c r="O83" s="32">
        <f t="shared" si="68"/>
        <v>2.1220977153007591E-2</v>
      </c>
      <c r="P83" s="40">
        <f t="shared" si="69"/>
        <v>2.4300827203889309E-2</v>
      </c>
      <c r="Q83" s="32" t="e">
        <f>((#REF!-#REF!)/#REF!)*100</f>
        <v>#REF!</v>
      </c>
      <c r="R83" s="32" t="e">
        <f>((#REF!-#REF!)/#REF!)*100</f>
        <v>#REF!</v>
      </c>
      <c r="S83" s="32" t="e">
        <f>((#REF!-#REF!)/#REF!)*100</f>
        <v>#REF!</v>
      </c>
      <c r="T83" s="32" t="e">
        <f>((B83-#REF!)/#REF!)*100</f>
        <v>#REF!</v>
      </c>
      <c r="U83" s="32">
        <f>((C83-B83)/B83)*100</f>
        <v>9.4334065967936027</v>
      </c>
      <c r="V83" s="32">
        <f t="shared" si="74"/>
        <v>33.143400610676821</v>
      </c>
      <c r="W83" s="32">
        <f t="shared" si="75"/>
        <v>-37.644345490909593</v>
      </c>
      <c r="X83" s="32">
        <f t="shared" si="64"/>
        <v>-1.5164049824647658</v>
      </c>
      <c r="Y83" s="32">
        <f t="shared" si="65"/>
        <v>60.673721125591619</v>
      </c>
    </row>
    <row r="84" spans="1:25" s="18" customFormat="1" ht="19.5" customHeight="1" x14ac:dyDescent="0.25">
      <c r="A84" s="21" t="s">
        <v>83</v>
      </c>
      <c r="B84" s="3">
        <v>32651.087799999954</v>
      </c>
      <c r="C84" s="3">
        <v>34080.64548000005</v>
      </c>
      <c r="D84" s="3">
        <v>39613.313969999952</v>
      </c>
      <c r="E84" s="3">
        <v>29377.560989999998</v>
      </c>
      <c r="F84" s="3">
        <v>39355.658379999993</v>
      </c>
      <c r="G84" s="50">
        <v>50833.682830000005</v>
      </c>
      <c r="H84" s="31" t="e">
        <f>#REF!/#REF!*100</f>
        <v>#REF!</v>
      </c>
      <c r="I84" s="32" t="e">
        <f>#REF!/#REF!*100</f>
        <v>#REF!</v>
      </c>
      <c r="J84" s="32" t="e">
        <f>#REF!/#REF!*100</f>
        <v>#REF!</v>
      </c>
      <c r="K84" s="32">
        <f>B84/$B$6*100</f>
        <v>8.9888652865865643E-2</v>
      </c>
      <c r="L84" s="32">
        <f t="shared" si="66"/>
        <v>7.4783062373496134E-2</v>
      </c>
      <c r="M84" s="32">
        <f t="shared" si="73"/>
        <v>8.9180688839764627E-2</v>
      </c>
      <c r="N84" s="32">
        <f t="shared" si="67"/>
        <v>0.10397103395594341</v>
      </c>
      <c r="O84" s="32">
        <f t="shared" si="68"/>
        <v>0.10290609673736144</v>
      </c>
      <c r="P84" s="40">
        <f t="shared" si="69"/>
        <v>9.4731917047072373E-2</v>
      </c>
      <c r="Q84" s="32" t="e">
        <f>((#REF!-#REF!)/#REF!)*100</f>
        <v>#REF!</v>
      </c>
      <c r="R84" s="32" t="e">
        <f>((#REF!-#REF!)/#REF!)*100</f>
        <v>#REF!</v>
      </c>
      <c r="S84" s="32" t="e">
        <f>((#REF!-#REF!)/#REF!)*100</f>
        <v>#REF!</v>
      </c>
      <c r="T84" s="32" t="e">
        <f>((B84-#REF!)/#REF!)*100</f>
        <v>#REF!</v>
      </c>
      <c r="U84" s="32">
        <f>((C84-B84)/B84)*100</f>
        <v>4.3782850015799424</v>
      </c>
      <c r="V84" s="32">
        <f t="shared" si="74"/>
        <v>16.234048422723397</v>
      </c>
      <c r="W84" s="32">
        <f t="shared" si="75"/>
        <v>-25.839173636802311</v>
      </c>
      <c r="X84" s="32">
        <f t="shared" si="64"/>
        <v>33.965029953972348</v>
      </c>
      <c r="Y84" s="32">
        <f t="shared" si="65"/>
        <v>29.164864526400571</v>
      </c>
    </row>
    <row r="85" spans="1:25" s="18" customFormat="1" ht="19.5" customHeight="1" x14ac:dyDescent="0.25">
      <c r="A85" s="21" t="s">
        <v>84</v>
      </c>
      <c r="B85" s="3">
        <v>48214.317429999996</v>
      </c>
      <c r="C85" s="3">
        <v>98948.075499999904</v>
      </c>
      <c r="D85" s="3">
        <v>55929.532229999997</v>
      </c>
      <c r="E85" s="3">
        <v>36379.489729999979</v>
      </c>
      <c r="F85" s="3">
        <v>62090.326509999999</v>
      </c>
      <c r="G85" s="50">
        <v>64108.53765000002</v>
      </c>
      <c r="H85" s="31" t="e">
        <f>#REF!/#REF!*100</f>
        <v>#REF!</v>
      </c>
      <c r="I85" s="32" t="e">
        <f>#REF!/#REF!*100</f>
        <v>#REF!</v>
      </c>
      <c r="J85" s="32" t="e">
        <f>#REF!/#REF!*100</f>
        <v>#REF!</v>
      </c>
      <c r="K85" s="32">
        <f>B85/$B$6*100</f>
        <v>0.13273432325369358</v>
      </c>
      <c r="L85" s="32">
        <f t="shared" si="66"/>
        <v>0.21712147753176556</v>
      </c>
      <c r="M85" s="32">
        <f t="shared" si="73"/>
        <v>0.12591307595558945</v>
      </c>
      <c r="N85" s="32">
        <f t="shared" si="67"/>
        <v>0.1287517763406309</v>
      </c>
      <c r="O85" s="32">
        <f t="shared" si="68"/>
        <v>0.16235208377404403</v>
      </c>
      <c r="P85" s="40">
        <f t="shared" si="69"/>
        <v>0.11947048359606169</v>
      </c>
      <c r="Q85" s="32" t="e">
        <f>((#REF!-#REF!)/#REF!)*100</f>
        <v>#REF!</v>
      </c>
      <c r="R85" s="32" t="e">
        <f>((#REF!-#REF!)/#REF!)*100</f>
        <v>#REF!</v>
      </c>
      <c r="S85" s="32" t="e">
        <f>((#REF!-#REF!)/#REF!)*100</f>
        <v>#REF!</v>
      </c>
      <c r="T85" s="32" t="e">
        <f>((B85-#REF!)/#REF!)*100</f>
        <v>#REF!</v>
      </c>
      <c r="U85" s="35" t="s">
        <v>148</v>
      </c>
      <c r="V85" s="32">
        <f t="shared" si="74"/>
        <v>-43.47587666826319</v>
      </c>
      <c r="W85" s="35">
        <f t="shared" si="75"/>
        <v>-34.9547756265939</v>
      </c>
      <c r="X85" s="32">
        <f t="shared" si="64"/>
        <v>70.673989577148561</v>
      </c>
      <c r="Y85" s="32">
        <f t="shared" si="65"/>
        <v>3.250443754189273</v>
      </c>
    </row>
    <row r="86" spans="1:25" s="18" customFormat="1" ht="19.5" customHeight="1" x14ac:dyDescent="0.25">
      <c r="A86" s="21" t="s">
        <v>85</v>
      </c>
      <c r="B86" s="3">
        <v>14693.486159999995</v>
      </c>
      <c r="C86" s="3">
        <v>17469.822559999997</v>
      </c>
      <c r="D86" s="3">
        <v>15237.512030000005</v>
      </c>
      <c r="E86" s="3">
        <v>9778.9010099999941</v>
      </c>
      <c r="F86" s="3">
        <v>16776.057269999998</v>
      </c>
      <c r="G86" s="50">
        <v>25286.479820000004</v>
      </c>
      <c r="H86" s="31" t="e">
        <f>#REF!/#REF!*100</f>
        <v>#REF!</v>
      </c>
      <c r="I86" s="32" t="e">
        <f>#REF!/#REF!*100</f>
        <v>#REF!</v>
      </c>
      <c r="J86" s="32" t="e">
        <f>#REF!/#REF!*100</f>
        <v>#REF!</v>
      </c>
      <c r="K86" s="32">
        <f>B86/$B$6*100</f>
        <v>4.0451261070255755E-2</v>
      </c>
      <c r="L86" s="32">
        <f t="shared" si="66"/>
        <v>3.8333981406692176E-2</v>
      </c>
      <c r="M86" s="32">
        <f t="shared" si="73"/>
        <v>3.4303916609166298E-2</v>
      </c>
      <c r="N86" s="32">
        <f t="shared" si="67"/>
        <v>3.4608810762357257E-2</v>
      </c>
      <c r="O86" s="32">
        <f t="shared" si="68"/>
        <v>4.386557469396693E-2</v>
      </c>
      <c r="P86" s="40">
        <f t="shared" si="69"/>
        <v>4.7123021102594975E-2</v>
      </c>
      <c r="Q86" s="32" t="e">
        <f>((#REF!-#REF!)/#REF!)*100</f>
        <v>#REF!</v>
      </c>
      <c r="R86" s="32" t="e">
        <f>((#REF!-#REF!)/#REF!)*100</f>
        <v>#REF!</v>
      </c>
      <c r="S86" s="32" t="e">
        <f>((#REF!-#REF!)/#REF!)*100</f>
        <v>#REF!</v>
      </c>
      <c r="T86" s="32" t="e">
        <f>((B86-#REF!)/#REF!)*100</f>
        <v>#REF!</v>
      </c>
      <c r="U86" s="32">
        <f>((C86-B86)/B86)*100</f>
        <v>18.895014905026482</v>
      </c>
      <c r="V86" s="32">
        <f t="shared" si="74"/>
        <v>-12.778095039792964</v>
      </c>
      <c r="W86" s="32">
        <f t="shared" si="75"/>
        <v>-35.823505892910582</v>
      </c>
      <c r="X86" s="32">
        <f t="shared" si="64"/>
        <v>71.55360559274142</v>
      </c>
      <c r="Y86" s="32">
        <f t="shared" si="65"/>
        <v>50.7295749712233</v>
      </c>
    </row>
    <row r="87" spans="1:25" s="18" customFormat="1" ht="19.5" customHeight="1" x14ac:dyDescent="0.25">
      <c r="A87" s="21" t="s">
        <v>86</v>
      </c>
      <c r="B87" s="3">
        <v>10689.208229999989</v>
      </c>
      <c r="C87" s="3">
        <v>18126.752820000002</v>
      </c>
      <c r="D87" s="3">
        <v>14455.74958999999</v>
      </c>
      <c r="E87" s="3">
        <v>8425.3294199999964</v>
      </c>
      <c r="F87" s="3">
        <v>14422.49548</v>
      </c>
      <c r="G87" s="50">
        <v>16810.651010000001</v>
      </c>
      <c r="H87" s="31" t="e">
        <f>#REF!/#REF!*100</f>
        <v>#REF!</v>
      </c>
      <c r="I87" s="32" t="e">
        <f>#REF!/#REF!*100</f>
        <v>#REF!</v>
      </c>
      <c r="J87" s="32" t="e">
        <f>#REF!/#REF!*100</f>
        <v>#REF!</v>
      </c>
      <c r="K87" s="32">
        <f>B87/$B$6*100</f>
        <v>2.9427458401475509E-2</v>
      </c>
      <c r="L87" s="32">
        <f t="shared" si="66"/>
        <v>3.9775481587122949E-2</v>
      </c>
      <c r="M87" s="32">
        <f t="shared" si="73"/>
        <v>3.2543949923191588E-2</v>
      </c>
      <c r="N87" s="32">
        <f t="shared" si="67"/>
        <v>2.9818343718697824E-2</v>
      </c>
      <c r="O87" s="32">
        <f t="shared" si="68"/>
        <v>3.7711545839956506E-2</v>
      </c>
      <c r="P87" s="40">
        <f t="shared" si="69"/>
        <v>3.1327755699155656E-2</v>
      </c>
      <c r="Q87" s="32" t="e">
        <f>((#REF!-#REF!)/#REF!)*100</f>
        <v>#REF!</v>
      </c>
      <c r="R87" s="32" t="e">
        <f>((#REF!-#REF!)/#REF!)*100</f>
        <v>#REF!</v>
      </c>
      <c r="S87" s="32" t="e">
        <f>((#REF!-#REF!)/#REF!)*100</f>
        <v>#REF!</v>
      </c>
      <c r="T87" s="32" t="e">
        <f>((B87-#REF!)/#REF!)*100</f>
        <v>#REF!</v>
      </c>
      <c r="U87" s="32">
        <f>((C87-B87)/B87)*100</f>
        <v>69.579939224366854</v>
      </c>
      <c r="V87" s="32">
        <f t="shared" si="74"/>
        <v>-20.251852421960763</v>
      </c>
      <c r="W87" s="32">
        <f t="shared" si="75"/>
        <v>-41.716412784098303</v>
      </c>
      <c r="X87" s="32">
        <f t="shared" si="64"/>
        <v>71.180196773837309</v>
      </c>
      <c r="Y87" s="32">
        <f t="shared" si="65"/>
        <v>16.55854587239574</v>
      </c>
    </row>
    <row r="88" spans="1:25" s="18" customFormat="1" ht="19.5" customHeight="1" x14ac:dyDescent="0.25">
      <c r="A88" s="21" t="s">
        <v>87</v>
      </c>
      <c r="B88" s="3">
        <v>301971.92396000132</v>
      </c>
      <c r="C88" s="3">
        <v>345860.78993999964</v>
      </c>
      <c r="D88" s="3">
        <v>364959.21075000043</v>
      </c>
      <c r="E88" s="3">
        <v>180705.39165000047</v>
      </c>
      <c r="F88" s="3">
        <v>361105.82580000011</v>
      </c>
      <c r="G88" s="50">
        <v>432512.22095000034</v>
      </c>
      <c r="H88" s="31" t="e">
        <f>#REF!/#REF!*100</f>
        <v>#REF!</v>
      </c>
      <c r="I88" s="32" t="e">
        <f>#REF!/#REF!*100</f>
        <v>#REF!</v>
      </c>
      <c r="J88" s="32" t="e">
        <f>#REF!/#REF!*100</f>
        <v>#REF!</v>
      </c>
      <c r="K88" s="32">
        <f>B88/$B$6*100</f>
        <v>0.83133063174937083</v>
      </c>
      <c r="L88" s="32">
        <f t="shared" si="66"/>
        <v>0.75892133679827245</v>
      </c>
      <c r="M88" s="32">
        <f t="shared" si="73"/>
        <v>0.82162562409574413</v>
      </c>
      <c r="N88" s="32">
        <f t="shared" si="67"/>
        <v>0.63954003593625941</v>
      </c>
      <c r="O88" s="32">
        <f t="shared" si="68"/>
        <v>0.94420961487672128</v>
      </c>
      <c r="P88" s="40">
        <f t="shared" si="69"/>
        <v>0.80601501909478046</v>
      </c>
      <c r="Q88" s="32" t="e">
        <f>((#REF!-#REF!)/#REF!)*100</f>
        <v>#REF!</v>
      </c>
      <c r="R88" s="32" t="e">
        <f>((#REF!-#REF!)/#REF!)*100</f>
        <v>#REF!</v>
      </c>
      <c r="S88" s="32" t="e">
        <f>((#REF!-#REF!)/#REF!)*100</f>
        <v>#REF!</v>
      </c>
      <c r="T88" s="32" t="e">
        <f>((B88-#REF!)/#REF!)*100</f>
        <v>#REF!</v>
      </c>
      <c r="U88" s="32">
        <f>((C88-B88)/B88)*100</f>
        <v>14.534088270342563</v>
      </c>
      <c r="V88" s="32">
        <f t="shared" si="74"/>
        <v>5.5219965273640916</v>
      </c>
      <c r="W88" s="32">
        <f t="shared" si="75"/>
        <v>-50.486140278896841</v>
      </c>
      <c r="X88" s="32">
        <f t="shared" si="64"/>
        <v>99.831240508533639</v>
      </c>
      <c r="Y88" s="32">
        <f t="shared" si="65"/>
        <v>19.774368079441881</v>
      </c>
    </row>
    <row r="89" spans="1:25" s="18" customFormat="1" ht="19.5" customHeight="1" x14ac:dyDescent="0.25">
      <c r="A89" s="21" t="s">
        <v>88</v>
      </c>
      <c r="B89" s="3">
        <v>67856.33664999975</v>
      </c>
      <c r="C89" s="3">
        <v>82107.419649999836</v>
      </c>
      <c r="D89" s="3">
        <v>111387.94080999975</v>
      </c>
      <c r="E89" s="3">
        <v>101246.57129999979</v>
      </c>
      <c r="F89" s="3">
        <v>156290.54160999996</v>
      </c>
      <c r="G89" s="50">
        <v>189209.69382000004</v>
      </c>
      <c r="H89" s="31" t="e">
        <f>#REF!/#REF!*100</f>
        <v>#REF!</v>
      </c>
      <c r="I89" s="32" t="e">
        <f>#REF!/#REF!*100</f>
        <v>#REF!</v>
      </c>
      <c r="J89" s="32" t="e">
        <f>#REF!/#REF!*100</f>
        <v>#REF!</v>
      </c>
      <c r="K89" s="32">
        <f>B89/$B$6*100</f>
        <v>0.18680892738529686</v>
      </c>
      <c r="L89" s="32">
        <f t="shared" si="66"/>
        <v>0.18016807482757663</v>
      </c>
      <c r="M89" s="32">
        <f t="shared" si="73"/>
        <v>0.25076552033494809</v>
      </c>
      <c r="N89" s="32">
        <f t="shared" si="67"/>
        <v>0.35832486931567847</v>
      </c>
      <c r="O89" s="32">
        <f t="shared" si="68"/>
        <v>0.40866422405542974</v>
      </c>
      <c r="P89" s="40">
        <f t="shared" si="69"/>
        <v>0.35260473020223637</v>
      </c>
      <c r="Q89" s="32" t="e">
        <f>((#REF!-#REF!)/#REF!)*100</f>
        <v>#REF!</v>
      </c>
      <c r="R89" s="32" t="e">
        <f>((#REF!-#REF!)/#REF!)*100</f>
        <v>#REF!</v>
      </c>
      <c r="S89" s="32" t="e">
        <f>((#REF!-#REF!)/#REF!)*100</f>
        <v>#REF!</v>
      </c>
      <c r="T89" s="32" t="e">
        <f>((B89-#REF!)/#REF!)*100</f>
        <v>#REF!</v>
      </c>
      <c r="U89" s="32">
        <f>((C89-B89)/B89)*100</f>
        <v>21.001845521821487</v>
      </c>
      <c r="V89" s="32">
        <f t="shared" si="74"/>
        <v>35.66123656645685</v>
      </c>
      <c r="W89" s="32">
        <f t="shared" si="75"/>
        <v>-9.1045488732919715</v>
      </c>
      <c r="X89" s="32">
        <f t="shared" si="64"/>
        <v>54.366256163778139</v>
      </c>
      <c r="Y89" s="32">
        <f t="shared" si="65"/>
        <v>21.062792329522402</v>
      </c>
    </row>
    <row r="90" spans="1:25" s="18" customFormat="1" ht="19.5" customHeight="1" x14ac:dyDescent="0.25">
      <c r="A90" s="21" t="s">
        <v>89</v>
      </c>
      <c r="B90" s="3">
        <v>254337.38735999912</v>
      </c>
      <c r="C90" s="3">
        <v>322100.17097000172</v>
      </c>
      <c r="D90" s="3">
        <v>308334.77812999894</v>
      </c>
      <c r="E90" s="3">
        <v>278088.91945999931</v>
      </c>
      <c r="F90" s="3">
        <v>320422.58696000022</v>
      </c>
      <c r="G90" s="50">
        <v>360329.27909000055</v>
      </c>
      <c r="H90" s="31" t="e">
        <f>#REF!/#REF!*100</f>
        <v>#REF!</v>
      </c>
      <c r="I90" s="32" t="e">
        <f>#REF!/#REF!*100</f>
        <v>#REF!</v>
      </c>
      <c r="J90" s="32" t="e">
        <f>#REF!/#REF!*100</f>
        <v>#REF!</v>
      </c>
      <c r="K90" s="32">
        <f>B90/$B$6*100</f>
        <v>0.70019244881679554</v>
      </c>
      <c r="L90" s="32">
        <f t="shared" si="66"/>
        <v>0.70678347891911386</v>
      </c>
      <c r="M90" s="32">
        <f t="shared" si="73"/>
        <v>0.69414813231010597</v>
      </c>
      <c r="N90" s="32">
        <f t="shared" si="67"/>
        <v>0.98419308865664956</v>
      </c>
      <c r="O90" s="32">
        <f t="shared" si="68"/>
        <v>0.83783219714342383</v>
      </c>
      <c r="P90" s="40">
        <f t="shared" si="69"/>
        <v>0.67149735128457777</v>
      </c>
      <c r="Q90" s="32" t="e">
        <f>((#REF!-#REF!)/#REF!)*100</f>
        <v>#REF!</v>
      </c>
      <c r="R90" s="32" t="e">
        <f>((#REF!-#REF!)/#REF!)*100</f>
        <v>#REF!</v>
      </c>
      <c r="S90" s="32" t="e">
        <f>((#REF!-#REF!)/#REF!)*100</f>
        <v>#REF!</v>
      </c>
      <c r="T90" s="32" t="e">
        <f>((B90-#REF!)/#REF!)*100</f>
        <v>#REF!</v>
      </c>
      <c r="U90" s="32">
        <f>((C90-B90)/B90)*100</f>
        <v>26.642871625510761</v>
      </c>
      <c r="V90" s="32">
        <f t="shared" si="74"/>
        <v>-4.2736372348230756</v>
      </c>
      <c r="W90" s="32">
        <f t="shared" si="75"/>
        <v>-9.8094217115032976</v>
      </c>
      <c r="X90" s="32">
        <f t="shared" si="64"/>
        <v>15.223068787568231</v>
      </c>
      <c r="Y90" s="32">
        <f t="shared" si="65"/>
        <v>12.454394213783083</v>
      </c>
    </row>
    <row r="91" spans="1:25" s="18" customFormat="1" ht="19.5" customHeight="1" x14ac:dyDescent="0.25">
      <c r="A91" s="19" t="s">
        <v>90</v>
      </c>
      <c r="B91" s="3"/>
      <c r="C91" s="3"/>
      <c r="D91" s="3"/>
      <c r="E91" s="3"/>
      <c r="F91" s="3"/>
      <c r="G91" s="50"/>
      <c r="H91" s="31"/>
      <c r="I91" s="32"/>
      <c r="J91" s="32"/>
      <c r="K91" s="2"/>
      <c r="L91" s="2"/>
      <c r="M91" s="2"/>
      <c r="N91" s="2"/>
      <c r="O91" s="2"/>
      <c r="P91" s="46"/>
      <c r="Q91" s="2"/>
      <c r="R91" s="2"/>
      <c r="S91" s="32"/>
      <c r="T91" s="32"/>
      <c r="U91" s="32"/>
      <c r="V91" s="32"/>
      <c r="W91" s="32"/>
      <c r="X91" s="32"/>
      <c r="Y91" s="32"/>
    </row>
    <row r="92" spans="1:25" s="18" customFormat="1" ht="19.5" customHeight="1" x14ac:dyDescent="0.25">
      <c r="A92" s="33" t="s">
        <v>91</v>
      </c>
      <c r="B92" s="20">
        <f t="shared" ref="B92:C92" si="76">SUM(B93:B96)</f>
        <v>197339.36859999999</v>
      </c>
      <c r="C92" s="20">
        <f t="shared" si="76"/>
        <v>223891.15717000005</v>
      </c>
      <c r="D92" s="20">
        <f t="shared" ref="D92:E92" si="77">SUM(D93:D96)</f>
        <v>264569.16437000013</v>
      </c>
      <c r="E92" s="20">
        <f t="shared" si="77"/>
        <v>116120.74980999996</v>
      </c>
      <c r="F92" s="20">
        <f t="shared" ref="F92:G92" si="78">SUM(F93:F96)</f>
        <v>207320.0302500001</v>
      </c>
      <c r="G92" s="49">
        <f t="shared" si="78"/>
        <v>273479.83019999985</v>
      </c>
      <c r="H92" s="45" t="e">
        <f>#REF!/#REF!*100</f>
        <v>#REF!</v>
      </c>
      <c r="I92" s="2" t="e">
        <f>#REF!/#REF!*100</f>
        <v>#REF!</v>
      </c>
      <c r="J92" s="2" t="e">
        <f>#REF!/#REF!*100</f>
        <v>#REF!</v>
      </c>
      <c r="K92" s="2">
        <f>B92/$B$6*100</f>
        <v>0.5432765398050392</v>
      </c>
      <c r="L92" s="2">
        <f t="shared" si="66"/>
        <v>0.49128372235038775</v>
      </c>
      <c r="M92" s="2">
        <f>D92/$D$6*100</f>
        <v>0.59561945113065107</v>
      </c>
      <c r="N92" s="2">
        <f t="shared" si="67"/>
        <v>0.41096653413790146</v>
      </c>
      <c r="O92" s="2">
        <f t="shared" si="68"/>
        <v>0.54209473216032156</v>
      </c>
      <c r="P92" s="46">
        <f t="shared" si="69"/>
        <v>0.509647681345338</v>
      </c>
      <c r="Q92" s="2" t="e">
        <f>((#REF!-#REF!)/#REF!)*100</f>
        <v>#REF!</v>
      </c>
      <c r="R92" s="2" t="e">
        <f>((#REF!-#REF!)/#REF!)*100</f>
        <v>#REF!</v>
      </c>
      <c r="S92" s="2" t="e">
        <f>((#REF!-#REF!)/#REF!)*100</f>
        <v>#REF!</v>
      </c>
      <c r="T92" s="2" t="e">
        <f>((B92-#REF!)/#REF!)*100</f>
        <v>#REF!</v>
      </c>
      <c r="U92" s="2">
        <f>((C92-B92)/B92)*100</f>
        <v>13.454886755931408</v>
      </c>
      <c r="V92" s="2">
        <f t="shared" ref="V92:V95" si="79">((D92-C92)/C92)*100</f>
        <v>18.168652891062312</v>
      </c>
      <c r="W92" s="2">
        <f t="shared" ref="W92:W96" si="80">((E92-D92)/D92)*100</f>
        <v>-56.109492167573613</v>
      </c>
      <c r="X92" s="2">
        <f t="shared" si="64"/>
        <v>78.538315149723843</v>
      </c>
      <c r="Y92" s="2">
        <f t="shared" si="65"/>
        <v>31.911918915996644</v>
      </c>
    </row>
    <row r="93" spans="1:25" s="18" customFormat="1" ht="19.5" customHeight="1" x14ac:dyDescent="0.25">
      <c r="A93" s="21" t="s">
        <v>92</v>
      </c>
      <c r="B93" s="3">
        <v>158190.58504000001</v>
      </c>
      <c r="C93" s="3">
        <v>179367.17069000009</v>
      </c>
      <c r="D93" s="3">
        <v>208858.05723000012</v>
      </c>
      <c r="E93" s="3">
        <v>88155.878939999981</v>
      </c>
      <c r="F93" s="3">
        <v>163539.58236000009</v>
      </c>
      <c r="G93" s="50">
        <v>207993.13332999981</v>
      </c>
      <c r="H93" s="31" t="e">
        <f>#REF!/#REF!*100</f>
        <v>#REF!</v>
      </c>
      <c r="I93" s="32" t="e">
        <f>#REF!/#REF!*100</f>
        <v>#REF!</v>
      </c>
      <c r="J93" s="32" t="e">
        <f>#REF!/#REF!*100</f>
        <v>#REF!</v>
      </c>
      <c r="K93" s="32">
        <f>B93/$B$6*100</f>
        <v>0.43549968908872855</v>
      </c>
      <c r="L93" s="32">
        <f t="shared" si="66"/>
        <v>0.39358486685175847</v>
      </c>
      <c r="M93" s="32">
        <f>D93/$D$6*100</f>
        <v>0.47019811136256767</v>
      </c>
      <c r="N93" s="32">
        <f t="shared" si="67"/>
        <v>0.31199519544208343</v>
      </c>
      <c r="O93" s="32">
        <f t="shared" si="68"/>
        <v>0.42761881710199612</v>
      </c>
      <c r="P93" s="40">
        <f t="shared" si="69"/>
        <v>0.38760890724505875</v>
      </c>
      <c r="Q93" s="32" t="e">
        <f>((#REF!-#REF!)/#REF!)*100</f>
        <v>#REF!</v>
      </c>
      <c r="R93" s="32" t="e">
        <f>((#REF!-#REF!)/#REF!)*100</f>
        <v>#REF!</v>
      </c>
      <c r="S93" s="32" t="e">
        <f>((#REF!-#REF!)/#REF!)*100</f>
        <v>#REF!</v>
      </c>
      <c r="T93" s="32" t="e">
        <f>((B93-#REF!)/#REF!)*100</f>
        <v>#REF!</v>
      </c>
      <c r="U93" s="32">
        <f>((C93-B93)/B93)*100</f>
        <v>13.38675474564139</v>
      </c>
      <c r="V93" s="32">
        <f t="shared" si="79"/>
        <v>16.441629996477491</v>
      </c>
      <c r="W93" s="32">
        <f t="shared" si="80"/>
        <v>-57.79148762122194</v>
      </c>
      <c r="X93" s="32">
        <f t="shared" si="64"/>
        <v>85.511827828643419</v>
      </c>
      <c r="Y93" s="32">
        <f t="shared" si="65"/>
        <v>27.182135559172458</v>
      </c>
    </row>
    <row r="94" spans="1:25" s="18" customFormat="1" ht="19.5" customHeight="1" x14ac:dyDescent="0.25">
      <c r="A94" s="21" t="s">
        <v>93</v>
      </c>
      <c r="B94" s="3">
        <v>14779.341189999985</v>
      </c>
      <c r="C94" s="3">
        <v>16965.064590000002</v>
      </c>
      <c r="D94" s="3">
        <v>27240.503040000014</v>
      </c>
      <c r="E94" s="3">
        <v>11935.66995999999</v>
      </c>
      <c r="F94" s="3">
        <v>21625.625590000007</v>
      </c>
      <c r="G94" s="50">
        <v>30636.15681</v>
      </c>
      <c r="H94" s="31" t="e">
        <f>#REF!/#REF!*100</f>
        <v>#REF!</v>
      </c>
      <c r="I94" s="32" t="e">
        <f>#REF!/#REF!*100</f>
        <v>#REF!</v>
      </c>
      <c r="J94" s="32" t="e">
        <f>#REF!/#REF!*100</f>
        <v>#REF!</v>
      </c>
      <c r="K94" s="32">
        <f>B94/$B$6*100</f>
        <v>4.0687620515176222E-2</v>
      </c>
      <c r="L94" s="32">
        <f t="shared" si="66"/>
        <v>3.7226392444617486E-2</v>
      </c>
      <c r="M94" s="32">
        <f>D94/$D$6*100</f>
        <v>6.1326018501978573E-2</v>
      </c>
      <c r="N94" s="32">
        <f t="shared" si="67"/>
        <v>4.2241898404040815E-2</v>
      </c>
      <c r="O94" s="32">
        <f t="shared" si="68"/>
        <v>5.6546093003526574E-2</v>
      </c>
      <c r="P94" s="40">
        <f t="shared" si="69"/>
        <v>5.7092496628106712E-2</v>
      </c>
      <c r="Q94" s="32" t="e">
        <f>((#REF!-#REF!)/#REF!)*100</f>
        <v>#REF!</v>
      </c>
      <c r="R94" s="32" t="e">
        <f>((#REF!-#REF!)/#REF!)*100</f>
        <v>#REF!</v>
      </c>
      <c r="S94" s="32" t="e">
        <f>((#REF!-#REF!)/#REF!)*100</f>
        <v>#REF!</v>
      </c>
      <c r="T94" s="32" t="e">
        <f>((B94-#REF!)/#REF!)*100</f>
        <v>#REF!</v>
      </c>
      <c r="U94" s="32">
        <f>((C94-B94)/B94)*100</f>
        <v>14.789044869462273</v>
      </c>
      <c r="V94" s="32">
        <f t="shared" si="79"/>
        <v>60.568224750861447</v>
      </c>
      <c r="W94" s="32">
        <f t="shared" si="80"/>
        <v>-56.184105915835602</v>
      </c>
      <c r="X94" s="32">
        <f t="shared" si="64"/>
        <v>81.184848965110163</v>
      </c>
      <c r="Y94" s="32">
        <f t="shared" si="65"/>
        <v>41.665991036886304</v>
      </c>
    </row>
    <row r="95" spans="1:25" s="18" customFormat="1" ht="19.5" customHeight="1" x14ac:dyDescent="0.25">
      <c r="A95" s="21" t="s">
        <v>94</v>
      </c>
      <c r="B95" s="3">
        <v>21776.772339999992</v>
      </c>
      <c r="C95" s="3">
        <v>25433.84055999999</v>
      </c>
      <c r="D95" s="3">
        <v>25857.680980000016</v>
      </c>
      <c r="E95" s="3">
        <v>14263.884560000002</v>
      </c>
      <c r="F95" s="3">
        <v>17833.345019999997</v>
      </c>
      <c r="G95" s="50">
        <v>28500.514410000011</v>
      </c>
      <c r="H95" s="31" t="e">
        <f>#REF!/#REF!*100</f>
        <v>#REF!</v>
      </c>
      <c r="I95" s="32" t="e">
        <f>#REF!/#REF!*100</f>
        <v>#REF!</v>
      </c>
      <c r="J95" s="32" t="e">
        <f>#REF!/#REF!*100</f>
        <v>#REF!</v>
      </c>
      <c r="K95" s="32">
        <f>B95/$B$6*100</f>
        <v>5.9951593080131524E-2</v>
      </c>
      <c r="L95" s="32">
        <f t="shared" si="66"/>
        <v>5.5809403202536766E-2</v>
      </c>
      <c r="M95" s="32">
        <f>D95/$D$6*100</f>
        <v>5.821289789947065E-2</v>
      </c>
      <c r="N95" s="32">
        <f t="shared" si="67"/>
        <v>5.0481754643832921E-2</v>
      </c>
      <c r="O95" s="32">
        <f t="shared" si="68"/>
        <v>4.663014172090349E-2</v>
      </c>
      <c r="P95" s="40">
        <f t="shared" si="69"/>
        <v>5.3112586312428926E-2</v>
      </c>
      <c r="Q95" s="32" t="e">
        <f>((#REF!-#REF!)/#REF!)*100</f>
        <v>#REF!</v>
      </c>
      <c r="R95" s="32" t="e">
        <f>((#REF!-#REF!)/#REF!)*100</f>
        <v>#REF!</v>
      </c>
      <c r="S95" s="32" t="e">
        <f>((#REF!-#REF!)/#REF!)*100</f>
        <v>#REF!</v>
      </c>
      <c r="T95" s="32" t="e">
        <f>((B95-#REF!)/#REF!)*100</f>
        <v>#REF!</v>
      </c>
      <c r="U95" s="32">
        <f>((C95-B95)/B95)*100</f>
        <v>16.793435514236535</v>
      </c>
      <c r="V95" s="32">
        <f t="shared" si="79"/>
        <v>1.6664428598589365</v>
      </c>
      <c r="W95" s="32">
        <f t="shared" si="80"/>
        <v>-44.836953588248676</v>
      </c>
      <c r="X95" s="32">
        <f t="shared" si="64"/>
        <v>25.024462620861215</v>
      </c>
      <c r="Y95" s="32">
        <f t="shared" si="65"/>
        <v>59.815863922538604</v>
      </c>
    </row>
    <row r="96" spans="1:25" s="18" customFormat="1" ht="19.5" customHeight="1" x14ac:dyDescent="0.25">
      <c r="A96" s="21" t="s">
        <v>95</v>
      </c>
      <c r="B96" s="3">
        <v>2592.6700300000007</v>
      </c>
      <c r="C96" s="3">
        <v>2125.0813299999991</v>
      </c>
      <c r="D96" s="3">
        <v>2612.9231200000022</v>
      </c>
      <c r="E96" s="3">
        <v>1765.3163499999994</v>
      </c>
      <c r="F96" s="3">
        <v>4321.4772799999982</v>
      </c>
      <c r="G96" s="50">
        <v>6350.0256500000032</v>
      </c>
      <c r="H96" s="31" t="e">
        <f>#REF!/#REF!*100</f>
        <v>#REF!</v>
      </c>
      <c r="I96" s="32" t="e">
        <f>#REF!/#REF!*100</f>
        <v>#REF!</v>
      </c>
      <c r="J96" s="32" t="e">
        <f>#REF!/#REF!*100</f>
        <v>#REF!</v>
      </c>
      <c r="K96" s="32">
        <f>B96/$B$6*100</f>
        <v>7.1376371210028671E-3</v>
      </c>
      <c r="L96" s="32">
        <f t="shared" si="66"/>
        <v>4.6630598514750266E-3</v>
      </c>
      <c r="M96" s="32">
        <f>D96/$D$6*100</f>
        <v>5.8824233666342624E-3</v>
      </c>
      <c r="N96" s="32">
        <f t="shared" si="67"/>
        <v>6.2476856479443234E-3</v>
      </c>
      <c r="O96" s="32">
        <f t="shared" si="68"/>
        <v>1.1299680333895343E-2</v>
      </c>
      <c r="P96" s="40">
        <f t="shared" si="69"/>
        <v>1.1833691159743621E-2</v>
      </c>
      <c r="Q96" s="32" t="e">
        <f>((#REF!-#REF!)/#REF!)*100</f>
        <v>#REF!</v>
      </c>
      <c r="R96" s="35" t="s">
        <v>148</v>
      </c>
      <c r="S96" s="32" t="e">
        <f>((#REF!-#REF!)/#REF!)*100</f>
        <v>#REF!</v>
      </c>
      <c r="T96" s="32" t="e">
        <f>((B96-#REF!)/#REF!)*100</f>
        <v>#REF!</v>
      </c>
      <c r="U96" s="32">
        <f>((C96-B96)/B96)*100</f>
        <v>-18.035025459834607</v>
      </c>
      <c r="V96" s="32">
        <f>((D96-C96)/C96)*100</f>
        <v>22.956382097620864</v>
      </c>
      <c r="W96" s="32">
        <f t="shared" si="80"/>
        <v>-32.439024459319036</v>
      </c>
      <c r="X96" s="35" t="s">
        <v>148</v>
      </c>
      <c r="Y96" s="32">
        <f t="shared" si="65"/>
        <v>46.941086081563427</v>
      </c>
    </row>
    <row r="97" spans="1:25" s="18" customFormat="1" ht="19.5" customHeight="1" x14ac:dyDescent="0.25">
      <c r="A97" s="19" t="s">
        <v>96</v>
      </c>
      <c r="B97" s="3"/>
      <c r="C97" s="3"/>
      <c r="D97" s="3"/>
      <c r="E97" s="3"/>
      <c r="F97" s="3"/>
      <c r="G97" s="50"/>
      <c r="H97" s="31"/>
      <c r="I97" s="32"/>
      <c r="J97" s="32"/>
      <c r="K97" s="2"/>
      <c r="L97" s="2"/>
      <c r="M97" s="2"/>
      <c r="N97" s="2"/>
      <c r="O97" s="2"/>
      <c r="P97" s="46"/>
      <c r="Q97" s="2"/>
      <c r="R97" s="2"/>
      <c r="S97" s="32"/>
      <c r="T97" s="32"/>
      <c r="U97" s="32"/>
      <c r="V97" s="32"/>
      <c r="W97" s="32"/>
      <c r="X97" s="32"/>
      <c r="Y97" s="32"/>
    </row>
    <row r="98" spans="1:25" s="18" customFormat="1" ht="19.5" customHeight="1" x14ac:dyDescent="0.25">
      <c r="A98" s="33" t="s">
        <v>97</v>
      </c>
      <c r="B98" s="20">
        <f t="shared" ref="B98:C98" si="81">SUM(B99:B101)</f>
        <v>1130688.7164900005</v>
      </c>
      <c r="C98" s="20">
        <f t="shared" si="81"/>
        <v>1371509.1904800015</v>
      </c>
      <c r="D98" s="20">
        <f t="shared" ref="D98:E98" si="82">SUM(D99:D101)</f>
        <v>1280780.8174599996</v>
      </c>
      <c r="E98" s="20">
        <f t="shared" si="82"/>
        <v>672569.20977999922</v>
      </c>
      <c r="F98" s="20">
        <f t="shared" ref="F98:G98" si="83">SUM(F99:F101)</f>
        <v>797100.0133400003</v>
      </c>
      <c r="G98" s="49">
        <f t="shared" si="83"/>
        <v>996535.82268999983</v>
      </c>
      <c r="H98" s="45" t="e">
        <f>#REF!/#REF!*100</f>
        <v>#REF!</v>
      </c>
      <c r="I98" s="2" t="e">
        <f>#REF!/#REF!*100</f>
        <v>#REF!</v>
      </c>
      <c r="J98" s="2" t="e">
        <f>#REF!/#REF!*100</f>
        <v>#REF!</v>
      </c>
      <c r="K98" s="2">
        <f>B98/$B$6*100</f>
        <v>3.1127932446992155</v>
      </c>
      <c r="L98" s="2">
        <f t="shared" si="66"/>
        <v>3.0094986727196513</v>
      </c>
      <c r="M98" s="2">
        <f t="shared" ref="M98:M104" si="84">D98/$D$6*100</f>
        <v>2.8833971235110911</v>
      </c>
      <c r="N98" s="2">
        <f t="shared" si="67"/>
        <v>2.3803104747722741</v>
      </c>
      <c r="O98" s="2">
        <f t="shared" si="68"/>
        <v>2.0842352652345131</v>
      </c>
      <c r="P98" s="46">
        <f t="shared" si="69"/>
        <v>1.8571101607021825</v>
      </c>
      <c r="Q98" s="2" t="e">
        <f>((#REF!-#REF!)/#REF!)*100</f>
        <v>#REF!</v>
      </c>
      <c r="R98" s="2" t="e">
        <f>((#REF!-#REF!)/#REF!)*100</f>
        <v>#REF!</v>
      </c>
      <c r="S98" s="2" t="e">
        <f>((#REF!-#REF!)/#REF!)*100</f>
        <v>#REF!</v>
      </c>
      <c r="T98" s="2" t="e">
        <f>((B98-#REF!)/#REF!)*100</f>
        <v>#REF!</v>
      </c>
      <c r="U98" s="2">
        <f>((C98-B98)/B98)*100</f>
        <v>21.298565244162031</v>
      </c>
      <c r="V98" s="2">
        <f t="shared" ref="V98:V101" si="85">((D98-C98)/C98)*100</f>
        <v>-6.6152216587224437</v>
      </c>
      <c r="W98" s="2">
        <f t="shared" ref="W98:W101" si="86">((E98-D98)/D98)*100</f>
        <v>-47.487563788329112</v>
      </c>
      <c r="X98" s="2">
        <f t="shared" si="64"/>
        <v>18.515686080951539</v>
      </c>
      <c r="Y98" s="2">
        <f t="shared" si="65"/>
        <v>25.020173881860273</v>
      </c>
    </row>
    <row r="99" spans="1:25" s="18" customFormat="1" ht="19.5" customHeight="1" x14ac:dyDescent="0.25">
      <c r="A99" s="21" t="s">
        <v>98</v>
      </c>
      <c r="B99" s="3">
        <v>579304.51050000079</v>
      </c>
      <c r="C99" s="3">
        <v>667468.66891000082</v>
      </c>
      <c r="D99" s="3">
        <v>455740.62652999919</v>
      </c>
      <c r="E99" s="3">
        <v>280884.2338899998</v>
      </c>
      <c r="F99" s="3">
        <v>225462.85106999998</v>
      </c>
      <c r="G99" s="50">
        <v>297922.08869999996</v>
      </c>
      <c r="H99" s="31" t="e">
        <f>#REF!/#REF!*100</f>
        <v>#REF!</v>
      </c>
      <c r="I99" s="32" t="e">
        <f>#REF!/#REF!*100</f>
        <v>#REF!</v>
      </c>
      <c r="J99" s="32" t="e">
        <f>#REF!/#REF!*100</f>
        <v>#REF!</v>
      </c>
      <c r="K99" s="32">
        <f>B99/$B$6*100</f>
        <v>1.5948290105043565</v>
      </c>
      <c r="L99" s="32">
        <f t="shared" si="66"/>
        <v>1.4646245807974339</v>
      </c>
      <c r="M99" s="32">
        <f t="shared" si="84"/>
        <v>1.0260000725259009</v>
      </c>
      <c r="N99" s="32">
        <f t="shared" si="67"/>
        <v>0.99408607233960578</v>
      </c>
      <c r="O99" s="32">
        <f t="shared" si="68"/>
        <v>0.58953408271989216</v>
      </c>
      <c r="P99" s="40">
        <f t="shared" si="69"/>
        <v>0.55519744039798369</v>
      </c>
      <c r="Q99" s="32" t="e">
        <f>((#REF!-#REF!)/#REF!)*100</f>
        <v>#REF!</v>
      </c>
      <c r="R99" s="32" t="e">
        <f>((#REF!-#REF!)/#REF!)*100</f>
        <v>#REF!</v>
      </c>
      <c r="S99" s="32" t="e">
        <f>((#REF!-#REF!)/#REF!)*100</f>
        <v>#REF!</v>
      </c>
      <c r="T99" s="32" t="e">
        <f>((B99-#REF!)/#REF!)*100</f>
        <v>#REF!</v>
      </c>
      <c r="U99" s="32">
        <f>((C99-B99)/B99)*100</f>
        <v>15.218966331524864</v>
      </c>
      <c r="V99" s="32">
        <f t="shared" si="85"/>
        <v>-31.72104583212284</v>
      </c>
      <c r="W99" s="32">
        <f t="shared" si="86"/>
        <v>-38.367523644172948</v>
      </c>
      <c r="X99" s="32">
        <f t="shared" si="64"/>
        <v>-19.731040810821732</v>
      </c>
      <c r="Y99" s="32">
        <f t="shared" si="65"/>
        <v>32.137994035879288</v>
      </c>
    </row>
    <row r="100" spans="1:25" s="18" customFormat="1" ht="19.5" customHeight="1" x14ac:dyDescent="0.25">
      <c r="A100" s="21" t="s">
        <v>99</v>
      </c>
      <c r="B100" s="3">
        <v>358321.02651999978</v>
      </c>
      <c r="C100" s="3">
        <v>451458.33103000035</v>
      </c>
      <c r="D100" s="3">
        <v>575252.35700000089</v>
      </c>
      <c r="E100" s="3">
        <v>236288.22097999958</v>
      </c>
      <c r="F100" s="3">
        <v>393730.70393000013</v>
      </c>
      <c r="G100" s="50">
        <v>425866.27293999994</v>
      </c>
      <c r="H100" s="31" t="e">
        <f>#REF!/#REF!*100</f>
        <v>#REF!</v>
      </c>
      <c r="I100" s="32" t="e">
        <f>#REF!/#REF!*100</f>
        <v>#REF!</v>
      </c>
      <c r="J100" s="32" t="e">
        <f>#REF!/#REF!*100</f>
        <v>#REF!</v>
      </c>
      <c r="K100" s="32">
        <f>B100/$B$6*100</f>
        <v>0.98646007032564909</v>
      </c>
      <c r="L100" s="32">
        <f t="shared" si="66"/>
        <v>0.9906337175527854</v>
      </c>
      <c r="M100" s="32">
        <f t="shared" si="84"/>
        <v>1.2950545236586359</v>
      </c>
      <c r="N100" s="32">
        <f t="shared" si="67"/>
        <v>0.83625494489700991</v>
      </c>
      <c r="O100" s="32">
        <f t="shared" si="68"/>
        <v>1.0295162519166581</v>
      </c>
      <c r="P100" s="40">
        <f t="shared" si="69"/>
        <v>0.79362985712081946</v>
      </c>
      <c r="Q100" s="32" t="e">
        <f>((#REF!-#REF!)/#REF!)*100</f>
        <v>#REF!</v>
      </c>
      <c r="R100" s="32" t="e">
        <f>((#REF!-#REF!)/#REF!)*100</f>
        <v>#REF!</v>
      </c>
      <c r="S100" s="32" t="e">
        <f>((#REF!-#REF!)/#REF!)*100</f>
        <v>#REF!</v>
      </c>
      <c r="T100" s="32" t="e">
        <f>((B100-#REF!)/#REF!)*100</f>
        <v>#REF!</v>
      </c>
      <c r="U100" s="32">
        <f>((C100-B100)/B100)*100</f>
        <v>25.992698618483693</v>
      </c>
      <c r="V100" s="32">
        <f t="shared" si="85"/>
        <v>27.420919597953809</v>
      </c>
      <c r="W100" s="32">
        <f t="shared" si="86"/>
        <v>-58.924423671679236</v>
      </c>
      <c r="X100" s="32">
        <f t="shared" si="64"/>
        <v>66.631541046359288</v>
      </c>
      <c r="Y100" s="32">
        <f t="shared" si="65"/>
        <v>8.1618143287380143</v>
      </c>
    </row>
    <row r="101" spans="1:25" s="18" customFormat="1" ht="19.5" customHeight="1" x14ac:dyDescent="0.25">
      <c r="A101" s="21" t="s">
        <v>100</v>
      </c>
      <c r="B101" s="3">
        <v>193063.17946999986</v>
      </c>
      <c r="C101" s="3">
        <v>252582.19054000033</v>
      </c>
      <c r="D101" s="3">
        <v>249787.83392999956</v>
      </c>
      <c r="E101" s="3">
        <v>155396.75490999984</v>
      </c>
      <c r="F101" s="3">
        <v>177906.4583400001</v>
      </c>
      <c r="G101" s="50">
        <v>272747.46104999998</v>
      </c>
      <c r="H101" s="31" t="e">
        <f>#REF!/#REF!*100</f>
        <v>#REF!</v>
      </c>
      <c r="I101" s="32" t="e">
        <f>#REF!/#REF!*100</f>
        <v>#REF!</v>
      </c>
      <c r="J101" s="32" t="e">
        <f>#REF!/#REF!*100</f>
        <v>#REF!</v>
      </c>
      <c r="K101" s="32">
        <f>B101/$B$6*100</f>
        <v>0.53150416386920984</v>
      </c>
      <c r="L101" s="32">
        <f t="shared" si="66"/>
        <v>0.55424037436943241</v>
      </c>
      <c r="M101" s="32">
        <f t="shared" si="84"/>
        <v>0.56234252732655476</v>
      </c>
      <c r="N101" s="32">
        <f t="shared" si="67"/>
        <v>0.54996945753565818</v>
      </c>
      <c r="O101" s="32">
        <f t="shared" si="68"/>
        <v>0.4651849305979624</v>
      </c>
      <c r="P101" s="40">
        <f t="shared" si="69"/>
        <v>0.50828286318337956</v>
      </c>
      <c r="Q101" s="32" t="e">
        <f>((#REF!-#REF!)/#REF!)*100</f>
        <v>#REF!</v>
      </c>
      <c r="R101" s="32" t="e">
        <f>((#REF!-#REF!)/#REF!)*100</f>
        <v>#REF!</v>
      </c>
      <c r="S101" s="32" t="e">
        <f>((#REF!-#REF!)/#REF!)*100</f>
        <v>#REF!</v>
      </c>
      <c r="T101" s="32" t="e">
        <f>((B101-#REF!)/#REF!)*100</f>
        <v>#REF!</v>
      </c>
      <c r="U101" s="32">
        <f>((C101-B101)/B101)*100</f>
        <v>30.828773893288723</v>
      </c>
      <c r="V101" s="32">
        <f t="shared" si="85"/>
        <v>-1.1063157715223964</v>
      </c>
      <c r="W101" s="32">
        <f t="shared" si="86"/>
        <v>-37.788501359298323</v>
      </c>
      <c r="X101" s="32">
        <f t="shared" si="64"/>
        <v>14.485311127016171</v>
      </c>
      <c r="Y101" s="32">
        <f t="shared" si="65"/>
        <v>53.30947712350477</v>
      </c>
    </row>
    <row r="102" spans="1:25" s="18" customFormat="1" ht="19.5" customHeight="1" x14ac:dyDescent="0.25">
      <c r="A102" s="19" t="s">
        <v>101</v>
      </c>
      <c r="B102" s="3"/>
      <c r="C102" s="3"/>
      <c r="D102" s="3"/>
      <c r="E102" s="3"/>
      <c r="F102" s="3"/>
      <c r="G102" s="50"/>
      <c r="H102" s="31"/>
      <c r="I102" s="32"/>
      <c r="J102" s="32"/>
      <c r="K102" s="32"/>
      <c r="L102" s="32"/>
      <c r="M102" s="32">
        <f t="shared" si="84"/>
        <v>0</v>
      </c>
      <c r="N102" s="32">
        <f t="shared" si="67"/>
        <v>0</v>
      </c>
      <c r="O102" s="32">
        <f t="shared" si="68"/>
        <v>0</v>
      </c>
      <c r="P102" s="40">
        <f t="shared" si="69"/>
        <v>0</v>
      </c>
      <c r="Q102" s="2"/>
      <c r="R102" s="2"/>
      <c r="S102" s="32"/>
      <c r="T102" s="32"/>
      <c r="U102" s="32"/>
      <c r="V102" s="32"/>
      <c r="W102" s="32"/>
      <c r="X102" s="32"/>
      <c r="Y102" s="32"/>
    </row>
    <row r="103" spans="1:25" s="18" customFormat="1" ht="19.5" customHeight="1" x14ac:dyDescent="0.25">
      <c r="A103" s="33" t="s">
        <v>102</v>
      </c>
      <c r="B103" s="20">
        <f t="shared" ref="B103:G103" si="87">SUM(B104)</f>
        <v>10434.367360000002</v>
      </c>
      <c r="C103" s="20">
        <f t="shared" si="87"/>
        <v>13897.489099999979</v>
      </c>
      <c r="D103" s="20">
        <f t="shared" si="87"/>
        <v>18651.156210000005</v>
      </c>
      <c r="E103" s="20">
        <f t="shared" si="87"/>
        <v>12176.756660000017</v>
      </c>
      <c r="F103" s="20">
        <f t="shared" si="87"/>
        <v>21920.566869999999</v>
      </c>
      <c r="G103" s="49">
        <f t="shared" si="87"/>
        <v>26141.622799999986</v>
      </c>
      <c r="H103" s="45" t="e">
        <f>#REF!/#REF!*100</f>
        <v>#REF!</v>
      </c>
      <c r="I103" s="2" t="e">
        <f>#REF!/#REF!*100</f>
        <v>#REF!</v>
      </c>
      <c r="J103" s="2" t="e">
        <f>#REF!/#REF!*100</f>
        <v>#REF!</v>
      </c>
      <c r="K103" s="32">
        <f>B103/$B$6*100</f>
        <v>2.8725879861741094E-2</v>
      </c>
      <c r="L103" s="32">
        <f t="shared" si="66"/>
        <v>3.0495220368117266E-2</v>
      </c>
      <c r="M103" s="32">
        <f t="shared" si="84"/>
        <v>4.1988987836905689E-2</v>
      </c>
      <c r="N103" s="32">
        <f t="shared" si="67"/>
        <v>4.3095135794325244E-2</v>
      </c>
      <c r="O103" s="32">
        <f t="shared" si="68"/>
        <v>5.7317297377709894E-2</v>
      </c>
      <c r="P103" s="40">
        <f t="shared" si="69"/>
        <v>4.8716636385510027E-2</v>
      </c>
      <c r="Q103" s="2" t="e">
        <f>((#REF!-#REF!)/#REF!)*100</f>
        <v>#REF!</v>
      </c>
      <c r="R103" s="2" t="e">
        <f>((#REF!-#REF!)/#REF!)*100</f>
        <v>#REF!</v>
      </c>
      <c r="S103" s="2" t="e">
        <f>((#REF!-#REF!)/#REF!)*100</f>
        <v>#REF!</v>
      </c>
      <c r="T103" s="2" t="e">
        <f>((B103-#REF!)/#REF!)*100</f>
        <v>#REF!</v>
      </c>
      <c r="U103" s="2">
        <f>((C103-B103)/B103)*100</f>
        <v>33.189570776238959</v>
      </c>
      <c r="V103" s="2">
        <f t="shared" ref="V103:V104" si="88">((D103-C103)/C103)*100</f>
        <v>34.205222798124254</v>
      </c>
      <c r="W103" s="2">
        <f t="shared" ref="W103:W104" si="89">((E103-D103)/D103)*100</f>
        <v>-34.713127042111594</v>
      </c>
      <c r="X103" s="2">
        <f t="shared" si="64"/>
        <v>80.019749774649497</v>
      </c>
      <c r="Y103" s="2">
        <f t="shared" si="65"/>
        <v>19.256144036023226</v>
      </c>
    </row>
    <row r="104" spans="1:25" s="18" customFormat="1" ht="19.5" customHeight="1" x14ac:dyDescent="0.25">
      <c r="A104" s="22" t="s">
        <v>103</v>
      </c>
      <c r="B104" s="3">
        <v>10434.367360000002</v>
      </c>
      <c r="C104" s="3">
        <v>13897.489099999979</v>
      </c>
      <c r="D104" s="3">
        <v>18651.156210000005</v>
      </c>
      <c r="E104" s="3">
        <v>12176.756660000017</v>
      </c>
      <c r="F104" s="3">
        <v>21920.566869999999</v>
      </c>
      <c r="G104" s="50">
        <v>26141.622799999986</v>
      </c>
      <c r="H104" s="31" t="e">
        <f>#REF!/#REF!*100</f>
        <v>#REF!</v>
      </c>
      <c r="I104" s="32" t="e">
        <f>#REF!/#REF!*100</f>
        <v>#REF!</v>
      </c>
      <c r="J104" s="32" t="e">
        <f>#REF!/#REF!*100</f>
        <v>#REF!</v>
      </c>
      <c r="K104" s="32">
        <f>B104/$B$6*100</f>
        <v>2.8725879861741094E-2</v>
      </c>
      <c r="L104" s="32">
        <f t="shared" si="66"/>
        <v>3.0495220368117266E-2</v>
      </c>
      <c r="M104" s="32">
        <f t="shared" si="84"/>
        <v>4.1988987836905689E-2</v>
      </c>
      <c r="N104" s="32">
        <f t="shared" si="67"/>
        <v>4.3095135794325244E-2</v>
      </c>
      <c r="O104" s="32">
        <f t="shared" si="68"/>
        <v>5.7317297377709894E-2</v>
      </c>
      <c r="P104" s="40">
        <f t="shared" si="69"/>
        <v>4.8716636385510027E-2</v>
      </c>
      <c r="Q104" s="32" t="e">
        <f>((#REF!-#REF!)/#REF!)*100</f>
        <v>#REF!</v>
      </c>
      <c r="R104" s="32" t="e">
        <f>((#REF!-#REF!)/#REF!)*100</f>
        <v>#REF!</v>
      </c>
      <c r="S104" s="32" t="e">
        <f>((#REF!-#REF!)/#REF!)*100</f>
        <v>#REF!</v>
      </c>
      <c r="T104" s="32" t="e">
        <f>((B104-#REF!)/#REF!)*100</f>
        <v>#REF!</v>
      </c>
      <c r="U104" s="32">
        <f>((C104-B104)/B104)*100</f>
        <v>33.189570776238959</v>
      </c>
      <c r="V104" s="32">
        <f t="shared" si="88"/>
        <v>34.205222798124254</v>
      </c>
      <c r="W104" s="32">
        <f t="shared" si="89"/>
        <v>-34.713127042111594</v>
      </c>
      <c r="X104" s="32">
        <f t="shared" si="64"/>
        <v>80.019749774649497</v>
      </c>
      <c r="Y104" s="32">
        <f t="shared" si="65"/>
        <v>19.256144036023226</v>
      </c>
    </row>
    <row r="105" spans="1:25" s="18" customFormat="1" ht="24.75" customHeight="1" x14ac:dyDescent="0.25">
      <c r="A105" s="19" t="s">
        <v>104</v>
      </c>
      <c r="B105" s="3"/>
      <c r="C105" s="3"/>
      <c r="D105" s="3"/>
      <c r="E105" s="3"/>
      <c r="F105" s="3"/>
      <c r="G105" s="50"/>
      <c r="H105" s="31"/>
      <c r="I105" s="32"/>
      <c r="J105" s="32"/>
      <c r="K105" s="2"/>
      <c r="L105" s="2"/>
      <c r="M105" s="2"/>
      <c r="N105" s="2"/>
      <c r="O105" s="2"/>
      <c r="P105" s="46"/>
      <c r="Q105" s="2"/>
      <c r="R105" s="2"/>
      <c r="S105" s="32"/>
      <c r="T105" s="32"/>
      <c r="U105" s="32"/>
      <c r="V105" s="32"/>
      <c r="W105" s="32"/>
      <c r="X105" s="32"/>
      <c r="Y105" s="32"/>
    </row>
    <row r="106" spans="1:25" s="18" customFormat="1" ht="19.5" customHeight="1" x14ac:dyDescent="0.25">
      <c r="A106" s="33" t="s">
        <v>105</v>
      </c>
      <c r="B106" s="20">
        <f t="shared" ref="B106:C106" si="90">SUM(B107:B117)</f>
        <v>2868827.1141699986</v>
      </c>
      <c r="C106" s="20">
        <f t="shared" si="90"/>
        <v>4039401.2743100077</v>
      </c>
      <c r="D106" s="20">
        <f t="shared" ref="D106:E106" si="91">SUM(D107:D117)</f>
        <v>3759745.2674399982</v>
      </c>
      <c r="E106" s="20">
        <f t="shared" si="91"/>
        <v>1843482.5763799991</v>
      </c>
      <c r="F106" s="20">
        <f t="shared" ref="F106:G106" si="92">SUM(F107:F117)</f>
        <v>2175451.7305300008</v>
      </c>
      <c r="G106" s="49">
        <f t="shared" si="92"/>
        <v>3710365.895560002</v>
      </c>
      <c r="H106" s="45" t="e">
        <f>#REF!/#REF!*100</f>
        <v>#REF!</v>
      </c>
      <c r="I106" s="2" t="e">
        <f>#REF!/#REF!*100</f>
        <v>#REF!</v>
      </c>
      <c r="J106" s="2" t="e">
        <f>#REF!/#REF!*100</f>
        <v>#REF!</v>
      </c>
      <c r="K106" s="2">
        <f>B106/$B$6*100</f>
        <v>7.8978993342393471</v>
      </c>
      <c r="L106" s="2">
        <f t="shared" si="66"/>
        <v>8.863646600401907</v>
      </c>
      <c r="M106" s="2">
        <f t="shared" ref="M106:M117" si="93">D106/$D$6*100</f>
        <v>8.4642419229623602</v>
      </c>
      <c r="N106" s="2">
        <f t="shared" si="67"/>
        <v>6.524326155300578</v>
      </c>
      <c r="O106" s="2">
        <f t="shared" si="68"/>
        <v>5.6883115527587487</v>
      </c>
      <c r="P106" s="46">
        <f t="shared" si="69"/>
        <v>6.9145112977146148</v>
      </c>
      <c r="Q106" s="2" t="e">
        <f>((#REF!-#REF!)/#REF!)*100</f>
        <v>#REF!</v>
      </c>
      <c r="R106" s="2" t="e">
        <f>((#REF!-#REF!)/#REF!)*100</f>
        <v>#REF!</v>
      </c>
      <c r="S106" s="2" t="e">
        <f>((#REF!-#REF!)/#REF!)*100</f>
        <v>#REF!</v>
      </c>
      <c r="T106" s="2" t="e">
        <f>((B106-#REF!)/#REF!)*100</f>
        <v>#REF!</v>
      </c>
      <c r="U106" s="2">
        <f>((C106-B106)/B106)*100</f>
        <v>40.803231200590368</v>
      </c>
      <c r="V106" s="2">
        <f t="shared" ref="V106:V117" si="94">((D106-C106)/C106)*100</f>
        <v>-6.9232044028054398</v>
      </c>
      <c r="W106" s="2">
        <f t="shared" ref="W106:W117" si="95">((E106-D106)/D106)*100</f>
        <v>-50.967886246314173</v>
      </c>
      <c r="X106" s="2">
        <f t="shared" si="64"/>
        <v>18.007718565036903</v>
      </c>
      <c r="Y106" s="2">
        <f t="shared" si="65"/>
        <v>70.556112254260555</v>
      </c>
    </row>
    <row r="107" spans="1:25" s="18" customFormat="1" ht="19.5" customHeight="1" x14ac:dyDescent="0.25">
      <c r="A107" s="21" t="s">
        <v>106</v>
      </c>
      <c r="B107" s="3">
        <v>1067062.4173099999</v>
      </c>
      <c r="C107" s="3">
        <v>1351449.9675500039</v>
      </c>
      <c r="D107" s="3">
        <v>964691.34237999853</v>
      </c>
      <c r="E107" s="3">
        <v>472118.20646999998</v>
      </c>
      <c r="F107" s="3">
        <v>584199.14794000005</v>
      </c>
      <c r="G107" s="50">
        <v>1276849.7488099998</v>
      </c>
      <c r="H107" s="31" t="e">
        <f>#REF!/#REF!*100</f>
        <v>#REF!</v>
      </c>
      <c r="I107" s="32" t="e">
        <f>#REF!/#REF!*100</f>
        <v>#REF!</v>
      </c>
      <c r="J107" s="32" t="e">
        <f>#REF!/#REF!*100</f>
        <v>#REF!</v>
      </c>
      <c r="K107" s="32">
        <f>B107/$B$6*100</f>
        <v>2.9376296374355459</v>
      </c>
      <c r="L107" s="32">
        <f t="shared" si="66"/>
        <v>2.9654827775272263</v>
      </c>
      <c r="M107" s="32">
        <f t="shared" si="93"/>
        <v>2.171790991694341</v>
      </c>
      <c r="N107" s="32">
        <f t="shared" si="67"/>
        <v>1.6708881344104896</v>
      </c>
      <c r="O107" s="32">
        <f t="shared" si="68"/>
        <v>1.5275479183026128</v>
      </c>
      <c r="P107" s="40">
        <f t="shared" si="69"/>
        <v>2.3794936300475809</v>
      </c>
      <c r="Q107" s="32" t="e">
        <f>((#REF!-#REF!)/#REF!)*100</f>
        <v>#REF!</v>
      </c>
      <c r="R107" s="32" t="e">
        <f>((#REF!-#REF!)/#REF!)*100</f>
        <v>#REF!</v>
      </c>
      <c r="S107" s="32" t="e">
        <f>((#REF!-#REF!)/#REF!)*100</f>
        <v>#REF!</v>
      </c>
      <c r="T107" s="32" t="e">
        <f>((B107-#REF!)/#REF!)*100</f>
        <v>#REF!</v>
      </c>
      <c r="U107" s="32">
        <f>((C107-B107)/B107)*100</f>
        <v>26.651444716507573</v>
      </c>
      <c r="V107" s="32">
        <f t="shared" si="94"/>
        <v>-28.618049832147797</v>
      </c>
      <c r="W107" s="32">
        <f t="shared" si="95"/>
        <v>-51.060180004805169</v>
      </c>
      <c r="X107" s="32">
        <f t="shared" si="64"/>
        <v>23.740016786902306</v>
      </c>
      <c r="Y107" s="35" t="s">
        <v>148</v>
      </c>
    </row>
    <row r="108" spans="1:25" s="18" customFormat="1" ht="19.5" customHeight="1" x14ac:dyDescent="0.25">
      <c r="A108" s="21" t="s">
        <v>107</v>
      </c>
      <c r="B108" s="3">
        <v>1145467.6923199981</v>
      </c>
      <c r="C108" s="3">
        <v>1781485.3661200025</v>
      </c>
      <c r="D108" s="3">
        <v>1733508.3731599981</v>
      </c>
      <c r="E108" s="3">
        <v>846358.36160999897</v>
      </c>
      <c r="F108" s="3">
        <v>924873.48837000004</v>
      </c>
      <c r="G108" s="50">
        <v>1655769.062340002</v>
      </c>
      <c r="H108" s="31" t="e">
        <f>#REF!/#REF!*100</f>
        <v>#REF!</v>
      </c>
      <c r="I108" s="32" t="e">
        <f>#REF!/#REF!*100</f>
        <v>#REF!</v>
      </c>
      <c r="J108" s="32" t="e">
        <f>#REF!/#REF!*100</f>
        <v>#REF!</v>
      </c>
      <c r="K108" s="32">
        <f>B108/$B$6*100</f>
        <v>3.1534798593759761</v>
      </c>
      <c r="L108" s="32">
        <f t="shared" si="66"/>
        <v>3.9091082159874202</v>
      </c>
      <c r="M108" s="32">
        <f t="shared" si="93"/>
        <v>3.9026139278573608</v>
      </c>
      <c r="N108" s="32">
        <f t="shared" si="67"/>
        <v>2.9953730326286641</v>
      </c>
      <c r="O108" s="32">
        <f t="shared" si="68"/>
        <v>2.4183338452899785</v>
      </c>
      <c r="P108" s="40">
        <f t="shared" si="69"/>
        <v>3.0856347352848656</v>
      </c>
      <c r="Q108" s="32" t="e">
        <f>((#REF!-#REF!)/#REF!)*100</f>
        <v>#REF!</v>
      </c>
      <c r="R108" s="32" t="e">
        <f>((#REF!-#REF!)/#REF!)*100</f>
        <v>#REF!</v>
      </c>
      <c r="S108" s="32" t="e">
        <f>((#REF!-#REF!)/#REF!)*100</f>
        <v>#REF!</v>
      </c>
      <c r="T108" s="32" t="e">
        <f>((B108-#REF!)/#REF!)*100</f>
        <v>#REF!</v>
      </c>
      <c r="U108" s="32">
        <f>((C108-B108)/B108)*100</f>
        <v>55.524715194003605</v>
      </c>
      <c r="V108" s="32">
        <f t="shared" si="94"/>
        <v>-2.6930893664591906</v>
      </c>
      <c r="W108" s="32">
        <f t="shared" si="95"/>
        <v>-51.176563395123424</v>
      </c>
      <c r="X108" s="32">
        <f t="shared" si="64"/>
        <v>9.2768182275229591</v>
      </c>
      <c r="Y108" s="32">
        <f t="shared" si="65"/>
        <v>79.026546134232333</v>
      </c>
    </row>
    <row r="109" spans="1:25" s="18" customFormat="1" ht="19.5" customHeight="1" x14ac:dyDescent="0.25">
      <c r="A109" s="21" t="s">
        <v>108</v>
      </c>
      <c r="B109" s="3">
        <v>54456.692569999985</v>
      </c>
      <c r="C109" s="3">
        <v>69677.33632000006</v>
      </c>
      <c r="D109" s="3">
        <v>55759.681729999989</v>
      </c>
      <c r="E109" s="3">
        <v>44984.479639999969</v>
      </c>
      <c r="F109" s="3">
        <v>37285.88905000002</v>
      </c>
      <c r="G109" s="50">
        <v>55031.36899000001</v>
      </c>
      <c r="H109" s="31" t="e">
        <f>#REF!/#REF!*100</f>
        <v>#REF!</v>
      </c>
      <c r="I109" s="32" t="e">
        <f>#REF!/#REF!*100</f>
        <v>#REF!</v>
      </c>
      <c r="J109" s="32" t="e">
        <f>#REF!/#REF!*100</f>
        <v>#REF!</v>
      </c>
      <c r="K109" s="32">
        <f>B109/$B$6*100</f>
        <v>0.14991962180959556</v>
      </c>
      <c r="L109" s="32">
        <f t="shared" si="66"/>
        <v>0.15289277872085727</v>
      </c>
      <c r="M109" s="32">
        <f t="shared" si="93"/>
        <v>0.12553069480461454</v>
      </c>
      <c r="N109" s="32">
        <f t="shared" si="67"/>
        <v>0.15920596205154477</v>
      </c>
      <c r="O109" s="32">
        <f t="shared" si="68"/>
        <v>9.7494120628603465E-2</v>
      </c>
      <c r="P109" s="40">
        <f t="shared" si="69"/>
        <v>0.10255458176386296</v>
      </c>
      <c r="Q109" s="32" t="e">
        <f>((#REF!-#REF!)/#REF!)*100</f>
        <v>#REF!</v>
      </c>
      <c r="R109" s="32" t="e">
        <f>((#REF!-#REF!)/#REF!)*100</f>
        <v>#REF!</v>
      </c>
      <c r="S109" s="32" t="e">
        <f>((#REF!-#REF!)/#REF!)*100</f>
        <v>#REF!</v>
      </c>
      <c r="T109" s="32" t="e">
        <f>((B109-#REF!)/#REF!)*100</f>
        <v>#REF!</v>
      </c>
      <c r="U109" s="32">
        <f>((C109-B109)/B109)*100</f>
        <v>27.949996651807457</v>
      </c>
      <c r="V109" s="32">
        <f t="shared" si="94"/>
        <v>-19.974435483701424</v>
      </c>
      <c r="W109" s="32">
        <f t="shared" si="95"/>
        <v>-19.324360820737457</v>
      </c>
      <c r="X109" s="32">
        <f t="shared" si="64"/>
        <v>-17.113881613414065</v>
      </c>
      <c r="Y109" s="32">
        <f t="shared" si="65"/>
        <v>47.593018142073724</v>
      </c>
    </row>
    <row r="110" spans="1:25" s="18" customFormat="1" ht="19.5" customHeight="1" x14ac:dyDescent="0.25">
      <c r="A110" s="21" t="s">
        <v>109</v>
      </c>
      <c r="B110" s="3">
        <v>166.80698999999998</v>
      </c>
      <c r="C110" s="3">
        <v>384.23039999999997</v>
      </c>
      <c r="D110" s="3">
        <v>116.50547</v>
      </c>
      <c r="E110" s="3">
        <v>11.379250000000001</v>
      </c>
      <c r="F110" s="3">
        <v>188.07728</v>
      </c>
      <c r="G110" s="50">
        <v>592.79</v>
      </c>
      <c r="H110" s="31" t="e">
        <f>#REF!/#REF!*100</f>
        <v>#REF!</v>
      </c>
      <c r="I110" s="32" t="e">
        <f>#REF!/#REF!*100</f>
        <v>#REF!</v>
      </c>
      <c r="J110" s="32" t="e">
        <f>#REF!/#REF!*100</f>
        <v>#REF!</v>
      </c>
      <c r="K110" s="32">
        <f>B110/$B$6*100</f>
        <v>4.5922070687366018E-4</v>
      </c>
      <c r="L110" s="32">
        <f t="shared" si="66"/>
        <v>8.4311566181619524E-4</v>
      </c>
      <c r="M110" s="32">
        <f t="shared" si="93"/>
        <v>2.6228651498506639E-4</v>
      </c>
      <c r="N110" s="32">
        <f t="shared" si="67"/>
        <v>4.0272655328531048E-5</v>
      </c>
      <c r="O110" s="32">
        <f t="shared" si="68"/>
        <v>4.9177931627781906E-4</v>
      </c>
      <c r="P110" s="40">
        <f t="shared" si="69"/>
        <v>1.1047032199916259E-3</v>
      </c>
      <c r="Q110" s="32" t="e">
        <f>((#REF!-#REF!)/#REF!)*100</f>
        <v>#REF!</v>
      </c>
      <c r="R110" s="32" t="e">
        <f>((#REF!-#REF!)/#REF!)*100</f>
        <v>#REF!</v>
      </c>
      <c r="S110" s="32" t="e">
        <f>((#REF!-#REF!)/#REF!)*100</f>
        <v>#REF!</v>
      </c>
      <c r="T110" s="35" t="s">
        <v>148</v>
      </c>
      <c r="U110" s="35" t="s">
        <v>148</v>
      </c>
      <c r="V110" s="32">
        <f t="shared" si="94"/>
        <v>-69.678226918015852</v>
      </c>
      <c r="W110" s="35">
        <f t="shared" si="95"/>
        <v>-90.232862027851567</v>
      </c>
      <c r="X110" s="35" t="s">
        <v>148</v>
      </c>
      <c r="Y110" s="35" t="s">
        <v>148</v>
      </c>
    </row>
    <row r="111" spans="1:25" s="18" customFormat="1" ht="19.5" customHeight="1" x14ac:dyDescent="0.25">
      <c r="A111" s="21" t="s">
        <v>110</v>
      </c>
      <c r="B111" s="3">
        <v>332788.92783000099</v>
      </c>
      <c r="C111" s="3">
        <v>484529.88132000132</v>
      </c>
      <c r="D111" s="3">
        <v>659848.04732000164</v>
      </c>
      <c r="E111" s="3">
        <v>256195.34781000004</v>
      </c>
      <c r="F111" s="3">
        <v>367066.86627000035</v>
      </c>
      <c r="G111" s="50">
        <v>380530.97257000022</v>
      </c>
      <c r="H111" s="31" t="e">
        <f>#REF!/#REF!*100</f>
        <v>#REF!</v>
      </c>
      <c r="I111" s="32" t="e">
        <f>#REF!/#REF!*100</f>
        <v>#REF!</v>
      </c>
      <c r="J111" s="32" t="e">
        <f>#REF!/#REF!*100</f>
        <v>#REF!</v>
      </c>
      <c r="K111" s="32">
        <f>B111/$B$6*100</f>
        <v>0.9161700398635606</v>
      </c>
      <c r="L111" s="32">
        <f t="shared" si="66"/>
        <v>1.0632025252526494</v>
      </c>
      <c r="M111" s="32">
        <f t="shared" si="93"/>
        <v>1.4855031678020303</v>
      </c>
      <c r="N111" s="32">
        <f t="shared" si="67"/>
        <v>0.90670887265199906</v>
      </c>
      <c r="O111" s="32">
        <f t="shared" si="68"/>
        <v>0.95979638009706636</v>
      </c>
      <c r="P111" s="40">
        <f t="shared" si="69"/>
        <v>0.70914453803981903</v>
      </c>
      <c r="Q111" s="32" t="e">
        <f>((#REF!-#REF!)/#REF!)*100</f>
        <v>#REF!</v>
      </c>
      <c r="R111" s="32" t="e">
        <f>((#REF!-#REF!)/#REF!)*100</f>
        <v>#REF!</v>
      </c>
      <c r="S111" s="32" t="e">
        <f>((#REF!-#REF!)/#REF!)*100</f>
        <v>#REF!</v>
      </c>
      <c r="T111" s="32" t="e">
        <f>((B111-#REF!)/#REF!)*100</f>
        <v>#REF!</v>
      </c>
      <c r="U111" s="32">
        <f>((C111-B111)/B111)*100</f>
        <v>45.596755420755578</v>
      </c>
      <c r="V111" s="32">
        <f t="shared" si="94"/>
        <v>36.183148399925777</v>
      </c>
      <c r="W111" s="32">
        <f t="shared" si="95"/>
        <v>-61.173584001567129</v>
      </c>
      <c r="X111" s="32">
        <f t="shared" si="64"/>
        <v>43.276163836599018</v>
      </c>
      <c r="Y111" s="32">
        <f t="shared" si="65"/>
        <v>3.6680255117595353</v>
      </c>
    </row>
    <row r="112" spans="1:25" s="18" customFormat="1" ht="19.5" customHeight="1" x14ac:dyDescent="0.25">
      <c r="A112" s="21" t="s">
        <v>111</v>
      </c>
      <c r="B112" s="3">
        <v>2389.01577</v>
      </c>
      <c r="C112" s="3">
        <v>1063.2065000000002</v>
      </c>
      <c r="D112" s="3">
        <v>4797.1938399999999</v>
      </c>
      <c r="E112" s="3">
        <v>1997.8949100000002</v>
      </c>
      <c r="F112" s="3">
        <v>2650.3735999999999</v>
      </c>
      <c r="G112" s="50">
        <v>3015.0973300000001</v>
      </c>
      <c r="H112" s="31" t="e">
        <f>#REF!/#REF!*100</f>
        <v>#REF!</v>
      </c>
      <c r="I112" s="32" t="e">
        <f>#REF!/#REF!*100</f>
        <v>#REF!</v>
      </c>
      <c r="J112" s="32" t="e">
        <f>#REF!/#REF!*100</f>
        <v>#REF!</v>
      </c>
      <c r="K112" s="32">
        <f>B112/$B$6*100</f>
        <v>6.5769756449158496E-3</v>
      </c>
      <c r="L112" s="32">
        <f t="shared" si="66"/>
        <v>2.3329909655633208E-3</v>
      </c>
      <c r="M112" s="32">
        <f t="shared" si="93"/>
        <v>1.0799829862077963E-2</v>
      </c>
      <c r="N112" s="32">
        <f t="shared" si="67"/>
        <v>7.0708116170271808E-3</v>
      </c>
      <c r="O112" s="32">
        <f t="shared" si="68"/>
        <v>6.930124238763883E-3</v>
      </c>
      <c r="P112" s="40">
        <f t="shared" si="69"/>
        <v>5.6188325191706238E-3</v>
      </c>
      <c r="Q112" s="32" t="e">
        <f>((#REF!-#REF!)/#REF!)*100</f>
        <v>#REF!</v>
      </c>
      <c r="R112" s="32" t="e">
        <f>((#REF!-#REF!)/#REF!)*100</f>
        <v>#REF!</v>
      </c>
      <c r="S112" s="32" t="e">
        <f>((#REF!-#REF!)/#REF!)*100</f>
        <v>#REF!</v>
      </c>
      <c r="T112" s="32" t="e">
        <f>((B112-#REF!)/#REF!)*100</f>
        <v>#REF!</v>
      </c>
      <c r="U112" s="32">
        <f>((C112-B112)/B112)*100</f>
        <v>-55.496045134938555</v>
      </c>
      <c r="V112" s="35" t="s">
        <v>148</v>
      </c>
      <c r="W112" s="32">
        <f t="shared" si="95"/>
        <v>-58.352841752169013</v>
      </c>
      <c r="X112" s="35">
        <f t="shared" si="64"/>
        <v>32.658308839677645</v>
      </c>
      <c r="Y112" s="35">
        <f t="shared" si="65"/>
        <v>13.761219550330573</v>
      </c>
    </row>
    <row r="113" spans="1:25" s="18" customFormat="1" ht="19.5" customHeight="1" x14ac:dyDescent="0.25">
      <c r="A113" s="21" t="s">
        <v>112</v>
      </c>
      <c r="B113" s="3">
        <v>8086.9538899999998</v>
      </c>
      <c r="C113" s="3">
        <v>5826.4840899999999</v>
      </c>
      <c r="D113" s="3">
        <v>10457.172800000004</v>
      </c>
      <c r="E113" s="3">
        <v>5434.1904000000022</v>
      </c>
      <c r="F113" s="3">
        <v>4752.8268499999995</v>
      </c>
      <c r="G113" s="50">
        <v>9457.4016699999993</v>
      </c>
      <c r="H113" s="31" t="e">
        <f>#REF!/#REF!*100</f>
        <v>#REF!</v>
      </c>
      <c r="I113" s="32" t="e">
        <f>#REF!/#REF!*100</f>
        <v>#REF!</v>
      </c>
      <c r="J113" s="32" t="e">
        <f>#REF!/#REF!*100</f>
        <v>#REF!</v>
      </c>
      <c r="K113" s="32">
        <f>B113/$B$6*100</f>
        <v>2.2263435613942173E-2</v>
      </c>
      <c r="L113" s="32">
        <f t="shared" si="66"/>
        <v>1.2785037283884573E-2</v>
      </c>
      <c r="M113" s="32">
        <f t="shared" si="93"/>
        <v>2.3542031205132513E-2</v>
      </c>
      <c r="N113" s="32">
        <f t="shared" si="67"/>
        <v>1.9232311177697328E-2</v>
      </c>
      <c r="O113" s="32">
        <f t="shared" si="68"/>
        <v>1.2427561365625129E-2</v>
      </c>
      <c r="P113" s="40">
        <f t="shared" si="69"/>
        <v>1.7624491097358558E-2</v>
      </c>
      <c r="Q113" s="32" t="e">
        <f>((#REF!-#REF!)/#REF!)*100</f>
        <v>#REF!</v>
      </c>
      <c r="R113" s="32" t="e">
        <f>((#REF!-#REF!)/#REF!)*100</f>
        <v>#REF!</v>
      </c>
      <c r="S113" s="35" t="s">
        <v>148</v>
      </c>
      <c r="T113" s="32" t="e">
        <f>((B113-#REF!)/#REF!)*100</f>
        <v>#REF!</v>
      </c>
      <c r="U113" s="32">
        <f>((C113-B113)/B113)*100</f>
        <v>-27.952055010418764</v>
      </c>
      <c r="V113" s="32">
        <f t="shared" si="94"/>
        <v>79.476552900018376</v>
      </c>
      <c r="W113" s="32">
        <f t="shared" si="95"/>
        <v>-48.033847159913051</v>
      </c>
      <c r="X113" s="32">
        <f t="shared" si="64"/>
        <v>-12.538455590367287</v>
      </c>
      <c r="Y113" s="32">
        <f t="shared" si="65"/>
        <v>98.984771978385879</v>
      </c>
    </row>
    <row r="114" spans="1:25" s="18" customFormat="1" ht="19.5" customHeight="1" x14ac:dyDescent="0.25">
      <c r="A114" s="21" t="s">
        <v>113</v>
      </c>
      <c r="B114" s="3">
        <v>10494.845800000003</v>
      </c>
      <c r="C114" s="3">
        <v>9084.5108700000001</v>
      </c>
      <c r="D114" s="3">
        <v>12283.600630000004</v>
      </c>
      <c r="E114" s="3">
        <v>12841.797680000001</v>
      </c>
      <c r="F114" s="3">
        <v>533.79108000000008</v>
      </c>
      <c r="G114" s="50">
        <v>7536.3630599999997</v>
      </c>
      <c r="H114" s="31" t="e">
        <f>#REF!/#REF!*100</f>
        <v>#REF!</v>
      </c>
      <c r="I114" s="32" t="e">
        <f>#REF!/#REF!*100</f>
        <v>#REF!</v>
      </c>
      <c r="J114" s="32" t="e">
        <f>#REF!/#REF!*100</f>
        <v>#REF!</v>
      </c>
      <c r="K114" s="32">
        <f>B114/$B$6*100</f>
        <v>2.8892377392614455E-2</v>
      </c>
      <c r="L114" s="32">
        <f t="shared" si="66"/>
        <v>1.9934116078364622E-2</v>
      </c>
      <c r="M114" s="32">
        <f t="shared" si="93"/>
        <v>2.7653832911974579E-2</v>
      </c>
      <c r="N114" s="32">
        <f t="shared" si="67"/>
        <v>4.5448803020003044E-2</v>
      </c>
      <c r="O114" s="32">
        <f t="shared" si="68"/>
        <v>1.395742284010055E-3</v>
      </c>
      <c r="P114" s="40">
        <f t="shared" si="69"/>
        <v>1.4044509083162574E-2</v>
      </c>
      <c r="Q114" s="32" t="e">
        <f>((#REF!-#REF!)/#REF!)*100</f>
        <v>#REF!</v>
      </c>
      <c r="R114" s="32" t="e">
        <f>((#REF!-#REF!)/#REF!)*100</f>
        <v>#REF!</v>
      </c>
      <c r="S114" s="32" t="e">
        <f>((#REF!-#REF!)/#REF!)*100</f>
        <v>#REF!</v>
      </c>
      <c r="T114" s="35" t="s">
        <v>148</v>
      </c>
      <c r="U114" s="32">
        <f>((C114-B114)/B114)*100</f>
        <v>-13.438357807982298</v>
      </c>
      <c r="V114" s="32">
        <f t="shared" si="94"/>
        <v>35.214771667723312</v>
      </c>
      <c r="W114" s="32">
        <f t="shared" si="95"/>
        <v>4.5442461605005535</v>
      </c>
      <c r="X114" s="32">
        <f t="shared" si="64"/>
        <v>-95.843330557751003</v>
      </c>
      <c r="Y114" s="35" t="s">
        <v>148</v>
      </c>
    </row>
    <row r="115" spans="1:25" s="18" customFormat="1" ht="19.5" customHeight="1" x14ac:dyDescent="0.25">
      <c r="A115" s="21" t="s">
        <v>114</v>
      </c>
      <c r="B115" s="3">
        <v>3347.6352699999998</v>
      </c>
      <c r="C115" s="3">
        <v>5580.4575199999999</v>
      </c>
      <c r="D115" s="3">
        <v>2684.3155999999994</v>
      </c>
      <c r="E115" s="3">
        <v>530.28395000000012</v>
      </c>
      <c r="F115" s="3">
        <v>133.21698999999998</v>
      </c>
      <c r="G115" s="50">
        <v>375.22291999999993</v>
      </c>
      <c r="H115" s="31" t="e">
        <f>#REF!/#REF!*100</f>
        <v>#REF!</v>
      </c>
      <c r="I115" s="32" t="e">
        <f>#REF!/#REF!*100</f>
        <v>#REF!</v>
      </c>
      <c r="J115" s="32" t="e">
        <f>#REF!/#REF!*100</f>
        <v>#REF!</v>
      </c>
      <c r="K115" s="32">
        <f>B115/$B$6*100</f>
        <v>9.2160612396674519E-3</v>
      </c>
      <c r="L115" s="32">
        <f t="shared" si="66"/>
        <v>1.2245181888814535E-2</v>
      </c>
      <c r="M115" s="32">
        <f t="shared" si="93"/>
        <v>6.0431478783274928E-3</v>
      </c>
      <c r="N115" s="32">
        <f t="shared" si="67"/>
        <v>1.8767443148363903E-3</v>
      </c>
      <c r="O115" s="32">
        <f t="shared" si="68"/>
        <v>3.4833213378452222E-4</v>
      </c>
      <c r="P115" s="40">
        <f t="shared" si="69"/>
        <v>6.9925263236333306E-4</v>
      </c>
      <c r="Q115" s="32" t="e">
        <f>((#REF!-#REF!)/#REF!)*100</f>
        <v>#REF!</v>
      </c>
      <c r="R115" s="35" t="s">
        <v>148</v>
      </c>
      <c r="S115" s="35" t="s">
        <v>148</v>
      </c>
      <c r="T115" s="32" t="e">
        <f>((B115-#REF!)/#REF!)*100</f>
        <v>#REF!</v>
      </c>
      <c r="U115" s="32">
        <f>((C115-B115)/B115)*100</f>
        <v>66.698492216566962</v>
      </c>
      <c r="V115" s="32">
        <f t="shared" si="94"/>
        <v>-51.897929688030317</v>
      </c>
      <c r="W115" s="32">
        <f t="shared" si="95"/>
        <v>-80.245096738997461</v>
      </c>
      <c r="X115" s="32">
        <f t="shared" si="64"/>
        <v>-74.878178002558826</v>
      </c>
      <c r="Y115" s="32">
        <f t="shared" si="65"/>
        <v>181.66296205911871</v>
      </c>
    </row>
    <row r="116" spans="1:25" s="18" customFormat="1" ht="19.5" customHeight="1" x14ac:dyDescent="0.25">
      <c r="A116" s="21" t="s">
        <v>115</v>
      </c>
      <c r="B116" s="3">
        <v>112687.2439100004</v>
      </c>
      <c r="C116" s="3">
        <v>135482.15784000044</v>
      </c>
      <c r="D116" s="3">
        <v>122588.34773999955</v>
      </c>
      <c r="E116" s="3">
        <v>76675.659139999989</v>
      </c>
      <c r="F116" s="3">
        <v>107156.70592999998</v>
      </c>
      <c r="G116" s="50">
        <v>136811.70408000008</v>
      </c>
      <c r="H116" s="31" t="e">
        <f>#REF!/#REF!*100</f>
        <v>#REF!</v>
      </c>
      <c r="I116" s="32" t="e">
        <f>#REF!/#REF!*100</f>
        <v>#REF!</v>
      </c>
      <c r="J116" s="32" t="e">
        <f>#REF!/#REF!*100</f>
        <v>#REF!</v>
      </c>
      <c r="K116" s="32">
        <f>B116/$B$6*100</f>
        <v>0.31022870087155785</v>
      </c>
      <c r="L116" s="32">
        <f t="shared" si="66"/>
        <v>0.29728810935198829</v>
      </c>
      <c r="M116" s="32">
        <f t="shared" si="93"/>
        <v>0.27598078018570216</v>
      </c>
      <c r="N116" s="32">
        <f t="shared" si="67"/>
        <v>0.2713651947740976</v>
      </c>
      <c r="O116" s="32">
        <f t="shared" si="68"/>
        <v>0.28019041734779826</v>
      </c>
      <c r="P116" s="40">
        <f t="shared" si="69"/>
        <v>0.2549576241665979</v>
      </c>
      <c r="Q116" s="32" t="e">
        <f>((#REF!-#REF!)/#REF!)*100</f>
        <v>#REF!</v>
      </c>
      <c r="R116" s="32" t="e">
        <f>((#REF!-#REF!)/#REF!)*100</f>
        <v>#REF!</v>
      </c>
      <c r="S116" s="32" t="e">
        <f>((#REF!-#REF!)/#REF!)*100</f>
        <v>#REF!</v>
      </c>
      <c r="T116" s="32" t="e">
        <f>((B116-#REF!)/#REF!)*100</f>
        <v>#REF!</v>
      </c>
      <c r="U116" s="32">
        <f>((C116-B116)/B116)*100</f>
        <v>20.228477633374002</v>
      </c>
      <c r="V116" s="32">
        <f t="shared" si="94"/>
        <v>-9.5169801733066706</v>
      </c>
      <c r="W116" s="32">
        <f t="shared" si="95"/>
        <v>-37.452734657438107</v>
      </c>
      <c r="X116" s="32">
        <f t="shared" si="64"/>
        <v>39.753224337263909</v>
      </c>
      <c r="Y116" s="32">
        <f t="shared" si="65"/>
        <v>27.674421206426597</v>
      </c>
    </row>
    <row r="117" spans="1:25" s="18" customFormat="1" ht="19.5" customHeight="1" x14ac:dyDescent="0.25">
      <c r="A117" s="21" t="s">
        <v>116</v>
      </c>
      <c r="B117" s="3">
        <v>131878.88251000005</v>
      </c>
      <c r="C117" s="3">
        <v>194837.67578000008</v>
      </c>
      <c r="D117" s="3">
        <v>193010.68677000038</v>
      </c>
      <c r="E117" s="3">
        <v>126334.97552000007</v>
      </c>
      <c r="F117" s="3">
        <v>146611.34716999996</v>
      </c>
      <c r="G117" s="50">
        <v>184396.16378999996</v>
      </c>
      <c r="H117" s="31" t="e">
        <f>#REF!/#REF!*100</f>
        <v>#REF!</v>
      </c>
      <c r="I117" s="32" t="e">
        <f>#REF!/#REF!*100</f>
        <v>#REF!</v>
      </c>
      <c r="J117" s="32" t="e">
        <f>#REF!/#REF!*100</f>
        <v>#REF!</v>
      </c>
      <c r="K117" s="32">
        <f>B117/$B$6*100</f>
        <v>0.36306340428509987</v>
      </c>
      <c r="L117" s="32">
        <f t="shared" si="66"/>
        <v>0.42753175168332347</v>
      </c>
      <c r="M117" s="32">
        <f t="shared" si="93"/>
        <v>0.43452123224581352</v>
      </c>
      <c r="N117" s="32">
        <f t="shared" si="67"/>
        <v>0.44711601599889</v>
      </c>
      <c r="O117" s="32">
        <f t="shared" si="68"/>
        <v>0.38335533175422648</v>
      </c>
      <c r="P117" s="40">
        <f t="shared" si="69"/>
        <v>0.34363439985984279</v>
      </c>
      <c r="Q117" s="32" t="e">
        <f>((#REF!-#REF!)/#REF!)*100</f>
        <v>#REF!</v>
      </c>
      <c r="R117" s="32" t="e">
        <f>((#REF!-#REF!)/#REF!)*100</f>
        <v>#REF!</v>
      </c>
      <c r="S117" s="32" t="e">
        <f>((#REF!-#REF!)/#REF!)*100</f>
        <v>#REF!</v>
      </c>
      <c r="T117" s="32" t="e">
        <f>((B117-#REF!)/#REF!)*100</f>
        <v>#REF!</v>
      </c>
      <c r="U117" s="32">
        <f>((C117-B117)/B117)*100</f>
        <v>47.739859537576848</v>
      </c>
      <c r="V117" s="32">
        <f t="shared" si="94"/>
        <v>-0.93769801075980508</v>
      </c>
      <c r="W117" s="32">
        <f t="shared" si="95"/>
        <v>-34.545087821719363</v>
      </c>
      <c r="X117" s="32">
        <f t="shared" si="64"/>
        <v>16.049689776359635</v>
      </c>
      <c r="Y117" s="32">
        <f t="shared" si="65"/>
        <v>25.77209564563065</v>
      </c>
    </row>
    <row r="118" spans="1:25" s="18" customFormat="1" ht="19.5" customHeight="1" x14ac:dyDescent="0.25">
      <c r="A118" s="19" t="s">
        <v>117</v>
      </c>
      <c r="B118" s="3"/>
      <c r="C118" s="3"/>
      <c r="D118" s="3"/>
      <c r="E118" s="3"/>
      <c r="F118" s="3"/>
      <c r="G118" s="50"/>
      <c r="H118" s="31"/>
      <c r="I118" s="32"/>
      <c r="J118" s="32"/>
      <c r="K118" s="2"/>
      <c r="L118" s="2"/>
      <c r="M118" s="2"/>
      <c r="N118" s="2"/>
      <c r="O118" s="2"/>
      <c r="P118" s="46"/>
      <c r="Q118" s="2"/>
      <c r="R118" s="2"/>
      <c r="S118" s="32"/>
      <c r="T118" s="32"/>
      <c r="U118" s="32"/>
      <c r="V118" s="32"/>
      <c r="W118" s="32"/>
      <c r="X118" s="32"/>
      <c r="Y118" s="32"/>
    </row>
    <row r="119" spans="1:25" s="18" customFormat="1" ht="19.5" customHeight="1" x14ac:dyDescent="0.25">
      <c r="A119" s="33" t="s">
        <v>118</v>
      </c>
      <c r="B119" s="20">
        <f t="shared" ref="B119:C119" si="96">SUM(B120:B121)</f>
        <v>7309675.9209199604</v>
      </c>
      <c r="C119" s="20">
        <f t="shared" si="96"/>
        <v>8516076.0582299773</v>
      </c>
      <c r="D119" s="20">
        <f t="shared" ref="D119:E119" si="97">SUM(D120:D121)</f>
        <v>7613620.8815099793</v>
      </c>
      <c r="E119" s="20">
        <f t="shared" si="97"/>
        <v>5507974.3365500225</v>
      </c>
      <c r="F119" s="20">
        <f t="shared" ref="F119:G119" si="98">SUM(F120:F121)</f>
        <v>7313562.4776199972</v>
      </c>
      <c r="G119" s="49">
        <f t="shared" si="98"/>
        <v>9126045.7139999792</v>
      </c>
      <c r="H119" s="45" t="e">
        <f>#REF!/#REF!*100</f>
        <v>#REF!</v>
      </c>
      <c r="I119" s="2" t="e">
        <f>#REF!/#REF!*100</f>
        <v>#REF!</v>
      </c>
      <c r="J119" s="2" t="e">
        <f>#REF!/#REF!*100</f>
        <v>#REF!</v>
      </c>
      <c r="K119" s="2">
        <f>B119/$B$6*100</f>
        <v>20.123584409875374</v>
      </c>
      <c r="L119" s="2">
        <f t="shared" si="66"/>
        <v>18.686801205504882</v>
      </c>
      <c r="M119" s="2">
        <f>D119/$D$6*100</f>
        <v>17.140397677712311</v>
      </c>
      <c r="N119" s="2">
        <f t="shared" si="67"/>
        <v>19.493442187690178</v>
      </c>
      <c r="O119" s="2">
        <f t="shared" si="68"/>
        <v>19.123302691314308</v>
      </c>
      <c r="P119" s="46">
        <f t="shared" si="69"/>
        <v>17.006987442511772</v>
      </c>
      <c r="Q119" s="2" t="e">
        <f>((#REF!-#REF!)/#REF!)*100</f>
        <v>#REF!</v>
      </c>
      <c r="R119" s="2" t="e">
        <f>((#REF!-#REF!)/#REF!)*100</f>
        <v>#REF!</v>
      </c>
      <c r="S119" s="2" t="e">
        <f>((#REF!-#REF!)/#REF!)*100</f>
        <v>#REF!</v>
      </c>
      <c r="T119" s="2" t="e">
        <f>((B119-#REF!)/#REF!)*100</f>
        <v>#REF!</v>
      </c>
      <c r="U119" s="2">
        <f>((C119-B119)/B119)*100</f>
        <v>16.504153540615317</v>
      </c>
      <c r="V119" s="2">
        <f t="shared" ref="V119:V121" si="99">((D119-C119)/C119)*100</f>
        <v>-10.59707746325094</v>
      </c>
      <c r="W119" s="2">
        <f t="shared" ref="W119:W121" si="100">((E119-D119)/D119)*100</f>
        <v>-27.656309366199388</v>
      </c>
      <c r="X119" s="2">
        <f t="shared" si="64"/>
        <v>32.781346294378778</v>
      </c>
      <c r="Y119" s="2">
        <f t="shared" si="65"/>
        <v>24.782494740782006</v>
      </c>
    </row>
    <row r="120" spans="1:25" s="18" customFormat="1" ht="19.5" customHeight="1" x14ac:dyDescent="0.25">
      <c r="A120" s="22" t="s">
        <v>119</v>
      </c>
      <c r="B120" s="3">
        <v>4195174.7767999722</v>
      </c>
      <c r="C120" s="3">
        <v>4542115.3680599807</v>
      </c>
      <c r="D120" s="3">
        <v>4135286.3295899765</v>
      </c>
      <c r="E120" s="3">
        <v>2762980.9539400158</v>
      </c>
      <c r="F120" s="3">
        <v>4042123.6582299913</v>
      </c>
      <c r="G120" s="50">
        <v>4773061.4372399915</v>
      </c>
      <c r="H120" s="31" t="e">
        <f>#REF!/#REF!*100</f>
        <v>#REF!</v>
      </c>
      <c r="I120" s="32" t="e">
        <f>#REF!/#REF!*100</f>
        <v>#REF!</v>
      </c>
      <c r="J120" s="32" t="e">
        <f>#REF!/#REF!*100</f>
        <v>#REF!</v>
      </c>
      <c r="K120" s="32">
        <f>B120/$B$6*100</f>
        <v>11.549342904998364</v>
      </c>
      <c r="L120" s="32">
        <f t="shared" si="66"/>
        <v>9.9667506906986088</v>
      </c>
      <c r="M120" s="32">
        <f>D120/$D$6*100</f>
        <v>9.3096902647879247</v>
      </c>
      <c r="N120" s="32">
        <f t="shared" si="67"/>
        <v>9.7785512786275142</v>
      </c>
      <c r="O120" s="32">
        <f t="shared" si="68"/>
        <v>10.569234141171872</v>
      </c>
      <c r="P120" s="40">
        <f t="shared" si="69"/>
        <v>8.8949144535786306</v>
      </c>
      <c r="Q120" s="32" t="e">
        <f>((#REF!-#REF!)/#REF!)*100</f>
        <v>#REF!</v>
      </c>
      <c r="R120" s="32" t="e">
        <f>((#REF!-#REF!)/#REF!)*100</f>
        <v>#REF!</v>
      </c>
      <c r="S120" s="32" t="e">
        <f>((#REF!-#REF!)/#REF!)*100</f>
        <v>#REF!</v>
      </c>
      <c r="T120" s="32" t="e">
        <f>((B120-#REF!)/#REF!)*100</f>
        <v>#REF!</v>
      </c>
      <c r="U120" s="32">
        <f>((C120-B120)/B120)*100</f>
        <v>8.269991352413939</v>
      </c>
      <c r="V120" s="32">
        <f t="shared" si="99"/>
        <v>-8.9568186957736433</v>
      </c>
      <c r="W120" s="32">
        <f t="shared" si="100"/>
        <v>-33.185256504016451</v>
      </c>
      <c r="X120" s="32">
        <f t="shared" si="64"/>
        <v>46.29574816525303</v>
      </c>
      <c r="Y120" s="32">
        <f t="shared" si="65"/>
        <v>18.083013801959517</v>
      </c>
    </row>
    <row r="121" spans="1:25" s="18" customFormat="1" ht="26.25" customHeight="1" x14ac:dyDescent="0.25">
      <c r="A121" s="21" t="s">
        <v>120</v>
      </c>
      <c r="B121" s="3">
        <v>3114501.1441199887</v>
      </c>
      <c r="C121" s="3">
        <v>3973960.690169997</v>
      </c>
      <c r="D121" s="3">
        <v>3478334.5519200028</v>
      </c>
      <c r="E121" s="3">
        <v>2744993.3826100067</v>
      </c>
      <c r="F121" s="3">
        <v>3271438.8193900059</v>
      </c>
      <c r="G121" s="50">
        <v>4352984.2767599886</v>
      </c>
      <c r="H121" s="31" t="e">
        <f>#REF!/#REF!*100</f>
        <v>#REF!</v>
      </c>
      <c r="I121" s="32" t="e">
        <f>#REF!/#REF!*100</f>
        <v>#REF!</v>
      </c>
      <c r="J121" s="32" t="e">
        <f>#REF!/#REF!*100</f>
        <v>#REF!</v>
      </c>
      <c r="K121" s="32">
        <f>B121/$B$6*100</f>
        <v>8.574241504877012</v>
      </c>
      <c r="L121" s="32">
        <f t="shared" si="66"/>
        <v>8.7200505148062764</v>
      </c>
      <c r="M121" s="32">
        <f>D121/$D$6*100</f>
        <v>7.8307074129243883</v>
      </c>
      <c r="N121" s="32">
        <f t="shared" si="67"/>
        <v>9.7148909090626656</v>
      </c>
      <c r="O121" s="32">
        <f t="shared" si="68"/>
        <v>8.5540685501424338</v>
      </c>
      <c r="P121" s="40">
        <f t="shared" si="69"/>
        <v>8.1120729889331447</v>
      </c>
      <c r="Q121" s="32" t="e">
        <f>((#REF!-#REF!)/#REF!)*100</f>
        <v>#REF!</v>
      </c>
      <c r="R121" s="32" t="e">
        <f>((#REF!-#REF!)/#REF!)*100</f>
        <v>#REF!</v>
      </c>
      <c r="S121" s="32" t="e">
        <f>((#REF!-#REF!)/#REF!)*100</f>
        <v>#REF!</v>
      </c>
      <c r="T121" s="32" t="e">
        <f>((B121-#REF!)/#REF!)*100</f>
        <v>#REF!</v>
      </c>
      <c r="U121" s="32">
        <f>((C121-B121)/B121)*100</f>
        <v>27.59541596806352</v>
      </c>
      <c r="V121" s="32">
        <f t="shared" si="99"/>
        <v>-12.471843002271683</v>
      </c>
      <c r="W121" s="32">
        <f t="shared" si="100"/>
        <v>-21.083111999827612</v>
      </c>
      <c r="X121" s="32">
        <f t="shared" si="64"/>
        <v>19.17838637117012</v>
      </c>
      <c r="Y121" s="32">
        <f t="shared" si="65"/>
        <v>33.060237928326849</v>
      </c>
    </row>
    <row r="122" spans="1:25" s="18" customFormat="1" ht="19.5" customHeight="1" x14ac:dyDescent="0.25">
      <c r="A122" s="19" t="s">
        <v>121</v>
      </c>
      <c r="B122" s="3"/>
      <c r="C122" s="3"/>
      <c r="D122" s="3"/>
      <c r="E122" s="3"/>
      <c r="F122" s="3"/>
      <c r="G122" s="50"/>
      <c r="H122" s="31"/>
      <c r="I122" s="32"/>
      <c r="J122" s="32"/>
      <c r="K122" s="2"/>
      <c r="L122" s="2"/>
      <c r="M122" s="2"/>
      <c r="N122" s="2"/>
      <c r="O122" s="2"/>
      <c r="P122" s="46"/>
      <c r="Q122" s="2"/>
      <c r="R122" s="2"/>
      <c r="S122" s="32"/>
      <c r="T122" s="32"/>
      <c r="U122" s="32"/>
      <c r="V122" s="32"/>
      <c r="W122" s="32"/>
      <c r="X122" s="32"/>
      <c r="Y122" s="32"/>
    </row>
    <row r="123" spans="1:25" s="18" customFormat="1" ht="19.5" customHeight="1" x14ac:dyDescent="0.25">
      <c r="A123" s="33" t="s">
        <v>122</v>
      </c>
      <c r="B123" s="20">
        <f t="shared" ref="B123:C123" si="101">SUM(B124:B127)</f>
        <v>1980260.7954800013</v>
      </c>
      <c r="C123" s="20">
        <f t="shared" si="101"/>
        <v>2645381.805339999</v>
      </c>
      <c r="D123" s="20">
        <f t="shared" ref="D123:E123" si="102">SUM(D124:D127)</f>
        <v>3122825.3144200002</v>
      </c>
      <c r="E123" s="20">
        <f t="shared" si="102"/>
        <v>856736.49488000001</v>
      </c>
      <c r="F123" s="20">
        <f t="shared" ref="F123:G123" si="103">SUM(F124:F127)</f>
        <v>1644144.2590400004</v>
      </c>
      <c r="G123" s="49">
        <f t="shared" si="103"/>
        <v>3382270.8452999983</v>
      </c>
      <c r="H123" s="45" t="e">
        <f>#REF!/#REF!*100</f>
        <v>#REF!</v>
      </c>
      <c r="I123" s="2" t="e">
        <f>#REF!/#REF!*100</f>
        <v>#REF!</v>
      </c>
      <c r="J123" s="2" t="e">
        <f>#REF!/#REF!*100</f>
        <v>#REF!</v>
      </c>
      <c r="K123" s="2">
        <f>B123/$B$6*100</f>
        <v>5.4516705942270338</v>
      </c>
      <c r="L123" s="2">
        <f t="shared" si="66"/>
        <v>5.8047536883228261</v>
      </c>
      <c r="M123" s="2">
        <f>D123/$D$6*100</f>
        <v>7.0303563311350628</v>
      </c>
      <c r="N123" s="2">
        <f t="shared" si="67"/>
        <v>3.0321026048004955</v>
      </c>
      <c r="O123" s="2">
        <f t="shared" si="68"/>
        <v>4.2990633402013936</v>
      </c>
      <c r="P123" s="46">
        <f t="shared" si="69"/>
        <v>6.303084555553748</v>
      </c>
      <c r="Q123" s="2" t="e">
        <f>((#REF!-#REF!)/#REF!)*100</f>
        <v>#REF!</v>
      </c>
      <c r="R123" s="2" t="e">
        <f>((#REF!-#REF!)/#REF!)*100</f>
        <v>#REF!</v>
      </c>
      <c r="S123" s="2" t="e">
        <f>((#REF!-#REF!)/#REF!)*100</f>
        <v>#REF!</v>
      </c>
      <c r="T123" s="2" t="e">
        <f>((B123-#REF!)/#REF!)*100</f>
        <v>#REF!</v>
      </c>
      <c r="U123" s="2">
        <f>((C123-B123)/B123)*100</f>
        <v>33.587546215031601</v>
      </c>
      <c r="V123" s="2">
        <f t="shared" ref="V123" si="104">((D123-C123)/C123)*100</f>
        <v>18.048189040849529</v>
      </c>
      <c r="W123" s="2">
        <f t="shared" ref="W123:W127" si="105">((E123-D123)/D123)*100</f>
        <v>-72.565340401080974</v>
      </c>
      <c r="X123" s="2">
        <f t="shared" si="64"/>
        <v>91.907811662708454</v>
      </c>
      <c r="Y123" s="35" t="s">
        <v>148</v>
      </c>
    </row>
    <row r="124" spans="1:25" s="18" customFormat="1" ht="19.5" customHeight="1" x14ac:dyDescent="0.25">
      <c r="A124" s="22" t="s">
        <v>123</v>
      </c>
      <c r="B124" s="3">
        <v>8238.4915399999991</v>
      </c>
      <c r="C124" s="3">
        <v>14228.589479999999</v>
      </c>
      <c r="D124" s="3">
        <v>18996.247690000007</v>
      </c>
      <c r="E124" s="3">
        <v>11493.341470000001</v>
      </c>
      <c r="F124" s="3">
        <v>6865.0866800000003</v>
      </c>
      <c r="G124" s="50">
        <v>26230.472749999997</v>
      </c>
      <c r="H124" s="31" t="e">
        <f>#REF!/#REF!*100</f>
        <v>#REF!</v>
      </c>
      <c r="I124" s="32" t="e">
        <f>#REF!/#REF!*100</f>
        <v>#REF!</v>
      </c>
      <c r="J124" s="32" t="e">
        <f>#REF!/#REF!*100</f>
        <v>#REF!</v>
      </c>
      <c r="K124" s="32">
        <f>B124/$B$6*100</f>
        <v>2.2680619730452958E-2</v>
      </c>
      <c r="L124" s="32">
        <f t="shared" si="66"/>
        <v>3.1221752979829692E-2</v>
      </c>
      <c r="M124" s="32">
        <f>D124/$D$6*100</f>
        <v>4.2765885622393696E-2</v>
      </c>
      <c r="N124" s="32">
        <f t="shared" si="67"/>
        <v>4.0676439975782436E-2</v>
      </c>
      <c r="O124" s="32">
        <f t="shared" si="68"/>
        <v>1.795064046905805E-2</v>
      </c>
      <c r="P124" s="40">
        <f t="shared" si="69"/>
        <v>4.8882214121067483E-2</v>
      </c>
      <c r="Q124" s="32" t="e">
        <f>((#REF!-#REF!)/#REF!)*100</f>
        <v>#REF!</v>
      </c>
      <c r="R124" s="32" t="e">
        <f>((#REF!-#REF!)/#REF!)*100</f>
        <v>#REF!</v>
      </c>
      <c r="S124" s="35" t="s">
        <v>148</v>
      </c>
      <c r="T124" s="32" t="e">
        <f>((B124-#REF!)/#REF!)*100</f>
        <v>#REF!</v>
      </c>
      <c r="U124" s="32">
        <f>((C124-B124)/B124)*100</f>
        <v>72.708673801709097</v>
      </c>
      <c r="V124" s="32">
        <f t="shared" ref="V124:V127" si="106">((D124-C124)/C124)*100</f>
        <v>33.507595511849772</v>
      </c>
      <c r="W124" s="32">
        <f t="shared" si="105"/>
        <v>-39.496780324409443</v>
      </c>
      <c r="X124" s="32">
        <f t="shared" si="64"/>
        <v>-40.269009687745758</v>
      </c>
      <c r="Y124" s="35" t="s">
        <v>148</v>
      </c>
    </row>
    <row r="125" spans="1:25" s="18" customFormat="1" ht="25.5" customHeight="1" x14ac:dyDescent="0.25">
      <c r="A125" s="21" t="s">
        <v>124</v>
      </c>
      <c r="B125" s="3">
        <v>562369.66915000067</v>
      </c>
      <c r="C125" s="3">
        <v>673442.56981999846</v>
      </c>
      <c r="D125" s="3">
        <v>644036.51146000042</v>
      </c>
      <c r="E125" s="3">
        <v>354230.6168299999</v>
      </c>
      <c r="F125" s="3">
        <v>645073.05950000056</v>
      </c>
      <c r="G125" s="50">
        <v>1007376.3906899989</v>
      </c>
      <c r="H125" s="31" t="e">
        <f>#REF!/#REF!*100</f>
        <v>#REF!</v>
      </c>
      <c r="I125" s="32" t="e">
        <f>#REF!/#REF!*100</f>
        <v>#REF!</v>
      </c>
      <c r="J125" s="32" t="e">
        <f>#REF!/#REF!*100</f>
        <v>#REF!</v>
      </c>
      <c r="K125" s="32">
        <f>B125/$B$6*100</f>
        <v>1.5482072843072687</v>
      </c>
      <c r="L125" s="32">
        <f t="shared" si="66"/>
        <v>1.4777330943855234</v>
      </c>
      <c r="M125" s="32">
        <f>D125/$D$6*100</f>
        <v>1.4499069624283158</v>
      </c>
      <c r="N125" s="32">
        <f t="shared" si="67"/>
        <v>1.253668522829495</v>
      </c>
      <c r="O125" s="32">
        <f t="shared" si="68"/>
        <v>1.686719353609065</v>
      </c>
      <c r="P125" s="40">
        <f t="shared" si="69"/>
        <v>1.8773122733831269</v>
      </c>
      <c r="Q125" s="32" t="e">
        <f>((#REF!-#REF!)/#REF!)*100</f>
        <v>#REF!</v>
      </c>
      <c r="R125" s="32" t="e">
        <f>((#REF!-#REF!)/#REF!)*100</f>
        <v>#REF!</v>
      </c>
      <c r="S125" s="32" t="e">
        <f>((#REF!-#REF!)/#REF!)*100</f>
        <v>#REF!</v>
      </c>
      <c r="T125" s="32" t="e">
        <f>((B125-#REF!)/#REF!)*100</f>
        <v>#REF!</v>
      </c>
      <c r="U125" s="32">
        <f>((C125-B125)/B125)*100</f>
        <v>19.750869714911911</v>
      </c>
      <c r="V125" s="32">
        <f t="shared" si="106"/>
        <v>-4.3665279977560463</v>
      </c>
      <c r="W125" s="32">
        <f t="shared" si="105"/>
        <v>-44.998364141347238</v>
      </c>
      <c r="X125" s="32">
        <f t="shared" si="64"/>
        <v>82.105393732687972</v>
      </c>
      <c r="Y125" s="32">
        <f t="shared" si="65"/>
        <v>56.164697293485098</v>
      </c>
    </row>
    <row r="126" spans="1:25" s="18" customFormat="1" ht="19.5" customHeight="1" x14ac:dyDescent="0.25">
      <c r="A126" s="21" t="s">
        <v>125</v>
      </c>
      <c r="B126" s="3">
        <v>934980.5985400005</v>
      </c>
      <c r="C126" s="3">
        <v>1316831.4289600002</v>
      </c>
      <c r="D126" s="3">
        <v>1794772.5110700005</v>
      </c>
      <c r="E126" s="3">
        <v>259820.24260000006</v>
      </c>
      <c r="F126" s="3">
        <v>777349.91636999988</v>
      </c>
      <c r="G126" s="50">
        <v>1711554.83696</v>
      </c>
      <c r="H126" s="31" t="e">
        <f>#REF!/#REF!*100</f>
        <v>#REF!</v>
      </c>
      <c r="I126" s="32" t="e">
        <f>#REF!/#REF!*100</f>
        <v>#REF!</v>
      </c>
      <c r="J126" s="32" t="e">
        <f>#REF!/#REF!*100</f>
        <v>#REF!</v>
      </c>
      <c r="K126" s="32">
        <f>B126/$B$6*100</f>
        <v>2.5740075483329381</v>
      </c>
      <c r="L126" s="32">
        <f t="shared" si="66"/>
        <v>2.8895194178492298</v>
      </c>
      <c r="M126" s="32">
        <f>D126/$D$6*100</f>
        <v>4.0405366985734394</v>
      </c>
      <c r="N126" s="32">
        <f t="shared" si="67"/>
        <v>0.91953784982359288</v>
      </c>
      <c r="O126" s="32">
        <f t="shared" si="68"/>
        <v>2.0325932530556501</v>
      </c>
      <c r="P126" s="40">
        <f t="shared" si="69"/>
        <v>3.1895952016430007</v>
      </c>
      <c r="Q126" s="32" t="e">
        <f>((#REF!-#REF!)/#REF!)*100</f>
        <v>#REF!</v>
      </c>
      <c r="R126" s="32" t="e">
        <f>((#REF!-#REF!)/#REF!)*100</f>
        <v>#REF!</v>
      </c>
      <c r="S126" s="32" t="e">
        <f>((#REF!-#REF!)/#REF!)*100</f>
        <v>#REF!</v>
      </c>
      <c r="T126" s="32" t="e">
        <f>((B126-#REF!)/#REF!)*100</f>
        <v>#REF!</v>
      </c>
      <c r="U126" s="32">
        <f>((C126-B126)/B126)*100</f>
        <v>40.840508457209793</v>
      </c>
      <c r="V126" s="32">
        <f t="shared" si="106"/>
        <v>36.294780911134993</v>
      </c>
      <c r="W126" s="32">
        <f t="shared" si="105"/>
        <v>-85.5234999980526</v>
      </c>
      <c r="X126" s="35" t="s">
        <v>148</v>
      </c>
      <c r="Y126" s="35" t="s">
        <v>148</v>
      </c>
    </row>
    <row r="127" spans="1:25" s="18" customFormat="1" ht="19.5" customHeight="1" x14ac:dyDescent="0.25">
      <c r="A127" s="21" t="s">
        <v>126</v>
      </c>
      <c r="B127" s="3">
        <v>474672.03625000024</v>
      </c>
      <c r="C127" s="3">
        <v>640879.21708000021</v>
      </c>
      <c r="D127" s="3">
        <v>665020.04419999942</v>
      </c>
      <c r="E127" s="3">
        <v>231192.29398000005</v>
      </c>
      <c r="F127" s="3">
        <v>214856.19649</v>
      </c>
      <c r="G127" s="50">
        <v>637109.14489999996</v>
      </c>
      <c r="H127" s="31" t="e">
        <f>#REF!/#REF!*100</f>
        <v>#REF!</v>
      </c>
      <c r="I127" s="32" t="e">
        <f>#REF!/#REF!*100</f>
        <v>#REF!</v>
      </c>
      <c r="J127" s="32" t="e">
        <f>#REF!/#REF!*100</f>
        <v>#REF!</v>
      </c>
      <c r="K127" s="32">
        <f>B127/$B$6*100</f>
        <v>1.306775141856374</v>
      </c>
      <c r="L127" s="32">
        <f t="shared" si="66"/>
        <v>1.4062794231082432</v>
      </c>
      <c r="M127" s="32">
        <f>D127/$D$6*100</f>
        <v>1.4971467845109132</v>
      </c>
      <c r="N127" s="32">
        <f t="shared" si="67"/>
        <v>0.8182197921716251</v>
      </c>
      <c r="O127" s="32">
        <f t="shared" si="68"/>
        <v>0.56180009306762058</v>
      </c>
      <c r="P127" s="40">
        <f t="shared" si="69"/>
        <v>1.1872948664065544</v>
      </c>
      <c r="Q127" s="32" t="e">
        <f>((#REF!-#REF!)/#REF!)*100</f>
        <v>#REF!</v>
      </c>
      <c r="R127" s="32" t="e">
        <f>((#REF!-#REF!)/#REF!)*100</f>
        <v>#REF!</v>
      </c>
      <c r="S127" s="32" t="e">
        <f>((#REF!-#REF!)/#REF!)*100</f>
        <v>#REF!</v>
      </c>
      <c r="T127" s="32" t="e">
        <f>((B127-#REF!)/#REF!)*100</f>
        <v>#REF!</v>
      </c>
      <c r="U127" s="32">
        <f>((C127-B127)/B127)*100</f>
        <v>35.015161656260283</v>
      </c>
      <c r="V127" s="32">
        <f t="shared" si="106"/>
        <v>3.7668294550087964</v>
      </c>
      <c r="W127" s="32">
        <f t="shared" si="105"/>
        <v>-65.235289372650712</v>
      </c>
      <c r="X127" s="32">
        <f t="shared" si="64"/>
        <v>-7.0660216258822377</v>
      </c>
      <c r="Y127" s="35" t="s">
        <v>148</v>
      </c>
    </row>
    <row r="128" spans="1:25" s="18" customFormat="1" ht="19.5" customHeight="1" x14ac:dyDescent="0.25">
      <c r="A128" s="19" t="s">
        <v>127</v>
      </c>
      <c r="B128" s="3"/>
      <c r="C128" s="3"/>
      <c r="D128" s="3"/>
      <c r="E128" s="3"/>
      <c r="F128" s="3"/>
      <c r="G128" s="50"/>
      <c r="H128" s="31"/>
      <c r="I128" s="32"/>
      <c r="J128" s="32"/>
      <c r="K128" s="2"/>
      <c r="L128" s="2"/>
      <c r="M128" s="2"/>
      <c r="N128" s="2"/>
      <c r="O128" s="2"/>
      <c r="P128" s="46"/>
      <c r="Q128" s="2"/>
      <c r="R128" s="2"/>
      <c r="S128" s="32"/>
      <c r="T128" s="32"/>
      <c r="U128" s="32"/>
      <c r="V128" s="32"/>
      <c r="W128" s="32"/>
      <c r="X128" s="32"/>
      <c r="Y128" s="32"/>
    </row>
    <row r="129" spans="1:25" s="18" customFormat="1" ht="19.5" customHeight="1" x14ac:dyDescent="0.25">
      <c r="A129" s="33" t="s">
        <v>128</v>
      </c>
      <c r="B129" s="20">
        <f t="shared" ref="B129:C129" si="107">SUM(B130:B132)</f>
        <v>717631.50783999916</v>
      </c>
      <c r="C129" s="20">
        <f t="shared" si="107"/>
        <v>927524.86933000223</v>
      </c>
      <c r="D129" s="20">
        <f t="shared" ref="D129:E129" si="108">SUM(D130:D132)</f>
        <v>536804.22122999863</v>
      </c>
      <c r="E129" s="20">
        <f t="shared" si="108"/>
        <v>805996.15995000105</v>
      </c>
      <c r="F129" s="20">
        <f t="shared" ref="F129:G129" si="109">SUM(F130:F132)</f>
        <v>806612.77253000112</v>
      </c>
      <c r="G129" s="49">
        <f t="shared" si="109"/>
        <v>776949.10154000029</v>
      </c>
      <c r="H129" s="45" t="e">
        <f>#REF!/#REF!*100</f>
        <v>#REF!</v>
      </c>
      <c r="I129" s="2" t="e">
        <f>#REF!/#REF!*100</f>
        <v>#REF!</v>
      </c>
      <c r="J129" s="2" t="e">
        <f>#REF!/#REF!*100</f>
        <v>#REF!</v>
      </c>
      <c r="K129" s="2">
        <f>B129/$B$6*100</f>
        <v>1.9756441160235254</v>
      </c>
      <c r="L129" s="2">
        <f t="shared" si="66"/>
        <v>2.0352651535540787</v>
      </c>
      <c r="M129" s="2">
        <f>D129/$D$6*100</f>
        <v>1.2084969780018822</v>
      </c>
      <c r="N129" s="2">
        <f t="shared" si="67"/>
        <v>2.8525259174186317</v>
      </c>
      <c r="O129" s="2">
        <f t="shared" si="68"/>
        <v>2.1091089672062457</v>
      </c>
      <c r="P129" s="46">
        <f t="shared" si="69"/>
        <v>1.4478958387301388</v>
      </c>
      <c r="Q129" s="2" t="e">
        <f>((#REF!-#REF!)/#REF!)*100</f>
        <v>#REF!</v>
      </c>
      <c r="R129" s="2" t="e">
        <f>((#REF!-#REF!)/#REF!)*100</f>
        <v>#REF!</v>
      </c>
      <c r="S129" s="2" t="e">
        <f>((#REF!-#REF!)/#REF!)*100</f>
        <v>#REF!</v>
      </c>
      <c r="T129" s="2" t="e">
        <f>((B129-#REF!)/#REF!)*100</f>
        <v>#REF!</v>
      </c>
      <c r="U129" s="2">
        <f>((C129-B129)/B129)*100</f>
        <v>29.248069405670552</v>
      </c>
      <c r="V129" s="2">
        <f t="shared" ref="V129:V132" si="110">((D129-C129)/C129)*100</f>
        <v>-42.12508591626667</v>
      </c>
      <c r="W129" s="2">
        <f t="shared" ref="W129:W132" si="111">((E129-D129)/D129)*100</f>
        <v>50.147135226171159</v>
      </c>
      <c r="X129" s="2">
        <f t="shared" si="64"/>
        <v>7.650316597517344E-2</v>
      </c>
      <c r="Y129" s="2">
        <f t="shared" si="65"/>
        <v>-3.6775602866984753</v>
      </c>
    </row>
    <row r="130" spans="1:25" s="18" customFormat="1" ht="19.5" customHeight="1" x14ac:dyDescent="0.25">
      <c r="A130" s="21" t="s">
        <v>129</v>
      </c>
      <c r="B130" s="3">
        <v>683404.37583999918</v>
      </c>
      <c r="C130" s="3">
        <v>896316.59005000233</v>
      </c>
      <c r="D130" s="3">
        <v>501448.65194999863</v>
      </c>
      <c r="E130" s="3">
        <v>776300.05402000097</v>
      </c>
      <c r="F130" s="3">
        <v>757075.40875000111</v>
      </c>
      <c r="G130" s="50">
        <v>728587.50224000029</v>
      </c>
      <c r="H130" s="31" t="e">
        <f>#REF!/#REF!*100</f>
        <v>#REF!</v>
      </c>
      <c r="I130" s="32" t="e">
        <f>#REF!/#REF!*100</f>
        <v>#REF!</v>
      </c>
      <c r="J130" s="32" t="e">
        <f>#REF!/#REF!*100</f>
        <v>#REF!</v>
      </c>
      <c r="K130" s="32">
        <f>B130/$B$6*100</f>
        <v>1.8814166034276918</v>
      </c>
      <c r="L130" s="32">
        <f t="shared" si="66"/>
        <v>1.966784916073385</v>
      </c>
      <c r="M130" s="32">
        <f>D130/$D$6*100</f>
        <v>1.1289016675691248</v>
      </c>
      <c r="N130" s="32">
        <f t="shared" si="67"/>
        <v>2.7474275112215238</v>
      </c>
      <c r="O130" s="32">
        <f t="shared" si="68"/>
        <v>1.979580026284014</v>
      </c>
      <c r="P130" s="40">
        <f t="shared" si="69"/>
        <v>1.3577708122103684</v>
      </c>
      <c r="Q130" s="32" t="e">
        <f>((#REF!-#REF!)/#REF!)*100</f>
        <v>#REF!</v>
      </c>
      <c r="R130" s="32" t="e">
        <f>((#REF!-#REF!)/#REF!)*100</f>
        <v>#REF!</v>
      </c>
      <c r="S130" s="32" t="e">
        <f>((#REF!-#REF!)/#REF!)*100</f>
        <v>#REF!</v>
      </c>
      <c r="T130" s="32" t="e">
        <f>((B130-#REF!)/#REF!)*100</f>
        <v>#REF!</v>
      </c>
      <c r="U130" s="32">
        <f>((C130-B130)/B130)*100</f>
        <v>31.154646024662103</v>
      </c>
      <c r="V130" s="32">
        <f t="shared" si="110"/>
        <v>-44.05451628179452</v>
      </c>
      <c r="W130" s="32">
        <f t="shared" si="111"/>
        <v>54.811474913967629</v>
      </c>
      <c r="X130" s="32">
        <f t="shared" si="64"/>
        <v>-2.4764451799850771</v>
      </c>
      <c r="Y130" s="32">
        <f t="shared" si="65"/>
        <v>-3.7628888986153819</v>
      </c>
    </row>
    <row r="131" spans="1:25" s="18" customFormat="1" ht="19.5" customHeight="1" x14ac:dyDescent="0.25">
      <c r="A131" s="21" t="s">
        <v>130</v>
      </c>
      <c r="B131" s="3">
        <v>30517.557559999943</v>
      </c>
      <c r="C131" s="3">
        <v>25631.824829999969</v>
      </c>
      <c r="D131" s="3">
        <v>28832.937740000023</v>
      </c>
      <c r="E131" s="3">
        <v>26745.377410000019</v>
      </c>
      <c r="F131" s="3">
        <v>44099.265379999983</v>
      </c>
      <c r="G131" s="50">
        <v>39865.667179999997</v>
      </c>
      <c r="H131" s="31" t="e">
        <f>#REF!/#REF!*100</f>
        <v>#REF!</v>
      </c>
      <c r="I131" s="32" t="e">
        <f>#REF!/#REF!*100</f>
        <v>#REF!</v>
      </c>
      <c r="J131" s="32" t="e">
        <f>#REF!/#REF!*100</f>
        <v>#REF!</v>
      </c>
      <c r="K131" s="32">
        <f>B131/$B$6*100</f>
        <v>8.4015030513773958E-2</v>
      </c>
      <c r="L131" s="32">
        <f t="shared" si="66"/>
        <v>5.6243839516868559E-2</v>
      </c>
      <c r="M131" s="32">
        <f>D131/$D$6*100</f>
        <v>6.4911035993468827E-2</v>
      </c>
      <c r="N131" s="32">
        <f t="shared" si="67"/>
        <v>9.4655391705464859E-2</v>
      </c>
      <c r="O131" s="32">
        <f t="shared" si="68"/>
        <v>0.11530955029193576</v>
      </c>
      <c r="P131" s="40">
        <f t="shared" si="69"/>
        <v>7.4292297273672772E-2</v>
      </c>
      <c r="Q131" s="32" t="e">
        <f>((#REF!-#REF!)/#REF!)*100</f>
        <v>#REF!</v>
      </c>
      <c r="R131" s="32" t="e">
        <f>((#REF!-#REF!)/#REF!)*100</f>
        <v>#REF!</v>
      </c>
      <c r="S131" s="32" t="e">
        <f>((#REF!-#REF!)/#REF!)*100</f>
        <v>#REF!</v>
      </c>
      <c r="T131" s="32" t="e">
        <f>((B131-#REF!)/#REF!)*100</f>
        <v>#REF!</v>
      </c>
      <c r="U131" s="32">
        <f>((C131-B131)/B131)*100</f>
        <v>-16.009579798102241</v>
      </c>
      <c r="V131" s="32">
        <f t="shared" si="110"/>
        <v>12.488821733259552</v>
      </c>
      <c r="W131" s="32">
        <f t="shared" si="111"/>
        <v>-7.2401929655052975</v>
      </c>
      <c r="X131" s="32">
        <f t="shared" si="64"/>
        <v>64.885560237080057</v>
      </c>
      <c r="Y131" s="32">
        <f t="shared" si="65"/>
        <v>-9.6001558382421912</v>
      </c>
    </row>
    <row r="132" spans="1:25" s="18" customFormat="1" ht="19.5" customHeight="1" x14ac:dyDescent="0.25">
      <c r="A132" s="21" t="s">
        <v>131</v>
      </c>
      <c r="B132" s="3">
        <v>3709.5744399999985</v>
      </c>
      <c r="C132" s="3">
        <v>5576.4544499999993</v>
      </c>
      <c r="D132" s="3">
        <v>6522.6315400000021</v>
      </c>
      <c r="E132" s="3">
        <v>2950.7285200000001</v>
      </c>
      <c r="F132" s="3">
        <v>5438.0983999999989</v>
      </c>
      <c r="G132" s="50">
        <v>8495.9321200000031</v>
      </c>
      <c r="H132" s="31" t="e">
        <f>#REF!/#REF!*100</f>
        <v>#REF!</v>
      </c>
      <c r="I132" s="32" t="e">
        <f>#REF!/#REF!*100</f>
        <v>#REF!</v>
      </c>
      <c r="J132" s="32" t="e">
        <f>#REF!/#REF!*100</f>
        <v>#REF!</v>
      </c>
      <c r="K132" s="32">
        <f>B132/$B$6*100</f>
        <v>1.0212482082059401E-2</v>
      </c>
      <c r="L132" s="32">
        <f t="shared" si="66"/>
        <v>1.2236397963824875E-2</v>
      </c>
      <c r="M132" s="32">
        <f>D132/$D$6*100</f>
        <v>1.4684274439288363E-2</v>
      </c>
      <c r="N132" s="32">
        <f t="shared" si="67"/>
        <v>1.0443014491642815E-2</v>
      </c>
      <c r="O132" s="32">
        <f t="shared" si="68"/>
        <v>1.4219390630295701E-2</v>
      </c>
      <c r="P132" s="40">
        <f t="shared" si="69"/>
        <v>1.583272924609775E-2</v>
      </c>
      <c r="Q132" s="32" t="e">
        <f>((#REF!-#REF!)/#REF!)*100</f>
        <v>#REF!</v>
      </c>
      <c r="R132" s="32" t="e">
        <f>((#REF!-#REF!)/#REF!)*100</f>
        <v>#REF!</v>
      </c>
      <c r="S132" s="32" t="e">
        <f>((#REF!-#REF!)/#REF!)*100</f>
        <v>#REF!</v>
      </c>
      <c r="T132" s="32" t="e">
        <f>((B132-#REF!)/#REF!)*100</f>
        <v>#REF!</v>
      </c>
      <c r="U132" s="32">
        <f>((C132-B132)/B132)*100</f>
        <v>50.325988605852089</v>
      </c>
      <c r="V132" s="32">
        <f t="shared" si="110"/>
        <v>16.967359788978513</v>
      </c>
      <c r="W132" s="32">
        <f t="shared" si="111"/>
        <v>-54.761686262597031</v>
      </c>
      <c r="X132" s="32">
        <f t="shared" si="64"/>
        <v>84.296805454674583</v>
      </c>
      <c r="Y132" s="32">
        <f t="shared" si="65"/>
        <v>56.229834311199753</v>
      </c>
    </row>
    <row r="133" spans="1:25" s="18" customFormat="1" ht="19.5" customHeight="1" x14ac:dyDescent="0.25">
      <c r="A133" s="19" t="s">
        <v>132</v>
      </c>
      <c r="B133" s="3"/>
      <c r="C133" s="3"/>
      <c r="D133" s="3"/>
      <c r="E133" s="3"/>
      <c r="F133" s="3"/>
      <c r="G133" s="50"/>
      <c r="H133" s="31"/>
      <c r="I133" s="32"/>
      <c r="J133" s="32"/>
      <c r="K133" s="2"/>
      <c r="L133" s="2"/>
      <c r="M133" s="2"/>
      <c r="N133" s="2"/>
      <c r="O133" s="2"/>
      <c r="P133" s="46"/>
      <c r="Q133" s="2"/>
      <c r="R133" s="2"/>
      <c r="S133" s="32"/>
      <c r="T133" s="32"/>
      <c r="U133" s="32"/>
      <c r="V133" s="32"/>
      <c r="W133" s="32"/>
      <c r="X133" s="32"/>
      <c r="Y133" s="32"/>
    </row>
    <row r="134" spans="1:25" s="18" customFormat="1" ht="19.5" customHeight="1" x14ac:dyDescent="0.25">
      <c r="A134" s="33" t="s">
        <v>133</v>
      </c>
      <c r="B134" s="20">
        <f t="shared" ref="B134:G134" si="112">SUM(B135)</f>
        <v>4030.6557939426361</v>
      </c>
      <c r="C134" s="20">
        <f t="shared" si="112"/>
        <v>950.5609300000001</v>
      </c>
      <c r="D134" s="20">
        <f t="shared" si="112"/>
        <v>39264.400130000009</v>
      </c>
      <c r="E134" s="20">
        <f t="shared" si="112"/>
        <v>71.888890000000004</v>
      </c>
      <c r="F134" s="20">
        <f t="shared" si="112"/>
        <v>7499.2061399999993</v>
      </c>
      <c r="G134" s="49">
        <f t="shared" si="112"/>
        <v>22014.524320000004</v>
      </c>
      <c r="H134" s="45" t="e">
        <f>#REF!/#REF!*100</f>
        <v>#REF!</v>
      </c>
      <c r="I134" s="2" t="e">
        <f>#REF!/#REF!*100</f>
        <v>#REF!</v>
      </c>
      <c r="J134" s="2" t="e">
        <f>#REF!/#REF!*100</f>
        <v>#REF!</v>
      </c>
      <c r="K134" s="2">
        <f>B134/$B$6*100</f>
        <v>1.1096421096374627E-2</v>
      </c>
      <c r="L134" s="2">
        <f t="shared" si="66"/>
        <v>2.085813115239107E-3</v>
      </c>
      <c r="M134" s="2">
        <f>D134/$D$6*100</f>
        <v>8.8395185849015415E-2</v>
      </c>
      <c r="N134" s="2">
        <f t="shared" si="67"/>
        <v>2.5442419218495789E-4</v>
      </c>
      <c r="O134" s="2">
        <f t="shared" si="68"/>
        <v>1.9608718650948282E-2</v>
      </c>
      <c r="P134" s="46">
        <f t="shared" si="69"/>
        <v>4.1025516460952378E-2</v>
      </c>
      <c r="Q134" s="2">
        <v>0</v>
      </c>
      <c r="R134" s="35" t="s">
        <v>148</v>
      </c>
      <c r="S134" s="2" t="e">
        <f>((#REF!-#REF!)/#REF!)*100</f>
        <v>#REF!</v>
      </c>
      <c r="T134" s="2" t="e">
        <f>((B134-#REF!)/#REF!)*100</f>
        <v>#REF!</v>
      </c>
      <c r="U134" s="2">
        <f>((C134-B134)/B134)*100</f>
        <v>-76.416717809828242</v>
      </c>
      <c r="V134" s="35" t="s">
        <v>148</v>
      </c>
      <c r="W134" s="2">
        <f t="shared" ref="W134:W135" si="113">((E134-D134)/D134)*100</f>
        <v>-99.816910764555203</v>
      </c>
      <c r="X134" s="35" t="s">
        <v>148</v>
      </c>
      <c r="Y134" s="35" t="s">
        <v>148</v>
      </c>
    </row>
    <row r="135" spans="1:25" s="18" customFormat="1" ht="19.5" customHeight="1" x14ac:dyDescent="0.25">
      <c r="A135" s="21" t="s">
        <v>134</v>
      </c>
      <c r="B135" s="3">
        <v>4030.6557939426361</v>
      </c>
      <c r="C135" s="3">
        <v>950.5609300000001</v>
      </c>
      <c r="D135" s="3">
        <v>39264.400130000009</v>
      </c>
      <c r="E135" s="3">
        <v>71.888890000000004</v>
      </c>
      <c r="F135" s="3">
        <v>7499.2061399999993</v>
      </c>
      <c r="G135" s="50">
        <v>22014.524320000004</v>
      </c>
      <c r="H135" s="31" t="e">
        <f>#REF!/#REF!*100</f>
        <v>#REF!</v>
      </c>
      <c r="I135" s="32" t="e">
        <f>#REF!/#REF!*100</f>
        <v>#REF!</v>
      </c>
      <c r="J135" s="32" t="e">
        <f>#REF!/#REF!*100</f>
        <v>#REF!</v>
      </c>
      <c r="K135" s="32">
        <f>B135/$B$6*100</f>
        <v>1.1096421096374627E-2</v>
      </c>
      <c r="L135" s="32">
        <f t="shared" si="66"/>
        <v>2.085813115239107E-3</v>
      </c>
      <c r="M135" s="32">
        <f>D135/$D$6*100</f>
        <v>8.8395185849015415E-2</v>
      </c>
      <c r="N135" s="32">
        <f t="shared" si="67"/>
        <v>2.5442419218495789E-4</v>
      </c>
      <c r="O135" s="32">
        <f t="shared" si="68"/>
        <v>1.9608718650948282E-2</v>
      </c>
      <c r="P135" s="40">
        <f t="shared" si="69"/>
        <v>4.1025516460952378E-2</v>
      </c>
      <c r="Q135" s="32">
        <v>0</v>
      </c>
      <c r="R135" s="35" t="s">
        <v>148</v>
      </c>
      <c r="S135" s="32" t="e">
        <f>((#REF!-#REF!)/#REF!)*100</f>
        <v>#REF!</v>
      </c>
      <c r="T135" s="32" t="e">
        <f>((B135-#REF!)/#REF!)*100</f>
        <v>#REF!</v>
      </c>
      <c r="U135" s="32">
        <f>((C135-B135)/B135)*100</f>
        <v>-76.416717809828242</v>
      </c>
      <c r="V135" s="35" t="s">
        <v>148</v>
      </c>
      <c r="W135" s="32">
        <f t="shared" si="113"/>
        <v>-99.816910764555203</v>
      </c>
      <c r="X135" s="35" t="s">
        <v>148</v>
      </c>
      <c r="Y135" s="35" t="s">
        <v>148</v>
      </c>
    </row>
    <row r="136" spans="1:25" s="18" customFormat="1" ht="19.5" customHeight="1" x14ac:dyDescent="0.25">
      <c r="A136" s="19" t="s">
        <v>135</v>
      </c>
      <c r="B136" s="3"/>
      <c r="C136" s="3"/>
      <c r="D136" s="3"/>
      <c r="E136" s="3"/>
      <c r="F136" s="3"/>
      <c r="G136" s="50"/>
      <c r="H136" s="31"/>
      <c r="I136" s="32"/>
      <c r="J136" s="32"/>
      <c r="K136" s="2"/>
      <c r="L136" s="2"/>
      <c r="M136" s="2"/>
      <c r="N136" s="2"/>
      <c r="O136" s="2"/>
      <c r="P136" s="46"/>
      <c r="Q136" s="2"/>
      <c r="R136" s="2"/>
      <c r="S136" s="32"/>
      <c r="T136" s="32"/>
      <c r="U136" s="32"/>
      <c r="V136" s="32"/>
      <c r="W136" s="32"/>
      <c r="X136" s="32"/>
      <c r="Y136" s="32"/>
    </row>
    <row r="137" spans="1:25" s="18" customFormat="1" ht="19.5" customHeight="1" x14ac:dyDescent="0.25">
      <c r="A137" s="33" t="s">
        <v>136</v>
      </c>
      <c r="B137" s="20">
        <f t="shared" ref="B137:C137" si="114">SUM(B138:B140)</f>
        <v>1618551.748250002</v>
      </c>
      <c r="C137" s="20">
        <f t="shared" si="114"/>
        <v>2396664.236949997</v>
      </c>
      <c r="D137" s="20">
        <f t="shared" ref="D137:E137" si="115">SUM(D138:D140)</f>
        <v>2540540.6909400043</v>
      </c>
      <c r="E137" s="20">
        <f t="shared" si="115"/>
        <v>1509539.1007399985</v>
      </c>
      <c r="F137" s="20">
        <f t="shared" ref="F137:G137" si="116">SUM(F138:F140)</f>
        <v>1620055.3521699994</v>
      </c>
      <c r="G137" s="49">
        <f t="shared" si="116"/>
        <v>1995299.6208499984</v>
      </c>
      <c r="H137" s="45" t="e">
        <f>#REF!/#REF!*100</f>
        <v>#REF!</v>
      </c>
      <c r="I137" s="2" t="e">
        <f>#REF!/#REF!*100</f>
        <v>#REF!</v>
      </c>
      <c r="J137" s="2" t="e">
        <f>#REF!/#REF!*100</f>
        <v>#REF!</v>
      </c>
      <c r="K137" s="2">
        <f>B137/$B$6*100</f>
        <v>4.4558832812879388</v>
      </c>
      <c r="L137" s="2">
        <f t="shared" ref="L137:L143" si="117">C137/$C$6*100</f>
        <v>5.2589934432239183</v>
      </c>
      <c r="M137" s="2">
        <f>D137/$D$6*100</f>
        <v>5.719470201737364</v>
      </c>
      <c r="N137" s="2">
        <f t="shared" ref="N137:N143" si="118">E137/$E$6*100</f>
        <v>5.3424564807911468</v>
      </c>
      <c r="O137" s="2">
        <f t="shared" ref="O137:O143" si="119">F137/$F$6*100</f>
        <v>4.236076326828969</v>
      </c>
      <c r="P137" s="46">
        <f t="shared" ref="P137:P143" si="120">G137/$G$6*100</f>
        <v>3.7183723004791975</v>
      </c>
      <c r="Q137" s="2" t="e">
        <f>((#REF!-#REF!)/#REF!)*100</f>
        <v>#REF!</v>
      </c>
      <c r="R137" s="2" t="e">
        <f>((#REF!-#REF!)/#REF!)*100</f>
        <v>#REF!</v>
      </c>
      <c r="S137" s="2" t="e">
        <f>((#REF!-#REF!)/#REF!)*100</f>
        <v>#REF!</v>
      </c>
      <c r="T137" s="2" t="e">
        <f>((B137-#REF!)/#REF!)*100</f>
        <v>#REF!</v>
      </c>
      <c r="U137" s="2">
        <f>((C137-B137)/B137)*100</f>
        <v>48.074612970595453</v>
      </c>
      <c r="V137" s="2">
        <f t="shared" ref="V137:W140" si="121">((D137-C137)/C137)*100</f>
        <v>6.0031960994713609</v>
      </c>
      <c r="W137" s="2">
        <f t="shared" si="121"/>
        <v>-40.581975084151608</v>
      </c>
      <c r="X137" s="2">
        <f t="shared" ref="X137:X143" si="122">((F137-E137)/E137)*100</f>
        <v>7.3211917051916151</v>
      </c>
      <c r="Y137" s="2">
        <f t="shared" ref="Y137:Y143" si="123">((G137-F137)/F137)*100</f>
        <v>23.162435047504665</v>
      </c>
    </row>
    <row r="138" spans="1:25" s="18" customFormat="1" ht="19.5" customHeight="1" x14ac:dyDescent="0.25">
      <c r="A138" s="21" t="s">
        <v>137</v>
      </c>
      <c r="B138" s="3">
        <v>1265050.6527600016</v>
      </c>
      <c r="C138" s="3">
        <v>1986609.0903599965</v>
      </c>
      <c r="D138" s="3">
        <v>2065627.7484100037</v>
      </c>
      <c r="E138" s="3">
        <v>1187903.730049999</v>
      </c>
      <c r="F138" s="3">
        <v>1127624.0338699992</v>
      </c>
      <c r="G138" s="50">
        <v>1398297.9781799985</v>
      </c>
      <c r="H138" s="31" t="e">
        <f>#REF!/#REF!*100</f>
        <v>#REF!</v>
      </c>
      <c r="I138" s="32" t="e">
        <f>#REF!/#REF!*100</f>
        <v>#REF!</v>
      </c>
      <c r="J138" s="32" t="e">
        <f>#REF!/#REF!*100</f>
        <v>#REF!</v>
      </c>
      <c r="K138" s="32">
        <f>B138/$B$6*100</f>
        <v>3.4826925118152019</v>
      </c>
      <c r="L138" s="32">
        <f t="shared" si="117"/>
        <v>4.3592106142276572</v>
      </c>
      <c r="M138" s="32">
        <f>D138/$D$6*100</f>
        <v>4.6503078644024987</v>
      </c>
      <c r="N138" s="32">
        <f t="shared" si="118"/>
        <v>4.2041468008682461</v>
      </c>
      <c r="O138" s="32">
        <f t="shared" si="119"/>
        <v>2.9484804139820846</v>
      </c>
      <c r="P138" s="40">
        <f t="shared" si="120"/>
        <v>2.6058204068948947</v>
      </c>
      <c r="Q138" s="32" t="e">
        <f>((#REF!-#REF!)/#REF!)*100</f>
        <v>#REF!</v>
      </c>
      <c r="R138" s="32" t="e">
        <f>((#REF!-#REF!)/#REF!)*100</f>
        <v>#REF!</v>
      </c>
      <c r="S138" s="32" t="e">
        <f>((#REF!-#REF!)/#REF!)*100</f>
        <v>#REF!</v>
      </c>
      <c r="T138" s="32" t="e">
        <f>((B138-#REF!)/#REF!)*100</f>
        <v>#REF!</v>
      </c>
      <c r="U138" s="32">
        <f>((C138-B138)/B138)*100</f>
        <v>57.037908800390547</v>
      </c>
      <c r="V138" s="32">
        <f t="shared" si="121"/>
        <v>3.9775645059435467</v>
      </c>
      <c r="W138" s="32">
        <f t="shared" si="121"/>
        <v>-42.491877785608949</v>
      </c>
      <c r="X138" s="32">
        <f t="shared" si="122"/>
        <v>-5.0744597104230458</v>
      </c>
      <c r="Y138" s="32">
        <f t="shared" si="123"/>
        <v>24.003917633880842</v>
      </c>
    </row>
    <row r="139" spans="1:25" s="18" customFormat="1" ht="19.5" customHeight="1" x14ac:dyDescent="0.25">
      <c r="A139" s="21" t="s">
        <v>138</v>
      </c>
      <c r="B139" s="3">
        <v>187865.37587000022</v>
      </c>
      <c r="C139" s="3">
        <v>249813.80367000037</v>
      </c>
      <c r="D139" s="3">
        <v>303396.24157000054</v>
      </c>
      <c r="E139" s="3">
        <v>184600.31278999962</v>
      </c>
      <c r="F139" s="3">
        <v>300857.22096000006</v>
      </c>
      <c r="G139" s="50">
        <v>356462.09050999995</v>
      </c>
      <c r="H139" s="31" t="e">
        <f>#REF!/#REF!*100</f>
        <v>#REF!</v>
      </c>
      <c r="I139" s="32" t="e">
        <f>#REF!/#REF!*100</f>
        <v>#REF!</v>
      </c>
      <c r="J139" s="32" t="e">
        <f>#REF!/#REF!*100</f>
        <v>#REF!</v>
      </c>
      <c r="K139" s="32">
        <f>B139/$B$6*100</f>
        <v>0.51719457742212949</v>
      </c>
      <c r="L139" s="32">
        <f t="shared" si="117"/>
        <v>0.54816571102144307</v>
      </c>
      <c r="M139" s="32">
        <f>D139/$D$6*100</f>
        <v>0.68303010031170874</v>
      </c>
      <c r="N139" s="32">
        <f t="shared" si="118"/>
        <v>0.65332467170777286</v>
      </c>
      <c r="O139" s="32">
        <f t="shared" si="119"/>
        <v>0.78667321444117844</v>
      </c>
      <c r="P139" s="40">
        <f t="shared" si="120"/>
        <v>0.66429059058240414</v>
      </c>
      <c r="Q139" s="32" t="e">
        <f>((#REF!-#REF!)/#REF!)*100</f>
        <v>#REF!</v>
      </c>
      <c r="R139" s="32" t="e">
        <f>((#REF!-#REF!)/#REF!)*100</f>
        <v>#REF!</v>
      </c>
      <c r="S139" s="32" t="e">
        <f>((#REF!-#REF!)/#REF!)*100</f>
        <v>#REF!</v>
      </c>
      <c r="T139" s="32" t="e">
        <f>((B139-#REF!)/#REF!)*100</f>
        <v>#REF!</v>
      </c>
      <c r="U139" s="32">
        <f>((C139-B139)/B139)*100</f>
        <v>32.974904243593798</v>
      </c>
      <c r="V139" s="32">
        <f t="shared" si="121"/>
        <v>21.448950023106658</v>
      </c>
      <c r="W139" s="32">
        <f t="shared" si="121"/>
        <v>-39.1553725798518</v>
      </c>
      <c r="X139" s="32">
        <f t="shared" si="122"/>
        <v>62.977633359838194</v>
      </c>
      <c r="Y139" s="32">
        <f t="shared" si="123"/>
        <v>18.482145574758444</v>
      </c>
    </row>
    <row r="140" spans="1:25" s="18" customFormat="1" ht="19.5" customHeight="1" x14ac:dyDescent="0.25">
      <c r="A140" s="21" t="s">
        <v>139</v>
      </c>
      <c r="B140" s="3">
        <v>165635.71962000011</v>
      </c>
      <c r="C140" s="3">
        <v>160241.34292000026</v>
      </c>
      <c r="D140" s="3">
        <v>171516.70096000005</v>
      </c>
      <c r="E140" s="3">
        <v>137035.05789999981</v>
      </c>
      <c r="F140" s="3">
        <v>191574.09734000004</v>
      </c>
      <c r="G140" s="50">
        <v>240539.55216000002</v>
      </c>
      <c r="H140" s="31" t="e">
        <f>#REF!/#REF!*100</f>
        <v>#REF!</v>
      </c>
      <c r="I140" s="32" t="e">
        <f>#REF!/#REF!*100</f>
        <v>#REF!</v>
      </c>
      <c r="J140" s="32" t="e">
        <f>#REF!/#REF!*100</f>
        <v>#REF!</v>
      </c>
      <c r="K140" s="32">
        <f>B140/$B$6*100</f>
        <v>0.45599619205060787</v>
      </c>
      <c r="L140" s="32">
        <f t="shared" si="117"/>
        <v>0.35161711797481909</v>
      </c>
      <c r="M140" s="32">
        <f>D140/$D$6*100</f>
        <v>0.38613223702315613</v>
      </c>
      <c r="N140" s="32">
        <f t="shared" si="118"/>
        <v>0.4849850082151273</v>
      </c>
      <c r="O140" s="32">
        <f t="shared" si="119"/>
        <v>0.50092269840570613</v>
      </c>
      <c r="P140" s="40">
        <f t="shared" si="120"/>
        <v>0.44826130300189898</v>
      </c>
      <c r="Q140" s="32" t="e">
        <f>((#REF!-#REF!)/#REF!)*100</f>
        <v>#REF!</v>
      </c>
      <c r="R140" s="32" t="e">
        <f>((#REF!-#REF!)/#REF!)*100</f>
        <v>#REF!</v>
      </c>
      <c r="S140" s="32" t="e">
        <f>((#REF!-#REF!)/#REF!)*100</f>
        <v>#REF!</v>
      </c>
      <c r="T140" s="32" t="e">
        <f>((B140-#REF!)/#REF!)*100</f>
        <v>#REF!</v>
      </c>
      <c r="U140" s="32">
        <f>((C140-B140)/B140)*100</f>
        <v>-3.2567713729717092</v>
      </c>
      <c r="V140" s="32">
        <f t="shared" si="121"/>
        <v>7.0364849885394172</v>
      </c>
      <c r="W140" s="32">
        <f t="shared" si="121"/>
        <v>-20.103956563414666</v>
      </c>
      <c r="X140" s="32">
        <f t="shared" si="122"/>
        <v>39.799333306225648</v>
      </c>
      <c r="Y140" s="32">
        <f t="shared" si="123"/>
        <v>25.55953831957644</v>
      </c>
    </row>
    <row r="141" spans="1:25" s="18" customFormat="1" ht="19.5" customHeight="1" x14ac:dyDescent="0.25">
      <c r="A141" s="19" t="s">
        <v>140</v>
      </c>
      <c r="B141" s="3"/>
      <c r="C141" s="3"/>
      <c r="D141" s="3"/>
      <c r="E141" s="3"/>
      <c r="F141" s="3"/>
      <c r="G141" s="50"/>
      <c r="H141" s="31"/>
      <c r="I141" s="32"/>
      <c r="J141" s="32"/>
      <c r="K141" s="2"/>
      <c r="L141" s="2"/>
      <c r="M141" s="2"/>
      <c r="N141" s="2"/>
      <c r="O141" s="2"/>
      <c r="P141" s="46"/>
      <c r="Q141" s="2"/>
      <c r="R141" s="2"/>
      <c r="S141" s="32"/>
      <c r="T141" s="32"/>
      <c r="U141" s="32"/>
      <c r="V141" s="32"/>
      <c r="W141" s="32"/>
      <c r="X141" s="32"/>
      <c r="Y141" s="32"/>
    </row>
    <row r="142" spans="1:25" s="18" customFormat="1" ht="19.5" customHeight="1" x14ac:dyDescent="0.25">
      <c r="A142" s="33" t="s">
        <v>141</v>
      </c>
      <c r="B142" s="20">
        <f t="shared" ref="B142:G142" si="124">SUM(B143)</f>
        <v>1630.1147400000002</v>
      </c>
      <c r="C142" s="20">
        <f t="shared" si="124"/>
        <v>1382.3535399999998</v>
      </c>
      <c r="D142" s="20">
        <f t="shared" si="124"/>
        <v>3462.9129199999988</v>
      </c>
      <c r="E142" s="20">
        <f t="shared" si="124"/>
        <v>958.44248000000005</v>
      </c>
      <c r="F142" s="20">
        <f t="shared" si="124"/>
        <v>1022.8801099999998</v>
      </c>
      <c r="G142" s="49">
        <f t="shared" si="124"/>
        <v>1876.2670500000002</v>
      </c>
      <c r="H142" s="45" t="e">
        <f>#REF!/#REF!*100</f>
        <v>#REF!</v>
      </c>
      <c r="I142" s="2" t="e">
        <f>#REF!/#REF!*100</f>
        <v>#REF!</v>
      </c>
      <c r="J142" s="2" t="e">
        <f>#REF!/#REF!*100</f>
        <v>#REF!</v>
      </c>
      <c r="K142" s="2">
        <f>B142/$B$6*100</f>
        <v>4.487716271290387E-3</v>
      </c>
      <c r="L142" s="2">
        <f>C142/$C$6*100</f>
        <v>3.0332943976870658E-3</v>
      </c>
      <c r="M142" s="2">
        <f t="shared" ref="M142:P142" si="125">D142/$C$6*100</f>
        <v>7.5986598623056711E-3</v>
      </c>
      <c r="N142" s="2">
        <f t="shared" si="125"/>
        <v>2.1031075777396989E-3</v>
      </c>
      <c r="O142" s="2">
        <f t="shared" si="125"/>
        <v>2.2445028839500271E-3</v>
      </c>
      <c r="P142" s="46">
        <f t="shared" si="125"/>
        <v>4.1170873923684088E-3</v>
      </c>
      <c r="Q142" s="2" t="e">
        <f>((#REF!-#REF!)/#REF!)*100</f>
        <v>#REF!</v>
      </c>
      <c r="R142" s="2" t="e">
        <f>((#REF!-#REF!)/#REF!)*100</f>
        <v>#REF!</v>
      </c>
      <c r="S142" s="2" t="e">
        <f>((#REF!-#REF!)/#REF!)*100</f>
        <v>#REF!</v>
      </c>
      <c r="T142" s="2" t="e">
        <f>((B142-#REF!)/#REF!)*100</f>
        <v>#REF!</v>
      </c>
      <c r="U142" s="2">
        <f>((C142-B142)/B142)*100</f>
        <v>-15.199003721664422</v>
      </c>
      <c r="V142" s="35" t="s">
        <v>148</v>
      </c>
      <c r="W142" s="2">
        <f t="shared" ref="W142" si="126">((E142-D142)/D142)*100</f>
        <v>-72.32265141683088</v>
      </c>
      <c r="X142" s="35">
        <f t="shared" si="122"/>
        <v>6.7231608932859261</v>
      </c>
      <c r="Y142" s="35">
        <f t="shared" si="123"/>
        <v>83.429810752699112</v>
      </c>
    </row>
    <row r="143" spans="1:25" s="18" customFormat="1" ht="19.5" customHeight="1" x14ac:dyDescent="0.25">
      <c r="A143" s="24" t="s">
        <v>142</v>
      </c>
      <c r="B143" s="4">
        <v>1630.1147400000002</v>
      </c>
      <c r="C143" s="4">
        <v>1382.3535399999998</v>
      </c>
      <c r="D143" s="4">
        <v>3462.9129199999988</v>
      </c>
      <c r="E143" s="4">
        <v>958.44248000000005</v>
      </c>
      <c r="F143" s="4">
        <v>1022.8801099999998</v>
      </c>
      <c r="G143" s="53">
        <v>1876.2670500000002</v>
      </c>
      <c r="H143" s="9" t="e">
        <f>#REF!/#REF!*100</f>
        <v>#REF!</v>
      </c>
      <c r="I143" s="5" t="e">
        <f>#REF!/#REF!*100</f>
        <v>#REF!</v>
      </c>
      <c r="J143" s="5" t="e">
        <f>#REF!/#REF!*100</f>
        <v>#REF!</v>
      </c>
      <c r="K143" s="5">
        <f>B143/$B$6*100</f>
        <v>4.487716271290387E-3</v>
      </c>
      <c r="L143" s="5">
        <f t="shared" si="117"/>
        <v>3.0332943976870658E-3</v>
      </c>
      <c r="M143" s="5">
        <f>D143/$D$6*100</f>
        <v>7.795988990762062E-3</v>
      </c>
      <c r="N143" s="5">
        <f t="shared" si="118"/>
        <v>3.3920533997638248E-3</v>
      </c>
      <c r="O143" s="5">
        <f t="shared" si="119"/>
        <v>2.6745988730269821E-3</v>
      </c>
      <c r="P143" s="41">
        <f t="shared" si="120"/>
        <v>3.4965472624355833E-3</v>
      </c>
      <c r="Q143" s="5" t="e">
        <f>((#REF!-#REF!)/#REF!)*100</f>
        <v>#REF!</v>
      </c>
      <c r="R143" s="5" t="e">
        <f>((#REF!-#REF!)/#REF!)*100</f>
        <v>#REF!</v>
      </c>
      <c r="S143" s="5" t="e">
        <f>((#REF!-#REF!)/#REF!)*100</f>
        <v>#REF!</v>
      </c>
      <c r="T143" s="5" t="e">
        <f>((B143-#REF!)/#REF!)*100</f>
        <v>#REF!</v>
      </c>
      <c r="U143" s="5">
        <f>((C143-B143)/B143)*100</f>
        <v>-15.199003721664422</v>
      </c>
      <c r="V143" s="36" t="s">
        <v>148</v>
      </c>
      <c r="W143" s="5">
        <f>((E143-D143)/D143)*100</f>
        <v>-72.32265141683088</v>
      </c>
      <c r="X143" s="36">
        <f t="shared" si="122"/>
        <v>6.7231608932859261</v>
      </c>
      <c r="Y143" s="36">
        <f t="shared" si="123"/>
        <v>83.429810752699112</v>
      </c>
    </row>
    <row r="144" spans="1:25" s="8" customFormat="1" ht="19.5" customHeight="1" x14ac:dyDescent="0.5">
      <c r="A144" s="37" t="s">
        <v>149</v>
      </c>
      <c r="B144" s="25"/>
      <c r="C144" s="25"/>
      <c r="D144" s="25"/>
      <c r="E144" s="25"/>
      <c r="F144" s="25"/>
      <c r="G144" s="25"/>
      <c r="H144" s="25"/>
      <c r="I144" s="25"/>
      <c r="J144" s="25"/>
      <c r="R144" s="12"/>
      <c r="U144" s="12"/>
      <c r="V144" s="29" t="s">
        <v>143</v>
      </c>
      <c r="X144" s="11"/>
      <c r="Y144" s="38" t="s">
        <v>1</v>
      </c>
    </row>
    <row r="145" spans="1:25" s="8" customFormat="1" ht="19.5" customHeight="1" x14ac:dyDescent="0.35">
      <c r="A145" s="6" t="s">
        <v>0</v>
      </c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Y145" s="30" t="s">
        <v>1</v>
      </c>
    </row>
    <row r="146" spans="1:25" s="8" customFormat="1" ht="19.5" customHeight="1" x14ac:dyDescent="0.25"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X146" s="11"/>
    </row>
    <row r="147" spans="1:25" s="8" customFormat="1" ht="19.5" customHeight="1" x14ac:dyDescent="0.25"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X147" s="11"/>
    </row>
    <row r="148" spans="1:25" s="8" customFormat="1" ht="19.5" customHeight="1" x14ac:dyDescent="0.25"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X148" s="11"/>
    </row>
    <row r="149" spans="1:25" s="8" customFormat="1" ht="19.5" customHeight="1" x14ac:dyDescent="0.25"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X149" s="11"/>
    </row>
    <row r="150" spans="1:25" s="8" customFormat="1" ht="19.5" customHeight="1" x14ac:dyDescent="0.25"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X150" s="11"/>
    </row>
    <row r="151" spans="1:25" s="8" customFormat="1" ht="19.5" customHeight="1" x14ac:dyDescent="0.25"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X151" s="11"/>
    </row>
    <row r="152" spans="1:25" s="8" customFormat="1" ht="19.5" customHeight="1" x14ac:dyDescent="0.25"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X152" s="11"/>
    </row>
    <row r="153" spans="1:25" s="8" customFormat="1" ht="19.5" customHeight="1" x14ac:dyDescent="0.25">
      <c r="A153" s="34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X153" s="11"/>
    </row>
    <row r="154" spans="1:25" s="8" customFormat="1" ht="19.5" customHeight="1" x14ac:dyDescent="0.25">
      <c r="A154" s="59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X154" s="11"/>
    </row>
    <row r="155" spans="1:25" s="8" customFormat="1" ht="19.5" customHeight="1" x14ac:dyDescent="0.25">
      <c r="A155" s="59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X155" s="11"/>
    </row>
    <row r="156" spans="1:25" s="8" customFormat="1" ht="19.5" customHeight="1" x14ac:dyDescent="0.25">
      <c r="A156" s="59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X156" s="11"/>
    </row>
    <row r="157" spans="1:25" s="8" customFormat="1" ht="19.5" customHeight="1" x14ac:dyDescent="0.25">
      <c r="A157" s="59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X157" s="11"/>
    </row>
    <row r="158" spans="1:25" s="8" customFormat="1" ht="19.5" customHeight="1" x14ac:dyDescent="0.25">
      <c r="A158" s="59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X158" s="11"/>
    </row>
    <row r="159" spans="1:25" s="8" customFormat="1" ht="19.5" customHeight="1" x14ac:dyDescent="0.25">
      <c r="A159" s="59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X159" s="11"/>
    </row>
    <row r="160" spans="1:25" s="8" customFormat="1" ht="19.5" customHeight="1" x14ac:dyDescent="0.25">
      <c r="A160" s="59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X160" s="11"/>
    </row>
    <row r="161" spans="1:24" s="8" customFormat="1" ht="19.5" customHeight="1" x14ac:dyDescent="0.25">
      <c r="A161" s="59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X161" s="11"/>
    </row>
    <row r="162" spans="1:24" s="8" customFormat="1" ht="19.5" customHeight="1" x14ac:dyDescent="0.25">
      <c r="A162" s="59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X162" s="11"/>
    </row>
    <row r="163" spans="1:24" s="8" customFormat="1" ht="19.5" customHeight="1" x14ac:dyDescent="0.25">
      <c r="A163" s="59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X163" s="11"/>
    </row>
    <row r="164" spans="1:24" s="8" customFormat="1" ht="19.5" customHeight="1" x14ac:dyDescent="0.25">
      <c r="A164" s="59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X164" s="11"/>
    </row>
    <row r="165" spans="1:24" s="8" customFormat="1" ht="19.5" customHeight="1" x14ac:dyDescent="0.25"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X165" s="11"/>
    </row>
    <row r="166" spans="1:24" s="8" customFormat="1" ht="19.5" customHeight="1" x14ac:dyDescent="0.25"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X166" s="11"/>
    </row>
    <row r="167" spans="1:24" s="8" customFormat="1" ht="19.5" customHeight="1" x14ac:dyDescent="0.25"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X167" s="11"/>
    </row>
    <row r="168" spans="1:24" s="8" customFormat="1" ht="19.5" customHeight="1" x14ac:dyDescent="0.25"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X168" s="11"/>
    </row>
    <row r="169" spans="1:24" s="8" customFormat="1" ht="19.5" customHeight="1" x14ac:dyDescent="0.25"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X169" s="11"/>
    </row>
    <row r="170" spans="1:24" s="8" customFormat="1" ht="19.5" customHeight="1" x14ac:dyDescent="0.25"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X170" s="11"/>
    </row>
    <row r="171" spans="1:24" s="8" customFormat="1" ht="19.5" customHeight="1" x14ac:dyDescent="0.25"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X171" s="11"/>
    </row>
    <row r="172" spans="1:24" s="8" customFormat="1" ht="19.5" customHeight="1" x14ac:dyDescent="0.25"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X172" s="11"/>
    </row>
    <row r="173" spans="1:24" s="8" customFormat="1" ht="19.5" customHeight="1" x14ac:dyDescent="0.25"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X173" s="11"/>
    </row>
    <row r="174" spans="1:24" s="8" customFormat="1" ht="19.5" customHeight="1" x14ac:dyDescent="0.25"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X174" s="11"/>
    </row>
    <row r="175" spans="1:24" s="8" customFormat="1" ht="19.5" customHeight="1" x14ac:dyDescent="0.25"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X175" s="11"/>
    </row>
    <row r="176" spans="1:24" s="8" customFormat="1" ht="19.5" customHeight="1" x14ac:dyDescent="0.25"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X176" s="11"/>
    </row>
    <row r="177" spans="2:24" s="8" customFormat="1" ht="19.5" customHeight="1" x14ac:dyDescent="0.25"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X177" s="11"/>
    </row>
    <row r="178" spans="2:24" s="8" customFormat="1" ht="19.5" customHeight="1" x14ac:dyDescent="0.25"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X178" s="11"/>
    </row>
    <row r="179" spans="2:24" s="8" customFormat="1" ht="19.5" customHeight="1" x14ac:dyDescent="0.25"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X179" s="11"/>
    </row>
    <row r="180" spans="2:24" s="8" customFormat="1" ht="19.5" customHeight="1" x14ac:dyDescent="0.25"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X180" s="11"/>
    </row>
    <row r="181" spans="2:24" s="8" customFormat="1" ht="19.5" customHeight="1" x14ac:dyDescent="0.25"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X181" s="11"/>
    </row>
    <row r="182" spans="2:24" s="8" customFormat="1" ht="19.5" customHeight="1" x14ac:dyDescent="0.25"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X182" s="11"/>
    </row>
    <row r="183" spans="2:24" s="8" customFormat="1" ht="19.5" customHeight="1" x14ac:dyDescent="0.25"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X183" s="11"/>
    </row>
    <row r="184" spans="2:24" s="8" customFormat="1" ht="19.5" customHeight="1" x14ac:dyDescent="0.25"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X184" s="11"/>
    </row>
    <row r="185" spans="2:24" s="8" customFormat="1" ht="19.5" customHeight="1" x14ac:dyDescent="0.25"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X185" s="11"/>
    </row>
    <row r="186" spans="2:24" s="8" customFormat="1" ht="19.5" customHeight="1" x14ac:dyDescent="0.25"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X186" s="11"/>
    </row>
    <row r="187" spans="2:24" s="8" customFormat="1" ht="19.5" customHeight="1" x14ac:dyDescent="0.25"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X187" s="11"/>
    </row>
    <row r="188" spans="2:24" s="8" customFormat="1" ht="19.5" customHeight="1" x14ac:dyDescent="0.25"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X188" s="11"/>
    </row>
    <row r="189" spans="2:24" s="8" customFormat="1" ht="19.5" customHeight="1" x14ac:dyDescent="0.25"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X189" s="11"/>
    </row>
    <row r="190" spans="2:24" s="8" customFormat="1" ht="19.5" customHeight="1" x14ac:dyDescent="0.25"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X190" s="11"/>
    </row>
    <row r="191" spans="2:24" s="8" customFormat="1" ht="19.5" customHeight="1" x14ac:dyDescent="0.25"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X191" s="11"/>
    </row>
    <row r="192" spans="2:24" s="8" customFormat="1" ht="19.5" customHeight="1" x14ac:dyDescent="0.25"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X192" s="11"/>
    </row>
    <row r="193" spans="2:24" s="8" customFormat="1" ht="19.5" customHeight="1" x14ac:dyDescent="0.25"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X193" s="11"/>
    </row>
    <row r="194" spans="2:24" s="8" customFormat="1" ht="19.5" customHeight="1" x14ac:dyDescent="0.25"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X194" s="11"/>
    </row>
    <row r="195" spans="2:24" s="8" customFormat="1" ht="19.5" customHeight="1" x14ac:dyDescent="0.25"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X195" s="11"/>
    </row>
    <row r="196" spans="2:24" s="8" customFormat="1" ht="19.5" customHeight="1" x14ac:dyDescent="0.25"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X196" s="11"/>
    </row>
    <row r="197" spans="2:24" ht="19.5" customHeight="1" x14ac:dyDescent="0.25"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</row>
    <row r="198" spans="2:24" ht="19.5" customHeight="1" x14ac:dyDescent="0.25"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</row>
    <row r="199" spans="2:24" ht="19.5" customHeight="1" x14ac:dyDescent="0.25"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</row>
    <row r="200" spans="2:24" ht="19.5" customHeight="1" x14ac:dyDescent="0.25"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</row>
    <row r="201" spans="2:24" ht="19.5" customHeight="1" x14ac:dyDescent="0.25"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</row>
    <row r="202" spans="2:24" ht="19.5" customHeight="1" x14ac:dyDescent="0.25"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</row>
    <row r="203" spans="2:24" ht="19.5" customHeight="1" x14ac:dyDescent="0.25"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</row>
    <row r="204" spans="2:24" ht="19.5" customHeight="1" x14ac:dyDescent="0.25"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</row>
    <row r="205" spans="2:24" ht="19.5" customHeight="1" x14ac:dyDescent="0.25"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</row>
    <row r="206" spans="2:24" ht="19.5" customHeight="1" x14ac:dyDescent="0.25"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</row>
    <row r="207" spans="2:24" ht="19.5" customHeight="1" x14ac:dyDescent="0.25"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</row>
    <row r="208" spans="2:24" ht="19.5" customHeight="1" x14ac:dyDescent="0.25"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</row>
    <row r="209" spans="2:16" ht="19.5" customHeight="1" x14ac:dyDescent="0.25"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</row>
    <row r="210" spans="2:16" ht="19.5" customHeight="1" x14ac:dyDescent="0.25"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</row>
    <row r="211" spans="2:16" ht="19.5" customHeight="1" x14ac:dyDescent="0.25"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</row>
    <row r="212" spans="2:16" ht="19.5" customHeight="1" x14ac:dyDescent="0.25"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</row>
    <row r="213" spans="2:16" ht="19.5" customHeight="1" x14ac:dyDescent="0.25"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</row>
    <row r="214" spans="2:16" ht="19.5" customHeight="1" x14ac:dyDescent="0.25"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</row>
    <row r="215" spans="2:16" ht="19.5" customHeight="1" x14ac:dyDescent="0.25"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</row>
    <row r="216" spans="2:16" ht="19.5" customHeight="1" x14ac:dyDescent="0.25"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</row>
    <row r="217" spans="2:16" ht="19.5" customHeight="1" x14ac:dyDescent="0.25"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</row>
    <row r="218" spans="2:16" ht="19.5" customHeight="1" x14ac:dyDescent="0.25"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</row>
    <row r="219" spans="2:16" ht="19.5" customHeight="1" x14ac:dyDescent="0.25"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</row>
    <row r="220" spans="2:16" ht="19.5" customHeight="1" x14ac:dyDescent="0.25"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</row>
    <row r="221" spans="2:16" ht="19.5" customHeight="1" x14ac:dyDescent="0.25"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</row>
    <row r="222" spans="2:16" ht="19.5" customHeight="1" x14ac:dyDescent="0.25"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</row>
    <row r="223" spans="2:16" ht="19.5" customHeight="1" x14ac:dyDescent="0.25"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</row>
    <row r="224" spans="2:16" ht="19.5" customHeight="1" x14ac:dyDescent="0.25"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</row>
    <row r="225" spans="2:16" ht="19.5" customHeight="1" x14ac:dyDescent="0.25"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</row>
    <row r="226" spans="2:16" ht="19.5" customHeight="1" x14ac:dyDescent="0.25"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</row>
    <row r="227" spans="2:16" ht="19.5" customHeight="1" x14ac:dyDescent="0.25"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</row>
    <row r="228" spans="2:16" ht="19.5" customHeight="1" x14ac:dyDescent="0.25"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</row>
    <row r="229" spans="2:16" ht="19.5" customHeight="1" x14ac:dyDescent="0.25"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</row>
    <row r="230" spans="2:16" ht="19.5" customHeight="1" x14ac:dyDescent="0.25"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</row>
    <row r="231" spans="2:16" x14ac:dyDescent="0.25"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</row>
    <row r="232" spans="2:16" x14ac:dyDescent="0.25"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</row>
    <row r="233" spans="2:16" x14ac:dyDescent="0.25"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</row>
    <row r="234" spans="2:16" x14ac:dyDescent="0.25"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</row>
    <row r="235" spans="2:16" x14ac:dyDescent="0.25"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</row>
    <row r="236" spans="2:16" x14ac:dyDescent="0.25"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</row>
    <row r="237" spans="2:16" x14ac:dyDescent="0.25"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</row>
    <row r="238" spans="2:16" x14ac:dyDescent="0.25"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</row>
    <row r="239" spans="2:16" x14ac:dyDescent="0.25"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</row>
    <row r="240" spans="2:16" x14ac:dyDescent="0.25"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</row>
    <row r="241" spans="2:16" x14ac:dyDescent="0.25"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</row>
    <row r="242" spans="2:16" x14ac:dyDescent="0.25"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</row>
    <row r="243" spans="2:16" x14ac:dyDescent="0.25"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</row>
    <row r="244" spans="2:16" x14ac:dyDescent="0.25"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</row>
    <row r="245" spans="2:16" x14ac:dyDescent="0.25"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</row>
    <row r="246" spans="2:16" x14ac:dyDescent="0.25"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</row>
    <row r="247" spans="2:16" x14ac:dyDescent="0.25"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</row>
    <row r="248" spans="2:16" x14ac:dyDescent="0.25"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</row>
  </sheetData>
  <mergeCells count="10">
    <mergeCell ref="A2:Y2"/>
    <mergeCell ref="A1:Y1"/>
    <mergeCell ref="A154:A164"/>
    <mergeCell ref="A3:A5"/>
    <mergeCell ref="H3:P3"/>
    <mergeCell ref="H4:P4"/>
    <mergeCell ref="Q3:Y3"/>
    <mergeCell ref="Q4:Y4"/>
    <mergeCell ref="C3:G3"/>
    <mergeCell ref="C4:G4"/>
  </mergeCells>
  <pageMargins left="0.7" right="0.7" top="0.75" bottom="0.75" header="0.3" footer="0.3"/>
  <pageSetup paperSize="9" scale="42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15.8</vt:lpstr>
      <vt:lpstr>'15.8'!Print_Area</vt:lpstr>
      <vt:lpstr>'15.8'!Print_Titles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2023-07-20T05:39:23Z</cp:lastPrinted>
  <dcterms:created xsi:type="dcterms:W3CDTF">2019-12-05T04:01:34Z</dcterms:created>
  <dcterms:modified xsi:type="dcterms:W3CDTF">2023-07-20T05:39:33Z</dcterms:modified>
</cp:coreProperties>
</file>