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3\FINAL\Health\"/>
    </mc:Choice>
  </mc:AlternateContent>
  <xr:revisionPtr revIDLastSave="0" documentId="13_ncr:1_{3BB27F25-AD11-47CD-82BE-5C0BE12B2ED8}" xr6:coauthVersionLast="47" xr6:coauthVersionMax="47" xr10:uidLastSave="{00000000-0000-0000-0000-000000000000}"/>
  <bookViews>
    <workbookView xWindow="-120" yWindow="-120" windowWidth="29040" windowHeight="15720" tabRatio="885" xr2:uid="{00000000-000D-0000-FFFF-FFFF00000000}"/>
  </bookViews>
  <sheets>
    <sheet name="6.17" sheetId="17" r:id="rId1"/>
  </sheets>
  <externalReferences>
    <externalReference r:id="rId2"/>
    <externalReference r:id="rId3"/>
    <externalReference r:id="rId4"/>
    <externalReference r:id="rId5"/>
  </externalReferences>
  <definedNames>
    <definedName name="_xlnm.Print_Area" localSheetId="0">'6.17'!$A$1:$N$34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0" i="17" l="1"/>
  <c r="M8" i="17" s="1"/>
  <c r="L10" i="17"/>
  <c r="L8" i="17" s="1"/>
  <c r="K10" i="17"/>
  <c r="K8" i="17" s="1"/>
  <c r="J10" i="17"/>
  <c r="J8" i="17" s="1"/>
  <c r="I10" i="17"/>
  <c r="I8" i="17" s="1"/>
  <c r="H10" i="17"/>
  <c r="H8" i="17" s="1"/>
  <c r="G10" i="17"/>
  <c r="G8" i="17" s="1"/>
  <c r="F10" i="17"/>
  <c r="F8" i="17" s="1"/>
  <c r="E10" i="17"/>
  <c r="E8" i="17" s="1"/>
  <c r="D10" i="17"/>
  <c r="D8" i="17" s="1"/>
  <c r="C10" i="17"/>
  <c r="C8" i="17" s="1"/>
  <c r="B10" i="17"/>
  <c r="B8" i="17" s="1"/>
</calcChain>
</file>

<file path=xl/sharedStrings.xml><?xml version="1.0" encoding="utf-8"?>
<sst xmlns="http://schemas.openxmlformats.org/spreadsheetml/2006/main" count="47" uniqueCount="37">
  <si>
    <t>Republic</t>
  </si>
  <si>
    <t>HA</t>
  </si>
  <si>
    <t>N</t>
  </si>
  <si>
    <t>R</t>
  </si>
  <si>
    <t>B</t>
  </si>
  <si>
    <t>K</t>
  </si>
  <si>
    <t>AA</t>
  </si>
  <si>
    <t>V</t>
  </si>
  <si>
    <t>M</t>
  </si>
  <si>
    <t>F</t>
  </si>
  <si>
    <t>L</t>
  </si>
  <si>
    <t>GA</t>
  </si>
  <si>
    <t>S</t>
  </si>
  <si>
    <t xml:space="preserve">Locality </t>
  </si>
  <si>
    <t xml:space="preserve">Acute Respiratory Infection </t>
  </si>
  <si>
    <t>Viral Fever</t>
  </si>
  <si>
    <t xml:space="preserve">Diarrhoea </t>
  </si>
  <si>
    <t>Scrub Typhus</t>
  </si>
  <si>
    <t>*Dengue Fever</t>
  </si>
  <si>
    <t xml:space="preserve">**Typhoid </t>
  </si>
  <si>
    <t>Under 5 years</t>
  </si>
  <si>
    <t>Above 5 years</t>
  </si>
  <si>
    <t xml:space="preserve">Male' </t>
  </si>
  <si>
    <t xml:space="preserve">Atoll </t>
  </si>
  <si>
    <t>HDh</t>
  </si>
  <si>
    <t>Sh</t>
  </si>
  <si>
    <t>Lh</t>
  </si>
  <si>
    <t>A Dh</t>
  </si>
  <si>
    <t>Dh</t>
  </si>
  <si>
    <t>Th</t>
  </si>
  <si>
    <t>GDh</t>
  </si>
  <si>
    <t>Gn</t>
  </si>
  <si>
    <t>* Include DHF and DSS cases / ** vital positive cases only</t>
  </si>
  <si>
    <t>Source: Health Protection Agency</t>
  </si>
  <si>
    <t>މަޢުލޫމާތު ދެއްވި ފަރާތް: ހެލްތް ޕްރޮޓެކްޝަން އޭޖެންސީ</t>
  </si>
  <si>
    <r>
      <t xml:space="preserve">Table 6.17: TOTAL NO. OF REPORTED CASES BY SELECTED </t>
    </r>
    <r>
      <rPr>
        <b/>
        <sz val="11"/>
        <color indexed="8"/>
        <rFont val="Calibri"/>
        <family val="2"/>
      </rPr>
      <t xml:space="preserve"> DISEASES BY LOCALITY, 2017</t>
    </r>
  </si>
  <si>
    <t>ތާވަލު 6.17: ތަނުގެ ގޮތުން ރިޕޯޓްކުރެވިފައިވާ ބަލިތައް،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</si>
</sst>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General_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Faruma"/>
    </font>
    <font>
      <i/>
      <sz val="9"/>
      <color theme="1"/>
      <name val="Calibri"/>
      <family val="2"/>
      <scheme val="minor"/>
    </font>
    <font>
      <i/>
      <sz val="10"/>
      <name val="Calibri"/>
      <family val="2"/>
      <scheme val="minor"/>
    </font>
    <font>
      <sz val="10"/>
      <color theme="1"/>
      <name val="Faruma"/>
    </font>
    <font>
      <sz val="10"/>
      <name val="Arial"/>
      <family val="2"/>
    </font>
    <font>
      <sz val="11"/>
      <name val="Calibri"/>
      <family val="2"/>
      <scheme val="minor"/>
    </font>
    <font>
      <sz val="10"/>
      <name val="Courier"/>
      <family val="3"/>
    </font>
    <font>
      <sz val="10"/>
      <name val="MS Sans Serif"/>
      <family val="2"/>
    </font>
    <font>
      <sz val="11"/>
      <name val="Arial"/>
      <family val="2"/>
    </font>
    <font>
      <b/>
      <sz val="11"/>
      <color indexed="8"/>
      <name val="Calibri"/>
      <family val="2"/>
    </font>
    <font>
      <b/>
      <sz val="11"/>
      <name val="Arial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theme="1"/>
      </bottom>
      <diagonal/>
    </border>
    <border>
      <left/>
      <right style="hair">
        <color indexed="64"/>
      </right>
      <top style="thin">
        <color indexed="64"/>
      </top>
      <bottom style="hair">
        <color theme="1"/>
      </bottom>
      <diagonal/>
    </border>
    <border>
      <left/>
      <right/>
      <top style="thin">
        <color indexed="64"/>
      </top>
      <bottom style="hair">
        <color theme="1"/>
      </bottom>
      <diagonal/>
    </border>
    <border>
      <left/>
      <right style="hair">
        <color theme="1" tint="4.9989318521683403E-2"/>
      </right>
      <top/>
      <bottom/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0" fontId="1" fillId="0" borderId="0"/>
    <xf numFmtId="165" fontId="10" fillId="0" borderId="0"/>
    <xf numFmtId="165" fontId="10" fillId="0" borderId="0"/>
    <xf numFmtId="165" fontId="10" fillId="0" borderId="0"/>
    <xf numFmtId="40" fontId="11" fillId="0" borderId="0" applyFont="0" applyFill="0" applyBorder="0" applyAlignment="0" applyProtection="0"/>
    <xf numFmtId="165" fontId="10" fillId="0" borderId="0"/>
    <xf numFmtId="0" fontId="1" fillId="0" borderId="0"/>
    <xf numFmtId="0" fontId="8" fillId="0" borderId="0"/>
  </cellStyleXfs>
  <cellXfs count="50">
    <xf numFmtId="0" fontId="0" fillId="0" borderId="0" xfId="0"/>
    <xf numFmtId="165" fontId="12" fillId="2" borderId="0" xfId="0" applyNumberFormat="1" applyFont="1" applyFill="1"/>
    <xf numFmtId="165" fontId="2" fillId="2" borderId="0" xfId="0" applyNumberFormat="1" applyFont="1" applyFill="1"/>
    <xf numFmtId="165" fontId="1" fillId="2" borderId="0" xfId="0" applyNumberFormat="1" applyFont="1" applyFill="1" applyAlignment="1">
      <alignment horizontal="center"/>
    </xf>
    <xf numFmtId="165" fontId="2" fillId="2" borderId="2" xfId="0" applyNumberFormat="1" applyFont="1" applyFill="1" applyBorder="1" applyAlignment="1">
      <alignment horizontal="right" vertical="center" wrapText="1"/>
    </xf>
    <xf numFmtId="165" fontId="2" fillId="2" borderId="4" xfId="0" applyNumberFormat="1" applyFont="1" applyFill="1" applyBorder="1" applyAlignment="1">
      <alignment horizontal="right" vertical="center" wrapText="1"/>
    </xf>
    <xf numFmtId="165" fontId="2" fillId="2" borderId="3" xfId="0" applyNumberFormat="1" applyFont="1" applyFill="1" applyBorder="1" applyAlignment="1">
      <alignment horizontal="right" vertical="center" wrapText="1"/>
    </xf>
    <xf numFmtId="165" fontId="2" fillId="2" borderId="0" xfId="0" applyNumberFormat="1" applyFont="1" applyFill="1" applyAlignment="1">
      <alignment horizontal="left" vertical="center" indent="1"/>
    </xf>
    <xf numFmtId="3" fontId="2" fillId="2" borderId="1" xfId="1" applyNumberFormat="1" applyFont="1" applyFill="1" applyBorder="1" applyAlignment="1">
      <alignment horizontal="right" vertical="center"/>
    </xf>
    <xf numFmtId="3" fontId="2" fillId="2" borderId="5" xfId="1" applyNumberFormat="1" applyFont="1" applyFill="1" applyBorder="1" applyAlignment="1">
      <alignment horizontal="right" vertical="center"/>
    </xf>
    <xf numFmtId="3" fontId="2" fillId="2" borderId="6" xfId="1" applyNumberFormat="1" applyFont="1" applyFill="1" applyBorder="1" applyAlignment="1">
      <alignment horizontal="right" vertical="center"/>
    </xf>
    <xf numFmtId="3" fontId="2" fillId="2" borderId="0" xfId="1" applyNumberFormat="1" applyFont="1" applyFill="1" applyBorder="1" applyAlignment="1">
      <alignment horizontal="right" vertical="center"/>
    </xf>
    <xf numFmtId="165" fontId="0" fillId="2" borderId="0" xfId="0" applyNumberFormat="1" applyFill="1" applyAlignment="1">
      <alignment horizontal="left" vertical="center" indent="2"/>
    </xf>
    <xf numFmtId="165" fontId="0" fillId="2" borderId="2" xfId="0" applyNumberFormat="1" applyFill="1" applyBorder="1" applyAlignment="1">
      <alignment horizontal="left" vertical="center" indent="2"/>
    </xf>
    <xf numFmtId="165" fontId="5" fillId="2" borderId="0" xfId="0" applyNumberFormat="1" applyFont="1" applyFill="1"/>
    <xf numFmtId="165" fontId="0" fillId="2" borderId="0" xfId="0" applyNumberFormat="1" applyFill="1" applyAlignment="1">
      <alignment horizontal="center"/>
    </xf>
    <xf numFmtId="165" fontId="6" fillId="2" borderId="0" xfId="2" applyNumberFormat="1" applyFont="1" applyFill="1" applyAlignment="1">
      <alignment horizontal="left" vertical="center"/>
    </xf>
    <xf numFmtId="165" fontId="7" fillId="2" borderId="0" xfId="0" applyNumberFormat="1" applyFont="1" applyFill="1" applyAlignment="1">
      <alignment horizontal="right" vertical="center"/>
    </xf>
    <xf numFmtId="3" fontId="9" fillId="2" borderId="5" xfId="1" applyNumberFormat="1" applyFont="1" applyFill="1" applyBorder="1" applyAlignment="1">
      <alignment horizontal="right" vertical="center" wrapText="1"/>
    </xf>
    <xf numFmtId="3" fontId="9" fillId="2" borderId="6" xfId="1" applyNumberFormat="1" applyFont="1" applyFill="1" applyBorder="1" applyAlignment="1">
      <alignment horizontal="right" vertical="center" wrapText="1"/>
    </xf>
    <xf numFmtId="3" fontId="1" fillId="2" borderId="0" xfId="1" applyNumberFormat="1" applyFont="1" applyFill="1" applyBorder="1" applyAlignment="1">
      <alignment horizontal="right" vertical="center"/>
    </xf>
    <xf numFmtId="3" fontId="1" fillId="2" borderId="5" xfId="1" applyNumberFormat="1" applyFont="1" applyFill="1" applyBorder="1" applyAlignment="1">
      <alignment horizontal="right"/>
    </xf>
    <xf numFmtId="3" fontId="1" fillId="2" borderId="6" xfId="1" applyNumberFormat="1" applyFont="1" applyFill="1" applyBorder="1" applyAlignment="1">
      <alignment horizontal="right"/>
    </xf>
    <xf numFmtId="3" fontId="15" fillId="2" borderId="0" xfId="0" applyNumberFormat="1" applyFont="1" applyFill="1" applyAlignment="1">
      <alignment horizontal="right" vertical="center"/>
    </xf>
    <xf numFmtId="0" fontId="15" fillId="2" borderId="0" xfId="0" applyFont="1" applyFill="1" applyAlignment="1">
      <alignment horizontal="right" vertical="center"/>
    </xf>
    <xf numFmtId="0" fontId="15" fillId="2" borderId="2" xfId="0" applyFont="1" applyFill="1" applyBorder="1" applyAlignment="1">
      <alignment horizontal="right" vertical="center"/>
    </xf>
    <xf numFmtId="3" fontId="15" fillId="2" borderId="2" xfId="0" applyNumberFormat="1" applyFont="1" applyFill="1" applyBorder="1" applyAlignment="1">
      <alignment horizontal="right" vertical="center"/>
    </xf>
    <xf numFmtId="165" fontId="14" fillId="2" borderId="0" xfId="0" applyNumberFormat="1" applyFont="1" applyFill="1"/>
    <xf numFmtId="165" fontId="12" fillId="2" borderId="0" xfId="0" applyNumberFormat="1" applyFont="1" applyFill="1" applyAlignment="1">
      <alignment horizontal="center"/>
    </xf>
    <xf numFmtId="3" fontId="3" fillId="2" borderId="0" xfId="1" applyNumberFormat="1" applyFont="1" applyFill="1" applyBorder="1" applyAlignment="1">
      <alignment horizontal="right" vertical="center" wrapText="1"/>
    </xf>
    <xf numFmtId="3" fontId="3" fillId="2" borderId="11" xfId="1" applyNumberFormat="1" applyFont="1" applyFill="1" applyBorder="1" applyAlignment="1">
      <alignment horizontal="right" vertical="center" wrapText="1"/>
    </xf>
    <xf numFmtId="3" fontId="3" fillId="2" borderId="5" xfId="1" applyNumberFormat="1" applyFont="1" applyFill="1" applyBorder="1" applyAlignment="1">
      <alignment horizontal="right" vertical="center" wrapText="1"/>
    </xf>
    <xf numFmtId="3" fontId="3" fillId="2" borderId="6" xfId="1" applyNumberFormat="1" applyFont="1" applyFill="1" applyBorder="1" applyAlignment="1">
      <alignment horizontal="right" vertical="center" wrapText="1"/>
    </xf>
    <xf numFmtId="3" fontId="2" fillId="2" borderId="5" xfId="1" applyNumberFormat="1" applyFont="1" applyFill="1" applyBorder="1" applyAlignment="1">
      <alignment horizontal="right"/>
    </xf>
    <xf numFmtId="3" fontId="2" fillId="2" borderId="6" xfId="1" applyNumberFormat="1" applyFont="1" applyFill="1" applyBorder="1" applyAlignment="1">
      <alignment horizontal="right"/>
    </xf>
    <xf numFmtId="3" fontId="1" fillId="2" borderId="5" xfId="1" applyNumberFormat="1" applyFont="1" applyFill="1" applyBorder="1" applyAlignment="1">
      <alignment horizontal="right" vertical="center"/>
    </xf>
    <xf numFmtId="3" fontId="9" fillId="2" borderId="4" xfId="1" applyNumberFormat="1" applyFont="1" applyFill="1" applyBorder="1" applyAlignment="1">
      <alignment horizontal="right" vertical="center" wrapText="1"/>
    </xf>
    <xf numFmtId="3" fontId="9" fillId="2" borderId="3" xfId="1" applyNumberFormat="1" applyFont="1" applyFill="1" applyBorder="1" applyAlignment="1">
      <alignment horizontal="right" vertical="center" wrapText="1"/>
    </xf>
    <xf numFmtId="3" fontId="1" fillId="2" borderId="4" xfId="1" applyNumberFormat="1" applyFont="1" applyFill="1" applyBorder="1" applyAlignment="1">
      <alignment horizontal="right" vertical="center"/>
    </xf>
    <xf numFmtId="3" fontId="1" fillId="2" borderId="2" xfId="1" applyNumberFormat="1" applyFont="1" applyFill="1" applyBorder="1" applyAlignment="1">
      <alignment horizontal="right" vertical="center"/>
    </xf>
    <xf numFmtId="3" fontId="1" fillId="2" borderId="4" xfId="1" applyNumberFormat="1" applyFont="1" applyFill="1" applyBorder="1" applyAlignment="1">
      <alignment horizontal="right"/>
    </xf>
    <xf numFmtId="3" fontId="1" fillId="2" borderId="3" xfId="1" applyNumberFormat="1" applyFont="1" applyFill="1" applyBorder="1" applyAlignment="1">
      <alignment horizontal="right"/>
    </xf>
    <xf numFmtId="165" fontId="4" fillId="2" borderId="0" xfId="0" applyNumberFormat="1" applyFont="1" applyFill="1" applyAlignment="1">
      <alignment horizontal="center" vertical="center"/>
    </xf>
    <xf numFmtId="165" fontId="2" fillId="2" borderId="0" xfId="0" applyNumberFormat="1" applyFont="1" applyFill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165" fontId="2" fillId="2" borderId="2" xfId="0" applyNumberFormat="1" applyFont="1" applyFill="1" applyBorder="1" applyAlignment="1">
      <alignment horizontal="center" vertical="center"/>
    </xf>
    <xf numFmtId="165" fontId="2" fillId="2" borderId="7" xfId="0" applyNumberFormat="1" applyFont="1" applyFill="1" applyBorder="1" applyAlignment="1">
      <alignment horizontal="center" vertical="center" wrapText="1"/>
    </xf>
    <xf numFmtId="165" fontId="2" fillId="2" borderId="8" xfId="0" applyNumberFormat="1" applyFont="1" applyFill="1" applyBorder="1" applyAlignment="1">
      <alignment horizontal="center" vertical="center"/>
    </xf>
    <xf numFmtId="165" fontId="2" fillId="2" borderId="9" xfId="0" applyNumberFormat="1" applyFont="1" applyFill="1" applyBorder="1" applyAlignment="1">
      <alignment horizontal="center" vertical="center"/>
    </xf>
    <xf numFmtId="165" fontId="2" fillId="2" borderId="10" xfId="0" applyNumberFormat="1" applyFont="1" applyFill="1" applyBorder="1" applyAlignment="1">
      <alignment horizontal="center" vertical="center"/>
    </xf>
  </cellXfs>
  <cellStyles count="10">
    <cellStyle name="1" xfId="9" xr:uid="{00000000-0005-0000-0000-000000000000}"/>
    <cellStyle name="Comma" xfId="1" builtinId="3"/>
    <cellStyle name="Comma 3" xfId="6" xr:uid="{00000000-0005-0000-0000-000002000000}"/>
    <cellStyle name="Normal" xfId="0" builtinId="0"/>
    <cellStyle name="Normal 14" xfId="3" xr:uid="{00000000-0005-0000-0000-000004000000}"/>
    <cellStyle name="Normal 15" xfId="5" xr:uid="{00000000-0005-0000-0000-000005000000}"/>
    <cellStyle name="Normal 17" xfId="8" xr:uid="{00000000-0005-0000-0000-000006000000}"/>
    <cellStyle name="Normal 2" xfId="2" xr:uid="{00000000-0005-0000-0000-000007000000}"/>
    <cellStyle name="Normal 3" xfId="4" xr:uid="{00000000-0005-0000-0000-000008000000}"/>
    <cellStyle name="Normal 9" xfId="7" xr:uid="{00000000-0005-0000-0000-000009000000}"/>
  </cellStyles>
  <dxfs count="0"/>
  <tableStyles count="0" defaultTableStyle="TableStyleMedium2" defaultPivotStyle="PivotStyleLight16"/>
  <colors>
    <mruColors>
      <color rgb="FF33CCCC"/>
      <color rgb="FF249390"/>
      <color rgb="FFC4F2F1"/>
      <color rgb="FFDAF7F6"/>
      <color rgb="FFFF9900"/>
      <color rgb="FF196563"/>
      <color rgb="FFEAFAFA"/>
      <color rgb="FF996633"/>
      <color rgb="FFECD9C6"/>
      <color rgb="FFE1C2A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8\FINAL\web\New%20folder\6.HEALTH\6.1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RECEIVED/Health%20-%20Police%20new%20to%20mail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8\st4\April%202021\YEARBOOK%202021_%20Work%20from%20Home\RECEIVED\6.%20HEALTH_%20MP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8\FINAL\web\New%20folder\6.HEALTH\6.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.12"/>
    </sheetNames>
    <sheetDataSet>
      <sheetData sheetId="0">
        <row r="4">
          <cell r="C4" t="str">
            <v>Under 16</v>
          </cell>
          <cell r="D4" t="str">
            <v>16 - 24</v>
          </cell>
          <cell r="E4" t="str">
            <v>25 - 39</v>
          </cell>
          <cell r="F4" t="str">
            <v>40 +</v>
          </cell>
        </row>
        <row r="21">
          <cell r="C21">
            <v>4</v>
          </cell>
          <cell r="D21">
            <v>229</v>
          </cell>
          <cell r="E21">
            <v>308</v>
          </cell>
          <cell r="F21">
            <v>86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.12"/>
    </sheetNames>
    <sheetDataSet>
      <sheetData sheetId="0">
        <row r="4">
          <cell r="C4" t="str">
            <v>Under 16</v>
          </cell>
          <cell r="D4" t="str">
            <v>16 - 24</v>
          </cell>
          <cell r="E4" t="str">
            <v>25 - 39</v>
          </cell>
          <cell r="F4" t="str">
            <v>40+</v>
          </cell>
        </row>
        <row r="21">
          <cell r="C21">
            <v>4</v>
          </cell>
          <cell r="D21">
            <v>229</v>
          </cell>
          <cell r="E21">
            <v>308</v>
          </cell>
          <cell r="F21">
            <v>86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.14"/>
    </sheetNames>
    <sheetDataSet>
      <sheetData sheetId="0">
        <row r="4">
          <cell r="A4" t="str">
            <v>Year</v>
          </cell>
          <cell r="C4" t="str">
            <v>Under 16</v>
          </cell>
          <cell r="D4" t="str">
            <v>16 - 24</v>
          </cell>
          <cell r="E4" t="str">
            <v>25 - 39</v>
          </cell>
          <cell r="F4" t="str">
            <v>40+</v>
          </cell>
        </row>
        <row r="9">
          <cell r="A9">
            <v>2005</v>
          </cell>
          <cell r="B9">
            <v>615</v>
          </cell>
        </row>
        <row r="10">
          <cell r="A10">
            <v>2006</v>
          </cell>
          <cell r="B10">
            <v>783</v>
          </cell>
        </row>
        <row r="11">
          <cell r="A11">
            <v>2007</v>
          </cell>
          <cell r="B11">
            <v>1187</v>
          </cell>
        </row>
        <row r="12">
          <cell r="A12">
            <v>2008</v>
          </cell>
          <cell r="B12">
            <v>1804</v>
          </cell>
        </row>
        <row r="13">
          <cell r="A13">
            <v>2009</v>
          </cell>
          <cell r="B13">
            <v>918</v>
          </cell>
        </row>
        <row r="14">
          <cell r="A14">
            <v>2010</v>
          </cell>
          <cell r="B14">
            <v>622</v>
          </cell>
        </row>
        <row r="15">
          <cell r="A15">
            <v>2011</v>
          </cell>
          <cell r="B15">
            <v>534</v>
          </cell>
        </row>
        <row r="16">
          <cell r="A16">
            <v>2012</v>
          </cell>
          <cell r="B16">
            <v>1005</v>
          </cell>
        </row>
        <row r="17">
          <cell r="A17">
            <v>2013</v>
          </cell>
          <cell r="B17">
            <v>1836</v>
          </cell>
          <cell r="C17">
            <v>11</v>
          </cell>
          <cell r="D17">
            <v>629</v>
          </cell>
          <cell r="E17">
            <v>1021</v>
          </cell>
          <cell r="F17">
            <v>175</v>
          </cell>
        </row>
        <row r="18">
          <cell r="A18">
            <v>2014</v>
          </cell>
          <cell r="B18">
            <v>2311</v>
          </cell>
          <cell r="C18">
            <v>18</v>
          </cell>
          <cell r="D18">
            <v>777</v>
          </cell>
          <cell r="E18">
            <v>1277</v>
          </cell>
          <cell r="F18">
            <v>239</v>
          </cell>
        </row>
        <row r="19">
          <cell r="A19">
            <v>2015</v>
          </cell>
          <cell r="B19">
            <v>1386</v>
          </cell>
          <cell r="C19">
            <v>11</v>
          </cell>
          <cell r="D19">
            <v>514</v>
          </cell>
          <cell r="E19">
            <v>719</v>
          </cell>
          <cell r="F19">
            <v>142</v>
          </cell>
        </row>
        <row r="20">
          <cell r="A20">
            <v>2016</v>
          </cell>
          <cell r="B20">
            <v>1546</v>
          </cell>
          <cell r="C20">
            <v>19</v>
          </cell>
          <cell r="D20">
            <v>535</v>
          </cell>
          <cell r="E20">
            <v>777</v>
          </cell>
          <cell r="F20">
            <v>215</v>
          </cell>
        </row>
        <row r="21">
          <cell r="A21">
            <v>2017</v>
          </cell>
          <cell r="B21">
            <v>627</v>
          </cell>
          <cell r="C21">
            <v>4</v>
          </cell>
          <cell r="D21">
            <v>229</v>
          </cell>
          <cell r="E21">
            <v>308</v>
          </cell>
          <cell r="F21">
            <v>86</v>
          </cell>
        </row>
        <row r="22">
          <cell r="A22">
            <v>2018</v>
          </cell>
          <cell r="B22">
            <v>799</v>
          </cell>
          <cell r="C22">
            <v>10</v>
          </cell>
          <cell r="D22">
            <v>277</v>
          </cell>
          <cell r="E22">
            <v>443</v>
          </cell>
          <cell r="F22">
            <v>69</v>
          </cell>
        </row>
        <row r="23">
          <cell r="A23">
            <v>2019</v>
          </cell>
          <cell r="B23">
            <v>1172</v>
          </cell>
          <cell r="D23">
            <v>352</v>
          </cell>
          <cell r="E23">
            <v>634</v>
          </cell>
          <cell r="F23">
            <v>178</v>
          </cell>
        </row>
        <row r="24">
          <cell r="A24">
            <v>2020</v>
          </cell>
          <cell r="B24">
            <v>978</v>
          </cell>
          <cell r="D24">
            <v>265</v>
          </cell>
          <cell r="E24">
            <v>590</v>
          </cell>
          <cell r="F24">
            <v>114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.15"/>
    </sheetNames>
    <sheetDataSet>
      <sheetData sheetId="0">
        <row r="4">
          <cell r="B4" t="str">
            <v xml:space="preserve">Acute Respiratory Infection </v>
          </cell>
          <cell r="D4" t="str">
            <v>Viral Fever</v>
          </cell>
          <cell r="F4" t="str">
            <v xml:space="preserve">Diarrhoea </v>
          </cell>
        </row>
        <row r="5">
          <cell r="B5" t="str">
            <v>Under 5 years</v>
          </cell>
          <cell r="C5" t="str">
            <v>Above 5 years</v>
          </cell>
          <cell r="D5" t="str">
            <v>Under 5 years</v>
          </cell>
          <cell r="E5" t="str">
            <v>Above 5 years</v>
          </cell>
          <cell r="F5" t="str">
            <v>Under 5 years</v>
          </cell>
          <cell r="G5" t="str">
            <v>Above 5 years</v>
          </cell>
        </row>
        <row r="7">
          <cell r="A7" t="str">
            <v xml:space="preserve">Male' </v>
          </cell>
          <cell r="B7">
            <v>21902</v>
          </cell>
          <cell r="C7">
            <v>79985</v>
          </cell>
          <cell r="D7">
            <v>7806</v>
          </cell>
          <cell r="E7">
            <v>20744</v>
          </cell>
          <cell r="F7">
            <v>3692</v>
          </cell>
          <cell r="G7">
            <v>11873</v>
          </cell>
        </row>
        <row r="8">
          <cell r="A8" t="str">
            <v xml:space="preserve">Atoll </v>
          </cell>
          <cell r="B8">
            <v>54195</v>
          </cell>
          <cell r="C8">
            <v>76449</v>
          </cell>
          <cell r="D8">
            <v>17687</v>
          </cell>
          <cell r="E8">
            <v>28253</v>
          </cell>
          <cell r="F8">
            <v>4538</v>
          </cell>
          <cell r="G8">
            <v>9879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C000"/>
  </sheetPr>
  <dimension ref="A3:M32"/>
  <sheetViews>
    <sheetView tabSelected="1" topLeftCell="B1" zoomScaleNormal="100" workbookViewId="0">
      <selection activeCell="R16" sqref="R16"/>
    </sheetView>
  </sheetViews>
  <sheetFormatPr defaultColWidth="9.140625" defaultRowHeight="15" x14ac:dyDescent="0.25"/>
  <cols>
    <col min="1" max="1" width="13.28515625" style="27" customWidth="1"/>
    <col min="2" max="7" width="11.5703125" style="28" customWidth="1"/>
    <col min="8" max="13" width="8.7109375" style="28" customWidth="1"/>
    <col min="14" max="14" width="3.140625" style="1" customWidth="1"/>
    <col min="15" max="16384" width="9.140625" style="1"/>
  </cols>
  <sheetData>
    <row r="3" spans="1:13" ht="21" x14ac:dyDescent="0.2">
      <c r="A3" s="42" t="s">
        <v>36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</row>
    <row r="4" spans="1:13" x14ac:dyDescent="0.2">
      <c r="A4" s="43" t="s">
        <v>35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</row>
    <row r="5" spans="1:13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x14ac:dyDescent="0.2">
      <c r="A6" s="44" t="s">
        <v>13</v>
      </c>
      <c r="B6" s="46" t="s">
        <v>14</v>
      </c>
      <c r="C6" s="46"/>
      <c r="D6" s="47" t="s">
        <v>15</v>
      </c>
      <c r="E6" s="48"/>
      <c r="F6" s="47" t="s">
        <v>16</v>
      </c>
      <c r="G6" s="48"/>
      <c r="H6" s="49" t="s">
        <v>17</v>
      </c>
      <c r="I6" s="49"/>
      <c r="J6" s="47" t="s">
        <v>18</v>
      </c>
      <c r="K6" s="48"/>
      <c r="L6" s="49" t="s">
        <v>19</v>
      </c>
      <c r="M6" s="49"/>
    </row>
    <row r="7" spans="1:13" ht="65.25" customHeight="1" x14ac:dyDescent="0.2">
      <c r="A7" s="45"/>
      <c r="B7" s="4" t="s">
        <v>20</v>
      </c>
      <c r="C7" s="4" t="s">
        <v>21</v>
      </c>
      <c r="D7" s="5" t="s">
        <v>20</v>
      </c>
      <c r="E7" s="6" t="s">
        <v>21</v>
      </c>
      <c r="F7" s="5" t="s">
        <v>20</v>
      </c>
      <c r="G7" s="6" t="s">
        <v>21</v>
      </c>
      <c r="H7" s="4" t="s">
        <v>20</v>
      </c>
      <c r="I7" s="4" t="s">
        <v>21</v>
      </c>
      <c r="J7" s="5" t="s">
        <v>20</v>
      </c>
      <c r="K7" s="6" t="s">
        <v>21</v>
      </c>
      <c r="L7" s="4" t="s">
        <v>20</v>
      </c>
      <c r="M7" s="4" t="s">
        <v>21</v>
      </c>
    </row>
    <row r="8" spans="1:13" x14ac:dyDescent="0.2">
      <c r="A8" s="7" t="s">
        <v>0</v>
      </c>
      <c r="B8" s="8">
        <f>SUM(B9:B10)</f>
        <v>56527</v>
      </c>
      <c r="C8" s="8">
        <f t="shared" ref="C8:F8" si="0">SUM(C9:C10)</f>
        <v>156434</v>
      </c>
      <c r="D8" s="9">
        <f t="shared" si="0"/>
        <v>25493</v>
      </c>
      <c r="E8" s="10">
        <f t="shared" si="0"/>
        <v>48997</v>
      </c>
      <c r="F8" s="11">
        <f t="shared" si="0"/>
        <v>8230</v>
      </c>
      <c r="G8" s="10">
        <f>SUM(G9:G10)</f>
        <v>21752</v>
      </c>
      <c r="H8" s="11">
        <f t="shared" ref="H8:J8" si="1">SUM(H9:H10)</f>
        <v>1</v>
      </c>
      <c r="I8" s="11">
        <f t="shared" si="1"/>
        <v>44</v>
      </c>
      <c r="J8" s="9">
        <f t="shared" si="1"/>
        <v>110</v>
      </c>
      <c r="K8" s="10">
        <f>SUM(K9:K10)</f>
        <v>677</v>
      </c>
      <c r="L8" s="8">
        <f t="shared" ref="L8:M8" si="2">SUM(L9:L10)</f>
        <v>27</v>
      </c>
      <c r="M8" s="11">
        <f t="shared" si="2"/>
        <v>37</v>
      </c>
    </row>
    <row r="9" spans="1:13" x14ac:dyDescent="0.25">
      <c r="A9" s="7" t="s">
        <v>22</v>
      </c>
      <c r="B9" s="29">
        <v>21902</v>
      </c>
      <c r="C9" s="30">
        <v>79985</v>
      </c>
      <c r="D9" s="31">
        <v>7806</v>
      </c>
      <c r="E9" s="32">
        <v>20744</v>
      </c>
      <c r="F9" s="31">
        <v>3692</v>
      </c>
      <c r="G9" s="32">
        <v>11873</v>
      </c>
      <c r="H9" s="9">
        <v>1</v>
      </c>
      <c r="I9" s="11">
        <v>7</v>
      </c>
      <c r="J9" s="33">
        <v>43</v>
      </c>
      <c r="K9" s="34">
        <v>221</v>
      </c>
      <c r="L9" s="9">
        <v>2</v>
      </c>
      <c r="M9" s="11">
        <v>0</v>
      </c>
    </row>
    <row r="10" spans="1:13" x14ac:dyDescent="0.2">
      <c r="A10" s="7" t="s">
        <v>23</v>
      </c>
      <c r="B10" s="11">
        <f>SUM(B11:B30)</f>
        <v>34625</v>
      </c>
      <c r="C10" s="11">
        <f t="shared" ref="C10:G10" si="3">SUM(C11:C30)</f>
        <v>76449</v>
      </c>
      <c r="D10" s="9">
        <f t="shared" si="3"/>
        <v>17687</v>
      </c>
      <c r="E10" s="10">
        <f t="shared" si="3"/>
        <v>28253</v>
      </c>
      <c r="F10" s="11">
        <f t="shared" si="3"/>
        <v>4538</v>
      </c>
      <c r="G10" s="10">
        <f t="shared" si="3"/>
        <v>9879</v>
      </c>
      <c r="H10" s="11">
        <f t="shared" ref="H10:M10" si="4">SUM(H11:H30)</f>
        <v>0</v>
      </c>
      <c r="I10" s="11">
        <f t="shared" si="4"/>
        <v>37</v>
      </c>
      <c r="J10" s="9">
        <f t="shared" si="4"/>
        <v>67</v>
      </c>
      <c r="K10" s="10">
        <f t="shared" si="4"/>
        <v>456</v>
      </c>
      <c r="L10" s="11">
        <f t="shared" si="4"/>
        <v>25</v>
      </c>
      <c r="M10" s="11">
        <f t="shared" si="4"/>
        <v>37</v>
      </c>
    </row>
    <row r="11" spans="1:13" x14ac:dyDescent="0.25">
      <c r="A11" s="12" t="s">
        <v>1</v>
      </c>
      <c r="B11" s="23">
        <v>1904</v>
      </c>
      <c r="C11" s="23">
        <v>3093</v>
      </c>
      <c r="D11" s="18">
        <v>1497</v>
      </c>
      <c r="E11" s="19">
        <v>1888</v>
      </c>
      <c r="F11" s="18">
        <v>234</v>
      </c>
      <c r="G11" s="19">
        <v>407</v>
      </c>
      <c r="H11" s="35">
        <v>0</v>
      </c>
      <c r="I11" s="20">
        <v>0</v>
      </c>
      <c r="J11" s="21">
        <v>15</v>
      </c>
      <c r="K11" s="22">
        <v>38</v>
      </c>
      <c r="L11" s="35">
        <v>2</v>
      </c>
      <c r="M11" s="20">
        <v>1</v>
      </c>
    </row>
    <row r="12" spans="1:13" x14ac:dyDescent="0.25">
      <c r="A12" s="12" t="s">
        <v>24</v>
      </c>
      <c r="B12" s="23">
        <v>3600</v>
      </c>
      <c r="C12" s="23">
        <v>7525</v>
      </c>
      <c r="D12" s="18">
        <v>2290</v>
      </c>
      <c r="E12" s="19">
        <v>3224</v>
      </c>
      <c r="F12" s="18">
        <v>444</v>
      </c>
      <c r="G12" s="19">
        <v>810</v>
      </c>
      <c r="H12" s="35">
        <v>0</v>
      </c>
      <c r="I12" s="20">
        <v>2</v>
      </c>
      <c r="J12" s="21">
        <v>14</v>
      </c>
      <c r="K12" s="22">
        <v>100</v>
      </c>
      <c r="L12" s="35">
        <v>6</v>
      </c>
      <c r="M12" s="20">
        <v>9</v>
      </c>
    </row>
    <row r="13" spans="1:13" x14ac:dyDescent="0.25">
      <c r="A13" s="12" t="s">
        <v>25</v>
      </c>
      <c r="B13" s="23">
        <v>1579</v>
      </c>
      <c r="C13" s="23">
        <v>3134</v>
      </c>
      <c r="D13" s="18">
        <v>720</v>
      </c>
      <c r="E13" s="19">
        <v>1048</v>
      </c>
      <c r="F13" s="18">
        <v>137</v>
      </c>
      <c r="G13" s="19">
        <v>291</v>
      </c>
      <c r="H13" s="35">
        <v>0</v>
      </c>
      <c r="I13" s="20">
        <v>0</v>
      </c>
      <c r="J13" s="21">
        <v>0</v>
      </c>
      <c r="K13" s="22">
        <v>3</v>
      </c>
      <c r="L13" s="35">
        <v>0</v>
      </c>
      <c r="M13" s="20">
        <v>0</v>
      </c>
    </row>
    <row r="14" spans="1:13" x14ac:dyDescent="0.25">
      <c r="A14" s="12" t="s">
        <v>2</v>
      </c>
      <c r="B14" s="23">
        <v>1256</v>
      </c>
      <c r="C14" s="23">
        <v>3214</v>
      </c>
      <c r="D14" s="18">
        <v>1234</v>
      </c>
      <c r="E14" s="19">
        <v>1896</v>
      </c>
      <c r="F14" s="18">
        <v>117</v>
      </c>
      <c r="G14" s="19">
        <v>325</v>
      </c>
      <c r="H14" s="35">
        <v>0</v>
      </c>
      <c r="I14" s="20">
        <v>3</v>
      </c>
      <c r="J14" s="21">
        <v>5</v>
      </c>
      <c r="K14" s="22">
        <v>31</v>
      </c>
      <c r="L14" s="35">
        <v>1</v>
      </c>
      <c r="M14" s="20">
        <v>3</v>
      </c>
    </row>
    <row r="15" spans="1:13" x14ac:dyDescent="0.25">
      <c r="A15" s="12" t="s">
        <v>3</v>
      </c>
      <c r="B15" s="23">
        <v>3214</v>
      </c>
      <c r="C15" s="23">
        <v>7696</v>
      </c>
      <c r="D15" s="18">
        <v>1368</v>
      </c>
      <c r="E15" s="19">
        <v>2229</v>
      </c>
      <c r="F15" s="18">
        <v>421</v>
      </c>
      <c r="G15" s="19">
        <v>667</v>
      </c>
      <c r="H15" s="35">
        <v>0</v>
      </c>
      <c r="I15" s="20">
        <v>4</v>
      </c>
      <c r="J15" s="21">
        <v>10</v>
      </c>
      <c r="K15" s="22">
        <v>105</v>
      </c>
      <c r="L15" s="35">
        <v>2</v>
      </c>
      <c r="M15" s="20">
        <v>5</v>
      </c>
    </row>
    <row r="16" spans="1:13" x14ac:dyDescent="0.25">
      <c r="A16" s="12" t="s">
        <v>4</v>
      </c>
      <c r="B16" s="23">
        <v>2616</v>
      </c>
      <c r="C16" s="23">
        <v>5350</v>
      </c>
      <c r="D16" s="18">
        <v>1213</v>
      </c>
      <c r="E16" s="19">
        <v>2380</v>
      </c>
      <c r="F16" s="18">
        <v>177</v>
      </c>
      <c r="G16" s="19">
        <v>433</v>
      </c>
      <c r="H16" s="35">
        <v>0</v>
      </c>
      <c r="I16" s="20">
        <v>1</v>
      </c>
      <c r="J16" s="21">
        <v>7</v>
      </c>
      <c r="K16" s="22">
        <v>41</v>
      </c>
      <c r="L16" s="35">
        <v>0</v>
      </c>
      <c r="M16" s="20">
        <v>0</v>
      </c>
    </row>
    <row r="17" spans="1:13" x14ac:dyDescent="0.25">
      <c r="A17" s="12" t="s">
        <v>26</v>
      </c>
      <c r="B17" s="23">
        <v>2139</v>
      </c>
      <c r="C17" s="23">
        <v>3854</v>
      </c>
      <c r="D17" s="18">
        <v>18</v>
      </c>
      <c r="E17" s="19">
        <v>50</v>
      </c>
      <c r="F17" s="18">
        <v>284</v>
      </c>
      <c r="G17" s="19">
        <v>638</v>
      </c>
      <c r="H17" s="35">
        <v>0</v>
      </c>
      <c r="I17" s="20">
        <v>0</v>
      </c>
      <c r="J17" s="21">
        <v>1</v>
      </c>
      <c r="K17" s="22">
        <v>7</v>
      </c>
      <c r="L17" s="35">
        <v>0</v>
      </c>
      <c r="M17" s="20">
        <v>5</v>
      </c>
    </row>
    <row r="18" spans="1:13" x14ac:dyDescent="0.25">
      <c r="A18" s="12" t="s">
        <v>5</v>
      </c>
      <c r="B18" s="23">
        <v>2304</v>
      </c>
      <c r="C18" s="23">
        <v>5441</v>
      </c>
      <c r="D18" s="18">
        <v>1941</v>
      </c>
      <c r="E18" s="19">
        <v>3565</v>
      </c>
      <c r="F18" s="18">
        <v>411</v>
      </c>
      <c r="G18" s="19">
        <v>908</v>
      </c>
      <c r="H18" s="35">
        <v>0</v>
      </c>
      <c r="I18" s="20">
        <v>0</v>
      </c>
      <c r="J18" s="21">
        <v>4</v>
      </c>
      <c r="K18" s="22">
        <v>20</v>
      </c>
      <c r="L18" s="35">
        <v>0</v>
      </c>
      <c r="M18" s="20">
        <v>2</v>
      </c>
    </row>
    <row r="19" spans="1:13" x14ac:dyDescent="0.25">
      <c r="A19" s="12" t="s">
        <v>6</v>
      </c>
      <c r="B19" s="24">
        <v>770</v>
      </c>
      <c r="C19" s="23">
        <v>1816</v>
      </c>
      <c r="D19" s="18">
        <v>955</v>
      </c>
      <c r="E19" s="19">
        <v>1140</v>
      </c>
      <c r="F19" s="18">
        <v>222</v>
      </c>
      <c r="G19" s="19">
        <v>506</v>
      </c>
      <c r="H19" s="35">
        <v>0</v>
      </c>
      <c r="I19" s="20">
        <v>0</v>
      </c>
      <c r="J19" s="21">
        <v>0</v>
      </c>
      <c r="K19" s="22">
        <v>6</v>
      </c>
      <c r="L19" s="35">
        <v>1</v>
      </c>
      <c r="M19" s="20">
        <v>1</v>
      </c>
    </row>
    <row r="20" spans="1:13" x14ac:dyDescent="0.25">
      <c r="A20" s="12" t="s">
        <v>27</v>
      </c>
      <c r="B20" s="23">
        <v>1733</v>
      </c>
      <c r="C20" s="23">
        <v>3529</v>
      </c>
      <c r="D20" s="18">
        <v>787</v>
      </c>
      <c r="E20" s="19">
        <v>1044</v>
      </c>
      <c r="F20" s="18">
        <v>333</v>
      </c>
      <c r="G20" s="19">
        <v>799</v>
      </c>
      <c r="H20" s="35">
        <v>0</v>
      </c>
      <c r="I20" s="20">
        <v>0</v>
      </c>
      <c r="J20" s="21">
        <v>1</v>
      </c>
      <c r="K20" s="22">
        <v>1</v>
      </c>
      <c r="L20" s="35">
        <v>0</v>
      </c>
      <c r="M20" s="20">
        <v>0</v>
      </c>
    </row>
    <row r="21" spans="1:13" x14ac:dyDescent="0.25">
      <c r="A21" s="12" t="s">
        <v>7</v>
      </c>
      <c r="B21" s="24">
        <v>68</v>
      </c>
      <c r="C21" s="24">
        <v>155</v>
      </c>
      <c r="D21" s="18">
        <v>64</v>
      </c>
      <c r="E21" s="19">
        <v>148</v>
      </c>
      <c r="F21" s="18">
        <v>14</v>
      </c>
      <c r="G21" s="19">
        <v>25</v>
      </c>
      <c r="H21" s="35">
        <v>0</v>
      </c>
      <c r="I21" s="20">
        <v>0</v>
      </c>
      <c r="J21" s="21">
        <v>0</v>
      </c>
      <c r="K21" s="22">
        <v>4</v>
      </c>
      <c r="L21" s="35">
        <v>0</v>
      </c>
      <c r="M21" s="20">
        <v>0</v>
      </c>
    </row>
    <row r="22" spans="1:13" x14ac:dyDescent="0.25">
      <c r="A22" s="12" t="s">
        <v>8</v>
      </c>
      <c r="B22" s="24">
        <v>862</v>
      </c>
      <c r="C22" s="23">
        <v>2129</v>
      </c>
      <c r="D22" s="18">
        <v>410</v>
      </c>
      <c r="E22" s="19">
        <v>682</v>
      </c>
      <c r="F22" s="18">
        <v>54</v>
      </c>
      <c r="G22" s="19">
        <v>146</v>
      </c>
      <c r="H22" s="35">
        <v>0</v>
      </c>
      <c r="I22" s="20">
        <v>0</v>
      </c>
      <c r="J22" s="21">
        <v>0</v>
      </c>
      <c r="K22" s="22">
        <v>1</v>
      </c>
      <c r="L22" s="35">
        <v>0</v>
      </c>
      <c r="M22" s="20">
        <v>0</v>
      </c>
    </row>
    <row r="23" spans="1:13" x14ac:dyDescent="0.25">
      <c r="A23" s="12" t="s">
        <v>9</v>
      </c>
      <c r="B23" s="24">
        <v>845</v>
      </c>
      <c r="C23" s="23">
        <v>1339</v>
      </c>
      <c r="D23" s="18">
        <v>592</v>
      </c>
      <c r="E23" s="19">
        <v>813</v>
      </c>
      <c r="F23" s="18">
        <v>173</v>
      </c>
      <c r="G23" s="19">
        <v>333</v>
      </c>
      <c r="H23" s="35">
        <v>0</v>
      </c>
      <c r="I23" s="20">
        <v>0</v>
      </c>
      <c r="J23" s="21">
        <v>0</v>
      </c>
      <c r="K23" s="22">
        <v>0</v>
      </c>
      <c r="L23" s="35">
        <v>0</v>
      </c>
      <c r="M23" s="20">
        <v>0</v>
      </c>
    </row>
    <row r="24" spans="1:13" x14ac:dyDescent="0.25">
      <c r="A24" s="12" t="s">
        <v>28</v>
      </c>
      <c r="B24" s="23">
        <v>1483</v>
      </c>
      <c r="C24" s="23">
        <v>3004</v>
      </c>
      <c r="D24" s="18">
        <v>895</v>
      </c>
      <c r="E24" s="19">
        <v>1373</v>
      </c>
      <c r="F24" s="18">
        <v>105</v>
      </c>
      <c r="G24" s="19">
        <v>195</v>
      </c>
      <c r="H24" s="35">
        <v>0</v>
      </c>
      <c r="I24" s="20">
        <v>0</v>
      </c>
      <c r="J24" s="21">
        <v>0</v>
      </c>
      <c r="K24" s="22">
        <v>14</v>
      </c>
      <c r="L24" s="35">
        <v>0</v>
      </c>
      <c r="M24" s="20">
        <v>0</v>
      </c>
    </row>
    <row r="25" spans="1:13" x14ac:dyDescent="0.25">
      <c r="A25" s="12" t="s">
        <v>29</v>
      </c>
      <c r="B25" s="23">
        <v>2477</v>
      </c>
      <c r="C25" s="23">
        <v>6032</v>
      </c>
      <c r="D25" s="18">
        <v>660</v>
      </c>
      <c r="E25" s="19">
        <v>922</v>
      </c>
      <c r="F25" s="18">
        <v>227</v>
      </c>
      <c r="G25" s="19">
        <v>531</v>
      </c>
      <c r="H25" s="35">
        <v>0</v>
      </c>
      <c r="I25" s="20">
        <v>0</v>
      </c>
      <c r="J25" s="21">
        <v>0</v>
      </c>
      <c r="K25" s="22">
        <v>0</v>
      </c>
      <c r="L25" s="35">
        <v>0</v>
      </c>
      <c r="M25" s="20">
        <v>0</v>
      </c>
    </row>
    <row r="26" spans="1:13" x14ac:dyDescent="0.25">
      <c r="A26" s="12" t="s">
        <v>10</v>
      </c>
      <c r="B26" s="23">
        <v>2619</v>
      </c>
      <c r="C26" s="23">
        <v>6578</v>
      </c>
      <c r="D26" s="18">
        <v>884</v>
      </c>
      <c r="E26" s="19">
        <v>1648</v>
      </c>
      <c r="F26" s="18">
        <v>383</v>
      </c>
      <c r="G26" s="19">
        <v>841</v>
      </c>
      <c r="H26" s="35">
        <v>0</v>
      </c>
      <c r="I26" s="20">
        <v>3</v>
      </c>
      <c r="J26" s="21">
        <v>0</v>
      </c>
      <c r="K26" s="22">
        <v>15</v>
      </c>
      <c r="L26" s="35">
        <v>0</v>
      </c>
      <c r="M26" s="20">
        <v>1</v>
      </c>
    </row>
    <row r="27" spans="1:13" x14ac:dyDescent="0.25">
      <c r="A27" s="12" t="s">
        <v>11</v>
      </c>
      <c r="B27" s="23">
        <v>1553</v>
      </c>
      <c r="C27" s="23">
        <v>3605</v>
      </c>
      <c r="D27" s="18">
        <v>681</v>
      </c>
      <c r="E27" s="19">
        <v>1332</v>
      </c>
      <c r="F27" s="18">
        <v>78</v>
      </c>
      <c r="G27" s="19">
        <v>354</v>
      </c>
      <c r="H27" s="35">
        <v>0</v>
      </c>
      <c r="I27" s="20">
        <v>3</v>
      </c>
      <c r="J27" s="21">
        <v>2</v>
      </c>
      <c r="K27" s="22">
        <v>19</v>
      </c>
      <c r="L27" s="35">
        <v>0</v>
      </c>
      <c r="M27" s="20">
        <v>0</v>
      </c>
    </row>
    <row r="28" spans="1:13" x14ac:dyDescent="0.25">
      <c r="A28" s="12" t="s">
        <v>30</v>
      </c>
      <c r="B28" s="23">
        <v>1338</v>
      </c>
      <c r="C28" s="23">
        <v>3153</v>
      </c>
      <c r="D28" s="18">
        <v>879</v>
      </c>
      <c r="E28" s="19">
        <v>1407</v>
      </c>
      <c r="F28" s="18">
        <v>276</v>
      </c>
      <c r="G28" s="19">
        <v>530</v>
      </c>
      <c r="H28" s="35">
        <v>0</v>
      </c>
      <c r="I28" s="20">
        <v>19</v>
      </c>
      <c r="J28" s="21">
        <v>8</v>
      </c>
      <c r="K28" s="22">
        <v>27</v>
      </c>
      <c r="L28" s="35">
        <v>13</v>
      </c>
      <c r="M28" s="20">
        <v>6</v>
      </c>
    </row>
    <row r="29" spans="1:13" x14ac:dyDescent="0.25">
      <c r="A29" s="12" t="s">
        <v>31</v>
      </c>
      <c r="B29" s="23">
        <v>1389</v>
      </c>
      <c r="C29" s="23">
        <v>2140</v>
      </c>
      <c r="D29" s="18">
        <v>284</v>
      </c>
      <c r="E29" s="19">
        <v>801</v>
      </c>
      <c r="F29" s="18">
        <v>202</v>
      </c>
      <c r="G29" s="19">
        <v>430</v>
      </c>
      <c r="H29" s="35">
        <v>0</v>
      </c>
      <c r="I29" s="20">
        <v>2</v>
      </c>
      <c r="J29" s="21">
        <v>0</v>
      </c>
      <c r="K29" s="22">
        <v>5</v>
      </c>
      <c r="L29" s="35">
        <v>0</v>
      </c>
      <c r="M29" s="20">
        <v>0</v>
      </c>
    </row>
    <row r="30" spans="1:13" x14ac:dyDescent="0.25">
      <c r="A30" s="13" t="s">
        <v>12</v>
      </c>
      <c r="B30" s="25">
        <v>876</v>
      </c>
      <c r="C30" s="26">
        <v>3662</v>
      </c>
      <c r="D30" s="36">
        <v>315</v>
      </c>
      <c r="E30" s="37">
        <v>663</v>
      </c>
      <c r="F30" s="36">
        <v>246</v>
      </c>
      <c r="G30" s="37">
        <v>710</v>
      </c>
      <c r="H30" s="38">
        <v>0</v>
      </c>
      <c r="I30" s="39">
        <v>0</v>
      </c>
      <c r="J30" s="40">
        <v>0</v>
      </c>
      <c r="K30" s="41">
        <v>19</v>
      </c>
      <c r="L30" s="38">
        <v>0</v>
      </c>
      <c r="M30" s="39">
        <v>4</v>
      </c>
    </row>
    <row r="31" spans="1:13" x14ac:dyDescent="0.25">
      <c r="A31" s="14" t="s">
        <v>32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</row>
    <row r="32" spans="1:13" ht="18.75" x14ac:dyDescent="0.25">
      <c r="A32" s="16" t="s">
        <v>33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7" t="s">
        <v>34</v>
      </c>
    </row>
  </sheetData>
  <mergeCells count="9">
    <mergeCell ref="A3:M3"/>
    <mergeCell ref="A4:M4"/>
    <mergeCell ref="A6:A7"/>
    <mergeCell ref="B6:C6"/>
    <mergeCell ref="D6:E6"/>
    <mergeCell ref="F6:G6"/>
    <mergeCell ref="H6:I6"/>
    <mergeCell ref="J6:K6"/>
    <mergeCell ref="L6:M6"/>
  </mergeCells>
  <pageMargins left="0.7" right="0.7" top="0.75" bottom="0.75" header="0.3" footer="0.3"/>
  <pageSetup scale="65" orientation="portrait" r:id="rId1"/>
  <colBreaks count="1" manualBreakCount="1">
    <brk id="1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6.17</vt:lpstr>
      <vt:lpstr>'6.17'!Print_Area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2023-07-23T04:45:29Z</cp:lastPrinted>
  <dcterms:created xsi:type="dcterms:W3CDTF">2019-08-06T05:35:20Z</dcterms:created>
  <dcterms:modified xsi:type="dcterms:W3CDTF">2023-07-23T04:45:34Z</dcterms:modified>
</cp:coreProperties>
</file>