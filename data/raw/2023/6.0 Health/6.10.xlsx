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fathimath.shifaza\Desktop\"/>
    </mc:Choice>
  </mc:AlternateContent>
  <xr:revisionPtr revIDLastSave="0" documentId="8_{21799FD9-8F31-4F00-A42C-97EA80E09FF0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10" sheetId="10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'6.10'!$A$1:$E$85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6" i="10" l="1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D34" i="10"/>
  <c r="C34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D5" i="10"/>
  <c r="C5" i="10"/>
  <c r="B34" i="10" l="1"/>
  <c r="B5" i="10"/>
</calcChain>
</file>

<file path=xl/sharedStrings.xml><?xml version="1.0" encoding="utf-8"?>
<sst xmlns="http://schemas.openxmlformats.org/spreadsheetml/2006/main" count="63" uniqueCount="34">
  <si>
    <t>Both sexes</t>
  </si>
  <si>
    <t>Male</t>
  </si>
  <si>
    <t>Female</t>
  </si>
  <si>
    <t>Total</t>
  </si>
  <si>
    <t>clwTipcsoh clwairOmem IdcnWg Wridcnia :ctWrwf ivcaedutWmUluAwm</t>
  </si>
  <si>
    <t>Source: Indira Gandhi Memorial Hospital</t>
  </si>
  <si>
    <t>Cardiology</t>
  </si>
  <si>
    <t>Dental</t>
  </si>
  <si>
    <t>Urology</t>
  </si>
  <si>
    <t>Pulmonology</t>
  </si>
  <si>
    <t>Neurology</t>
  </si>
  <si>
    <t>Nephrology</t>
  </si>
  <si>
    <t>Oncology</t>
  </si>
  <si>
    <t xml:space="preserve">Outpatients </t>
  </si>
  <si>
    <t>ENT</t>
  </si>
  <si>
    <t>Dermatology</t>
  </si>
  <si>
    <t>Internal medicine</t>
  </si>
  <si>
    <t>Obstetrics and gynaecology</t>
  </si>
  <si>
    <t>Onco surgery</t>
  </si>
  <si>
    <t>Ophthalmology</t>
  </si>
  <si>
    <t>Orthopaedics</t>
  </si>
  <si>
    <t>Paediatrics</t>
  </si>
  <si>
    <t>Post interventional clinic</t>
  </si>
  <si>
    <t>Psychiatry</t>
  </si>
  <si>
    <t>Respiratory medicine</t>
  </si>
  <si>
    <t>Surgery</t>
  </si>
  <si>
    <t>Neuro Surgery</t>
  </si>
  <si>
    <t>Gastroenterology</t>
  </si>
  <si>
    <t>Endocrinology</t>
  </si>
  <si>
    <t>Paediatrics  Cardiology</t>
  </si>
  <si>
    <t>Table 6.10: Number of Inpatients by speciality and sex, 2021</t>
  </si>
  <si>
    <t>Table 6.10: Number of Inpatients by speciality and sex, 2022</t>
  </si>
  <si>
    <t>Pulmonology Counts is Under Respiratory  medicine</t>
  </si>
  <si>
    <t>Post interventional clinic Counts is Under Cardiology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</si>
</sst>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General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9"/>
      <name val="A_Faseyha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9" fillId="0" borderId="0"/>
    <xf numFmtId="165" fontId="9" fillId="0" borderId="0"/>
    <xf numFmtId="165" fontId="9" fillId="0" borderId="0"/>
    <xf numFmtId="40" fontId="10" fillId="0" borderId="0" applyFont="0" applyFill="0" applyBorder="0" applyAlignment="0" applyProtection="0"/>
    <xf numFmtId="165" fontId="9" fillId="0" borderId="0"/>
    <xf numFmtId="0" fontId="1" fillId="0" borderId="0"/>
    <xf numFmtId="0" fontId="6" fillId="0" borderId="0"/>
  </cellStyleXfs>
  <cellXfs count="23">
    <xf numFmtId="0" fontId="0" fillId="0" borderId="0" xfId="0"/>
    <xf numFmtId="0" fontId="0" fillId="2" borderId="0" xfId="0" applyFill="1"/>
    <xf numFmtId="37" fontId="2" fillId="2" borderId="0" xfId="1" applyNumberFormat="1" applyFont="1" applyFill="1" applyBorder="1" applyAlignment="1">
      <alignment horizontal="right" vertical="center"/>
    </xf>
    <xf numFmtId="37" fontId="0" fillId="2" borderId="0" xfId="1" applyNumberFormat="1" applyFont="1" applyFill="1" applyBorder="1" applyAlignment="1">
      <alignment horizontal="right" vertical="center"/>
    </xf>
    <xf numFmtId="37" fontId="0" fillId="2" borderId="2" xfId="1" applyNumberFormat="1" applyFont="1" applyFill="1" applyBorder="1" applyAlignment="1">
      <alignment horizontal="right" vertical="center"/>
    </xf>
    <xf numFmtId="165" fontId="5" fillId="2" borderId="0" xfId="0" applyNumberFormat="1" applyFont="1" applyFill="1" applyAlignment="1">
      <alignment horizontal="left" vertical="center"/>
    </xf>
    <xf numFmtId="3" fontId="4" fillId="2" borderId="1" xfId="0" applyNumberFormat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37" fontId="2" fillId="2" borderId="2" xfId="1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 indent="2"/>
    </xf>
    <xf numFmtId="0" fontId="0" fillId="2" borderId="2" xfId="0" applyFill="1" applyBorder="1" applyAlignment="1">
      <alignment horizontal="left" vertical="center" indent="2"/>
    </xf>
    <xf numFmtId="0" fontId="3" fillId="2" borderId="0" xfId="0" applyFont="1" applyFill="1" applyAlignment="1">
      <alignment vertical="center"/>
    </xf>
    <xf numFmtId="37" fontId="2" fillId="2" borderId="0" xfId="0" applyNumberFormat="1" applyFont="1" applyFill="1" applyAlignment="1">
      <alignment horizontal="right" vertical="center"/>
    </xf>
    <xf numFmtId="165" fontId="7" fillId="2" borderId="4" xfId="0" applyNumberFormat="1" applyFont="1" applyFill="1" applyBorder="1" applyAlignment="1">
      <alignment horizontal="right" vertical="center"/>
    </xf>
    <xf numFmtId="0" fontId="11" fillId="2" borderId="0" xfId="0" applyFont="1" applyFill="1"/>
    <xf numFmtId="0" fontId="8" fillId="2" borderId="0" xfId="0" applyFont="1" applyFill="1" applyAlignment="1">
      <alignment horizontal="left" vertical="center" indent="2"/>
    </xf>
    <xf numFmtId="37" fontId="3" fillId="2" borderId="0" xfId="1" applyNumberFormat="1" applyFont="1" applyFill="1" applyBorder="1" applyAlignment="1">
      <alignment horizontal="right" vertical="center"/>
    </xf>
    <xf numFmtId="37" fontId="8" fillId="2" borderId="0" xfId="1" applyNumberFormat="1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left" vertical="center" indent="2"/>
    </xf>
    <xf numFmtId="37" fontId="3" fillId="2" borderId="2" xfId="1" applyNumberFormat="1" applyFont="1" applyFill="1" applyBorder="1" applyAlignment="1">
      <alignment horizontal="right" vertical="center"/>
    </xf>
    <xf numFmtId="37" fontId="8" fillId="2" borderId="2" xfId="1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</cellXfs>
  <cellStyles count="10">
    <cellStyle name="1" xfId="9" xr:uid="{00000000-0005-0000-0000-000000000000}"/>
    <cellStyle name="Comma" xfId="1" builtinId="3"/>
    <cellStyle name="Comma 3" xfId="6" xr:uid="{00000000-0005-0000-0000-000002000000}"/>
    <cellStyle name="Normal" xfId="0" builtinId="0"/>
    <cellStyle name="Normal 14" xfId="3" xr:uid="{00000000-0005-0000-0000-000004000000}"/>
    <cellStyle name="Normal 15" xfId="5" xr:uid="{00000000-0005-0000-0000-000005000000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9" xfId="7" xr:uid="{00000000-0005-0000-0000-000009000000}"/>
  </cellStyles>
  <dxfs count="0"/>
  <tableStyles count="0" defaultTableStyle="TableStyleMedium2" defaultPivotStyle="PivotStyleLight16"/>
  <colors>
    <mruColors>
      <color rgb="FF33CCCC"/>
      <color rgb="FF249390"/>
      <color rgb="FFC4F2F1"/>
      <color rgb="FFDAF7F6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6.10: Number of Inpatient</a:t>
            </a:r>
            <a:r>
              <a:rPr lang="en-US" sz="1200" b="1" baseline="0"/>
              <a:t>s by speciality and sex, 2022</a:t>
            </a:r>
            <a:endParaRPr lang="en-US" sz="1200" b="1"/>
          </a:p>
        </c:rich>
      </c:tx>
      <c:layout>
        <c:manualLayout>
          <c:xMode val="edge"/>
          <c:yMode val="edge"/>
          <c:x val="0.2631987034229456"/>
          <c:y val="1.36402423667001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032913418407597"/>
          <c:y val="9.2378541428477068E-2"/>
          <c:w val="0.73407407118709356"/>
          <c:h val="0.83391943378593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'6.10'!$C$4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'6.10'!$A$6:$A$26</c:f>
              <c:strCache>
                <c:ptCount val="21"/>
                <c:pt idx="0">
                  <c:v>Internal medicine</c:v>
                </c:pt>
                <c:pt idx="1">
                  <c:v>Paediatrics</c:v>
                </c:pt>
                <c:pt idx="2">
                  <c:v>Obstetrics and gynaecology</c:v>
                </c:pt>
                <c:pt idx="3">
                  <c:v>Surgery</c:v>
                </c:pt>
                <c:pt idx="4">
                  <c:v>Cardiology</c:v>
                </c:pt>
                <c:pt idx="5">
                  <c:v>Orthopaedics</c:v>
                </c:pt>
                <c:pt idx="6">
                  <c:v>Neurology</c:v>
                </c:pt>
                <c:pt idx="7">
                  <c:v>Urology</c:v>
                </c:pt>
                <c:pt idx="8">
                  <c:v>Onco surgery</c:v>
                </c:pt>
                <c:pt idx="9">
                  <c:v>Psychiatry</c:v>
                </c:pt>
                <c:pt idx="10">
                  <c:v>Nephrology</c:v>
                </c:pt>
                <c:pt idx="11">
                  <c:v>ENT</c:v>
                </c:pt>
                <c:pt idx="12">
                  <c:v>Gastroenterology</c:v>
                </c:pt>
                <c:pt idx="13">
                  <c:v>Neuro Surgery</c:v>
                </c:pt>
                <c:pt idx="14">
                  <c:v>Dental</c:v>
                </c:pt>
                <c:pt idx="15">
                  <c:v>Ophthalmology</c:v>
                </c:pt>
                <c:pt idx="16">
                  <c:v>Dermatology</c:v>
                </c:pt>
                <c:pt idx="17">
                  <c:v>Respiratory medicine</c:v>
                </c:pt>
                <c:pt idx="18">
                  <c:v>Paediatrics  Cardiology</c:v>
                </c:pt>
                <c:pt idx="19">
                  <c:v>Endocrinology</c:v>
                </c:pt>
                <c:pt idx="20">
                  <c:v>Oncology</c:v>
                </c:pt>
              </c:strCache>
            </c:strRef>
          </c:cat>
          <c:val>
            <c:numRef>
              <c:f>'6.10'!$C$6:$C$26</c:f>
              <c:numCache>
                <c:formatCode>#,##0_);\(#,##0\)</c:formatCode>
                <c:ptCount val="21"/>
                <c:pt idx="0" formatCode="General">
                  <c:v>615</c:v>
                </c:pt>
                <c:pt idx="1">
                  <c:v>1512</c:v>
                </c:pt>
                <c:pt idx="2">
                  <c:v>0</c:v>
                </c:pt>
                <c:pt idx="3">
                  <c:v>756</c:v>
                </c:pt>
                <c:pt idx="4">
                  <c:v>827</c:v>
                </c:pt>
                <c:pt idx="5">
                  <c:v>445</c:v>
                </c:pt>
                <c:pt idx="6">
                  <c:v>290</c:v>
                </c:pt>
                <c:pt idx="7">
                  <c:v>116</c:v>
                </c:pt>
                <c:pt idx="8">
                  <c:v>22</c:v>
                </c:pt>
                <c:pt idx="9">
                  <c:v>44</c:v>
                </c:pt>
                <c:pt idx="10">
                  <c:v>11</c:v>
                </c:pt>
                <c:pt idx="11">
                  <c:v>135</c:v>
                </c:pt>
                <c:pt idx="12">
                  <c:v>51</c:v>
                </c:pt>
                <c:pt idx="13">
                  <c:v>74</c:v>
                </c:pt>
                <c:pt idx="14">
                  <c:v>34</c:v>
                </c:pt>
                <c:pt idx="15">
                  <c:v>24</c:v>
                </c:pt>
                <c:pt idx="16">
                  <c:v>2</c:v>
                </c:pt>
                <c:pt idx="17">
                  <c:v>381</c:v>
                </c:pt>
                <c:pt idx="18">
                  <c:v>0</c:v>
                </c:pt>
                <c:pt idx="19">
                  <c:v>11</c:v>
                </c:pt>
                <c:pt idx="2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7-4B3F-972B-B684091ADB4A}"/>
            </c:ext>
          </c:extLst>
        </c:ser>
        <c:ser>
          <c:idx val="1"/>
          <c:order val="1"/>
          <c:tx>
            <c:strRef>
              <c:f>'6.10'!$D$4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'6.10'!$A$6:$A$26</c:f>
              <c:strCache>
                <c:ptCount val="21"/>
                <c:pt idx="0">
                  <c:v>Internal medicine</c:v>
                </c:pt>
                <c:pt idx="1">
                  <c:v>Paediatrics</c:v>
                </c:pt>
                <c:pt idx="2">
                  <c:v>Obstetrics and gynaecology</c:v>
                </c:pt>
                <c:pt idx="3">
                  <c:v>Surgery</c:v>
                </c:pt>
                <c:pt idx="4">
                  <c:v>Cardiology</c:v>
                </c:pt>
                <c:pt idx="5">
                  <c:v>Orthopaedics</c:v>
                </c:pt>
                <c:pt idx="6">
                  <c:v>Neurology</c:v>
                </c:pt>
                <c:pt idx="7">
                  <c:v>Urology</c:v>
                </c:pt>
                <c:pt idx="8">
                  <c:v>Onco surgery</c:v>
                </c:pt>
                <c:pt idx="9">
                  <c:v>Psychiatry</c:v>
                </c:pt>
                <c:pt idx="10">
                  <c:v>Nephrology</c:v>
                </c:pt>
                <c:pt idx="11">
                  <c:v>ENT</c:v>
                </c:pt>
                <c:pt idx="12">
                  <c:v>Gastroenterology</c:v>
                </c:pt>
                <c:pt idx="13">
                  <c:v>Neuro Surgery</c:v>
                </c:pt>
                <c:pt idx="14">
                  <c:v>Dental</c:v>
                </c:pt>
                <c:pt idx="15">
                  <c:v>Ophthalmology</c:v>
                </c:pt>
                <c:pt idx="16">
                  <c:v>Dermatology</c:v>
                </c:pt>
                <c:pt idx="17">
                  <c:v>Respiratory medicine</c:v>
                </c:pt>
                <c:pt idx="18">
                  <c:v>Paediatrics  Cardiology</c:v>
                </c:pt>
                <c:pt idx="19">
                  <c:v>Endocrinology</c:v>
                </c:pt>
                <c:pt idx="20">
                  <c:v>Oncology</c:v>
                </c:pt>
              </c:strCache>
            </c:strRef>
          </c:cat>
          <c:val>
            <c:numRef>
              <c:f>'6.10'!$D$6:$D$26</c:f>
              <c:numCache>
                <c:formatCode>#,##0_);\(#,##0\)</c:formatCode>
                <c:ptCount val="21"/>
                <c:pt idx="0">
                  <c:v>535</c:v>
                </c:pt>
                <c:pt idx="1">
                  <c:v>1271</c:v>
                </c:pt>
                <c:pt idx="2">
                  <c:v>1946</c:v>
                </c:pt>
                <c:pt idx="3">
                  <c:v>463</c:v>
                </c:pt>
                <c:pt idx="4">
                  <c:v>360</c:v>
                </c:pt>
                <c:pt idx="5">
                  <c:v>284</c:v>
                </c:pt>
                <c:pt idx="6">
                  <c:v>206</c:v>
                </c:pt>
                <c:pt idx="7">
                  <c:v>46</c:v>
                </c:pt>
                <c:pt idx="8">
                  <c:v>130</c:v>
                </c:pt>
                <c:pt idx="9">
                  <c:v>61</c:v>
                </c:pt>
                <c:pt idx="10">
                  <c:v>8</c:v>
                </c:pt>
                <c:pt idx="11">
                  <c:v>121</c:v>
                </c:pt>
                <c:pt idx="12">
                  <c:v>68</c:v>
                </c:pt>
                <c:pt idx="13">
                  <c:v>20</c:v>
                </c:pt>
                <c:pt idx="14">
                  <c:v>34</c:v>
                </c:pt>
                <c:pt idx="15">
                  <c:v>15</c:v>
                </c:pt>
                <c:pt idx="16">
                  <c:v>1</c:v>
                </c:pt>
                <c:pt idx="17">
                  <c:v>558</c:v>
                </c:pt>
                <c:pt idx="18">
                  <c:v>0</c:v>
                </c:pt>
                <c:pt idx="19">
                  <c:v>17</c:v>
                </c:pt>
                <c:pt idx="2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C7-4B3F-972B-B684091AD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3263023"/>
        <c:axId val="1073275919"/>
      </c:barChart>
      <c:catAx>
        <c:axId val="1073263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275919"/>
        <c:crosses val="autoZero"/>
        <c:auto val="1"/>
        <c:lblAlgn val="ctr"/>
        <c:lblOffset val="100"/>
        <c:noMultiLvlLbl val="0"/>
      </c:catAx>
      <c:valAx>
        <c:axId val="1073275919"/>
        <c:scaling>
          <c:orientation val="minMax"/>
          <c:max val="2200"/>
          <c:min val="0"/>
        </c:scaling>
        <c:delete val="0"/>
        <c:axPos val="b"/>
        <c:majorGridlines>
          <c:spPr>
            <a:ln w="9525" cap="flat" cmpd="sng" algn="ctr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263023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505171183051712"/>
          <c:y val="0.10609422166600037"/>
          <c:w val="0.11983832224331821"/>
          <c:h val="9.08759914944406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80962</xdr:colOff>
      <xdr:row>61</xdr:row>
      <xdr:rowOff>114300</xdr:rowOff>
    </xdr:from>
    <xdr:to>
      <xdr:col>4</xdr:col>
      <xdr:colOff>38100</xdr:colOff>
      <xdr:row>84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65818F-0867-45B9-9C63-B65C54400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3\RECEIVED\6.%20HEALTH%20-%20IGMH%20(1).xlsx" TargetMode="External"/><Relationship Id="rId1" Type="http://schemas.openxmlformats.org/officeDocument/2006/relationships/externalLinkPath" Target="file:///\\fileserver\ST4\Dissemination\Publications\Statistical%20Year%20Book\YEARBOOK%202023\RECEIVED\6.%20HEALTH%20-%20IGMH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ST4\Dissemination\Publications\Statistical%20Year%20Book\YEARBOOK%202019\RECEIVED\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6.%20HEALTH_%20MP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66">
          <cell r="C66" t="str">
            <v>Male</v>
          </cell>
          <cell r="D66" t="str">
            <v>Female</v>
          </cell>
        </row>
        <row r="68">
          <cell r="A68" t="str">
            <v>Internal medicine</v>
          </cell>
          <cell r="C68">
            <v>1325</v>
          </cell>
          <cell r="D68">
            <v>1179</v>
          </cell>
        </row>
        <row r="69">
          <cell r="A69" t="str">
            <v>Paediatrics</v>
          </cell>
          <cell r="C69">
            <v>1094</v>
          </cell>
          <cell r="D69">
            <v>957</v>
          </cell>
        </row>
        <row r="70">
          <cell r="A70" t="str">
            <v>Obstetrics and gynaecology</v>
          </cell>
          <cell r="C70">
            <v>6</v>
          </cell>
          <cell r="D70">
            <v>2007</v>
          </cell>
        </row>
        <row r="71">
          <cell r="A71" t="str">
            <v>Surgery</v>
          </cell>
          <cell r="C71">
            <v>668</v>
          </cell>
          <cell r="D71">
            <v>357</v>
          </cell>
        </row>
        <row r="72">
          <cell r="A72" t="str">
            <v>Cardiology</v>
          </cell>
          <cell r="C72">
            <v>598</v>
          </cell>
          <cell r="D72">
            <v>267</v>
          </cell>
        </row>
        <row r="73">
          <cell r="A73" t="str">
            <v>Orthopaedics</v>
          </cell>
          <cell r="C73">
            <v>459</v>
          </cell>
          <cell r="D73">
            <v>256</v>
          </cell>
        </row>
        <row r="74">
          <cell r="A74" t="str">
            <v>Pulmonology</v>
          </cell>
          <cell r="C74">
            <v>254</v>
          </cell>
          <cell r="D74">
            <v>343</v>
          </cell>
        </row>
        <row r="75">
          <cell r="A75" t="str">
            <v>Neurology</v>
          </cell>
          <cell r="C75">
            <v>316</v>
          </cell>
          <cell r="D75">
            <v>178</v>
          </cell>
        </row>
        <row r="76">
          <cell r="A76" t="str">
            <v>Urology</v>
          </cell>
          <cell r="C76">
            <v>236</v>
          </cell>
          <cell r="D76">
            <v>82</v>
          </cell>
        </row>
        <row r="77">
          <cell r="A77" t="str">
            <v>Onco surgery</v>
          </cell>
          <cell r="C77">
            <v>111</v>
          </cell>
          <cell r="D77">
            <v>193</v>
          </cell>
        </row>
        <row r="78">
          <cell r="A78" t="str">
            <v>Psychiatry</v>
          </cell>
          <cell r="C78">
            <v>100</v>
          </cell>
          <cell r="D78">
            <v>111</v>
          </cell>
        </row>
        <row r="79">
          <cell r="A79" t="str">
            <v>Nephrology</v>
          </cell>
          <cell r="C79">
            <v>62</v>
          </cell>
          <cell r="D79">
            <v>78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2:E61"/>
  <sheetViews>
    <sheetView tabSelected="1" zoomScaleNormal="100" zoomScaleSheetLayoutView="95" workbookViewId="0">
      <selection activeCell="G13" sqref="G13"/>
    </sheetView>
  </sheetViews>
  <sheetFormatPr defaultColWidth="9.140625" defaultRowHeight="15" x14ac:dyDescent="0.25"/>
  <cols>
    <col min="1" max="1" width="29" style="1" customWidth="1"/>
    <col min="2" max="2" width="14.28515625" style="1" customWidth="1"/>
    <col min="3" max="4" width="15.85546875" style="1" customWidth="1"/>
    <col min="5" max="16384" width="9.140625" style="1"/>
  </cols>
  <sheetData>
    <row r="2" spans="1:5" x14ac:dyDescent="0.25">
      <c r="A2" s="22" t="s">
        <v>31</v>
      </c>
      <c r="B2" s="22"/>
      <c r="C2" s="22"/>
      <c r="D2" s="22"/>
    </row>
    <row r="4" spans="1:5" x14ac:dyDescent="0.25">
      <c r="A4" s="7" t="s">
        <v>13</v>
      </c>
      <c r="B4" s="8" t="s">
        <v>0</v>
      </c>
      <c r="C4" s="8" t="s">
        <v>1</v>
      </c>
      <c r="D4" s="8" t="s">
        <v>2</v>
      </c>
    </row>
    <row r="5" spans="1:5" x14ac:dyDescent="0.25">
      <c r="A5" s="12" t="s">
        <v>3</v>
      </c>
      <c r="B5" s="13">
        <f>SUM(B6:B26)</f>
        <v>11582</v>
      </c>
      <c r="C5" s="13">
        <f>SUM(C7:C26)</f>
        <v>4768</v>
      </c>
      <c r="D5" s="13">
        <f>SUM(D6:D26)</f>
        <v>6199</v>
      </c>
      <c r="E5" s="6"/>
    </row>
    <row r="6" spans="1:5" x14ac:dyDescent="0.25">
      <c r="A6" s="10" t="s">
        <v>16</v>
      </c>
      <c r="B6" s="2">
        <f t="shared" ref="B6:B26" si="0">SUM(C6:D6)</f>
        <v>1150</v>
      </c>
      <c r="C6" s="1">
        <v>615</v>
      </c>
      <c r="D6" s="3">
        <v>535</v>
      </c>
    </row>
    <row r="7" spans="1:5" x14ac:dyDescent="0.25">
      <c r="A7" s="10" t="s">
        <v>21</v>
      </c>
      <c r="B7" s="2">
        <f>SUM(C7:D7)</f>
        <v>2783</v>
      </c>
      <c r="C7" s="3">
        <v>1512</v>
      </c>
      <c r="D7" s="3">
        <v>1271</v>
      </c>
    </row>
    <row r="8" spans="1:5" x14ac:dyDescent="0.25">
      <c r="A8" s="10" t="s">
        <v>17</v>
      </c>
      <c r="B8" s="2">
        <f t="shared" si="0"/>
        <v>1946</v>
      </c>
      <c r="C8" s="3">
        <v>0</v>
      </c>
      <c r="D8" s="3">
        <v>1946</v>
      </c>
    </row>
    <row r="9" spans="1:5" x14ac:dyDescent="0.25">
      <c r="A9" s="10" t="s">
        <v>25</v>
      </c>
      <c r="B9" s="2">
        <f t="shared" si="0"/>
        <v>1219</v>
      </c>
      <c r="C9" s="3">
        <v>756</v>
      </c>
      <c r="D9" s="3">
        <v>463</v>
      </c>
    </row>
    <row r="10" spans="1:5" x14ac:dyDescent="0.25">
      <c r="A10" s="10" t="s">
        <v>6</v>
      </c>
      <c r="B10" s="2">
        <f t="shared" si="0"/>
        <v>1187</v>
      </c>
      <c r="C10" s="3">
        <v>827</v>
      </c>
      <c r="D10" s="3">
        <v>360</v>
      </c>
    </row>
    <row r="11" spans="1:5" x14ac:dyDescent="0.25">
      <c r="A11" s="10" t="s">
        <v>20</v>
      </c>
      <c r="B11" s="2">
        <f t="shared" si="0"/>
        <v>729</v>
      </c>
      <c r="C11" s="3">
        <v>445</v>
      </c>
      <c r="D11" s="3">
        <v>284</v>
      </c>
    </row>
    <row r="12" spans="1:5" x14ac:dyDescent="0.25">
      <c r="A12" s="10" t="s">
        <v>10</v>
      </c>
      <c r="B12" s="2">
        <f t="shared" si="0"/>
        <v>496</v>
      </c>
      <c r="C12" s="3">
        <v>290</v>
      </c>
      <c r="D12" s="3">
        <v>206</v>
      </c>
    </row>
    <row r="13" spans="1:5" x14ac:dyDescent="0.25">
      <c r="A13" s="10" t="s">
        <v>8</v>
      </c>
      <c r="B13" s="2">
        <f t="shared" si="0"/>
        <v>162</v>
      </c>
      <c r="C13" s="3">
        <v>116</v>
      </c>
      <c r="D13" s="3">
        <v>46</v>
      </c>
    </row>
    <row r="14" spans="1:5" x14ac:dyDescent="0.25">
      <c r="A14" s="10" t="s">
        <v>18</v>
      </c>
      <c r="B14" s="2">
        <f t="shared" si="0"/>
        <v>152</v>
      </c>
      <c r="C14" s="3">
        <v>22</v>
      </c>
      <c r="D14" s="3">
        <v>130</v>
      </c>
    </row>
    <row r="15" spans="1:5" x14ac:dyDescent="0.25">
      <c r="A15" s="10" t="s">
        <v>23</v>
      </c>
      <c r="B15" s="2">
        <f t="shared" si="0"/>
        <v>105</v>
      </c>
      <c r="C15" s="3">
        <v>44</v>
      </c>
      <c r="D15" s="3">
        <v>61</v>
      </c>
    </row>
    <row r="16" spans="1:5" x14ac:dyDescent="0.25">
      <c r="A16" s="10" t="s">
        <v>11</v>
      </c>
      <c r="B16" s="2">
        <f t="shared" si="0"/>
        <v>19</v>
      </c>
      <c r="C16" s="3">
        <v>11</v>
      </c>
      <c r="D16" s="3">
        <v>8</v>
      </c>
    </row>
    <row r="17" spans="1:4" x14ac:dyDescent="0.25">
      <c r="A17" s="10" t="s">
        <v>14</v>
      </c>
      <c r="B17" s="2">
        <f t="shared" si="0"/>
        <v>256</v>
      </c>
      <c r="C17" s="3">
        <v>135</v>
      </c>
      <c r="D17" s="3">
        <v>121</v>
      </c>
    </row>
    <row r="18" spans="1:4" x14ac:dyDescent="0.25">
      <c r="A18" s="10" t="s">
        <v>27</v>
      </c>
      <c r="B18" s="2">
        <f t="shared" si="0"/>
        <v>119</v>
      </c>
      <c r="C18" s="3">
        <v>51</v>
      </c>
      <c r="D18" s="3">
        <v>68</v>
      </c>
    </row>
    <row r="19" spans="1:4" x14ac:dyDescent="0.25">
      <c r="A19" s="10" t="s">
        <v>26</v>
      </c>
      <c r="B19" s="2">
        <f t="shared" si="0"/>
        <v>94</v>
      </c>
      <c r="C19" s="3">
        <v>74</v>
      </c>
      <c r="D19" s="3">
        <v>20</v>
      </c>
    </row>
    <row r="20" spans="1:4" x14ac:dyDescent="0.25">
      <c r="A20" s="10" t="s">
        <v>7</v>
      </c>
      <c r="B20" s="2">
        <f t="shared" si="0"/>
        <v>68</v>
      </c>
      <c r="C20" s="3">
        <v>34</v>
      </c>
      <c r="D20" s="3">
        <v>34</v>
      </c>
    </row>
    <row r="21" spans="1:4" x14ac:dyDescent="0.25">
      <c r="A21" s="10" t="s">
        <v>19</v>
      </c>
      <c r="B21" s="2">
        <f t="shared" si="0"/>
        <v>39</v>
      </c>
      <c r="C21" s="3">
        <v>24</v>
      </c>
      <c r="D21" s="3">
        <v>15</v>
      </c>
    </row>
    <row r="22" spans="1:4" x14ac:dyDescent="0.25">
      <c r="A22" s="10" t="s">
        <v>15</v>
      </c>
      <c r="B22" s="2">
        <f t="shared" si="0"/>
        <v>3</v>
      </c>
      <c r="C22" s="3">
        <v>2</v>
      </c>
      <c r="D22" s="3">
        <v>1</v>
      </c>
    </row>
    <row r="23" spans="1:4" x14ac:dyDescent="0.25">
      <c r="A23" s="10" t="s">
        <v>24</v>
      </c>
      <c r="B23" s="2">
        <f t="shared" si="0"/>
        <v>939</v>
      </c>
      <c r="C23" s="3">
        <v>381</v>
      </c>
      <c r="D23" s="3">
        <v>558</v>
      </c>
    </row>
    <row r="24" spans="1:4" x14ac:dyDescent="0.25">
      <c r="A24" s="10" t="s">
        <v>29</v>
      </c>
      <c r="B24" s="2">
        <f t="shared" si="0"/>
        <v>0</v>
      </c>
      <c r="C24" s="3">
        <v>0</v>
      </c>
      <c r="D24" s="3">
        <v>0</v>
      </c>
    </row>
    <row r="25" spans="1:4" x14ac:dyDescent="0.25">
      <c r="A25" s="10" t="s">
        <v>28</v>
      </c>
      <c r="B25" s="2">
        <f t="shared" si="0"/>
        <v>28</v>
      </c>
      <c r="C25" s="3">
        <v>11</v>
      </c>
      <c r="D25" s="3">
        <v>17</v>
      </c>
    </row>
    <row r="26" spans="1:4" x14ac:dyDescent="0.25">
      <c r="A26" s="11" t="s">
        <v>12</v>
      </c>
      <c r="B26" s="9">
        <f t="shared" si="0"/>
        <v>88</v>
      </c>
      <c r="C26" s="4">
        <v>33</v>
      </c>
      <c r="D26" s="4">
        <v>55</v>
      </c>
    </row>
    <row r="27" spans="1:4" x14ac:dyDescent="0.25">
      <c r="A27" s="5" t="s">
        <v>5</v>
      </c>
      <c r="D27" s="14" t="s">
        <v>4</v>
      </c>
    </row>
    <row r="31" spans="1:4" x14ac:dyDescent="0.25">
      <c r="A31" s="22" t="s">
        <v>30</v>
      </c>
      <c r="B31" s="22"/>
      <c r="C31" s="22"/>
      <c r="D31" s="22"/>
    </row>
    <row r="33" spans="1:5" x14ac:dyDescent="0.25">
      <c r="A33" s="7" t="s">
        <v>13</v>
      </c>
      <c r="B33" s="8" t="s">
        <v>0</v>
      </c>
      <c r="C33" s="8" t="s">
        <v>1</v>
      </c>
      <c r="D33" s="8" t="s">
        <v>2</v>
      </c>
    </row>
    <row r="34" spans="1:5" x14ac:dyDescent="0.25">
      <c r="A34" s="12" t="s">
        <v>3</v>
      </c>
      <c r="B34" s="13">
        <f>SUM(B35:B56)</f>
        <v>13678</v>
      </c>
      <c r="C34" s="13">
        <f>SUM(C35:C56)</f>
        <v>6162</v>
      </c>
      <c r="D34" s="13">
        <f>SUM(D35:D56)</f>
        <v>7516</v>
      </c>
      <c r="E34" s="6"/>
    </row>
    <row r="35" spans="1:5" x14ac:dyDescent="0.25">
      <c r="A35" s="10" t="s">
        <v>16</v>
      </c>
      <c r="B35" s="2">
        <f t="shared" ref="B35:B56" si="1">SUM(C35:D35)</f>
        <v>3296</v>
      </c>
      <c r="C35" s="3">
        <v>1555</v>
      </c>
      <c r="D35" s="3">
        <v>1741</v>
      </c>
    </row>
    <row r="36" spans="1:5" x14ac:dyDescent="0.25">
      <c r="A36" s="10" t="s">
        <v>21</v>
      </c>
      <c r="B36" s="2">
        <f t="shared" si="1"/>
        <v>2492</v>
      </c>
      <c r="C36" s="3">
        <v>1314</v>
      </c>
      <c r="D36" s="3">
        <v>1178</v>
      </c>
    </row>
    <row r="37" spans="1:5" x14ac:dyDescent="0.25">
      <c r="A37" s="10" t="s">
        <v>17</v>
      </c>
      <c r="B37" s="2">
        <f t="shared" si="1"/>
        <v>2151</v>
      </c>
      <c r="C37" s="3">
        <v>0</v>
      </c>
      <c r="D37" s="3">
        <v>2151</v>
      </c>
    </row>
    <row r="38" spans="1:5" x14ac:dyDescent="0.25">
      <c r="A38" s="10" t="s">
        <v>25</v>
      </c>
      <c r="B38" s="2">
        <f t="shared" si="1"/>
        <v>1078</v>
      </c>
      <c r="C38" s="3">
        <v>628</v>
      </c>
      <c r="D38" s="3">
        <v>450</v>
      </c>
    </row>
    <row r="39" spans="1:5" x14ac:dyDescent="0.25">
      <c r="A39" s="10" t="s">
        <v>6</v>
      </c>
      <c r="B39" s="2">
        <f t="shared" si="1"/>
        <v>1038</v>
      </c>
      <c r="C39" s="3">
        <v>735</v>
      </c>
      <c r="D39" s="3">
        <v>303</v>
      </c>
    </row>
    <row r="40" spans="1:5" x14ac:dyDescent="0.25">
      <c r="A40" s="10" t="s">
        <v>20</v>
      </c>
      <c r="B40" s="2">
        <f t="shared" si="1"/>
        <v>874</v>
      </c>
      <c r="C40" s="3">
        <v>545</v>
      </c>
      <c r="D40" s="3">
        <v>329</v>
      </c>
    </row>
    <row r="41" spans="1:5" hidden="1" x14ac:dyDescent="0.25">
      <c r="A41" s="16" t="s">
        <v>9</v>
      </c>
      <c r="B41" s="17">
        <f t="shared" si="1"/>
        <v>0</v>
      </c>
      <c r="C41" s="18">
        <v>0</v>
      </c>
      <c r="D41" s="18">
        <v>0</v>
      </c>
      <c r="E41" s="15" t="s">
        <v>32</v>
      </c>
    </row>
    <row r="42" spans="1:5" x14ac:dyDescent="0.25">
      <c r="A42" s="16" t="s">
        <v>10</v>
      </c>
      <c r="B42" s="17">
        <f t="shared" si="1"/>
        <v>495</v>
      </c>
      <c r="C42" s="18">
        <v>308</v>
      </c>
      <c r="D42" s="18">
        <v>187</v>
      </c>
    </row>
    <row r="43" spans="1:5" x14ac:dyDescent="0.25">
      <c r="A43" s="16" t="s">
        <v>8</v>
      </c>
      <c r="B43" s="17">
        <f t="shared" si="1"/>
        <v>248</v>
      </c>
      <c r="C43" s="18">
        <v>190</v>
      </c>
      <c r="D43" s="18">
        <v>58</v>
      </c>
    </row>
    <row r="44" spans="1:5" x14ac:dyDescent="0.25">
      <c r="A44" s="16" t="s">
        <v>18</v>
      </c>
      <c r="B44" s="17">
        <f t="shared" si="1"/>
        <v>228</v>
      </c>
      <c r="C44" s="18">
        <v>46</v>
      </c>
      <c r="D44" s="18">
        <v>182</v>
      </c>
    </row>
    <row r="45" spans="1:5" x14ac:dyDescent="0.25">
      <c r="A45" s="16" t="s">
        <v>23</v>
      </c>
      <c r="B45" s="17">
        <f t="shared" si="1"/>
        <v>213</v>
      </c>
      <c r="C45" s="18">
        <v>116</v>
      </c>
      <c r="D45" s="18">
        <v>97</v>
      </c>
    </row>
    <row r="46" spans="1:5" x14ac:dyDescent="0.25">
      <c r="A46" s="16" t="s">
        <v>11</v>
      </c>
      <c r="B46" s="17">
        <f t="shared" si="1"/>
        <v>143</v>
      </c>
      <c r="C46" s="18">
        <v>67</v>
      </c>
      <c r="D46" s="18">
        <v>76</v>
      </c>
    </row>
    <row r="47" spans="1:5" x14ac:dyDescent="0.25">
      <c r="A47" s="16" t="s">
        <v>14</v>
      </c>
      <c r="B47" s="17">
        <f t="shared" si="1"/>
        <v>197</v>
      </c>
      <c r="C47" s="18">
        <v>103</v>
      </c>
      <c r="D47" s="18">
        <v>94</v>
      </c>
    </row>
    <row r="48" spans="1:5" x14ac:dyDescent="0.25">
      <c r="A48" s="16" t="s">
        <v>27</v>
      </c>
      <c r="B48" s="17">
        <f t="shared" si="1"/>
        <v>65</v>
      </c>
      <c r="C48" s="18">
        <v>36</v>
      </c>
      <c r="D48" s="18">
        <v>29</v>
      </c>
    </row>
    <row r="49" spans="1:5" x14ac:dyDescent="0.25">
      <c r="A49" s="16" t="s">
        <v>26</v>
      </c>
      <c r="B49" s="17">
        <f t="shared" si="1"/>
        <v>30</v>
      </c>
      <c r="C49" s="18">
        <v>24</v>
      </c>
      <c r="D49" s="18">
        <v>6</v>
      </c>
    </row>
    <row r="50" spans="1:5" x14ac:dyDescent="0.25">
      <c r="A50" s="16" t="s">
        <v>7</v>
      </c>
      <c r="B50" s="17">
        <f t="shared" si="1"/>
        <v>63</v>
      </c>
      <c r="C50" s="18">
        <v>31</v>
      </c>
      <c r="D50" s="18">
        <v>32</v>
      </c>
    </row>
    <row r="51" spans="1:5" hidden="1" x14ac:dyDescent="0.25">
      <c r="A51" s="16" t="s">
        <v>22</v>
      </c>
      <c r="B51" s="17">
        <f t="shared" si="1"/>
        <v>0</v>
      </c>
      <c r="C51" s="18">
        <v>0</v>
      </c>
      <c r="D51" s="18">
        <v>0</v>
      </c>
      <c r="E51" s="15" t="s">
        <v>33</v>
      </c>
    </row>
    <row r="52" spans="1:5" x14ac:dyDescent="0.25">
      <c r="A52" s="16" t="s">
        <v>19</v>
      </c>
      <c r="B52" s="17">
        <f t="shared" si="1"/>
        <v>43</v>
      </c>
      <c r="C52" s="18">
        <v>33</v>
      </c>
      <c r="D52" s="18">
        <v>10</v>
      </c>
    </row>
    <row r="53" spans="1:5" x14ac:dyDescent="0.25">
      <c r="A53" s="16" t="s">
        <v>15</v>
      </c>
      <c r="B53" s="17">
        <f t="shared" si="1"/>
        <v>4</v>
      </c>
      <c r="C53" s="18">
        <v>3</v>
      </c>
      <c r="D53" s="18">
        <v>1</v>
      </c>
    </row>
    <row r="54" spans="1:5" x14ac:dyDescent="0.25">
      <c r="A54" s="16" t="s">
        <v>24</v>
      </c>
      <c r="B54" s="17">
        <f t="shared" si="1"/>
        <v>922</v>
      </c>
      <c r="C54" s="18">
        <v>385</v>
      </c>
      <c r="D54" s="18">
        <v>537</v>
      </c>
    </row>
    <row r="55" spans="1:5" x14ac:dyDescent="0.25">
      <c r="A55" s="16" t="s">
        <v>28</v>
      </c>
      <c r="B55" s="17">
        <f t="shared" si="1"/>
        <v>10</v>
      </c>
      <c r="C55" s="18">
        <v>8</v>
      </c>
      <c r="D55" s="18">
        <v>2</v>
      </c>
    </row>
    <row r="56" spans="1:5" x14ac:dyDescent="0.25">
      <c r="A56" s="19" t="s">
        <v>12</v>
      </c>
      <c r="B56" s="20">
        <f t="shared" si="1"/>
        <v>88</v>
      </c>
      <c r="C56" s="21">
        <v>35</v>
      </c>
      <c r="D56" s="21">
        <v>53</v>
      </c>
    </row>
    <row r="57" spans="1:5" x14ac:dyDescent="0.25">
      <c r="A57" s="5" t="s">
        <v>5</v>
      </c>
      <c r="D57" s="14" t="s">
        <v>4</v>
      </c>
    </row>
    <row r="61" spans="1:5" x14ac:dyDescent="0.25">
      <c r="A61" s="5" t="s">
        <v>5</v>
      </c>
      <c r="D61" s="14" t="s">
        <v>4</v>
      </c>
    </row>
  </sheetData>
  <sortState xmlns:xlrd2="http://schemas.microsoft.com/office/spreadsheetml/2017/richdata2" ref="A61:D62">
    <sortCondition descending="1" ref="B61:B62"/>
  </sortState>
  <mergeCells count="2">
    <mergeCell ref="A2:D2"/>
    <mergeCell ref="A31:D31"/>
  </mergeCells>
  <pageMargins left="0.7" right="0.7" top="0.75" bottom="0.75" header="0.3" footer="0.3"/>
  <pageSetup scale="82" orientation="portrait" r:id="rId1"/>
  <rowBreaks count="1" manualBreakCount="1">
    <brk id="5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6.10</vt:lpstr>
      <vt:lpstr>'6.10'!Print_Area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2023-07-23T04:13:13Z</cp:lastPrinted>
  <dcterms:created xsi:type="dcterms:W3CDTF">2019-08-06T05:35:20Z</dcterms:created>
  <dcterms:modified xsi:type="dcterms:W3CDTF">2023-07-23T04:14:50Z</dcterms:modified>
</cp:coreProperties>
</file>