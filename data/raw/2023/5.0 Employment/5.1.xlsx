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 hidePivotFieldList="1"/>
  <mc:AlternateContent xmlns:mc="http://schemas.openxmlformats.org/markup-compatibility/2006">
    <mc:Choice Requires="x15">
      <x15ac:absPath xmlns:x15ac="http://schemas.microsoft.com/office/spreadsheetml/2010/11/ac" url="\\192.168.1.8\st4\Dissemination\Publications\Statistical Year Book\YEARBOOK 2023\FINAL\Employment\"/>
    </mc:Choice>
  </mc:AlternateContent>
  <xr:revisionPtr revIDLastSave="0" documentId="13_ncr:1_{2B4089A9-DC15-45F6-AF86-3456BB7A137F}" xr6:coauthVersionLast="47" xr6:coauthVersionMax="47" xr10:uidLastSave="{00000000-0000-0000-0000-000000000000}"/>
  <bookViews>
    <workbookView xWindow="-120" yWindow="-120" windowWidth="29040" windowHeight="15840" tabRatio="736" xr2:uid="{00000000-000D-0000-FFFF-FFFF00000000}"/>
  </bookViews>
  <sheets>
    <sheet name="5.1" sheetId="1" r:id="rId1"/>
  </sheets>
  <definedNames>
    <definedName name="_xlnm.Print_Area" localSheetId="0">'5.1'!$A$1:$O$129</definedName>
    <definedName name="_xlnm.Print_Titles" localSheetId="0">'5.1'!$4:$8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D11" i="1"/>
  <c r="D10" i="1"/>
  <c r="G9" i="1"/>
  <c r="K9" i="1" l="1"/>
  <c r="C9" i="1" s="1"/>
  <c r="H9" i="1"/>
  <c r="L9" i="1" l="1"/>
  <c r="D9" i="1" s="1"/>
  <c r="J108" i="1"/>
  <c r="F108" i="1"/>
  <c r="C108" i="1"/>
  <c r="D108" i="1"/>
  <c r="J9" i="1" l="1"/>
  <c r="B108" i="1"/>
  <c r="C11" i="1" l="1"/>
  <c r="C12" i="1"/>
  <c r="D12" i="1"/>
  <c r="C13" i="1"/>
  <c r="D13" i="1"/>
  <c r="C14" i="1"/>
  <c r="D14" i="1"/>
  <c r="C15" i="1"/>
  <c r="D15" i="1"/>
  <c r="C16" i="1"/>
  <c r="D16" i="1"/>
  <c r="C17" i="1"/>
  <c r="D17" i="1"/>
  <c r="D18" i="1"/>
  <c r="C19" i="1"/>
  <c r="D19" i="1"/>
  <c r="C20" i="1"/>
  <c r="D20" i="1"/>
  <c r="C21" i="1"/>
  <c r="D21" i="1"/>
  <c r="C22" i="1"/>
  <c r="D22" i="1"/>
  <c r="C23" i="1"/>
  <c r="D23" i="1"/>
  <c r="C24" i="1"/>
  <c r="D24" i="1"/>
  <c r="C25" i="1"/>
  <c r="D25" i="1"/>
  <c r="C26" i="1"/>
  <c r="D26" i="1"/>
  <c r="C27" i="1"/>
  <c r="D27" i="1"/>
  <c r="C28" i="1"/>
  <c r="D28" i="1"/>
  <c r="C29" i="1"/>
  <c r="D29" i="1"/>
  <c r="C30" i="1"/>
  <c r="D30" i="1"/>
  <c r="C31" i="1"/>
  <c r="D31" i="1"/>
  <c r="C32" i="1"/>
  <c r="D32" i="1"/>
  <c r="C33" i="1"/>
  <c r="D33" i="1"/>
  <c r="C34" i="1"/>
  <c r="D34" i="1"/>
  <c r="C35" i="1"/>
  <c r="D35" i="1"/>
  <c r="C36" i="1"/>
  <c r="D36" i="1"/>
  <c r="C37" i="1"/>
  <c r="D37" i="1"/>
  <c r="C38" i="1"/>
  <c r="D38" i="1"/>
  <c r="C39" i="1"/>
  <c r="D39" i="1"/>
  <c r="C40" i="1"/>
  <c r="D40" i="1"/>
  <c r="C41" i="1"/>
  <c r="D41" i="1"/>
  <c r="C42" i="1"/>
  <c r="D42" i="1"/>
  <c r="C43" i="1"/>
  <c r="D43" i="1"/>
  <c r="C44" i="1"/>
  <c r="D44" i="1"/>
  <c r="C45" i="1"/>
  <c r="D45" i="1"/>
  <c r="C46" i="1"/>
  <c r="D46" i="1"/>
  <c r="C47" i="1"/>
  <c r="D47" i="1"/>
  <c r="C48" i="1"/>
  <c r="D48" i="1"/>
  <c r="C49" i="1"/>
  <c r="D49" i="1"/>
  <c r="C50" i="1"/>
  <c r="D50" i="1"/>
  <c r="C51" i="1"/>
  <c r="D51" i="1"/>
  <c r="C52" i="1"/>
  <c r="D52" i="1"/>
  <c r="C53" i="1"/>
  <c r="D53" i="1"/>
  <c r="C54" i="1"/>
  <c r="D54" i="1"/>
  <c r="C55" i="1"/>
  <c r="D55" i="1"/>
  <c r="C56" i="1"/>
  <c r="D56" i="1"/>
  <c r="C57" i="1"/>
  <c r="D57" i="1"/>
  <c r="C58" i="1"/>
  <c r="D58" i="1"/>
  <c r="C59" i="1"/>
  <c r="D59" i="1"/>
  <c r="C60" i="1"/>
  <c r="D60" i="1"/>
  <c r="C61" i="1"/>
  <c r="D61" i="1"/>
  <c r="C62" i="1"/>
  <c r="D62" i="1"/>
  <c r="C63" i="1"/>
  <c r="D63" i="1"/>
  <c r="C64" i="1"/>
  <c r="D64" i="1"/>
  <c r="C65" i="1"/>
  <c r="D65" i="1"/>
  <c r="C66" i="1"/>
  <c r="D66" i="1"/>
  <c r="C67" i="1"/>
  <c r="D67" i="1"/>
  <c r="C68" i="1"/>
  <c r="D68" i="1"/>
  <c r="C69" i="1"/>
  <c r="D69" i="1"/>
  <c r="C70" i="1"/>
  <c r="D70" i="1"/>
  <c r="C71" i="1"/>
  <c r="D71" i="1"/>
  <c r="C72" i="1"/>
  <c r="D72" i="1"/>
  <c r="C73" i="1"/>
  <c r="D73" i="1"/>
  <c r="C74" i="1"/>
  <c r="D74" i="1"/>
  <c r="C75" i="1"/>
  <c r="D75" i="1"/>
  <c r="C76" i="1"/>
  <c r="D76" i="1"/>
  <c r="C77" i="1"/>
  <c r="D77" i="1"/>
  <c r="C78" i="1"/>
  <c r="D78" i="1"/>
  <c r="C79" i="1"/>
  <c r="D79" i="1"/>
  <c r="C80" i="1"/>
  <c r="D80" i="1"/>
  <c r="C81" i="1"/>
  <c r="D81" i="1"/>
  <c r="C82" i="1"/>
  <c r="D82" i="1"/>
  <c r="C83" i="1"/>
  <c r="D83" i="1"/>
  <c r="C84" i="1"/>
  <c r="D84" i="1"/>
  <c r="C85" i="1"/>
  <c r="D85" i="1"/>
  <c r="C86" i="1"/>
  <c r="D86" i="1"/>
  <c r="C87" i="1"/>
  <c r="D87" i="1"/>
  <c r="C88" i="1"/>
  <c r="D88" i="1"/>
  <c r="C89" i="1"/>
  <c r="D89" i="1"/>
  <c r="C90" i="1"/>
  <c r="D90" i="1"/>
  <c r="C91" i="1"/>
  <c r="D91" i="1"/>
  <c r="C92" i="1"/>
  <c r="D92" i="1"/>
  <c r="C93" i="1"/>
  <c r="D93" i="1"/>
  <c r="C94" i="1"/>
  <c r="D94" i="1"/>
  <c r="C95" i="1"/>
  <c r="D95" i="1"/>
  <c r="C96" i="1"/>
  <c r="D96" i="1"/>
  <c r="C97" i="1"/>
  <c r="D97" i="1"/>
  <c r="C98" i="1"/>
  <c r="D98" i="1"/>
  <c r="C99" i="1"/>
  <c r="D99" i="1"/>
  <c r="C100" i="1"/>
  <c r="D100" i="1"/>
  <c r="C101" i="1"/>
  <c r="D101" i="1"/>
  <c r="C102" i="1"/>
  <c r="D102" i="1"/>
  <c r="C103" i="1"/>
  <c r="D103" i="1"/>
  <c r="C104" i="1"/>
  <c r="D104" i="1"/>
  <c r="C105" i="1"/>
  <c r="D105" i="1"/>
  <c r="C106" i="1"/>
  <c r="D106" i="1"/>
  <c r="C107" i="1"/>
  <c r="D107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B104" i="1" l="1"/>
  <c r="B100" i="1"/>
  <c r="B103" i="1"/>
  <c r="B16" i="1"/>
  <c r="B28" i="1"/>
  <c r="B36" i="1"/>
  <c r="B44" i="1"/>
  <c r="B52" i="1"/>
  <c r="B60" i="1"/>
  <c r="B72" i="1"/>
  <c r="B96" i="1"/>
  <c r="B99" i="1"/>
  <c r="B12" i="1"/>
  <c r="B20" i="1"/>
  <c r="B24" i="1"/>
  <c r="B32" i="1"/>
  <c r="B40" i="1"/>
  <c r="B48" i="1"/>
  <c r="B56" i="1"/>
  <c r="B64" i="1"/>
  <c r="B68" i="1"/>
  <c r="B76" i="1"/>
  <c r="B80" i="1"/>
  <c r="B84" i="1"/>
  <c r="B88" i="1"/>
  <c r="B92" i="1"/>
  <c r="B106" i="1"/>
  <c r="B107" i="1"/>
  <c r="B13" i="1"/>
  <c r="B17" i="1"/>
  <c r="B21" i="1"/>
  <c r="B25" i="1"/>
  <c r="B29" i="1"/>
  <c r="B33" i="1"/>
  <c r="B37" i="1"/>
  <c r="B41" i="1"/>
  <c r="B45" i="1"/>
  <c r="B49" i="1"/>
  <c r="B53" i="1"/>
  <c r="B57" i="1"/>
  <c r="B61" i="1"/>
  <c r="B65" i="1"/>
  <c r="B69" i="1"/>
  <c r="B73" i="1"/>
  <c r="B77" i="1"/>
  <c r="B81" i="1"/>
  <c r="B85" i="1"/>
  <c r="B89" i="1"/>
  <c r="B93" i="1"/>
  <c r="B97" i="1"/>
  <c r="B101" i="1"/>
  <c r="B105" i="1"/>
  <c r="B14" i="1"/>
  <c r="B18" i="1"/>
  <c r="B22" i="1"/>
  <c r="B26" i="1"/>
  <c r="B30" i="1"/>
  <c r="B34" i="1"/>
  <c r="B38" i="1"/>
  <c r="B42" i="1"/>
  <c r="B46" i="1"/>
  <c r="B50" i="1"/>
  <c r="B54" i="1"/>
  <c r="B58" i="1"/>
  <c r="B62" i="1"/>
  <c r="B66" i="1"/>
  <c r="B70" i="1"/>
  <c r="B74" i="1"/>
  <c r="B78" i="1"/>
  <c r="B82" i="1"/>
  <c r="B86" i="1"/>
  <c r="B90" i="1"/>
  <c r="B94" i="1"/>
  <c r="B98" i="1"/>
  <c r="B102" i="1"/>
  <c r="B11" i="1"/>
  <c r="B15" i="1"/>
  <c r="B19" i="1"/>
  <c r="B23" i="1"/>
  <c r="B27" i="1"/>
  <c r="B31" i="1"/>
  <c r="B35" i="1"/>
  <c r="B39" i="1"/>
  <c r="B43" i="1"/>
  <c r="B47" i="1"/>
  <c r="B51" i="1"/>
  <c r="B55" i="1"/>
  <c r="B59" i="1"/>
  <c r="B63" i="1"/>
  <c r="B67" i="1"/>
  <c r="B71" i="1"/>
  <c r="B75" i="1"/>
  <c r="B79" i="1"/>
  <c r="B83" i="1"/>
  <c r="B87" i="1"/>
  <c r="B91" i="1"/>
  <c r="B95" i="1"/>
  <c r="C10" i="1" l="1"/>
  <c r="F10" i="1"/>
  <c r="B10" i="1" s="1"/>
  <c r="F9" i="1" l="1"/>
  <c r="B9" i="1" s="1"/>
</calcChain>
</file>

<file path=xl/sharedStrings.xml><?xml version="1.0" encoding="utf-8"?>
<sst xmlns="http://schemas.openxmlformats.org/spreadsheetml/2006/main" count="238" uniqueCount="116">
  <si>
    <t>ރޭންކް</t>
  </si>
  <si>
    <t>No. of Employees</t>
  </si>
  <si>
    <t>މުވައްޒަފުންގެ އަދަދު</t>
  </si>
  <si>
    <t>Republic</t>
  </si>
  <si>
    <t>Male'</t>
  </si>
  <si>
    <t xml:space="preserve">Atolls </t>
  </si>
  <si>
    <t>Rank</t>
  </si>
  <si>
    <t>ދެޖިންސް</t>
  </si>
  <si>
    <t>ފިރިހެން</t>
  </si>
  <si>
    <t>އަންހެން</t>
  </si>
  <si>
    <t>Both Sexes</t>
  </si>
  <si>
    <t>Male</t>
  </si>
  <si>
    <t>Female</t>
  </si>
  <si>
    <t>Total</t>
  </si>
  <si>
    <t>CIVIL SERVICE 10-1</t>
  </si>
  <si>
    <t>CIVIL SERVICE 10-2</t>
  </si>
  <si>
    <t>CIVIL SERVICE 10-3</t>
  </si>
  <si>
    <t>CIVIL SERVICE 10-5</t>
  </si>
  <si>
    <t>CIVIL SERVICE 11-1</t>
  </si>
  <si>
    <t>CIVIL SERVICE 11-2</t>
  </si>
  <si>
    <t>CIVIL SERVICE 11-3</t>
  </si>
  <si>
    <t>CIVIL SERVICE 11-4</t>
  </si>
  <si>
    <t>CIVIL SERVICE 12-1</t>
  </si>
  <si>
    <t>CIVIL SERVICE 12-2</t>
  </si>
  <si>
    <t>CIVIL SERVICE 12-3</t>
  </si>
  <si>
    <t>CIVIL SERVICE 12-4</t>
  </si>
  <si>
    <t>CIVIL SERVICE 12-5</t>
  </si>
  <si>
    <t>CIVIL SERVICE 13-1</t>
  </si>
  <si>
    <t>CIVIL SERVICE 13-2</t>
  </si>
  <si>
    <t>CIVIL SERVICE 13-3</t>
  </si>
  <si>
    <t>CIVIL SERVICE 13-4</t>
  </si>
  <si>
    <t>CIVIL SERVICE 13-5</t>
  </si>
  <si>
    <t>CIVIL SERVICE 14-1</t>
  </si>
  <si>
    <t>CIVIL SERVICE 14-2</t>
  </si>
  <si>
    <t>CIVIL SERVICE 14-3</t>
  </si>
  <si>
    <t>CIVIL SERVICE 14-4</t>
  </si>
  <si>
    <t>CIVIL SERVICE 15</t>
  </si>
  <si>
    <t>CIVIL SERVICE 15-1</t>
  </si>
  <si>
    <t>CIVIL SERVICE 15-2</t>
  </si>
  <si>
    <t>CIVIL SERVICE 15-3</t>
  </si>
  <si>
    <t>CIVIL SERVICE 15-4</t>
  </si>
  <si>
    <t>CIVIL SERVICE 15-5</t>
  </si>
  <si>
    <t>CIVIL SERVICE 16</t>
  </si>
  <si>
    <t>CIVIL SERVICE 16-1</t>
  </si>
  <si>
    <t>CIVIL SERVICE 16-2</t>
  </si>
  <si>
    <t>CIVIL SERVICE 16-3</t>
  </si>
  <si>
    <t>CIVIL SERVICE 16-5</t>
  </si>
  <si>
    <t>CIVIL SERVICE 17-2</t>
  </si>
  <si>
    <t>CIVIL SERVICE 17-3</t>
  </si>
  <si>
    <t>CIVIL SERVICE 17-4</t>
  </si>
  <si>
    <t>CIVIL SERVICE 17-6</t>
  </si>
  <si>
    <t>CIVIL SERVICE 18</t>
  </si>
  <si>
    <t>CIVIL SERVICE 18-1</t>
  </si>
  <si>
    <t>CIVIL SERVICE 18-3</t>
  </si>
  <si>
    <t>CIVIL SERVICE 2</t>
  </si>
  <si>
    <t>CIVIL SERVICE 3-1</t>
  </si>
  <si>
    <t>CIVIL SERVICE 3-2</t>
  </si>
  <si>
    <t>CIVIL SERVICE 3-3</t>
  </si>
  <si>
    <t>CIVIL SERVICE 3-4</t>
  </si>
  <si>
    <t>CIVIL SERVICE 3-5</t>
  </si>
  <si>
    <t>CIVIL SERVICE 4-2</t>
  </si>
  <si>
    <t>CIVIL SERVICE 4-3</t>
  </si>
  <si>
    <t>CIVIL SERVICE 4-5</t>
  </si>
  <si>
    <t>CIVIL SERVICE 5-1</t>
  </si>
  <si>
    <t>CIVIL SERVICE 5-2</t>
  </si>
  <si>
    <t>CIVIL SERVICE 5-3</t>
  </si>
  <si>
    <t>CIVIL SERVICE 6-1</t>
  </si>
  <si>
    <t>CIVIL SERVICE 6-2</t>
  </si>
  <si>
    <t>CIVIL SERVICE 6-3</t>
  </si>
  <si>
    <t>CIVIL SERVICE 6-4</t>
  </si>
  <si>
    <t>CIVIL SERVICE 6-5</t>
  </si>
  <si>
    <t>CIVIL SERVICE 7-1</t>
  </si>
  <si>
    <t>CIVIL SERVICE 7-2</t>
  </si>
  <si>
    <t>CIVIL SERVICE 7-3</t>
  </si>
  <si>
    <t>CIVIL SERVICE 7-4</t>
  </si>
  <si>
    <t>CIVIL SERVICE 8-1</t>
  </si>
  <si>
    <t>CIVIL SERVICE 8-2</t>
  </si>
  <si>
    <t>CIVIL SERVICE 8-3</t>
  </si>
  <si>
    <t>CIVIL SERVICE 9-1</t>
  </si>
  <si>
    <t>CIVIL SERVICE 9-2</t>
  </si>
  <si>
    <t>CIVIL SERVICE 9-3</t>
  </si>
  <si>
    <t>CIVIL SERVICE 9-4</t>
  </si>
  <si>
    <t>EXECUTIVE 1</t>
  </si>
  <si>
    <t>EXECUTIVE 2</t>
  </si>
  <si>
    <t>EXECUTIVE 3</t>
  </si>
  <si>
    <t>EXECUTIVE 4</t>
  </si>
  <si>
    <t>EXECUTIVE 5</t>
  </si>
  <si>
    <t>EXECUTIVE 6</t>
  </si>
  <si>
    <t>GENERAL SERVICE 1</t>
  </si>
  <si>
    <t>GENERAL SERVICE 2</t>
  </si>
  <si>
    <t>GENERAL SERVICE 3</t>
  </si>
  <si>
    <t>GENERAL SERVICE 4</t>
  </si>
  <si>
    <t>MANAGERIAL SERVICE 1</t>
  </si>
  <si>
    <t>MANAGERIAL SERVICE 2</t>
  </si>
  <si>
    <t>MANAGERIAL SERVICE 3</t>
  </si>
  <si>
    <t>MANAGERIAL SERVICE 4</t>
  </si>
  <si>
    <t>SUPPORT SERVICE 1</t>
  </si>
  <si>
    <t>SUPPORT SERVICE 2</t>
  </si>
  <si>
    <t>SUPPORT SERVICE 3</t>
  </si>
  <si>
    <t>SUPPORT SERVICE 4</t>
  </si>
  <si>
    <t>ZIMMAADHAARU VERIYAA 7</t>
  </si>
  <si>
    <t>Source: Civil Service Commision</t>
  </si>
  <si>
    <t>CIVIL SERVICE 17-5</t>
  </si>
  <si>
    <t>CIVIL SERVICE 1</t>
  </si>
  <si>
    <t>CIVIL SERVICE 18-5</t>
  </si>
  <si>
    <t>ZIMMAADHAARU VERIYAA 7-1</t>
  </si>
  <si>
    <t>ZIMMAADHAARU VERIYAA 7-2</t>
  </si>
  <si>
    <t>ZIMMAADHAARU VERIYAA 7-3</t>
  </si>
  <si>
    <t>Table 5.1 :  CIVIL SERVANTS CLASSIFIED BY JOB RANK AND SEX, 2022</t>
  </si>
  <si>
    <t>ތާވަލް 5.1: ސިވިލް ސަރވިސްގައި ވަޒީފާއަދާކުރާ މުވައްޒަފުން އަދި ރޭންކު، 2022</t>
  </si>
  <si>
    <t>R10 - Step 1</t>
  </si>
  <si>
    <t>R5 - Step 1</t>
  </si>
  <si>
    <t>R7 - Step 1</t>
  </si>
  <si>
    <t>R8 - Step 1</t>
  </si>
  <si>
    <t>R9 - Step 1</t>
  </si>
  <si>
    <t>ZIMMAADHAARU VERIYAA 7-4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</si>
</sst>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General_)"/>
    <numFmt numFmtId="165" formatCode="_-* #,##0\ _ރ_._-;_-* #,##0\ _ރ_.\-;_-* &quot;-&quot;??\ _ރ_._-;_-@_-"/>
    <numFmt numFmtId="166" formatCode="_(* #,##0_);_(* \(#,##0\);_(* &quot;-&quot;??_);_(@_)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_Reethi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Faruma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sz val="11"/>
      <color theme="1"/>
      <name val="Calibri"/>
    </font>
    <font>
      <sz val="11"/>
      <color rgb="FF000000"/>
      <name val="Calibri"/>
    </font>
    <font>
      <i/>
      <sz val="9"/>
      <color theme="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E2EFD9"/>
      </patternFill>
    </fill>
    <fill>
      <patternFill patternType="solid">
        <fgColor theme="0"/>
        <bgColor theme="0"/>
      </patternFill>
    </fill>
  </fills>
  <borders count="1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hair">
        <color theme="1" tint="4.9989318521683403E-2"/>
      </bottom>
      <diagonal/>
    </border>
    <border>
      <left/>
      <right/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/>
      <bottom/>
      <diagonal/>
    </border>
    <border>
      <left/>
      <right style="hair">
        <color theme="1"/>
      </right>
      <top/>
      <bottom/>
      <diagonal/>
    </border>
    <border>
      <left/>
      <right/>
      <top/>
      <bottom style="thin">
        <color indexed="64"/>
      </bottom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hair">
        <color theme="1"/>
      </right>
      <top/>
      <bottom style="thin">
        <color indexed="64"/>
      </bottom>
      <diagonal/>
    </border>
    <border>
      <left style="hair">
        <color rgb="FF000000"/>
      </left>
      <right/>
      <top/>
      <bottom/>
      <diagonal/>
    </border>
    <border>
      <left/>
      <right style="hair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5" fillId="0" borderId="0"/>
    <xf numFmtId="0" fontId="3" fillId="0" borderId="0"/>
    <xf numFmtId="0" fontId="17" fillId="0" borderId="0"/>
    <xf numFmtId="0" fontId="3" fillId="0" borderId="0"/>
    <xf numFmtId="43" fontId="3" fillId="0" borderId="0" applyFont="0" applyFill="0" applyBorder="0" applyAlignment="0" applyProtection="0"/>
    <xf numFmtId="0" fontId="18" fillId="0" borderId="0"/>
    <xf numFmtId="0" fontId="3" fillId="0" borderId="0"/>
  </cellStyleXfs>
  <cellXfs count="71">
    <xf numFmtId="0" fontId="0" fillId="0" borderId="0" xfId="0"/>
    <xf numFmtId="0" fontId="4" fillId="2" borderId="0" xfId="2" applyFont="1" applyFill="1"/>
    <xf numFmtId="0" fontId="0" fillId="2" borderId="0" xfId="0" applyFill="1"/>
    <xf numFmtId="0" fontId="0" fillId="2" borderId="0" xfId="0" applyFill="1" applyAlignment="1">
      <alignment vertical="center"/>
    </xf>
    <xf numFmtId="164" fontId="7" fillId="2" borderId="0" xfId="3" applyNumberFormat="1" applyFont="1" applyFill="1" applyAlignment="1">
      <alignment vertical="center"/>
    </xf>
    <xf numFmtId="0" fontId="10" fillId="2" borderId="0" xfId="0" applyFont="1" applyFill="1"/>
    <xf numFmtId="0" fontId="9" fillId="2" borderId="0" xfId="0" applyFont="1" applyFill="1" applyAlignment="1">
      <alignment horizontal="right" vertical="center" readingOrder="2"/>
    </xf>
    <xf numFmtId="0" fontId="10" fillId="2" borderId="0" xfId="0" applyFont="1" applyFill="1" applyAlignment="1">
      <alignment vertical="center"/>
    </xf>
    <xf numFmtId="0" fontId="9" fillId="2" borderId="8" xfId="0" applyFont="1" applyFill="1" applyBorder="1" applyAlignment="1">
      <alignment horizontal="right" vertical="center" readingOrder="2"/>
    </xf>
    <xf numFmtId="0" fontId="9" fillId="2" borderId="9" xfId="0" applyFont="1" applyFill="1" applyBorder="1" applyAlignment="1">
      <alignment horizontal="right" vertical="center" readingOrder="2"/>
    </xf>
    <xf numFmtId="165" fontId="8" fillId="2" borderId="10" xfId="1" applyNumberFormat="1" applyFont="1" applyFill="1" applyBorder="1" applyAlignment="1">
      <alignment horizontal="right" vertical="center"/>
    </xf>
    <xf numFmtId="165" fontId="8" fillId="2" borderId="11" xfId="1" applyNumberFormat="1" applyFont="1" applyFill="1" applyBorder="1" applyAlignment="1">
      <alignment horizontal="right" vertical="center"/>
    </xf>
    <xf numFmtId="165" fontId="8" fillId="2" borderId="12" xfId="1" applyNumberFormat="1" applyFont="1" applyFill="1" applyBorder="1" applyAlignment="1">
      <alignment horizontal="right" vertical="center"/>
    </xf>
    <xf numFmtId="0" fontId="10" fillId="2" borderId="0" xfId="0" applyFont="1" applyFill="1" applyAlignment="1">
      <alignment horizontal="center" vertical="center"/>
    </xf>
    <xf numFmtId="165" fontId="8" fillId="2" borderId="0" xfId="1" applyNumberFormat="1" applyFont="1" applyFill="1" applyBorder="1" applyAlignment="1">
      <alignment horizontal="center" vertical="center"/>
    </xf>
    <xf numFmtId="165" fontId="8" fillId="2" borderId="8" xfId="1" applyNumberFormat="1" applyFont="1" applyFill="1" applyBorder="1" applyAlignment="1">
      <alignment horizontal="center" vertical="center"/>
    </xf>
    <xf numFmtId="165" fontId="8" fillId="2" borderId="9" xfId="1" applyNumberFormat="1" applyFont="1" applyFill="1" applyBorder="1" applyAlignment="1">
      <alignment horizontal="center" vertical="center"/>
    </xf>
    <xf numFmtId="3" fontId="8" fillId="2" borderId="0" xfId="1" applyNumberFormat="1" applyFont="1" applyFill="1" applyAlignment="1">
      <alignment horizontal="righ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horizontal="left"/>
    </xf>
    <xf numFmtId="0" fontId="11" fillId="2" borderId="0" xfId="0" applyFont="1" applyFill="1" applyAlignment="1">
      <alignment vertical="center"/>
    </xf>
    <xf numFmtId="165" fontId="1" fillId="2" borderId="0" xfId="1" applyNumberFormat="1" applyFont="1" applyFill="1" applyBorder="1" applyAlignment="1">
      <alignment vertical="center"/>
    </xf>
    <xf numFmtId="0" fontId="11" fillId="2" borderId="0" xfId="0" applyFont="1" applyFill="1" applyAlignment="1">
      <alignment horizontal="center" vertical="center"/>
    </xf>
    <xf numFmtId="165" fontId="11" fillId="2" borderId="0" xfId="1" applyNumberFormat="1" applyFont="1" applyFill="1" applyBorder="1" applyAlignment="1">
      <alignment vertical="center"/>
    </xf>
    <xf numFmtId="165" fontId="0" fillId="2" borderId="0" xfId="1" applyNumberFormat="1" applyFont="1" applyFill="1" applyBorder="1" applyAlignment="1">
      <alignment vertical="center"/>
    </xf>
    <xf numFmtId="166" fontId="2" fillId="2" borderId="0" xfId="1" applyNumberFormat="1" applyFont="1" applyFill="1" applyBorder="1" applyAlignment="1">
      <alignment horizontal="right" vertical="center"/>
    </xf>
    <xf numFmtId="166" fontId="1" fillId="2" borderId="0" xfId="1" applyNumberFormat="1" applyFont="1" applyFill="1" applyBorder="1" applyAlignment="1">
      <alignment horizontal="right" vertical="center"/>
    </xf>
    <xf numFmtId="0" fontId="12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165" fontId="2" fillId="2" borderId="0" xfId="1" applyNumberFormat="1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166" fontId="0" fillId="2" borderId="0" xfId="1" applyNumberFormat="1" applyFont="1" applyFill="1" applyBorder="1" applyAlignment="1">
      <alignment vertical="center"/>
    </xf>
    <xf numFmtId="165" fontId="8" fillId="2" borderId="7" xfId="1" applyNumberFormat="1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3" fontId="16" fillId="3" borderId="0" xfId="0" applyNumberFormat="1" applyFont="1" applyFill="1" applyAlignment="1">
      <alignment horizontal="right" vertical="center"/>
    </xf>
    <xf numFmtId="3" fontId="16" fillId="3" borderId="13" xfId="0" applyNumberFormat="1" applyFont="1" applyFill="1" applyBorder="1" applyAlignment="1">
      <alignment horizontal="right" vertical="center"/>
    </xf>
    <xf numFmtId="3" fontId="16" fillId="3" borderId="14" xfId="0" applyNumberFormat="1" applyFont="1" applyFill="1" applyBorder="1" applyAlignment="1">
      <alignment horizontal="right" vertical="center"/>
    </xf>
    <xf numFmtId="3" fontId="15" fillId="3" borderId="0" xfId="0" applyNumberFormat="1" applyFont="1" applyFill="1" applyAlignment="1">
      <alignment horizontal="right" vertical="center"/>
    </xf>
    <xf numFmtId="3" fontId="15" fillId="3" borderId="1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left" vertical="center" indent="1"/>
    </xf>
    <xf numFmtId="0" fontId="20" fillId="5" borderId="0" xfId="0" applyFont="1" applyFill="1" applyAlignment="1">
      <alignment horizontal="left" vertical="center" indent="1"/>
    </xf>
    <xf numFmtId="0" fontId="19" fillId="5" borderId="15" xfId="0" applyFont="1" applyFill="1" applyBorder="1" applyAlignment="1">
      <alignment horizontal="left" vertical="center" indent="1"/>
    </xf>
    <xf numFmtId="0" fontId="15" fillId="5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right" vertical="center" wrapText="1"/>
    </xf>
    <xf numFmtId="3" fontId="0" fillId="2" borderId="0" xfId="0" applyNumberFormat="1" applyFill="1" applyAlignment="1">
      <alignment horizontal="right" vertical="center" wrapText="1"/>
    </xf>
    <xf numFmtId="0" fontId="21" fillId="5" borderId="16" xfId="0" applyFont="1" applyFill="1" applyBorder="1" applyAlignment="1">
      <alignment vertical="center"/>
    </xf>
    <xf numFmtId="166" fontId="2" fillId="2" borderId="2" xfId="1" applyNumberFormat="1" applyFont="1" applyFill="1" applyBorder="1" applyAlignment="1">
      <alignment horizontal="right" vertical="center"/>
    </xf>
    <xf numFmtId="166" fontId="1" fillId="2" borderId="2" xfId="1" applyNumberFormat="1" applyFont="1" applyFill="1" applyBorder="1" applyAlignment="1">
      <alignment horizontal="right" vertical="center"/>
    </xf>
    <xf numFmtId="0" fontId="21" fillId="5" borderId="0" xfId="0" applyFont="1" applyFill="1" applyAlignment="1">
      <alignment vertical="center"/>
    </xf>
    <xf numFmtId="0" fontId="14" fillId="2" borderId="0" xfId="2" applyFont="1" applyFill="1"/>
    <xf numFmtId="164" fontId="6" fillId="2" borderId="0" xfId="3" applyNumberFormat="1" applyFont="1" applyFill="1" applyAlignment="1">
      <alignment vertical="center"/>
    </xf>
    <xf numFmtId="0" fontId="9" fillId="2" borderId="0" xfId="0" applyFont="1" applyFill="1" applyAlignment="1">
      <alignment vertical="center" readingOrder="2"/>
    </xf>
    <xf numFmtId="0" fontId="13" fillId="2" borderId="0" xfId="0" applyFont="1" applyFill="1" applyAlignment="1">
      <alignment vertical="center"/>
    </xf>
    <xf numFmtId="165" fontId="8" fillId="2" borderId="0" xfId="1" applyNumberFormat="1" applyFont="1" applyFill="1" applyBorder="1" applyAlignment="1">
      <alignment vertical="center"/>
    </xf>
    <xf numFmtId="165" fontId="8" fillId="2" borderId="0" xfId="1" applyNumberFormat="1" applyFont="1" applyFill="1" applyBorder="1" applyAlignment="1">
      <alignment horizontal="right" vertical="center"/>
    </xf>
    <xf numFmtId="3" fontId="19" fillId="4" borderId="0" xfId="0" applyNumberFormat="1" applyFont="1" applyFill="1" applyAlignment="1">
      <alignment horizontal="right" vertical="center"/>
    </xf>
    <xf numFmtId="0" fontId="8" fillId="2" borderId="0" xfId="0" applyFont="1" applyFill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14" fillId="2" borderId="0" xfId="2" applyFont="1" applyFill="1" applyAlignment="1">
      <alignment horizontal="center"/>
    </xf>
    <xf numFmtId="164" fontId="6" fillId="2" borderId="0" xfId="3" applyNumberFormat="1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readingOrder="2"/>
    </xf>
    <xf numFmtId="0" fontId="9" fillId="2" borderId="0" xfId="0" applyFont="1" applyFill="1" applyAlignment="1">
      <alignment horizontal="center" vertical="center" readingOrder="2"/>
    </xf>
    <xf numFmtId="0" fontId="13" fillId="2" borderId="3" xfId="0" applyFont="1" applyFill="1" applyBorder="1" applyAlignment="1">
      <alignment horizontal="right" vertical="center"/>
    </xf>
    <xf numFmtId="0" fontId="9" fillId="2" borderId="3" xfId="0" applyFont="1" applyFill="1" applyBorder="1" applyAlignment="1">
      <alignment horizontal="left" vertical="center" readingOrder="2"/>
    </xf>
    <xf numFmtId="165" fontId="8" fillId="2" borderId="4" xfId="1" applyNumberFormat="1" applyFont="1" applyFill="1" applyBorder="1" applyAlignment="1">
      <alignment horizontal="center" vertical="center"/>
    </xf>
    <xf numFmtId="165" fontId="8" fillId="2" borderId="6" xfId="1" applyNumberFormat="1" applyFont="1" applyFill="1" applyBorder="1" applyAlignment="1">
      <alignment horizontal="center" vertical="center"/>
    </xf>
    <xf numFmtId="165" fontId="8" fillId="2" borderId="5" xfId="1" applyNumberFormat="1" applyFont="1" applyFill="1" applyBorder="1" applyAlignment="1">
      <alignment horizontal="center" vertical="center"/>
    </xf>
  </cellXfs>
  <cellStyles count="10">
    <cellStyle name="1" xfId="9" xr:uid="{00000000-0005-0000-0000-000000000000}"/>
    <cellStyle name="Comma" xfId="1" builtinId="3"/>
    <cellStyle name="Comma 3" xfId="7" xr:uid="{00000000-0005-0000-0000-000002000000}"/>
    <cellStyle name="Normal" xfId="0" builtinId="0"/>
    <cellStyle name="Normal 11" xfId="8" xr:uid="{00000000-0005-0000-0000-000004000000}"/>
    <cellStyle name="Normal 2" xfId="4" xr:uid="{00000000-0005-0000-0000-000005000000}"/>
    <cellStyle name="Normal 4" xfId="5" xr:uid="{00000000-0005-0000-0000-000006000000}"/>
    <cellStyle name="Normal 5" xfId="6" xr:uid="{00000000-0005-0000-0000-000007000000}"/>
    <cellStyle name="Normal_5 Employment_done" xfId="2" xr:uid="{00000000-0005-0000-0000-000008000000}"/>
    <cellStyle name="Normal_Population - II 2" xfId="3" xr:uid="{00000000-0005-0000-0000-00000D000000}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0F4FA"/>
      <color rgb="FFFFABAB"/>
      <color rgb="FFFFEBEB"/>
      <color rgb="FFFFDDDD"/>
      <color rgb="FFFFEFEF"/>
      <color rgb="FFFFD1D1"/>
      <color rgb="FFFFC5C5"/>
      <color rgb="FFEAFAFA"/>
      <color rgb="FF33CCCC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>
                <a:effectLst/>
              </a:rPr>
              <a:t>Figure 5.1: Number of civil servants by </a:t>
            </a:r>
            <a:r>
              <a:rPr lang="en-US" sz="1200" b="1" i="0" u="none" strike="noStrike" baseline="0">
                <a:effectLst/>
              </a:rPr>
              <a:t>top highest 10 job ranks and </a:t>
            </a:r>
            <a:r>
              <a:rPr lang="en-US" sz="1200" b="1">
                <a:effectLst/>
              </a:rPr>
              <a:t>sex,</a:t>
            </a:r>
            <a:r>
              <a:rPr lang="en-US" sz="1200" b="1" baseline="0">
                <a:effectLst/>
              </a:rPr>
              <a:t> </a:t>
            </a:r>
            <a:r>
              <a:rPr lang="en-US" sz="1200" b="1">
                <a:effectLst/>
              </a:rPr>
              <a:t>2022</a:t>
            </a:r>
            <a:endParaRPr lang="en-US" sz="1200">
              <a:effectLst/>
            </a:endParaRPr>
          </a:p>
        </c:rich>
      </c:tx>
      <c:layout>
        <c:manualLayout>
          <c:xMode val="edge"/>
          <c:yMode val="edge"/>
          <c:x val="0.22667983887327783"/>
          <c:y val="3.09720861235279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42522068009981"/>
          <c:y val="0.12019567804846089"/>
          <c:w val="0.8795518653553519"/>
          <c:h val="0.72631306786066019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'5.1'!$Z$125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'5.1'!$X$126:$X$135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R7 - Step 1</c:v>
                </c:pt>
                <c:pt idx="3">
                  <c:v>R8 - Step 1</c:v>
                </c:pt>
                <c:pt idx="4">
                  <c:v>SUPPORT SERVICE 2</c:v>
                </c:pt>
                <c:pt idx="5">
                  <c:v>R5 - Step 1</c:v>
                </c:pt>
                <c:pt idx="6">
                  <c:v>MANAGERIAL SERVICE 1</c:v>
                </c:pt>
                <c:pt idx="7">
                  <c:v>GENERAL SERVICE 4</c:v>
                </c:pt>
                <c:pt idx="8">
                  <c:v>MANAGERIAL SERVICE 2</c:v>
                </c:pt>
                <c:pt idx="9">
                  <c:v>CIVIL SERVICE 8-1</c:v>
                </c:pt>
              </c:strCache>
            </c:strRef>
          </c:cat>
          <c:val>
            <c:numRef>
              <c:f>'5.1'!$Z$126:$Z$135</c:f>
              <c:numCache>
                <c:formatCode>General</c:formatCode>
                <c:ptCount val="10"/>
                <c:pt idx="0">
                  <c:v>1792</c:v>
                </c:pt>
                <c:pt idx="1">
                  <c:v>1184</c:v>
                </c:pt>
                <c:pt idx="2">
                  <c:v>532</c:v>
                </c:pt>
                <c:pt idx="3">
                  <c:v>482</c:v>
                </c:pt>
                <c:pt idx="4">
                  <c:v>1123</c:v>
                </c:pt>
                <c:pt idx="5">
                  <c:v>255</c:v>
                </c:pt>
                <c:pt idx="6">
                  <c:v>699</c:v>
                </c:pt>
                <c:pt idx="7">
                  <c:v>514</c:v>
                </c:pt>
                <c:pt idx="8">
                  <c:v>409</c:v>
                </c:pt>
                <c:pt idx="9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33-4DA6-A392-7EC8E4744D95}"/>
            </c:ext>
          </c:extLst>
        </c:ser>
        <c:ser>
          <c:idx val="0"/>
          <c:order val="1"/>
          <c:tx>
            <c:strRef>
              <c:f>'5.1'!$AA$125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'5.1'!$X$126:$X$135</c:f>
              <c:strCache>
                <c:ptCount val="10"/>
                <c:pt idx="0">
                  <c:v>SUPPORT SERVICE 1</c:v>
                </c:pt>
                <c:pt idx="1">
                  <c:v>GENERAL SERVICE 3</c:v>
                </c:pt>
                <c:pt idx="2">
                  <c:v>R7 - Step 1</c:v>
                </c:pt>
                <c:pt idx="3">
                  <c:v>R8 - Step 1</c:v>
                </c:pt>
                <c:pt idx="4">
                  <c:v>SUPPORT SERVICE 2</c:v>
                </c:pt>
                <c:pt idx="5">
                  <c:v>R5 - Step 1</c:v>
                </c:pt>
                <c:pt idx="6">
                  <c:v>MANAGERIAL SERVICE 1</c:v>
                </c:pt>
                <c:pt idx="7">
                  <c:v>GENERAL SERVICE 4</c:v>
                </c:pt>
                <c:pt idx="8">
                  <c:v>MANAGERIAL SERVICE 2</c:v>
                </c:pt>
                <c:pt idx="9">
                  <c:v>CIVIL SERVICE 8-1</c:v>
                </c:pt>
              </c:strCache>
            </c:strRef>
          </c:cat>
          <c:val>
            <c:numRef>
              <c:f>'5.1'!$AA$126:$AA$135</c:f>
              <c:numCache>
                <c:formatCode>General</c:formatCode>
                <c:ptCount val="10"/>
                <c:pt idx="0">
                  <c:v>2430</c:v>
                </c:pt>
                <c:pt idx="1">
                  <c:v>2197</c:v>
                </c:pt>
                <c:pt idx="2">
                  <c:v>2394</c:v>
                </c:pt>
                <c:pt idx="3">
                  <c:v>1838</c:v>
                </c:pt>
                <c:pt idx="4">
                  <c:v>850</c:v>
                </c:pt>
                <c:pt idx="5">
                  <c:v>1479</c:v>
                </c:pt>
                <c:pt idx="6">
                  <c:v>1003</c:v>
                </c:pt>
                <c:pt idx="7">
                  <c:v>922</c:v>
                </c:pt>
                <c:pt idx="8">
                  <c:v>691</c:v>
                </c:pt>
                <c:pt idx="9">
                  <c:v>869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5-4736-9902-E814C6CAF6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2"/>
        <c:axId val="484293856"/>
        <c:axId val="484288760"/>
      </c:barChart>
      <c:catAx>
        <c:axId val="4842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88760"/>
        <c:crosses val="autoZero"/>
        <c:auto val="1"/>
        <c:lblAlgn val="ctr"/>
        <c:lblOffset val="100"/>
        <c:noMultiLvlLbl val="0"/>
      </c:catAx>
      <c:valAx>
        <c:axId val="484288760"/>
        <c:scaling>
          <c:orientation val="minMax"/>
          <c:max val="2500"/>
          <c:min val="0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40000"/>
                  <a:lumOff val="60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4293856"/>
        <c:crosses val="autoZero"/>
        <c:crossBetween val="between"/>
      </c:valAx>
      <c:spPr>
        <a:solidFill>
          <a:srgbClr val="F0F4FA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7538477618025422"/>
          <c:y val="0.15307986888450631"/>
          <c:w val="0.16460444601605229"/>
          <c:h val="7.6453873095087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92177</xdr:colOff>
      <xdr:row>110</xdr:row>
      <xdr:rowOff>132888</xdr:rowOff>
    </xdr:from>
    <xdr:to>
      <xdr:col>13</xdr:col>
      <xdr:colOff>46089</xdr:colOff>
      <xdr:row>126</xdr:row>
      <xdr:rowOff>70976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247115</xdr:colOff>
      <xdr:row>113</xdr:row>
      <xdr:rowOff>187269</xdr:rowOff>
    </xdr:from>
    <xdr:to>
      <xdr:col>0</xdr:col>
      <xdr:colOff>523340</xdr:colOff>
      <xdr:row>121</xdr:row>
      <xdr:rowOff>142517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16200000">
          <a:off x="-430596" y="24172655"/>
          <a:ext cx="1631648" cy="2762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5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Number of Civil Servants</a:t>
          </a:r>
          <a:endParaRPr lang="en-US" sz="1050" b="1">
            <a:effectLst/>
          </a:endParaRPr>
        </a:p>
        <a:p>
          <a:endParaRPr lang="en-US" sz="105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AH255"/>
  <sheetViews>
    <sheetView tabSelected="1" topLeftCell="A60" zoomScale="93" zoomScaleNormal="93" zoomScaleSheetLayoutView="124" workbookViewId="0">
      <selection activeCell="I110" sqref="I110"/>
    </sheetView>
  </sheetViews>
  <sheetFormatPr defaultRowHeight="15" x14ac:dyDescent="0.25"/>
  <cols>
    <col min="1" max="1" width="30.28515625" style="28" customWidth="1"/>
    <col min="2" max="2" width="10.7109375" style="29" customWidth="1"/>
    <col min="3" max="4" width="9.140625" style="21" customWidth="1"/>
    <col min="5" max="5" width="2.140625" style="21" customWidth="1"/>
    <col min="6" max="6" width="11.28515625" style="21" customWidth="1"/>
    <col min="7" max="7" width="9.28515625" style="21" customWidth="1"/>
    <col min="8" max="8" width="9.140625" style="21" customWidth="1"/>
    <col min="9" max="9" width="0.85546875" style="21" customWidth="1"/>
    <col min="10" max="10" width="10.7109375" style="21" customWidth="1"/>
    <col min="11" max="12" width="9.140625" style="21" customWidth="1"/>
    <col min="13" max="13" width="1.42578125" style="3" customWidth="1"/>
    <col min="14" max="14" width="9.140625" style="3"/>
    <col min="15" max="16" width="9.28515625" style="3" customWidth="1"/>
    <col min="17" max="17" width="24.28515625" style="3" customWidth="1"/>
    <col min="18" max="18" width="10.5703125" style="3" bestFit="1" customWidth="1"/>
    <col min="19" max="19" width="9.28515625" style="3" customWidth="1"/>
    <col min="20" max="20" width="10.5703125" style="3" bestFit="1" customWidth="1"/>
    <col min="21" max="23" width="9.140625" style="3"/>
    <col min="24" max="24" width="19.28515625" style="3" customWidth="1"/>
    <col min="25" max="27" width="6.28515625" style="3" customWidth="1"/>
    <col min="28" max="30" width="9.140625" style="3"/>
    <col min="31" max="31" width="25.140625" style="3" bestFit="1" customWidth="1"/>
    <col min="32" max="16384" width="9.140625" style="3"/>
  </cols>
  <sheetData>
    <row r="1" spans="1:24" ht="21" x14ac:dyDescent="0.55000000000000004">
      <c r="A1" s="61" t="s">
        <v>109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ht="15.75" x14ac:dyDescent="0.25">
      <c r="A2" s="62" t="s">
        <v>108</v>
      </c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 spans="1:24" ht="4.5" customHeight="1" x14ac:dyDescent="0.25">
      <c r="A3" s="63"/>
      <c r="B3" s="63"/>
      <c r="C3" s="63"/>
      <c r="D3" s="63"/>
      <c r="E3" s="63"/>
      <c r="F3" s="63"/>
      <c r="G3" s="63"/>
      <c r="H3" s="63"/>
      <c r="I3" s="63"/>
      <c r="J3" s="63"/>
      <c r="K3" s="63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s="5" customFormat="1" ht="18.600000000000001" customHeight="1" x14ac:dyDescent="0.2">
      <c r="A4" s="64" t="s">
        <v>0</v>
      </c>
      <c r="B4" s="66" t="s">
        <v>1</v>
      </c>
      <c r="C4" s="66"/>
      <c r="D4" s="66"/>
      <c r="E4" s="66"/>
      <c r="F4" s="66"/>
      <c r="G4" s="67" t="s">
        <v>2</v>
      </c>
      <c r="H4" s="67"/>
      <c r="I4" s="67"/>
      <c r="J4" s="67"/>
      <c r="K4" s="67"/>
      <c r="L4" s="67"/>
      <c r="P4" s="6"/>
      <c r="Q4" s="6"/>
      <c r="R4" s="6"/>
      <c r="S4" s="6"/>
      <c r="T4" s="6"/>
      <c r="U4" s="6"/>
      <c r="V4" s="6"/>
      <c r="W4" s="6"/>
      <c r="X4" s="6"/>
    </row>
    <row r="5" spans="1:24" s="7" customFormat="1" ht="15" customHeight="1" x14ac:dyDescent="0.25">
      <c r="A5" s="65"/>
      <c r="B5" s="68" t="s">
        <v>3</v>
      </c>
      <c r="C5" s="68"/>
      <c r="D5" s="68"/>
      <c r="E5" s="45"/>
      <c r="F5" s="69" t="s">
        <v>4</v>
      </c>
      <c r="G5" s="70"/>
      <c r="H5" s="70"/>
      <c r="I5" s="33"/>
      <c r="J5" s="68" t="s">
        <v>5</v>
      </c>
      <c r="K5" s="68"/>
      <c r="L5" s="68"/>
    </row>
    <row r="6" spans="1:24" s="7" customFormat="1" ht="18.75" x14ac:dyDescent="0.25">
      <c r="A6" s="59" t="s">
        <v>6</v>
      </c>
      <c r="B6" s="6" t="s">
        <v>7</v>
      </c>
      <c r="C6" s="6" t="s">
        <v>8</v>
      </c>
      <c r="D6" s="6" t="s">
        <v>9</v>
      </c>
      <c r="E6" s="6"/>
      <c r="F6" s="8" t="s">
        <v>7</v>
      </c>
      <c r="G6" s="6" t="s">
        <v>8</v>
      </c>
      <c r="H6" s="6" t="s">
        <v>9</v>
      </c>
      <c r="I6" s="9"/>
      <c r="J6" s="6" t="s">
        <v>7</v>
      </c>
      <c r="K6" s="6" t="s">
        <v>8</v>
      </c>
      <c r="L6" s="6" t="s">
        <v>9</v>
      </c>
    </row>
    <row r="7" spans="1:24" s="13" customFormat="1" ht="12.75" x14ac:dyDescent="0.25">
      <c r="A7" s="60"/>
      <c r="B7" s="10" t="s">
        <v>10</v>
      </c>
      <c r="C7" s="10" t="s">
        <v>11</v>
      </c>
      <c r="D7" s="10" t="s">
        <v>12</v>
      </c>
      <c r="E7" s="10"/>
      <c r="F7" s="11" t="s">
        <v>10</v>
      </c>
      <c r="G7" s="10" t="s">
        <v>11</v>
      </c>
      <c r="H7" s="10" t="s">
        <v>12</v>
      </c>
      <c r="I7" s="12"/>
      <c r="J7" s="10" t="s">
        <v>10</v>
      </c>
      <c r="K7" s="10" t="s">
        <v>11</v>
      </c>
      <c r="L7" s="10" t="s">
        <v>12</v>
      </c>
    </row>
    <row r="8" spans="1:24" s="13" customFormat="1" ht="12" customHeight="1" x14ac:dyDescent="0.25">
      <c r="A8" s="44"/>
      <c r="B8" s="14"/>
      <c r="C8" s="14"/>
      <c r="D8" s="14"/>
      <c r="E8" s="14"/>
      <c r="F8" s="15"/>
      <c r="G8" s="14"/>
      <c r="H8" s="14"/>
      <c r="I8" s="16"/>
      <c r="J8" s="14"/>
      <c r="K8" s="14"/>
      <c r="L8" s="14"/>
    </row>
    <row r="9" spans="1:24" s="18" customFormat="1" ht="16.899999999999999" customHeight="1" x14ac:dyDescent="0.25">
      <c r="A9" s="34" t="s">
        <v>13</v>
      </c>
      <c r="B9" s="35">
        <f>F9+J9</f>
        <v>28294</v>
      </c>
      <c r="C9" s="35">
        <f>G9+K9</f>
        <v>9975</v>
      </c>
      <c r="D9" s="35">
        <f>H9+L9</f>
        <v>18319</v>
      </c>
      <c r="E9" s="35"/>
      <c r="F9" s="36">
        <f>SUM(G9:H9)</f>
        <v>10231</v>
      </c>
      <c r="G9" s="35">
        <f>SUM(G10:G108)</f>
        <v>3583</v>
      </c>
      <c r="H9" s="35">
        <f>SUM(H10:H108)</f>
        <v>6648</v>
      </c>
      <c r="I9" s="37"/>
      <c r="J9" s="36">
        <f>SUM(K9:L9)</f>
        <v>18063</v>
      </c>
      <c r="K9" s="35">
        <f>SUM(K10:K108)</f>
        <v>6392</v>
      </c>
      <c r="L9" s="35">
        <f>SUM(L10:L108)</f>
        <v>11671</v>
      </c>
    </row>
    <row r="10" spans="1:24" ht="16.899999999999999" customHeight="1" x14ac:dyDescent="0.25">
      <c r="A10" s="43" t="s">
        <v>103</v>
      </c>
      <c r="B10" s="35">
        <f t="shared" ref="B10:B73" si="0">F10+J10</f>
        <v>3</v>
      </c>
      <c r="C10" s="35">
        <f t="shared" ref="C10:C73" si="1">G10+K10</f>
        <v>2</v>
      </c>
      <c r="D10" s="35">
        <f>H10+L10</f>
        <v>1</v>
      </c>
      <c r="E10" s="38"/>
      <c r="F10" s="36">
        <f t="shared" ref="F10:F73" si="2">SUM(G10:H10)</f>
        <v>3</v>
      </c>
      <c r="G10" s="46">
        <v>2</v>
      </c>
      <c r="H10" s="46">
        <v>1</v>
      </c>
      <c r="I10" s="39"/>
      <c r="J10" s="36">
        <f t="shared" ref="J10:J73" si="3">SUM(K10:L10)</f>
        <v>0</v>
      </c>
      <c r="K10" s="46">
        <v>0</v>
      </c>
      <c r="L10" s="46">
        <v>0</v>
      </c>
      <c r="M10" s="2"/>
      <c r="N10" s="19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ht="16.899999999999999" customHeight="1" x14ac:dyDescent="0.25">
      <c r="A11" s="43" t="s">
        <v>14</v>
      </c>
      <c r="B11" s="35">
        <f t="shared" si="0"/>
        <v>420</v>
      </c>
      <c r="C11" s="35">
        <f t="shared" si="1"/>
        <v>14</v>
      </c>
      <c r="D11" s="35">
        <f>H11+L11</f>
        <v>406</v>
      </c>
      <c r="E11" s="38"/>
      <c r="F11" s="36">
        <f t="shared" si="2"/>
        <v>154</v>
      </c>
      <c r="G11" s="46">
        <v>11</v>
      </c>
      <c r="H11" s="46">
        <v>143</v>
      </c>
      <c r="I11" s="39"/>
      <c r="J11" s="36">
        <f t="shared" si="3"/>
        <v>266</v>
      </c>
      <c r="K11" s="46">
        <v>3</v>
      </c>
      <c r="L11" s="46">
        <v>263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ht="16.899999999999999" customHeight="1" x14ac:dyDescent="0.25">
      <c r="A12" s="43" t="s">
        <v>15</v>
      </c>
      <c r="B12" s="35">
        <f t="shared" si="0"/>
        <v>19</v>
      </c>
      <c r="C12" s="35">
        <f t="shared" si="1"/>
        <v>5</v>
      </c>
      <c r="D12" s="35">
        <f t="shared" ref="D12:D73" si="4">H12+L12</f>
        <v>14</v>
      </c>
      <c r="E12" s="38"/>
      <c r="F12" s="36">
        <f t="shared" si="2"/>
        <v>11</v>
      </c>
      <c r="G12" s="46">
        <v>5</v>
      </c>
      <c r="H12" s="46">
        <v>6</v>
      </c>
      <c r="I12" s="39"/>
      <c r="J12" s="36">
        <f t="shared" si="3"/>
        <v>8</v>
      </c>
      <c r="K12" s="46">
        <v>0</v>
      </c>
      <c r="L12" s="46">
        <v>8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16.899999999999999" customHeight="1" x14ac:dyDescent="0.25">
      <c r="A13" s="43" t="s">
        <v>16</v>
      </c>
      <c r="B13" s="35">
        <f t="shared" si="0"/>
        <v>9</v>
      </c>
      <c r="C13" s="35">
        <f t="shared" si="1"/>
        <v>5</v>
      </c>
      <c r="D13" s="35">
        <f t="shared" si="4"/>
        <v>4</v>
      </c>
      <c r="E13" s="38"/>
      <c r="F13" s="36">
        <f t="shared" si="2"/>
        <v>7</v>
      </c>
      <c r="G13" s="46">
        <v>5</v>
      </c>
      <c r="H13" s="46">
        <v>2</v>
      </c>
      <c r="I13" s="39"/>
      <c r="J13" s="36">
        <f t="shared" si="3"/>
        <v>2</v>
      </c>
      <c r="K13" s="46">
        <v>0</v>
      </c>
      <c r="L13" s="46">
        <v>2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16.899999999999999" customHeight="1" x14ac:dyDescent="0.25">
      <c r="A14" s="43" t="s">
        <v>17</v>
      </c>
      <c r="B14" s="35">
        <f t="shared" si="0"/>
        <v>4</v>
      </c>
      <c r="C14" s="35">
        <f t="shared" si="1"/>
        <v>2</v>
      </c>
      <c r="D14" s="35">
        <f t="shared" si="4"/>
        <v>2</v>
      </c>
      <c r="E14" s="38"/>
      <c r="F14" s="36">
        <f t="shared" si="2"/>
        <v>4</v>
      </c>
      <c r="G14" s="46">
        <v>2</v>
      </c>
      <c r="H14" s="46">
        <v>2</v>
      </c>
      <c r="I14" s="39"/>
      <c r="J14" s="36">
        <f t="shared" si="3"/>
        <v>0</v>
      </c>
      <c r="K14" s="46">
        <v>0</v>
      </c>
      <c r="L14" s="46">
        <v>0</v>
      </c>
      <c r="M14" s="2"/>
      <c r="N14" s="19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16.899999999999999" customHeight="1" x14ac:dyDescent="0.25">
      <c r="A15" s="43" t="s">
        <v>18</v>
      </c>
      <c r="B15" s="35">
        <f t="shared" si="0"/>
        <v>71</v>
      </c>
      <c r="C15" s="35">
        <f t="shared" si="1"/>
        <v>0</v>
      </c>
      <c r="D15" s="35">
        <f t="shared" si="4"/>
        <v>71</v>
      </c>
      <c r="E15" s="38"/>
      <c r="F15" s="36">
        <f t="shared" si="2"/>
        <v>42</v>
      </c>
      <c r="G15" s="46">
        <v>0</v>
      </c>
      <c r="H15" s="46">
        <v>42</v>
      </c>
      <c r="I15" s="39"/>
      <c r="J15" s="36">
        <f t="shared" si="3"/>
        <v>29</v>
      </c>
      <c r="K15" s="46">
        <v>0</v>
      </c>
      <c r="L15" s="46">
        <v>29</v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16.899999999999999" customHeight="1" x14ac:dyDescent="0.25">
      <c r="A16" s="43" t="s">
        <v>19</v>
      </c>
      <c r="B16" s="35">
        <f t="shared" si="0"/>
        <v>40</v>
      </c>
      <c r="C16" s="35">
        <f t="shared" si="1"/>
        <v>10</v>
      </c>
      <c r="D16" s="35">
        <f t="shared" si="4"/>
        <v>30</v>
      </c>
      <c r="E16" s="38"/>
      <c r="F16" s="36">
        <f t="shared" si="2"/>
        <v>33</v>
      </c>
      <c r="G16" s="46">
        <v>8</v>
      </c>
      <c r="H16" s="46">
        <v>25</v>
      </c>
      <c r="I16" s="39"/>
      <c r="J16" s="36">
        <f t="shared" si="3"/>
        <v>7</v>
      </c>
      <c r="K16" s="46">
        <v>2</v>
      </c>
      <c r="L16" s="46">
        <v>5</v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15" ht="16.899999999999999" customHeight="1" x14ac:dyDescent="0.25">
      <c r="A17" s="43" t="s">
        <v>20</v>
      </c>
      <c r="B17" s="35">
        <f t="shared" si="0"/>
        <v>12</v>
      </c>
      <c r="C17" s="35">
        <f t="shared" si="1"/>
        <v>2</v>
      </c>
      <c r="D17" s="35">
        <f t="shared" si="4"/>
        <v>10</v>
      </c>
      <c r="E17" s="38"/>
      <c r="F17" s="36">
        <f t="shared" si="2"/>
        <v>7</v>
      </c>
      <c r="G17" s="46">
        <v>2</v>
      </c>
      <c r="H17" s="46">
        <v>5</v>
      </c>
      <c r="I17" s="39"/>
      <c r="J17" s="36">
        <f t="shared" si="3"/>
        <v>5</v>
      </c>
      <c r="K17" s="46">
        <v>0</v>
      </c>
      <c r="L17" s="46">
        <v>5</v>
      </c>
      <c r="M17" s="2"/>
      <c r="N17" s="2"/>
      <c r="O17" s="2"/>
    </row>
    <row r="18" spans="1:15" ht="16.899999999999999" customHeight="1" x14ac:dyDescent="0.25">
      <c r="A18" s="43" t="s">
        <v>21</v>
      </c>
      <c r="B18" s="35">
        <f t="shared" si="0"/>
        <v>8</v>
      </c>
      <c r="C18" s="35">
        <f>G18+K18</f>
        <v>1</v>
      </c>
      <c r="D18" s="35">
        <f t="shared" si="4"/>
        <v>7</v>
      </c>
      <c r="E18" s="38"/>
      <c r="F18" s="36">
        <f t="shared" si="2"/>
        <v>7</v>
      </c>
      <c r="G18" s="46">
        <v>0</v>
      </c>
      <c r="H18" s="46">
        <v>7</v>
      </c>
      <c r="I18" s="39"/>
      <c r="J18" s="36">
        <f t="shared" si="3"/>
        <v>1</v>
      </c>
      <c r="K18" s="46">
        <v>1</v>
      </c>
      <c r="L18" s="46">
        <v>0</v>
      </c>
      <c r="M18" s="2"/>
      <c r="N18" s="2"/>
      <c r="O18" s="2"/>
    </row>
    <row r="19" spans="1:15" ht="16.899999999999999" customHeight="1" x14ac:dyDescent="0.25">
      <c r="A19" s="43" t="s">
        <v>22</v>
      </c>
      <c r="B19" s="35">
        <f t="shared" si="0"/>
        <v>561</v>
      </c>
      <c r="C19" s="35">
        <f t="shared" si="1"/>
        <v>196</v>
      </c>
      <c r="D19" s="35">
        <f t="shared" si="4"/>
        <v>365</v>
      </c>
      <c r="E19" s="38"/>
      <c r="F19" s="36">
        <f t="shared" si="2"/>
        <v>222</v>
      </c>
      <c r="G19" s="46">
        <v>36</v>
      </c>
      <c r="H19" s="46">
        <v>186</v>
      </c>
      <c r="I19" s="39"/>
      <c r="J19" s="36">
        <f t="shared" si="3"/>
        <v>339</v>
      </c>
      <c r="K19" s="46">
        <v>160</v>
      </c>
      <c r="L19" s="46">
        <v>179</v>
      </c>
      <c r="M19" s="2"/>
      <c r="N19" s="2"/>
      <c r="O19" s="2"/>
    </row>
    <row r="20" spans="1:15" ht="16.899999999999999" customHeight="1" x14ac:dyDescent="0.25">
      <c r="A20" s="43" t="s">
        <v>23</v>
      </c>
      <c r="B20" s="35">
        <f t="shared" si="0"/>
        <v>32</v>
      </c>
      <c r="C20" s="35">
        <f t="shared" si="1"/>
        <v>10</v>
      </c>
      <c r="D20" s="35">
        <f t="shared" si="4"/>
        <v>22</v>
      </c>
      <c r="E20" s="38"/>
      <c r="F20" s="36">
        <f t="shared" si="2"/>
        <v>24</v>
      </c>
      <c r="G20" s="46">
        <v>7</v>
      </c>
      <c r="H20" s="46">
        <v>17</v>
      </c>
      <c r="I20" s="39"/>
      <c r="J20" s="36">
        <f t="shared" si="3"/>
        <v>8</v>
      </c>
      <c r="K20" s="46">
        <v>3</v>
      </c>
      <c r="L20" s="46">
        <v>5</v>
      </c>
      <c r="M20" s="2"/>
      <c r="N20" s="2"/>
      <c r="O20" s="2"/>
    </row>
    <row r="21" spans="1:15" ht="16.899999999999999" customHeight="1" x14ac:dyDescent="0.25">
      <c r="A21" s="43" t="s">
        <v>24</v>
      </c>
      <c r="B21" s="35">
        <f t="shared" si="0"/>
        <v>18</v>
      </c>
      <c r="C21" s="35">
        <f t="shared" si="1"/>
        <v>8</v>
      </c>
      <c r="D21" s="35">
        <f t="shared" si="4"/>
        <v>10</v>
      </c>
      <c r="E21" s="38"/>
      <c r="F21" s="36">
        <f t="shared" si="2"/>
        <v>15</v>
      </c>
      <c r="G21" s="46">
        <v>5</v>
      </c>
      <c r="H21" s="46">
        <v>10</v>
      </c>
      <c r="I21" s="39"/>
      <c r="J21" s="36">
        <f t="shared" si="3"/>
        <v>3</v>
      </c>
      <c r="K21" s="46">
        <v>3</v>
      </c>
      <c r="L21" s="46">
        <v>0</v>
      </c>
      <c r="M21" s="2"/>
      <c r="N21" s="2"/>
      <c r="O21" s="2"/>
    </row>
    <row r="22" spans="1:15" ht="16.899999999999999" customHeight="1" x14ac:dyDescent="0.25">
      <c r="A22" s="43" t="s">
        <v>25</v>
      </c>
      <c r="B22" s="35">
        <f t="shared" si="0"/>
        <v>1</v>
      </c>
      <c r="C22" s="35">
        <f t="shared" si="1"/>
        <v>0</v>
      </c>
      <c r="D22" s="35">
        <f t="shared" si="4"/>
        <v>1</v>
      </c>
      <c r="E22" s="38"/>
      <c r="F22" s="36">
        <f t="shared" si="2"/>
        <v>1</v>
      </c>
      <c r="G22" s="46">
        <v>0</v>
      </c>
      <c r="H22" s="46">
        <v>1</v>
      </c>
      <c r="I22" s="39"/>
      <c r="J22" s="36">
        <f t="shared" si="3"/>
        <v>0</v>
      </c>
      <c r="K22" s="46">
        <v>0</v>
      </c>
      <c r="L22" s="46">
        <v>0</v>
      </c>
      <c r="M22" s="2"/>
      <c r="N22" s="19"/>
      <c r="O22" s="2"/>
    </row>
    <row r="23" spans="1:15" ht="16.899999999999999" customHeight="1" x14ac:dyDescent="0.25">
      <c r="A23" s="43" t="s">
        <v>26</v>
      </c>
      <c r="B23" s="35">
        <f t="shared" si="0"/>
        <v>2</v>
      </c>
      <c r="C23" s="35">
        <f t="shared" si="1"/>
        <v>2</v>
      </c>
      <c r="D23" s="35">
        <f t="shared" si="4"/>
        <v>0</v>
      </c>
      <c r="E23" s="38"/>
      <c r="F23" s="36">
        <f t="shared" si="2"/>
        <v>2</v>
      </c>
      <c r="G23" s="46">
        <v>2</v>
      </c>
      <c r="H23" s="46">
        <v>0</v>
      </c>
      <c r="I23" s="39"/>
      <c r="J23" s="36">
        <f t="shared" si="3"/>
        <v>0</v>
      </c>
      <c r="K23" s="46">
        <v>0</v>
      </c>
      <c r="L23" s="46">
        <v>0</v>
      </c>
      <c r="M23" s="2"/>
      <c r="N23" s="2"/>
      <c r="O23" s="2"/>
    </row>
    <row r="24" spans="1:15" ht="16.899999999999999" customHeight="1" x14ac:dyDescent="0.25">
      <c r="A24" s="43" t="s">
        <v>27</v>
      </c>
      <c r="B24" s="35">
        <f t="shared" si="0"/>
        <v>6</v>
      </c>
      <c r="C24" s="35">
        <f t="shared" si="1"/>
        <v>6</v>
      </c>
      <c r="D24" s="35">
        <f t="shared" si="4"/>
        <v>0</v>
      </c>
      <c r="E24" s="38"/>
      <c r="F24" s="36">
        <f t="shared" si="2"/>
        <v>2</v>
      </c>
      <c r="G24" s="46">
        <v>2</v>
      </c>
      <c r="H24" s="46">
        <v>0</v>
      </c>
      <c r="I24" s="39"/>
      <c r="J24" s="36">
        <f t="shared" si="3"/>
        <v>4</v>
      </c>
      <c r="K24" s="46">
        <v>4</v>
      </c>
      <c r="L24" s="46">
        <v>0</v>
      </c>
      <c r="M24" s="2"/>
      <c r="N24" s="2"/>
      <c r="O24" s="2"/>
    </row>
    <row r="25" spans="1:15" ht="16.899999999999999" customHeight="1" x14ac:dyDescent="0.25">
      <c r="A25" s="43" t="s">
        <v>28</v>
      </c>
      <c r="B25" s="35">
        <f t="shared" si="0"/>
        <v>443</v>
      </c>
      <c r="C25" s="35">
        <f t="shared" si="1"/>
        <v>276</v>
      </c>
      <c r="D25" s="35">
        <f t="shared" si="4"/>
        <v>167</v>
      </c>
      <c r="E25" s="38"/>
      <c r="F25" s="36">
        <f t="shared" si="2"/>
        <v>105</v>
      </c>
      <c r="G25" s="46">
        <v>60</v>
      </c>
      <c r="H25" s="46">
        <v>45</v>
      </c>
      <c r="I25" s="39"/>
      <c r="J25" s="36">
        <f t="shared" si="3"/>
        <v>338</v>
      </c>
      <c r="K25" s="46">
        <v>216</v>
      </c>
      <c r="L25" s="46">
        <v>122</v>
      </c>
      <c r="M25" s="2"/>
      <c r="N25" s="2"/>
      <c r="O25" s="2"/>
    </row>
    <row r="26" spans="1:15" ht="16.899999999999999" customHeight="1" x14ac:dyDescent="0.25">
      <c r="A26" s="43" t="s">
        <v>29</v>
      </c>
      <c r="B26" s="35">
        <f t="shared" si="0"/>
        <v>7</v>
      </c>
      <c r="C26" s="35">
        <f t="shared" si="1"/>
        <v>0</v>
      </c>
      <c r="D26" s="35">
        <f t="shared" si="4"/>
        <v>7</v>
      </c>
      <c r="E26" s="38"/>
      <c r="F26" s="36">
        <f t="shared" si="2"/>
        <v>7</v>
      </c>
      <c r="G26" s="46">
        <v>0</v>
      </c>
      <c r="H26" s="46">
        <v>7</v>
      </c>
      <c r="I26" s="39"/>
      <c r="J26" s="36">
        <f t="shared" si="3"/>
        <v>0</v>
      </c>
      <c r="K26" s="46">
        <v>0</v>
      </c>
      <c r="L26" s="46">
        <v>0</v>
      </c>
      <c r="M26" s="2"/>
      <c r="N26" s="2"/>
      <c r="O26" s="2"/>
    </row>
    <row r="27" spans="1:15" ht="16.899999999999999" customHeight="1" x14ac:dyDescent="0.25">
      <c r="A27" s="43" t="s">
        <v>30</v>
      </c>
      <c r="B27" s="35">
        <f t="shared" si="0"/>
        <v>3</v>
      </c>
      <c r="C27" s="35">
        <f t="shared" si="1"/>
        <v>2</v>
      </c>
      <c r="D27" s="35">
        <f t="shared" si="4"/>
        <v>1</v>
      </c>
      <c r="E27" s="38"/>
      <c r="F27" s="36">
        <f t="shared" si="2"/>
        <v>1</v>
      </c>
      <c r="G27" s="46">
        <v>1</v>
      </c>
      <c r="H27" s="46">
        <v>0</v>
      </c>
      <c r="I27" s="39"/>
      <c r="J27" s="36">
        <f t="shared" si="3"/>
        <v>2</v>
      </c>
      <c r="K27" s="46">
        <v>1</v>
      </c>
      <c r="L27" s="46">
        <v>1</v>
      </c>
      <c r="M27" s="2"/>
      <c r="N27" s="2"/>
      <c r="O27" s="2"/>
    </row>
    <row r="28" spans="1:15" ht="16.899999999999999" customHeight="1" x14ac:dyDescent="0.25">
      <c r="A28" s="43" t="s">
        <v>31</v>
      </c>
      <c r="B28" s="35">
        <f t="shared" si="0"/>
        <v>1</v>
      </c>
      <c r="C28" s="35">
        <f t="shared" si="1"/>
        <v>0</v>
      </c>
      <c r="D28" s="35">
        <f t="shared" si="4"/>
        <v>1</v>
      </c>
      <c r="E28" s="38"/>
      <c r="F28" s="36">
        <f t="shared" si="2"/>
        <v>0</v>
      </c>
      <c r="G28" s="46">
        <v>0</v>
      </c>
      <c r="H28" s="46">
        <v>0</v>
      </c>
      <c r="I28" s="39"/>
      <c r="J28" s="36">
        <f t="shared" si="3"/>
        <v>1</v>
      </c>
      <c r="K28" s="46">
        <v>0</v>
      </c>
      <c r="L28" s="46">
        <v>1</v>
      </c>
      <c r="M28" s="2"/>
      <c r="N28" s="2"/>
      <c r="O28" s="2"/>
    </row>
    <row r="29" spans="1:15" ht="16.899999999999999" customHeight="1" x14ac:dyDescent="0.25">
      <c r="A29" s="43" t="s">
        <v>32</v>
      </c>
      <c r="B29" s="35">
        <f t="shared" si="0"/>
        <v>6</v>
      </c>
      <c r="C29" s="35">
        <f t="shared" si="1"/>
        <v>4</v>
      </c>
      <c r="D29" s="35">
        <f t="shared" si="4"/>
        <v>2</v>
      </c>
      <c r="E29" s="38"/>
      <c r="F29" s="36">
        <f t="shared" si="2"/>
        <v>6</v>
      </c>
      <c r="G29" s="46">
        <v>4</v>
      </c>
      <c r="H29" s="46">
        <v>2</v>
      </c>
      <c r="I29" s="39"/>
      <c r="J29" s="36">
        <f t="shared" si="3"/>
        <v>0</v>
      </c>
      <c r="K29" s="46">
        <v>0</v>
      </c>
      <c r="L29" s="46">
        <v>0</v>
      </c>
      <c r="M29" s="2"/>
      <c r="N29" s="2"/>
      <c r="O29" s="2"/>
    </row>
    <row r="30" spans="1:15" ht="16.899999999999999" customHeight="1" x14ac:dyDescent="0.25">
      <c r="A30" s="43" t="s">
        <v>33</v>
      </c>
      <c r="B30" s="35">
        <f t="shared" si="0"/>
        <v>6</v>
      </c>
      <c r="C30" s="35">
        <f t="shared" si="1"/>
        <v>3</v>
      </c>
      <c r="D30" s="35">
        <f t="shared" si="4"/>
        <v>3</v>
      </c>
      <c r="E30" s="38"/>
      <c r="F30" s="36">
        <f t="shared" si="2"/>
        <v>5</v>
      </c>
      <c r="G30" s="46">
        <v>3</v>
      </c>
      <c r="H30" s="46">
        <v>2</v>
      </c>
      <c r="I30" s="39"/>
      <c r="J30" s="36">
        <f t="shared" si="3"/>
        <v>1</v>
      </c>
      <c r="K30" s="46">
        <v>0</v>
      </c>
      <c r="L30" s="46">
        <v>1</v>
      </c>
      <c r="M30" s="2"/>
      <c r="N30" s="2"/>
      <c r="O30" s="2"/>
    </row>
    <row r="31" spans="1:15" ht="16.899999999999999" customHeight="1" x14ac:dyDescent="0.25">
      <c r="A31" s="43" t="s">
        <v>34</v>
      </c>
      <c r="B31" s="35">
        <f t="shared" si="0"/>
        <v>5</v>
      </c>
      <c r="C31" s="35">
        <f t="shared" si="1"/>
        <v>3</v>
      </c>
      <c r="D31" s="35">
        <f t="shared" si="4"/>
        <v>2</v>
      </c>
      <c r="E31" s="38"/>
      <c r="F31" s="36">
        <f t="shared" si="2"/>
        <v>5</v>
      </c>
      <c r="G31" s="46">
        <v>3</v>
      </c>
      <c r="H31" s="46">
        <v>2</v>
      </c>
      <c r="I31" s="39"/>
      <c r="J31" s="36">
        <f t="shared" si="3"/>
        <v>0</v>
      </c>
      <c r="K31" s="46">
        <v>0</v>
      </c>
      <c r="L31" s="46">
        <v>0</v>
      </c>
      <c r="M31" s="2"/>
      <c r="N31" s="2"/>
      <c r="O31" s="2"/>
    </row>
    <row r="32" spans="1:15" ht="16.899999999999999" customHeight="1" x14ac:dyDescent="0.25">
      <c r="A32" s="43" t="s">
        <v>35</v>
      </c>
      <c r="B32" s="35">
        <f t="shared" si="0"/>
        <v>1</v>
      </c>
      <c r="C32" s="35">
        <f t="shared" si="1"/>
        <v>1</v>
      </c>
      <c r="D32" s="35">
        <f t="shared" si="4"/>
        <v>0</v>
      </c>
      <c r="E32" s="38"/>
      <c r="F32" s="36">
        <f t="shared" si="2"/>
        <v>1</v>
      </c>
      <c r="G32" s="46">
        <v>1</v>
      </c>
      <c r="H32" s="46">
        <v>0</v>
      </c>
      <c r="I32" s="39"/>
      <c r="J32" s="36">
        <f t="shared" si="3"/>
        <v>0</v>
      </c>
      <c r="K32" s="46">
        <v>0</v>
      </c>
      <c r="L32" s="46">
        <v>0</v>
      </c>
      <c r="M32" s="2"/>
      <c r="N32" s="2"/>
      <c r="O32" s="2"/>
    </row>
    <row r="33" spans="1:18" ht="16.899999999999999" customHeight="1" x14ac:dyDescent="0.25">
      <c r="A33" s="43" t="s">
        <v>36</v>
      </c>
      <c r="B33" s="35">
        <f t="shared" si="0"/>
        <v>2</v>
      </c>
      <c r="C33" s="35">
        <f t="shared" si="1"/>
        <v>1</v>
      </c>
      <c r="D33" s="35">
        <f t="shared" si="4"/>
        <v>1</v>
      </c>
      <c r="E33" s="38"/>
      <c r="F33" s="36">
        <f t="shared" si="2"/>
        <v>2</v>
      </c>
      <c r="G33" s="46">
        <v>1</v>
      </c>
      <c r="H33" s="46">
        <v>1</v>
      </c>
      <c r="I33" s="39"/>
      <c r="J33" s="36">
        <f t="shared" si="3"/>
        <v>0</v>
      </c>
      <c r="K33" s="46">
        <v>0</v>
      </c>
      <c r="L33" s="46">
        <v>0</v>
      </c>
      <c r="M33" s="2"/>
      <c r="N33" s="2"/>
      <c r="O33" s="2"/>
    </row>
    <row r="34" spans="1:18" ht="16.899999999999999" customHeight="1" x14ac:dyDescent="0.25">
      <c r="A34" s="43" t="s">
        <v>37</v>
      </c>
      <c r="B34" s="35">
        <f t="shared" si="0"/>
        <v>145</v>
      </c>
      <c r="C34" s="35">
        <f t="shared" si="1"/>
        <v>95</v>
      </c>
      <c r="D34" s="35">
        <f t="shared" si="4"/>
        <v>50</v>
      </c>
      <c r="E34" s="38"/>
      <c r="F34" s="36">
        <f t="shared" si="2"/>
        <v>83</v>
      </c>
      <c r="G34" s="46">
        <v>45</v>
      </c>
      <c r="H34" s="46">
        <v>38</v>
      </c>
      <c r="I34" s="39"/>
      <c r="J34" s="36">
        <f t="shared" si="3"/>
        <v>62</v>
      </c>
      <c r="K34" s="46">
        <v>50</v>
      </c>
      <c r="L34" s="46">
        <v>12</v>
      </c>
      <c r="M34" s="2"/>
      <c r="N34" s="2"/>
      <c r="O34" s="2"/>
    </row>
    <row r="35" spans="1:18" ht="16.899999999999999" customHeight="1" x14ac:dyDescent="0.25">
      <c r="A35" s="43" t="s">
        <v>38</v>
      </c>
      <c r="B35" s="35">
        <f t="shared" si="0"/>
        <v>29</v>
      </c>
      <c r="C35" s="35">
        <f t="shared" si="1"/>
        <v>7</v>
      </c>
      <c r="D35" s="35">
        <f t="shared" si="4"/>
        <v>22</v>
      </c>
      <c r="E35" s="38"/>
      <c r="F35" s="36">
        <f t="shared" si="2"/>
        <v>24</v>
      </c>
      <c r="G35" s="46">
        <v>6</v>
      </c>
      <c r="H35" s="46">
        <v>18</v>
      </c>
      <c r="I35" s="39"/>
      <c r="J35" s="36">
        <f t="shared" si="3"/>
        <v>5</v>
      </c>
      <c r="K35" s="46">
        <v>1</v>
      </c>
      <c r="L35" s="46">
        <v>4</v>
      </c>
      <c r="M35" s="2"/>
      <c r="N35" s="2"/>
      <c r="O35" s="2"/>
    </row>
    <row r="36" spans="1:18" ht="16.899999999999999" customHeight="1" x14ac:dyDescent="0.25">
      <c r="A36" s="43" t="s">
        <v>39</v>
      </c>
      <c r="B36" s="35">
        <f t="shared" si="0"/>
        <v>9</v>
      </c>
      <c r="C36" s="35">
        <f t="shared" si="1"/>
        <v>2</v>
      </c>
      <c r="D36" s="35">
        <f t="shared" si="4"/>
        <v>7</v>
      </c>
      <c r="E36" s="38"/>
      <c r="F36" s="36">
        <f t="shared" si="2"/>
        <v>8</v>
      </c>
      <c r="G36" s="46">
        <v>1</v>
      </c>
      <c r="H36" s="46">
        <v>7</v>
      </c>
      <c r="I36" s="39"/>
      <c r="J36" s="36">
        <f t="shared" si="3"/>
        <v>1</v>
      </c>
      <c r="K36" s="46">
        <v>1</v>
      </c>
      <c r="L36" s="46">
        <v>0</v>
      </c>
      <c r="M36" s="2"/>
      <c r="N36" s="2"/>
      <c r="O36" s="2"/>
    </row>
    <row r="37" spans="1:18" ht="16.899999999999999" customHeight="1" x14ac:dyDescent="0.25">
      <c r="A37" s="43" t="s">
        <v>40</v>
      </c>
      <c r="B37" s="35">
        <f t="shared" si="0"/>
        <v>9</v>
      </c>
      <c r="C37" s="35">
        <f t="shared" si="1"/>
        <v>3</v>
      </c>
      <c r="D37" s="35">
        <f t="shared" si="4"/>
        <v>6</v>
      </c>
      <c r="E37" s="38"/>
      <c r="F37" s="36">
        <f t="shared" si="2"/>
        <v>7</v>
      </c>
      <c r="G37" s="46">
        <v>3</v>
      </c>
      <c r="H37" s="46">
        <v>4</v>
      </c>
      <c r="I37" s="39"/>
      <c r="J37" s="36">
        <f t="shared" si="3"/>
        <v>2</v>
      </c>
      <c r="K37" s="46">
        <v>0</v>
      </c>
      <c r="L37" s="46">
        <v>2</v>
      </c>
      <c r="M37" s="2"/>
      <c r="N37" s="2"/>
      <c r="O37" s="2"/>
    </row>
    <row r="38" spans="1:18" ht="16.899999999999999" customHeight="1" x14ac:dyDescent="0.25">
      <c r="A38" s="43" t="s">
        <v>41</v>
      </c>
      <c r="B38" s="35">
        <f t="shared" si="0"/>
        <v>5</v>
      </c>
      <c r="C38" s="35">
        <f t="shared" si="1"/>
        <v>3</v>
      </c>
      <c r="D38" s="35">
        <f t="shared" si="4"/>
        <v>2</v>
      </c>
      <c r="E38" s="38"/>
      <c r="F38" s="36">
        <f t="shared" si="2"/>
        <v>3</v>
      </c>
      <c r="G38" s="46">
        <v>2</v>
      </c>
      <c r="H38" s="46">
        <v>1</v>
      </c>
      <c r="I38" s="39"/>
      <c r="J38" s="36">
        <f t="shared" si="3"/>
        <v>2</v>
      </c>
      <c r="K38" s="46">
        <v>1</v>
      </c>
      <c r="L38" s="46">
        <v>1</v>
      </c>
      <c r="M38" s="2"/>
      <c r="N38" s="2"/>
      <c r="O38" s="2"/>
    </row>
    <row r="39" spans="1:18" ht="16.899999999999999" customHeight="1" x14ac:dyDescent="0.25">
      <c r="A39" s="43" t="s">
        <v>42</v>
      </c>
      <c r="B39" s="35">
        <f t="shared" si="0"/>
        <v>2</v>
      </c>
      <c r="C39" s="35">
        <f t="shared" si="1"/>
        <v>0</v>
      </c>
      <c r="D39" s="35">
        <f t="shared" si="4"/>
        <v>2</v>
      </c>
      <c r="E39" s="38"/>
      <c r="F39" s="36">
        <f t="shared" si="2"/>
        <v>2</v>
      </c>
      <c r="G39" s="46">
        <v>0</v>
      </c>
      <c r="H39" s="46">
        <v>2</v>
      </c>
      <c r="I39" s="39"/>
      <c r="J39" s="36">
        <f t="shared" si="3"/>
        <v>0</v>
      </c>
      <c r="K39" s="46">
        <v>0</v>
      </c>
      <c r="L39" s="46">
        <v>0</v>
      </c>
      <c r="M39" s="2"/>
      <c r="N39" s="2"/>
      <c r="O39" s="2"/>
    </row>
    <row r="40" spans="1:18" ht="16.899999999999999" customHeight="1" x14ac:dyDescent="0.25">
      <c r="A40" s="43" t="s">
        <v>43</v>
      </c>
      <c r="B40" s="35">
        <f t="shared" si="0"/>
        <v>12</v>
      </c>
      <c r="C40" s="35">
        <f t="shared" si="1"/>
        <v>6</v>
      </c>
      <c r="D40" s="35">
        <f t="shared" si="4"/>
        <v>6</v>
      </c>
      <c r="E40" s="38"/>
      <c r="F40" s="36">
        <f t="shared" si="2"/>
        <v>11</v>
      </c>
      <c r="G40" s="46">
        <v>6</v>
      </c>
      <c r="H40" s="46">
        <v>5</v>
      </c>
      <c r="I40" s="39"/>
      <c r="J40" s="36">
        <f t="shared" si="3"/>
        <v>1</v>
      </c>
      <c r="K40" s="46">
        <v>0</v>
      </c>
      <c r="L40" s="46">
        <v>1</v>
      </c>
      <c r="M40" s="2"/>
      <c r="N40" s="2"/>
      <c r="O40" s="2"/>
      <c r="P40" s="2"/>
      <c r="Q40" s="2"/>
      <c r="R40" s="2"/>
    </row>
    <row r="41" spans="1:18" ht="16.899999999999999" customHeight="1" x14ac:dyDescent="0.25">
      <c r="A41" s="43" t="s">
        <v>44</v>
      </c>
      <c r="B41" s="35">
        <f t="shared" si="0"/>
        <v>2</v>
      </c>
      <c r="C41" s="35">
        <f t="shared" si="1"/>
        <v>2</v>
      </c>
      <c r="D41" s="35">
        <f t="shared" si="4"/>
        <v>0</v>
      </c>
      <c r="E41" s="38"/>
      <c r="F41" s="36">
        <f t="shared" si="2"/>
        <v>2</v>
      </c>
      <c r="G41" s="46">
        <v>2</v>
      </c>
      <c r="H41" s="46">
        <v>0</v>
      </c>
      <c r="I41" s="39"/>
      <c r="J41" s="36">
        <f t="shared" si="3"/>
        <v>0</v>
      </c>
      <c r="K41" s="46">
        <v>0</v>
      </c>
      <c r="L41" s="46">
        <v>0</v>
      </c>
      <c r="M41" s="2"/>
      <c r="N41" s="2"/>
      <c r="O41" s="2"/>
      <c r="P41" s="2"/>
      <c r="Q41" s="2"/>
      <c r="R41" s="2"/>
    </row>
    <row r="42" spans="1:18" ht="16.899999999999999" customHeight="1" x14ac:dyDescent="0.25">
      <c r="A42" s="43" t="s">
        <v>45</v>
      </c>
      <c r="B42" s="35">
        <f t="shared" si="0"/>
        <v>2</v>
      </c>
      <c r="C42" s="35">
        <f t="shared" si="1"/>
        <v>2</v>
      </c>
      <c r="D42" s="35">
        <f t="shared" si="4"/>
        <v>0</v>
      </c>
      <c r="E42" s="38"/>
      <c r="F42" s="36">
        <f t="shared" si="2"/>
        <v>2</v>
      </c>
      <c r="G42" s="46">
        <v>2</v>
      </c>
      <c r="H42" s="46">
        <v>0</v>
      </c>
      <c r="I42" s="39"/>
      <c r="J42" s="36">
        <f t="shared" si="3"/>
        <v>0</v>
      </c>
      <c r="K42" s="46">
        <v>0</v>
      </c>
      <c r="L42" s="46">
        <v>0</v>
      </c>
      <c r="M42" s="2"/>
      <c r="N42" s="2"/>
      <c r="O42" s="2"/>
      <c r="P42" s="2"/>
      <c r="Q42" s="2"/>
      <c r="R42" s="2"/>
    </row>
    <row r="43" spans="1:18" ht="16.899999999999999" customHeight="1" x14ac:dyDescent="0.25">
      <c r="A43" s="43" t="s">
        <v>46</v>
      </c>
      <c r="B43" s="35">
        <f t="shared" si="0"/>
        <v>1</v>
      </c>
      <c r="C43" s="35">
        <f t="shared" si="1"/>
        <v>1</v>
      </c>
      <c r="D43" s="35">
        <f t="shared" si="4"/>
        <v>0</v>
      </c>
      <c r="E43" s="38"/>
      <c r="F43" s="36">
        <f t="shared" si="2"/>
        <v>1</v>
      </c>
      <c r="G43" s="46">
        <v>1</v>
      </c>
      <c r="H43" s="46">
        <v>0</v>
      </c>
      <c r="I43" s="39"/>
      <c r="J43" s="36">
        <f t="shared" si="3"/>
        <v>0</v>
      </c>
      <c r="K43" s="46">
        <v>0</v>
      </c>
      <c r="L43" s="46">
        <v>0</v>
      </c>
      <c r="M43" s="2"/>
      <c r="N43" s="2"/>
      <c r="O43" s="2"/>
      <c r="P43" s="2"/>
      <c r="Q43" s="2"/>
      <c r="R43" s="2"/>
    </row>
    <row r="44" spans="1:18" ht="16.899999999999999" customHeight="1" x14ac:dyDescent="0.25">
      <c r="A44" s="43" t="s">
        <v>47</v>
      </c>
      <c r="B44" s="35">
        <f t="shared" si="0"/>
        <v>6</v>
      </c>
      <c r="C44" s="35">
        <f t="shared" si="1"/>
        <v>4</v>
      </c>
      <c r="D44" s="35">
        <f t="shared" si="4"/>
        <v>2</v>
      </c>
      <c r="E44" s="38"/>
      <c r="F44" s="36">
        <f t="shared" si="2"/>
        <v>6</v>
      </c>
      <c r="G44" s="46">
        <v>4</v>
      </c>
      <c r="H44" s="46">
        <v>2</v>
      </c>
      <c r="I44" s="39"/>
      <c r="J44" s="36">
        <f t="shared" si="3"/>
        <v>0</v>
      </c>
      <c r="K44" s="46">
        <v>0</v>
      </c>
      <c r="L44" s="46">
        <v>0</v>
      </c>
      <c r="M44" s="2"/>
      <c r="N44" s="2"/>
      <c r="O44" s="2"/>
      <c r="P44" s="20"/>
      <c r="Q44" s="20"/>
      <c r="R44" s="20"/>
    </row>
    <row r="45" spans="1:18" ht="16.899999999999999" customHeight="1" x14ac:dyDescent="0.25">
      <c r="A45" s="43" t="s">
        <v>48</v>
      </c>
      <c r="B45" s="35">
        <f t="shared" si="0"/>
        <v>1</v>
      </c>
      <c r="C45" s="35">
        <f t="shared" si="1"/>
        <v>1</v>
      </c>
      <c r="D45" s="35">
        <f t="shared" si="4"/>
        <v>0</v>
      </c>
      <c r="E45" s="38"/>
      <c r="F45" s="36">
        <f t="shared" si="2"/>
        <v>1</v>
      </c>
      <c r="G45" s="46">
        <v>1</v>
      </c>
      <c r="H45" s="46">
        <v>0</v>
      </c>
      <c r="I45" s="39"/>
      <c r="J45" s="36">
        <f t="shared" si="3"/>
        <v>0</v>
      </c>
      <c r="K45" s="46">
        <v>0</v>
      </c>
      <c r="L45" s="46">
        <v>0</v>
      </c>
      <c r="M45" s="2"/>
      <c r="N45" s="2"/>
      <c r="O45" s="2"/>
      <c r="P45" s="2"/>
      <c r="Q45" s="2"/>
      <c r="R45" s="2"/>
    </row>
    <row r="46" spans="1:18" ht="16.899999999999999" customHeight="1" x14ac:dyDescent="0.25">
      <c r="A46" s="43" t="s">
        <v>49</v>
      </c>
      <c r="B46" s="35">
        <f t="shared" si="0"/>
        <v>2</v>
      </c>
      <c r="C46" s="35">
        <f t="shared" si="1"/>
        <v>0</v>
      </c>
      <c r="D46" s="35">
        <f t="shared" si="4"/>
        <v>2</v>
      </c>
      <c r="E46" s="38"/>
      <c r="F46" s="36">
        <f t="shared" si="2"/>
        <v>2</v>
      </c>
      <c r="G46" s="46">
        <v>0</v>
      </c>
      <c r="H46" s="46">
        <v>2</v>
      </c>
      <c r="I46" s="39"/>
      <c r="J46" s="36">
        <f t="shared" si="3"/>
        <v>0</v>
      </c>
      <c r="K46" s="46">
        <v>0</v>
      </c>
      <c r="L46" s="46">
        <v>0</v>
      </c>
      <c r="M46" s="2"/>
      <c r="N46" s="2"/>
      <c r="O46" s="2"/>
    </row>
    <row r="47" spans="1:18" ht="16.899999999999999" customHeight="1" x14ac:dyDescent="0.25">
      <c r="A47" s="43" t="s">
        <v>102</v>
      </c>
      <c r="B47" s="35">
        <f t="shared" si="0"/>
        <v>4</v>
      </c>
      <c r="C47" s="35">
        <f t="shared" si="1"/>
        <v>3</v>
      </c>
      <c r="D47" s="35">
        <f t="shared" si="4"/>
        <v>1</v>
      </c>
      <c r="E47" s="38"/>
      <c r="F47" s="36">
        <f t="shared" si="2"/>
        <v>4</v>
      </c>
      <c r="G47" s="46">
        <v>3</v>
      </c>
      <c r="H47" s="46">
        <v>1</v>
      </c>
      <c r="I47" s="39"/>
      <c r="J47" s="36">
        <f t="shared" si="3"/>
        <v>0</v>
      </c>
      <c r="K47" s="46">
        <v>0</v>
      </c>
      <c r="L47" s="46">
        <v>0</v>
      </c>
      <c r="M47" s="2"/>
      <c r="N47" s="2"/>
      <c r="O47" s="2"/>
    </row>
    <row r="48" spans="1:18" ht="16.899999999999999" customHeight="1" x14ac:dyDescent="0.25">
      <c r="A48" s="43" t="s">
        <v>50</v>
      </c>
      <c r="B48" s="35">
        <f t="shared" si="0"/>
        <v>1</v>
      </c>
      <c r="C48" s="35">
        <f t="shared" si="1"/>
        <v>0</v>
      </c>
      <c r="D48" s="35">
        <f t="shared" si="4"/>
        <v>1</v>
      </c>
      <c r="E48" s="38"/>
      <c r="F48" s="36">
        <f t="shared" si="2"/>
        <v>1</v>
      </c>
      <c r="G48" s="46">
        <v>0</v>
      </c>
      <c r="H48" s="46">
        <v>1</v>
      </c>
      <c r="I48" s="39"/>
      <c r="J48" s="36">
        <f t="shared" si="3"/>
        <v>0</v>
      </c>
      <c r="K48" s="46">
        <v>0</v>
      </c>
      <c r="L48" s="46">
        <v>0</v>
      </c>
      <c r="M48" s="2"/>
      <c r="N48" s="2"/>
      <c r="O48" s="2"/>
      <c r="P48" s="2"/>
      <c r="Q48" s="2"/>
      <c r="R48" s="2"/>
    </row>
    <row r="49" spans="1:18" ht="16.899999999999999" customHeight="1" x14ac:dyDescent="0.25">
      <c r="A49" s="43" t="s">
        <v>51</v>
      </c>
      <c r="B49" s="35">
        <f t="shared" si="0"/>
        <v>8</v>
      </c>
      <c r="C49" s="35">
        <f t="shared" si="1"/>
        <v>4</v>
      </c>
      <c r="D49" s="35">
        <f t="shared" si="4"/>
        <v>4</v>
      </c>
      <c r="E49" s="38"/>
      <c r="F49" s="36">
        <f t="shared" si="2"/>
        <v>8</v>
      </c>
      <c r="G49" s="46">
        <v>4</v>
      </c>
      <c r="H49" s="46">
        <v>4</v>
      </c>
      <c r="I49" s="39"/>
      <c r="J49" s="36">
        <f t="shared" si="3"/>
        <v>0</v>
      </c>
      <c r="K49" s="46">
        <v>0</v>
      </c>
      <c r="L49" s="46">
        <v>0</v>
      </c>
      <c r="M49" s="2"/>
      <c r="N49" s="2"/>
      <c r="O49" s="2"/>
    </row>
    <row r="50" spans="1:18" ht="16.899999999999999" customHeight="1" x14ac:dyDescent="0.25">
      <c r="A50" s="43" t="s">
        <v>52</v>
      </c>
      <c r="B50" s="35">
        <f t="shared" si="0"/>
        <v>1</v>
      </c>
      <c r="C50" s="35">
        <f t="shared" si="1"/>
        <v>0</v>
      </c>
      <c r="D50" s="35">
        <f t="shared" si="4"/>
        <v>1</v>
      </c>
      <c r="E50" s="38"/>
      <c r="F50" s="36">
        <f t="shared" si="2"/>
        <v>1</v>
      </c>
      <c r="G50" s="46">
        <v>0</v>
      </c>
      <c r="H50" s="46">
        <v>1</v>
      </c>
      <c r="I50" s="39"/>
      <c r="J50" s="36">
        <f t="shared" si="3"/>
        <v>0</v>
      </c>
      <c r="K50" s="46">
        <v>0</v>
      </c>
      <c r="L50" s="46">
        <v>0</v>
      </c>
      <c r="M50" s="2"/>
      <c r="N50" s="2"/>
      <c r="O50" s="2"/>
      <c r="P50" s="2"/>
      <c r="Q50" s="2"/>
      <c r="R50" s="2"/>
    </row>
    <row r="51" spans="1:18" ht="16.899999999999999" customHeight="1" x14ac:dyDescent="0.25">
      <c r="A51" s="43" t="s">
        <v>53</v>
      </c>
      <c r="B51" s="35">
        <f t="shared" si="0"/>
        <v>1</v>
      </c>
      <c r="C51" s="35">
        <f t="shared" si="1"/>
        <v>1</v>
      </c>
      <c r="D51" s="35">
        <f t="shared" si="4"/>
        <v>0</v>
      </c>
      <c r="E51" s="38"/>
      <c r="F51" s="36">
        <f t="shared" si="2"/>
        <v>1</v>
      </c>
      <c r="G51" s="46">
        <v>1</v>
      </c>
      <c r="H51" s="46">
        <v>0</v>
      </c>
      <c r="I51" s="39"/>
      <c r="J51" s="36">
        <f t="shared" si="3"/>
        <v>0</v>
      </c>
      <c r="K51" s="46">
        <v>0</v>
      </c>
      <c r="L51" s="46">
        <v>0</v>
      </c>
      <c r="M51" s="2"/>
      <c r="N51" s="19"/>
      <c r="O51" s="2"/>
    </row>
    <row r="52" spans="1:18" ht="16.899999999999999" customHeight="1" x14ac:dyDescent="0.25">
      <c r="A52" s="43" t="s">
        <v>104</v>
      </c>
      <c r="B52" s="35">
        <f t="shared" si="0"/>
        <v>2</v>
      </c>
      <c r="C52" s="35">
        <f t="shared" si="1"/>
        <v>1</v>
      </c>
      <c r="D52" s="35">
        <f t="shared" si="4"/>
        <v>1</v>
      </c>
      <c r="E52" s="38"/>
      <c r="F52" s="36">
        <f t="shared" si="2"/>
        <v>2</v>
      </c>
      <c r="G52" s="46">
        <v>1</v>
      </c>
      <c r="H52" s="46">
        <v>1</v>
      </c>
      <c r="I52" s="39"/>
      <c r="J52" s="36">
        <f t="shared" si="3"/>
        <v>0</v>
      </c>
      <c r="K52" s="46">
        <v>0</v>
      </c>
      <c r="L52" s="46">
        <v>0</v>
      </c>
      <c r="M52" s="2"/>
      <c r="N52" s="19"/>
      <c r="O52" s="2"/>
    </row>
    <row r="53" spans="1:18" ht="16.899999999999999" customHeight="1" x14ac:dyDescent="0.25">
      <c r="A53" s="43" t="s">
        <v>54</v>
      </c>
      <c r="B53" s="35">
        <f t="shared" si="0"/>
        <v>29</v>
      </c>
      <c r="C53" s="35">
        <f t="shared" si="1"/>
        <v>16</v>
      </c>
      <c r="D53" s="35">
        <f t="shared" si="4"/>
        <v>13</v>
      </c>
      <c r="E53" s="38"/>
      <c r="F53" s="36">
        <f t="shared" si="2"/>
        <v>29</v>
      </c>
      <c r="G53" s="46">
        <v>16</v>
      </c>
      <c r="H53" s="46">
        <v>13</v>
      </c>
      <c r="I53" s="39"/>
      <c r="J53" s="36">
        <f t="shared" si="3"/>
        <v>0</v>
      </c>
      <c r="K53" s="46">
        <v>0</v>
      </c>
      <c r="L53" s="46">
        <v>0</v>
      </c>
      <c r="M53" s="2"/>
      <c r="N53" s="2"/>
      <c r="O53" s="2"/>
      <c r="P53" s="2"/>
      <c r="Q53" s="2"/>
      <c r="R53" s="2"/>
    </row>
    <row r="54" spans="1:18" ht="16.899999999999999" customHeight="1" x14ac:dyDescent="0.25">
      <c r="A54" s="43" t="s">
        <v>55</v>
      </c>
      <c r="B54" s="35">
        <f t="shared" si="0"/>
        <v>327</v>
      </c>
      <c r="C54" s="35">
        <f t="shared" si="1"/>
        <v>180</v>
      </c>
      <c r="D54" s="35">
        <f t="shared" si="4"/>
        <v>147</v>
      </c>
      <c r="E54" s="38"/>
      <c r="F54" s="36">
        <f t="shared" si="2"/>
        <v>327</v>
      </c>
      <c r="G54" s="46">
        <v>180</v>
      </c>
      <c r="H54" s="46">
        <v>147</v>
      </c>
      <c r="I54" s="39"/>
      <c r="J54" s="36">
        <f t="shared" si="3"/>
        <v>0</v>
      </c>
      <c r="K54" s="46">
        <v>0</v>
      </c>
      <c r="L54" s="46">
        <v>0</v>
      </c>
      <c r="M54" s="2"/>
      <c r="N54" s="19"/>
      <c r="O54" s="2"/>
    </row>
    <row r="55" spans="1:18" ht="16.899999999999999" customHeight="1" x14ac:dyDescent="0.25">
      <c r="A55" s="43" t="s">
        <v>56</v>
      </c>
      <c r="B55" s="35">
        <f t="shared" si="0"/>
        <v>67</v>
      </c>
      <c r="C55" s="35">
        <f t="shared" si="1"/>
        <v>52</v>
      </c>
      <c r="D55" s="35">
        <f t="shared" si="4"/>
        <v>15</v>
      </c>
      <c r="E55" s="38"/>
      <c r="F55" s="36">
        <f t="shared" si="2"/>
        <v>67</v>
      </c>
      <c r="G55" s="46">
        <v>52</v>
      </c>
      <c r="H55" s="46">
        <v>15</v>
      </c>
      <c r="I55" s="39"/>
      <c r="J55" s="36">
        <f t="shared" si="3"/>
        <v>0</v>
      </c>
      <c r="K55" s="46">
        <v>0</v>
      </c>
      <c r="L55" s="46">
        <v>0</v>
      </c>
      <c r="M55" s="2"/>
      <c r="N55" s="19"/>
      <c r="O55" s="2"/>
    </row>
    <row r="56" spans="1:18" ht="16.899999999999999" customHeight="1" x14ac:dyDescent="0.25">
      <c r="A56" s="43" t="s">
        <v>57</v>
      </c>
      <c r="B56" s="35">
        <f t="shared" si="0"/>
        <v>77</v>
      </c>
      <c r="C56" s="35">
        <f t="shared" si="1"/>
        <v>50</v>
      </c>
      <c r="D56" s="35">
        <f t="shared" si="4"/>
        <v>27</v>
      </c>
      <c r="E56" s="38"/>
      <c r="F56" s="36">
        <f t="shared" si="2"/>
        <v>77</v>
      </c>
      <c r="G56" s="46">
        <v>50</v>
      </c>
      <c r="H56" s="46">
        <v>27</v>
      </c>
      <c r="I56" s="39"/>
      <c r="J56" s="36">
        <f t="shared" si="3"/>
        <v>0</v>
      </c>
      <c r="K56" s="46">
        <v>0</v>
      </c>
      <c r="L56" s="46">
        <v>0</v>
      </c>
      <c r="M56" s="2"/>
      <c r="N56" s="19"/>
      <c r="O56" s="2"/>
    </row>
    <row r="57" spans="1:18" ht="16.899999999999999" customHeight="1" x14ac:dyDescent="0.25">
      <c r="A57" s="43" t="s">
        <v>58</v>
      </c>
      <c r="B57" s="35">
        <f t="shared" si="0"/>
        <v>26</v>
      </c>
      <c r="C57" s="35">
        <f t="shared" si="1"/>
        <v>18</v>
      </c>
      <c r="D57" s="35">
        <f t="shared" si="4"/>
        <v>8</v>
      </c>
      <c r="E57" s="38"/>
      <c r="F57" s="36">
        <f t="shared" si="2"/>
        <v>26</v>
      </c>
      <c r="G57" s="46">
        <v>18</v>
      </c>
      <c r="H57" s="46">
        <v>8</v>
      </c>
      <c r="I57" s="39"/>
      <c r="J57" s="36">
        <f t="shared" si="3"/>
        <v>0</v>
      </c>
      <c r="K57" s="46">
        <v>0</v>
      </c>
      <c r="L57" s="46">
        <v>0</v>
      </c>
      <c r="M57" s="2"/>
      <c r="N57" s="2"/>
      <c r="O57" s="2"/>
      <c r="P57" s="2"/>
      <c r="Q57" s="2"/>
      <c r="R57" s="2"/>
    </row>
    <row r="58" spans="1:18" ht="16.899999999999999" customHeight="1" x14ac:dyDescent="0.25">
      <c r="A58" s="43" t="s">
        <v>59</v>
      </c>
      <c r="B58" s="35">
        <f t="shared" si="0"/>
        <v>29</v>
      </c>
      <c r="C58" s="35">
        <f t="shared" si="1"/>
        <v>26</v>
      </c>
      <c r="D58" s="35">
        <f t="shared" si="4"/>
        <v>3</v>
      </c>
      <c r="E58" s="38"/>
      <c r="F58" s="36">
        <f t="shared" si="2"/>
        <v>29</v>
      </c>
      <c r="G58" s="46">
        <v>26</v>
      </c>
      <c r="H58" s="46">
        <v>3</v>
      </c>
      <c r="I58" s="39"/>
      <c r="J58" s="36">
        <f t="shared" si="3"/>
        <v>0</v>
      </c>
      <c r="K58" s="46">
        <v>0</v>
      </c>
      <c r="L58" s="46">
        <v>0</v>
      </c>
      <c r="M58" s="2"/>
      <c r="N58" s="2"/>
      <c r="O58" s="2"/>
      <c r="P58" s="2"/>
      <c r="Q58" s="2"/>
      <c r="R58" s="2"/>
    </row>
    <row r="59" spans="1:18" ht="16.899999999999999" customHeight="1" x14ac:dyDescent="0.25">
      <c r="A59" s="43" t="s">
        <v>60</v>
      </c>
      <c r="B59" s="35">
        <f t="shared" si="0"/>
        <v>7</v>
      </c>
      <c r="C59" s="35">
        <f t="shared" si="1"/>
        <v>7</v>
      </c>
      <c r="D59" s="35">
        <f t="shared" si="4"/>
        <v>0</v>
      </c>
      <c r="E59" s="38"/>
      <c r="F59" s="36">
        <f t="shared" si="2"/>
        <v>7</v>
      </c>
      <c r="G59" s="46">
        <v>7</v>
      </c>
      <c r="H59" s="46">
        <v>0</v>
      </c>
      <c r="I59" s="39"/>
      <c r="J59" s="36">
        <f t="shared" si="3"/>
        <v>0</v>
      </c>
      <c r="K59" s="46">
        <v>0</v>
      </c>
      <c r="L59" s="46">
        <v>0</v>
      </c>
      <c r="M59" s="2"/>
      <c r="N59" s="19"/>
      <c r="O59" s="2"/>
    </row>
    <row r="60" spans="1:18" ht="16.899999999999999" customHeight="1" x14ac:dyDescent="0.25">
      <c r="A60" s="43" t="s">
        <v>61</v>
      </c>
      <c r="B60" s="35">
        <f t="shared" si="0"/>
        <v>3</v>
      </c>
      <c r="C60" s="35">
        <f t="shared" si="1"/>
        <v>2</v>
      </c>
      <c r="D60" s="35">
        <f t="shared" si="4"/>
        <v>1</v>
      </c>
      <c r="E60" s="38"/>
      <c r="F60" s="36">
        <f t="shared" si="2"/>
        <v>3</v>
      </c>
      <c r="G60" s="46">
        <v>2</v>
      </c>
      <c r="H60" s="46">
        <v>1</v>
      </c>
      <c r="I60" s="39"/>
      <c r="J60" s="36">
        <f t="shared" si="3"/>
        <v>0</v>
      </c>
      <c r="K60" s="46">
        <v>0</v>
      </c>
      <c r="L60" s="46">
        <v>0</v>
      </c>
      <c r="M60" s="2"/>
      <c r="N60" s="19"/>
      <c r="O60" s="2"/>
      <c r="P60" s="2"/>
      <c r="Q60" s="2"/>
      <c r="R60" s="2"/>
    </row>
    <row r="61" spans="1:18" ht="16.899999999999999" customHeight="1" x14ac:dyDescent="0.25">
      <c r="A61" s="43" t="s">
        <v>62</v>
      </c>
      <c r="B61" s="35">
        <f t="shared" si="0"/>
        <v>10</v>
      </c>
      <c r="C61" s="35">
        <f t="shared" si="1"/>
        <v>8</v>
      </c>
      <c r="D61" s="35">
        <f t="shared" si="4"/>
        <v>2</v>
      </c>
      <c r="E61" s="38"/>
      <c r="F61" s="36">
        <f t="shared" si="2"/>
        <v>10</v>
      </c>
      <c r="G61" s="46">
        <v>8</v>
      </c>
      <c r="H61" s="46">
        <v>2</v>
      </c>
      <c r="I61" s="39"/>
      <c r="J61" s="36">
        <f t="shared" si="3"/>
        <v>0</v>
      </c>
      <c r="K61" s="46">
        <v>0</v>
      </c>
      <c r="L61" s="46">
        <v>0</v>
      </c>
      <c r="M61" s="2"/>
      <c r="N61" s="19"/>
      <c r="O61" s="2"/>
      <c r="P61" s="2"/>
      <c r="Q61" s="2"/>
      <c r="R61" s="2"/>
    </row>
    <row r="62" spans="1:18" ht="16.899999999999999" customHeight="1" x14ac:dyDescent="0.25">
      <c r="A62" s="43" t="s">
        <v>63</v>
      </c>
      <c r="B62" s="35">
        <f t="shared" si="0"/>
        <v>83</v>
      </c>
      <c r="C62" s="35">
        <f t="shared" si="1"/>
        <v>71</v>
      </c>
      <c r="D62" s="35">
        <f t="shared" si="4"/>
        <v>12</v>
      </c>
      <c r="E62" s="38"/>
      <c r="F62" s="36">
        <f t="shared" si="2"/>
        <v>83</v>
      </c>
      <c r="G62" s="46">
        <v>71</v>
      </c>
      <c r="H62" s="46">
        <v>12</v>
      </c>
      <c r="I62" s="39"/>
      <c r="J62" s="36">
        <f t="shared" si="3"/>
        <v>0</v>
      </c>
      <c r="K62" s="46">
        <v>0</v>
      </c>
      <c r="L62" s="46">
        <v>0</v>
      </c>
      <c r="M62" s="2"/>
      <c r="N62" s="19"/>
      <c r="O62" s="2"/>
      <c r="P62" s="2"/>
      <c r="Q62" s="2"/>
      <c r="R62" s="2"/>
    </row>
    <row r="63" spans="1:18" ht="16.899999999999999" customHeight="1" x14ac:dyDescent="0.25">
      <c r="A63" s="43" t="s">
        <v>64</v>
      </c>
      <c r="B63" s="35">
        <f t="shared" si="0"/>
        <v>43</v>
      </c>
      <c r="C63" s="35">
        <f t="shared" si="1"/>
        <v>31</v>
      </c>
      <c r="D63" s="35">
        <f t="shared" si="4"/>
        <v>12</v>
      </c>
      <c r="E63" s="38"/>
      <c r="F63" s="36">
        <f t="shared" si="2"/>
        <v>43</v>
      </c>
      <c r="G63" s="46">
        <v>31</v>
      </c>
      <c r="H63" s="46">
        <v>12</v>
      </c>
      <c r="I63" s="39"/>
      <c r="J63" s="36">
        <f t="shared" si="3"/>
        <v>0</v>
      </c>
      <c r="K63" s="46">
        <v>0</v>
      </c>
      <c r="L63" s="46">
        <v>0</v>
      </c>
      <c r="M63" s="2"/>
      <c r="N63" s="19"/>
      <c r="O63" s="2"/>
      <c r="P63" s="2"/>
      <c r="Q63" s="2"/>
      <c r="R63" s="2"/>
    </row>
    <row r="64" spans="1:18" ht="16.899999999999999" customHeight="1" x14ac:dyDescent="0.25">
      <c r="A64" s="43" t="s">
        <v>65</v>
      </c>
      <c r="B64" s="35">
        <f t="shared" si="0"/>
        <v>46</v>
      </c>
      <c r="C64" s="35">
        <f t="shared" si="1"/>
        <v>31</v>
      </c>
      <c r="D64" s="35">
        <f t="shared" si="4"/>
        <v>15</v>
      </c>
      <c r="E64" s="38"/>
      <c r="F64" s="36">
        <f t="shared" si="2"/>
        <v>46</v>
      </c>
      <c r="G64" s="46">
        <v>31</v>
      </c>
      <c r="H64" s="46">
        <v>15</v>
      </c>
      <c r="I64" s="39"/>
      <c r="J64" s="36">
        <f t="shared" si="3"/>
        <v>0</v>
      </c>
      <c r="K64" s="46">
        <v>0</v>
      </c>
      <c r="L64" s="46">
        <v>0</v>
      </c>
      <c r="M64" s="2"/>
      <c r="N64" s="19"/>
      <c r="O64" s="2"/>
      <c r="P64" s="2"/>
      <c r="Q64" s="2"/>
      <c r="R64" s="2"/>
    </row>
    <row r="65" spans="1:18" ht="16.899999999999999" customHeight="1" x14ac:dyDescent="0.25">
      <c r="A65" s="43" t="s">
        <v>66</v>
      </c>
      <c r="B65" s="35">
        <f t="shared" si="0"/>
        <v>77</v>
      </c>
      <c r="C65" s="35">
        <f t="shared" si="1"/>
        <v>47</v>
      </c>
      <c r="D65" s="35">
        <f t="shared" si="4"/>
        <v>30</v>
      </c>
      <c r="E65" s="38"/>
      <c r="F65" s="36">
        <f t="shared" si="2"/>
        <v>57</v>
      </c>
      <c r="G65" s="46">
        <v>47</v>
      </c>
      <c r="H65" s="46">
        <v>10</v>
      </c>
      <c r="I65" s="39"/>
      <c r="J65" s="36">
        <f t="shared" si="3"/>
        <v>20</v>
      </c>
      <c r="K65" s="46">
        <v>0</v>
      </c>
      <c r="L65" s="46">
        <v>20</v>
      </c>
      <c r="M65" s="2"/>
      <c r="N65" s="19"/>
      <c r="O65" s="2"/>
    </row>
    <row r="66" spans="1:18" ht="16.899999999999999" customHeight="1" x14ac:dyDescent="0.25">
      <c r="A66" s="43" t="s">
        <v>67</v>
      </c>
      <c r="B66" s="35">
        <f t="shared" si="0"/>
        <v>37</v>
      </c>
      <c r="C66" s="35">
        <f t="shared" si="1"/>
        <v>11</v>
      </c>
      <c r="D66" s="35">
        <f t="shared" si="4"/>
        <v>26</v>
      </c>
      <c r="E66" s="38"/>
      <c r="F66" s="36">
        <f t="shared" si="2"/>
        <v>18</v>
      </c>
      <c r="G66" s="46">
        <v>11</v>
      </c>
      <c r="H66" s="46">
        <v>7</v>
      </c>
      <c r="I66" s="39"/>
      <c r="J66" s="36">
        <f t="shared" si="3"/>
        <v>19</v>
      </c>
      <c r="K66" s="46">
        <v>0</v>
      </c>
      <c r="L66" s="46">
        <v>19</v>
      </c>
      <c r="M66" s="2"/>
      <c r="N66" s="19"/>
      <c r="O66" s="2"/>
      <c r="P66" s="2"/>
      <c r="Q66" s="2"/>
      <c r="R66" s="2"/>
    </row>
    <row r="67" spans="1:18" ht="16.899999999999999" customHeight="1" x14ac:dyDescent="0.25">
      <c r="A67" s="43" t="s">
        <v>68</v>
      </c>
      <c r="B67" s="35">
        <f t="shared" si="0"/>
        <v>265</v>
      </c>
      <c r="C67" s="35">
        <f t="shared" si="1"/>
        <v>14</v>
      </c>
      <c r="D67" s="35">
        <f t="shared" si="4"/>
        <v>251</v>
      </c>
      <c r="E67" s="38"/>
      <c r="F67" s="36">
        <f t="shared" si="2"/>
        <v>64</v>
      </c>
      <c r="G67" s="46">
        <v>13</v>
      </c>
      <c r="H67" s="46">
        <v>51</v>
      </c>
      <c r="I67" s="39"/>
      <c r="J67" s="36">
        <f t="shared" si="3"/>
        <v>201</v>
      </c>
      <c r="K67" s="46">
        <v>1</v>
      </c>
      <c r="L67" s="46">
        <v>200</v>
      </c>
      <c r="M67" s="2"/>
      <c r="N67" s="19"/>
      <c r="O67" s="2"/>
    </row>
    <row r="68" spans="1:18" ht="16.899999999999999" customHeight="1" x14ac:dyDescent="0.25">
      <c r="A68" s="43" t="s">
        <v>69</v>
      </c>
      <c r="B68" s="35">
        <f t="shared" si="0"/>
        <v>5</v>
      </c>
      <c r="C68" s="35">
        <f t="shared" si="1"/>
        <v>2</v>
      </c>
      <c r="D68" s="35">
        <f t="shared" si="4"/>
        <v>3</v>
      </c>
      <c r="E68" s="38"/>
      <c r="F68" s="36">
        <f t="shared" si="2"/>
        <v>5</v>
      </c>
      <c r="G68" s="46">
        <v>2</v>
      </c>
      <c r="H68" s="46">
        <v>3</v>
      </c>
      <c r="I68" s="39"/>
      <c r="J68" s="36">
        <f t="shared" si="3"/>
        <v>0</v>
      </c>
      <c r="K68" s="46">
        <v>0</v>
      </c>
      <c r="L68" s="46">
        <v>0</v>
      </c>
      <c r="M68" s="2"/>
      <c r="N68" s="19"/>
      <c r="O68" s="2"/>
      <c r="P68" s="2"/>
      <c r="Q68" s="2"/>
      <c r="R68" s="2"/>
    </row>
    <row r="69" spans="1:18" ht="16.899999999999999" customHeight="1" x14ac:dyDescent="0.25">
      <c r="A69" s="43" t="s">
        <v>70</v>
      </c>
      <c r="B69" s="35">
        <f t="shared" si="0"/>
        <v>25</v>
      </c>
      <c r="C69" s="35">
        <f t="shared" si="1"/>
        <v>17</v>
      </c>
      <c r="D69" s="35">
        <f t="shared" si="4"/>
        <v>8</v>
      </c>
      <c r="E69" s="38"/>
      <c r="F69" s="36">
        <f t="shared" si="2"/>
        <v>25</v>
      </c>
      <c r="G69" s="46">
        <v>17</v>
      </c>
      <c r="H69" s="46">
        <v>8</v>
      </c>
      <c r="I69" s="39"/>
      <c r="J69" s="36">
        <f t="shared" si="3"/>
        <v>0</v>
      </c>
      <c r="K69" s="46">
        <v>0</v>
      </c>
      <c r="L69" s="46">
        <v>0</v>
      </c>
      <c r="M69" s="2"/>
      <c r="N69" s="19"/>
      <c r="O69" s="2"/>
      <c r="P69" s="2"/>
      <c r="Q69" s="2"/>
      <c r="R69" s="2"/>
    </row>
    <row r="70" spans="1:18" ht="16.899999999999999" customHeight="1" x14ac:dyDescent="0.25">
      <c r="A70" s="43" t="s">
        <v>71</v>
      </c>
      <c r="B70" s="35">
        <f t="shared" si="0"/>
        <v>24</v>
      </c>
      <c r="C70" s="35">
        <f t="shared" si="1"/>
        <v>10</v>
      </c>
      <c r="D70" s="35">
        <f t="shared" si="4"/>
        <v>14</v>
      </c>
      <c r="E70" s="38"/>
      <c r="F70" s="36">
        <f t="shared" si="2"/>
        <v>23</v>
      </c>
      <c r="G70" s="46">
        <v>10</v>
      </c>
      <c r="H70" s="46">
        <v>13</v>
      </c>
      <c r="I70" s="39"/>
      <c r="J70" s="36">
        <f t="shared" si="3"/>
        <v>1</v>
      </c>
      <c r="K70" s="46">
        <v>0</v>
      </c>
      <c r="L70" s="46">
        <v>1</v>
      </c>
      <c r="M70" s="2"/>
      <c r="N70" s="19"/>
      <c r="O70" s="2"/>
    </row>
    <row r="71" spans="1:18" ht="16.899999999999999" customHeight="1" x14ac:dyDescent="0.25">
      <c r="A71" s="43" t="s">
        <v>72</v>
      </c>
      <c r="B71" s="35">
        <f t="shared" si="0"/>
        <v>13</v>
      </c>
      <c r="C71" s="35">
        <f t="shared" si="1"/>
        <v>7</v>
      </c>
      <c r="D71" s="35">
        <f t="shared" si="4"/>
        <v>6</v>
      </c>
      <c r="E71" s="38"/>
      <c r="F71" s="36">
        <f t="shared" si="2"/>
        <v>13</v>
      </c>
      <c r="G71" s="46">
        <v>7</v>
      </c>
      <c r="H71" s="46">
        <v>6</v>
      </c>
      <c r="I71" s="39"/>
      <c r="J71" s="36">
        <f t="shared" si="3"/>
        <v>0</v>
      </c>
      <c r="K71" s="46">
        <v>0</v>
      </c>
      <c r="L71" s="46">
        <v>0</v>
      </c>
      <c r="M71" s="2"/>
      <c r="N71" s="19"/>
      <c r="O71" s="2"/>
    </row>
    <row r="72" spans="1:18" ht="16.899999999999999" customHeight="1" x14ac:dyDescent="0.25">
      <c r="A72" s="43" t="s">
        <v>73</v>
      </c>
      <c r="B72" s="35">
        <f t="shared" si="0"/>
        <v>5</v>
      </c>
      <c r="C72" s="35">
        <f t="shared" si="1"/>
        <v>3</v>
      </c>
      <c r="D72" s="35">
        <f t="shared" si="4"/>
        <v>2</v>
      </c>
      <c r="E72" s="38"/>
      <c r="F72" s="36">
        <f t="shared" si="2"/>
        <v>5</v>
      </c>
      <c r="G72" s="46">
        <v>3</v>
      </c>
      <c r="H72" s="46">
        <v>2</v>
      </c>
      <c r="I72" s="39"/>
      <c r="J72" s="36">
        <f t="shared" si="3"/>
        <v>0</v>
      </c>
      <c r="K72" s="46">
        <v>0</v>
      </c>
      <c r="L72" s="46">
        <v>0</v>
      </c>
      <c r="M72" s="2"/>
      <c r="N72" s="19"/>
      <c r="O72" s="2"/>
      <c r="P72" s="2"/>
      <c r="Q72" s="2"/>
      <c r="R72" s="2"/>
    </row>
    <row r="73" spans="1:18" ht="16.899999999999999" customHeight="1" x14ac:dyDescent="0.25">
      <c r="A73" s="43" t="s">
        <v>74</v>
      </c>
      <c r="B73" s="35">
        <f t="shared" si="0"/>
        <v>1</v>
      </c>
      <c r="C73" s="35">
        <f t="shared" si="1"/>
        <v>1</v>
      </c>
      <c r="D73" s="35">
        <f t="shared" si="4"/>
        <v>0</v>
      </c>
      <c r="E73" s="38"/>
      <c r="F73" s="36">
        <f t="shared" si="2"/>
        <v>1</v>
      </c>
      <c r="G73" s="46">
        <v>1</v>
      </c>
      <c r="H73" s="46">
        <v>0</v>
      </c>
      <c r="I73" s="39"/>
      <c r="J73" s="36">
        <f t="shared" si="3"/>
        <v>0</v>
      </c>
      <c r="K73" s="46">
        <v>0</v>
      </c>
      <c r="L73" s="46">
        <v>0</v>
      </c>
      <c r="M73" s="2"/>
      <c r="N73" s="19"/>
      <c r="O73" s="2"/>
    </row>
    <row r="74" spans="1:18" ht="16.899999999999999" customHeight="1" x14ac:dyDescent="0.25">
      <c r="A74" s="43" t="s">
        <v>75</v>
      </c>
      <c r="B74" s="35">
        <f t="shared" ref="B74:B108" si="5">F74+J74</f>
        <v>957</v>
      </c>
      <c r="C74" s="35">
        <f t="shared" ref="C74:C107" si="6">G74+K74</f>
        <v>88</v>
      </c>
      <c r="D74" s="35">
        <f t="shared" ref="D74:D107" si="7">H74+L74</f>
        <v>869</v>
      </c>
      <c r="E74" s="38"/>
      <c r="F74" s="36">
        <f t="shared" ref="F74:F108" si="8">SUM(G74:H74)</f>
        <v>260</v>
      </c>
      <c r="G74" s="46">
        <v>40</v>
      </c>
      <c r="H74" s="46">
        <v>220</v>
      </c>
      <c r="I74" s="39"/>
      <c r="J74" s="36">
        <f t="shared" ref="J74:J108" si="9">SUM(K74:L74)</f>
        <v>697</v>
      </c>
      <c r="K74" s="46">
        <v>48</v>
      </c>
      <c r="L74" s="46">
        <v>649</v>
      </c>
      <c r="M74" s="2"/>
      <c r="N74" s="19"/>
      <c r="O74" s="2"/>
      <c r="P74" s="2"/>
      <c r="Q74" s="2"/>
      <c r="R74" s="2"/>
    </row>
    <row r="75" spans="1:18" ht="16.899999999999999" customHeight="1" x14ac:dyDescent="0.25">
      <c r="A75" s="43" t="s">
        <v>76</v>
      </c>
      <c r="B75" s="35">
        <f t="shared" si="5"/>
        <v>143</v>
      </c>
      <c r="C75" s="35">
        <f t="shared" si="6"/>
        <v>2</v>
      </c>
      <c r="D75" s="35">
        <f t="shared" si="7"/>
        <v>141</v>
      </c>
      <c r="E75" s="38"/>
      <c r="F75" s="36">
        <f t="shared" si="8"/>
        <v>42</v>
      </c>
      <c r="G75" s="46">
        <v>1</v>
      </c>
      <c r="H75" s="46">
        <v>41</v>
      </c>
      <c r="I75" s="39"/>
      <c r="J75" s="36">
        <f t="shared" si="9"/>
        <v>101</v>
      </c>
      <c r="K75" s="46">
        <v>1</v>
      </c>
      <c r="L75" s="46">
        <v>100</v>
      </c>
      <c r="M75" s="2"/>
      <c r="N75" s="19"/>
      <c r="O75" s="2"/>
    </row>
    <row r="76" spans="1:18" ht="16.899999999999999" customHeight="1" x14ac:dyDescent="0.25">
      <c r="A76" s="43" t="s">
        <v>77</v>
      </c>
      <c r="B76" s="35">
        <f t="shared" si="5"/>
        <v>63</v>
      </c>
      <c r="C76" s="35">
        <f t="shared" si="6"/>
        <v>1</v>
      </c>
      <c r="D76" s="35">
        <f t="shared" si="7"/>
        <v>62</v>
      </c>
      <c r="E76" s="38"/>
      <c r="F76" s="36">
        <f t="shared" si="8"/>
        <v>34</v>
      </c>
      <c r="G76" s="46">
        <v>1</v>
      </c>
      <c r="H76" s="46">
        <v>33</v>
      </c>
      <c r="I76" s="39"/>
      <c r="J76" s="36">
        <f t="shared" si="9"/>
        <v>29</v>
      </c>
      <c r="K76" s="46">
        <v>0</v>
      </c>
      <c r="L76" s="46">
        <v>29</v>
      </c>
      <c r="M76" s="2"/>
      <c r="N76" s="19"/>
      <c r="O76" s="2"/>
      <c r="P76" s="2"/>
      <c r="Q76" s="2"/>
      <c r="R76" s="2"/>
    </row>
    <row r="77" spans="1:18" ht="16.899999999999999" customHeight="1" x14ac:dyDescent="0.25">
      <c r="A77" s="43" t="s">
        <v>78</v>
      </c>
      <c r="B77" s="35">
        <f t="shared" si="5"/>
        <v>29</v>
      </c>
      <c r="C77" s="35">
        <f t="shared" si="6"/>
        <v>17</v>
      </c>
      <c r="D77" s="35">
        <f t="shared" si="7"/>
        <v>12</v>
      </c>
      <c r="E77" s="38"/>
      <c r="F77" s="36">
        <f t="shared" si="8"/>
        <v>27</v>
      </c>
      <c r="G77" s="46">
        <v>17</v>
      </c>
      <c r="H77" s="46">
        <v>10</v>
      </c>
      <c r="I77" s="39"/>
      <c r="J77" s="36">
        <f t="shared" si="9"/>
        <v>2</v>
      </c>
      <c r="K77" s="46">
        <v>0</v>
      </c>
      <c r="L77" s="46">
        <v>2</v>
      </c>
      <c r="M77" s="2"/>
      <c r="N77" s="19"/>
      <c r="O77" s="2"/>
    </row>
    <row r="78" spans="1:18" ht="16.899999999999999" customHeight="1" x14ac:dyDescent="0.25">
      <c r="A78" s="43" t="s">
        <v>79</v>
      </c>
      <c r="B78" s="35">
        <f t="shared" si="5"/>
        <v>79</v>
      </c>
      <c r="C78" s="35">
        <f t="shared" si="6"/>
        <v>30</v>
      </c>
      <c r="D78" s="35">
        <f t="shared" si="7"/>
        <v>49</v>
      </c>
      <c r="E78" s="38"/>
      <c r="F78" s="36">
        <f t="shared" si="8"/>
        <v>66</v>
      </c>
      <c r="G78" s="46">
        <v>25</v>
      </c>
      <c r="H78" s="46">
        <v>41</v>
      </c>
      <c r="I78" s="39"/>
      <c r="J78" s="36">
        <f t="shared" si="9"/>
        <v>13</v>
      </c>
      <c r="K78" s="46">
        <v>5</v>
      </c>
      <c r="L78" s="46">
        <v>8</v>
      </c>
      <c r="M78" s="2"/>
      <c r="N78" s="19"/>
      <c r="O78" s="2"/>
    </row>
    <row r="79" spans="1:18" s="2" customFormat="1" x14ac:dyDescent="0.25">
      <c r="A79" s="43" t="s">
        <v>80</v>
      </c>
      <c r="B79" s="35">
        <f t="shared" si="5"/>
        <v>5</v>
      </c>
      <c r="C79" s="35">
        <f t="shared" si="6"/>
        <v>2</v>
      </c>
      <c r="D79" s="35">
        <f t="shared" si="7"/>
        <v>3</v>
      </c>
      <c r="E79" s="38"/>
      <c r="F79" s="36">
        <f t="shared" si="8"/>
        <v>5</v>
      </c>
      <c r="G79" s="46">
        <v>2</v>
      </c>
      <c r="H79" s="46">
        <v>3</v>
      </c>
      <c r="I79" s="39"/>
      <c r="J79" s="36">
        <f t="shared" si="9"/>
        <v>0</v>
      </c>
      <c r="K79" s="46">
        <v>0</v>
      </c>
      <c r="L79" s="46">
        <v>0</v>
      </c>
      <c r="N79" s="19"/>
    </row>
    <row r="80" spans="1:18" x14ac:dyDescent="0.25">
      <c r="A80" s="43" t="s">
        <v>81</v>
      </c>
      <c r="B80" s="35">
        <f t="shared" si="5"/>
        <v>3</v>
      </c>
      <c r="C80" s="35">
        <f t="shared" si="6"/>
        <v>2</v>
      </c>
      <c r="D80" s="35">
        <f t="shared" si="7"/>
        <v>1</v>
      </c>
      <c r="E80" s="38"/>
      <c r="F80" s="36">
        <f t="shared" si="8"/>
        <v>2</v>
      </c>
      <c r="G80" s="46">
        <v>1</v>
      </c>
      <c r="H80" s="46">
        <v>1</v>
      </c>
      <c r="I80" s="39"/>
      <c r="J80" s="36">
        <f t="shared" si="9"/>
        <v>1</v>
      </c>
      <c r="K80" s="46">
        <v>1</v>
      </c>
      <c r="L80" s="46">
        <v>0</v>
      </c>
      <c r="M80" s="2"/>
      <c r="N80" s="19"/>
      <c r="O80" s="2"/>
      <c r="P80" s="2"/>
      <c r="Q80" s="2"/>
      <c r="R80" s="2"/>
    </row>
    <row r="81" spans="1:24" x14ac:dyDescent="0.25">
      <c r="A81" s="43" t="s">
        <v>82</v>
      </c>
      <c r="B81" s="35">
        <f t="shared" si="5"/>
        <v>372</v>
      </c>
      <c r="C81" s="35">
        <f t="shared" si="6"/>
        <v>197</v>
      </c>
      <c r="D81" s="35">
        <f t="shared" si="7"/>
        <v>175</v>
      </c>
      <c r="E81" s="38"/>
      <c r="F81" s="36">
        <f t="shared" si="8"/>
        <v>243</v>
      </c>
      <c r="G81" s="46">
        <v>90</v>
      </c>
      <c r="H81" s="46">
        <v>153</v>
      </c>
      <c r="I81" s="39"/>
      <c r="J81" s="36">
        <f t="shared" si="9"/>
        <v>129</v>
      </c>
      <c r="K81" s="46">
        <v>107</v>
      </c>
      <c r="L81" s="46">
        <v>22</v>
      </c>
      <c r="M81" s="2"/>
      <c r="N81" s="19"/>
      <c r="O81" s="2"/>
    </row>
    <row r="82" spans="1:24" x14ac:dyDescent="0.25">
      <c r="A82" s="43" t="s">
        <v>83</v>
      </c>
      <c r="B82" s="35">
        <f t="shared" si="5"/>
        <v>4</v>
      </c>
      <c r="C82" s="35">
        <f t="shared" si="6"/>
        <v>4</v>
      </c>
      <c r="D82" s="35">
        <f t="shared" si="7"/>
        <v>0</v>
      </c>
      <c r="E82" s="38"/>
      <c r="F82" s="36">
        <f t="shared" si="8"/>
        <v>3</v>
      </c>
      <c r="G82" s="46">
        <v>3</v>
      </c>
      <c r="H82" s="46">
        <v>0</v>
      </c>
      <c r="I82" s="39"/>
      <c r="J82" s="36">
        <f t="shared" si="9"/>
        <v>1</v>
      </c>
      <c r="K82" s="46">
        <v>1</v>
      </c>
      <c r="L82" s="46">
        <v>0</v>
      </c>
      <c r="M82" s="2"/>
      <c r="N82" s="19"/>
      <c r="O82" s="2"/>
    </row>
    <row r="83" spans="1:24" x14ac:dyDescent="0.25">
      <c r="A83" s="43" t="s">
        <v>84</v>
      </c>
      <c r="B83" s="35">
        <f t="shared" si="5"/>
        <v>44</v>
      </c>
      <c r="C83" s="35">
        <f t="shared" si="6"/>
        <v>26</v>
      </c>
      <c r="D83" s="35">
        <f t="shared" si="7"/>
        <v>18</v>
      </c>
      <c r="E83" s="38"/>
      <c r="F83" s="36">
        <f t="shared" si="8"/>
        <v>43</v>
      </c>
      <c r="G83" s="46">
        <v>26</v>
      </c>
      <c r="H83" s="46">
        <v>17</v>
      </c>
      <c r="I83" s="39"/>
      <c r="J83" s="36">
        <f t="shared" si="9"/>
        <v>1</v>
      </c>
      <c r="K83" s="46">
        <v>0</v>
      </c>
      <c r="L83" s="46">
        <v>1</v>
      </c>
      <c r="M83" s="2"/>
      <c r="N83" s="19"/>
      <c r="O83" s="2"/>
    </row>
    <row r="84" spans="1:24" x14ac:dyDescent="0.25">
      <c r="A84" s="43" t="s">
        <v>85</v>
      </c>
      <c r="B84" s="35">
        <f t="shared" si="5"/>
        <v>2</v>
      </c>
      <c r="C84" s="35">
        <f t="shared" si="6"/>
        <v>2</v>
      </c>
      <c r="D84" s="35">
        <f t="shared" si="7"/>
        <v>0</v>
      </c>
      <c r="E84" s="38"/>
      <c r="F84" s="36">
        <f t="shared" si="8"/>
        <v>2</v>
      </c>
      <c r="G84" s="46">
        <v>2</v>
      </c>
      <c r="H84" s="46">
        <v>0</v>
      </c>
      <c r="I84" s="39"/>
      <c r="J84" s="36">
        <f t="shared" si="9"/>
        <v>0</v>
      </c>
      <c r="K84" s="46">
        <v>0</v>
      </c>
      <c r="L84" s="46">
        <v>0</v>
      </c>
      <c r="M84" s="2"/>
      <c r="N84" s="19"/>
      <c r="O84" s="2"/>
      <c r="S84" s="2"/>
      <c r="T84" s="2"/>
      <c r="U84" s="2"/>
      <c r="V84" s="2"/>
      <c r="W84" s="2"/>
      <c r="X84" s="2"/>
    </row>
    <row r="85" spans="1:24" x14ac:dyDescent="0.25">
      <c r="A85" s="43" t="s">
        <v>86</v>
      </c>
      <c r="B85" s="35">
        <f t="shared" si="5"/>
        <v>92</v>
      </c>
      <c r="C85" s="35">
        <f t="shared" si="6"/>
        <v>54</v>
      </c>
      <c r="D85" s="35">
        <f t="shared" si="7"/>
        <v>38</v>
      </c>
      <c r="E85" s="38"/>
      <c r="F85" s="36">
        <f t="shared" si="8"/>
        <v>74</v>
      </c>
      <c r="G85" s="46">
        <v>40</v>
      </c>
      <c r="H85" s="46">
        <v>34</v>
      </c>
      <c r="I85" s="39"/>
      <c r="J85" s="36">
        <f t="shared" si="9"/>
        <v>18</v>
      </c>
      <c r="K85" s="46">
        <v>14</v>
      </c>
      <c r="L85" s="46">
        <v>4</v>
      </c>
      <c r="M85" s="2"/>
      <c r="N85" s="19"/>
      <c r="O85" s="2"/>
      <c r="S85" s="2"/>
      <c r="T85" s="2"/>
      <c r="U85" s="2"/>
      <c r="V85" s="2"/>
      <c r="W85" s="2"/>
      <c r="X85" s="2"/>
    </row>
    <row r="86" spans="1:24" x14ac:dyDescent="0.25">
      <c r="A86" s="43" t="s">
        <v>87</v>
      </c>
      <c r="B86" s="35">
        <f t="shared" si="5"/>
        <v>4</v>
      </c>
      <c r="C86" s="35">
        <f t="shared" si="6"/>
        <v>3</v>
      </c>
      <c r="D86" s="35">
        <f t="shared" si="7"/>
        <v>1</v>
      </c>
      <c r="E86" s="38"/>
      <c r="F86" s="36">
        <f t="shared" si="8"/>
        <v>4</v>
      </c>
      <c r="G86" s="46">
        <v>3</v>
      </c>
      <c r="H86" s="46">
        <v>1</v>
      </c>
      <c r="I86" s="39"/>
      <c r="J86" s="36">
        <f t="shared" si="9"/>
        <v>0</v>
      </c>
      <c r="K86" s="46">
        <v>0</v>
      </c>
      <c r="L86" s="46">
        <v>0</v>
      </c>
      <c r="M86" s="2"/>
      <c r="N86" s="2"/>
      <c r="O86" s="2"/>
      <c r="S86" s="2"/>
      <c r="T86" s="2"/>
      <c r="U86" s="2"/>
      <c r="V86" s="2"/>
      <c r="W86" s="2"/>
      <c r="X86" s="2"/>
    </row>
    <row r="87" spans="1:24" x14ac:dyDescent="0.25">
      <c r="A87" s="43" t="s">
        <v>88</v>
      </c>
      <c r="B87" s="35">
        <f t="shared" si="5"/>
        <v>248</v>
      </c>
      <c r="C87" s="35">
        <f t="shared" si="6"/>
        <v>92</v>
      </c>
      <c r="D87" s="35">
        <f t="shared" si="7"/>
        <v>156</v>
      </c>
      <c r="E87" s="38"/>
      <c r="F87" s="36">
        <f t="shared" si="8"/>
        <v>90</v>
      </c>
      <c r="G87" s="46">
        <v>44</v>
      </c>
      <c r="H87" s="46">
        <v>46</v>
      </c>
      <c r="I87" s="39"/>
      <c r="J87" s="36">
        <f t="shared" si="9"/>
        <v>158</v>
      </c>
      <c r="K87" s="46">
        <v>48</v>
      </c>
      <c r="L87" s="46">
        <v>110</v>
      </c>
      <c r="M87" s="2"/>
      <c r="N87" s="2"/>
      <c r="O87" s="2"/>
      <c r="S87" s="2"/>
      <c r="T87" s="2"/>
      <c r="U87" s="2"/>
      <c r="V87" s="2"/>
      <c r="W87" s="2"/>
      <c r="X87" s="2"/>
    </row>
    <row r="88" spans="1:24" x14ac:dyDescent="0.25">
      <c r="A88" s="43" t="s">
        <v>89</v>
      </c>
      <c r="B88" s="35">
        <f t="shared" si="5"/>
        <v>637</v>
      </c>
      <c r="C88" s="35">
        <f t="shared" si="6"/>
        <v>197</v>
      </c>
      <c r="D88" s="35">
        <f t="shared" si="7"/>
        <v>440</v>
      </c>
      <c r="E88" s="38"/>
      <c r="F88" s="36">
        <f t="shared" si="8"/>
        <v>186</v>
      </c>
      <c r="G88" s="46">
        <v>60</v>
      </c>
      <c r="H88" s="46">
        <v>126</v>
      </c>
      <c r="I88" s="39"/>
      <c r="J88" s="36">
        <f t="shared" si="9"/>
        <v>451</v>
      </c>
      <c r="K88" s="46">
        <v>137</v>
      </c>
      <c r="L88" s="46">
        <v>314</v>
      </c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5">
      <c r="A89" s="43" t="s">
        <v>90</v>
      </c>
      <c r="B89" s="35">
        <f t="shared" si="5"/>
        <v>3381</v>
      </c>
      <c r="C89" s="35">
        <f t="shared" si="6"/>
        <v>1184</v>
      </c>
      <c r="D89" s="35">
        <f t="shared" si="7"/>
        <v>2197</v>
      </c>
      <c r="E89" s="38"/>
      <c r="F89" s="36">
        <f t="shared" si="8"/>
        <v>1065</v>
      </c>
      <c r="G89" s="46">
        <v>360</v>
      </c>
      <c r="H89" s="46">
        <v>705</v>
      </c>
      <c r="I89" s="39"/>
      <c r="J89" s="36">
        <f t="shared" si="9"/>
        <v>2316</v>
      </c>
      <c r="K89" s="46">
        <v>824</v>
      </c>
      <c r="L89" s="46">
        <v>1492</v>
      </c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5">
      <c r="A90" s="43" t="s">
        <v>91</v>
      </c>
      <c r="B90" s="35">
        <f t="shared" si="5"/>
        <v>1436</v>
      </c>
      <c r="C90" s="35">
        <f t="shared" si="6"/>
        <v>514</v>
      </c>
      <c r="D90" s="35">
        <f t="shared" si="7"/>
        <v>922</v>
      </c>
      <c r="E90" s="38"/>
      <c r="F90" s="36">
        <f t="shared" si="8"/>
        <v>687</v>
      </c>
      <c r="G90" s="46">
        <v>286</v>
      </c>
      <c r="H90" s="46">
        <v>401</v>
      </c>
      <c r="I90" s="39"/>
      <c r="J90" s="36">
        <f t="shared" si="9"/>
        <v>749</v>
      </c>
      <c r="K90" s="46">
        <v>228</v>
      </c>
      <c r="L90" s="46">
        <v>521</v>
      </c>
      <c r="M90" s="2"/>
      <c r="N90" s="19"/>
      <c r="O90" s="2"/>
      <c r="S90" s="2"/>
      <c r="T90" s="2"/>
      <c r="U90" s="2"/>
      <c r="V90" s="2"/>
      <c r="W90" s="2"/>
      <c r="X90" s="2"/>
    </row>
    <row r="91" spans="1:24" x14ac:dyDescent="0.25">
      <c r="A91" s="43" t="s">
        <v>92</v>
      </c>
      <c r="B91" s="35">
        <f t="shared" si="5"/>
        <v>1702</v>
      </c>
      <c r="C91" s="35">
        <f t="shared" si="6"/>
        <v>699</v>
      </c>
      <c r="D91" s="35">
        <f t="shared" si="7"/>
        <v>1003</v>
      </c>
      <c r="E91" s="38"/>
      <c r="F91" s="36">
        <f t="shared" si="8"/>
        <v>784</v>
      </c>
      <c r="G91" s="46">
        <v>347</v>
      </c>
      <c r="H91" s="46">
        <v>437</v>
      </c>
      <c r="I91" s="39"/>
      <c r="J91" s="36">
        <f t="shared" si="9"/>
        <v>918</v>
      </c>
      <c r="K91" s="46">
        <v>352</v>
      </c>
      <c r="L91" s="46">
        <v>566</v>
      </c>
      <c r="M91" s="2"/>
      <c r="N91" s="19"/>
      <c r="O91" s="2"/>
      <c r="S91" s="2"/>
      <c r="T91" s="2"/>
      <c r="U91" s="2"/>
      <c r="V91" s="2"/>
      <c r="W91" s="2"/>
      <c r="X91" s="2"/>
    </row>
    <row r="92" spans="1:24" x14ac:dyDescent="0.25">
      <c r="A92" s="43" t="s">
        <v>93</v>
      </c>
      <c r="B92" s="35">
        <f t="shared" si="5"/>
        <v>1100</v>
      </c>
      <c r="C92" s="35">
        <f t="shared" si="6"/>
        <v>409</v>
      </c>
      <c r="D92" s="35">
        <f t="shared" si="7"/>
        <v>691</v>
      </c>
      <c r="E92" s="38"/>
      <c r="F92" s="36">
        <f t="shared" si="8"/>
        <v>681</v>
      </c>
      <c r="G92" s="46">
        <v>196</v>
      </c>
      <c r="H92" s="46">
        <v>485</v>
      </c>
      <c r="I92" s="39"/>
      <c r="J92" s="36">
        <f t="shared" si="9"/>
        <v>419</v>
      </c>
      <c r="K92" s="46">
        <v>213</v>
      </c>
      <c r="L92" s="46">
        <v>206</v>
      </c>
      <c r="M92" s="2"/>
      <c r="N92" s="19"/>
      <c r="O92" s="2"/>
      <c r="S92" s="2"/>
      <c r="T92" s="2"/>
      <c r="U92" s="2"/>
      <c r="V92" s="2"/>
      <c r="W92" s="2"/>
      <c r="X92" s="2"/>
    </row>
    <row r="93" spans="1:24" x14ac:dyDescent="0.25">
      <c r="A93" s="43" t="s">
        <v>94</v>
      </c>
      <c r="B93" s="35">
        <f t="shared" si="5"/>
        <v>847</v>
      </c>
      <c r="C93" s="35">
        <f t="shared" si="6"/>
        <v>476</v>
      </c>
      <c r="D93" s="35">
        <f t="shared" si="7"/>
        <v>371</v>
      </c>
      <c r="E93" s="38"/>
      <c r="F93" s="36">
        <f t="shared" si="8"/>
        <v>461</v>
      </c>
      <c r="G93" s="46">
        <v>205</v>
      </c>
      <c r="H93" s="46">
        <v>256</v>
      </c>
      <c r="I93" s="39"/>
      <c r="J93" s="36">
        <f t="shared" si="9"/>
        <v>386</v>
      </c>
      <c r="K93" s="46">
        <v>271</v>
      </c>
      <c r="L93" s="46">
        <v>115</v>
      </c>
      <c r="M93" s="2"/>
      <c r="N93" s="19"/>
      <c r="O93" s="2"/>
      <c r="S93" s="2"/>
      <c r="T93" s="2"/>
      <c r="U93" s="2"/>
      <c r="V93" s="2"/>
      <c r="W93" s="2"/>
      <c r="X93" s="2"/>
    </row>
    <row r="94" spans="1:24" x14ac:dyDescent="0.25">
      <c r="A94" s="43" t="s">
        <v>95</v>
      </c>
      <c r="B94" s="35">
        <f t="shared" si="5"/>
        <v>49</v>
      </c>
      <c r="C94" s="35">
        <f t="shared" si="6"/>
        <v>35</v>
      </c>
      <c r="D94" s="35">
        <f t="shared" si="7"/>
        <v>14</v>
      </c>
      <c r="E94" s="38"/>
      <c r="F94" s="36">
        <f t="shared" si="8"/>
        <v>30</v>
      </c>
      <c r="G94" s="46">
        <v>18</v>
      </c>
      <c r="H94" s="46">
        <v>12</v>
      </c>
      <c r="I94" s="39"/>
      <c r="J94" s="36">
        <f t="shared" si="9"/>
        <v>19</v>
      </c>
      <c r="K94" s="46">
        <v>17</v>
      </c>
      <c r="L94" s="46">
        <v>2</v>
      </c>
      <c r="M94" s="2"/>
      <c r="N94" s="19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5">
      <c r="A95" s="43" t="s">
        <v>110</v>
      </c>
      <c r="B95" s="35">
        <f t="shared" si="5"/>
        <v>115</v>
      </c>
      <c r="C95" s="35">
        <f t="shared" si="6"/>
        <v>84</v>
      </c>
      <c r="D95" s="35">
        <f t="shared" si="7"/>
        <v>31</v>
      </c>
      <c r="E95" s="38"/>
      <c r="F95" s="36">
        <f t="shared" si="8"/>
        <v>16</v>
      </c>
      <c r="G95" s="46">
        <v>6</v>
      </c>
      <c r="H95" s="46">
        <v>10</v>
      </c>
      <c r="I95" s="39"/>
      <c r="J95" s="36">
        <f t="shared" si="9"/>
        <v>99</v>
      </c>
      <c r="K95" s="46">
        <v>78</v>
      </c>
      <c r="L95" s="46">
        <v>21</v>
      </c>
      <c r="M95" s="2"/>
      <c r="N95" s="19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5">
      <c r="A96" s="43" t="s">
        <v>111</v>
      </c>
      <c r="B96" s="35">
        <f t="shared" si="5"/>
        <v>1734</v>
      </c>
      <c r="C96" s="35">
        <f t="shared" si="6"/>
        <v>255</v>
      </c>
      <c r="D96" s="35">
        <f t="shared" si="7"/>
        <v>1479</v>
      </c>
      <c r="E96" s="38"/>
      <c r="F96" s="36">
        <f t="shared" si="8"/>
        <v>272</v>
      </c>
      <c r="G96" s="46">
        <v>16</v>
      </c>
      <c r="H96" s="46">
        <v>256</v>
      </c>
      <c r="I96" s="39"/>
      <c r="J96" s="36">
        <f t="shared" si="9"/>
        <v>1462</v>
      </c>
      <c r="K96" s="46">
        <v>239</v>
      </c>
      <c r="L96" s="46">
        <v>1223</v>
      </c>
      <c r="M96" s="2"/>
      <c r="N96" s="19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5" x14ac:dyDescent="0.25">
      <c r="A97" s="43" t="s">
        <v>112</v>
      </c>
      <c r="B97" s="35">
        <f t="shared" si="5"/>
        <v>2926</v>
      </c>
      <c r="C97" s="35">
        <f t="shared" si="6"/>
        <v>532</v>
      </c>
      <c r="D97" s="35">
        <f t="shared" si="7"/>
        <v>2394</v>
      </c>
      <c r="E97" s="38"/>
      <c r="F97" s="36">
        <f t="shared" si="8"/>
        <v>762</v>
      </c>
      <c r="G97" s="46">
        <v>92</v>
      </c>
      <c r="H97" s="46">
        <v>670</v>
      </c>
      <c r="I97" s="39"/>
      <c r="J97" s="36">
        <f t="shared" si="9"/>
        <v>2164</v>
      </c>
      <c r="K97" s="46">
        <v>440</v>
      </c>
      <c r="L97" s="46">
        <v>1724</v>
      </c>
      <c r="M97" s="2"/>
      <c r="N97" s="19"/>
      <c r="O97" s="2"/>
      <c r="S97" s="2"/>
      <c r="T97" s="2"/>
      <c r="U97" s="2"/>
      <c r="V97" s="2"/>
      <c r="W97" s="2"/>
      <c r="X97" s="2"/>
    </row>
    <row r="98" spans="1:25" x14ac:dyDescent="0.25">
      <c r="A98" s="43" t="s">
        <v>113</v>
      </c>
      <c r="B98" s="35">
        <f t="shared" si="5"/>
        <v>2320</v>
      </c>
      <c r="C98" s="35">
        <f t="shared" si="6"/>
        <v>482</v>
      </c>
      <c r="D98" s="35">
        <f t="shared" si="7"/>
        <v>1838</v>
      </c>
      <c r="E98" s="38"/>
      <c r="F98" s="36">
        <f t="shared" si="8"/>
        <v>790</v>
      </c>
      <c r="G98" s="46">
        <v>96</v>
      </c>
      <c r="H98" s="46">
        <v>694</v>
      </c>
      <c r="I98" s="39"/>
      <c r="J98" s="36">
        <f t="shared" si="9"/>
        <v>1530</v>
      </c>
      <c r="K98" s="46">
        <v>386</v>
      </c>
      <c r="L98" s="46">
        <v>1144</v>
      </c>
      <c r="M98" s="2"/>
      <c r="N98" s="19"/>
      <c r="O98" s="2"/>
      <c r="S98" s="2"/>
      <c r="T98" s="2"/>
      <c r="U98" s="2"/>
      <c r="V98" s="2"/>
      <c r="W98" s="2"/>
      <c r="X98" s="2"/>
    </row>
    <row r="99" spans="1:25" x14ac:dyDescent="0.25">
      <c r="A99" s="43" t="s">
        <v>114</v>
      </c>
      <c r="B99" s="35">
        <f t="shared" si="5"/>
        <v>176</v>
      </c>
      <c r="C99" s="35">
        <f t="shared" si="6"/>
        <v>94</v>
      </c>
      <c r="D99" s="35">
        <f t="shared" si="7"/>
        <v>82</v>
      </c>
      <c r="E99" s="38"/>
      <c r="F99" s="36">
        <f t="shared" si="8"/>
        <v>94</v>
      </c>
      <c r="G99" s="46">
        <v>32</v>
      </c>
      <c r="H99" s="46">
        <v>62</v>
      </c>
      <c r="I99" s="39"/>
      <c r="J99" s="36">
        <f t="shared" si="9"/>
        <v>82</v>
      </c>
      <c r="K99" s="46">
        <v>62</v>
      </c>
      <c r="L99" s="46">
        <v>20</v>
      </c>
      <c r="M99" s="2"/>
      <c r="N99" s="19"/>
      <c r="O99" s="2"/>
      <c r="Q99" s="2"/>
      <c r="R99" s="2"/>
      <c r="S99" s="2"/>
      <c r="T99" s="2"/>
      <c r="U99" s="2"/>
      <c r="V99" s="2"/>
      <c r="W99" s="2"/>
      <c r="X99" s="2"/>
    </row>
    <row r="100" spans="1:25" x14ac:dyDescent="0.25">
      <c r="A100" s="43" t="s">
        <v>96</v>
      </c>
      <c r="B100" s="35">
        <f t="shared" si="5"/>
        <v>4222</v>
      </c>
      <c r="C100" s="35">
        <f t="shared" si="6"/>
        <v>1792</v>
      </c>
      <c r="D100" s="35">
        <f t="shared" si="7"/>
        <v>2430</v>
      </c>
      <c r="E100" s="38"/>
      <c r="F100" s="36">
        <f t="shared" si="8"/>
        <v>919</v>
      </c>
      <c r="G100" s="46">
        <v>227</v>
      </c>
      <c r="H100" s="46">
        <v>692</v>
      </c>
      <c r="I100" s="39"/>
      <c r="J100" s="36">
        <f t="shared" si="9"/>
        <v>3303</v>
      </c>
      <c r="K100" s="46">
        <v>1565</v>
      </c>
      <c r="L100" s="46">
        <v>1738</v>
      </c>
      <c r="M100" s="2"/>
      <c r="N100" s="19"/>
      <c r="O100" s="2"/>
      <c r="S100" s="2"/>
      <c r="T100" s="2"/>
      <c r="U100" s="2"/>
      <c r="V100" s="2"/>
      <c r="W100" s="2"/>
      <c r="X100" s="2"/>
    </row>
    <row r="101" spans="1:25" x14ac:dyDescent="0.25">
      <c r="A101" s="43" t="s">
        <v>97</v>
      </c>
      <c r="B101" s="35">
        <f t="shared" si="5"/>
        <v>1973</v>
      </c>
      <c r="C101" s="35">
        <f t="shared" si="6"/>
        <v>1123</v>
      </c>
      <c r="D101" s="35">
        <f t="shared" si="7"/>
        <v>850</v>
      </c>
      <c r="E101" s="38"/>
      <c r="F101" s="36">
        <f t="shared" si="8"/>
        <v>670</v>
      </c>
      <c r="G101" s="46">
        <v>413</v>
      </c>
      <c r="H101" s="46">
        <v>257</v>
      </c>
      <c r="I101" s="39"/>
      <c r="J101" s="36">
        <f t="shared" si="9"/>
        <v>1303</v>
      </c>
      <c r="K101" s="46">
        <v>710</v>
      </c>
      <c r="L101" s="46">
        <v>593</v>
      </c>
      <c r="M101" s="2"/>
      <c r="N101" s="19"/>
      <c r="O101" s="2"/>
      <c r="S101" s="2"/>
      <c r="T101" s="2"/>
      <c r="U101" s="2"/>
      <c r="V101" s="2"/>
      <c r="W101" s="2"/>
      <c r="X101" s="2"/>
    </row>
    <row r="102" spans="1:25" x14ac:dyDescent="0.25">
      <c r="A102" s="43" t="s">
        <v>98</v>
      </c>
      <c r="B102" s="35">
        <f t="shared" si="5"/>
        <v>328</v>
      </c>
      <c r="C102" s="35">
        <f t="shared" si="6"/>
        <v>155</v>
      </c>
      <c r="D102" s="35">
        <f t="shared" si="7"/>
        <v>173</v>
      </c>
      <c r="E102" s="38"/>
      <c r="F102" s="36">
        <f t="shared" si="8"/>
        <v>90</v>
      </c>
      <c r="G102" s="46">
        <v>60</v>
      </c>
      <c r="H102" s="46">
        <v>30</v>
      </c>
      <c r="I102" s="39"/>
      <c r="J102" s="36">
        <f t="shared" si="9"/>
        <v>238</v>
      </c>
      <c r="K102" s="46">
        <v>95</v>
      </c>
      <c r="L102" s="46">
        <v>143</v>
      </c>
      <c r="M102" s="2"/>
      <c r="N102" s="19"/>
      <c r="O102" s="2"/>
      <c r="S102" s="2"/>
      <c r="T102" s="2"/>
      <c r="U102" s="2"/>
      <c r="V102" s="2"/>
      <c r="W102" s="2"/>
      <c r="X102" s="2"/>
    </row>
    <row r="103" spans="1:25" x14ac:dyDescent="0.25">
      <c r="A103" s="43" t="s">
        <v>99</v>
      </c>
      <c r="B103" s="35">
        <f t="shared" si="5"/>
        <v>23</v>
      </c>
      <c r="C103" s="35">
        <f t="shared" si="6"/>
        <v>21</v>
      </c>
      <c r="D103" s="35">
        <f t="shared" si="7"/>
        <v>2</v>
      </c>
      <c r="E103" s="38"/>
      <c r="F103" s="36">
        <f t="shared" si="8"/>
        <v>16</v>
      </c>
      <c r="G103" s="46">
        <v>15</v>
      </c>
      <c r="H103" s="46">
        <v>1</v>
      </c>
      <c r="I103" s="39"/>
      <c r="J103" s="36">
        <f t="shared" si="9"/>
        <v>7</v>
      </c>
      <c r="K103" s="46">
        <v>6</v>
      </c>
      <c r="L103" s="46">
        <v>1</v>
      </c>
      <c r="M103" s="2"/>
      <c r="N103" s="19"/>
      <c r="O103" s="2"/>
      <c r="S103" s="2"/>
      <c r="T103" s="2"/>
      <c r="U103" s="2"/>
      <c r="V103" s="2"/>
      <c r="W103" s="2"/>
      <c r="X103" s="2"/>
    </row>
    <row r="104" spans="1:25" x14ac:dyDescent="0.25">
      <c r="A104" s="43" t="s">
        <v>100</v>
      </c>
      <c r="B104" s="35">
        <f t="shared" si="5"/>
        <v>19</v>
      </c>
      <c r="C104" s="35">
        <f t="shared" si="6"/>
        <v>13</v>
      </c>
      <c r="D104" s="35">
        <f t="shared" si="7"/>
        <v>6</v>
      </c>
      <c r="E104" s="38"/>
      <c r="F104" s="36">
        <f t="shared" si="8"/>
        <v>19</v>
      </c>
      <c r="G104" s="46">
        <v>13</v>
      </c>
      <c r="H104" s="46">
        <v>6</v>
      </c>
      <c r="I104" s="39"/>
      <c r="J104" s="36">
        <f t="shared" si="9"/>
        <v>0</v>
      </c>
      <c r="K104" s="46">
        <v>0</v>
      </c>
      <c r="L104" s="46">
        <v>0</v>
      </c>
      <c r="M104" s="2"/>
      <c r="N104" s="19"/>
      <c r="O104" s="2"/>
      <c r="S104" s="2"/>
      <c r="T104" s="2"/>
      <c r="U104" s="2"/>
      <c r="V104" s="2"/>
      <c r="W104" s="2"/>
      <c r="X104" s="2"/>
    </row>
    <row r="105" spans="1:25" s="20" customFormat="1" ht="18.600000000000001" customHeight="1" x14ac:dyDescent="0.25">
      <c r="A105" s="43" t="s">
        <v>105</v>
      </c>
      <c r="B105" s="35">
        <f t="shared" si="5"/>
        <v>4</v>
      </c>
      <c r="C105" s="35">
        <f t="shared" si="6"/>
        <v>4</v>
      </c>
      <c r="D105" s="35">
        <f t="shared" si="7"/>
        <v>0</v>
      </c>
      <c r="E105" s="38"/>
      <c r="F105" s="36">
        <f t="shared" si="8"/>
        <v>1</v>
      </c>
      <c r="G105" s="46">
        <v>1</v>
      </c>
      <c r="H105" s="46">
        <v>0</v>
      </c>
      <c r="I105" s="39"/>
      <c r="J105" s="36">
        <f t="shared" si="9"/>
        <v>3</v>
      </c>
      <c r="K105" s="46">
        <v>3</v>
      </c>
      <c r="L105" s="46">
        <v>0</v>
      </c>
      <c r="M105" s="2"/>
      <c r="N105" s="19"/>
      <c r="O105" s="2"/>
      <c r="P105" s="3"/>
      <c r="Q105" s="3"/>
      <c r="R105" s="3"/>
      <c r="S105" s="2"/>
      <c r="T105" s="2"/>
      <c r="U105" s="2"/>
      <c r="V105" s="2"/>
      <c r="W105" s="2"/>
      <c r="X105" s="2"/>
    </row>
    <row r="106" spans="1:25" ht="15" customHeight="1" x14ac:dyDescent="0.25">
      <c r="A106" s="43" t="s">
        <v>106</v>
      </c>
      <c r="B106" s="35">
        <f t="shared" si="5"/>
        <v>12</v>
      </c>
      <c r="C106" s="35">
        <f t="shared" si="6"/>
        <v>12</v>
      </c>
      <c r="D106" s="35">
        <f t="shared" si="7"/>
        <v>0</v>
      </c>
      <c r="E106" s="38"/>
      <c r="F106" s="36">
        <f t="shared" si="8"/>
        <v>0</v>
      </c>
      <c r="G106" s="46">
        <v>0</v>
      </c>
      <c r="H106" s="46">
        <v>0</v>
      </c>
      <c r="I106" s="39"/>
      <c r="J106" s="36">
        <f t="shared" si="9"/>
        <v>12</v>
      </c>
      <c r="K106" s="46">
        <v>12</v>
      </c>
      <c r="L106" s="46">
        <v>0</v>
      </c>
      <c r="M106" s="2"/>
      <c r="N106" s="19"/>
      <c r="O106" s="2"/>
      <c r="S106" s="2"/>
      <c r="T106" s="2"/>
      <c r="U106" s="2"/>
      <c r="V106" s="2"/>
      <c r="W106" s="2"/>
      <c r="X106" s="2"/>
    </row>
    <row r="107" spans="1:25" x14ac:dyDescent="0.25">
      <c r="A107" s="43" t="s">
        <v>107</v>
      </c>
      <c r="B107" s="35">
        <f t="shared" si="5"/>
        <v>119</v>
      </c>
      <c r="C107" s="35">
        <f t="shared" si="6"/>
        <v>77</v>
      </c>
      <c r="D107" s="35">
        <f t="shared" si="7"/>
        <v>42</v>
      </c>
      <c r="E107" s="38"/>
      <c r="F107" s="36">
        <f t="shared" si="8"/>
        <v>0</v>
      </c>
      <c r="G107" s="46">
        <v>0</v>
      </c>
      <c r="H107" s="46">
        <v>0</v>
      </c>
      <c r="I107" s="39"/>
      <c r="J107" s="36">
        <f t="shared" si="9"/>
        <v>119</v>
      </c>
      <c r="K107" s="46">
        <v>77</v>
      </c>
      <c r="L107" s="46">
        <v>42</v>
      </c>
      <c r="M107" s="2"/>
      <c r="N107" s="19"/>
      <c r="O107" s="2"/>
      <c r="S107" s="2"/>
      <c r="T107" s="2"/>
      <c r="U107" s="2"/>
      <c r="V107" s="2"/>
      <c r="W107" s="2"/>
      <c r="X107" s="2"/>
    </row>
    <row r="108" spans="1:25" x14ac:dyDescent="0.25">
      <c r="A108" s="43" t="s">
        <v>115</v>
      </c>
      <c r="B108" s="35">
        <f t="shared" si="5"/>
        <v>5</v>
      </c>
      <c r="C108" s="35">
        <f t="shared" ref="C108" si="10">G108+K108</f>
        <v>5</v>
      </c>
      <c r="D108" s="35">
        <f t="shared" ref="D108" si="11">H108+L108</f>
        <v>0</v>
      </c>
      <c r="E108" s="38"/>
      <c r="F108" s="36">
        <f t="shared" si="8"/>
        <v>0</v>
      </c>
      <c r="G108" s="46">
        <v>0</v>
      </c>
      <c r="H108" s="46">
        <v>0</v>
      </c>
      <c r="I108" s="39"/>
      <c r="J108" s="36">
        <f t="shared" si="9"/>
        <v>5</v>
      </c>
      <c r="K108" s="46">
        <v>5</v>
      </c>
      <c r="L108" s="46">
        <v>0</v>
      </c>
      <c r="M108" s="2"/>
      <c r="N108" s="19"/>
      <c r="O108" s="2"/>
      <c r="Q108" s="2"/>
      <c r="R108" s="2"/>
      <c r="S108" s="2"/>
      <c r="T108" s="2"/>
      <c r="U108" s="2"/>
      <c r="V108" s="2"/>
      <c r="W108" s="2"/>
      <c r="X108" s="2"/>
    </row>
    <row r="109" spans="1:25" s="13" customFormat="1" ht="15.75" customHeight="1" x14ac:dyDescent="0.25">
      <c r="A109" s="48" t="s">
        <v>101</v>
      </c>
      <c r="B109" s="49"/>
      <c r="C109" s="50"/>
      <c r="D109" s="50"/>
      <c r="E109" s="50"/>
      <c r="F109" s="50"/>
      <c r="G109" s="50"/>
      <c r="H109" s="50"/>
      <c r="I109" s="50"/>
      <c r="J109" s="50"/>
      <c r="K109" s="50"/>
      <c r="L109" s="50"/>
      <c r="M109" s="2"/>
      <c r="N109" s="2"/>
      <c r="O109" s="2"/>
      <c r="P109" s="3"/>
      <c r="Q109" s="3"/>
      <c r="R109" s="3"/>
      <c r="S109" s="2"/>
      <c r="T109" s="2"/>
      <c r="U109" s="2"/>
      <c r="V109" s="2"/>
      <c r="W109" s="2"/>
      <c r="X109" s="2"/>
      <c r="Y109" s="17"/>
    </row>
    <row r="110" spans="1:25" s="18" customFormat="1" ht="16.899999999999999" customHeight="1" x14ac:dyDescent="0.25">
      <c r="A110" s="2"/>
      <c r="B110" s="2"/>
      <c r="C110" s="3"/>
      <c r="D110" s="24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Q110" s="3"/>
      <c r="R110" s="3"/>
      <c r="S110" s="2"/>
      <c r="T110" s="2"/>
      <c r="U110" s="2"/>
      <c r="V110" s="2"/>
      <c r="W110" s="2"/>
      <c r="X110" s="2"/>
    </row>
    <row r="111" spans="1:25" ht="16.899999999999999" customHeight="1" x14ac:dyDescent="0.25">
      <c r="A111" s="2"/>
      <c r="B111" s="2"/>
      <c r="C111" s="2"/>
      <c r="D111" s="2"/>
      <c r="E111" s="23"/>
      <c r="F111" s="2"/>
      <c r="G111" s="2"/>
      <c r="H111" s="2"/>
      <c r="I111" s="2"/>
      <c r="J111" s="2"/>
      <c r="K111" s="2"/>
      <c r="L111" s="2"/>
      <c r="M111" s="2"/>
      <c r="N111" s="2"/>
      <c r="O111" s="2"/>
      <c r="S111" s="2"/>
      <c r="T111" s="2"/>
      <c r="U111" s="2"/>
      <c r="V111" s="2"/>
      <c r="W111" s="2"/>
      <c r="X111" s="2"/>
    </row>
    <row r="112" spans="1:25" ht="16.899999999999999" customHeight="1" x14ac:dyDescent="0.25">
      <c r="A112" s="2"/>
      <c r="B112" s="2"/>
      <c r="C112" s="2"/>
      <c r="D112" s="2"/>
      <c r="E112" s="23"/>
      <c r="F112" s="2"/>
      <c r="G112" s="2"/>
      <c r="H112" s="2"/>
      <c r="I112" s="2"/>
      <c r="J112" s="2"/>
      <c r="K112" s="2"/>
      <c r="L112" s="2"/>
      <c r="M112" s="2"/>
      <c r="N112" s="2"/>
      <c r="O112" s="2"/>
      <c r="S112" s="2"/>
      <c r="T112" s="2"/>
      <c r="U112" s="2"/>
      <c r="V112" s="2"/>
      <c r="W112" s="2"/>
      <c r="X112" s="2"/>
    </row>
    <row r="113" spans="1:34" ht="16.899999999999999" customHeight="1" x14ac:dyDescent="0.25">
      <c r="A113" s="2"/>
      <c r="B113" s="2"/>
      <c r="C113" s="2"/>
      <c r="D113" s="2"/>
      <c r="E113" s="23"/>
      <c r="F113" s="2"/>
      <c r="G113" s="2"/>
      <c r="H113" s="2"/>
      <c r="I113" s="2"/>
      <c r="J113" s="2"/>
      <c r="K113" s="2"/>
      <c r="L113" s="2"/>
      <c r="M113" s="2"/>
      <c r="N113" s="2"/>
      <c r="O113" s="2"/>
      <c r="S113" s="2"/>
      <c r="T113" s="2"/>
      <c r="U113" s="2"/>
      <c r="V113" s="2"/>
      <c r="W113" s="2"/>
      <c r="X113" s="2"/>
    </row>
    <row r="114" spans="1:34" ht="16.899999999999999" customHeight="1" x14ac:dyDescent="0.25">
      <c r="A114" s="2"/>
      <c r="B114" s="2"/>
      <c r="C114" s="2"/>
      <c r="D114" s="2"/>
      <c r="E114" s="23"/>
      <c r="F114" s="2"/>
      <c r="G114" s="2"/>
      <c r="H114" s="2"/>
      <c r="I114" s="2"/>
      <c r="J114" s="2"/>
      <c r="K114" s="2"/>
      <c r="L114" s="2"/>
      <c r="M114" s="2"/>
      <c r="N114" s="2"/>
      <c r="O114" s="2"/>
      <c r="S114" s="2"/>
      <c r="T114" s="2"/>
      <c r="U114" s="2"/>
      <c r="V114" s="2"/>
      <c r="W114" s="2"/>
      <c r="X114" s="2"/>
    </row>
    <row r="115" spans="1:34" ht="16.899999999999999" customHeight="1" x14ac:dyDescent="0.25">
      <c r="A115" s="2"/>
      <c r="B115" s="2"/>
      <c r="C115" s="2"/>
      <c r="D115" s="2"/>
      <c r="E115" s="23"/>
      <c r="F115" s="2"/>
      <c r="G115" s="2"/>
      <c r="H115" s="2"/>
      <c r="I115" s="2"/>
      <c r="J115" s="2"/>
      <c r="K115" s="2"/>
      <c r="L115" s="2"/>
      <c r="M115" s="2"/>
      <c r="N115" s="2"/>
      <c r="O115" s="2"/>
      <c r="S115" s="2"/>
      <c r="T115" s="2"/>
      <c r="U115" s="2"/>
      <c r="V115" s="2"/>
      <c r="W115" s="2"/>
      <c r="X115" s="2"/>
    </row>
    <row r="116" spans="1:34" ht="16.899999999999999" customHeight="1" x14ac:dyDescent="0.25">
      <c r="A116" s="2"/>
      <c r="B116" s="2"/>
      <c r="C116" s="2"/>
      <c r="D116" s="2"/>
      <c r="E116" s="23"/>
      <c r="F116" s="2"/>
      <c r="G116" s="2"/>
      <c r="H116" s="2"/>
      <c r="I116" s="2"/>
      <c r="J116" s="2"/>
      <c r="K116" s="2"/>
      <c r="L116" s="2"/>
      <c r="M116" s="2"/>
      <c r="N116" s="2"/>
      <c r="O116" s="2"/>
      <c r="S116" s="2"/>
      <c r="T116" s="2"/>
      <c r="U116" s="2"/>
      <c r="V116" s="2"/>
      <c r="W116" s="2"/>
      <c r="X116" s="2"/>
    </row>
    <row r="117" spans="1:34" ht="16.899999999999999" customHeight="1" x14ac:dyDescent="0.25">
      <c r="A117" s="2"/>
      <c r="B117" s="2"/>
      <c r="C117" s="2"/>
      <c r="D117" s="2"/>
      <c r="E117" s="23"/>
      <c r="F117" s="2"/>
      <c r="G117" s="2"/>
      <c r="H117" s="2"/>
      <c r="I117" s="2"/>
      <c r="J117" s="2"/>
      <c r="K117" s="2"/>
      <c r="L117" s="2"/>
      <c r="M117" s="2"/>
      <c r="N117" s="2"/>
      <c r="O117" s="2"/>
      <c r="S117" s="2"/>
      <c r="T117" s="2"/>
      <c r="U117" s="2"/>
      <c r="V117" s="2"/>
      <c r="W117" s="2"/>
      <c r="X117" s="2"/>
    </row>
    <row r="118" spans="1:34" ht="16.899999999999999" customHeight="1" x14ac:dyDescent="0.25">
      <c r="A118" s="2"/>
      <c r="B118" s="2"/>
      <c r="C118" s="2"/>
      <c r="D118" s="2"/>
      <c r="E118" s="23"/>
      <c r="F118" s="2"/>
      <c r="G118" s="2"/>
      <c r="H118" s="2"/>
      <c r="I118" s="2"/>
      <c r="J118" s="2"/>
      <c r="K118" s="2"/>
      <c r="L118" s="2"/>
      <c r="M118" s="2"/>
      <c r="N118" s="2"/>
      <c r="O118" s="2"/>
      <c r="S118" s="2"/>
      <c r="T118" s="2"/>
      <c r="U118" s="2"/>
      <c r="V118" s="2"/>
      <c r="W118" s="2"/>
      <c r="X118" s="2"/>
    </row>
    <row r="119" spans="1:34" ht="16.899999999999999" customHeight="1" x14ac:dyDescent="0.25">
      <c r="A119" s="2"/>
      <c r="B119" s="2"/>
      <c r="C119" s="2"/>
      <c r="D119" s="2"/>
      <c r="E119" s="23"/>
      <c r="F119" s="2"/>
      <c r="G119" s="2"/>
      <c r="H119" s="2"/>
      <c r="I119" s="2"/>
      <c r="J119" s="2"/>
      <c r="K119" s="2"/>
      <c r="L119" s="2"/>
      <c r="M119" s="2"/>
      <c r="N119" s="2"/>
      <c r="O119" s="2"/>
      <c r="S119" s="2"/>
      <c r="T119" s="2"/>
      <c r="U119" s="2"/>
      <c r="V119" s="2"/>
      <c r="W119" s="2"/>
      <c r="X119" s="2"/>
    </row>
    <row r="120" spans="1:34" ht="16.899999999999999" customHeight="1" x14ac:dyDescent="0.25">
      <c r="A120" s="22"/>
      <c r="B120" s="27"/>
      <c r="C120" s="20"/>
      <c r="D120" s="20"/>
      <c r="E120" s="23"/>
      <c r="F120" s="23"/>
      <c r="G120" s="23"/>
      <c r="H120" s="23"/>
      <c r="I120" s="23"/>
      <c r="J120" s="23"/>
      <c r="K120" s="23"/>
      <c r="L120" s="23"/>
      <c r="M120" s="20"/>
      <c r="N120" s="20"/>
      <c r="O120" s="20"/>
      <c r="Q120" s="2"/>
      <c r="R120" s="2"/>
      <c r="S120" s="20"/>
      <c r="T120" s="20"/>
      <c r="U120" s="20"/>
      <c r="V120" s="20"/>
      <c r="W120" s="20"/>
      <c r="X120" s="20"/>
    </row>
    <row r="121" spans="1:34" ht="16.899999999999999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U121" s="2"/>
      <c r="V121" s="2"/>
      <c r="W121" s="2"/>
      <c r="X121" s="2"/>
    </row>
    <row r="122" spans="1:34" ht="16.899999999999999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U122" s="2"/>
      <c r="V122" s="2"/>
      <c r="W122" s="2"/>
      <c r="X122" s="2"/>
    </row>
    <row r="123" spans="1:34" ht="16.899999999999999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U123" s="2"/>
      <c r="V123" s="2"/>
      <c r="W123" s="2"/>
      <c r="X123" s="40"/>
    </row>
    <row r="124" spans="1:34" ht="16.899999999999999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U124" s="2"/>
      <c r="V124" s="2"/>
      <c r="W124" s="2"/>
      <c r="X124" s="40"/>
    </row>
    <row r="125" spans="1:34" ht="16.899999999999999" customHeight="1" x14ac:dyDescent="0.25">
      <c r="A125" s="2"/>
      <c r="B125" s="25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"/>
      <c r="N125" s="2"/>
      <c r="O125" s="2"/>
      <c r="P125" s="2"/>
      <c r="Q125" s="2"/>
      <c r="R125" s="2"/>
      <c r="U125" s="2"/>
      <c r="V125" s="2"/>
      <c r="W125" s="2"/>
      <c r="X125" s="40"/>
      <c r="Y125" s="3" t="s">
        <v>10</v>
      </c>
      <c r="Z125" s="3" t="s">
        <v>11</v>
      </c>
      <c r="AA125" s="3" t="s">
        <v>12</v>
      </c>
    </row>
    <row r="126" spans="1:34" x14ac:dyDescent="0.25">
      <c r="X126" s="3" t="s">
        <v>96</v>
      </c>
      <c r="Y126" s="3">
        <v>4222</v>
      </c>
      <c r="Z126" s="3">
        <v>1792</v>
      </c>
      <c r="AA126" s="3">
        <v>2430</v>
      </c>
    </row>
    <row r="127" spans="1:34" x14ac:dyDescent="0.25">
      <c r="X127" s="40" t="s">
        <v>90</v>
      </c>
      <c r="Y127" s="3">
        <v>3381</v>
      </c>
      <c r="Z127" s="3">
        <v>1184</v>
      </c>
      <c r="AA127" s="3">
        <v>2197</v>
      </c>
    </row>
    <row r="128" spans="1:34" x14ac:dyDescent="0.25">
      <c r="X128" s="40" t="s">
        <v>112</v>
      </c>
      <c r="Y128" s="3">
        <v>2926</v>
      </c>
      <c r="Z128" s="3">
        <v>532</v>
      </c>
      <c r="AA128" s="3">
        <v>2394</v>
      </c>
      <c r="AF128" s="3" t="s">
        <v>10</v>
      </c>
      <c r="AG128" s="3" t="s">
        <v>11</v>
      </c>
      <c r="AH128" s="3" t="s">
        <v>12</v>
      </c>
    </row>
    <row r="129" spans="1:34" x14ac:dyDescent="0.25">
      <c r="X129" s="40" t="s">
        <v>113</v>
      </c>
      <c r="Y129" s="3">
        <v>2320</v>
      </c>
      <c r="Z129" s="3">
        <v>482</v>
      </c>
      <c r="AA129" s="3">
        <v>1838</v>
      </c>
      <c r="AE129" s="3" t="s">
        <v>96</v>
      </c>
      <c r="AF129" s="3">
        <v>4222</v>
      </c>
      <c r="AG129" s="3">
        <v>1792</v>
      </c>
      <c r="AH129" s="3">
        <v>2430</v>
      </c>
    </row>
    <row r="130" spans="1:34" x14ac:dyDescent="0.25">
      <c r="R130" s="32"/>
      <c r="S130" s="32"/>
      <c r="T130" s="32"/>
      <c r="X130" s="40" t="s">
        <v>97</v>
      </c>
      <c r="Y130" s="3">
        <v>1973</v>
      </c>
      <c r="Z130" s="3">
        <v>1123</v>
      </c>
      <c r="AA130" s="3">
        <v>850</v>
      </c>
      <c r="AE130" s="40" t="s">
        <v>90</v>
      </c>
      <c r="AF130" s="3">
        <v>3381</v>
      </c>
      <c r="AG130" s="3">
        <v>1184</v>
      </c>
      <c r="AH130" s="3">
        <v>2197</v>
      </c>
    </row>
    <row r="131" spans="1:34" x14ac:dyDescent="0.25">
      <c r="R131" s="32"/>
      <c r="S131" s="32"/>
      <c r="T131" s="32"/>
      <c r="X131" s="3" t="s">
        <v>111</v>
      </c>
      <c r="Y131" s="3">
        <v>1734</v>
      </c>
      <c r="Z131" s="3">
        <v>255</v>
      </c>
      <c r="AA131" s="3">
        <v>1479</v>
      </c>
      <c r="AE131" s="40" t="s">
        <v>112</v>
      </c>
      <c r="AF131" s="3">
        <v>2926</v>
      </c>
      <c r="AG131" s="3">
        <v>532</v>
      </c>
      <c r="AH131" s="3">
        <v>2394</v>
      </c>
    </row>
    <row r="132" spans="1:34" x14ac:dyDescent="0.25">
      <c r="R132" s="32"/>
      <c r="S132" s="32"/>
      <c r="T132" s="32"/>
      <c r="X132" s="40" t="s">
        <v>92</v>
      </c>
      <c r="Y132" s="3">
        <v>1702</v>
      </c>
      <c r="Z132" s="3">
        <v>699</v>
      </c>
      <c r="AA132" s="3">
        <v>1003</v>
      </c>
      <c r="AE132" s="40" t="s">
        <v>113</v>
      </c>
      <c r="AF132" s="3">
        <v>2320</v>
      </c>
      <c r="AG132" s="3">
        <v>482</v>
      </c>
      <c r="AH132" s="3">
        <v>1838</v>
      </c>
    </row>
    <row r="133" spans="1:34" ht="21" x14ac:dyDescent="0.55000000000000004">
      <c r="A133" s="52"/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R133" s="32"/>
      <c r="S133" s="32"/>
      <c r="T133" s="32"/>
      <c r="X133" s="40" t="s">
        <v>91</v>
      </c>
      <c r="Y133" s="3">
        <v>1436</v>
      </c>
      <c r="Z133" s="3">
        <v>514</v>
      </c>
      <c r="AA133" s="3">
        <v>922</v>
      </c>
      <c r="AE133" s="40" t="s">
        <v>97</v>
      </c>
      <c r="AF133" s="3">
        <v>1973</v>
      </c>
      <c r="AG133" s="3">
        <v>1123</v>
      </c>
      <c r="AH133" s="3">
        <v>850</v>
      </c>
    </row>
    <row r="134" spans="1:34" x14ac:dyDescent="0.25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R134" s="32"/>
      <c r="S134" s="32"/>
      <c r="T134" s="32"/>
      <c r="X134" s="40" t="s">
        <v>93</v>
      </c>
      <c r="Y134" s="3">
        <v>1100</v>
      </c>
      <c r="Z134" s="3">
        <v>409</v>
      </c>
      <c r="AA134" s="3">
        <v>691</v>
      </c>
      <c r="AE134" s="40"/>
    </row>
    <row r="135" spans="1:34" x14ac:dyDescent="0.25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2"/>
      <c r="R135" s="32"/>
      <c r="S135" s="32"/>
      <c r="T135" s="32"/>
      <c r="X135" s="40" t="s">
        <v>75</v>
      </c>
      <c r="Y135" s="3">
        <v>957</v>
      </c>
      <c r="Z135" s="3">
        <v>88</v>
      </c>
      <c r="AA135" s="3">
        <v>869</v>
      </c>
      <c r="AF135" s="32"/>
      <c r="AG135" s="32"/>
      <c r="AH135" s="32"/>
    </row>
    <row r="136" spans="1:34" ht="18.75" x14ac:dyDescent="0.25">
      <c r="A136" s="54"/>
      <c r="B136" s="55"/>
      <c r="C136" s="55"/>
      <c r="D136" s="55"/>
      <c r="E136" s="55"/>
      <c r="F136" s="55"/>
      <c r="G136" s="54"/>
      <c r="H136" s="54"/>
      <c r="I136" s="54"/>
      <c r="J136" s="54"/>
      <c r="K136" s="54"/>
      <c r="L136" s="54"/>
      <c r="R136" s="32"/>
      <c r="S136" s="32"/>
      <c r="T136" s="32"/>
      <c r="X136" s="40" t="s">
        <v>94</v>
      </c>
      <c r="Y136" s="3">
        <v>847</v>
      </c>
      <c r="Z136" s="3">
        <v>476</v>
      </c>
      <c r="AA136" s="3">
        <v>371</v>
      </c>
    </row>
    <row r="137" spans="1:34" ht="15" customHeight="1" x14ac:dyDescent="0.25">
      <c r="A137" s="54"/>
      <c r="B137" s="56"/>
      <c r="C137" s="56"/>
      <c r="D137" s="56"/>
      <c r="E137" s="14"/>
      <c r="F137" s="56"/>
      <c r="G137" s="56"/>
      <c r="H137" s="56"/>
      <c r="I137" s="14"/>
      <c r="J137" s="56"/>
      <c r="K137" s="56"/>
      <c r="L137" s="56"/>
      <c r="R137" s="32"/>
      <c r="S137" s="32"/>
      <c r="T137" s="32"/>
      <c r="X137" s="40" t="s">
        <v>89</v>
      </c>
      <c r="Y137" s="3">
        <v>637</v>
      </c>
      <c r="Z137" s="3">
        <v>197</v>
      </c>
      <c r="AA137" s="3">
        <v>440</v>
      </c>
    </row>
    <row r="138" spans="1:34" ht="18.75" x14ac:dyDescent="0.25">
      <c r="A138" s="30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X138" s="40" t="s">
        <v>22</v>
      </c>
      <c r="Y138" s="3">
        <v>561</v>
      </c>
      <c r="Z138" s="3">
        <v>196</v>
      </c>
      <c r="AA138" s="3">
        <v>365</v>
      </c>
    </row>
    <row r="139" spans="1:34" x14ac:dyDescent="0.25">
      <c r="A139" s="30"/>
      <c r="B139" s="57"/>
      <c r="C139" s="57"/>
      <c r="D139" s="57"/>
      <c r="E139" s="57"/>
      <c r="F139" s="57"/>
      <c r="G139" s="57"/>
      <c r="H139" s="57"/>
      <c r="I139" s="57"/>
      <c r="J139" s="57"/>
      <c r="K139" s="57"/>
      <c r="L139" s="57"/>
      <c r="X139" s="40" t="s">
        <v>28</v>
      </c>
      <c r="Y139" s="3">
        <v>443</v>
      </c>
      <c r="Z139" s="3">
        <v>276</v>
      </c>
      <c r="AA139" s="3">
        <v>167</v>
      </c>
    </row>
    <row r="140" spans="1:34" ht="15" customHeight="1" x14ac:dyDescent="0.25">
      <c r="A140" s="4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X140" s="40" t="s">
        <v>14</v>
      </c>
      <c r="Y140" s="3">
        <v>420</v>
      </c>
      <c r="Z140" s="3">
        <v>14</v>
      </c>
      <c r="AA140" s="3">
        <v>406</v>
      </c>
    </row>
    <row r="141" spans="1:34" x14ac:dyDescent="0.25">
      <c r="A141" s="34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X141" s="40" t="s">
        <v>82</v>
      </c>
      <c r="Y141" s="3">
        <v>372</v>
      </c>
      <c r="Z141" s="3">
        <v>197</v>
      </c>
      <c r="AA141" s="3">
        <v>175</v>
      </c>
    </row>
    <row r="142" spans="1:34" x14ac:dyDescent="0.25">
      <c r="A142" s="40"/>
      <c r="B142" s="35"/>
      <c r="C142" s="35"/>
      <c r="D142" s="35"/>
      <c r="E142" s="38"/>
      <c r="F142" s="35"/>
      <c r="G142" s="46"/>
      <c r="H142" s="46"/>
      <c r="I142" s="38"/>
      <c r="J142" s="35"/>
      <c r="K142" s="46"/>
      <c r="L142" s="46"/>
      <c r="X142" s="40" t="s">
        <v>98</v>
      </c>
      <c r="Y142" s="3">
        <v>328</v>
      </c>
      <c r="Z142" s="3">
        <v>155</v>
      </c>
      <c r="AA142" s="3">
        <v>173</v>
      </c>
    </row>
    <row r="143" spans="1:34" x14ac:dyDescent="0.25">
      <c r="A143" s="40"/>
      <c r="B143" s="35"/>
      <c r="C143" s="35"/>
      <c r="D143" s="35"/>
      <c r="E143" s="38"/>
      <c r="F143" s="35"/>
      <c r="G143" s="46"/>
      <c r="H143" s="46"/>
      <c r="I143" s="38"/>
      <c r="J143" s="35"/>
      <c r="K143" s="46"/>
      <c r="L143" s="46"/>
      <c r="X143" s="40" t="s">
        <v>55</v>
      </c>
      <c r="Y143" s="3">
        <v>327</v>
      </c>
      <c r="Z143" s="3">
        <v>180</v>
      </c>
      <c r="AA143" s="3">
        <v>147</v>
      </c>
    </row>
    <row r="144" spans="1:34" x14ac:dyDescent="0.25">
      <c r="A144" s="40"/>
      <c r="B144" s="35"/>
      <c r="C144" s="35"/>
      <c r="D144" s="35"/>
      <c r="E144" s="38"/>
      <c r="F144" s="35"/>
      <c r="G144" s="46"/>
      <c r="H144" s="46"/>
      <c r="I144" s="38"/>
      <c r="J144" s="35"/>
      <c r="K144" s="46"/>
      <c r="L144" s="46"/>
      <c r="X144" s="40" t="s">
        <v>68</v>
      </c>
      <c r="Y144" s="3">
        <v>265</v>
      </c>
      <c r="Z144" s="3">
        <v>14</v>
      </c>
      <c r="AA144" s="3">
        <v>251</v>
      </c>
    </row>
    <row r="145" spans="1:27" x14ac:dyDescent="0.25">
      <c r="A145" s="40"/>
      <c r="B145" s="35"/>
      <c r="C145" s="35"/>
      <c r="D145" s="35"/>
      <c r="E145" s="38"/>
      <c r="F145" s="35"/>
      <c r="G145" s="46"/>
      <c r="H145" s="46"/>
      <c r="I145" s="38"/>
      <c r="J145" s="35"/>
      <c r="K145" s="46"/>
      <c r="L145" s="46"/>
      <c r="X145" s="40" t="s">
        <v>88</v>
      </c>
      <c r="Y145" s="3">
        <v>248</v>
      </c>
      <c r="Z145" s="3">
        <v>92</v>
      </c>
      <c r="AA145" s="3">
        <v>156</v>
      </c>
    </row>
    <row r="146" spans="1:27" x14ac:dyDescent="0.25">
      <c r="A146" s="40"/>
      <c r="B146" s="35"/>
      <c r="C146" s="35"/>
      <c r="D146" s="35"/>
      <c r="E146" s="38"/>
      <c r="F146" s="35"/>
      <c r="G146" s="46"/>
      <c r="H146" s="46"/>
      <c r="I146" s="38"/>
      <c r="J146" s="35"/>
      <c r="K146" s="46"/>
      <c r="L146" s="46"/>
      <c r="X146" s="40" t="s">
        <v>114</v>
      </c>
      <c r="Y146" s="3">
        <v>176</v>
      </c>
      <c r="Z146" s="3">
        <v>94</v>
      </c>
      <c r="AA146" s="3">
        <v>82</v>
      </c>
    </row>
    <row r="147" spans="1:27" x14ac:dyDescent="0.25">
      <c r="A147" s="40"/>
      <c r="B147" s="35"/>
      <c r="C147" s="35"/>
      <c r="D147" s="35"/>
      <c r="E147" s="38"/>
      <c r="F147" s="35"/>
      <c r="G147" s="46"/>
      <c r="H147" s="46"/>
      <c r="I147" s="38"/>
      <c r="J147" s="35"/>
      <c r="K147" s="46"/>
      <c r="L147" s="46"/>
      <c r="X147" s="40" t="s">
        <v>37</v>
      </c>
      <c r="Y147" s="3">
        <v>145</v>
      </c>
      <c r="Z147" s="3">
        <v>95</v>
      </c>
      <c r="AA147" s="3">
        <v>50</v>
      </c>
    </row>
    <row r="148" spans="1:27" x14ac:dyDescent="0.25">
      <c r="A148" s="40"/>
      <c r="B148" s="35"/>
      <c r="C148" s="35"/>
      <c r="D148" s="35"/>
      <c r="E148" s="38"/>
      <c r="F148" s="35"/>
      <c r="G148" s="46"/>
      <c r="H148" s="46"/>
      <c r="I148" s="38"/>
      <c r="J148" s="35"/>
      <c r="K148" s="46"/>
      <c r="L148" s="46"/>
      <c r="X148" s="40" t="s">
        <v>76</v>
      </c>
      <c r="Y148" s="3">
        <v>143</v>
      </c>
      <c r="Z148" s="3">
        <v>2</v>
      </c>
      <c r="AA148" s="3">
        <v>141</v>
      </c>
    </row>
    <row r="149" spans="1:27" x14ac:dyDescent="0.25">
      <c r="A149" s="40"/>
      <c r="B149" s="35"/>
      <c r="C149" s="35"/>
      <c r="D149" s="35"/>
      <c r="E149" s="38"/>
      <c r="F149" s="35"/>
      <c r="G149" s="46"/>
      <c r="H149" s="46"/>
      <c r="I149" s="38"/>
      <c r="J149" s="35"/>
      <c r="K149" s="46"/>
      <c r="L149" s="46"/>
      <c r="X149" s="40" t="s">
        <v>107</v>
      </c>
      <c r="Y149" s="3">
        <v>119</v>
      </c>
      <c r="Z149" s="3">
        <v>77</v>
      </c>
      <c r="AA149" s="3">
        <v>42</v>
      </c>
    </row>
    <row r="150" spans="1:27" x14ac:dyDescent="0.25">
      <c r="A150" s="40"/>
      <c r="B150" s="35"/>
      <c r="C150" s="35"/>
      <c r="D150" s="35"/>
      <c r="E150" s="38"/>
      <c r="F150" s="35"/>
      <c r="G150" s="46"/>
      <c r="H150" s="46"/>
      <c r="I150" s="38"/>
      <c r="J150" s="35"/>
      <c r="K150" s="46"/>
      <c r="L150" s="46"/>
      <c r="X150" s="40" t="s">
        <v>110</v>
      </c>
      <c r="Y150" s="3">
        <v>115</v>
      </c>
      <c r="Z150" s="3">
        <v>84</v>
      </c>
      <c r="AA150" s="3">
        <v>31</v>
      </c>
    </row>
    <row r="151" spans="1:27" x14ac:dyDescent="0.25">
      <c r="A151" s="40"/>
      <c r="B151" s="35"/>
      <c r="C151" s="35"/>
      <c r="D151" s="35"/>
      <c r="E151" s="38"/>
      <c r="F151" s="35"/>
      <c r="G151" s="46"/>
      <c r="H151" s="46"/>
      <c r="I151" s="38"/>
      <c r="J151" s="35"/>
      <c r="K151" s="46"/>
      <c r="L151" s="46"/>
      <c r="X151" s="40" t="s">
        <v>86</v>
      </c>
      <c r="Y151" s="3">
        <v>92</v>
      </c>
      <c r="Z151" s="3">
        <v>54</v>
      </c>
      <c r="AA151" s="3">
        <v>38</v>
      </c>
    </row>
    <row r="152" spans="1:27" x14ac:dyDescent="0.25">
      <c r="A152" s="40"/>
      <c r="B152" s="35"/>
      <c r="C152" s="35"/>
      <c r="D152" s="35"/>
      <c r="E152" s="38"/>
      <c r="F152" s="35"/>
      <c r="G152" s="46"/>
      <c r="H152" s="46"/>
      <c r="I152" s="38"/>
      <c r="J152" s="35"/>
      <c r="K152" s="46"/>
      <c r="L152" s="46"/>
      <c r="X152" s="40" t="s">
        <v>63</v>
      </c>
      <c r="Y152" s="3">
        <v>83</v>
      </c>
      <c r="Z152" s="3">
        <v>71</v>
      </c>
      <c r="AA152" s="3">
        <v>12</v>
      </c>
    </row>
    <row r="153" spans="1:27" x14ac:dyDescent="0.25">
      <c r="A153" s="40"/>
      <c r="B153" s="35"/>
      <c r="C153" s="35"/>
      <c r="D153" s="35"/>
      <c r="E153" s="38"/>
      <c r="F153" s="35"/>
      <c r="G153" s="46"/>
      <c r="H153" s="46"/>
      <c r="I153" s="38"/>
      <c r="J153" s="35"/>
      <c r="K153" s="46"/>
      <c r="L153" s="46"/>
      <c r="X153" s="40" t="s">
        <v>79</v>
      </c>
      <c r="Y153" s="3">
        <v>79</v>
      </c>
      <c r="Z153" s="3">
        <v>30</v>
      </c>
      <c r="AA153" s="3">
        <v>49</v>
      </c>
    </row>
    <row r="154" spans="1:27" x14ac:dyDescent="0.25">
      <c r="A154" s="40"/>
      <c r="B154" s="35"/>
      <c r="C154" s="35"/>
      <c r="D154" s="35"/>
      <c r="E154" s="38"/>
      <c r="F154" s="35"/>
      <c r="G154" s="46"/>
      <c r="H154" s="46"/>
      <c r="I154" s="38"/>
      <c r="J154" s="35"/>
      <c r="K154" s="46"/>
      <c r="L154" s="46"/>
      <c r="X154" s="40" t="s">
        <v>57</v>
      </c>
      <c r="Y154" s="3">
        <v>77</v>
      </c>
      <c r="Z154" s="3">
        <v>50</v>
      </c>
      <c r="AA154" s="3">
        <v>27</v>
      </c>
    </row>
    <row r="155" spans="1:27" x14ac:dyDescent="0.25">
      <c r="A155" s="40"/>
      <c r="B155" s="35"/>
      <c r="C155" s="35"/>
      <c r="D155" s="35"/>
      <c r="E155" s="38"/>
      <c r="F155" s="35"/>
      <c r="G155" s="46"/>
      <c r="H155" s="46"/>
      <c r="I155" s="38"/>
      <c r="J155" s="35"/>
      <c r="K155" s="46"/>
      <c r="L155" s="46"/>
      <c r="X155" s="40" t="s">
        <v>66</v>
      </c>
      <c r="Y155" s="3">
        <v>77</v>
      </c>
      <c r="Z155" s="3">
        <v>47</v>
      </c>
      <c r="AA155" s="3">
        <v>30</v>
      </c>
    </row>
    <row r="156" spans="1:27" x14ac:dyDescent="0.25">
      <c r="A156" s="40"/>
      <c r="B156" s="35"/>
      <c r="C156" s="35"/>
      <c r="D156" s="35"/>
      <c r="E156" s="38"/>
      <c r="F156" s="35"/>
      <c r="G156" s="46"/>
      <c r="H156" s="46"/>
      <c r="I156" s="38"/>
      <c r="J156" s="35"/>
      <c r="K156" s="46"/>
      <c r="L156" s="46"/>
      <c r="X156" s="40" t="s">
        <v>18</v>
      </c>
      <c r="Y156" s="3">
        <v>71</v>
      </c>
      <c r="Z156" s="3">
        <v>0</v>
      </c>
      <c r="AA156" s="3">
        <v>71</v>
      </c>
    </row>
    <row r="157" spans="1:27" x14ac:dyDescent="0.25">
      <c r="A157" s="40"/>
      <c r="B157" s="35"/>
      <c r="C157" s="35"/>
      <c r="D157" s="35"/>
      <c r="E157" s="38"/>
      <c r="F157" s="35"/>
      <c r="G157" s="46"/>
      <c r="H157" s="46"/>
      <c r="I157" s="38"/>
      <c r="J157" s="35"/>
      <c r="K157" s="46"/>
      <c r="L157" s="47"/>
      <c r="X157" s="40" t="s">
        <v>56</v>
      </c>
      <c r="Y157" s="3">
        <v>67</v>
      </c>
      <c r="Z157" s="3">
        <v>52</v>
      </c>
      <c r="AA157" s="3">
        <v>15</v>
      </c>
    </row>
    <row r="158" spans="1:27" x14ac:dyDescent="0.25">
      <c r="A158" s="40"/>
      <c r="B158" s="35"/>
      <c r="C158" s="35"/>
      <c r="D158" s="35"/>
      <c r="E158" s="38"/>
      <c r="F158" s="35"/>
      <c r="G158" s="46"/>
      <c r="H158" s="46"/>
      <c r="I158" s="38"/>
      <c r="J158" s="35"/>
      <c r="K158" s="46"/>
      <c r="L158" s="46"/>
      <c r="X158" s="40" t="s">
        <v>77</v>
      </c>
      <c r="Y158" s="3">
        <v>63</v>
      </c>
      <c r="Z158" s="3">
        <v>1</v>
      </c>
      <c r="AA158" s="3">
        <v>62</v>
      </c>
    </row>
    <row r="159" spans="1:27" x14ac:dyDescent="0.25">
      <c r="A159" s="40"/>
      <c r="B159" s="35"/>
      <c r="C159" s="35"/>
      <c r="D159" s="35"/>
      <c r="E159" s="38"/>
      <c r="F159" s="35"/>
      <c r="G159" s="46"/>
      <c r="H159" s="46"/>
      <c r="I159" s="38"/>
      <c r="J159" s="35"/>
      <c r="K159" s="46"/>
      <c r="L159" s="46"/>
      <c r="X159" s="40" t="s">
        <v>95</v>
      </c>
      <c r="Y159" s="3">
        <v>49</v>
      </c>
      <c r="Z159" s="3">
        <v>35</v>
      </c>
      <c r="AA159" s="3">
        <v>14</v>
      </c>
    </row>
    <row r="160" spans="1:27" x14ac:dyDescent="0.25">
      <c r="A160" s="40"/>
      <c r="B160" s="35"/>
      <c r="C160" s="35"/>
      <c r="D160" s="35"/>
      <c r="E160" s="38"/>
      <c r="F160" s="35"/>
      <c r="G160" s="46"/>
      <c r="H160" s="46"/>
      <c r="I160" s="38"/>
      <c r="J160" s="35"/>
      <c r="K160" s="46"/>
      <c r="L160" s="46"/>
      <c r="X160" s="40" t="s">
        <v>65</v>
      </c>
      <c r="Y160" s="3">
        <v>46</v>
      </c>
      <c r="Z160" s="3">
        <v>31</v>
      </c>
      <c r="AA160" s="3">
        <v>15</v>
      </c>
    </row>
    <row r="161" spans="1:27" x14ac:dyDescent="0.25">
      <c r="A161" s="40"/>
      <c r="B161" s="35"/>
      <c r="C161" s="35"/>
      <c r="D161" s="35"/>
      <c r="E161" s="38"/>
      <c r="F161" s="35"/>
      <c r="G161" s="46"/>
      <c r="H161" s="46"/>
      <c r="I161" s="38"/>
      <c r="J161" s="35"/>
      <c r="K161" s="46"/>
      <c r="L161" s="46"/>
      <c r="X161" s="40" t="s">
        <v>84</v>
      </c>
      <c r="Y161" s="3">
        <v>44</v>
      </c>
      <c r="Z161" s="3">
        <v>26</v>
      </c>
      <c r="AA161" s="3">
        <v>18</v>
      </c>
    </row>
    <row r="162" spans="1:27" x14ac:dyDescent="0.25">
      <c r="A162" s="40"/>
      <c r="B162" s="35"/>
      <c r="C162" s="35"/>
      <c r="D162" s="35"/>
      <c r="E162" s="38"/>
      <c r="F162" s="35"/>
      <c r="G162" s="46"/>
      <c r="H162" s="46"/>
      <c r="I162" s="38"/>
      <c r="J162" s="35"/>
      <c r="K162" s="46"/>
      <c r="L162" s="46"/>
      <c r="X162" s="40" t="s">
        <v>64</v>
      </c>
      <c r="Y162" s="3">
        <v>43</v>
      </c>
      <c r="Z162" s="3">
        <v>31</v>
      </c>
      <c r="AA162" s="3">
        <v>12</v>
      </c>
    </row>
    <row r="163" spans="1:27" x14ac:dyDescent="0.25">
      <c r="A163" s="40"/>
      <c r="B163" s="35"/>
      <c r="C163" s="35"/>
      <c r="D163" s="35"/>
      <c r="E163" s="38"/>
      <c r="F163" s="35"/>
      <c r="G163" s="46"/>
      <c r="H163" s="46"/>
      <c r="I163" s="38"/>
      <c r="J163" s="35"/>
      <c r="K163" s="46"/>
      <c r="L163" s="46"/>
      <c r="X163" s="40" t="s">
        <v>19</v>
      </c>
      <c r="Y163" s="3">
        <v>40</v>
      </c>
      <c r="Z163" s="3">
        <v>10</v>
      </c>
      <c r="AA163" s="3">
        <v>30</v>
      </c>
    </row>
    <row r="164" spans="1:27" x14ac:dyDescent="0.25">
      <c r="A164" s="40"/>
      <c r="B164" s="35"/>
      <c r="C164" s="35"/>
      <c r="D164" s="35"/>
      <c r="E164" s="38"/>
      <c r="F164" s="35"/>
      <c r="G164" s="46"/>
      <c r="H164" s="46"/>
      <c r="I164" s="38"/>
      <c r="J164" s="35"/>
      <c r="K164" s="46"/>
      <c r="L164" s="46"/>
      <c r="X164" s="40" t="s">
        <v>67</v>
      </c>
      <c r="Y164" s="3">
        <v>37</v>
      </c>
      <c r="Z164" s="3">
        <v>11</v>
      </c>
      <c r="AA164" s="3">
        <v>26</v>
      </c>
    </row>
    <row r="165" spans="1:27" x14ac:dyDescent="0.25">
      <c r="A165" s="40"/>
      <c r="B165" s="35"/>
      <c r="C165" s="35"/>
      <c r="D165" s="35"/>
      <c r="E165" s="38"/>
      <c r="F165" s="35"/>
      <c r="G165" s="46"/>
      <c r="H165" s="46"/>
      <c r="I165" s="38"/>
      <c r="J165" s="35"/>
      <c r="K165" s="46"/>
      <c r="L165" s="46"/>
      <c r="X165" s="40" t="s">
        <v>23</v>
      </c>
      <c r="Y165" s="3">
        <v>32</v>
      </c>
      <c r="Z165" s="3">
        <v>10</v>
      </c>
      <c r="AA165" s="3">
        <v>22</v>
      </c>
    </row>
    <row r="166" spans="1:27" x14ac:dyDescent="0.25">
      <c r="A166" s="40"/>
      <c r="B166" s="35"/>
      <c r="C166" s="35"/>
      <c r="D166" s="35"/>
      <c r="E166" s="38"/>
      <c r="F166" s="35"/>
      <c r="G166" s="46"/>
      <c r="H166" s="46"/>
      <c r="I166" s="38"/>
      <c r="J166" s="35"/>
      <c r="K166" s="46"/>
      <c r="L166" s="46"/>
      <c r="X166" s="40" t="s">
        <v>38</v>
      </c>
      <c r="Y166" s="3">
        <v>29</v>
      </c>
      <c r="Z166" s="3">
        <v>7</v>
      </c>
      <c r="AA166" s="3">
        <v>22</v>
      </c>
    </row>
    <row r="167" spans="1:27" x14ac:dyDescent="0.25">
      <c r="A167" s="40"/>
      <c r="B167" s="35"/>
      <c r="C167" s="35"/>
      <c r="D167" s="35"/>
      <c r="E167" s="38"/>
      <c r="F167" s="35"/>
      <c r="G167" s="46"/>
      <c r="H167" s="46"/>
      <c r="I167" s="38"/>
      <c r="J167" s="35"/>
      <c r="K167" s="46"/>
      <c r="L167" s="46"/>
      <c r="X167" s="40" t="s">
        <v>54</v>
      </c>
      <c r="Y167" s="3">
        <v>29</v>
      </c>
      <c r="Z167" s="3">
        <v>16</v>
      </c>
      <c r="AA167" s="3">
        <v>13</v>
      </c>
    </row>
    <row r="168" spans="1:27" x14ac:dyDescent="0.25">
      <c r="A168" s="40"/>
      <c r="B168" s="35"/>
      <c r="C168" s="35"/>
      <c r="D168" s="35"/>
      <c r="E168" s="38"/>
      <c r="F168" s="35"/>
      <c r="G168" s="46"/>
      <c r="H168" s="46"/>
      <c r="I168" s="38"/>
      <c r="J168" s="35"/>
      <c r="K168" s="46"/>
      <c r="L168" s="46"/>
      <c r="X168" s="40" t="s">
        <v>59</v>
      </c>
      <c r="Y168" s="3">
        <v>29</v>
      </c>
      <c r="Z168" s="3">
        <v>26</v>
      </c>
      <c r="AA168" s="3">
        <v>3</v>
      </c>
    </row>
    <row r="169" spans="1:27" x14ac:dyDescent="0.25">
      <c r="A169" s="40"/>
      <c r="B169" s="35"/>
      <c r="C169" s="35"/>
      <c r="D169" s="35"/>
      <c r="E169" s="38"/>
      <c r="F169" s="35"/>
      <c r="G169" s="46"/>
      <c r="H169" s="46"/>
      <c r="I169" s="38"/>
      <c r="J169" s="35"/>
      <c r="K169" s="46"/>
      <c r="L169" s="46"/>
      <c r="X169" s="40" t="s">
        <v>78</v>
      </c>
      <c r="Y169" s="3">
        <v>29</v>
      </c>
      <c r="Z169" s="3">
        <v>17</v>
      </c>
      <c r="AA169" s="3">
        <v>12</v>
      </c>
    </row>
    <row r="170" spans="1:27" x14ac:dyDescent="0.25">
      <c r="A170" s="40"/>
      <c r="B170" s="35"/>
      <c r="C170" s="35"/>
      <c r="D170" s="35"/>
      <c r="E170" s="38"/>
      <c r="F170" s="35"/>
      <c r="G170" s="46"/>
      <c r="H170" s="46"/>
      <c r="I170" s="38"/>
      <c r="J170" s="35"/>
      <c r="K170" s="46"/>
      <c r="L170" s="46"/>
      <c r="X170" s="40" t="s">
        <v>58</v>
      </c>
      <c r="Y170" s="3">
        <v>26</v>
      </c>
      <c r="Z170" s="3">
        <v>18</v>
      </c>
      <c r="AA170" s="3">
        <v>8</v>
      </c>
    </row>
    <row r="171" spans="1:27" x14ac:dyDescent="0.25">
      <c r="A171" s="40"/>
      <c r="B171" s="35"/>
      <c r="C171" s="35"/>
      <c r="D171" s="35"/>
      <c r="E171" s="38"/>
      <c r="F171" s="35"/>
      <c r="G171" s="46"/>
      <c r="H171" s="46"/>
      <c r="I171" s="38"/>
      <c r="J171" s="35"/>
      <c r="K171" s="46"/>
      <c r="L171" s="46"/>
      <c r="X171" s="40" t="s">
        <v>70</v>
      </c>
      <c r="Y171" s="3">
        <v>25</v>
      </c>
      <c r="Z171" s="3">
        <v>17</v>
      </c>
      <c r="AA171" s="3">
        <v>8</v>
      </c>
    </row>
    <row r="172" spans="1:27" x14ac:dyDescent="0.25">
      <c r="A172" s="40"/>
      <c r="B172" s="35"/>
      <c r="C172" s="35"/>
      <c r="D172" s="35"/>
      <c r="E172" s="38"/>
      <c r="F172" s="35"/>
      <c r="G172" s="46"/>
      <c r="H172" s="46"/>
      <c r="I172" s="38"/>
      <c r="J172" s="35"/>
      <c r="K172" s="46"/>
      <c r="L172" s="46"/>
      <c r="X172" s="40" t="s">
        <v>71</v>
      </c>
      <c r="Y172" s="3">
        <v>24</v>
      </c>
      <c r="Z172" s="3">
        <v>10</v>
      </c>
      <c r="AA172" s="3">
        <v>14</v>
      </c>
    </row>
    <row r="173" spans="1:27" x14ac:dyDescent="0.25">
      <c r="A173" s="40"/>
      <c r="B173" s="35"/>
      <c r="C173" s="35"/>
      <c r="D173" s="35"/>
      <c r="E173" s="38"/>
      <c r="F173" s="35"/>
      <c r="G173" s="46"/>
      <c r="H173" s="46"/>
      <c r="I173" s="38"/>
      <c r="J173" s="35"/>
      <c r="K173" s="46"/>
      <c r="L173" s="46"/>
      <c r="X173" s="40" t="s">
        <v>99</v>
      </c>
      <c r="Y173" s="3">
        <v>23</v>
      </c>
      <c r="Z173" s="3">
        <v>21</v>
      </c>
      <c r="AA173" s="3">
        <v>2</v>
      </c>
    </row>
    <row r="174" spans="1:27" x14ac:dyDescent="0.25">
      <c r="A174" s="40"/>
      <c r="B174" s="35"/>
      <c r="C174" s="35"/>
      <c r="D174" s="35"/>
      <c r="E174" s="38"/>
      <c r="F174" s="35"/>
      <c r="G174" s="46"/>
      <c r="H174" s="46"/>
      <c r="I174" s="38"/>
      <c r="J174" s="35"/>
      <c r="K174" s="46"/>
      <c r="L174" s="46"/>
      <c r="X174" s="40" t="s">
        <v>15</v>
      </c>
      <c r="Y174" s="3">
        <v>19</v>
      </c>
      <c r="Z174" s="3">
        <v>5</v>
      </c>
      <c r="AA174" s="3">
        <v>14</v>
      </c>
    </row>
    <row r="175" spans="1:27" x14ac:dyDescent="0.25">
      <c r="A175" s="40"/>
      <c r="B175" s="35"/>
      <c r="C175" s="35"/>
      <c r="D175" s="35"/>
      <c r="E175" s="38"/>
      <c r="F175" s="35"/>
      <c r="G175" s="46"/>
      <c r="H175" s="46"/>
      <c r="I175" s="38"/>
      <c r="J175" s="35"/>
      <c r="K175" s="46"/>
      <c r="L175" s="46"/>
      <c r="X175" s="40" t="s">
        <v>100</v>
      </c>
      <c r="Y175" s="3">
        <v>19</v>
      </c>
      <c r="Z175" s="3">
        <v>13</v>
      </c>
      <c r="AA175" s="3">
        <v>6</v>
      </c>
    </row>
    <row r="176" spans="1:27" x14ac:dyDescent="0.25">
      <c r="A176" s="40"/>
      <c r="B176" s="35"/>
      <c r="C176" s="35"/>
      <c r="D176" s="35"/>
      <c r="E176" s="38"/>
      <c r="F176" s="35"/>
      <c r="G176" s="46"/>
      <c r="H176" s="46"/>
      <c r="I176" s="38"/>
      <c r="J176" s="35"/>
      <c r="K176" s="46"/>
      <c r="L176" s="46"/>
      <c r="X176" s="40" t="s">
        <v>24</v>
      </c>
      <c r="Y176" s="3">
        <v>18</v>
      </c>
      <c r="Z176" s="3">
        <v>8</v>
      </c>
      <c r="AA176" s="3">
        <v>10</v>
      </c>
    </row>
    <row r="177" spans="1:27" x14ac:dyDescent="0.25">
      <c r="A177" s="40"/>
      <c r="B177" s="35"/>
      <c r="C177" s="35"/>
      <c r="D177" s="35"/>
      <c r="E177" s="38"/>
      <c r="F177" s="35"/>
      <c r="G177" s="46"/>
      <c r="H177" s="46"/>
      <c r="I177" s="38"/>
      <c r="J177" s="35"/>
      <c r="K177" s="46"/>
      <c r="L177" s="46"/>
      <c r="X177" s="40" t="s">
        <v>72</v>
      </c>
      <c r="Y177" s="3">
        <v>13</v>
      </c>
      <c r="Z177" s="3">
        <v>7</v>
      </c>
      <c r="AA177" s="3">
        <v>6</v>
      </c>
    </row>
    <row r="178" spans="1:27" x14ac:dyDescent="0.25">
      <c r="A178" s="40"/>
      <c r="B178" s="35"/>
      <c r="C178" s="35"/>
      <c r="D178" s="35"/>
      <c r="E178" s="38"/>
      <c r="F178" s="35"/>
      <c r="G178" s="46"/>
      <c r="H178" s="46"/>
      <c r="I178" s="38"/>
      <c r="J178" s="35"/>
      <c r="K178" s="46"/>
      <c r="L178" s="46"/>
      <c r="X178" s="40" t="s">
        <v>20</v>
      </c>
      <c r="Y178" s="3">
        <v>12</v>
      </c>
      <c r="Z178" s="3">
        <v>2</v>
      </c>
      <c r="AA178" s="3">
        <v>10</v>
      </c>
    </row>
    <row r="179" spans="1:27" x14ac:dyDescent="0.25">
      <c r="A179" s="40"/>
      <c r="B179" s="35"/>
      <c r="C179" s="35"/>
      <c r="D179" s="35"/>
      <c r="E179" s="38"/>
      <c r="F179" s="35"/>
      <c r="G179" s="46"/>
      <c r="H179" s="46"/>
      <c r="I179" s="38"/>
      <c r="J179" s="35"/>
      <c r="K179" s="46"/>
      <c r="L179" s="46"/>
      <c r="X179" s="40" t="s">
        <v>43</v>
      </c>
      <c r="Y179" s="3">
        <v>12</v>
      </c>
      <c r="Z179" s="3">
        <v>6</v>
      </c>
      <c r="AA179" s="3">
        <v>6</v>
      </c>
    </row>
    <row r="180" spans="1:27" x14ac:dyDescent="0.25">
      <c r="A180" s="40"/>
      <c r="B180" s="35"/>
      <c r="C180" s="35"/>
      <c r="D180" s="35"/>
      <c r="E180" s="38"/>
      <c r="F180" s="35"/>
      <c r="G180" s="46"/>
      <c r="H180" s="46"/>
      <c r="I180" s="38"/>
      <c r="J180" s="35"/>
      <c r="K180" s="46"/>
      <c r="L180" s="46"/>
      <c r="X180" s="40" t="s">
        <v>106</v>
      </c>
      <c r="Y180" s="3">
        <v>12</v>
      </c>
      <c r="Z180" s="3">
        <v>12</v>
      </c>
      <c r="AA180" s="3">
        <v>0</v>
      </c>
    </row>
    <row r="181" spans="1:27" x14ac:dyDescent="0.25">
      <c r="A181" s="40"/>
      <c r="B181" s="35"/>
      <c r="C181" s="35"/>
      <c r="D181" s="35"/>
      <c r="E181" s="38"/>
      <c r="F181" s="35"/>
      <c r="G181" s="46"/>
      <c r="H181" s="46"/>
      <c r="I181" s="38"/>
      <c r="J181" s="35"/>
      <c r="K181" s="46"/>
      <c r="L181" s="46"/>
      <c r="X181" s="3" t="s">
        <v>62</v>
      </c>
      <c r="Y181" s="3">
        <v>10</v>
      </c>
      <c r="Z181" s="3">
        <v>8</v>
      </c>
      <c r="AA181" s="3">
        <v>2</v>
      </c>
    </row>
    <row r="182" spans="1:27" x14ac:dyDescent="0.25">
      <c r="A182" s="40"/>
      <c r="B182" s="35"/>
      <c r="C182" s="35"/>
      <c r="D182" s="35"/>
      <c r="E182" s="38"/>
      <c r="F182" s="35"/>
      <c r="G182" s="46"/>
      <c r="H182" s="46"/>
      <c r="I182" s="38"/>
      <c r="J182" s="35"/>
      <c r="K182" s="46"/>
      <c r="L182" s="46"/>
      <c r="X182" s="40" t="s">
        <v>16</v>
      </c>
      <c r="Y182" s="3">
        <v>9</v>
      </c>
      <c r="Z182" s="3">
        <v>5</v>
      </c>
      <c r="AA182" s="3">
        <v>4</v>
      </c>
    </row>
    <row r="183" spans="1:27" x14ac:dyDescent="0.25">
      <c r="A183" s="41"/>
      <c r="B183" s="35"/>
      <c r="C183" s="35"/>
      <c r="D183" s="35"/>
      <c r="E183" s="38"/>
      <c r="F183" s="35"/>
      <c r="G183" s="46"/>
      <c r="H183" s="46"/>
      <c r="I183" s="38"/>
      <c r="J183" s="35"/>
      <c r="K183" s="46"/>
      <c r="L183" s="46"/>
      <c r="X183" s="40" t="s">
        <v>39</v>
      </c>
      <c r="Y183" s="3">
        <v>9</v>
      </c>
      <c r="Z183" s="3">
        <v>2</v>
      </c>
      <c r="AA183" s="3">
        <v>7</v>
      </c>
    </row>
    <row r="184" spans="1:27" x14ac:dyDescent="0.25">
      <c r="A184" s="40"/>
      <c r="B184" s="35"/>
      <c r="C184" s="35"/>
      <c r="D184" s="35"/>
      <c r="E184" s="38"/>
      <c r="F184" s="35"/>
      <c r="G184" s="46"/>
      <c r="H184" s="46"/>
      <c r="I184" s="38"/>
      <c r="J184" s="35"/>
      <c r="K184" s="46"/>
      <c r="L184" s="46"/>
      <c r="X184" s="40" t="s">
        <v>40</v>
      </c>
      <c r="Y184" s="3">
        <v>9</v>
      </c>
      <c r="Z184" s="3">
        <v>3</v>
      </c>
      <c r="AA184" s="3">
        <v>6</v>
      </c>
    </row>
    <row r="185" spans="1:27" x14ac:dyDescent="0.25">
      <c r="A185" s="40"/>
      <c r="B185" s="35"/>
      <c r="C185" s="35"/>
      <c r="D185" s="35"/>
      <c r="E185" s="38"/>
      <c r="F185" s="35"/>
      <c r="G185" s="46"/>
      <c r="H185" s="46"/>
      <c r="I185" s="38"/>
      <c r="J185" s="35"/>
      <c r="K185" s="46"/>
      <c r="L185" s="46"/>
      <c r="X185" s="40" t="s">
        <v>21</v>
      </c>
      <c r="Y185" s="3">
        <v>8</v>
      </c>
      <c r="Z185" s="3">
        <v>1</v>
      </c>
      <c r="AA185" s="3">
        <v>7</v>
      </c>
    </row>
    <row r="186" spans="1:27" x14ac:dyDescent="0.25">
      <c r="A186" s="40"/>
      <c r="B186" s="35"/>
      <c r="C186" s="35"/>
      <c r="D186" s="35"/>
      <c r="E186" s="38"/>
      <c r="F186" s="35"/>
      <c r="G186" s="46"/>
      <c r="H186" s="46"/>
      <c r="I186" s="38"/>
      <c r="J186" s="35"/>
      <c r="K186" s="46"/>
      <c r="L186" s="46"/>
      <c r="X186" s="40" t="s">
        <v>51</v>
      </c>
      <c r="Y186" s="3">
        <v>8</v>
      </c>
      <c r="Z186" s="3">
        <v>4</v>
      </c>
      <c r="AA186" s="3">
        <v>4</v>
      </c>
    </row>
    <row r="187" spans="1:27" x14ac:dyDescent="0.25">
      <c r="A187" s="40"/>
      <c r="B187" s="35"/>
      <c r="C187" s="35"/>
      <c r="D187" s="35"/>
      <c r="E187" s="38"/>
      <c r="F187" s="35"/>
      <c r="G187" s="46"/>
      <c r="H187" s="46"/>
      <c r="I187" s="38"/>
      <c r="J187" s="35"/>
      <c r="K187" s="46"/>
      <c r="L187" s="46"/>
      <c r="X187" s="40" t="s">
        <v>29</v>
      </c>
      <c r="Y187" s="3">
        <v>7</v>
      </c>
      <c r="Z187" s="3">
        <v>0</v>
      </c>
      <c r="AA187" s="3">
        <v>7</v>
      </c>
    </row>
    <row r="188" spans="1:27" x14ac:dyDescent="0.25">
      <c r="A188" s="40"/>
      <c r="B188" s="35"/>
      <c r="C188" s="35"/>
      <c r="D188" s="35"/>
      <c r="E188" s="38"/>
      <c r="F188" s="35"/>
      <c r="G188" s="46"/>
      <c r="H188" s="46"/>
      <c r="I188" s="38"/>
      <c r="J188" s="35"/>
      <c r="K188" s="46"/>
      <c r="L188" s="46"/>
      <c r="X188" s="40" t="s">
        <v>60</v>
      </c>
      <c r="Y188" s="3">
        <v>7</v>
      </c>
      <c r="Z188" s="3">
        <v>7</v>
      </c>
      <c r="AA188" s="3">
        <v>0</v>
      </c>
    </row>
    <row r="189" spans="1:27" x14ac:dyDescent="0.25">
      <c r="A189" s="40"/>
      <c r="B189" s="35"/>
      <c r="C189" s="35"/>
      <c r="D189" s="35"/>
      <c r="E189" s="38"/>
      <c r="F189" s="35"/>
      <c r="G189" s="46"/>
      <c r="H189" s="46"/>
      <c r="I189" s="38"/>
      <c r="J189" s="35"/>
      <c r="K189" s="46"/>
      <c r="L189" s="46"/>
      <c r="X189" s="40" t="s">
        <v>27</v>
      </c>
      <c r="Y189" s="3">
        <v>6</v>
      </c>
      <c r="Z189" s="3">
        <v>6</v>
      </c>
      <c r="AA189" s="3">
        <v>0</v>
      </c>
    </row>
    <row r="190" spans="1:27" x14ac:dyDescent="0.25">
      <c r="A190" s="40"/>
      <c r="B190" s="35"/>
      <c r="C190" s="35"/>
      <c r="D190" s="35"/>
      <c r="E190" s="38"/>
      <c r="F190" s="35"/>
      <c r="G190" s="46"/>
      <c r="H190" s="46"/>
      <c r="I190" s="38"/>
      <c r="J190" s="35"/>
      <c r="K190" s="46"/>
      <c r="L190" s="46"/>
      <c r="X190" s="40" t="s">
        <v>32</v>
      </c>
      <c r="Y190" s="3">
        <v>6</v>
      </c>
      <c r="Z190" s="3">
        <v>4</v>
      </c>
      <c r="AA190" s="3">
        <v>2</v>
      </c>
    </row>
    <row r="191" spans="1:27" x14ac:dyDescent="0.25">
      <c r="A191" s="40"/>
      <c r="B191" s="35"/>
      <c r="C191" s="35"/>
      <c r="D191" s="35"/>
      <c r="E191" s="38"/>
      <c r="F191" s="35"/>
      <c r="G191" s="46"/>
      <c r="H191" s="46"/>
      <c r="I191" s="38"/>
      <c r="J191" s="35"/>
      <c r="K191" s="46"/>
      <c r="L191" s="46"/>
      <c r="X191" s="40" t="s">
        <v>33</v>
      </c>
      <c r="Y191" s="3">
        <v>6</v>
      </c>
      <c r="Z191" s="3">
        <v>3</v>
      </c>
      <c r="AA191" s="3">
        <v>3</v>
      </c>
    </row>
    <row r="192" spans="1:27" x14ac:dyDescent="0.25">
      <c r="A192" s="40"/>
      <c r="B192" s="35"/>
      <c r="C192" s="35"/>
      <c r="D192" s="35"/>
      <c r="E192" s="38"/>
      <c r="F192" s="35"/>
      <c r="G192" s="46"/>
      <c r="H192" s="46"/>
      <c r="I192" s="38"/>
      <c r="J192" s="35"/>
      <c r="K192" s="46"/>
      <c r="L192" s="46"/>
      <c r="X192" s="40" t="s">
        <v>47</v>
      </c>
      <c r="Y192" s="3">
        <v>6</v>
      </c>
      <c r="Z192" s="3">
        <v>4</v>
      </c>
      <c r="AA192" s="3">
        <v>2</v>
      </c>
    </row>
    <row r="193" spans="1:27" x14ac:dyDescent="0.25">
      <c r="A193" s="40"/>
      <c r="B193" s="35"/>
      <c r="C193" s="35"/>
      <c r="D193" s="35"/>
      <c r="E193" s="38"/>
      <c r="F193" s="35"/>
      <c r="G193" s="46"/>
      <c r="H193" s="46"/>
      <c r="I193" s="38"/>
      <c r="J193" s="35"/>
      <c r="K193" s="46"/>
      <c r="L193" s="46"/>
      <c r="X193" s="40" t="s">
        <v>34</v>
      </c>
      <c r="Y193" s="3">
        <v>5</v>
      </c>
      <c r="Z193" s="3">
        <v>3</v>
      </c>
      <c r="AA193" s="3">
        <v>2</v>
      </c>
    </row>
    <row r="194" spans="1:27" x14ac:dyDescent="0.25">
      <c r="A194" s="40"/>
      <c r="B194" s="35"/>
      <c r="C194" s="35"/>
      <c r="D194" s="35"/>
      <c r="E194" s="38"/>
      <c r="F194" s="35"/>
      <c r="G194" s="46"/>
      <c r="H194" s="46"/>
      <c r="I194" s="38"/>
      <c r="J194" s="35"/>
      <c r="K194" s="46"/>
      <c r="L194" s="46"/>
      <c r="X194" s="40" t="s">
        <v>41</v>
      </c>
      <c r="Y194" s="3">
        <v>5</v>
      </c>
      <c r="Z194" s="3">
        <v>3</v>
      </c>
      <c r="AA194" s="3">
        <v>2</v>
      </c>
    </row>
    <row r="195" spans="1:27" x14ac:dyDescent="0.25">
      <c r="A195" s="40"/>
      <c r="B195" s="35"/>
      <c r="C195" s="35"/>
      <c r="D195" s="35"/>
      <c r="E195" s="38"/>
      <c r="F195" s="35"/>
      <c r="G195" s="46"/>
      <c r="H195" s="46"/>
      <c r="I195" s="38"/>
      <c r="J195" s="35"/>
      <c r="K195" s="46"/>
      <c r="L195" s="46"/>
      <c r="X195" s="40" t="s">
        <v>69</v>
      </c>
      <c r="Y195" s="3">
        <v>5</v>
      </c>
      <c r="Z195" s="3">
        <v>2</v>
      </c>
      <c r="AA195" s="3">
        <v>3</v>
      </c>
    </row>
    <row r="196" spans="1:27" x14ac:dyDescent="0.25">
      <c r="A196" s="40"/>
      <c r="B196" s="35"/>
      <c r="C196" s="35"/>
      <c r="D196" s="35"/>
      <c r="E196" s="38"/>
      <c r="F196" s="35"/>
      <c r="G196" s="46"/>
      <c r="H196" s="46"/>
      <c r="I196" s="38"/>
      <c r="J196" s="35"/>
      <c r="K196" s="46"/>
      <c r="L196" s="46"/>
      <c r="X196" s="40" t="s">
        <v>73</v>
      </c>
      <c r="Y196" s="3">
        <v>5</v>
      </c>
      <c r="Z196" s="3">
        <v>3</v>
      </c>
      <c r="AA196" s="3">
        <v>2</v>
      </c>
    </row>
    <row r="197" spans="1:27" x14ac:dyDescent="0.25">
      <c r="A197" s="40"/>
      <c r="B197" s="35"/>
      <c r="C197" s="35"/>
      <c r="D197" s="35"/>
      <c r="E197" s="38"/>
      <c r="F197" s="35"/>
      <c r="G197" s="46"/>
      <c r="H197" s="46"/>
      <c r="I197" s="38"/>
      <c r="J197" s="35"/>
      <c r="K197" s="46"/>
      <c r="L197" s="46"/>
      <c r="X197" s="40" t="s">
        <v>80</v>
      </c>
      <c r="Y197" s="3">
        <v>5</v>
      </c>
      <c r="Z197" s="3">
        <v>2</v>
      </c>
      <c r="AA197" s="3">
        <v>3</v>
      </c>
    </row>
    <row r="198" spans="1:27" x14ac:dyDescent="0.25">
      <c r="A198" s="40"/>
      <c r="B198" s="35"/>
      <c r="C198" s="35"/>
      <c r="D198" s="35"/>
      <c r="E198" s="38"/>
      <c r="F198" s="35"/>
      <c r="G198" s="46"/>
      <c r="H198" s="46"/>
      <c r="I198" s="38"/>
      <c r="J198" s="35"/>
      <c r="K198" s="46"/>
      <c r="L198" s="46"/>
      <c r="X198" s="40" t="s">
        <v>115</v>
      </c>
      <c r="Y198" s="3">
        <v>5</v>
      </c>
      <c r="Z198" s="3">
        <v>5</v>
      </c>
      <c r="AA198" s="3">
        <v>0</v>
      </c>
    </row>
    <row r="199" spans="1:27" x14ac:dyDescent="0.25">
      <c r="A199" s="40"/>
      <c r="B199" s="35"/>
      <c r="C199" s="35"/>
      <c r="D199" s="35"/>
      <c r="E199" s="38"/>
      <c r="F199" s="35"/>
      <c r="G199" s="46"/>
      <c r="H199" s="46"/>
      <c r="I199" s="38"/>
      <c r="J199" s="35"/>
      <c r="K199" s="46"/>
      <c r="L199" s="46"/>
      <c r="X199" s="40" t="s">
        <v>17</v>
      </c>
      <c r="Y199" s="3">
        <v>4</v>
      </c>
      <c r="Z199" s="3">
        <v>2</v>
      </c>
      <c r="AA199" s="3">
        <v>2</v>
      </c>
    </row>
    <row r="200" spans="1:27" x14ac:dyDescent="0.25">
      <c r="A200" s="40"/>
      <c r="B200" s="35"/>
      <c r="C200" s="35"/>
      <c r="D200" s="35"/>
      <c r="E200" s="38"/>
      <c r="F200" s="35"/>
      <c r="G200" s="46"/>
      <c r="H200" s="46"/>
      <c r="I200" s="38"/>
      <c r="J200" s="35"/>
      <c r="K200" s="46"/>
      <c r="L200" s="46"/>
      <c r="X200" s="40" t="s">
        <v>102</v>
      </c>
      <c r="Y200" s="3">
        <v>4</v>
      </c>
      <c r="Z200" s="3">
        <v>3</v>
      </c>
      <c r="AA200" s="3">
        <v>1</v>
      </c>
    </row>
    <row r="201" spans="1:27" x14ac:dyDescent="0.25">
      <c r="A201" s="40"/>
      <c r="B201" s="35"/>
      <c r="C201" s="35"/>
      <c r="D201" s="35"/>
      <c r="E201" s="38"/>
      <c r="F201" s="35"/>
      <c r="G201" s="46"/>
      <c r="H201" s="46"/>
      <c r="I201" s="38"/>
      <c r="J201" s="35"/>
      <c r="K201" s="46"/>
      <c r="L201" s="46"/>
      <c r="X201" s="41" t="s">
        <v>83</v>
      </c>
      <c r="Y201" s="3">
        <v>4</v>
      </c>
      <c r="Z201" s="3">
        <v>4</v>
      </c>
      <c r="AA201" s="3">
        <v>0</v>
      </c>
    </row>
    <row r="202" spans="1:27" x14ac:dyDescent="0.25">
      <c r="A202" s="40"/>
      <c r="B202" s="35"/>
      <c r="C202" s="35"/>
      <c r="D202" s="35"/>
      <c r="E202" s="38"/>
      <c r="F202" s="35"/>
      <c r="G202" s="46"/>
      <c r="H202" s="46"/>
      <c r="I202" s="38"/>
      <c r="J202" s="35"/>
      <c r="K202" s="46"/>
      <c r="L202" s="46"/>
      <c r="X202" s="40" t="s">
        <v>87</v>
      </c>
      <c r="Y202" s="3">
        <v>4</v>
      </c>
      <c r="Z202" s="3">
        <v>3</v>
      </c>
      <c r="AA202" s="3">
        <v>1</v>
      </c>
    </row>
    <row r="203" spans="1:27" x14ac:dyDescent="0.25">
      <c r="A203" s="40"/>
      <c r="B203" s="35"/>
      <c r="C203" s="35"/>
      <c r="D203" s="35"/>
      <c r="E203" s="38"/>
      <c r="F203" s="35"/>
      <c r="G203" s="46"/>
      <c r="H203" s="46"/>
      <c r="I203" s="38"/>
      <c r="J203" s="35"/>
      <c r="K203" s="46"/>
      <c r="L203" s="46"/>
      <c r="X203" s="40" t="s">
        <v>105</v>
      </c>
      <c r="Y203" s="3">
        <v>4</v>
      </c>
      <c r="Z203" s="3">
        <v>4</v>
      </c>
      <c r="AA203" s="3">
        <v>0</v>
      </c>
    </row>
    <row r="204" spans="1:27" x14ac:dyDescent="0.25">
      <c r="A204" s="40"/>
      <c r="B204" s="35"/>
      <c r="C204" s="35"/>
      <c r="D204" s="35"/>
      <c r="E204" s="38"/>
      <c r="F204" s="35"/>
      <c r="G204" s="46"/>
      <c r="H204" s="46"/>
      <c r="I204" s="38"/>
      <c r="J204" s="35"/>
      <c r="K204" s="46"/>
      <c r="L204" s="46"/>
      <c r="X204" s="40" t="s">
        <v>103</v>
      </c>
      <c r="Y204" s="3">
        <v>3</v>
      </c>
      <c r="Z204" s="3">
        <v>2</v>
      </c>
      <c r="AA204" s="3">
        <v>1</v>
      </c>
    </row>
    <row r="205" spans="1:27" x14ac:dyDescent="0.25">
      <c r="A205" s="40"/>
      <c r="B205" s="35"/>
      <c r="C205" s="35"/>
      <c r="D205" s="35"/>
      <c r="E205" s="38"/>
      <c r="F205" s="35"/>
      <c r="G205" s="46"/>
      <c r="H205" s="46"/>
      <c r="I205" s="38"/>
      <c r="J205" s="35"/>
      <c r="K205" s="46"/>
      <c r="L205" s="46"/>
      <c r="X205" s="40" t="s">
        <v>30</v>
      </c>
      <c r="Y205" s="3">
        <v>3</v>
      </c>
      <c r="Z205" s="3">
        <v>2</v>
      </c>
      <c r="AA205" s="3">
        <v>1</v>
      </c>
    </row>
    <row r="206" spans="1:27" x14ac:dyDescent="0.25">
      <c r="A206" s="40"/>
      <c r="B206" s="35"/>
      <c r="C206" s="35"/>
      <c r="D206" s="35"/>
      <c r="E206" s="38"/>
      <c r="F206" s="35"/>
      <c r="G206" s="46"/>
      <c r="H206" s="46"/>
      <c r="I206" s="38"/>
      <c r="J206" s="35"/>
      <c r="K206" s="46"/>
      <c r="L206" s="46"/>
      <c r="X206" s="40" t="s">
        <v>61</v>
      </c>
      <c r="Y206" s="3">
        <v>3</v>
      </c>
      <c r="Z206" s="3">
        <v>2</v>
      </c>
      <c r="AA206" s="3">
        <v>1</v>
      </c>
    </row>
    <row r="207" spans="1:27" x14ac:dyDescent="0.25">
      <c r="A207" s="40"/>
      <c r="B207" s="35"/>
      <c r="C207" s="35"/>
      <c r="D207" s="35"/>
      <c r="E207" s="38"/>
      <c r="F207" s="35"/>
      <c r="G207" s="46"/>
      <c r="H207" s="46"/>
      <c r="I207" s="38"/>
      <c r="J207" s="35"/>
      <c r="K207" s="46"/>
      <c r="L207" s="46"/>
      <c r="X207" s="40" t="s">
        <v>81</v>
      </c>
      <c r="Y207" s="3">
        <v>3</v>
      </c>
      <c r="Z207" s="3">
        <v>2</v>
      </c>
      <c r="AA207" s="3">
        <v>1</v>
      </c>
    </row>
    <row r="208" spans="1:27" x14ac:dyDescent="0.25">
      <c r="A208" s="40"/>
      <c r="B208" s="35"/>
      <c r="C208" s="35"/>
      <c r="D208" s="35"/>
      <c r="E208" s="38"/>
      <c r="F208" s="35"/>
      <c r="G208" s="46"/>
      <c r="H208" s="46"/>
      <c r="I208" s="38"/>
      <c r="J208" s="35"/>
      <c r="K208" s="46"/>
      <c r="L208" s="46"/>
      <c r="X208" s="40" t="s">
        <v>26</v>
      </c>
      <c r="Y208" s="3">
        <v>2</v>
      </c>
      <c r="Z208" s="3">
        <v>2</v>
      </c>
      <c r="AA208" s="3">
        <v>0</v>
      </c>
    </row>
    <row r="209" spans="1:27" x14ac:dyDescent="0.25">
      <c r="A209" s="40"/>
      <c r="B209" s="35"/>
      <c r="C209" s="35"/>
      <c r="D209" s="35"/>
      <c r="E209" s="38"/>
      <c r="F209" s="35"/>
      <c r="G209" s="46"/>
      <c r="H209" s="46"/>
      <c r="I209" s="38"/>
      <c r="J209" s="35"/>
      <c r="K209" s="46"/>
      <c r="L209" s="46"/>
      <c r="X209" s="40" t="s">
        <v>36</v>
      </c>
      <c r="Y209" s="3">
        <v>2</v>
      </c>
      <c r="Z209" s="3">
        <v>1</v>
      </c>
      <c r="AA209" s="3">
        <v>1</v>
      </c>
    </row>
    <row r="210" spans="1:27" x14ac:dyDescent="0.25">
      <c r="A210" s="40"/>
      <c r="B210" s="35"/>
      <c r="C210" s="35"/>
      <c r="D210" s="35"/>
      <c r="E210" s="38"/>
      <c r="F210" s="35"/>
      <c r="G210" s="46"/>
      <c r="H210" s="46"/>
      <c r="I210" s="38"/>
      <c r="J210" s="35"/>
      <c r="K210" s="46"/>
      <c r="L210" s="46"/>
      <c r="X210" s="40" t="s">
        <v>42</v>
      </c>
      <c r="Y210" s="3">
        <v>2</v>
      </c>
      <c r="Z210" s="3">
        <v>0</v>
      </c>
      <c r="AA210" s="3">
        <v>2</v>
      </c>
    </row>
    <row r="211" spans="1:27" x14ac:dyDescent="0.25">
      <c r="A211" s="40"/>
      <c r="B211" s="35"/>
      <c r="C211" s="35"/>
      <c r="D211" s="35"/>
      <c r="E211" s="38"/>
      <c r="F211" s="35"/>
      <c r="G211" s="46"/>
      <c r="H211" s="46"/>
      <c r="I211" s="38"/>
      <c r="J211" s="35"/>
      <c r="K211" s="46"/>
      <c r="L211" s="46"/>
      <c r="X211" s="40" t="s">
        <v>44</v>
      </c>
      <c r="Y211" s="3">
        <v>2</v>
      </c>
      <c r="Z211" s="3">
        <v>2</v>
      </c>
      <c r="AA211" s="3">
        <v>0</v>
      </c>
    </row>
    <row r="212" spans="1:27" x14ac:dyDescent="0.25">
      <c r="A212" s="40"/>
      <c r="B212" s="35"/>
      <c r="C212" s="35"/>
      <c r="D212" s="35"/>
      <c r="E212" s="38"/>
      <c r="F212" s="35"/>
      <c r="G212" s="46"/>
      <c r="H212" s="46"/>
      <c r="I212" s="38"/>
      <c r="J212" s="35"/>
      <c r="K212" s="46"/>
      <c r="L212" s="46"/>
      <c r="X212" s="40" t="s">
        <v>45</v>
      </c>
      <c r="Y212" s="3">
        <v>2</v>
      </c>
      <c r="Z212" s="3">
        <v>2</v>
      </c>
      <c r="AA212" s="3">
        <v>0</v>
      </c>
    </row>
    <row r="213" spans="1:27" x14ac:dyDescent="0.25">
      <c r="A213" s="40"/>
      <c r="B213" s="35"/>
      <c r="C213" s="35"/>
      <c r="D213" s="35"/>
      <c r="E213" s="38"/>
      <c r="F213" s="35"/>
      <c r="G213" s="46"/>
      <c r="H213" s="46"/>
      <c r="I213" s="38"/>
      <c r="J213" s="35"/>
      <c r="K213" s="46"/>
      <c r="L213" s="46"/>
      <c r="X213" s="40" t="s">
        <v>49</v>
      </c>
      <c r="Y213" s="3">
        <v>2</v>
      </c>
      <c r="Z213" s="3">
        <v>0</v>
      </c>
      <c r="AA213" s="3">
        <v>2</v>
      </c>
    </row>
    <row r="214" spans="1:27" x14ac:dyDescent="0.25">
      <c r="A214" s="40"/>
      <c r="B214" s="35"/>
      <c r="C214" s="35"/>
      <c r="D214" s="35"/>
      <c r="E214" s="38"/>
      <c r="F214" s="35"/>
      <c r="G214" s="46"/>
      <c r="H214" s="46"/>
      <c r="I214" s="38"/>
      <c r="J214" s="35"/>
      <c r="K214" s="46"/>
      <c r="L214" s="46"/>
      <c r="X214" s="40" t="s">
        <v>104</v>
      </c>
      <c r="Y214" s="3">
        <v>2</v>
      </c>
      <c r="Z214" s="3">
        <v>1</v>
      </c>
      <c r="AA214" s="3">
        <v>1</v>
      </c>
    </row>
    <row r="215" spans="1:27" x14ac:dyDescent="0.25">
      <c r="A215" s="40"/>
      <c r="B215" s="35"/>
      <c r="C215" s="35"/>
      <c r="D215" s="35"/>
      <c r="E215" s="38"/>
      <c r="F215" s="35"/>
      <c r="G215" s="46"/>
      <c r="H215" s="46"/>
      <c r="I215" s="38"/>
      <c r="J215" s="35"/>
      <c r="K215" s="46"/>
      <c r="L215" s="46"/>
      <c r="X215" s="40" t="s">
        <v>85</v>
      </c>
      <c r="Y215" s="3">
        <v>2</v>
      </c>
      <c r="Z215" s="3">
        <v>2</v>
      </c>
      <c r="AA215" s="3">
        <v>0</v>
      </c>
    </row>
    <row r="216" spans="1:27" x14ac:dyDescent="0.25">
      <c r="A216" s="40"/>
      <c r="B216" s="35"/>
      <c r="C216" s="35"/>
      <c r="D216" s="35"/>
      <c r="E216" s="38"/>
      <c r="F216" s="35"/>
      <c r="G216" s="46"/>
      <c r="H216" s="46"/>
      <c r="I216" s="38"/>
      <c r="J216" s="35"/>
      <c r="K216" s="46"/>
      <c r="L216" s="46"/>
      <c r="X216" s="40" t="s">
        <v>25</v>
      </c>
      <c r="Y216" s="3">
        <v>1</v>
      </c>
      <c r="Z216" s="3">
        <v>0</v>
      </c>
      <c r="AA216" s="3">
        <v>1</v>
      </c>
    </row>
    <row r="217" spans="1:27" x14ac:dyDescent="0.25">
      <c r="A217" s="40"/>
      <c r="B217" s="35"/>
      <c r="C217" s="35"/>
      <c r="D217" s="35"/>
      <c r="E217" s="38"/>
      <c r="F217" s="35"/>
      <c r="G217" s="46"/>
      <c r="H217" s="46"/>
      <c r="I217" s="38"/>
      <c r="J217" s="35"/>
      <c r="K217" s="46"/>
      <c r="L217" s="46"/>
      <c r="X217" s="40" t="s">
        <v>31</v>
      </c>
      <c r="Y217" s="3">
        <v>1</v>
      </c>
      <c r="Z217" s="3">
        <v>0</v>
      </c>
      <c r="AA217" s="3">
        <v>1</v>
      </c>
    </row>
    <row r="218" spans="1:27" x14ac:dyDescent="0.25">
      <c r="A218" s="40"/>
      <c r="B218" s="35"/>
      <c r="C218" s="35"/>
      <c r="D218" s="35"/>
      <c r="E218" s="38"/>
      <c r="F218" s="35"/>
      <c r="G218" s="46"/>
      <c r="H218" s="46"/>
      <c r="I218" s="38"/>
      <c r="J218" s="35"/>
      <c r="K218" s="46"/>
      <c r="L218" s="46"/>
      <c r="X218" s="40" t="s">
        <v>35</v>
      </c>
      <c r="Y218" s="3">
        <v>1</v>
      </c>
      <c r="Z218" s="3">
        <v>1</v>
      </c>
      <c r="AA218" s="3">
        <v>0</v>
      </c>
    </row>
    <row r="219" spans="1:27" x14ac:dyDescent="0.25">
      <c r="A219" s="40"/>
      <c r="B219" s="35"/>
      <c r="C219" s="35"/>
      <c r="D219" s="35"/>
      <c r="E219" s="38"/>
      <c r="F219" s="35"/>
      <c r="G219" s="46"/>
      <c r="H219" s="46"/>
      <c r="I219" s="38"/>
      <c r="J219" s="35"/>
      <c r="K219" s="46"/>
      <c r="L219" s="46"/>
      <c r="X219" s="40" t="s">
        <v>46</v>
      </c>
      <c r="Y219" s="3">
        <v>1</v>
      </c>
      <c r="Z219" s="3">
        <v>1</v>
      </c>
      <c r="AA219" s="3">
        <v>0</v>
      </c>
    </row>
    <row r="220" spans="1:27" x14ac:dyDescent="0.25">
      <c r="A220" s="40"/>
      <c r="B220" s="35"/>
      <c r="C220" s="35"/>
      <c r="D220" s="35"/>
      <c r="E220" s="38"/>
      <c r="F220" s="35"/>
      <c r="G220" s="46"/>
      <c r="H220" s="46"/>
      <c r="I220" s="38"/>
      <c r="J220" s="35"/>
      <c r="K220" s="46"/>
      <c r="L220" s="46"/>
      <c r="X220" s="3" t="s">
        <v>48</v>
      </c>
      <c r="Y220" s="3">
        <v>1</v>
      </c>
      <c r="Z220" s="3">
        <v>1</v>
      </c>
      <c r="AA220" s="3">
        <v>0</v>
      </c>
    </row>
    <row r="221" spans="1:27" x14ac:dyDescent="0.25">
      <c r="A221" s="40"/>
      <c r="B221" s="35"/>
      <c r="C221" s="35"/>
      <c r="D221" s="35"/>
      <c r="E221" s="38"/>
      <c r="F221" s="35"/>
      <c r="G221" s="46"/>
      <c r="H221" s="46"/>
      <c r="I221" s="38"/>
      <c r="J221" s="35"/>
      <c r="K221" s="46"/>
      <c r="L221" s="46"/>
      <c r="X221" s="40" t="s">
        <v>50</v>
      </c>
      <c r="Y221" s="3">
        <v>1</v>
      </c>
      <c r="Z221" s="3">
        <v>0</v>
      </c>
      <c r="AA221" s="3">
        <v>1</v>
      </c>
    </row>
    <row r="222" spans="1:27" x14ac:dyDescent="0.25">
      <c r="A222" s="40"/>
      <c r="B222" s="35"/>
      <c r="C222" s="35"/>
      <c r="D222" s="35"/>
      <c r="E222" s="38"/>
      <c r="F222" s="35"/>
      <c r="G222" s="46"/>
      <c r="H222" s="46"/>
      <c r="I222" s="38"/>
      <c r="J222" s="35"/>
      <c r="K222" s="46"/>
      <c r="L222" s="46"/>
      <c r="X222" s="40" t="s">
        <v>52</v>
      </c>
      <c r="Y222" s="3">
        <v>1</v>
      </c>
      <c r="Z222" s="3">
        <v>0</v>
      </c>
      <c r="AA222" s="3">
        <v>1</v>
      </c>
    </row>
    <row r="223" spans="1:27" x14ac:dyDescent="0.25">
      <c r="A223" s="40"/>
      <c r="B223" s="35"/>
      <c r="C223" s="35"/>
      <c r="D223" s="35"/>
      <c r="E223" s="38"/>
      <c r="F223" s="35"/>
      <c r="G223" s="46"/>
      <c r="H223" s="46"/>
      <c r="I223" s="38"/>
      <c r="J223" s="35"/>
      <c r="K223" s="46"/>
      <c r="L223" s="46"/>
      <c r="X223" s="42" t="s">
        <v>53</v>
      </c>
      <c r="Y223" s="3">
        <v>1</v>
      </c>
      <c r="Z223" s="3">
        <v>1</v>
      </c>
      <c r="AA223" s="3">
        <v>0</v>
      </c>
    </row>
    <row r="224" spans="1:27" x14ac:dyDescent="0.25">
      <c r="A224" s="40"/>
      <c r="B224" s="35"/>
      <c r="C224" s="35"/>
      <c r="D224" s="35"/>
      <c r="E224" s="38"/>
      <c r="F224" s="35"/>
      <c r="G224" s="46"/>
      <c r="H224" s="46"/>
      <c r="I224" s="38"/>
      <c r="J224" s="35"/>
      <c r="K224" s="46"/>
      <c r="L224" s="46"/>
      <c r="X224" s="40" t="s">
        <v>74</v>
      </c>
      <c r="Y224" s="3">
        <v>1</v>
      </c>
      <c r="Z224" s="3">
        <v>1</v>
      </c>
      <c r="AA224" s="3">
        <v>0</v>
      </c>
    </row>
    <row r="225" spans="1:24" x14ac:dyDescent="0.25">
      <c r="A225" s="40"/>
      <c r="B225" s="35"/>
      <c r="C225" s="35"/>
      <c r="D225" s="35"/>
      <c r="E225" s="38"/>
      <c r="F225" s="35"/>
      <c r="G225" s="46"/>
      <c r="H225" s="46"/>
      <c r="I225" s="38"/>
      <c r="J225" s="35"/>
      <c r="K225" s="46"/>
      <c r="L225" s="46"/>
      <c r="X225" s="40"/>
    </row>
    <row r="226" spans="1:24" x14ac:dyDescent="0.25">
      <c r="A226" s="40"/>
      <c r="B226" s="35"/>
      <c r="C226" s="35"/>
      <c r="D226" s="35"/>
      <c r="E226" s="38"/>
      <c r="F226" s="35"/>
      <c r="G226" s="46"/>
      <c r="H226" s="46"/>
      <c r="I226" s="38"/>
      <c r="J226" s="35"/>
      <c r="K226" s="46"/>
      <c r="L226" s="46"/>
      <c r="X226" s="40"/>
    </row>
    <row r="227" spans="1:24" x14ac:dyDescent="0.25">
      <c r="A227" s="43"/>
      <c r="B227" s="35"/>
      <c r="C227" s="35"/>
      <c r="D227" s="35"/>
      <c r="E227" s="38"/>
      <c r="F227" s="35"/>
      <c r="G227" s="46"/>
      <c r="H227" s="46"/>
      <c r="I227" s="38"/>
      <c r="J227" s="35"/>
      <c r="K227" s="46"/>
      <c r="L227" s="46"/>
      <c r="X227" s="40"/>
    </row>
    <row r="228" spans="1:24" x14ac:dyDescent="0.25">
      <c r="A228" s="43"/>
      <c r="B228" s="35"/>
      <c r="C228" s="35"/>
      <c r="D228" s="35"/>
      <c r="E228" s="38"/>
      <c r="F228" s="35"/>
      <c r="G228" s="46"/>
      <c r="H228" s="46"/>
      <c r="I228" s="38"/>
      <c r="J228" s="35"/>
      <c r="K228" s="46"/>
      <c r="L228" s="46"/>
    </row>
    <row r="229" spans="1:24" x14ac:dyDescent="0.25">
      <c r="A229" s="43"/>
      <c r="B229" s="35"/>
      <c r="C229" s="35"/>
      <c r="D229" s="35"/>
      <c r="E229" s="38"/>
      <c r="F229" s="35"/>
      <c r="G229" s="46"/>
      <c r="H229" s="46"/>
      <c r="I229" s="38"/>
      <c r="J229" s="35"/>
      <c r="K229" s="46"/>
      <c r="L229" s="46"/>
    </row>
    <row r="230" spans="1:24" x14ac:dyDescent="0.25">
      <c r="A230" s="43"/>
      <c r="B230" s="35"/>
      <c r="C230" s="35"/>
      <c r="D230" s="35"/>
      <c r="E230" s="38"/>
      <c r="F230" s="35"/>
      <c r="G230" s="46"/>
      <c r="H230" s="46"/>
      <c r="I230" s="38"/>
      <c r="J230" s="35"/>
      <c r="K230" s="46"/>
      <c r="L230" s="46"/>
    </row>
    <row r="231" spans="1:24" x14ac:dyDescent="0.25">
      <c r="A231" s="43"/>
      <c r="B231" s="35"/>
      <c r="C231" s="35"/>
      <c r="D231" s="35"/>
      <c r="E231" s="38"/>
      <c r="F231" s="35"/>
      <c r="G231" s="46"/>
      <c r="H231" s="46"/>
      <c r="I231" s="38"/>
      <c r="J231" s="35"/>
      <c r="K231" s="46"/>
      <c r="L231" s="46"/>
    </row>
    <row r="232" spans="1:24" x14ac:dyDescent="0.25">
      <c r="A232" s="43"/>
      <c r="B232" s="35"/>
      <c r="C232" s="35"/>
      <c r="D232" s="35"/>
      <c r="E232" s="38"/>
      <c r="F232" s="35"/>
      <c r="G232" s="46"/>
      <c r="H232" s="46"/>
      <c r="I232" s="38"/>
      <c r="J232" s="35"/>
      <c r="K232" s="46"/>
      <c r="L232" s="47"/>
    </row>
    <row r="233" spans="1:24" x14ac:dyDescent="0.25">
      <c r="A233" s="43"/>
      <c r="B233" s="35"/>
      <c r="C233" s="35"/>
      <c r="D233" s="35"/>
      <c r="E233" s="38"/>
      <c r="F233" s="35"/>
      <c r="G233" s="46"/>
      <c r="H233" s="46"/>
      <c r="I233" s="38"/>
      <c r="J233" s="35"/>
      <c r="K233" s="46"/>
      <c r="L233" s="46"/>
    </row>
    <row r="234" spans="1:24" x14ac:dyDescent="0.25">
      <c r="A234" s="43"/>
      <c r="B234" s="35"/>
      <c r="C234" s="35"/>
      <c r="D234" s="35"/>
      <c r="E234" s="38"/>
      <c r="F234" s="35"/>
      <c r="G234" s="46"/>
      <c r="H234" s="46"/>
      <c r="I234" s="38"/>
      <c r="J234" s="35"/>
      <c r="K234" s="46"/>
      <c r="L234" s="46"/>
    </row>
    <row r="235" spans="1:24" x14ac:dyDescent="0.25">
      <c r="A235" s="43"/>
      <c r="B235" s="35"/>
      <c r="C235" s="35"/>
      <c r="D235" s="35"/>
      <c r="E235" s="38"/>
      <c r="F235" s="35"/>
      <c r="G235" s="46"/>
      <c r="H235" s="46"/>
      <c r="I235" s="38"/>
      <c r="J235" s="35"/>
      <c r="K235" s="46"/>
      <c r="L235" s="46"/>
    </row>
    <row r="236" spans="1:24" x14ac:dyDescent="0.25">
      <c r="A236" s="43"/>
      <c r="B236" s="35"/>
      <c r="C236" s="35"/>
      <c r="D236" s="35"/>
      <c r="E236" s="38"/>
      <c r="F236" s="35"/>
      <c r="G236" s="46"/>
      <c r="H236" s="46"/>
      <c r="I236" s="38"/>
      <c r="J236" s="35"/>
      <c r="K236" s="46"/>
      <c r="L236" s="46"/>
    </row>
    <row r="237" spans="1:24" x14ac:dyDescent="0.25">
      <c r="A237" s="43"/>
      <c r="B237" s="35"/>
      <c r="C237" s="35"/>
      <c r="D237" s="35"/>
      <c r="E237" s="38"/>
      <c r="F237" s="35"/>
      <c r="G237" s="46"/>
      <c r="H237" s="46"/>
      <c r="I237" s="38"/>
      <c r="J237" s="35"/>
      <c r="K237" s="46"/>
      <c r="L237" s="46"/>
    </row>
    <row r="238" spans="1:24" x14ac:dyDescent="0.25">
      <c r="A238" s="43"/>
      <c r="B238" s="35"/>
      <c r="C238" s="35"/>
      <c r="D238" s="35"/>
      <c r="E238" s="38"/>
      <c r="F238" s="35"/>
      <c r="G238" s="46"/>
      <c r="H238" s="46"/>
      <c r="I238" s="38"/>
      <c r="J238" s="35"/>
      <c r="K238" s="47"/>
      <c r="L238" s="47"/>
    </row>
    <row r="239" spans="1:24" x14ac:dyDescent="0.25">
      <c r="A239" s="43"/>
      <c r="B239" s="35"/>
      <c r="C239" s="35"/>
      <c r="D239" s="35"/>
      <c r="E239" s="38"/>
      <c r="F239" s="35"/>
      <c r="G239" s="46"/>
      <c r="H239" s="46"/>
      <c r="I239" s="38"/>
      <c r="J239" s="35"/>
      <c r="K239" s="46"/>
      <c r="L239" s="46"/>
    </row>
    <row r="240" spans="1:24" x14ac:dyDescent="0.25">
      <c r="A240" s="43"/>
      <c r="B240" s="35"/>
      <c r="C240" s="35"/>
      <c r="D240" s="35"/>
      <c r="E240" s="38"/>
      <c r="F240" s="35"/>
      <c r="G240" s="46"/>
      <c r="H240" s="46"/>
      <c r="I240" s="38"/>
      <c r="J240" s="35"/>
      <c r="K240" s="46"/>
      <c r="L240" s="46"/>
    </row>
    <row r="241" spans="1:12" x14ac:dyDescent="0.25">
      <c r="A241" s="43"/>
      <c r="B241" s="35"/>
      <c r="C241" s="35"/>
      <c r="D241" s="35"/>
      <c r="E241" s="38"/>
      <c r="F241" s="35"/>
      <c r="G241" s="46"/>
      <c r="H241" s="46"/>
      <c r="I241" s="38"/>
      <c r="J241" s="35"/>
      <c r="K241" s="46"/>
      <c r="L241" s="46"/>
    </row>
    <row r="242" spans="1:12" x14ac:dyDescent="0.25">
      <c r="A242" s="43"/>
      <c r="B242" s="35"/>
      <c r="C242" s="35"/>
      <c r="D242" s="35"/>
      <c r="E242" s="38"/>
      <c r="F242" s="35"/>
      <c r="G242" s="46"/>
      <c r="H242" s="46"/>
      <c r="I242" s="38"/>
      <c r="J242" s="35"/>
      <c r="K242" s="46"/>
      <c r="L242" s="46"/>
    </row>
    <row r="243" spans="1:12" x14ac:dyDescent="0.25">
      <c r="A243" s="43"/>
      <c r="B243" s="35"/>
      <c r="C243" s="35"/>
      <c r="D243" s="35"/>
      <c r="E243" s="38"/>
      <c r="F243" s="35"/>
      <c r="G243" s="46"/>
      <c r="H243" s="46"/>
      <c r="I243" s="38"/>
      <c r="J243" s="35"/>
      <c r="K243" s="46"/>
      <c r="L243" s="46"/>
    </row>
    <row r="244" spans="1:12" x14ac:dyDescent="0.25">
      <c r="A244" s="43"/>
      <c r="B244" s="35"/>
      <c r="C244" s="35"/>
      <c r="D244" s="35"/>
      <c r="E244" s="38"/>
      <c r="F244" s="35"/>
      <c r="G244" s="46"/>
      <c r="H244" s="46"/>
      <c r="I244" s="38"/>
      <c r="J244" s="35"/>
      <c r="K244" s="46"/>
      <c r="L244" s="46"/>
    </row>
    <row r="245" spans="1:12" x14ac:dyDescent="0.25">
      <c r="A245" s="43"/>
      <c r="B245" s="35"/>
      <c r="C245" s="35"/>
      <c r="D245" s="35"/>
      <c r="E245" s="38"/>
      <c r="F245" s="35"/>
      <c r="G245" s="46"/>
      <c r="H245" s="46"/>
      <c r="I245" s="38"/>
      <c r="J245" s="35"/>
      <c r="K245" s="46"/>
      <c r="L245" s="46"/>
    </row>
    <row r="246" spans="1:12" x14ac:dyDescent="0.25">
      <c r="A246" s="43"/>
      <c r="B246" s="35"/>
      <c r="C246" s="35"/>
      <c r="D246" s="35"/>
      <c r="E246" s="38"/>
      <c r="F246" s="35"/>
      <c r="G246" s="46"/>
      <c r="H246" s="46"/>
      <c r="I246" s="38"/>
      <c r="J246" s="35"/>
      <c r="K246" s="46"/>
      <c r="L246" s="46"/>
    </row>
    <row r="247" spans="1:12" x14ac:dyDescent="0.25">
      <c r="A247" s="51"/>
      <c r="B247" s="25"/>
      <c r="C247" s="26"/>
      <c r="D247" s="26"/>
      <c r="E247" s="26"/>
      <c r="F247" s="26"/>
      <c r="G247" s="26"/>
      <c r="H247" s="26"/>
      <c r="I247" s="26"/>
      <c r="J247" s="26"/>
      <c r="K247" s="26"/>
      <c r="L247" s="26"/>
    </row>
    <row r="248" spans="1:12" x14ac:dyDescent="0.25">
      <c r="A248" s="40"/>
      <c r="B248" s="35"/>
      <c r="C248" s="35"/>
      <c r="D248" s="35"/>
      <c r="E248" s="38"/>
      <c r="F248" s="35"/>
      <c r="G248" s="58"/>
      <c r="H248" s="58"/>
      <c r="I248" s="38"/>
      <c r="J248" s="35"/>
      <c r="K248" s="58"/>
      <c r="L248" s="58"/>
    </row>
    <row r="249" spans="1:12" x14ac:dyDescent="0.25">
      <c r="A249" s="40"/>
      <c r="B249" s="35"/>
      <c r="C249" s="35"/>
      <c r="D249" s="35"/>
      <c r="E249" s="38"/>
      <c r="F249" s="35"/>
      <c r="G249" s="58"/>
      <c r="H249" s="58"/>
      <c r="I249" s="38"/>
      <c r="J249" s="35"/>
      <c r="K249" s="58"/>
      <c r="L249" s="58"/>
    </row>
    <row r="250" spans="1:12" x14ac:dyDescent="0.25">
      <c r="A250" s="40"/>
      <c r="B250" s="35"/>
      <c r="C250" s="35"/>
      <c r="D250" s="35"/>
      <c r="E250" s="38"/>
      <c r="F250" s="35"/>
      <c r="G250" s="58"/>
      <c r="H250" s="58"/>
      <c r="I250" s="38"/>
      <c r="J250" s="35"/>
      <c r="K250" s="58"/>
      <c r="L250" s="58"/>
    </row>
    <row r="251" spans="1:12" x14ac:dyDescent="0.25">
      <c r="A251" s="40"/>
      <c r="B251" s="35"/>
      <c r="C251" s="35"/>
      <c r="D251" s="35"/>
      <c r="E251" s="38"/>
      <c r="F251" s="35"/>
      <c r="G251" s="58"/>
      <c r="H251" s="58"/>
      <c r="I251" s="38"/>
      <c r="J251" s="35"/>
      <c r="K251" s="58"/>
      <c r="L251" s="58"/>
    </row>
    <row r="252" spans="1:12" x14ac:dyDescent="0.25">
      <c r="A252" s="40"/>
      <c r="B252" s="35"/>
      <c r="C252" s="35"/>
      <c r="D252" s="35"/>
      <c r="E252" s="38"/>
      <c r="F252" s="35"/>
      <c r="G252" s="58"/>
      <c r="H252" s="58"/>
      <c r="I252" s="38"/>
      <c r="J252" s="35"/>
      <c r="K252" s="58"/>
      <c r="L252" s="58"/>
    </row>
    <row r="253" spans="1:12" x14ac:dyDescent="0.25">
      <c r="A253" s="40"/>
      <c r="B253" s="35"/>
      <c r="C253" s="35"/>
      <c r="D253" s="35"/>
      <c r="E253" s="38"/>
      <c r="F253" s="35"/>
      <c r="G253" s="58"/>
      <c r="H253" s="58"/>
      <c r="I253" s="38"/>
      <c r="J253" s="35"/>
      <c r="K253" s="58"/>
      <c r="L253" s="58"/>
    </row>
    <row r="254" spans="1:12" x14ac:dyDescent="0.25">
      <c r="A254" s="40"/>
      <c r="B254" s="35"/>
      <c r="C254" s="35"/>
      <c r="D254" s="35"/>
      <c r="E254" s="38"/>
      <c r="F254" s="35"/>
      <c r="G254" s="58"/>
      <c r="H254" s="58"/>
      <c r="I254" s="38"/>
      <c r="J254" s="35"/>
      <c r="K254" s="58"/>
      <c r="L254" s="58"/>
    </row>
    <row r="255" spans="1:12" x14ac:dyDescent="0.25">
      <c r="A255" s="51"/>
      <c r="B255" s="25"/>
      <c r="C255" s="26"/>
      <c r="D255" s="26"/>
      <c r="E255" s="26"/>
      <c r="F255" s="26"/>
      <c r="G255" s="26"/>
      <c r="H255" s="26"/>
      <c r="I255" s="26"/>
      <c r="J255" s="26"/>
      <c r="K255" s="26"/>
      <c r="L255" s="26"/>
    </row>
  </sheetData>
  <sortState xmlns:xlrd2="http://schemas.microsoft.com/office/spreadsheetml/2017/richdata2" ref="X126:AA224">
    <sortCondition descending="1" ref="Y126:Y224"/>
  </sortState>
  <mergeCells count="10">
    <mergeCell ref="A6:A7"/>
    <mergeCell ref="A1:L1"/>
    <mergeCell ref="A2:L2"/>
    <mergeCell ref="A3:K3"/>
    <mergeCell ref="A4:A5"/>
    <mergeCell ref="B4:F4"/>
    <mergeCell ref="G4:L4"/>
    <mergeCell ref="B5:D5"/>
    <mergeCell ref="F5:H5"/>
    <mergeCell ref="J5:L5"/>
  </mergeCells>
  <pageMargins left="0.7" right="0.7" top="0.75" bottom="0.75" header="0.3" footer="0.3"/>
  <pageSetup paperSize="9" scale="62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5.1</vt:lpstr>
      <vt:lpstr>'5.1'!Print_Area</vt:lpstr>
      <vt:lpstr>'5.1'!Print_Titles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2023-04-25T04:21:41Z</cp:lastPrinted>
  <dcterms:created xsi:type="dcterms:W3CDTF">2019-06-03T04:17:39Z</dcterms:created>
  <dcterms:modified xsi:type="dcterms:W3CDTF">2023-04-25T04:21:58Z</dcterms:modified>
</cp:coreProperties>
</file>