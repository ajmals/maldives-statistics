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44F8A81F-D9F7-41FF-9FE4-8DAEC7244BFA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8" sheetId="7" r:id="rId1"/>
  </sheets>
  <definedNames>
    <definedName name="_xlnm.Print_Area" localSheetId="0">'5.8'!$A$1:$M$79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7" l="1"/>
  <c r="D39" i="7"/>
  <c r="F39" i="7"/>
  <c r="J39" i="7"/>
  <c r="C40" i="7"/>
  <c r="D40" i="7"/>
  <c r="F40" i="7"/>
  <c r="J40" i="7"/>
  <c r="C41" i="7"/>
  <c r="D41" i="7"/>
  <c r="F41" i="7"/>
  <c r="J41" i="7"/>
  <c r="C42" i="7"/>
  <c r="D42" i="7"/>
  <c r="F42" i="7"/>
  <c r="J42" i="7"/>
  <c r="C43" i="7"/>
  <c r="D43" i="7"/>
  <c r="F43" i="7"/>
  <c r="J43" i="7"/>
  <c r="C44" i="7"/>
  <c r="D44" i="7"/>
  <c r="F44" i="7"/>
  <c r="J44" i="7"/>
  <c r="C45" i="7"/>
  <c r="D45" i="7"/>
  <c r="F45" i="7"/>
  <c r="J45" i="7"/>
  <c r="C46" i="7"/>
  <c r="D46" i="7"/>
  <c r="F46" i="7"/>
  <c r="J46" i="7"/>
  <c r="C47" i="7"/>
  <c r="D47" i="7"/>
  <c r="F47" i="7"/>
  <c r="J47" i="7"/>
  <c r="C48" i="7"/>
  <c r="D48" i="7"/>
  <c r="F48" i="7"/>
  <c r="J48" i="7"/>
  <c r="C49" i="7"/>
  <c r="D49" i="7"/>
  <c r="F49" i="7"/>
  <c r="J49" i="7"/>
  <c r="C50" i="7"/>
  <c r="D50" i="7"/>
  <c r="F50" i="7"/>
  <c r="J50" i="7"/>
  <c r="C51" i="7"/>
  <c r="D51" i="7"/>
  <c r="F51" i="7"/>
  <c r="J51" i="7"/>
  <c r="C52" i="7"/>
  <c r="D52" i="7"/>
  <c r="F52" i="7"/>
  <c r="J52" i="7"/>
  <c r="B50" i="7" l="1"/>
  <c r="B47" i="7"/>
  <c r="B49" i="7"/>
  <c r="B46" i="7"/>
  <c r="B42" i="7"/>
  <c r="B43" i="7"/>
  <c r="B40" i="7"/>
  <c r="B39" i="7"/>
  <c r="B41" i="7"/>
  <c r="B51" i="7"/>
  <c r="B52" i="7"/>
  <c r="B48" i="7"/>
  <c r="B45" i="7"/>
  <c r="B44" i="7"/>
  <c r="F58" i="7" l="1"/>
  <c r="D57" i="7"/>
  <c r="F56" i="7"/>
  <c r="C57" i="7"/>
  <c r="J57" i="7"/>
  <c r="C58" i="7"/>
  <c r="J56" i="7"/>
  <c r="C56" i="7"/>
  <c r="D58" i="7" l="1"/>
  <c r="J58" i="7"/>
  <c r="B58" i="7" s="1"/>
  <c r="F57" i="7"/>
  <c r="B57" i="7" s="1"/>
  <c r="D56" i="7"/>
  <c r="B56" i="7"/>
  <c r="C55" i="7" l="1"/>
  <c r="D55" i="7"/>
  <c r="F55" i="7"/>
  <c r="J55" i="7"/>
  <c r="B55" i="7" l="1"/>
  <c r="J53" i="7" l="1"/>
  <c r="J54" i="7"/>
  <c r="C53" i="7"/>
  <c r="D53" i="7"/>
  <c r="F53" i="7"/>
  <c r="C54" i="7"/>
  <c r="D54" i="7"/>
  <c r="F54" i="7"/>
  <c r="B54" i="7" l="1"/>
  <c r="B53" i="7"/>
  <c r="G8" i="7" l="1"/>
  <c r="AC66" i="7" s="1"/>
  <c r="L8" i="7" l="1"/>
  <c r="AD67" i="7" s="1"/>
  <c r="K8" i="7"/>
  <c r="AC67" i="7" s="1"/>
  <c r="H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C9" i="7"/>
  <c r="D9" i="7"/>
  <c r="C10" i="7"/>
  <c r="D10" i="7"/>
  <c r="C11" i="7"/>
  <c r="D11" i="7"/>
  <c r="C12" i="7"/>
  <c r="D12" i="7"/>
  <c r="C13" i="7"/>
  <c r="D13" i="7"/>
  <c r="C14" i="7"/>
  <c r="D14" i="7"/>
  <c r="C15" i="7"/>
  <c r="D15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F8" i="7" l="1"/>
  <c r="AD66" i="7"/>
  <c r="B38" i="7"/>
  <c r="B23" i="7"/>
  <c r="B15" i="7"/>
  <c r="B35" i="7"/>
  <c r="B19" i="7"/>
  <c r="B29" i="7"/>
  <c r="B36" i="7"/>
  <c r="B28" i="7"/>
  <c r="B20" i="7"/>
  <c r="B27" i="7"/>
  <c r="B11" i="7"/>
  <c r="B34" i="7"/>
  <c r="B26" i="7"/>
  <c r="B18" i="7"/>
  <c r="B10" i="7"/>
  <c r="B30" i="7"/>
  <c r="B22" i="7"/>
  <c r="B14" i="7"/>
  <c r="B21" i="7"/>
  <c r="B12" i="7"/>
  <c r="B31" i="7"/>
  <c r="B37" i="7"/>
  <c r="B13" i="7"/>
  <c r="J8" i="7"/>
  <c r="D8" i="7"/>
  <c r="C8" i="7"/>
  <c r="B33" i="7"/>
  <c r="B25" i="7"/>
  <c r="B17" i="7"/>
  <c r="B9" i="7"/>
  <c r="B32" i="7"/>
  <c r="B24" i="7"/>
  <c r="B16" i="7"/>
  <c r="AB66" i="7" l="1"/>
  <c r="B8" i="7"/>
  <c r="AB67" i="7"/>
</calcChain>
</file>

<file path=xl/sharedStrings.xml><?xml version="1.0" encoding="utf-8"?>
<sst xmlns="http://schemas.openxmlformats.org/spreadsheetml/2006/main" count="84" uniqueCount="65">
  <si>
    <t>ދެޖިންސް</t>
  </si>
  <si>
    <t>ފިރިހެން</t>
  </si>
  <si>
    <t>އަންހެން</t>
  </si>
  <si>
    <t>Both Sexes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</si>
  <si>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</si>
  <si>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</si>
  <si>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</si>
  <si>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</si>
  <si>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</si>
  <si>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>ACCOUNTING AND BUDGET</t>
  </si>
  <si>
    <t>ADMINISTRATIVE</t>
  </si>
  <si>
    <t>ATTORNEYS</t>
  </si>
  <si>
    <t>AVIATION COMMAND OFFICERS</t>
  </si>
  <si>
    <t>BIOLOGICAL SCIENCE SERVICE</t>
  </si>
  <si>
    <t>CLEANING AND MAINTENANCE</t>
  </si>
  <si>
    <t>CLERICAL SUPPORT WORKERS</t>
  </si>
  <si>
    <t>DENTISTS</t>
  </si>
  <si>
    <t>DOCTORS</t>
  </si>
  <si>
    <t>EDUCATION SERVICES</t>
  </si>
  <si>
    <t>ENGINEERING AND ARCHITECTURE</t>
  </si>
  <si>
    <t>IMMIGRATION OFFICERS</t>
  </si>
  <si>
    <t>INFORMATION TECHNOLOGY</t>
  </si>
  <si>
    <t>LABORATORY SUPPORT SERVICE</t>
  </si>
  <si>
    <t>LAWYERS</t>
  </si>
  <si>
    <t>LECTURERS</t>
  </si>
  <si>
    <t>METEOROLOGICAL ENGINEERS</t>
  </si>
  <si>
    <t>METEOROLOGY</t>
  </si>
  <si>
    <t>MUDHIM AND IMAAM</t>
  </si>
  <si>
    <t>NATURAL RESOURCE MANAGEMENT SERVICE</t>
  </si>
  <si>
    <t>NURSES</t>
  </si>
  <si>
    <t>OTHER HEALTH SERVICES</t>
  </si>
  <si>
    <t>PHYSICAL AND EARTH SCIENCES</t>
  </si>
  <si>
    <t>PROTECTIVE SERVICE WORKERS</t>
  </si>
  <si>
    <t>PUBLIC HEALTH SERVICES</t>
  </si>
  <si>
    <t>SEISMOLOGY</t>
  </si>
  <si>
    <t>SOCIAL AND RELIGIOUS SERVICES</t>
  </si>
  <si>
    <t>TRANSPORT SERVICES</t>
  </si>
  <si>
    <t>TECHNICAL - GENERAL</t>
  </si>
  <si>
    <t>Occupation</t>
  </si>
  <si>
    <t>Locals</t>
  </si>
  <si>
    <t>Foreigners</t>
  </si>
  <si>
    <t>VAAIZ</t>
  </si>
  <si>
    <t>GENERAL MEDICAL DOCTORS</t>
  </si>
  <si>
    <t>SPECIALIST MEDICAL PRACTITIONER</t>
  </si>
  <si>
    <t>PSYCHOLOGISTS</t>
  </si>
  <si>
    <t xml:space="preserve"> </t>
  </si>
  <si>
    <t>COUNCIL OFFICERS</t>
  </si>
  <si>
    <t>EDUCATION DEVELOPMENT OFFICERS</t>
  </si>
  <si>
    <t>ELEMENTARY OCCUPATIONS (IMMIGRATION SECTOR) (TRANSPORT SERVICE ASSISTANTS)</t>
  </si>
  <si>
    <t>ELEMENTARY OCCUPATIONS (IMMIGRATION SECTOR)(SUPPORT SERVICE ASSISTANTS)</t>
  </si>
  <si>
    <t>FINANCE AND ACCOUNTING</t>
  </si>
  <si>
    <t>FINANCE MINISTRY - TECHNICAL</t>
  </si>
  <si>
    <t>FINANCE MINISTRY- ADMINISTRATIVE</t>
  </si>
  <si>
    <t>LABOUR RELATIONS AUTHORITY (TECHNICAL)</t>
  </si>
  <si>
    <t>METEOROLOGICAL DIRECTORS (METEOROLOGY)</t>
  </si>
  <si>
    <t>MEDICAL ASSISTANT</t>
  </si>
  <si>
    <t>Table 5.8: CIVIL SERVANTS CLASSIFIED BY OCCUPATION, NATIONALITY AND SEX, 2022</t>
  </si>
  <si>
    <t>ތާވަލު 5.8: އަދާކުރާ ވަޒީފާގެ ގޮތުން ދިވެހިންނާއި އަދި ބިދޭސީ ސިވިލް ސަރވަންޓުން ބެހިފައިވާ ގޮތް އަދި ޖިންސް، 2022</t>
  </si>
  <si>
    <t>DIRECTOR GENERAL OF HEALTH SERVICES</t>
  </si>
  <si>
    <t>PRINCIPALS</t>
  </si>
  <si>
    <t>DEPUTY PRINCIPALS</t>
  </si>
  <si>
    <t>EDUCATION DEVELOPMENT PROFESSIONALS</t>
  </si>
  <si>
    <t xml:space="preserve">TEACHERS </t>
  </si>
  <si>
    <t>CHIEF EXCECUTIVE, UTILITY REGULATORY AUTHORITY</t>
  </si>
  <si>
    <t>NCIT 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</si>
</sst>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5" formatCode="_-* #,##0\ _ރ_._-;_-* #,##0\ _ރ_.\-;_-* &quot;-&quot;??\ _ރ_.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</font>
    <font>
      <i/>
      <sz val="9"/>
      <color theme="1"/>
      <name val="Calibri"/>
      <family val="2"/>
    </font>
    <font>
      <sz val="9"/>
      <color theme="1"/>
      <name val="Faruma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 tint="4.9989318521683403E-2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11" fillId="0" borderId="0"/>
    <xf numFmtId="0" fontId="4" fillId="0" borderId="0"/>
    <xf numFmtId="43" fontId="4" fillId="0" borderId="0" applyFont="0" applyFill="0" applyBorder="0" applyAlignment="0" applyProtection="0"/>
    <xf numFmtId="0" fontId="12" fillId="0" borderId="0"/>
    <xf numFmtId="0" fontId="4" fillId="0" borderId="0"/>
  </cellStyleXfs>
  <cellXfs count="42">
    <xf numFmtId="0" fontId="0" fillId="0" borderId="0" xfId="0"/>
    <xf numFmtId="0" fontId="0" fillId="2" borderId="0" xfId="0" applyFill="1"/>
    <xf numFmtId="0" fontId="7" fillId="2" borderId="0" xfId="0" applyFont="1" applyFill="1" applyAlignment="1">
      <alignment horizontal="right" vertical="center" readingOrder="2"/>
    </xf>
    <xf numFmtId="165" fontId="6" fillId="2" borderId="2" xfId="1" applyNumberFormat="1" applyFont="1" applyFill="1" applyBorder="1" applyAlignment="1">
      <alignment horizontal="right" vertical="center"/>
    </xf>
    <xf numFmtId="165" fontId="6" fillId="2" borderId="0" xfId="1" applyNumberFormat="1" applyFont="1" applyFill="1" applyBorder="1" applyAlignment="1">
      <alignment horizontal="center" vertical="center"/>
    </xf>
    <xf numFmtId="3" fontId="6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3" fontId="8" fillId="2" borderId="0" xfId="1" applyNumberFormat="1" applyFont="1" applyFill="1" applyBorder="1" applyAlignment="1">
      <alignment horizontal="right" vertical="center"/>
    </xf>
    <xf numFmtId="3" fontId="8" fillId="2" borderId="2" xfId="1" applyNumberFormat="1" applyFont="1" applyFill="1" applyBorder="1" applyAlignment="1">
      <alignment horizontal="right" vertical="center"/>
    </xf>
    <xf numFmtId="3" fontId="6" fillId="2" borderId="2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0" fillId="2" borderId="2" xfId="0" applyFill="1" applyBorder="1"/>
    <xf numFmtId="165" fontId="6" fillId="2" borderId="1" xfId="1" applyNumberFormat="1" applyFont="1" applyFill="1" applyBorder="1" applyAlignment="1">
      <alignment horizontal="center" vertical="center"/>
    </xf>
    <xf numFmtId="3" fontId="0" fillId="2" borderId="2" xfId="0" applyNumberFormat="1" applyFill="1" applyBorder="1"/>
    <xf numFmtId="3" fontId="6" fillId="2" borderId="1" xfId="1" applyNumberFormat="1" applyFont="1" applyFill="1" applyBorder="1" applyAlignment="1">
      <alignment horizontal="right" vertical="center"/>
    </xf>
    <xf numFmtId="0" fontId="10" fillId="3" borderId="0" xfId="0" applyFont="1" applyFill="1" applyAlignment="1">
      <alignment horizontal="left" vertical="center" indent="1"/>
    </xf>
    <xf numFmtId="0" fontId="13" fillId="3" borderId="0" xfId="0" applyFont="1" applyFill="1" applyAlignment="1">
      <alignment horizontal="left" vertical="center" indent="1"/>
    </xf>
    <xf numFmtId="3" fontId="15" fillId="3" borderId="0" xfId="0" applyNumberFormat="1" applyFont="1" applyFill="1" applyAlignment="1">
      <alignment horizontal="right" vertical="center"/>
    </xf>
    <xf numFmtId="0" fontId="14" fillId="3" borderId="3" xfId="0" applyFont="1" applyFill="1" applyBorder="1" applyAlignment="1">
      <alignment horizontal="left" vertical="center" indent="1"/>
    </xf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 wrapText="1"/>
    </xf>
    <xf numFmtId="165" fontId="6" fillId="2" borderId="0" xfId="1" applyNumberFormat="1" applyFont="1" applyFill="1" applyBorder="1" applyAlignment="1">
      <alignment vertical="center"/>
    </xf>
    <xf numFmtId="165" fontId="6" fillId="2" borderId="0" xfId="1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wrapText="1"/>
    </xf>
    <xf numFmtId="0" fontId="16" fillId="2" borderId="0" xfId="0" applyFont="1" applyFill="1" applyAlignment="1">
      <alignment vertical="center"/>
    </xf>
    <xf numFmtId="0" fontId="0" fillId="2" borderId="0" xfId="0" applyFill="1" applyAlignment="1">
      <alignment wrapText="1"/>
    </xf>
    <xf numFmtId="0" fontId="16" fillId="2" borderId="2" xfId="0" applyFont="1" applyFill="1" applyBorder="1" applyAlignment="1">
      <alignment vertical="center"/>
    </xf>
    <xf numFmtId="0" fontId="16" fillId="2" borderId="0" xfId="0" applyFont="1" applyFill="1" applyAlignment="1">
      <alignment horizontal="right" wrapText="1"/>
    </xf>
    <xf numFmtId="3" fontId="16" fillId="2" borderId="0" xfId="0" applyNumberFormat="1" applyFont="1" applyFill="1" applyAlignment="1">
      <alignment horizontal="right" wrapText="1"/>
    </xf>
    <xf numFmtId="0" fontId="16" fillId="2" borderId="2" xfId="0" applyFont="1" applyFill="1" applyBorder="1" applyAlignment="1">
      <alignment horizontal="right" wrapText="1"/>
    </xf>
    <xf numFmtId="0" fontId="14" fillId="3" borderId="0" xfId="0" applyFont="1" applyFill="1" applyAlignment="1">
      <alignment horizontal="left" vertical="center" indent="1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6" fillId="2" borderId="4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8">
    <cellStyle name="1" xfId="7" xr:uid="{00000000-0005-0000-0000-000000000000}"/>
    <cellStyle name="Comma" xfId="1" builtinId="3"/>
    <cellStyle name="Comma 3" xfId="5" xr:uid="{00000000-0005-0000-0000-000002000000}"/>
    <cellStyle name="Normal" xfId="0" builtinId="0"/>
    <cellStyle name="Normal 11" xfId="6" xr:uid="{00000000-0005-0000-0000-000004000000}"/>
    <cellStyle name="Normal 2" xfId="2" xr:uid="{00000000-0005-0000-0000-000005000000}"/>
    <cellStyle name="Normal 4" xfId="3" xr:uid="{00000000-0005-0000-0000-000006000000}"/>
    <cellStyle name="Normal 5" xfId="4" xr:uid="{00000000-0005-0000-0000-000007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5.10: Number of civil servants by nationality and sex,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290825378671238E-2"/>
          <c:y val="0.14029312331592886"/>
          <c:w val="0.90522500329916866"/>
          <c:h val="0.771760019547068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'5.8'!$AC$65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'5.8'!$AA$66:$AA$67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'5.8'!$AC$66:$AC$67</c:f>
              <c:numCache>
                <c:formatCode>#,##0</c:formatCode>
                <c:ptCount val="2"/>
                <c:pt idx="0">
                  <c:v>9336</c:v>
                </c:pt>
                <c:pt idx="1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2-493F-9C89-D0791A6263CE}"/>
            </c:ext>
          </c:extLst>
        </c:ser>
        <c:ser>
          <c:idx val="2"/>
          <c:order val="2"/>
          <c:tx>
            <c:strRef>
              <c:f>'5.8'!$AD$65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'5.8'!$AA$66:$AA$67</c:f>
              <c:strCache>
                <c:ptCount val="2"/>
                <c:pt idx="0">
                  <c:v>Locals</c:v>
                </c:pt>
                <c:pt idx="1">
                  <c:v>Foreigners</c:v>
                </c:pt>
              </c:strCache>
            </c:strRef>
          </c:cat>
          <c:val>
            <c:numRef>
              <c:f>'5.8'!$AD$66:$AD$67</c:f>
              <c:numCache>
                <c:formatCode>#,##0</c:formatCode>
                <c:ptCount val="2"/>
                <c:pt idx="0">
                  <c:v>17794</c:v>
                </c:pt>
                <c:pt idx="1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2-493F-9C89-D0791A626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2"/>
        <c:axId val="485850072"/>
        <c:axId val="485850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'5.8'!$AB$65</c15:sqref>
                        </c15:formulaRef>
                      </c:ext>
                    </c:extLst>
                    <c:strCache>
                      <c:ptCount val="1"/>
                      <c:pt idx="0">
                        <c:v>Both Sexes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'5.8'!$AA$66:$AA$67</c15:sqref>
                        </c15:formulaRef>
                      </c:ext>
                    </c:extLst>
                    <c:strCache>
                      <c:ptCount val="2"/>
                      <c:pt idx="0">
                        <c:v>Locals</c:v>
                      </c:pt>
                      <c:pt idx="1">
                        <c:v>Foreigners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'5.8'!$AB$66:$AB$67</c15:sqref>
                        </c15:formulaRef>
                      </c:ext>
                    </c:extLst>
                    <c:numCache>
                      <c:formatCode>#,##0</c:formatCode>
                      <c:ptCount val="2"/>
                      <c:pt idx="0">
                        <c:v>27130</c:v>
                      </c:pt>
                      <c:pt idx="1">
                        <c:v>1164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8A2-493F-9C89-D0791A6263CE}"/>
                  </c:ext>
                </c:extLst>
              </c15:ser>
            </c15:filteredBarSeries>
          </c:ext>
        </c:extLst>
      </c:barChart>
      <c:catAx>
        <c:axId val="48585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0464"/>
        <c:crosses val="autoZero"/>
        <c:auto val="1"/>
        <c:lblAlgn val="ctr"/>
        <c:lblOffset val="100"/>
        <c:noMultiLvlLbl val="0"/>
      </c:catAx>
      <c:valAx>
        <c:axId val="485850464"/>
        <c:scaling>
          <c:orientation val="minMax"/>
          <c:max val="18000"/>
        </c:scaling>
        <c:delete val="0"/>
        <c:axPos val="l"/>
        <c:majorGridlines>
          <c:spPr>
            <a:ln w="9525" cap="flat" cmpd="sng" algn="ctr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0072"/>
        <c:crosses val="autoZero"/>
        <c:crossBetween val="between"/>
      </c:valAx>
      <c:spPr>
        <a:solidFill>
          <a:srgbClr val="F0F4FA"/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8437631050308656"/>
          <c:y val="0.24397129703895354"/>
          <c:w val="0.19363172480534904"/>
          <c:h val="7.5833713625547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1390650</xdr:colOff>
      <xdr:row>60</xdr:row>
      <xdr:rowOff>14286</xdr:rowOff>
    </xdr:from>
    <xdr:to>
      <xdr:col>10</xdr:col>
      <xdr:colOff>419100</xdr:colOff>
      <xdr:row>77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AF146"/>
  <sheetViews>
    <sheetView tabSelected="1" zoomScaleNormal="100" zoomScaleSheetLayoutView="87" workbookViewId="0">
      <selection activeCell="M64" sqref="M64"/>
    </sheetView>
  </sheetViews>
  <sheetFormatPr defaultRowHeight="15" x14ac:dyDescent="0.25"/>
  <cols>
    <col min="1" max="1" width="48" style="1" bestFit="1" customWidth="1"/>
    <col min="2" max="2" width="10.28515625" style="1" customWidth="1"/>
    <col min="3" max="4" width="9.140625" style="1"/>
    <col min="5" max="5" width="2" style="1" customWidth="1"/>
    <col min="6" max="8" width="9.140625" style="1"/>
    <col min="9" max="9" width="1.7109375" style="1" customWidth="1"/>
    <col min="10" max="12" width="9.140625" style="1"/>
    <col min="13" max="13" width="3.140625" style="1" customWidth="1"/>
    <col min="14" max="16384" width="9.140625" style="1"/>
  </cols>
  <sheetData>
    <row r="2" spans="1:32" ht="21" x14ac:dyDescent="0.55000000000000004">
      <c r="A2" s="36" t="s">
        <v>57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32" x14ac:dyDescent="0.25">
      <c r="A3" s="37" t="s">
        <v>56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</row>
    <row r="5" spans="1:32" x14ac:dyDescent="0.25">
      <c r="A5" s="39" t="s">
        <v>38</v>
      </c>
      <c r="B5" s="38" t="s">
        <v>6</v>
      </c>
      <c r="C5" s="38"/>
      <c r="D5" s="38"/>
      <c r="E5" s="14"/>
      <c r="F5" s="38" t="s">
        <v>39</v>
      </c>
      <c r="G5" s="38"/>
      <c r="H5" s="38"/>
      <c r="I5" s="14"/>
      <c r="J5" s="38" t="s">
        <v>40</v>
      </c>
      <c r="K5" s="38"/>
      <c r="L5" s="38"/>
    </row>
    <row r="6" spans="1:32" ht="18.75" x14ac:dyDescent="0.25">
      <c r="A6" s="40"/>
      <c r="B6" s="2" t="s">
        <v>0</v>
      </c>
      <c r="C6" s="2" t="s">
        <v>1</v>
      </c>
      <c r="D6" s="2" t="s">
        <v>2</v>
      </c>
      <c r="E6" s="2"/>
      <c r="F6" s="2" t="s">
        <v>0</v>
      </c>
      <c r="G6" s="2" t="s">
        <v>1</v>
      </c>
      <c r="H6" s="2" t="s">
        <v>2</v>
      </c>
      <c r="I6" s="2"/>
      <c r="J6" s="2" t="s">
        <v>0</v>
      </c>
      <c r="K6" s="2" t="s">
        <v>1</v>
      </c>
      <c r="L6" s="2" t="s">
        <v>2</v>
      </c>
    </row>
    <row r="7" spans="1:32" x14ac:dyDescent="0.25">
      <c r="A7" s="41"/>
      <c r="B7" s="3" t="s">
        <v>3</v>
      </c>
      <c r="C7" s="3" t="s">
        <v>4</v>
      </c>
      <c r="D7" s="3" t="s">
        <v>5</v>
      </c>
      <c r="E7" s="3"/>
      <c r="F7" s="3" t="s">
        <v>3</v>
      </c>
      <c r="G7" s="3" t="s">
        <v>4</v>
      </c>
      <c r="H7" s="3" t="s">
        <v>5</v>
      </c>
      <c r="I7" s="3"/>
      <c r="J7" s="3" t="s">
        <v>3</v>
      </c>
      <c r="K7" s="3" t="s">
        <v>4</v>
      </c>
      <c r="L7" s="3" t="s">
        <v>5</v>
      </c>
    </row>
    <row r="8" spans="1:32" ht="16.149999999999999" customHeight="1" x14ac:dyDescent="0.25">
      <c r="A8" s="23" t="s">
        <v>6</v>
      </c>
      <c r="B8" s="5">
        <f>F8+J8</f>
        <v>28294</v>
      </c>
      <c r="C8" s="5">
        <f>G8+K8</f>
        <v>9975</v>
      </c>
      <c r="D8" s="5">
        <f t="shared" ref="D8" si="0">H8+L8</f>
        <v>18319</v>
      </c>
      <c r="E8" s="5"/>
      <c r="F8" s="5">
        <f>G8+H8</f>
        <v>27130</v>
      </c>
      <c r="G8" s="5">
        <f>SUM(G9:G58)</f>
        <v>9336</v>
      </c>
      <c r="H8" s="5">
        <f>SUM(H9:H58)</f>
        <v>17794</v>
      </c>
      <c r="I8" s="16"/>
      <c r="J8" s="5">
        <f>K8+L8</f>
        <v>1164</v>
      </c>
      <c r="K8" s="5">
        <f>SUM(K9:K58)</f>
        <v>639</v>
      </c>
      <c r="L8" s="5">
        <f>SUM(L9:L58)</f>
        <v>525</v>
      </c>
    </row>
    <row r="9" spans="1:32" ht="16.149999999999999" customHeight="1" x14ac:dyDescent="0.25">
      <c r="A9" s="27" t="s">
        <v>9</v>
      </c>
      <c r="B9" s="5">
        <f>F9+J9</f>
        <v>427</v>
      </c>
      <c r="C9" s="7">
        <f>G9+K9</f>
        <v>125</v>
      </c>
      <c r="D9" s="7">
        <f t="shared" ref="D9:D38" si="1">H9+L9</f>
        <v>302</v>
      </c>
      <c r="E9" s="5"/>
      <c r="F9" s="5">
        <f t="shared" ref="F9:F38" si="2">G9+H9</f>
        <v>427</v>
      </c>
      <c r="G9" s="31">
        <v>125</v>
      </c>
      <c r="H9" s="31">
        <v>302</v>
      </c>
      <c r="I9" s="10"/>
      <c r="J9" s="5">
        <f t="shared" ref="J9:J54" si="3">K9+L9</f>
        <v>0</v>
      </c>
      <c r="K9" s="31">
        <v>0</v>
      </c>
      <c r="L9" s="31">
        <v>0</v>
      </c>
    </row>
    <row r="10" spans="1:32" ht="16.149999999999999" customHeight="1" x14ac:dyDescent="0.25">
      <c r="A10" s="27" t="s">
        <v>10</v>
      </c>
      <c r="B10" s="5">
        <f t="shared" ref="B10:B38" si="4">F10+J10</f>
        <v>4284</v>
      </c>
      <c r="C10" s="7">
        <f t="shared" ref="C10:C38" si="5">G10+K10</f>
        <v>1471</v>
      </c>
      <c r="D10" s="7">
        <f t="shared" si="1"/>
        <v>2813</v>
      </c>
      <c r="E10" s="5"/>
      <c r="F10" s="5">
        <f t="shared" si="2"/>
        <v>4284</v>
      </c>
      <c r="G10" s="32">
        <v>1471</v>
      </c>
      <c r="H10" s="32">
        <v>2813</v>
      </c>
      <c r="I10" s="10"/>
      <c r="J10" s="5">
        <f t="shared" si="3"/>
        <v>0</v>
      </c>
      <c r="K10" s="31">
        <v>0</v>
      </c>
      <c r="L10" s="31">
        <v>0</v>
      </c>
    </row>
    <row r="11" spans="1:32" ht="16.149999999999999" customHeight="1" x14ac:dyDescent="0.25">
      <c r="A11" s="27" t="s">
        <v>11</v>
      </c>
      <c r="B11" s="5">
        <f t="shared" si="4"/>
        <v>39</v>
      </c>
      <c r="C11" s="7">
        <f t="shared" si="5"/>
        <v>16</v>
      </c>
      <c r="D11" s="7">
        <f t="shared" si="1"/>
        <v>23</v>
      </c>
      <c r="E11" s="5"/>
      <c r="F11" s="5">
        <f t="shared" si="2"/>
        <v>39</v>
      </c>
      <c r="G11" s="31">
        <v>16</v>
      </c>
      <c r="H11" s="31">
        <v>23</v>
      </c>
      <c r="I11" s="10"/>
      <c r="J11" s="5">
        <f t="shared" si="3"/>
        <v>0</v>
      </c>
      <c r="K11" s="31">
        <v>0</v>
      </c>
      <c r="L11" s="31">
        <v>0</v>
      </c>
    </row>
    <row r="12" spans="1:32" ht="16.149999999999999" customHeight="1" x14ac:dyDescent="0.25">
      <c r="A12" s="27" t="s">
        <v>12</v>
      </c>
      <c r="B12" s="5">
        <f t="shared" si="4"/>
        <v>633</v>
      </c>
      <c r="C12" s="7">
        <f t="shared" si="5"/>
        <v>454</v>
      </c>
      <c r="D12" s="7">
        <f t="shared" si="1"/>
        <v>179</v>
      </c>
      <c r="E12" s="5"/>
      <c r="F12" s="5">
        <f t="shared" si="2"/>
        <v>633</v>
      </c>
      <c r="G12" s="31">
        <v>454</v>
      </c>
      <c r="H12" s="31">
        <v>179</v>
      </c>
      <c r="I12" s="10"/>
      <c r="J12" s="5">
        <f t="shared" si="3"/>
        <v>0</v>
      </c>
      <c r="K12" s="31">
        <v>0</v>
      </c>
      <c r="L12" s="31">
        <v>0</v>
      </c>
    </row>
    <row r="13" spans="1:32" ht="16.149999999999999" customHeight="1" x14ac:dyDescent="0.25">
      <c r="A13" s="27" t="s">
        <v>13</v>
      </c>
      <c r="B13" s="5">
        <f t="shared" si="4"/>
        <v>16</v>
      </c>
      <c r="C13" s="7">
        <f t="shared" si="5"/>
        <v>4</v>
      </c>
      <c r="D13" s="7">
        <f t="shared" si="1"/>
        <v>12</v>
      </c>
      <c r="E13" s="5"/>
      <c r="F13" s="5">
        <f t="shared" si="2"/>
        <v>16</v>
      </c>
      <c r="G13" s="31">
        <v>4</v>
      </c>
      <c r="H13" s="31">
        <v>12</v>
      </c>
      <c r="I13" s="10"/>
      <c r="J13" s="5">
        <f t="shared" si="3"/>
        <v>0</v>
      </c>
      <c r="K13" s="31">
        <v>0</v>
      </c>
      <c r="L13" s="31">
        <v>0</v>
      </c>
    </row>
    <row r="14" spans="1:32" ht="16.149999999999999" customHeight="1" x14ac:dyDescent="0.25">
      <c r="A14" s="28" t="s">
        <v>63</v>
      </c>
      <c r="B14" s="5">
        <f t="shared" si="4"/>
        <v>2</v>
      </c>
      <c r="C14" s="7">
        <f t="shared" si="5"/>
        <v>2</v>
      </c>
      <c r="D14" s="7">
        <f t="shared" si="1"/>
        <v>0</v>
      </c>
      <c r="E14" s="5"/>
      <c r="F14" s="5">
        <f t="shared" si="2"/>
        <v>2</v>
      </c>
      <c r="G14" s="31">
        <v>2</v>
      </c>
      <c r="H14" s="31">
        <v>0</v>
      </c>
      <c r="I14" s="10"/>
      <c r="J14" s="5">
        <f t="shared" si="3"/>
        <v>0</v>
      </c>
      <c r="K14" s="31">
        <v>0</v>
      </c>
      <c r="L14" s="31">
        <v>0</v>
      </c>
    </row>
    <row r="15" spans="1:32" ht="16.149999999999999" customHeight="1" x14ac:dyDescent="0.25">
      <c r="A15" s="27" t="s">
        <v>14</v>
      </c>
      <c r="B15" s="5">
        <f t="shared" si="4"/>
        <v>3523</v>
      </c>
      <c r="C15" s="7">
        <f t="shared" si="5"/>
        <v>980</v>
      </c>
      <c r="D15" s="7">
        <f t="shared" si="1"/>
        <v>2543</v>
      </c>
      <c r="E15" s="5"/>
      <c r="F15" s="5">
        <f t="shared" si="2"/>
        <v>3516</v>
      </c>
      <c r="G15" s="31">
        <v>973</v>
      </c>
      <c r="H15" s="32">
        <v>2543</v>
      </c>
      <c r="I15" s="10"/>
      <c r="J15" s="5">
        <f t="shared" si="3"/>
        <v>7</v>
      </c>
      <c r="K15" s="31">
        <v>7</v>
      </c>
      <c r="L15" s="31">
        <v>0</v>
      </c>
    </row>
    <row r="16" spans="1:32" ht="16.149999999999999" customHeight="1" x14ac:dyDescent="0.25">
      <c r="A16" s="27" t="s">
        <v>15</v>
      </c>
      <c r="B16" s="5">
        <f t="shared" si="4"/>
        <v>267</v>
      </c>
      <c r="C16" s="7">
        <f t="shared" si="5"/>
        <v>110</v>
      </c>
      <c r="D16" s="7">
        <f t="shared" si="1"/>
        <v>157</v>
      </c>
      <c r="E16" s="5"/>
      <c r="F16" s="5">
        <f t="shared" si="2"/>
        <v>267</v>
      </c>
      <c r="G16" s="31">
        <v>110</v>
      </c>
      <c r="H16" s="31">
        <v>157</v>
      </c>
      <c r="I16" s="10"/>
      <c r="J16" s="5">
        <f t="shared" si="3"/>
        <v>0</v>
      </c>
      <c r="K16" s="31">
        <v>0</v>
      </c>
      <c r="L16" s="31">
        <v>0</v>
      </c>
    </row>
    <row r="17" spans="1:12" ht="16.149999999999999" customHeight="1" x14ac:dyDescent="0.25">
      <c r="A17" s="27" t="s">
        <v>46</v>
      </c>
      <c r="B17" s="5">
        <f t="shared" si="4"/>
        <v>3504</v>
      </c>
      <c r="C17" s="7">
        <f t="shared" si="5"/>
        <v>1915</v>
      </c>
      <c r="D17" s="7">
        <f t="shared" si="1"/>
        <v>1589</v>
      </c>
      <c r="E17" s="5"/>
      <c r="F17" s="5">
        <f t="shared" si="2"/>
        <v>3490</v>
      </c>
      <c r="G17" s="32">
        <v>1901</v>
      </c>
      <c r="H17" s="32">
        <v>1589</v>
      </c>
      <c r="I17" s="10"/>
      <c r="J17" s="5">
        <f t="shared" si="3"/>
        <v>14</v>
      </c>
      <c r="K17" s="31">
        <v>14</v>
      </c>
      <c r="L17" s="31">
        <v>0</v>
      </c>
    </row>
    <row r="18" spans="1:12" ht="16.149999999999999" customHeight="1" x14ac:dyDescent="0.25">
      <c r="A18" s="27" t="s">
        <v>16</v>
      </c>
      <c r="B18" s="5">
        <f t="shared" si="4"/>
        <v>21</v>
      </c>
      <c r="C18" s="7">
        <f t="shared" si="5"/>
        <v>11</v>
      </c>
      <c r="D18" s="7">
        <f t="shared" si="1"/>
        <v>10</v>
      </c>
      <c r="E18" s="5"/>
      <c r="F18" s="5">
        <f t="shared" si="2"/>
        <v>11</v>
      </c>
      <c r="G18" s="31">
        <v>1</v>
      </c>
      <c r="H18" s="31">
        <v>10</v>
      </c>
      <c r="I18" s="10"/>
      <c r="J18" s="5">
        <f t="shared" si="3"/>
        <v>10</v>
      </c>
      <c r="K18" s="31">
        <v>10</v>
      </c>
      <c r="L18" s="31">
        <v>0</v>
      </c>
    </row>
    <row r="19" spans="1:12" ht="16.149999999999999" customHeight="1" x14ac:dyDescent="0.25">
      <c r="A19" s="27" t="s">
        <v>60</v>
      </c>
      <c r="B19" s="5">
        <f t="shared" si="4"/>
        <v>51</v>
      </c>
      <c r="C19" s="7">
        <f t="shared" si="5"/>
        <v>18</v>
      </c>
      <c r="D19" s="7">
        <f t="shared" si="1"/>
        <v>33</v>
      </c>
      <c r="E19" s="5"/>
      <c r="F19" s="5">
        <f t="shared" si="2"/>
        <v>51</v>
      </c>
      <c r="G19" s="31">
        <v>18</v>
      </c>
      <c r="H19" s="31">
        <v>33</v>
      </c>
      <c r="I19" s="10"/>
      <c r="J19" s="5">
        <f t="shared" si="3"/>
        <v>0</v>
      </c>
      <c r="K19" s="31">
        <v>0</v>
      </c>
      <c r="L19" s="31">
        <v>0</v>
      </c>
    </row>
    <row r="20" spans="1:12" ht="16.149999999999999" customHeight="1" x14ac:dyDescent="0.25">
      <c r="A20" s="27" t="s">
        <v>58</v>
      </c>
      <c r="B20" s="5">
        <f t="shared" si="4"/>
        <v>1</v>
      </c>
      <c r="C20" s="7">
        <f t="shared" si="5"/>
        <v>1</v>
      </c>
      <c r="D20" s="7">
        <f t="shared" si="1"/>
        <v>0</v>
      </c>
      <c r="E20" s="5"/>
      <c r="F20" s="5">
        <f t="shared" si="2"/>
        <v>1</v>
      </c>
      <c r="G20" s="31">
        <v>1</v>
      </c>
      <c r="H20" s="31">
        <v>0</v>
      </c>
      <c r="I20" s="10"/>
      <c r="J20" s="5">
        <f t="shared" si="3"/>
        <v>0</v>
      </c>
      <c r="K20" s="31">
        <v>0</v>
      </c>
      <c r="L20" s="31">
        <v>0</v>
      </c>
    </row>
    <row r="21" spans="1:12" ht="16.149999999999999" customHeight="1" x14ac:dyDescent="0.25">
      <c r="A21" s="27" t="s">
        <v>17</v>
      </c>
      <c r="B21" s="5">
        <f t="shared" si="4"/>
        <v>9</v>
      </c>
      <c r="C21" s="7">
        <f t="shared" si="5"/>
        <v>6</v>
      </c>
      <c r="D21" s="7">
        <f t="shared" si="1"/>
        <v>3</v>
      </c>
      <c r="E21" s="5"/>
      <c r="F21" s="5">
        <f t="shared" si="2"/>
        <v>2</v>
      </c>
      <c r="G21" s="31">
        <v>1</v>
      </c>
      <c r="H21" s="31">
        <v>1</v>
      </c>
      <c r="I21" s="10"/>
      <c r="J21" s="5">
        <f t="shared" si="3"/>
        <v>7</v>
      </c>
      <c r="K21" s="31">
        <v>5</v>
      </c>
      <c r="L21" s="31">
        <v>2</v>
      </c>
    </row>
    <row r="22" spans="1:12" ht="16.149999999999999" customHeight="1" x14ac:dyDescent="0.25">
      <c r="A22" s="27" t="s">
        <v>47</v>
      </c>
      <c r="B22" s="5">
        <f t="shared" si="4"/>
        <v>2</v>
      </c>
      <c r="C22" s="7">
        <f t="shared" si="5"/>
        <v>0</v>
      </c>
      <c r="D22" s="7">
        <f t="shared" si="1"/>
        <v>2</v>
      </c>
      <c r="E22" s="5"/>
      <c r="F22" s="5">
        <f t="shared" si="2"/>
        <v>2</v>
      </c>
      <c r="G22" s="31">
        <v>0</v>
      </c>
      <c r="H22" s="31">
        <v>2</v>
      </c>
      <c r="I22" s="10"/>
      <c r="J22" s="5">
        <f t="shared" si="3"/>
        <v>0</v>
      </c>
      <c r="K22" s="31">
        <v>0</v>
      </c>
      <c r="L22" s="31">
        <v>0</v>
      </c>
    </row>
    <row r="23" spans="1:12" ht="16.149999999999999" customHeight="1" x14ac:dyDescent="0.25">
      <c r="A23" s="27" t="s">
        <v>61</v>
      </c>
      <c r="B23" s="5">
        <f t="shared" si="4"/>
        <v>97</v>
      </c>
      <c r="C23" s="7">
        <f t="shared" si="5"/>
        <v>41</v>
      </c>
      <c r="D23" s="7">
        <f t="shared" si="1"/>
        <v>56</v>
      </c>
      <c r="E23" s="5"/>
      <c r="F23" s="5">
        <f t="shared" si="2"/>
        <v>97</v>
      </c>
      <c r="G23" s="31">
        <v>41</v>
      </c>
      <c r="H23" s="31">
        <v>56</v>
      </c>
      <c r="I23" s="10"/>
      <c r="J23" s="5">
        <f t="shared" si="3"/>
        <v>0</v>
      </c>
      <c r="K23" s="31">
        <v>0</v>
      </c>
      <c r="L23" s="31">
        <v>0</v>
      </c>
    </row>
    <row r="24" spans="1:12" ht="15" customHeight="1" x14ac:dyDescent="0.25">
      <c r="A24" s="27" t="s">
        <v>18</v>
      </c>
      <c r="B24" s="5">
        <f t="shared" si="4"/>
        <v>18</v>
      </c>
      <c r="C24" s="7">
        <f t="shared" si="5"/>
        <v>11</v>
      </c>
      <c r="D24" s="7">
        <f t="shared" si="1"/>
        <v>7</v>
      </c>
      <c r="E24" s="5"/>
      <c r="F24" s="5">
        <f t="shared" si="2"/>
        <v>18</v>
      </c>
      <c r="G24" s="31">
        <v>11</v>
      </c>
      <c r="H24" s="31">
        <v>7</v>
      </c>
      <c r="I24" s="10"/>
      <c r="J24" s="5">
        <f t="shared" si="3"/>
        <v>0</v>
      </c>
      <c r="K24" s="31">
        <v>0</v>
      </c>
      <c r="L24" s="31">
        <v>0</v>
      </c>
    </row>
    <row r="25" spans="1:12" ht="16.149999999999999" customHeight="1" x14ac:dyDescent="0.25">
      <c r="A25" s="27" t="s">
        <v>48</v>
      </c>
      <c r="B25" s="5">
        <f t="shared" si="4"/>
        <v>1</v>
      </c>
      <c r="C25" s="7">
        <f t="shared" si="5"/>
        <v>1</v>
      </c>
      <c r="D25" s="7">
        <f t="shared" si="1"/>
        <v>0</v>
      </c>
      <c r="E25" s="5"/>
      <c r="F25" s="5">
        <f t="shared" si="2"/>
        <v>1</v>
      </c>
      <c r="G25" s="31">
        <v>1</v>
      </c>
      <c r="H25" s="31">
        <v>0</v>
      </c>
      <c r="I25" s="10"/>
      <c r="J25" s="5">
        <f t="shared" si="3"/>
        <v>0</v>
      </c>
      <c r="K25" s="31">
        <v>0</v>
      </c>
      <c r="L25" s="31">
        <v>0</v>
      </c>
    </row>
    <row r="26" spans="1:12" ht="16.149999999999999" customHeight="1" x14ac:dyDescent="0.25">
      <c r="A26" s="27" t="s">
        <v>49</v>
      </c>
      <c r="B26" s="5">
        <f t="shared" si="4"/>
        <v>2</v>
      </c>
      <c r="C26" s="7">
        <f t="shared" si="5"/>
        <v>1</v>
      </c>
      <c r="D26" s="7">
        <f t="shared" si="1"/>
        <v>1</v>
      </c>
      <c r="E26" s="5"/>
      <c r="F26" s="5">
        <f t="shared" si="2"/>
        <v>2</v>
      </c>
      <c r="G26" s="31">
        <v>1</v>
      </c>
      <c r="H26" s="31">
        <v>1</v>
      </c>
      <c r="I26" s="10"/>
      <c r="J26" s="5">
        <f t="shared" si="3"/>
        <v>0</v>
      </c>
      <c r="K26" s="31">
        <v>0</v>
      </c>
      <c r="L26" s="31">
        <v>0</v>
      </c>
    </row>
    <row r="27" spans="1:12" ht="16.149999999999999" customHeight="1" x14ac:dyDescent="0.25">
      <c r="A27" s="27" t="s">
        <v>19</v>
      </c>
      <c r="B27" s="5">
        <f t="shared" si="4"/>
        <v>63</v>
      </c>
      <c r="C27" s="7">
        <f t="shared" si="5"/>
        <v>44</v>
      </c>
      <c r="D27" s="7">
        <f t="shared" si="1"/>
        <v>19</v>
      </c>
      <c r="E27" s="5"/>
      <c r="F27" s="5">
        <f t="shared" si="2"/>
        <v>63</v>
      </c>
      <c r="G27" s="31">
        <v>44</v>
      </c>
      <c r="H27" s="31">
        <v>19</v>
      </c>
      <c r="I27" s="10"/>
      <c r="J27" s="5">
        <f t="shared" si="3"/>
        <v>0</v>
      </c>
      <c r="K27" s="31">
        <v>0</v>
      </c>
      <c r="L27" s="31">
        <v>0</v>
      </c>
    </row>
    <row r="28" spans="1:12" ht="16.149999999999999" customHeight="1" x14ac:dyDescent="0.25">
      <c r="A28" s="27" t="s">
        <v>50</v>
      </c>
      <c r="B28" s="5">
        <f t="shared" si="4"/>
        <v>3</v>
      </c>
      <c r="C28" s="7">
        <f t="shared" si="5"/>
        <v>1</v>
      </c>
      <c r="D28" s="7">
        <f t="shared" si="1"/>
        <v>2</v>
      </c>
      <c r="E28" s="5"/>
      <c r="F28" s="5">
        <f t="shared" si="2"/>
        <v>3</v>
      </c>
      <c r="G28" s="31">
        <v>1</v>
      </c>
      <c r="H28" s="31">
        <v>2</v>
      </c>
      <c r="I28" s="10"/>
      <c r="J28" s="5">
        <f t="shared" si="3"/>
        <v>0</v>
      </c>
      <c r="K28" s="31">
        <v>0</v>
      </c>
      <c r="L28" s="31">
        <v>0</v>
      </c>
    </row>
    <row r="29" spans="1:12" ht="16.149999999999999" customHeight="1" x14ac:dyDescent="0.25">
      <c r="A29" s="27" t="s">
        <v>51</v>
      </c>
      <c r="B29" s="5">
        <f t="shared" si="4"/>
        <v>86</v>
      </c>
      <c r="C29" s="7">
        <f t="shared" si="5"/>
        <v>21</v>
      </c>
      <c r="D29" s="7">
        <f t="shared" si="1"/>
        <v>65</v>
      </c>
      <c r="E29" s="5"/>
      <c r="F29" s="5">
        <f t="shared" si="2"/>
        <v>86</v>
      </c>
      <c r="G29" s="31">
        <v>21</v>
      </c>
      <c r="H29" s="31">
        <v>65</v>
      </c>
      <c r="I29" s="10"/>
      <c r="J29" s="5">
        <f t="shared" si="3"/>
        <v>0</v>
      </c>
      <c r="K29" s="31">
        <v>0</v>
      </c>
      <c r="L29" s="31">
        <v>0</v>
      </c>
    </row>
    <row r="30" spans="1:12" ht="16.149999999999999" customHeight="1" x14ac:dyDescent="0.25">
      <c r="A30" s="27" t="s">
        <v>52</v>
      </c>
      <c r="B30" s="5">
        <f t="shared" si="4"/>
        <v>17</v>
      </c>
      <c r="C30" s="7">
        <f t="shared" si="5"/>
        <v>11</v>
      </c>
      <c r="D30" s="7">
        <f t="shared" si="1"/>
        <v>6</v>
      </c>
      <c r="E30" s="5"/>
      <c r="F30" s="5">
        <f t="shared" si="2"/>
        <v>17</v>
      </c>
      <c r="G30" s="31">
        <v>11</v>
      </c>
      <c r="H30" s="31">
        <v>6</v>
      </c>
      <c r="I30" s="10"/>
      <c r="J30" s="5">
        <f t="shared" si="3"/>
        <v>0</v>
      </c>
      <c r="K30" s="31">
        <v>0</v>
      </c>
      <c r="L30" s="31">
        <v>0</v>
      </c>
    </row>
    <row r="31" spans="1:12" ht="16.149999999999999" customHeight="1" x14ac:dyDescent="0.25">
      <c r="A31" s="27" t="s">
        <v>42</v>
      </c>
      <c r="B31" s="5">
        <f t="shared" si="4"/>
        <v>375</v>
      </c>
      <c r="C31" s="7">
        <f t="shared" si="5"/>
        <v>200</v>
      </c>
      <c r="D31" s="7">
        <f t="shared" si="1"/>
        <v>175</v>
      </c>
      <c r="E31" s="5"/>
      <c r="F31" s="5">
        <f t="shared" si="2"/>
        <v>184</v>
      </c>
      <c r="G31" s="31">
        <v>51</v>
      </c>
      <c r="H31" s="31">
        <v>133</v>
      </c>
      <c r="I31" s="10"/>
      <c r="J31" s="5">
        <f t="shared" si="3"/>
        <v>191</v>
      </c>
      <c r="K31" s="31">
        <v>149</v>
      </c>
      <c r="L31" s="31">
        <v>42</v>
      </c>
    </row>
    <row r="32" spans="1:12" ht="16.149999999999999" customHeight="1" x14ac:dyDescent="0.25">
      <c r="A32" s="27" t="s">
        <v>20</v>
      </c>
      <c r="B32" s="5">
        <f t="shared" si="4"/>
        <v>315</v>
      </c>
      <c r="C32" s="7">
        <f t="shared" si="5"/>
        <v>181</v>
      </c>
      <c r="D32" s="7">
        <f t="shared" si="1"/>
        <v>134</v>
      </c>
      <c r="E32" s="5"/>
      <c r="F32" s="5">
        <f t="shared" si="2"/>
        <v>315</v>
      </c>
      <c r="G32" s="31">
        <v>181</v>
      </c>
      <c r="H32" s="31">
        <v>134</v>
      </c>
      <c r="I32" s="10"/>
      <c r="J32" s="5">
        <f t="shared" si="3"/>
        <v>0</v>
      </c>
      <c r="K32" s="31">
        <v>0</v>
      </c>
      <c r="L32" s="31">
        <v>0</v>
      </c>
    </row>
    <row r="33" spans="1:12" ht="16.149999999999999" customHeight="1" x14ac:dyDescent="0.25">
      <c r="A33" s="27" t="s">
        <v>21</v>
      </c>
      <c r="B33" s="5">
        <f t="shared" si="4"/>
        <v>236</v>
      </c>
      <c r="C33" s="7">
        <f t="shared" si="5"/>
        <v>195</v>
      </c>
      <c r="D33" s="7">
        <f t="shared" si="1"/>
        <v>41</v>
      </c>
      <c r="E33" s="5"/>
      <c r="F33" s="5">
        <f t="shared" si="2"/>
        <v>236</v>
      </c>
      <c r="G33" s="31">
        <v>195</v>
      </c>
      <c r="H33" s="31">
        <v>41</v>
      </c>
      <c r="I33" s="10"/>
      <c r="J33" s="5">
        <f t="shared" si="3"/>
        <v>0</v>
      </c>
      <c r="K33" s="31">
        <v>0</v>
      </c>
      <c r="L33" s="31">
        <v>0</v>
      </c>
    </row>
    <row r="34" spans="1:12" ht="16.149999999999999" customHeight="1" x14ac:dyDescent="0.25">
      <c r="A34" s="27" t="s">
        <v>22</v>
      </c>
      <c r="B34" s="5">
        <f t="shared" si="4"/>
        <v>343</v>
      </c>
      <c r="C34" s="7">
        <f t="shared" si="5"/>
        <v>84</v>
      </c>
      <c r="D34" s="7">
        <f t="shared" si="1"/>
        <v>259</v>
      </c>
      <c r="E34" s="5"/>
      <c r="F34" s="5">
        <f t="shared" si="2"/>
        <v>281</v>
      </c>
      <c r="G34" s="31">
        <v>43</v>
      </c>
      <c r="H34" s="31">
        <v>238</v>
      </c>
      <c r="I34" s="10"/>
      <c r="J34" s="5">
        <f t="shared" si="3"/>
        <v>62</v>
      </c>
      <c r="K34" s="31">
        <v>41</v>
      </c>
      <c r="L34" s="31">
        <v>21</v>
      </c>
    </row>
    <row r="35" spans="1:12" ht="16.149999999999999" customHeight="1" x14ac:dyDescent="0.25">
      <c r="A35" s="27" t="s">
        <v>53</v>
      </c>
      <c r="B35" s="5">
        <f t="shared" si="4"/>
        <v>15</v>
      </c>
      <c r="C35" s="7">
        <f t="shared" si="5"/>
        <v>3</v>
      </c>
      <c r="D35" s="7">
        <f t="shared" si="1"/>
        <v>12</v>
      </c>
      <c r="E35" s="5"/>
      <c r="F35" s="5">
        <f t="shared" si="2"/>
        <v>15</v>
      </c>
      <c r="G35" s="31">
        <v>3</v>
      </c>
      <c r="H35" s="31">
        <v>12</v>
      </c>
      <c r="I35" s="10"/>
      <c r="J35" s="5">
        <f t="shared" si="3"/>
        <v>0</v>
      </c>
      <c r="K35" s="31">
        <v>0</v>
      </c>
      <c r="L35" s="31">
        <v>0</v>
      </c>
    </row>
    <row r="36" spans="1:12" ht="16.149999999999999" customHeight="1" x14ac:dyDescent="0.25">
      <c r="A36" s="27" t="s">
        <v>23</v>
      </c>
      <c r="B36" s="5">
        <f t="shared" si="4"/>
        <v>79</v>
      </c>
      <c r="C36" s="7">
        <f t="shared" si="5"/>
        <v>29</v>
      </c>
      <c r="D36" s="7">
        <f t="shared" si="1"/>
        <v>50</v>
      </c>
      <c r="E36" s="5"/>
      <c r="F36" s="5">
        <f t="shared" si="2"/>
        <v>79</v>
      </c>
      <c r="G36" s="31">
        <v>29</v>
      </c>
      <c r="H36" s="31">
        <v>50</v>
      </c>
      <c r="I36" s="10"/>
      <c r="J36" s="5">
        <f t="shared" si="3"/>
        <v>0</v>
      </c>
      <c r="K36" s="31">
        <v>0</v>
      </c>
      <c r="L36" s="31">
        <v>0</v>
      </c>
    </row>
    <row r="37" spans="1:12" ht="16.149999999999999" customHeight="1" x14ac:dyDescent="0.25">
      <c r="A37" s="27" t="s">
        <v>24</v>
      </c>
      <c r="B37" s="5">
        <f t="shared" si="4"/>
        <v>22</v>
      </c>
      <c r="C37" s="7">
        <f t="shared" si="5"/>
        <v>20</v>
      </c>
      <c r="D37" s="7">
        <f t="shared" si="1"/>
        <v>2</v>
      </c>
      <c r="E37" s="5"/>
      <c r="F37" s="5">
        <f t="shared" si="2"/>
        <v>22</v>
      </c>
      <c r="G37" s="31">
        <v>20</v>
      </c>
      <c r="H37" s="31">
        <v>2</v>
      </c>
      <c r="I37" s="10"/>
      <c r="J37" s="5">
        <f t="shared" si="3"/>
        <v>0</v>
      </c>
      <c r="K37" s="31">
        <v>0</v>
      </c>
      <c r="L37" s="31">
        <v>0</v>
      </c>
    </row>
    <row r="38" spans="1:12" x14ac:dyDescent="0.25">
      <c r="A38" s="27" t="s">
        <v>55</v>
      </c>
      <c r="B38" s="5">
        <f t="shared" si="4"/>
        <v>39</v>
      </c>
      <c r="C38" s="7">
        <f t="shared" si="5"/>
        <v>4</v>
      </c>
      <c r="D38" s="7">
        <f t="shared" si="1"/>
        <v>35</v>
      </c>
      <c r="E38" s="5"/>
      <c r="F38" s="5">
        <f t="shared" si="2"/>
        <v>39</v>
      </c>
      <c r="G38" s="31">
        <v>4</v>
      </c>
      <c r="H38" s="31">
        <v>35</v>
      </c>
      <c r="I38" s="10"/>
      <c r="J38" s="5">
        <f t="shared" si="3"/>
        <v>0</v>
      </c>
      <c r="K38" s="31">
        <v>0</v>
      </c>
      <c r="L38" s="31">
        <v>0</v>
      </c>
    </row>
    <row r="39" spans="1:12" x14ac:dyDescent="0.25">
      <c r="A39" s="27" t="s">
        <v>54</v>
      </c>
      <c r="B39" s="5">
        <f t="shared" ref="B39:B52" si="6">F39+J39</f>
        <v>4</v>
      </c>
      <c r="C39" s="7">
        <f t="shared" ref="C39:C52" si="7">G39+K39</f>
        <v>4</v>
      </c>
      <c r="D39" s="7">
        <f t="shared" ref="D39:D52" si="8">H39+L39</f>
        <v>0</v>
      </c>
      <c r="E39" s="5"/>
      <c r="F39" s="5">
        <f t="shared" ref="F39:F52" si="9">G39+H39</f>
        <v>4</v>
      </c>
      <c r="G39" s="31">
        <v>4</v>
      </c>
      <c r="H39" s="31">
        <v>0</v>
      </c>
      <c r="I39" s="10"/>
      <c r="J39" s="5">
        <f t="shared" ref="J39:J52" si="10">K39+L39</f>
        <v>0</v>
      </c>
      <c r="K39" s="31">
        <v>0</v>
      </c>
      <c r="L39" s="31">
        <v>0</v>
      </c>
    </row>
    <row r="40" spans="1:12" x14ac:dyDescent="0.25">
      <c r="A40" s="27" t="s">
        <v>25</v>
      </c>
      <c r="B40" s="5">
        <f t="shared" si="6"/>
        <v>6</v>
      </c>
      <c r="C40" s="7">
        <f t="shared" si="7"/>
        <v>6</v>
      </c>
      <c r="D40" s="7">
        <f t="shared" si="8"/>
        <v>0</v>
      </c>
      <c r="E40" s="5"/>
      <c r="F40" s="5">
        <f t="shared" si="9"/>
        <v>6</v>
      </c>
      <c r="G40" s="31">
        <v>6</v>
      </c>
      <c r="H40" s="31">
        <v>0</v>
      </c>
      <c r="I40" s="10"/>
      <c r="J40" s="5">
        <f t="shared" si="10"/>
        <v>0</v>
      </c>
      <c r="K40" s="31">
        <v>0</v>
      </c>
      <c r="L40" s="31">
        <v>0</v>
      </c>
    </row>
    <row r="41" spans="1:12" x14ac:dyDescent="0.25">
      <c r="A41" s="27" t="s">
        <v>26</v>
      </c>
      <c r="B41" s="5">
        <f t="shared" si="6"/>
        <v>66</v>
      </c>
      <c r="C41" s="7">
        <f t="shared" si="7"/>
        <v>47</v>
      </c>
      <c r="D41" s="7">
        <f t="shared" si="8"/>
        <v>19</v>
      </c>
      <c r="E41" s="5"/>
      <c r="F41" s="5">
        <f t="shared" si="9"/>
        <v>66</v>
      </c>
      <c r="G41" s="31">
        <v>47</v>
      </c>
      <c r="H41" s="31">
        <v>19</v>
      </c>
      <c r="I41" s="10"/>
      <c r="J41" s="5">
        <f t="shared" si="10"/>
        <v>0</v>
      </c>
      <c r="K41" s="31">
        <v>0</v>
      </c>
      <c r="L41" s="31">
        <v>0</v>
      </c>
    </row>
    <row r="42" spans="1:12" x14ac:dyDescent="0.25">
      <c r="A42" s="27" t="s">
        <v>27</v>
      </c>
      <c r="B42" s="5">
        <f t="shared" si="6"/>
        <v>591</v>
      </c>
      <c r="C42" s="7">
        <f t="shared" si="7"/>
        <v>539</v>
      </c>
      <c r="D42" s="7">
        <f t="shared" si="8"/>
        <v>52</v>
      </c>
      <c r="E42" s="5"/>
      <c r="F42" s="5">
        <f t="shared" si="9"/>
        <v>591</v>
      </c>
      <c r="G42" s="31">
        <v>539</v>
      </c>
      <c r="H42" s="31">
        <v>52</v>
      </c>
      <c r="I42" s="10"/>
      <c r="J42" s="5">
        <f t="shared" si="10"/>
        <v>0</v>
      </c>
      <c r="K42" s="31">
        <v>0</v>
      </c>
      <c r="L42" s="31">
        <v>0</v>
      </c>
    </row>
    <row r="43" spans="1:12" x14ac:dyDescent="0.25">
      <c r="A43" s="27" t="s">
        <v>28</v>
      </c>
      <c r="B43" s="5">
        <f t="shared" si="6"/>
        <v>56</v>
      </c>
      <c r="C43" s="7">
        <f t="shared" si="7"/>
        <v>25</v>
      </c>
      <c r="D43" s="7">
        <f t="shared" si="8"/>
        <v>31</v>
      </c>
      <c r="E43" s="5"/>
      <c r="F43" s="5">
        <f t="shared" si="9"/>
        <v>56</v>
      </c>
      <c r="G43" s="31">
        <v>25</v>
      </c>
      <c r="H43" s="31">
        <v>31</v>
      </c>
      <c r="I43" s="10"/>
      <c r="J43" s="5">
        <f t="shared" si="10"/>
        <v>0</v>
      </c>
      <c r="K43" s="31">
        <v>0</v>
      </c>
      <c r="L43" s="31">
        <v>0</v>
      </c>
    </row>
    <row r="44" spans="1:12" x14ac:dyDescent="0.25">
      <c r="A44" s="28" t="s">
        <v>64</v>
      </c>
      <c r="B44" s="5">
        <f t="shared" si="6"/>
        <v>5</v>
      </c>
      <c r="C44" s="7">
        <f t="shared" si="7"/>
        <v>3</v>
      </c>
      <c r="D44" s="7">
        <f t="shared" si="8"/>
        <v>2</v>
      </c>
      <c r="E44" s="5"/>
      <c r="F44" s="5">
        <f t="shared" si="9"/>
        <v>5</v>
      </c>
      <c r="G44" s="31">
        <v>3</v>
      </c>
      <c r="H44" s="31">
        <v>2</v>
      </c>
      <c r="I44" s="10"/>
      <c r="J44" s="5">
        <f t="shared" si="10"/>
        <v>0</v>
      </c>
      <c r="K44" s="31">
        <v>0</v>
      </c>
      <c r="L44" s="31">
        <v>0</v>
      </c>
    </row>
    <row r="45" spans="1:12" x14ac:dyDescent="0.25">
      <c r="A45" s="27" t="s">
        <v>29</v>
      </c>
      <c r="B45" s="5">
        <f t="shared" si="6"/>
        <v>2179</v>
      </c>
      <c r="C45" s="7">
        <f t="shared" si="7"/>
        <v>68</v>
      </c>
      <c r="D45" s="7">
        <f t="shared" si="8"/>
        <v>2111</v>
      </c>
      <c r="E45" s="5"/>
      <c r="F45" s="5">
        <f t="shared" si="9"/>
        <v>1860</v>
      </c>
      <c r="G45" s="31">
        <v>24</v>
      </c>
      <c r="H45" s="31">
        <v>1836</v>
      </c>
      <c r="I45" s="10"/>
      <c r="J45" s="5">
        <f t="shared" si="10"/>
        <v>319</v>
      </c>
      <c r="K45" s="31">
        <v>44</v>
      </c>
      <c r="L45" s="31">
        <v>275</v>
      </c>
    </row>
    <row r="46" spans="1:12" x14ac:dyDescent="0.25">
      <c r="A46" s="27" t="s">
        <v>30</v>
      </c>
      <c r="B46" s="5">
        <f t="shared" si="6"/>
        <v>188</v>
      </c>
      <c r="C46" s="7">
        <f t="shared" si="7"/>
        <v>42</v>
      </c>
      <c r="D46" s="7">
        <f t="shared" si="8"/>
        <v>146</v>
      </c>
      <c r="E46" s="5"/>
      <c r="F46" s="5">
        <f t="shared" si="9"/>
        <v>159</v>
      </c>
      <c r="G46" s="31">
        <v>21</v>
      </c>
      <c r="H46" s="31">
        <v>138</v>
      </c>
      <c r="I46" s="10"/>
      <c r="J46" s="5">
        <f t="shared" si="10"/>
        <v>29</v>
      </c>
      <c r="K46" s="31">
        <v>21</v>
      </c>
      <c r="L46" s="31">
        <v>8</v>
      </c>
    </row>
    <row r="47" spans="1:12" x14ac:dyDescent="0.25">
      <c r="A47" s="27" t="s">
        <v>31</v>
      </c>
      <c r="B47" s="5">
        <f t="shared" si="6"/>
        <v>4</v>
      </c>
      <c r="C47" s="7">
        <f t="shared" si="7"/>
        <v>1</v>
      </c>
      <c r="D47" s="7">
        <f t="shared" si="8"/>
        <v>3</v>
      </c>
      <c r="E47" s="5"/>
      <c r="F47" s="5">
        <f t="shared" si="9"/>
        <v>4</v>
      </c>
      <c r="G47" s="31">
        <v>1</v>
      </c>
      <c r="H47" s="31">
        <v>3</v>
      </c>
      <c r="I47" s="10"/>
      <c r="J47" s="5">
        <f t="shared" si="10"/>
        <v>0</v>
      </c>
      <c r="K47" s="31">
        <v>0</v>
      </c>
      <c r="L47" s="31">
        <v>0</v>
      </c>
    </row>
    <row r="48" spans="1:12" x14ac:dyDescent="0.25">
      <c r="A48" s="27" t="s">
        <v>59</v>
      </c>
      <c r="B48" s="5">
        <f t="shared" si="6"/>
        <v>175</v>
      </c>
      <c r="C48" s="7">
        <f t="shared" si="7"/>
        <v>133</v>
      </c>
      <c r="D48" s="7">
        <f t="shared" si="8"/>
        <v>42</v>
      </c>
      <c r="E48" s="5"/>
      <c r="F48" s="5">
        <f t="shared" si="9"/>
        <v>175</v>
      </c>
      <c r="G48" s="31">
        <v>133</v>
      </c>
      <c r="H48" s="31">
        <v>42</v>
      </c>
      <c r="I48" s="10"/>
      <c r="J48" s="5">
        <f t="shared" si="10"/>
        <v>0</v>
      </c>
      <c r="K48" s="31">
        <v>0</v>
      </c>
      <c r="L48" s="31">
        <v>0</v>
      </c>
    </row>
    <row r="49" spans="1:28" x14ac:dyDescent="0.25">
      <c r="A49" s="27" t="s">
        <v>32</v>
      </c>
      <c r="B49" s="5">
        <f t="shared" si="6"/>
        <v>441</v>
      </c>
      <c r="C49" s="7">
        <f t="shared" si="7"/>
        <v>412</v>
      </c>
      <c r="D49" s="7">
        <f t="shared" si="8"/>
        <v>29</v>
      </c>
      <c r="E49" s="5"/>
      <c r="F49" s="5">
        <f t="shared" si="9"/>
        <v>441</v>
      </c>
      <c r="G49" s="31">
        <v>412</v>
      </c>
      <c r="H49" s="31">
        <v>29</v>
      </c>
      <c r="I49" s="10"/>
      <c r="J49" s="5">
        <f t="shared" si="10"/>
        <v>0</v>
      </c>
      <c r="K49" s="31">
        <v>0</v>
      </c>
      <c r="L49" s="31">
        <v>0</v>
      </c>
    </row>
    <row r="50" spans="1:28" x14ac:dyDescent="0.25">
      <c r="A50" s="27" t="s">
        <v>44</v>
      </c>
      <c r="B50" s="5">
        <f t="shared" si="6"/>
        <v>44</v>
      </c>
      <c r="C50" s="7">
        <f t="shared" si="7"/>
        <v>5</v>
      </c>
      <c r="D50" s="7">
        <f t="shared" si="8"/>
        <v>39</v>
      </c>
      <c r="E50" s="5"/>
      <c r="F50" s="5">
        <f t="shared" si="9"/>
        <v>44</v>
      </c>
      <c r="G50" s="31">
        <v>5</v>
      </c>
      <c r="H50" s="31">
        <v>39</v>
      </c>
      <c r="I50" s="10"/>
      <c r="J50" s="5">
        <f t="shared" si="10"/>
        <v>0</v>
      </c>
      <c r="K50" s="31">
        <v>0</v>
      </c>
      <c r="L50" s="31">
        <v>0</v>
      </c>
    </row>
    <row r="51" spans="1:28" x14ac:dyDescent="0.25">
      <c r="A51" s="27" t="s">
        <v>33</v>
      </c>
      <c r="B51" s="5">
        <f t="shared" si="6"/>
        <v>531</v>
      </c>
      <c r="C51" s="7">
        <f t="shared" si="7"/>
        <v>165</v>
      </c>
      <c r="D51" s="7">
        <f t="shared" si="8"/>
        <v>366</v>
      </c>
      <c r="E51" s="5"/>
      <c r="F51" s="5">
        <f t="shared" si="9"/>
        <v>531</v>
      </c>
      <c r="G51" s="31">
        <v>165</v>
      </c>
      <c r="H51" s="31">
        <v>366</v>
      </c>
      <c r="I51" s="10"/>
      <c r="J51" s="5">
        <f t="shared" si="10"/>
        <v>0</v>
      </c>
      <c r="K51" s="31">
        <v>0</v>
      </c>
      <c r="L51" s="31">
        <v>0</v>
      </c>
    </row>
    <row r="52" spans="1:28" x14ac:dyDescent="0.25">
      <c r="A52" s="27" t="s">
        <v>34</v>
      </c>
      <c r="B52" s="5">
        <f t="shared" si="6"/>
        <v>1</v>
      </c>
      <c r="C52" s="7">
        <f t="shared" si="7"/>
        <v>1</v>
      </c>
      <c r="D52" s="7">
        <f t="shared" si="8"/>
        <v>0</v>
      </c>
      <c r="E52" s="5"/>
      <c r="F52" s="5">
        <f t="shared" si="9"/>
        <v>1</v>
      </c>
      <c r="G52" s="31">
        <v>1</v>
      </c>
      <c r="H52" s="31">
        <v>0</v>
      </c>
      <c r="I52" s="10"/>
      <c r="J52" s="5">
        <f t="shared" si="10"/>
        <v>0</v>
      </c>
      <c r="K52" s="31">
        <v>0</v>
      </c>
      <c r="L52" s="31">
        <v>0</v>
      </c>
    </row>
    <row r="53" spans="1:28" x14ac:dyDescent="0.25">
      <c r="A53" s="27" t="s">
        <v>35</v>
      </c>
      <c r="B53" s="5">
        <f t="shared" ref="B53:B54" si="11">F53+J53</f>
        <v>482</v>
      </c>
      <c r="C53" s="7">
        <f t="shared" ref="C53:C54" si="12">G53+K53</f>
        <v>80</v>
      </c>
      <c r="D53" s="7">
        <f t="shared" ref="D53:D54" si="13">H53+L53</f>
        <v>402</v>
      </c>
      <c r="E53" s="5"/>
      <c r="F53" s="5">
        <f t="shared" ref="F53:F54" si="14">G53+H53</f>
        <v>481</v>
      </c>
      <c r="G53" s="31">
        <v>79</v>
      </c>
      <c r="H53" s="31">
        <v>402</v>
      </c>
      <c r="I53" s="10"/>
      <c r="J53" s="5">
        <f t="shared" si="3"/>
        <v>1</v>
      </c>
      <c r="K53" s="31">
        <v>1</v>
      </c>
      <c r="L53" s="31">
        <v>0</v>
      </c>
    </row>
    <row r="54" spans="1:28" x14ac:dyDescent="0.25">
      <c r="A54" s="27" t="s">
        <v>43</v>
      </c>
      <c r="B54" s="5">
        <f t="shared" si="11"/>
        <v>213</v>
      </c>
      <c r="C54" s="7">
        <f t="shared" si="12"/>
        <v>132</v>
      </c>
      <c r="D54" s="7">
        <f t="shared" si="13"/>
        <v>81</v>
      </c>
      <c r="E54" s="5"/>
      <c r="F54" s="5">
        <f t="shared" si="14"/>
        <v>115</v>
      </c>
      <c r="G54" s="31">
        <v>56</v>
      </c>
      <c r="H54" s="31">
        <v>59</v>
      </c>
      <c r="I54" s="10"/>
      <c r="J54" s="5">
        <f t="shared" si="3"/>
        <v>98</v>
      </c>
      <c r="K54" s="31">
        <v>76</v>
      </c>
      <c r="L54" s="31">
        <v>22</v>
      </c>
    </row>
    <row r="55" spans="1:28" x14ac:dyDescent="0.25">
      <c r="A55" s="29" t="s">
        <v>62</v>
      </c>
      <c r="B55" s="5">
        <f t="shared" ref="B55" si="15">F55+J55</f>
        <v>7442</v>
      </c>
      <c r="C55" s="7">
        <f>G55+K55</f>
        <v>1537</v>
      </c>
      <c r="D55" s="7">
        <f>H55+L55</f>
        <v>5905</v>
      </c>
      <c r="E55" s="5"/>
      <c r="F55" s="5">
        <f t="shared" ref="F55" si="16">G55+H55</f>
        <v>7018</v>
      </c>
      <c r="G55" s="24">
        <v>1268</v>
      </c>
      <c r="H55" s="24">
        <v>5750</v>
      </c>
      <c r="I55" s="10"/>
      <c r="J55" s="5">
        <f>K55+L55</f>
        <v>424</v>
      </c>
      <c r="K55" s="24">
        <v>269</v>
      </c>
      <c r="L55" s="24">
        <v>155</v>
      </c>
    </row>
    <row r="56" spans="1:28" x14ac:dyDescent="0.25">
      <c r="A56" s="27" t="s">
        <v>37</v>
      </c>
      <c r="B56" s="5">
        <f>F56+J56</f>
        <v>752</v>
      </c>
      <c r="C56" s="7">
        <f>G56+K56</f>
        <v>194</v>
      </c>
      <c r="D56" s="7">
        <f>H56+L56</f>
        <v>558</v>
      </c>
      <c r="E56" s="5"/>
      <c r="F56" s="5">
        <f>G56+H56</f>
        <v>752</v>
      </c>
      <c r="G56" s="31">
        <v>194</v>
      </c>
      <c r="H56" s="31">
        <v>558</v>
      </c>
      <c r="I56" s="10"/>
      <c r="J56" s="5">
        <f>K56+L56</f>
        <v>0</v>
      </c>
      <c r="K56" s="31">
        <v>0</v>
      </c>
      <c r="L56" s="31">
        <v>0</v>
      </c>
      <c r="P56" s="1" t="s">
        <v>45</v>
      </c>
    </row>
    <row r="57" spans="1:28" x14ac:dyDescent="0.25">
      <c r="A57" s="27" t="s">
        <v>36</v>
      </c>
      <c r="B57" s="5">
        <f t="shared" ref="B57:B58" si="17">F57+J57</f>
        <v>621</v>
      </c>
      <c r="C57" s="7">
        <f t="shared" ref="C57:C58" si="18">G57+K57</f>
        <v>618</v>
      </c>
      <c r="D57" s="7">
        <f t="shared" ref="D57:D58" si="19">H57+L57</f>
        <v>3</v>
      </c>
      <c r="E57" s="5"/>
      <c r="F57" s="5">
        <f t="shared" ref="F57:F58" si="20">G57+H57</f>
        <v>619</v>
      </c>
      <c r="G57" s="31">
        <v>616</v>
      </c>
      <c r="H57" s="31">
        <v>3</v>
      </c>
      <c r="I57" s="10"/>
      <c r="J57" s="5">
        <f t="shared" ref="J57:J58" si="21">K57+L57</f>
        <v>2</v>
      </c>
      <c r="K57" s="31">
        <v>2</v>
      </c>
      <c r="L57" s="31">
        <v>0</v>
      </c>
    </row>
    <row r="58" spans="1:28" x14ac:dyDescent="0.25">
      <c r="A58" s="30" t="s">
        <v>41</v>
      </c>
      <c r="B58" s="9">
        <f t="shared" si="17"/>
        <v>3</v>
      </c>
      <c r="C58" s="8">
        <f t="shared" si="18"/>
        <v>3</v>
      </c>
      <c r="D58" s="8">
        <f t="shared" si="19"/>
        <v>0</v>
      </c>
      <c r="E58" s="9"/>
      <c r="F58" s="9">
        <f t="shared" si="20"/>
        <v>3</v>
      </c>
      <c r="G58" s="33">
        <v>3</v>
      </c>
      <c r="H58" s="33">
        <v>0</v>
      </c>
      <c r="I58" s="15"/>
      <c r="J58" s="9">
        <f t="shared" si="21"/>
        <v>0</v>
      </c>
      <c r="K58" s="33">
        <v>0</v>
      </c>
      <c r="L58" s="33">
        <v>0</v>
      </c>
      <c r="M58" s="13"/>
    </row>
    <row r="59" spans="1:28" ht="17.25" x14ac:dyDescent="0.25">
      <c r="A59" s="20" t="s">
        <v>7</v>
      </c>
      <c r="L59" s="19" t="s">
        <v>8</v>
      </c>
    </row>
    <row r="64" spans="1:28" ht="21" x14ac:dyDescent="0.55000000000000004">
      <c r="AA64" s="21"/>
      <c r="AB64" s="1" t="s">
        <v>6</v>
      </c>
    </row>
    <row r="65" spans="1:32" x14ac:dyDescent="0.25">
      <c r="AA65" s="22"/>
      <c r="AB65" s="1" t="s">
        <v>3</v>
      </c>
      <c r="AC65" s="1" t="s">
        <v>4</v>
      </c>
      <c r="AD65" s="1" t="s">
        <v>5</v>
      </c>
    </row>
    <row r="66" spans="1:32" x14ac:dyDescent="0.25">
      <c r="AA66" s="1" t="s">
        <v>39</v>
      </c>
      <c r="AB66" s="10">
        <f>F8</f>
        <v>27130</v>
      </c>
      <c r="AC66" s="10">
        <f>G8</f>
        <v>9336</v>
      </c>
      <c r="AD66" s="10">
        <f>H8</f>
        <v>17794</v>
      </c>
    </row>
    <row r="67" spans="1:32" x14ac:dyDescent="0.25">
      <c r="AA67" s="1" t="s">
        <v>40</v>
      </c>
      <c r="AB67" s="10">
        <f>J8</f>
        <v>1164</v>
      </c>
      <c r="AC67" s="10">
        <f>K8</f>
        <v>639</v>
      </c>
      <c r="AD67" s="10">
        <f>L8</f>
        <v>525</v>
      </c>
    </row>
    <row r="71" spans="1:32" ht="21" x14ac:dyDescent="0.55000000000000004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1:32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AF72" s="11"/>
    </row>
    <row r="87" spans="1:12" ht="21" x14ac:dyDescent="0.55000000000000004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</row>
    <row r="88" spans="1:12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90" spans="1:12" x14ac:dyDescent="0.25">
      <c r="A90" s="6"/>
      <c r="B90" s="25"/>
      <c r="C90" s="25"/>
      <c r="D90" s="25"/>
      <c r="E90" s="4"/>
      <c r="F90" s="25"/>
      <c r="G90" s="25"/>
      <c r="H90" s="25"/>
      <c r="I90" s="4"/>
      <c r="J90" s="25"/>
      <c r="K90" s="25"/>
      <c r="L90" s="25"/>
    </row>
    <row r="91" spans="1:12" ht="18.75" x14ac:dyDescent="0.25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x14ac:dyDescent="0.25">
      <c r="A92" s="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</row>
    <row r="93" spans="1:12" x14ac:dyDescent="0.25">
      <c r="A93" s="2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17"/>
      <c r="B94" s="5"/>
      <c r="C94" s="7"/>
      <c r="D94" s="7"/>
      <c r="E94" s="5"/>
      <c r="F94" s="5"/>
      <c r="G94" s="24"/>
      <c r="H94" s="24"/>
      <c r="I94" s="10"/>
      <c r="J94" s="5"/>
      <c r="K94" s="24"/>
      <c r="L94" s="24"/>
    </row>
    <row r="95" spans="1:12" x14ac:dyDescent="0.25">
      <c r="A95" s="17"/>
      <c r="B95" s="5"/>
      <c r="C95" s="7"/>
      <c r="D95" s="7"/>
      <c r="E95" s="5"/>
      <c r="F95" s="5"/>
      <c r="G95" s="24"/>
      <c r="H95" s="24"/>
      <c r="I95" s="10"/>
      <c r="J95" s="5"/>
      <c r="K95" s="24"/>
      <c r="L95" s="24"/>
    </row>
    <row r="96" spans="1:12" x14ac:dyDescent="0.25">
      <c r="A96" s="17"/>
      <c r="B96" s="5"/>
      <c r="C96" s="7"/>
      <c r="D96" s="7"/>
      <c r="E96" s="5"/>
      <c r="F96" s="5"/>
      <c r="G96" s="24"/>
      <c r="H96" s="24"/>
      <c r="I96" s="10"/>
      <c r="J96" s="5"/>
      <c r="K96" s="24"/>
      <c r="L96" s="24"/>
    </row>
    <row r="97" spans="1:12" x14ac:dyDescent="0.25">
      <c r="A97" s="17"/>
      <c r="B97" s="5"/>
      <c r="C97" s="7"/>
      <c r="D97" s="7"/>
      <c r="E97" s="5"/>
      <c r="F97" s="5"/>
      <c r="G97" s="24"/>
      <c r="H97" s="24"/>
      <c r="I97" s="10"/>
      <c r="J97" s="5"/>
      <c r="K97" s="24"/>
      <c r="L97" s="24"/>
    </row>
    <row r="98" spans="1:12" x14ac:dyDescent="0.25">
      <c r="A98" s="17"/>
      <c r="B98" s="5"/>
      <c r="C98" s="7"/>
      <c r="D98" s="7"/>
      <c r="E98" s="5"/>
      <c r="F98" s="5"/>
      <c r="G98" s="24"/>
      <c r="H98" s="24"/>
      <c r="I98" s="10"/>
      <c r="J98" s="5"/>
      <c r="K98" s="24"/>
      <c r="L98" s="24"/>
    </row>
    <row r="99" spans="1:12" x14ac:dyDescent="0.25">
      <c r="A99" s="17"/>
      <c r="B99" s="5"/>
      <c r="C99" s="7"/>
      <c r="D99" s="7"/>
      <c r="E99" s="5"/>
      <c r="F99" s="5"/>
      <c r="G99" s="24"/>
      <c r="H99" s="24"/>
      <c r="I99" s="10"/>
      <c r="J99" s="5"/>
      <c r="K99" s="24"/>
      <c r="L99" s="24"/>
    </row>
    <row r="100" spans="1:12" x14ac:dyDescent="0.25">
      <c r="A100" s="17"/>
      <c r="B100" s="5"/>
      <c r="C100" s="7"/>
      <c r="D100" s="7"/>
      <c r="E100" s="5"/>
      <c r="F100" s="5"/>
      <c r="G100" s="24"/>
      <c r="H100" s="24"/>
      <c r="I100" s="10"/>
      <c r="J100" s="5"/>
      <c r="K100" s="24"/>
      <c r="L100" s="24"/>
    </row>
    <row r="101" spans="1:12" x14ac:dyDescent="0.25">
      <c r="A101" s="17"/>
      <c r="B101" s="5"/>
      <c r="C101" s="7"/>
      <c r="D101" s="7"/>
      <c r="E101" s="5"/>
      <c r="F101" s="5"/>
      <c r="G101" s="24"/>
      <c r="H101" s="24"/>
      <c r="I101" s="10"/>
      <c r="J101" s="5"/>
      <c r="K101" s="24"/>
      <c r="L101" s="24"/>
    </row>
    <row r="102" spans="1:12" x14ac:dyDescent="0.25">
      <c r="A102" s="17"/>
      <c r="B102" s="5"/>
      <c r="C102" s="7"/>
      <c r="D102" s="7"/>
      <c r="E102" s="5"/>
      <c r="F102" s="5"/>
      <c r="G102" s="24"/>
      <c r="H102" s="24"/>
      <c r="I102" s="10"/>
      <c r="J102" s="5"/>
      <c r="K102" s="24"/>
      <c r="L102" s="24"/>
    </row>
    <row r="103" spans="1:12" x14ac:dyDescent="0.25">
      <c r="A103" s="17"/>
      <c r="B103" s="5"/>
      <c r="C103" s="7"/>
      <c r="D103" s="7"/>
      <c r="E103" s="5"/>
      <c r="F103" s="5"/>
      <c r="G103" s="24"/>
      <c r="H103" s="24"/>
      <c r="I103" s="10"/>
      <c r="J103" s="5"/>
      <c r="K103" s="24"/>
      <c r="L103" s="24"/>
    </row>
    <row r="104" spans="1:12" x14ac:dyDescent="0.25">
      <c r="A104" s="17"/>
      <c r="B104" s="5"/>
      <c r="C104" s="7"/>
      <c r="D104" s="7"/>
      <c r="E104" s="5"/>
      <c r="F104" s="5"/>
      <c r="G104" s="24"/>
      <c r="H104" s="24"/>
      <c r="I104" s="10"/>
      <c r="J104" s="5"/>
      <c r="K104" s="24"/>
      <c r="L104" s="24"/>
    </row>
    <row r="105" spans="1:12" x14ac:dyDescent="0.25">
      <c r="A105" s="17"/>
      <c r="B105" s="5"/>
      <c r="C105" s="7"/>
      <c r="D105" s="7"/>
      <c r="E105" s="5"/>
      <c r="F105" s="5"/>
      <c r="G105" s="24"/>
      <c r="H105" s="24"/>
      <c r="I105" s="10"/>
      <c r="J105" s="5"/>
      <c r="K105" s="24"/>
      <c r="L105" s="24"/>
    </row>
    <row r="106" spans="1:12" x14ac:dyDescent="0.25">
      <c r="A106" s="17"/>
      <c r="B106" s="5"/>
      <c r="C106" s="7"/>
      <c r="D106" s="7"/>
      <c r="E106" s="5"/>
      <c r="F106" s="5"/>
      <c r="G106" s="24"/>
      <c r="H106" s="24"/>
      <c r="I106" s="10"/>
      <c r="J106" s="5"/>
      <c r="K106" s="24"/>
      <c r="L106" s="24"/>
    </row>
    <row r="107" spans="1:12" x14ac:dyDescent="0.25">
      <c r="A107" s="17"/>
      <c r="B107" s="5"/>
      <c r="C107" s="7"/>
      <c r="D107" s="7"/>
      <c r="E107" s="5"/>
      <c r="F107" s="5"/>
      <c r="G107" s="24"/>
      <c r="H107" s="24"/>
      <c r="I107" s="10"/>
      <c r="J107" s="5"/>
      <c r="K107" s="24"/>
      <c r="L107" s="24"/>
    </row>
    <row r="108" spans="1:12" x14ac:dyDescent="0.25">
      <c r="A108" s="17"/>
      <c r="B108" s="5"/>
      <c r="C108" s="7"/>
      <c r="D108" s="7"/>
      <c r="E108" s="5"/>
      <c r="F108" s="5"/>
      <c r="G108" s="24"/>
      <c r="H108" s="24"/>
      <c r="I108" s="10"/>
      <c r="J108" s="5"/>
      <c r="K108" s="24"/>
      <c r="L108" s="24"/>
    </row>
    <row r="109" spans="1:12" x14ac:dyDescent="0.25">
      <c r="A109" s="17"/>
      <c r="B109" s="5"/>
      <c r="C109" s="7"/>
      <c r="D109" s="7"/>
      <c r="E109" s="5"/>
      <c r="F109" s="5"/>
      <c r="G109" s="24"/>
      <c r="H109" s="24"/>
      <c r="I109" s="10"/>
      <c r="J109" s="5"/>
      <c r="K109" s="24"/>
      <c r="L109" s="24"/>
    </row>
    <row r="110" spans="1:12" x14ac:dyDescent="0.25">
      <c r="A110" s="17"/>
      <c r="B110" s="5"/>
      <c r="C110" s="7"/>
      <c r="D110" s="7"/>
      <c r="E110" s="5"/>
      <c r="F110" s="5"/>
      <c r="G110" s="24"/>
      <c r="H110" s="24"/>
      <c r="I110" s="10"/>
      <c r="J110" s="5"/>
      <c r="K110" s="24"/>
      <c r="L110" s="24"/>
    </row>
    <row r="111" spans="1:12" x14ac:dyDescent="0.25">
      <c r="A111" s="17"/>
      <c r="B111" s="5"/>
      <c r="C111" s="7"/>
      <c r="D111" s="7"/>
      <c r="E111" s="5"/>
      <c r="F111" s="5"/>
      <c r="G111" s="24"/>
      <c r="H111" s="24"/>
      <c r="I111" s="10"/>
      <c r="J111" s="5"/>
      <c r="K111" s="24"/>
      <c r="L111" s="24"/>
    </row>
    <row r="112" spans="1:12" x14ac:dyDescent="0.25">
      <c r="A112" s="18"/>
      <c r="B112" s="5"/>
      <c r="C112" s="7"/>
      <c r="D112" s="7"/>
      <c r="E112" s="5"/>
      <c r="F112" s="5"/>
      <c r="G112" s="24"/>
      <c r="H112" s="24"/>
      <c r="I112" s="10"/>
      <c r="J112" s="5"/>
      <c r="K112" s="24"/>
      <c r="L112" s="24"/>
    </row>
    <row r="113" spans="1:12" x14ac:dyDescent="0.25">
      <c r="A113" s="17"/>
      <c r="B113" s="5"/>
      <c r="C113" s="7"/>
      <c r="D113" s="7"/>
      <c r="E113" s="5"/>
      <c r="F113" s="5"/>
      <c r="G113" s="24"/>
      <c r="H113" s="24"/>
      <c r="I113" s="10"/>
      <c r="J113" s="5"/>
      <c r="K113" s="24"/>
      <c r="L113" s="24"/>
    </row>
    <row r="114" spans="1:12" x14ac:dyDescent="0.25">
      <c r="A114" s="17"/>
      <c r="B114" s="5"/>
      <c r="C114" s="7"/>
      <c r="D114" s="7"/>
      <c r="E114" s="5"/>
      <c r="F114" s="5"/>
      <c r="G114" s="24"/>
      <c r="H114" s="24"/>
      <c r="I114" s="10"/>
      <c r="J114" s="5"/>
      <c r="K114" s="24"/>
      <c r="L114" s="24"/>
    </row>
    <row r="115" spans="1:12" x14ac:dyDescent="0.25">
      <c r="A115" s="17"/>
      <c r="B115" s="5"/>
      <c r="C115" s="7"/>
      <c r="D115" s="7"/>
      <c r="E115" s="5"/>
      <c r="F115" s="5"/>
      <c r="G115" s="24"/>
      <c r="H115" s="24"/>
      <c r="I115" s="10"/>
      <c r="J115" s="5"/>
      <c r="K115" s="24"/>
      <c r="L115" s="24"/>
    </row>
    <row r="116" spans="1:12" x14ac:dyDescent="0.25">
      <c r="A116" s="17"/>
      <c r="B116" s="5"/>
      <c r="C116" s="7"/>
      <c r="D116" s="7"/>
      <c r="E116" s="5"/>
      <c r="F116" s="5"/>
      <c r="G116" s="24"/>
      <c r="H116" s="24"/>
      <c r="I116" s="10"/>
      <c r="J116" s="5"/>
      <c r="K116" s="24"/>
      <c r="L116" s="24"/>
    </row>
    <row r="117" spans="1:12" x14ac:dyDescent="0.25">
      <c r="A117" s="17"/>
      <c r="B117" s="5"/>
      <c r="C117" s="7"/>
      <c r="D117" s="7"/>
      <c r="E117" s="5"/>
      <c r="F117" s="5"/>
      <c r="G117" s="24"/>
      <c r="H117" s="24"/>
      <c r="I117" s="10"/>
      <c r="J117" s="5"/>
      <c r="K117" s="24"/>
      <c r="L117" s="24"/>
    </row>
    <row r="118" spans="1:12" x14ac:dyDescent="0.25">
      <c r="A118" s="17"/>
      <c r="B118" s="5"/>
      <c r="C118" s="7"/>
      <c r="D118" s="7"/>
      <c r="E118" s="5"/>
      <c r="F118" s="5"/>
      <c r="G118" s="24"/>
      <c r="H118" s="24"/>
      <c r="I118" s="10"/>
      <c r="J118" s="5"/>
      <c r="K118" s="24"/>
      <c r="L118" s="24"/>
    </row>
    <row r="119" spans="1:12" x14ac:dyDescent="0.25">
      <c r="A119" s="17"/>
      <c r="B119" s="5"/>
      <c r="C119" s="7"/>
      <c r="D119" s="7"/>
      <c r="E119" s="5"/>
      <c r="F119" s="5"/>
      <c r="G119" s="24"/>
      <c r="H119" s="24"/>
      <c r="I119" s="10"/>
      <c r="J119" s="5"/>
      <c r="K119" s="24"/>
      <c r="L119" s="24"/>
    </row>
    <row r="120" spans="1:12" x14ac:dyDescent="0.25">
      <c r="A120" s="17"/>
      <c r="B120" s="5"/>
      <c r="C120" s="7"/>
      <c r="D120" s="7"/>
      <c r="E120" s="5"/>
      <c r="F120" s="5"/>
      <c r="G120" s="24"/>
      <c r="H120" s="24"/>
      <c r="I120" s="10"/>
      <c r="J120" s="5"/>
      <c r="K120" s="24"/>
      <c r="L120" s="24"/>
    </row>
    <row r="121" spans="1:12" x14ac:dyDescent="0.25">
      <c r="A121" s="17"/>
      <c r="B121" s="5"/>
      <c r="C121" s="7"/>
      <c r="D121" s="7"/>
      <c r="E121" s="5"/>
      <c r="F121" s="5"/>
      <c r="G121" s="24"/>
      <c r="H121" s="24"/>
      <c r="I121" s="10"/>
      <c r="J121" s="5"/>
      <c r="K121" s="24"/>
      <c r="L121" s="24"/>
    </row>
    <row r="122" spans="1:12" x14ac:dyDescent="0.25">
      <c r="A122" s="17"/>
      <c r="B122" s="5"/>
      <c r="C122" s="7"/>
      <c r="D122" s="7"/>
      <c r="E122" s="5"/>
      <c r="F122" s="5"/>
      <c r="G122" s="24"/>
      <c r="H122" s="24"/>
      <c r="I122" s="10"/>
      <c r="J122" s="5"/>
      <c r="K122" s="24"/>
      <c r="L122" s="24"/>
    </row>
    <row r="123" spans="1:12" x14ac:dyDescent="0.25">
      <c r="A123" s="17"/>
      <c r="B123" s="5"/>
      <c r="C123" s="7"/>
      <c r="D123" s="7"/>
      <c r="E123" s="5"/>
      <c r="F123" s="5"/>
      <c r="G123" s="24"/>
      <c r="H123" s="24"/>
      <c r="I123" s="10"/>
      <c r="J123" s="5"/>
      <c r="K123" s="24"/>
      <c r="L123" s="24"/>
    </row>
    <row r="124" spans="1:12" x14ac:dyDescent="0.25">
      <c r="A124" s="17"/>
      <c r="B124" s="5"/>
      <c r="C124" s="7"/>
      <c r="D124" s="7"/>
      <c r="E124" s="5"/>
      <c r="F124" s="5"/>
      <c r="G124" s="24"/>
      <c r="H124" s="24"/>
      <c r="I124" s="10"/>
      <c r="J124" s="5"/>
      <c r="K124" s="24"/>
      <c r="L124" s="24"/>
    </row>
    <row r="125" spans="1:12" x14ac:dyDescent="0.25">
      <c r="A125" s="17"/>
      <c r="B125" s="5"/>
      <c r="C125" s="7"/>
      <c r="D125" s="7"/>
      <c r="E125" s="5"/>
      <c r="F125" s="5"/>
      <c r="G125" s="24"/>
      <c r="H125" s="24"/>
      <c r="I125" s="10"/>
      <c r="J125" s="5"/>
      <c r="K125" s="24"/>
      <c r="L125" s="24"/>
    </row>
    <row r="126" spans="1:12" x14ac:dyDescent="0.25">
      <c r="A126" s="17"/>
      <c r="B126" s="5"/>
      <c r="C126" s="7"/>
      <c r="D126" s="7"/>
      <c r="E126" s="5"/>
      <c r="F126" s="5"/>
      <c r="G126" s="24"/>
      <c r="H126" s="24"/>
      <c r="I126" s="10"/>
      <c r="J126" s="5"/>
      <c r="K126" s="24"/>
      <c r="L126" s="24"/>
    </row>
    <row r="127" spans="1:12" x14ac:dyDescent="0.25">
      <c r="A127" s="17"/>
      <c r="B127" s="5"/>
      <c r="C127" s="7"/>
      <c r="D127" s="7"/>
      <c r="E127" s="5"/>
      <c r="F127" s="5"/>
      <c r="G127" s="24"/>
      <c r="H127" s="24"/>
      <c r="I127" s="10"/>
      <c r="J127" s="5"/>
      <c r="K127" s="24"/>
      <c r="L127" s="24"/>
    </row>
    <row r="128" spans="1:12" x14ac:dyDescent="0.25">
      <c r="A128" s="17"/>
      <c r="B128" s="5"/>
      <c r="C128" s="7"/>
      <c r="D128" s="7"/>
      <c r="E128" s="5"/>
      <c r="F128" s="5"/>
      <c r="G128" s="24"/>
      <c r="H128" s="24"/>
      <c r="I128" s="10"/>
      <c r="J128" s="5"/>
      <c r="K128" s="24"/>
      <c r="L128" s="24"/>
    </row>
    <row r="129" spans="1:12" x14ac:dyDescent="0.25">
      <c r="A129" s="17"/>
      <c r="B129" s="5"/>
      <c r="C129" s="7"/>
      <c r="D129" s="7"/>
      <c r="E129" s="5"/>
      <c r="F129" s="5"/>
      <c r="G129" s="24"/>
      <c r="H129" s="24"/>
      <c r="I129" s="10"/>
      <c r="J129" s="5"/>
      <c r="K129" s="24"/>
      <c r="L129" s="24"/>
    </row>
    <row r="130" spans="1:12" x14ac:dyDescent="0.25">
      <c r="A130" s="17"/>
      <c r="B130" s="5"/>
      <c r="C130" s="7"/>
      <c r="D130" s="7"/>
      <c r="E130" s="5"/>
      <c r="F130" s="5"/>
      <c r="G130" s="24"/>
      <c r="H130" s="24"/>
      <c r="I130" s="10"/>
      <c r="J130" s="5"/>
      <c r="K130" s="24"/>
      <c r="L130" s="24"/>
    </row>
    <row r="131" spans="1:12" x14ac:dyDescent="0.25">
      <c r="A131" s="17"/>
      <c r="B131" s="5"/>
      <c r="C131" s="7"/>
      <c r="D131" s="7"/>
      <c r="E131" s="5"/>
      <c r="F131" s="5"/>
      <c r="G131" s="24"/>
      <c r="H131" s="24"/>
      <c r="I131" s="10"/>
      <c r="J131" s="5"/>
      <c r="K131" s="24"/>
      <c r="L131" s="24"/>
    </row>
    <row r="132" spans="1:12" x14ac:dyDescent="0.25">
      <c r="A132" s="17"/>
      <c r="B132" s="5"/>
      <c r="C132" s="7"/>
      <c r="D132" s="7"/>
      <c r="E132" s="5"/>
      <c r="F132" s="5"/>
      <c r="G132" s="24"/>
      <c r="H132" s="24"/>
      <c r="I132" s="10"/>
      <c r="J132" s="5"/>
      <c r="K132" s="24"/>
      <c r="L132" s="24"/>
    </row>
    <row r="133" spans="1:12" x14ac:dyDescent="0.25">
      <c r="A133" s="17"/>
      <c r="B133" s="5"/>
      <c r="C133" s="7"/>
      <c r="D133" s="7"/>
      <c r="E133" s="5"/>
      <c r="F133" s="5"/>
      <c r="G133" s="24"/>
      <c r="H133" s="24"/>
      <c r="I133" s="10"/>
      <c r="J133" s="5"/>
      <c r="K133" s="24"/>
      <c r="L133" s="24"/>
    </row>
    <row r="134" spans="1:12" x14ac:dyDescent="0.25">
      <c r="A134" s="17"/>
      <c r="B134" s="5"/>
      <c r="C134" s="7"/>
      <c r="D134" s="7"/>
      <c r="E134" s="5"/>
      <c r="F134" s="5"/>
      <c r="G134" s="24"/>
      <c r="H134" s="24"/>
      <c r="I134" s="10"/>
      <c r="J134" s="5"/>
      <c r="K134" s="24"/>
      <c r="L134" s="24"/>
    </row>
    <row r="135" spans="1:12" x14ac:dyDescent="0.25">
      <c r="A135" s="17"/>
      <c r="B135" s="5"/>
      <c r="C135" s="7"/>
      <c r="D135" s="7"/>
      <c r="E135" s="5"/>
      <c r="F135" s="5"/>
      <c r="G135" s="24"/>
      <c r="H135" s="24"/>
      <c r="I135" s="10"/>
      <c r="J135" s="5"/>
      <c r="K135" s="24"/>
      <c r="L135" s="24"/>
    </row>
    <row r="136" spans="1:12" x14ac:dyDescent="0.25">
      <c r="A136" s="17"/>
      <c r="B136" s="5"/>
      <c r="C136" s="7"/>
      <c r="D136" s="7"/>
      <c r="E136" s="5"/>
      <c r="F136" s="5"/>
      <c r="G136" s="24"/>
      <c r="H136" s="24"/>
      <c r="I136" s="10"/>
      <c r="J136" s="5"/>
      <c r="K136" s="24"/>
      <c r="L136" s="24"/>
    </row>
    <row r="137" spans="1:12" x14ac:dyDescent="0.25">
      <c r="A137" s="17"/>
      <c r="B137" s="5"/>
      <c r="C137" s="7"/>
      <c r="D137" s="7"/>
      <c r="E137" s="5"/>
      <c r="F137" s="5"/>
      <c r="G137" s="24"/>
      <c r="H137" s="24"/>
      <c r="I137" s="10"/>
      <c r="J137" s="5"/>
      <c r="K137" s="24"/>
      <c r="L137" s="24"/>
    </row>
    <row r="138" spans="1:12" x14ac:dyDescent="0.25">
      <c r="A138" s="17"/>
      <c r="B138" s="5"/>
      <c r="C138" s="7"/>
      <c r="D138" s="7"/>
      <c r="E138" s="5"/>
      <c r="F138" s="5"/>
      <c r="G138" s="24"/>
      <c r="H138" s="24"/>
      <c r="I138" s="10"/>
      <c r="J138" s="5"/>
      <c r="K138" s="24"/>
      <c r="L138" s="24"/>
    </row>
    <row r="139" spans="1:12" x14ac:dyDescent="0.25">
      <c r="A139" s="17"/>
      <c r="B139" s="5"/>
      <c r="C139" s="7"/>
      <c r="D139" s="7"/>
      <c r="E139" s="5"/>
      <c r="F139" s="5"/>
      <c r="G139" s="24"/>
      <c r="H139" s="24"/>
      <c r="I139" s="10"/>
      <c r="J139" s="5"/>
      <c r="K139" s="24"/>
      <c r="L139" s="24"/>
    </row>
    <row r="140" spans="1:12" x14ac:dyDescent="0.25">
      <c r="A140" s="17"/>
      <c r="B140" s="5"/>
      <c r="C140" s="7"/>
      <c r="D140" s="7"/>
      <c r="E140" s="5"/>
      <c r="F140" s="5"/>
      <c r="G140" s="24"/>
      <c r="H140" s="24"/>
      <c r="I140" s="10"/>
      <c r="J140" s="5"/>
      <c r="K140" s="24"/>
      <c r="L140" s="24"/>
    </row>
    <row r="141" spans="1:12" x14ac:dyDescent="0.25">
      <c r="A141" s="17"/>
      <c r="B141" s="5"/>
      <c r="C141" s="7"/>
      <c r="D141" s="7"/>
      <c r="E141" s="5"/>
      <c r="F141" s="5"/>
      <c r="G141" s="24"/>
      <c r="H141" s="24"/>
      <c r="I141" s="10"/>
      <c r="J141" s="5"/>
      <c r="K141" s="24"/>
      <c r="L141" s="24"/>
    </row>
    <row r="142" spans="1:12" x14ac:dyDescent="0.25">
      <c r="A142" s="17"/>
      <c r="B142" s="5"/>
      <c r="C142" s="7"/>
      <c r="D142" s="7"/>
      <c r="E142" s="5"/>
      <c r="F142" s="5"/>
      <c r="G142" s="24"/>
      <c r="H142" s="24"/>
      <c r="I142" s="10"/>
      <c r="J142" s="5"/>
      <c r="K142" s="24"/>
      <c r="L142" s="24"/>
    </row>
    <row r="143" spans="1:12" x14ac:dyDescent="0.25">
      <c r="A143" s="17"/>
      <c r="B143" s="5"/>
      <c r="C143" s="7"/>
      <c r="D143" s="7"/>
      <c r="E143" s="5"/>
      <c r="F143" s="5"/>
      <c r="G143" s="24"/>
      <c r="H143" s="24"/>
      <c r="I143" s="10"/>
      <c r="J143" s="5"/>
      <c r="K143" s="24"/>
      <c r="L143" s="24"/>
    </row>
    <row r="144" spans="1:12" x14ac:dyDescent="0.25">
      <c r="A144" s="17"/>
      <c r="B144" s="5"/>
      <c r="C144" s="7"/>
      <c r="D144" s="7"/>
      <c r="E144" s="5"/>
      <c r="F144" s="5"/>
      <c r="G144" s="24"/>
      <c r="H144" s="24"/>
      <c r="I144" s="10"/>
      <c r="J144" s="5"/>
      <c r="K144" s="24"/>
      <c r="L144" s="24"/>
    </row>
    <row r="145" spans="1:12" x14ac:dyDescent="0.25">
      <c r="A145" s="17"/>
      <c r="B145" s="5"/>
      <c r="C145" s="7"/>
      <c r="D145" s="7"/>
      <c r="E145" s="5"/>
      <c r="F145" s="5"/>
      <c r="G145" s="24"/>
      <c r="H145" s="24"/>
      <c r="I145" s="10"/>
      <c r="J145" s="5"/>
      <c r="K145" s="24"/>
      <c r="L145" s="24"/>
    </row>
    <row r="146" spans="1:12" ht="17.25" x14ac:dyDescent="0.25">
      <c r="A146" s="34"/>
      <c r="L146" s="19"/>
    </row>
  </sheetData>
  <mergeCells count="6">
    <mergeCell ref="A2:L2"/>
    <mergeCell ref="A3:L3"/>
    <mergeCell ref="A5:A7"/>
    <mergeCell ref="B5:D5"/>
    <mergeCell ref="F5:H5"/>
    <mergeCell ref="J5:L5"/>
  </mergeCells>
  <pageMargins left="0.7" right="0.7" top="0.75" bottom="0.75" header="0.3" footer="0.3"/>
  <pageSetup paperSize="9" scale="59" orientation="portrait" horizontalDpi="4294967295" verticalDpi="4294967295" r:id="rId1"/>
  <rowBreaks count="1" manualBreakCount="1">
    <brk id="79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5.8</vt:lpstr>
      <vt:lpstr>'5.8'!Print_Area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2023-04-25T04:33:28Z</cp:lastPrinted>
  <dcterms:created xsi:type="dcterms:W3CDTF">2019-06-03T04:17:39Z</dcterms:created>
  <dcterms:modified xsi:type="dcterms:W3CDTF">2023-04-25T04:33:35Z</dcterms:modified>
</cp:coreProperties>
</file>