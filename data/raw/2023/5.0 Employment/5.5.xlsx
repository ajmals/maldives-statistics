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Employment\"/>
    </mc:Choice>
  </mc:AlternateContent>
  <xr:revisionPtr revIDLastSave="0" documentId="13_ncr:1_{0DAED641-AF12-4AD8-A831-921181DE7852}" xr6:coauthVersionLast="47" xr6:coauthVersionMax="47" xr10:uidLastSave="{00000000-0000-0000-0000-000000000000}"/>
  <bookViews>
    <workbookView xWindow="-120" yWindow="-120" windowWidth="29040" windowHeight="15840" tabRatio="736" xr2:uid="{00000000-000D-0000-FFFF-FFFF00000000}"/>
  </bookViews>
  <sheets>
    <sheet name="5.5" sheetId="4" r:id="rId1"/>
  </sheets>
  <definedNames>
    <definedName name="_xlnm.Print_Area" localSheetId="0">'5.5'!$A$1:$N$32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4" l="1"/>
  <c r="J10" i="4"/>
  <c r="K9" i="4"/>
  <c r="F11" i="4" l="1"/>
  <c r="D11" i="4"/>
  <c r="C11" i="4"/>
  <c r="F10" i="4"/>
  <c r="D10" i="4"/>
  <c r="C10" i="4"/>
  <c r="L9" i="4"/>
  <c r="J9" i="4" s="1"/>
  <c r="H9" i="4"/>
  <c r="G9" i="4"/>
  <c r="B10" i="4" l="1"/>
  <c r="D9" i="4"/>
  <c r="B11" i="4"/>
  <c r="F9" i="4"/>
  <c r="B9" i="4" s="1"/>
  <c r="C9" i="4"/>
</calcChain>
</file>

<file path=xl/sharedStrings.xml><?xml version="1.0" encoding="utf-8"?>
<sst xmlns="http://schemas.openxmlformats.org/spreadsheetml/2006/main" count="36" uniqueCount="24">
  <si>
    <t>Republic</t>
  </si>
  <si>
    <t>Male'</t>
  </si>
  <si>
    <t>ދެޖިންސް</t>
  </si>
  <si>
    <t>ފިރިހެން</t>
  </si>
  <si>
    <t>އަންހެން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</si>
  <si>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</si>
  <si>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</si>
  <si>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</si>
  <si>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</si>
  <si>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</si>
  <si>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 xml:space="preserve"> މުޅިރާއްޖެ</t>
  </si>
  <si>
    <t>މާލެ</t>
  </si>
  <si>
    <t>އަތޮޅުތައް</t>
  </si>
  <si>
    <t>Atolls</t>
  </si>
  <si>
    <t>Both sexes</t>
  </si>
  <si>
    <t>Job type</t>
  </si>
  <si>
    <t>ވަޒީފާގެ ބާވަތް</t>
  </si>
  <si>
    <t>ޖުމްލަ</t>
  </si>
  <si>
    <t>PERMANENT</t>
  </si>
  <si>
    <t>ދާއިމީ މުވައްޒަފުން</t>
  </si>
  <si>
    <t>CONTRACT</t>
  </si>
  <si>
    <t>ކޮންޓްރެކްޓް މުވައްޒަފުން</t>
  </si>
  <si>
    <t>ތާވަލު 5.5: ސިވިލް ސަރވަންޓުން އަދާކުރާ ވަޒީފާގެ ބާވަތް އަދި ޖިންސް، 2022</t>
  </si>
  <si>
    <t>Table: 5.5 Civil Servents Classified by job type and Sex,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</si>
</sst>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Faruma"/>
    </font>
    <font>
      <b/>
      <sz val="11"/>
      <color theme="1"/>
      <name val="Faruma"/>
    </font>
    <font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43" fontId="3" fillId="0" borderId="0" applyFont="0" applyFill="0" applyBorder="0" applyAlignment="0" applyProtection="0"/>
    <xf numFmtId="0" fontId="14" fillId="0" borderId="0"/>
    <xf numFmtId="0" fontId="3" fillId="0" borderId="0"/>
  </cellStyleXfs>
  <cellXfs count="55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3" fontId="0" fillId="2" borderId="0" xfId="0" applyNumberFormat="1" applyFill="1"/>
    <xf numFmtId="3" fontId="9" fillId="2" borderId="0" xfId="2" applyNumberFormat="1" applyFont="1" applyFill="1" applyAlignment="1">
      <alignment horizontal="right" vertical="center"/>
    </xf>
    <xf numFmtId="0" fontId="10" fillId="2" borderId="1" xfId="2" applyFont="1" applyFill="1" applyBorder="1" applyAlignment="1">
      <alignment horizontal="center" vertical="center"/>
    </xf>
    <xf numFmtId="0" fontId="1" fillId="2" borderId="0" xfId="0" applyFont="1" applyFill="1"/>
    <xf numFmtId="0" fontId="2" fillId="2" borderId="0" xfId="0" applyFont="1" applyFill="1"/>
    <xf numFmtId="0" fontId="8" fillId="2" borderId="5" xfId="1" applyFont="1" applyFill="1" applyBorder="1"/>
    <xf numFmtId="0" fontId="10" fillId="2" borderId="7" xfId="2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1" fillId="2" borderId="1" xfId="0" applyFont="1" applyFill="1" applyBorder="1"/>
    <xf numFmtId="3" fontId="0" fillId="2" borderId="0" xfId="0" applyNumberFormat="1" applyFill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12" fillId="2" borderId="0" xfId="0" applyFont="1" applyFill="1"/>
    <xf numFmtId="0" fontId="0" fillId="2" borderId="2" xfId="0" applyFill="1" applyBorder="1" applyAlignment="1">
      <alignment vertical="center"/>
    </xf>
    <xf numFmtId="3" fontId="2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ill="1" applyBorder="1" applyAlignment="1">
      <alignment horizontal="right" vertical="center"/>
    </xf>
    <xf numFmtId="0" fontId="0" fillId="2" borderId="11" xfId="0" applyFill="1" applyBorder="1" applyAlignment="1">
      <alignment horizontal="right" vertical="center"/>
    </xf>
    <xf numFmtId="3" fontId="5" fillId="2" borderId="2" xfId="0" applyNumberFormat="1" applyFont="1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12" fillId="2" borderId="2" xfId="0" applyFont="1" applyFill="1" applyBorder="1"/>
    <xf numFmtId="0" fontId="6" fillId="2" borderId="3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readingOrder="2"/>
    </xf>
    <xf numFmtId="0" fontId="6" fillId="2" borderId="11" xfId="0" applyFont="1" applyFill="1" applyBorder="1" applyAlignment="1">
      <alignment horizontal="right" vertical="center"/>
    </xf>
    <xf numFmtId="0" fontId="7" fillId="2" borderId="12" xfId="0" applyFont="1" applyFill="1" applyBorder="1" applyAlignment="1">
      <alignment horizontal="right" readingOrder="2"/>
    </xf>
    <xf numFmtId="0" fontId="6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3" fontId="0" fillId="2" borderId="0" xfId="0" applyNumberFormat="1" applyFill="1" applyAlignment="1">
      <alignment horizontal="right" vertical="center" wrapText="1"/>
    </xf>
    <xf numFmtId="3" fontId="0" fillId="2" borderId="4" xfId="0" applyNumberFormat="1" applyFill="1" applyBorder="1" applyAlignment="1">
      <alignment horizontal="right" vertical="center" wrapText="1"/>
    </xf>
    <xf numFmtId="3" fontId="0" fillId="2" borderId="2" xfId="0" applyNumberFormat="1" applyFill="1" applyBorder="1" applyAlignment="1">
      <alignment horizontal="right" vertical="center" wrapText="1"/>
    </xf>
    <xf numFmtId="3" fontId="2" fillId="2" borderId="8" xfId="0" applyNumberFormat="1" applyFont="1" applyFill="1" applyBorder="1" applyAlignment="1">
      <alignment horizontal="right" vertical="center"/>
    </xf>
    <xf numFmtId="3" fontId="0" fillId="2" borderId="12" xfId="0" applyNumberFormat="1" applyFill="1" applyBorder="1" applyAlignment="1">
      <alignment horizontal="right" vertical="center" wrapText="1"/>
    </xf>
    <xf numFmtId="0" fontId="10" fillId="2" borderId="1" xfId="2" applyFont="1" applyFill="1" applyBorder="1" applyAlignment="1">
      <alignment horizontal="center" vertical="top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11" fillId="2" borderId="2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  <xf numFmtId="0" fontId="1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0" fillId="2" borderId="8" xfId="2" applyFont="1" applyFill="1" applyBorder="1" applyAlignment="1">
      <alignment horizontal="center" vertical="top"/>
    </xf>
  </cellXfs>
  <cellStyles count="9">
    <cellStyle name="1" xfId="8" xr:uid="{00000000-0005-0000-0000-000000000000}"/>
    <cellStyle name="Comma 3" xfId="6" xr:uid="{00000000-0005-0000-0000-000002000000}"/>
    <cellStyle name="Normal" xfId="0" builtinId="0"/>
    <cellStyle name="Normal 11" xfId="7" xr:uid="{00000000-0005-0000-0000-000004000000}"/>
    <cellStyle name="Normal 2" xfId="3" xr:uid="{00000000-0005-0000-0000-000005000000}"/>
    <cellStyle name="Normal 4" xfId="4" xr:uid="{00000000-0005-0000-0000-000006000000}"/>
    <cellStyle name="Normal 5" xfId="5" xr:uid="{00000000-0005-0000-0000-000007000000}"/>
    <cellStyle name="Normal_II-16(Populaion)" xfId="2" xr:uid="{00000000-0005-0000-0000-00000A000000}"/>
    <cellStyle name="Normal_po" xfId="1" xr:uid="{00000000-0005-0000-0000-00000C000000}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0F4FA"/>
      <color rgb="FFFFABAB"/>
      <color rgb="FFFFEBEB"/>
      <color rgb="FFFFDDDD"/>
      <color rgb="FFFFEFEF"/>
      <color rgb="FFFFD1D1"/>
      <color rgb="FFFFC5C5"/>
      <color rgb="FFEAFAFA"/>
      <color rgb="FF33CCCC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020631142037479"/>
          <c:y val="0.12613610798650168"/>
          <c:w val="0.39958495981203485"/>
          <c:h val="0.83960411198600171"/>
        </c:manualLayout>
      </c:layout>
      <c:doughnutChart>
        <c:varyColors val="1"/>
        <c:ser>
          <c:idx val="0"/>
          <c:order val="0"/>
          <c:spPr>
            <a:solidFill>
              <a:srgbClr val="C00000"/>
            </a:solidFill>
          </c:spPr>
          <c:explosion val="3"/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F197-414E-ABD3-11FC321CE1E5}"/>
              </c:ext>
            </c:extLst>
          </c:dPt>
          <c:dPt>
            <c:idx val="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F197-414E-ABD3-11FC321CE1E5}"/>
              </c:ext>
            </c:extLst>
          </c:dPt>
          <c:dLbls>
            <c:dLbl>
              <c:idx val="0"/>
              <c:layout>
                <c:manualLayout>
                  <c:x val="0.12026515151515152"/>
                  <c:y val="0.1150793650793650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892045454545455"/>
                      <c:h val="0.108769841269841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197-414E-ABD3-11FC321CE1E5}"/>
                </c:ext>
              </c:extLst>
            </c:dLbl>
            <c:dLbl>
              <c:idx val="1"/>
              <c:layout>
                <c:manualLayout>
                  <c:x val="7.7431539187912984E-2"/>
                  <c:y val="-6.349206349206348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197-414E-ABD3-11FC321CE1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'5.5'!$A$10:$A$11</c:f>
              <c:strCache>
                <c:ptCount val="2"/>
                <c:pt idx="0">
                  <c:v>PERMANENT</c:v>
                </c:pt>
                <c:pt idx="1">
                  <c:v>CONTRACT</c:v>
                </c:pt>
              </c:strCache>
            </c:strRef>
          </c:cat>
          <c:val>
            <c:numRef>
              <c:f>'5.5'!$B$10:$B$11</c:f>
              <c:numCache>
                <c:formatCode>#,##0</c:formatCode>
                <c:ptCount val="2"/>
                <c:pt idx="0">
                  <c:v>27044</c:v>
                </c:pt>
                <c:pt idx="1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97-414E-ABD3-11FC321CE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62"/>
        <c:holeSize val="50"/>
      </c:doughnutChart>
    </c:plotArea>
    <c:plotVisOnly val="1"/>
    <c:dispBlanksAs val="gap"/>
    <c:showDLblsOverMax val="0"/>
  </c:chart>
  <c:spPr>
    <a:solidFill>
      <a:srgbClr val="F0F4FA"/>
    </a:solidFill>
  </c:sp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1247775</xdr:colOff>
      <xdr:row>13</xdr:row>
      <xdr:rowOff>142875</xdr:rowOff>
    </xdr:from>
    <xdr:to>
      <xdr:col>12</xdr:col>
      <xdr:colOff>933450</xdr:colOff>
      <xdr:row>30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400050</xdr:colOff>
      <xdr:row>14</xdr:row>
      <xdr:rowOff>19050</xdr:rowOff>
    </xdr:from>
    <xdr:to>
      <xdr:col>12</xdr:col>
      <xdr:colOff>85724</xdr:colOff>
      <xdr:row>15</xdr:row>
      <xdr:rowOff>114299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2324100" y="3048000"/>
          <a:ext cx="4629149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5.6: Percentage of civil servants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by job type, 2022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2:AA17"/>
  <sheetViews>
    <sheetView tabSelected="1" topLeftCell="A10" zoomScaleNormal="100" workbookViewId="0">
      <selection activeCell="R24" sqref="R24"/>
    </sheetView>
  </sheetViews>
  <sheetFormatPr defaultRowHeight="15" x14ac:dyDescent="0.25"/>
  <cols>
    <col min="1" max="1" width="19.7109375" style="1" customWidth="1"/>
    <col min="2" max="4" width="9.140625" style="1"/>
    <col min="5" max="5" width="2" style="1" customWidth="1"/>
    <col min="6" max="8" width="9.140625" style="1"/>
    <col min="9" max="9" width="1.28515625" style="1" customWidth="1"/>
    <col min="10" max="12" width="9.140625" style="1"/>
    <col min="13" max="13" width="21.85546875" style="1" customWidth="1"/>
    <col min="14" max="16384" width="9.140625" style="1"/>
  </cols>
  <sheetData>
    <row r="2" spans="1:27" ht="21" x14ac:dyDescent="0.55000000000000004">
      <c r="A2" s="52" t="s">
        <v>22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27" ht="15" customHeight="1" x14ac:dyDescent="0.25">
      <c r="A3" s="53" t="s">
        <v>23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1:27" ht="7.5" customHeight="1" x14ac:dyDescent="0.2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27" ht="15.75" customHeight="1" x14ac:dyDescent="0.25">
      <c r="A5" s="49" t="s">
        <v>15</v>
      </c>
      <c r="B5" s="42" t="s">
        <v>10</v>
      </c>
      <c r="C5" s="42"/>
      <c r="D5" s="42"/>
      <c r="E5" s="12"/>
      <c r="F5" s="42" t="s">
        <v>11</v>
      </c>
      <c r="G5" s="42"/>
      <c r="H5" s="54"/>
      <c r="I5" s="8"/>
      <c r="J5" s="42" t="s">
        <v>12</v>
      </c>
      <c r="K5" s="42"/>
      <c r="L5" s="42"/>
      <c r="M5" s="46" t="s">
        <v>16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4.25" customHeight="1" x14ac:dyDescent="0.25">
      <c r="A6" s="50"/>
      <c r="B6" s="43" t="s">
        <v>0</v>
      </c>
      <c r="C6" s="43"/>
      <c r="D6" s="43"/>
      <c r="E6" s="13"/>
      <c r="F6" s="44" t="s">
        <v>1</v>
      </c>
      <c r="G6" s="44"/>
      <c r="H6" s="45"/>
      <c r="I6" s="35"/>
      <c r="J6" s="44" t="s">
        <v>13</v>
      </c>
      <c r="K6" s="44"/>
      <c r="L6" s="44"/>
      <c r="M6" s="47"/>
    </row>
    <row r="7" spans="1:27" x14ac:dyDescent="0.25">
      <c r="A7" s="50"/>
      <c r="B7" s="3" t="s">
        <v>14</v>
      </c>
      <c r="C7" s="3" t="s">
        <v>5</v>
      </c>
      <c r="D7" s="3" t="s">
        <v>6</v>
      </c>
      <c r="E7" s="31"/>
      <c r="F7" s="3" t="s">
        <v>14</v>
      </c>
      <c r="G7" s="3" t="s">
        <v>5</v>
      </c>
      <c r="H7" s="14" t="s">
        <v>6</v>
      </c>
      <c r="I7" s="3"/>
      <c r="J7" s="3" t="s">
        <v>14</v>
      </c>
      <c r="K7" s="3" t="s">
        <v>5</v>
      </c>
      <c r="L7" s="3" t="s">
        <v>6</v>
      </c>
      <c r="M7" s="47"/>
    </row>
    <row r="8" spans="1:27" ht="18.75" x14ac:dyDescent="0.5">
      <c r="A8" s="51"/>
      <c r="B8" s="32" t="s">
        <v>2</v>
      </c>
      <c r="C8" s="32" t="s">
        <v>3</v>
      </c>
      <c r="D8" s="32" t="s">
        <v>4</v>
      </c>
      <c r="E8" s="33"/>
      <c r="F8" s="32" t="s">
        <v>2</v>
      </c>
      <c r="G8" s="32" t="s">
        <v>3</v>
      </c>
      <c r="H8" s="34" t="s">
        <v>4</v>
      </c>
      <c r="I8" s="4"/>
      <c r="J8" s="32" t="s">
        <v>2</v>
      </c>
      <c r="K8" s="32" t="s">
        <v>3</v>
      </c>
      <c r="L8" s="32" t="s">
        <v>4</v>
      </c>
      <c r="M8" s="48"/>
    </row>
    <row r="9" spans="1:27" s="10" customFormat="1" ht="21" x14ac:dyDescent="0.55000000000000004">
      <c r="A9" s="5" t="s">
        <v>7</v>
      </c>
      <c r="B9" s="15">
        <f>F9+J9</f>
        <v>28294</v>
      </c>
      <c r="C9" s="15">
        <f t="shared" ref="C9:D11" si="0">G9+K9</f>
        <v>9975</v>
      </c>
      <c r="D9" s="15">
        <f t="shared" si="0"/>
        <v>18319</v>
      </c>
      <c r="E9" s="16"/>
      <c r="F9" s="17">
        <f>G9+H9</f>
        <v>10231</v>
      </c>
      <c r="G9" s="15">
        <f>SUM(G10:G11)</f>
        <v>3583</v>
      </c>
      <c r="H9" s="40">
        <f>SUM(H10:H11)</f>
        <v>6648</v>
      </c>
      <c r="I9" s="18"/>
      <c r="J9" s="17">
        <f>K9+L9</f>
        <v>18063</v>
      </c>
      <c r="K9" s="15">
        <f>SUM(K10:K11)</f>
        <v>6392</v>
      </c>
      <c r="L9" s="15">
        <f>SUM(L10:L11)</f>
        <v>11671</v>
      </c>
      <c r="M9" s="19" t="s">
        <v>17</v>
      </c>
    </row>
    <row r="10" spans="1:27" ht="21" x14ac:dyDescent="0.55000000000000004">
      <c r="A10" s="2" t="s">
        <v>18</v>
      </c>
      <c r="B10" s="15">
        <f t="shared" ref="B10:B11" si="1">F10+J10</f>
        <v>27044</v>
      </c>
      <c r="C10" s="20">
        <f t="shared" si="0"/>
        <v>9290</v>
      </c>
      <c r="D10" s="20">
        <f t="shared" si="0"/>
        <v>17754</v>
      </c>
      <c r="E10" s="21"/>
      <c r="F10" s="17">
        <f t="shared" ref="F10:F11" si="2">G10+H10</f>
        <v>10010</v>
      </c>
      <c r="G10" s="37">
        <v>3464</v>
      </c>
      <c r="H10" s="38">
        <v>6546</v>
      </c>
      <c r="I10" s="22"/>
      <c r="J10" s="17">
        <f>K10+L10</f>
        <v>17034</v>
      </c>
      <c r="K10" s="37">
        <v>5826</v>
      </c>
      <c r="L10" s="37">
        <v>11208</v>
      </c>
      <c r="M10" s="23" t="s">
        <v>19</v>
      </c>
      <c r="P10" s="6"/>
    </row>
    <row r="11" spans="1:27" ht="21" x14ac:dyDescent="0.55000000000000004">
      <c r="A11" s="24" t="s">
        <v>20</v>
      </c>
      <c r="B11" s="25">
        <f t="shared" si="1"/>
        <v>1250</v>
      </c>
      <c r="C11" s="26">
        <f t="shared" si="0"/>
        <v>685</v>
      </c>
      <c r="D11" s="26">
        <f t="shared" si="0"/>
        <v>565</v>
      </c>
      <c r="E11" s="27"/>
      <c r="F11" s="28">
        <f t="shared" si="2"/>
        <v>221</v>
      </c>
      <c r="G11" s="39">
        <v>119</v>
      </c>
      <c r="H11" s="41">
        <v>102</v>
      </c>
      <c r="I11" s="29"/>
      <c r="J11" s="28">
        <f>K11+L11</f>
        <v>1029</v>
      </c>
      <c r="K11" s="39">
        <v>566</v>
      </c>
      <c r="L11" s="39">
        <v>463</v>
      </c>
      <c r="M11" s="30" t="s">
        <v>21</v>
      </c>
    </row>
    <row r="12" spans="1:27" ht="17.25" x14ac:dyDescent="0.25">
      <c r="A12" s="11" t="s">
        <v>8</v>
      </c>
      <c r="M12" s="7" t="s">
        <v>9</v>
      </c>
    </row>
    <row r="13" spans="1:27" x14ac:dyDescent="0.25">
      <c r="B13" s="6"/>
      <c r="C13" s="6"/>
      <c r="D13" s="6"/>
    </row>
    <row r="14" spans="1:27" x14ac:dyDescent="0.25">
      <c r="B14" s="6"/>
      <c r="C14" s="6"/>
      <c r="D14" s="6"/>
    </row>
    <row r="15" spans="1:27" x14ac:dyDescent="0.25">
      <c r="B15" s="6"/>
      <c r="C15" s="6"/>
      <c r="D15" s="6"/>
    </row>
    <row r="16" spans="1:27" x14ac:dyDescent="0.25">
      <c r="B16" s="6"/>
      <c r="C16" s="6"/>
      <c r="D16" s="6"/>
    </row>
    <row r="17" spans="2:4" x14ac:dyDescent="0.25">
      <c r="B17" s="6"/>
      <c r="C17" s="6"/>
      <c r="D17" s="6"/>
    </row>
  </sheetData>
  <mergeCells count="10">
    <mergeCell ref="A2:M2"/>
    <mergeCell ref="A3:M3"/>
    <mergeCell ref="B5:D5"/>
    <mergeCell ref="F5:H5"/>
    <mergeCell ref="J5:L5"/>
    <mergeCell ref="B6:D6"/>
    <mergeCell ref="F6:H6"/>
    <mergeCell ref="J6:L6"/>
    <mergeCell ref="M5:M8"/>
    <mergeCell ref="A5:A8"/>
  </mergeCells>
  <pageMargins left="0.7" right="0.7" top="0.75" bottom="0.75" header="0.3" footer="0.3"/>
  <pageSetup paperSize="9" scale="64" orientation="portrait" horizontalDpi="4294967295" verticalDpi="4294967295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5.5</vt:lpstr>
      <vt:lpstr>'5.5'!Print_Area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2023-04-25T04:29:46Z</cp:lastPrinted>
  <dcterms:created xsi:type="dcterms:W3CDTF">2019-06-03T04:17:39Z</dcterms:created>
  <dcterms:modified xsi:type="dcterms:W3CDTF">2023-04-25T04:29:51Z</dcterms:modified>
</cp:coreProperties>
</file>