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isheries &amp; Agriculture\"/>
    </mc:Choice>
  </mc:AlternateContent>
  <xr:revisionPtr revIDLastSave="0" documentId="13_ncr:1_{828779B7-5BA3-4C7F-B4B6-C25FB0089289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9" sheetId="9" r:id="rId1"/>
  </sheets>
  <definedNames>
    <definedName name="_xlnm.Print_Area" localSheetId="0">'9.9'!$A$1:$I$61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9" l="1"/>
  <c r="B15" i="9"/>
  <c r="B14" i="9"/>
  <c r="B13" i="9"/>
  <c r="B12" i="9"/>
  <c r="B11" i="9"/>
  <c r="B10" i="9"/>
  <c r="B9" i="9"/>
  <c r="B8" i="9"/>
  <c r="B7" i="9"/>
  <c r="G6" i="9"/>
  <c r="G22" i="9" s="1"/>
  <c r="F6" i="9"/>
  <c r="F22" i="9" s="1"/>
  <c r="E6" i="9"/>
  <c r="E23" i="9" s="1"/>
  <c r="D6" i="9"/>
  <c r="D25" i="9" s="1"/>
  <c r="C6" i="9"/>
  <c r="C20" i="9" s="1"/>
  <c r="G16" i="9" l="1"/>
  <c r="G29" i="9"/>
  <c r="E18" i="9"/>
  <c r="D19" i="9"/>
  <c r="C34" i="9"/>
  <c r="E25" i="9"/>
  <c r="G24" i="9"/>
  <c r="E31" i="9"/>
  <c r="F31" i="9"/>
  <c r="F24" i="9"/>
  <c r="F16" i="9"/>
  <c r="F17" i="9"/>
  <c r="F25" i="9"/>
  <c r="F19" i="9"/>
  <c r="F23" i="9"/>
  <c r="E16" i="9"/>
  <c r="E20" i="9"/>
  <c r="E17" i="9"/>
  <c r="E24" i="9"/>
  <c r="E33" i="9"/>
  <c r="F32" i="9"/>
  <c r="G31" i="9"/>
  <c r="C29" i="9"/>
  <c r="C28" i="9"/>
  <c r="D28" i="9"/>
  <c r="C27" i="9"/>
  <c r="D27" i="9"/>
  <c r="D20" i="9"/>
  <c r="D18" i="9"/>
  <c r="B6" i="9"/>
  <c r="C21" i="9"/>
  <c r="C19" i="9"/>
  <c r="AC5" i="9"/>
  <c r="G23" i="9"/>
  <c r="E32" i="9"/>
  <c r="D34" i="9"/>
  <c r="G17" i="9"/>
  <c r="F18" i="9"/>
  <c r="E19" i="9"/>
  <c r="D21" i="9"/>
  <c r="C22" i="9"/>
  <c r="G25" i="9"/>
  <c r="E27" i="9"/>
  <c r="D29" i="9"/>
  <c r="G32" i="9"/>
  <c r="F33" i="9"/>
  <c r="E34" i="9"/>
  <c r="G18" i="9"/>
  <c r="D22" i="9"/>
  <c r="C23" i="9"/>
  <c r="F27" i="9"/>
  <c r="E28" i="9"/>
  <c r="G33" i="9"/>
  <c r="F34" i="9"/>
  <c r="C16" i="9"/>
  <c r="G19" i="9"/>
  <c r="F20" i="9"/>
  <c r="E21" i="9"/>
  <c r="D23" i="9"/>
  <c r="C24" i="9"/>
  <c r="G27" i="9"/>
  <c r="F28" i="9"/>
  <c r="E29" i="9"/>
  <c r="C31" i="9"/>
  <c r="G34" i="9"/>
  <c r="D16" i="9"/>
  <c r="C17" i="9"/>
  <c r="G20" i="9"/>
  <c r="F21" i="9"/>
  <c r="E22" i="9"/>
  <c r="D24" i="9"/>
  <c r="C25" i="9"/>
  <c r="G28" i="9"/>
  <c r="F29" i="9"/>
  <c r="D31" i="9"/>
  <c r="C32" i="9"/>
  <c r="D17" i="9"/>
  <c r="C18" i="9"/>
  <c r="G21" i="9"/>
  <c r="D32" i="9"/>
  <c r="C33" i="9"/>
  <c r="D33" i="9"/>
  <c r="B19" i="9" l="1"/>
  <c r="B31" i="9"/>
  <c r="B27" i="9"/>
  <c r="B34" i="9"/>
  <c r="Z5" i="9"/>
  <c r="B29" i="9"/>
  <c r="AB5" i="9"/>
  <c r="B17" i="9"/>
  <c r="B23" i="9"/>
  <c r="AA5" i="9"/>
  <c r="B18" i="9"/>
  <c r="B28" i="9"/>
  <c r="B20" i="9"/>
  <c r="E26" i="9"/>
  <c r="G26" i="9"/>
  <c r="B16" i="9"/>
  <c r="B21" i="9"/>
  <c r="B22" i="9"/>
  <c r="B24" i="9"/>
  <c r="F26" i="9"/>
  <c r="B25" i="9"/>
  <c r="C26" i="9"/>
  <c r="D26" i="9"/>
  <c r="B32" i="9"/>
  <c r="B33" i="9"/>
  <c r="B26" i="9" l="1"/>
</calcChain>
</file>

<file path=xl/sharedStrings.xml><?xml version="1.0" encoding="utf-8"?>
<sst xmlns="http://schemas.openxmlformats.org/spreadsheetml/2006/main" count="76" uniqueCount="35">
  <si>
    <t>Bigeye tuna</t>
  </si>
  <si>
    <t>ilencnwk uDobOl</t>
  </si>
  <si>
    <t>Type of fish</t>
  </si>
  <si>
    <t>ilencnwk</t>
  </si>
  <si>
    <t>cswm iSov</t>
  </si>
  <si>
    <t>iTcawl</t>
  </si>
  <si>
    <t>iDnogWr</t>
  </si>
  <si>
    <t>cswmurwf cnehinehea</t>
  </si>
  <si>
    <t>Total</t>
  </si>
  <si>
    <t>Yellowfin tuna</t>
  </si>
  <si>
    <t>Dogtooth tuna</t>
  </si>
  <si>
    <t>Frigate tuna</t>
  </si>
  <si>
    <t>Other marine fish</t>
  </si>
  <si>
    <t>ctwvWbeguhwm</t>
  </si>
  <si>
    <t xml:space="preserve">        wlcmuj</t>
  </si>
  <si>
    <t xml:space="preserve">       cswmwlibuLwk</t>
  </si>
  <si>
    <t>ilencnwk ugid ctwfcnwk</t>
  </si>
  <si>
    <t>Skipjack</t>
  </si>
  <si>
    <t>Little tuna</t>
  </si>
  <si>
    <t>Albacore</t>
  </si>
  <si>
    <r>
      <t xml:space="preserve">Fishing methods  </t>
    </r>
    <r>
      <rPr>
        <b/>
        <sz val="10"/>
        <rFont val="Faruma"/>
        <family val="3"/>
      </rPr>
      <t xml:space="preserve">   މަސްބޭނިގޮތް</t>
    </r>
  </si>
  <si>
    <t>Pole and Line</t>
  </si>
  <si>
    <t>Trolling</t>
  </si>
  <si>
    <t>Hand  Line</t>
  </si>
  <si>
    <t>Other methods</t>
  </si>
  <si>
    <t>Other tuna</t>
  </si>
  <si>
    <t>cswmuDnwk cnehinehea</t>
  </si>
  <si>
    <t>Percentage share ( % )</t>
  </si>
  <si>
    <t xml:space="preserve"> (%) cniawtcaws ctogWviawfiheb</t>
  </si>
  <si>
    <t>މަޢުލޫމާތުދެއްވި ފަރާތް: މިނިސްޓްރީ އޮފް ފިޝަރީޒް، މެރިންރިސޯސަސް އެންޑް އެގްރިކަލްޗަރ</t>
  </si>
  <si>
    <t>Source:  Ministry of Fisheries, Marine Resources and Agriculture</t>
  </si>
  <si>
    <t xml:space="preserve">Grouper </t>
  </si>
  <si>
    <t xml:space="preserve">Reef </t>
  </si>
  <si>
    <t>ތާވަލު 9.9: މަހުގެ ބާވަތުންނާއި މަސްބާނާފައިވާގޮތުން ބޭނުނު އަދަދު، 2022</t>
  </si>
  <si>
    <t>Table 9.9 :  FISH CATCH BY TYPE AND FISHING METHODS, 2022 (In metric 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</si>
</sst>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7" formatCode="0.0"/>
    <numFmt numFmtId="170" formatCode="[$-409]mmmm\ d\,\ yyyy;@"/>
  </numFmts>
  <fonts count="2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A_Waheed"/>
      <family val="3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i/>
      <sz val="9"/>
      <name val="Calibri"/>
      <family val="2"/>
    </font>
    <font>
      <sz val="9"/>
      <name val="Courier"/>
      <family val="3"/>
    </font>
    <font>
      <b/>
      <sz val="10"/>
      <name val="Arial"/>
      <family val="2"/>
    </font>
    <font>
      <sz val="9"/>
      <name val="Calibri"/>
      <family val="2"/>
    </font>
    <font>
      <b/>
      <sz val="10"/>
      <name val="Faruma"/>
      <family val="3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A_Faseyha"/>
    </font>
    <font>
      <b/>
      <sz val="12"/>
      <name val="Faruma"/>
      <family val="3"/>
    </font>
    <font>
      <sz val="11"/>
      <name val="Courier"/>
      <family val="3"/>
    </font>
    <font>
      <b/>
      <sz val="11"/>
      <name val="Arial"/>
      <family val="2"/>
    </font>
    <font>
      <b/>
      <sz val="8"/>
      <name val="A_Faseyha"/>
    </font>
    <font>
      <sz val="9"/>
      <name val="Candara"/>
      <family val="2"/>
    </font>
    <font>
      <b/>
      <sz val="9"/>
      <name val="A_Faseyha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theme="1" tint="0.499984740745262"/>
      </bottom>
      <diagonal/>
    </border>
  </borders>
  <cellStyleXfs count="7">
    <xf numFmtId="0" fontId="0" fillId="0" borderId="0"/>
    <xf numFmtId="164" fontId="1" fillId="0" borderId="0"/>
    <xf numFmtId="40" fontId="16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  <xf numFmtId="0" fontId="7" fillId="0" borderId="0"/>
  </cellStyleXfs>
  <cellXfs count="52">
    <xf numFmtId="0" fontId="0" fillId="0" borderId="0" xfId="0"/>
    <xf numFmtId="164" fontId="1" fillId="2" borderId="0" xfId="1" applyFill="1" applyAlignment="1">
      <alignment vertical="center"/>
    </xf>
    <xf numFmtId="164" fontId="2" fillId="2" borderId="0" xfId="1" applyFont="1" applyFill="1" applyAlignment="1">
      <alignment vertical="center"/>
    </xf>
    <xf numFmtId="164" fontId="7" fillId="2" borderId="0" xfId="1" applyFont="1" applyFill="1" applyAlignment="1">
      <alignment vertical="center"/>
    </xf>
    <xf numFmtId="164" fontId="9" fillId="2" borderId="0" xfId="1" applyFont="1" applyFill="1" applyAlignment="1">
      <alignment horizontal="right" vertical="center"/>
    </xf>
    <xf numFmtId="164" fontId="11" fillId="2" borderId="0" xfId="1" applyFont="1" applyFill="1" applyAlignment="1">
      <alignment vertical="center"/>
    </xf>
    <xf numFmtId="164" fontId="10" fillId="2" borderId="0" xfId="1" applyFont="1" applyFill="1" applyAlignment="1">
      <alignment horizontal="left" vertical="center"/>
    </xf>
    <xf numFmtId="164" fontId="12" fillId="2" borderId="0" xfId="1" applyFont="1" applyFill="1" applyAlignment="1">
      <alignment vertical="center"/>
    </xf>
    <xf numFmtId="164" fontId="4" fillId="2" borderId="0" xfId="1" applyFont="1" applyFill="1" applyAlignment="1">
      <alignment vertical="center"/>
    </xf>
    <xf numFmtId="164" fontId="2" fillId="2" borderId="0" xfId="1" applyFont="1" applyFill="1" applyAlignment="1">
      <alignment horizontal="left" vertical="center"/>
    </xf>
    <xf numFmtId="164" fontId="5" fillId="2" borderId="0" xfId="1" applyFont="1" applyFill="1" applyAlignment="1">
      <alignment vertical="center"/>
    </xf>
    <xf numFmtId="164" fontId="5" fillId="2" borderId="1" xfId="1" applyFont="1" applyFill="1" applyBorder="1" applyAlignment="1">
      <alignment horizontal="right" vertical="center" wrapText="1"/>
    </xf>
    <xf numFmtId="164" fontId="8" fillId="2" borderId="0" xfId="1" applyFont="1" applyFill="1" applyAlignment="1">
      <alignment horizontal="center" vertical="center"/>
    </xf>
    <xf numFmtId="164" fontId="13" fillId="2" borderId="0" xfId="1" applyFont="1" applyFill="1" applyAlignment="1">
      <alignment horizontal="left" vertical="center"/>
    </xf>
    <xf numFmtId="0" fontId="17" fillId="2" borderId="0" xfId="0" applyFont="1" applyFill="1" applyAlignment="1">
      <alignment horizontal="left"/>
    </xf>
    <xf numFmtId="164" fontId="6" fillId="2" borderId="1" xfId="0" applyNumberFormat="1" applyFont="1" applyFill="1" applyBorder="1" applyAlignment="1">
      <alignment horizontal="right" vertical="center"/>
    </xf>
    <xf numFmtId="164" fontId="7" fillId="2" borderId="0" xfId="1" applyFont="1" applyFill="1" applyAlignment="1">
      <alignment horizontal="center" vertical="center"/>
    </xf>
    <xf numFmtId="164" fontId="20" fillId="2" borderId="0" xfId="1" applyFont="1" applyFill="1" applyAlignment="1">
      <alignment horizontal="center" vertical="center"/>
    </xf>
    <xf numFmtId="164" fontId="21" fillId="2" borderId="0" xfId="1" applyFont="1" applyFill="1" applyAlignment="1">
      <alignment horizontal="center" vertical="center"/>
    </xf>
    <xf numFmtId="164" fontId="5" fillId="2" borderId="4" xfId="1" applyFont="1" applyFill="1" applyBorder="1" applyAlignment="1">
      <alignment horizontal="right" vertical="center" wrapText="1"/>
    </xf>
    <xf numFmtId="164" fontId="11" fillId="2" borderId="0" xfId="1" applyFont="1" applyFill="1" applyAlignment="1">
      <alignment horizontal="right" vertical="center" wrapText="1"/>
    </xf>
    <xf numFmtId="164" fontId="4" fillId="2" borderId="0" xfId="1" applyFont="1" applyFill="1" applyAlignment="1">
      <alignment horizontal="right" vertical="center" wrapText="1"/>
    </xf>
    <xf numFmtId="164" fontId="5" fillId="2" borderId="0" xfId="1" applyFont="1" applyFill="1" applyAlignment="1">
      <alignment horizontal="left" vertical="center"/>
    </xf>
    <xf numFmtId="3" fontId="15" fillId="2" borderId="0" xfId="1" applyNumberFormat="1" applyFont="1" applyFill="1" applyAlignment="1">
      <alignment horizontal="right" vertical="center"/>
    </xf>
    <xf numFmtId="164" fontId="13" fillId="2" borderId="0" xfId="1" applyFont="1" applyFill="1" applyAlignment="1">
      <alignment horizontal="left" vertical="center" wrapText="1"/>
    </xf>
    <xf numFmtId="3" fontId="17" fillId="2" borderId="0" xfId="1" applyNumberFormat="1" applyFont="1" applyFill="1" applyAlignment="1">
      <alignment horizontal="right" vertical="center"/>
    </xf>
    <xf numFmtId="167" fontId="23" fillId="2" borderId="0" xfId="1" applyNumberFormat="1" applyFont="1" applyFill="1" applyAlignment="1">
      <alignment vertical="center"/>
    </xf>
    <xf numFmtId="164" fontId="13" fillId="2" borderId="3" xfId="1" applyFont="1" applyFill="1" applyBorder="1" applyAlignment="1">
      <alignment horizontal="left" vertical="center" wrapText="1"/>
    </xf>
    <xf numFmtId="3" fontId="15" fillId="2" borderId="3" xfId="1" applyNumberFormat="1" applyFont="1" applyFill="1" applyBorder="1" applyAlignment="1">
      <alignment horizontal="right" vertical="center"/>
    </xf>
    <xf numFmtId="3" fontId="17" fillId="2" borderId="3" xfId="1" applyNumberFormat="1" applyFont="1" applyFill="1" applyBorder="1" applyAlignment="1">
      <alignment horizontal="right" vertical="center"/>
    </xf>
    <xf numFmtId="164" fontId="13" fillId="2" borderId="6" xfId="1" applyFont="1" applyFill="1" applyBorder="1" applyAlignment="1">
      <alignment horizontal="left" vertical="center" wrapText="1"/>
    </xf>
    <xf numFmtId="3" fontId="15" fillId="2" borderId="6" xfId="1" applyNumberFormat="1" applyFont="1" applyFill="1" applyBorder="1" applyAlignment="1">
      <alignment horizontal="right" vertical="center"/>
    </xf>
    <xf numFmtId="3" fontId="17" fillId="2" borderId="6" xfId="1" applyNumberFormat="1" applyFont="1" applyFill="1" applyBorder="1" applyAlignment="1">
      <alignment horizontal="right" vertical="center"/>
    </xf>
    <xf numFmtId="1" fontId="15" fillId="2" borderId="0" xfId="1" applyNumberFormat="1" applyFont="1" applyFill="1" applyAlignment="1">
      <alignment vertical="center"/>
    </xf>
    <xf numFmtId="1" fontId="15" fillId="2" borderId="3" xfId="1" applyNumberFormat="1" applyFont="1" applyFill="1" applyBorder="1" applyAlignment="1">
      <alignment vertical="center"/>
    </xf>
    <xf numFmtId="164" fontId="13" fillId="2" borderId="1" xfId="1" applyFont="1" applyFill="1" applyBorder="1" applyAlignment="1">
      <alignment horizontal="left" vertical="center" wrapText="1"/>
    </xf>
    <xf numFmtId="1" fontId="15" fillId="2" borderId="1" xfId="1" applyNumberFormat="1" applyFont="1" applyFill="1" applyBorder="1" applyAlignment="1">
      <alignment vertical="center"/>
    </xf>
    <xf numFmtId="3" fontId="17" fillId="2" borderId="1" xfId="1" applyNumberFormat="1" applyFont="1" applyFill="1" applyBorder="1" applyAlignment="1">
      <alignment horizontal="right" vertical="center"/>
    </xf>
    <xf numFmtId="164" fontId="18" fillId="2" borderId="0" xfId="0" applyNumberFormat="1" applyFont="1" applyFill="1" applyAlignment="1">
      <alignment horizontal="right"/>
    </xf>
    <xf numFmtId="164" fontId="24" fillId="2" borderId="0" xfId="1" applyFont="1" applyFill="1" applyAlignment="1">
      <alignment horizontal="right" vertical="center"/>
    </xf>
    <xf numFmtId="164" fontId="25" fillId="2" borderId="0" xfId="0" applyNumberFormat="1" applyFont="1" applyFill="1" applyAlignment="1">
      <alignment horizontal="right" vertical="center"/>
    </xf>
    <xf numFmtId="164" fontId="25" fillId="2" borderId="3" xfId="0" applyNumberFormat="1" applyFont="1" applyFill="1" applyBorder="1" applyAlignment="1">
      <alignment horizontal="right" vertical="center"/>
    </xf>
    <xf numFmtId="164" fontId="25" fillId="2" borderId="6" xfId="0" applyNumberFormat="1" applyFont="1" applyFill="1" applyBorder="1" applyAlignment="1">
      <alignment horizontal="right" vertical="center"/>
    </xf>
    <xf numFmtId="164" fontId="5" fillId="2" borderId="2" xfId="1" applyFont="1" applyFill="1" applyBorder="1" applyAlignment="1">
      <alignment horizontal="left" vertical="center"/>
    </xf>
    <xf numFmtId="164" fontId="5" fillId="2" borderId="1" xfId="1" applyFont="1" applyFill="1" applyBorder="1" applyAlignment="1">
      <alignment horizontal="left" vertical="center"/>
    </xf>
    <xf numFmtId="164" fontId="8" fillId="2" borderId="0" xfId="1" applyFont="1" applyFill="1" applyAlignment="1">
      <alignment horizontal="center" vertical="center"/>
    </xf>
    <xf numFmtId="164" fontId="3" fillId="2" borderId="0" xfId="1" applyFont="1" applyFill="1" applyAlignment="1">
      <alignment horizontal="center" vertical="center"/>
    </xf>
    <xf numFmtId="164" fontId="8" fillId="2" borderId="1" xfId="1" applyFont="1" applyFill="1" applyBorder="1" applyAlignment="1">
      <alignment horizontal="center" vertical="center"/>
    </xf>
    <xf numFmtId="164" fontId="19" fillId="2" borderId="0" xfId="1" applyFont="1" applyFill="1" applyAlignment="1">
      <alignment horizontal="center" vertical="center"/>
    </xf>
    <xf numFmtId="164" fontId="8" fillId="2" borderId="5" xfId="1" applyFont="1" applyFill="1" applyBorder="1" applyAlignment="1">
      <alignment horizontal="center" vertical="center"/>
    </xf>
    <xf numFmtId="164" fontId="22" fillId="2" borderId="2" xfId="1" applyFont="1" applyFill="1" applyBorder="1" applyAlignment="1">
      <alignment horizontal="right" vertical="center"/>
    </xf>
    <xf numFmtId="164" fontId="22" fillId="2" borderId="1" xfId="1" applyFont="1" applyFill="1" applyBorder="1" applyAlignment="1">
      <alignment horizontal="right" vertical="center"/>
    </xf>
  </cellXfs>
  <cellStyles count="7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Fish &amp;  Agri - 8" xfId="1" xr:uid="{00000000-0005-0000-0000-00000A000000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89977925477169"/>
          <c:y val="0.16538709037827495"/>
          <c:w val="0.40462545052681814"/>
          <c:h val="0.71464833093046465"/>
        </c:manualLayout>
      </c:layout>
      <c:pie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80D8-4C8E-8B04-8C5640AF69C5}"/>
              </c:ext>
            </c:extLst>
          </c:dPt>
          <c:dPt>
            <c:idx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89CB-4351-80D0-C5D70204FDE3}"/>
              </c:ext>
            </c:extLst>
          </c:dPt>
          <c:dLbls>
            <c:dLbl>
              <c:idx val="0"/>
              <c:layout>
                <c:manualLayout>
                  <c:x val="-0.17565588751167843"/>
                  <c:y val="-0.222924361353444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D8-4C8E-8B04-8C5640AF69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'9.9'!$C$5:$G$5</c15:sqref>
                  </c15:fullRef>
                </c:ext>
              </c:extLst>
              <c:f>('9.9'!$C$5,'9.9'!$E$5)</c:f>
              <c:strCache>
                <c:ptCount val="2"/>
                <c:pt idx="0">
                  <c:v>Pole and Line</c:v>
                </c:pt>
                <c:pt idx="1">
                  <c:v>Hand  Line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'9.9'!$C$6:$G$6</c15:sqref>
                  </c15:fullRef>
                </c:ext>
              </c:extLst>
              <c:f>('9.9'!$C$6,'9.9'!$E$6)</c:f>
              <c:numCache>
                <c:formatCode>#,##0</c:formatCode>
                <c:ptCount val="2"/>
                <c:pt idx="0">
                  <c:v>135733.24615238293</c:v>
                </c:pt>
                <c:pt idx="1">
                  <c:v>19025.099058744094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'9.9'!$D$6</c15:sqref>
                  <c15:dLbl>
                    <c:idx val="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80D8-4C8E-8B04-8C5640AF69C5}"/>
                      </c:ext>
                    </c:extLst>
                  </c15:dLbl>
                </c15:categoryFilterException>
                <c15:categoryFilterException>
                  <c15:sqref>'9.9'!$F$6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B-89CB-4351-80D0-C5D70204FDE3}"/>
                      </c:ext>
                    </c:extLst>
                  </c15:dLbl>
                </c15:categoryFilterException>
                <c15:categoryFilterException>
                  <c15:sqref>'9.9'!$G$6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C-89CB-4351-80D0-C5D70204FDE3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80D8-4C8E-8B04-8C5640AF69C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466723</xdr:colOff>
      <xdr:row>37</xdr:row>
      <xdr:rowOff>9524</xdr:rowOff>
    </xdr:from>
    <xdr:to>
      <xdr:col>7</xdr:col>
      <xdr:colOff>471236</xdr:colOff>
      <xdr:row>55</xdr:row>
      <xdr:rowOff>20053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0.01565</cdr:x>
      <cdr:y>0.04605</cdr:y>
    </cdr:from>
    <cdr:to>
      <cdr:x>0.98079</cdr:x>
      <cdr:y>0.13626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0741" y="154155"/>
          <a:ext cx="4978185" cy="3019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9.6: Percentage share of fish catch by fishing method, 2022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47"/>
  <sheetViews>
    <sheetView tabSelected="1" zoomScale="95" zoomScaleNormal="95" workbookViewId="0">
      <selection activeCell="N31" sqref="N31"/>
    </sheetView>
  </sheetViews>
  <sheetFormatPr defaultColWidth="9.140625" defaultRowHeight="12.75" x14ac:dyDescent="0.25"/>
  <cols>
    <col min="1" max="1" width="16.85546875" style="3" customWidth="1"/>
    <col min="2" max="2" width="12.28515625" style="7" customWidth="1"/>
    <col min="3" max="3" width="15" style="3" customWidth="1"/>
    <col min="4" max="7" width="12.5703125" style="3" customWidth="1"/>
    <col min="8" max="8" width="25.85546875" style="3" customWidth="1"/>
    <col min="9" max="16384" width="9.140625" style="3"/>
  </cols>
  <sheetData>
    <row r="1" spans="1:30" s="16" customFormat="1" ht="21.75" x14ac:dyDescent="0.25">
      <c r="A1" s="48" t="s">
        <v>33</v>
      </c>
      <c r="B1" s="48"/>
      <c r="C1" s="48"/>
      <c r="D1" s="48"/>
      <c r="E1" s="48"/>
      <c r="F1" s="48"/>
      <c r="G1" s="48"/>
      <c r="H1" s="48"/>
    </row>
    <row r="2" spans="1:30" s="18" customFormat="1" ht="15" x14ac:dyDescent="0.25">
      <c r="A2" s="46" t="s">
        <v>34</v>
      </c>
      <c r="B2" s="46"/>
      <c r="C2" s="46"/>
      <c r="D2" s="46"/>
      <c r="E2" s="46"/>
      <c r="F2" s="46"/>
      <c r="G2" s="46"/>
      <c r="H2" s="46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spans="1:30" s="7" customFormat="1" x14ac:dyDescent="0.25">
      <c r="A3" s="47"/>
      <c r="B3" s="45"/>
      <c r="C3" s="45"/>
      <c r="D3" s="45"/>
      <c r="E3" s="45"/>
      <c r="F3" s="45"/>
      <c r="G3" s="1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0"/>
      <c r="AA3" s="20"/>
      <c r="AB3" s="20"/>
      <c r="AC3" s="20"/>
      <c r="AD3" s="1"/>
    </row>
    <row r="4" spans="1:30" s="8" customFormat="1" ht="24" x14ac:dyDescent="0.25">
      <c r="A4" s="43" t="s">
        <v>2</v>
      </c>
      <c r="B4" s="49" t="s">
        <v>20</v>
      </c>
      <c r="C4" s="49"/>
      <c r="D4" s="49"/>
      <c r="E4" s="49"/>
      <c r="F4" s="49"/>
      <c r="G4" s="49"/>
      <c r="H4" s="50" t="s">
        <v>13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11" t="s">
        <v>21</v>
      </c>
      <c r="AA4" s="11" t="s">
        <v>23</v>
      </c>
      <c r="AB4" s="11" t="s">
        <v>24</v>
      </c>
      <c r="AC4" s="5"/>
      <c r="AD4" s="5"/>
    </row>
    <row r="5" spans="1:30" s="21" customFormat="1" ht="12" x14ac:dyDescent="0.25">
      <c r="A5" s="44"/>
      <c r="B5" s="11" t="s">
        <v>8</v>
      </c>
      <c r="C5" s="11" t="s">
        <v>21</v>
      </c>
      <c r="D5" s="11" t="s">
        <v>22</v>
      </c>
      <c r="E5" s="11" t="s">
        <v>23</v>
      </c>
      <c r="F5" s="11" t="s">
        <v>31</v>
      </c>
      <c r="G5" s="19" t="s">
        <v>32</v>
      </c>
      <c r="H5" s="51"/>
      <c r="I5" s="20"/>
      <c r="J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6">
        <f>C6/$B$6*100</f>
        <v>87.453921249759844</v>
      </c>
      <c r="AA5" s="26">
        <f>E6/$B$6*100</f>
        <v>12.258010192907157</v>
      </c>
      <c r="AB5" s="26" t="e">
        <f>AC5/B6*100</f>
        <v>#REF!</v>
      </c>
      <c r="AC5" s="5" t="e">
        <f>D6+#REF!+F6+G6+#REF!+#REF!</f>
        <v>#REF!</v>
      </c>
    </row>
    <row r="6" spans="1:30" s="8" customFormat="1" ht="15.75" x14ac:dyDescent="0.4">
      <c r="A6" s="22" t="s">
        <v>8</v>
      </c>
      <c r="B6" s="23">
        <f>SUM(B7:B15)</f>
        <v>155205.44329252208</v>
      </c>
      <c r="C6" s="23">
        <f>SUM(C7:C14)</f>
        <v>135733.24615238293</v>
      </c>
      <c r="D6" s="23">
        <f>SUM(D7:D14)</f>
        <v>0.107019</v>
      </c>
      <c r="E6" s="23">
        <f>SUM(E7:E14)</f>
        <v>19025.099058744094</v>
      </c>
      <c r="F6" s="23">
        <f>SUM(F7:F14)</f>
        <v>296.13276547007519</v>
      </c>
      <c r="G6" s="23">
        <f>SUM(G7:G14)</f>
        <v>150.85829692494062</v>
      </c>
      <c r="H6" s="38" t="s">
        <v>14</v>
      </c>
      <c r="I6" s="5"/>
      <c r="J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26"/>
      <c r="AA6" s="26"/>
      <c r="AB6" s="26"/>
      <c r="AC6" s="5"/>
    </row>
    <row r="7" spans="1:30" s="8" customFormat="1" ht="15.75" x14ac:dyDescent="0.25">
      <c r="A7" s="24" t="s">
        <v>17</v>
      </c>
      <c r="B7" s="23">
        <f t="shared" ref="B7:B15" si="0">SUM(C7:G7)</f>
        <v>126385.7998243023</v>
      </c>
      <c r="C7" s="25">
        <v>126362.57942500526</v>
      </c>
      <c r="D7" s="25">
        <v>0</v>
      </c>
      <c r="E7" s="25">
        <v>23.220399297045915</v>
      </c>
      <c r="F7" s="25">
        <v>0</v>
      </c>
      <c r="G7" s="25">
        <v>0</v>
      </c>
      <c r="H7" s="40" t="s">
        <v>15</v>
      </c>
      <c r="I7" s="5"/>
      <c r="J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30" s="8" customFormat="1" ht="15.75" x14ac:dyDescent="0.25">
      <c r="A8" s="13" t="s">
        <v>9</v>
      </c>
      <c r="B8" s="23">
        <f t="shared" si="0"/>
        <v>28082.962978199939</v>
      </c>
      <c r="C8" s="25">
        <v>9089.7158276999762</v>
      </c>
      <c r="D8" s="25">
        <v>0.107019</v>
      </c>
      <c r="E8" s="25">
        <v>18993.140131499964</v>
      </c>
      <c r="F8" s="25">
        <v>0</v>
      </c>
      <c r="G8" s="25">
        <v>0</v>
      </c>
      <c r="H8" s="40" t="s">
        <v>3</v>
      </c>
      <c r="I8" s="5"/>
      <c r="J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30" s="8" customFormat="1" ht="15.75" x14ac:dyDescent="0.25">
      <c r="A9" s="13" t="s">
        <v>0</v>
      </c>
      <c r="B9" s="23">
        <f t="shared" si="0"/>
        <v>223.89013175083423</v>
      </c>
      <c r="C9" s="25">
        <v>222.99585424916552</v>
      </c>
      <c r="D9" s="25">
        <v>0</v>
      </c>
      <c r="E9" s="25">
        <v>0.89427750166871545</v>
      </c>
      <c r="F9" s="25">
        <v>0</v>
      </c>
      <c r="G9" s="25">
        <v>0</v>
      </c>
      <c r="H9" s="40" t="s">
        <v>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30" s="8" customFormat="1" ht="15.75" hidden="1" x14ac:dyDescent="0.2">
      <c r="A10" s="14" t="s">
        <v>19</v>
      </c>
      <c r="B10" s="23">
        <f t="shared" si="0"/>
        <v>0</v>
      </c>
      <c r="C10" s="25"/>
      <c r="D10" s="25"/>
      <c r="E10" s="25"/>
      <c r="F10" s="25"/>
      <c r="G10" s="25"/>
      <c r="H10" s="40" t="s">
        <v>16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30" s="8" customFormat="1" ht="15.75" x14ac:dyDescent="0.25">
      <c r="A11" s="24" t="s">
        <v>10</v>
      </c>
      <c r="B11" s="23">
        <f t="shared" si="0"/>
        <v>7.9840797337244345</v>
      </c>
      <c r="C11" s="25">
        <v>0.10600011026281848</v>
      </c>
      <c r="D11" s="25">
        <v>0</v>
      </c>
      <c r="E11" s="25">
        <v>1.3628585605219519E-2</v>
      </c>
      <c r="F11" s="25">
        <v>0</v>
      </c>
      <c r="G11" s="25">
        <v>7.8644510378563961</v>
      </c>
      <c r="H11" s="40" t="s">
        <v>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30" s="8" customFormat="1" ht="15.75" x14ac:dyDescent="0.25">
      <c r="A12" s="24" t="s">
        <v>18</v>
      </c>
      <c r="B12" s="23">
        <f t="shared" si="0"/>
        <v>2.5645969534444206</v>
      </c>
      <c r="C12" s="25">
        <v>2.5494540805497321</v>
      </c>
      <c r="D12" s="25">
        <v>0</v>
      </c>
      <c r="E12" s="25">
        <v>1.5142872894688355E-2</v>
      </c>
      <c r="F12" s="25">
        <v>0</v>
      </c>
      <c r="G12" s="25">
        <v>0</v>
      </c>
      <c r="H12" s="40" t="s">
        <v>5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30" s="8" customFormat="1" ht="15.75" x14ac:dyDescent="0.25">
      <c r="A13" s="24" t="s">
        <v>11</v>
      </c>
      <c r="B13" s="23">
        <f t="shared" si="0"/>
        <v>47.935460720289136</v>
      </c>
      <c r="C13" s="25">
        <v>47.685921317857563</v>
      </c>
      <c r="D13" s="25">
        <v>0</v>
      </c>
      <c r="E13" s="25">
        <v>0.24953940243156941</v>
      </c>
      <c r="F13" s="25">
        <v>0</v>
      </c>
      <c r="G13" s="25">
        <v>0</v>
      </c>
      <c r="H13" s="40" t="s">
        <v>6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30" s="8" customFormat="1" ht="15.75" x14ac:dyDescent="0.25">
      <c r="A14" s="27" t="s">
        <v>12</v>
      </c>
      <c r="B14" s="28">
        <f t="shared" si="0"/>
        <v>454.30622086149026</v>
      </c>
      <c r="C14" s="29">
        <v>7.613669919847462</v>
      </c>
      <c r="D14" s="29">
        <v>0</v>
      </c>
      <c r="E14" s="29">
        <v>7.5659395844834059</v>
      </c>
      <c r="F14" s="29">
        <v>296.13276547007519</v>
      </c>
      <c r="G14" s="29">
        <v>142.99384588708423</v>
      </c>
      <c r="H14" s="41" t="s">
        <v>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30" s="8" customFormat="1" ht="15.75" hidden="1" x14ac:dyDescent="0.25">
      <c r="A15" s="30" t="s">
        <v>25</v>
      </c>
      <c r="B15" s="31">
        <f t="shared" si="0"/>
        <v>0</v>
      </c>
      <c r="C15" s="29"/>
      <c r="D15" s="29"/>
      <c r="E15" s="29"/>
      <c r="F15" s="29"/>
      <c r="G15" s="29"/>
      <c r="H15" s="41" t="s">
        <v>26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30" s="2" customFormat="1" ht="14.25" x14ac:dyDescent="0.25">
      <c r="A16" s="10" t="s">
        <v>27</v>
      </c>
      <c r="B16" s="23">
        <f t="shared" ref="B16:F16" si="1">B6/B6*100</f>
        <v>100</v>
      </c>
      <c r="C16" s="23">
        <f>C6/C6*100</f>
        <v>100</v>
      </c>
      <c r="D16" s="23">
        <f t="shared" si="1"/>
        <v>100</v>
      </c>
      <c r="E16" s="23">
        <f t="shared" si="1"/>
        <v>100</v>
      </c>
      <c r="F16" s="23">
        <f t="shared" si="1"/>
        <v>100</v>
      </c>
      <c r="G16" s="23">
        <f>G6/G6*100</f>
        <v>100</v>
      </c>
      <c r="H16" s="39" t="s">
        <v>28</v>
      </c>
    </row>
    <row r="17" spans="1:30" s="2" customFormat="1" ht="15.75" x14ac:dyDescent="0.25">
      <c r="A17" s="24" t="s">
        <v>17</v>
      </c>
      <c r="B17" s="23">
        <f>B7/B6*100</f>
        <v>81.431293351031371</v>
      </c>
      <c r="C17" s="25">
        <f>C7/C6*100</f>
        <v>93.096262711600104</v>
      </c>
      <c r="D17" s="25">
        <f t="shared" ref="D17:G17" si="2">D7/D6*100</f>
        <v>0</v>
      </c>
      <c r="E17" s="25">
        <f t="shared" si="2"/>
        <v>0.12205139760559422</v>
      </c>
      <c r="F17" s="25">
        <f t="shared" si="2"/>
        <v>0</v>
      </c>
      <c r="G17" s="25">
        <f t="shared" si="2"/>
        <v>0</v>
      </c>
      <c r="H17" s="40" t="s">
        <v>15</v>
      </c>
    </row>
    <row r="18" spans="1:30" s="8" customFormat="1" ht="15.75" x14ac:dyDescent="0.25">
      <c r="A18" s="13" t="s">
        <v>9</v>
      </c>
      <c r="B18" s="23">
        <f>B8/B6*100</f>
        <v>18.094058032018133</v>
      </c>
      <c r="C18" s="25">
        <f>C8/C6*100</f>
        <v>6.6967497539219494</v>
      </c>
      <c r="D18" s="25">
        <f t="shared" ref="D18:G18" si="3">D8/D6*100</f>
        <v>100</v>
      </c>
      <c r="E18" s="25">
        <f t="shared" si="3"/>
        <v>99.832017025796034</v>
      </c>
      <c r="F18" s="25">
        <f t="shared" si="3"/>
        <v>0</v>
      </c>
      <c r="G18" s="25">
        <f t="shared" si="3"/>
        <v>0</v>
      </c>
      <c r="H18" s="40" t="s">
        <v>3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s="8" customFormat="1" ht="15.75" x14ac:dyDescent="0.25">
      <c r="A19" s="13" t="s">
        <v>0</v>
      </c>
      <c r="B19" s="23">
        <f>B9/B6*100</f>
        <v>0.14425404612186141</v>
      </c>
      <c r="C19" s="25">
        <f>C9/C6*100</f>
        <v>0.16428978203233713</v>
      </c>
      <c r="D19" s="25">
        <f t="shared" ref="D19:G19" si="4">D9/D6*100</f>
        <v>0</v>
      </c>
      <c r="E19" s="25">
        <f t="shared" si="4"/>
        <v>4.7005142990711422E-3</v>
      </c>
      <c r="F19" s="25">
        <f t="shared" si="4"/>
        <v>0</v>
      </c>
      <c r="G19" s="25">
        <f t="shared" si="4"/>
        <v>0</v>
      </c>
      <c r="H19" s="40" t="s">
        <v>1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s="8" customFormat="1" ht="15.75" hidden="1" x14ac:dyDescent="0.2">
      <c r="A20" s="14" t="s">
        <v>19</v>
      </c>
      <c r="B20" s="23">
        <f t="shared" ref="B20:G20" si="5">B10/B6*100</f>
        <v>0</v>
      </c>
      <c r="C20" s="25">
        <f t="shared" si="5"/>
        <v>0</v>
      </c>
      <c r="D20" s="25">
        <f>D10/D6*100</f>
        <v>0</v>
      </c>
      <c r="E20" s="25">
        <f t="shared" si="5"/>
        <v>0</v>
      </c>
      <c r="F20" s="25">
        <f t="shared" si="5"/>
        <v>0</v>
      </c>
      <c r="G20" s="25">
        <f t="shared" si="5"/>
        <v>0</v>
      </c>
      <c r="H20" s="40" t="s">
        <v>16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s="8" customFormat="1" ht="15.75" x14ac:dyDescent="0.25">
      <c r="A21" s="24" t="s">
        <v>10</v>
      </c>
      <c r="B21" s="23">
        <f t="shared" ref="B21:G21" si="6">B11/B6*100</f>
        <v>5.1442008504022068E-3</v>
      </c>
      <c r="C21" s="25">
        <f t="shared" si="6"/>
        <v>7.8094433948640627E-5</v>
      </c>
      <c r="D21" s="25">
        <f t="shared" si="6"/>
        <v>0</v>
      </c>
      <c r="E21" s="25">
        <f t="shared" si="6"/>
        <v>7.1634768171972848E-5</v>
      </c>
      <c r="F21" s="25">
        <f t="shared" si="6"/>
        <v>0</v>
      </c>
      <c r="G21" s="25">
        <f t="shared" si="6"/>
        <v>5.2131378904332619</v>
      </c>
      <c r="H21" s="40" t="s">
        <v>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s="8" customFormat="1" ht="15.75" x14ac:dyDescent="0.25">
      <c r="A22" s="24" t="s">
        <v>18</v>
      </c>
      <c r="B22" s="23">
        <f>B12/B6*100</f>
        <v>1.6523885367930166E-3</v>
      </c>
      <c r="C22" s="25">
        <f t="shared" ref="C22:G22" si="7">C12/C6*100</f>
        <v>1.8782826999418772E-3</v>
      </c>
      <c r="D22" s="25">
        <f t="shared" si="7"/>
        <v>0</v>
      </c>
      <c r="E22" s="25">
        <f t="shared" si="7"/>
        <v>7.9594186857747602E-5</v>
      </c>
      <c r="F22" s="25">
        <f t="shared" si="7"/>
        <v>0</v>
      </c>
      <c r="G22" s="25">
        <f t="shared" si="7"/>
        <v>0</v>
      </c>
      <c r="H22" s="40" t="s">
        <v>5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s="8" customFormat="1" ht="15.75" x14ac:dyDescent="0.25">
      <c r="A23" s="24" t="s">
        <v>11</v>
      </c>
      <c r="B23" s="23">
        <f t="shared" ref="B23:G23" si="8">B13/B6*100</f>
        <v>3.0885167236011951E-2</v>
      </c>
      <c r="C23" s="25">
        <f t="shared" si="8"/>
        <v>3.5132086404477694E-2</v>
      </c>
      <c r="D23" s="25">
        <f t="shared" si="8"/>
        <v>0</v>
      </c>
      <c r="E23" s="25">
        <f t="shared" si="8"/>
        <v>1.3116326052288229E-3</v>
      </c>
      <c r="F23" s="25">
        <f t="shared" si="8"/>
        <v>0</v>
      </c>
      <c r="G23" s="25">
        <f t="shared" si="8"/>
        <v>0</v>
      </c>
      <c r="H23" s="40" t="s">
        <v>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s="8" customFormat="1" ht="15.75" x14ac:dyDescent="0.25">
      <c r="A24" s="27" t="s">
        <v>12</v>
      </c>
      <c r="B24" s="28">
        <f>B14/B6*100</f>
        <v>0.29271281420538886</v>
      </c>
      <c r="C24" s="29">
        <f t="shared" ref="C24:G24" si="9">C14/C6*100</f>
        <v>5.6092889072290094E-3</v>
      </c>
      <c r="D24" s="29">
        <f t="shared" si="9"/>
        <v>0</v>
      </c>
      <c r="E24" s="29">
        <f t="shared" si="9"/>
        <v>3.976820073904444E-2</v>
      </c>
      <c r="F24" s="29">
        <f t="shared" si="9"/>
        <v>100</v>
      </c>
      <c r="G24" s="29">
        <f t="shared" si="9"/>
        <v>94.786862109566755</v>
      </c>
      <c r="H24" s="41" t="s">
        <v>7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s="8" customFormat="1" ht="15.75" hidden="1" x14ac:dyDescent="0.25">
      <c r="A25" s="30" t="s">
        <v>25</v>
      </c>
      <c r="B25" s="31">
        <f t="shared" ref="B25:G25" si="10">B15/B6*100</f>
        <v>0</v>
      </c>
      <c r="C25" s="32">
        <f t="shared" si="10"/>
        <v>0</v>
      </c>
      <c r="D25" s="32">
        <f t="shared" si="10"/>
        <v>0</v>
      </c>
      <c r="E25" s="32">
        <f t="shared" si="10"/>
        <v>0</v>
      </c>
      <c r="F25" s="32">
        <f t="shared" si="10"/>
        <v>0</v>
      </c>
      <c r="G25" s="32">
        <f t="shared" si="10"/>
        <v>0</v>
      </c>
      <c r="H25" s="42" t="s">
        <v>26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4.25" x14ac:dyDescent="0.25">
      <c r="A26" s="10" t="s">
        <v>27</v>
      </c>
      <c r="B26" s="33">
        <f>SUM(C26:G26)</f>
        <v>99.999999999999972</v>
      </c>
      <c r="C26" s="23">
        <f>(C6/$B$6)*100</f>
        <v>87.453921249759844</v>
      </c>
      <c r="D26" s="23">
        <f t="shared" ref="D26:F26" si="11">(D6/$B$6)*100</f>
        <v>6.8953122860708493E-5</v>
      </c>
      <c r="E26" s="23">
        <f t="shared" si="11"/>
        <v>12.258010192907157</v>
      </c>
      <c r="F26" s="23">
        <f t="shared" si="11"/>
        <v>0.19080050234574672</v>
      </c>
      <c r="G26" s="23">
        <f>(G6/$B$6)*100</f>
        <v>9.7199101864366824E-2</v>
      </c>
      <c r="H26" s="39" t="s">
        <v>28</v>
      </c>
    </row>
    <row r="27" spans="1:30" ht="15.75" x14ac:dyDescent="0.25">
      <c r="A27" s="24" t="s">
        <v>17</v>
      </c>
      <c r="B27" s="33">
        <f>SUM(C27:G27)</f>
        <v>100.00000000000001</v>
      </c>
      <c r="C27" s="25">
        <f>(C7/$B$7)*100</f>
        <v>99.981627366896191</v>
      </c>
      <c r="D27" s="25">
        <f t="shared" ref="D27:G27" si="12">(D7/$B$7)*100</f>
        <v>0</v>
      </c>
      <c r="E27" s="25">
        <f t="shared" si="12"/>
        <v>1.837263310381879E-2</v>
      </c>
      <c r="F27" s="25">
        <f t="shared" si="12"/>
        <v>0</v>
      </c>
      <c r="G27" s="25">
        <f t="shared" si="12"/>
        <v>0</v>
      </c>
      <c r="H27" s="40" t="s">
        <v>15</v>
      </c>
    </row>
    <row r="28" spans="1:30" ht="15.75" x14ac:dyDescent="0.25">
      <c r="A28" s="13" t="s">
        <v>9</v>
      </c>
      <c r="B28" s="33">
        <f>SUM(C28:G28)</f>
        <v>100</v>
      </c>
      <c r="C28" s="25">
        <f>(C8/$B$8)*100</f>
        <v>32.367367484535308</v>
      </c>
      <c r="D28" s="25">
        <f t="shared" ref="D28:G28" si="13">(D8/$B$8)*100</f>
        <v>3.8108158346067693E-4</v>
      </c>
      <c r="E28" s="25">
        <f>(E8/$B$8)*100</f>
        <v>67.632251433881237</v>
      </c>
      <c r="F28" s="25">
        <f t="shared" si="13"/>
        <v>0</v>
      </c>
      <c r="G28" s="25">
        <f t="shared" si="13"/>
        <v>0</v>
      </c>
      <c r="H28" s="40" t="s">
        <v>3</v>
      </c>
    </row>
    <row r="29" spans="1:30" ht="15.75" x14ac:dyDescent="0.25">
      <c r="A29" s="13" t="s">
        <v>0</v>
      </c>
      <c r="B29" s="33">
        <f>SUM(C29:G29)</f>
        <v>100.00000000000001</v>
      </c>
      <c r="C29" s="25">
        <f>(C9/$B$9)*100</f>
        <v>99.600573060243704</v>
      </c>
      <c r="D29" s="25">
        <f t="shared" ref="D29:G29" si="14">(D9/$B$9)*100</f>
        <v>0</v>
      </c>
      <c r="E29" s="25">
        <f t="shared" si="14"/>
        <v>0.3994269397563045</v>
      </c>
      <c r="F29" s="25">
        <f t="shared" si="14"/>
        <v>0</v>
      </c>
      <c r="G29" s="25">
        <f t="shared" si="14"/>
        <v>0</v>
      </c>
      <c r="H29" s="40" t="s">
        <v>1</v>
      </c>
    </row>
    <row r="30" spans="1:30" ht="15.75" hidden="1" x14ac:dyDescent="0.2">
      <c r="A30" s="14" t="s">
        <v>19</v>
      </c>
      <c r="B30" s="33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40" t="s">
        <v>16</v>
      </c>
    </row>
    <row r="31" spans="1:30" ht="15.75" x14ac:dyDescent="0.25">
      <c r="A31" s="24" t="s">
        <v>10</v>
      </c>
      <c r="B31" s="33">
        <f>SUM(C31:G31)</f>
        <v>100</v>
      </c>
      <c r="C31" s="25">
        <f>(C11/$B$11)*100</f>
        <v>1.3276434329065909</v>
      </c>
      <c r="D31" s="25">
        <f t="shared" ref="D31:G31" si="15">(D11/$B$11)*100</f>
        <v>0</v>
      </c>
      <c r="E31" s="25">
        <f t="shared" si="15"/>
        <v>0.17069701280227598</v>
      </c>
      <c r="F31" s="25">
        <f t="shared" si="15"/>
        <v>0</v>
      </c>
      <c r="G31" s="25">
        <f t="shared" si="15"/>
        <v>98.501659554291138</v>
      </c>
      <c r="H31" s="40" t="s">
        <v>4</v>
      </c>
    </row>
    <row r="32" spans="1:30" ht="15.75" x14ac:dyDescent="0.25">
      <c r="A32" s="24" t="s">
        <v>18</v>
      </c>
      <c r="B32" s="33">
        <f>SUM(C32:G32)</f>
        <v>99.999999999999986</v>
      </c>
      <c r="C32" s="25">
        <f>(C12/$B$12)*100</f>
        <v>99.409541804440238</v>
      </c>
      <c r="D32" s="25">
        <f t="shared" ref="D32:G32" si="16">(D12/$B$12)*100</f>
        <v>0</v>
      </c>
      <c r="E32" s="25">
        <f t="shared" si="16"/>
        <v>0.59045819555975421</v>
      </c>
      <c r="F32" s="25">
        <f t="shared" si="16"/>
        <v>0</v>
      </c>
      <c r="G32" s="25">
        <f t="shared" si="16"/>
        <v>0</v>
      </c>
      <c r="H32" s="40" t="s">
        <v>5</v>
      </c>
    </row>
    <row r="33" spans="1:8" ht="15.75" x14ac:dyDescent="0.25">
      <c r="A33" s="24" t="s">
        <v>11</v>
      </c>
      <c r="B33" s="33">
        <f>SUM(C33:G33)</f>
        <v>100</v>
      </c>
      <c r="C33" s="25">
        <f>(C13/$B$13)*100</f>
        <v>99.479426298022517</v>
      </c>
      <c r="D33" s="25">
        <f t="shared" ref="D33:G33" si="17">(D13/$B$13)*100</f>
        <v>0</v>
      </c>
      <c r="E33" s="25">
        <f t="shared" si="17"/>
        <v>0.52057370197747888</v>
      </c>
      <c r="F33" s="25">
        <f t="shared" si="17"/>
        <v>0</v>
      </c>
      <c r="G33" s="25">
        <f t="shared" si="17"/>
        <v>0</v>
      </c>
      <c r="H33" s="40" t="s">
        <v>6</v>
      </c>
    </row>
    <row r="34" spans="1:8" ht="15.75" x14ac:dyDescent="0.25">
      <c r="A34" s="27" t="s">
        <v>12</v>
      </c>
      <c r="B34" s="34">
        <f>SUM(C34:G34)</f>
        <v>100.00000000000001</v>
      </c>
      <c r="C34" s="29">
        <f>(C14/$B$14)*100</f>
        <v>1.6758894266096198</v>
      </c>
      <c r="D34" s="29">
        <f t="shared" ref="D34:G34" si="18">(D14/$B$14)*100</f>
        <v>0</v>
      </c>
      <c r="E34" s="29">
        <f t="shared" si="18"/>
        <v>1.6653832232665211</v>
      </c>
      <c r="F34" s="29">
        <f t="shared" si="18"/>
        <v>65.183515406970557</v>
      </c>
      <c r="G34" s="29">
        <f t="shared" si="18"/>
        <v>31.475211943153308</v>
      </c>
      <c r="H34" s="41" t="s">
        <v>7</v>
      </c>
    </row>
    <row r="35" spans="1:8" ht="15" hidden="1" x14ac:dyDescent="0.25">
      <c r="A35" s="35" t="s">
        <v>25</v>
      </c>
      <c r="B35" s="36">
        <f>SUM(C35:G35)</f>
        <v>0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15" t="s">
        <v>26</v>
      </c>
    </row>
    <row r="36" spans="1:8" s="9" customFormat="1" ht="17.25" x14ac:dyDescent="0.25">
      <c r="A36" s="6" t="s">
        <v>30</v>
      </c>
      <c r="B36" s="22"/>
      <c r="C36" s="13"/>
      <c r="D36" s="13"/>
      <c r="E36" s="13"/>
      <c r="F36" s="13"/>
      <c r="G36" s="13"/>
      <c r="H36" s="4" t="s">
        <v>29</v>
      </c>
    </row>
    <row r="47" spans="1:8" x14ac:dyDescent="0.25">
      <c r="B47" s="3"/>
    </row>
  </sheetData>
  <mergeCells count="6">
    <mergeCell ref="A1:H1"/>
    <mergeCell ref="A2:H2"/>
    <mergeCell ref="A3:F3"/>
    <mergeCell ref="A4:A5"/>
    <mergeCell ref="B4:G4"/>
    <mergeCell ref="H4:H5"/>
  </mergeCells>
  <pageMargins left="0.7" right="0.7" top="0.75" bottom="0.75" header="0.3" footer="0.3"/>
  <pageSetup scale="6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9.9</vt:lpstr>
      <vt:lpstr>'9.9'!Print_Area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2023-07-13T08:29:40Z</cp:lastPrinted>
  <dcterms:created xsi:type="dcterms:W3CDTF">2019-09-09T05:11:24Z</dcterms:created>
  <dcterms:modified xsi:type="dcterms:W3CDTF">2023-07-13T08:29:47Z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