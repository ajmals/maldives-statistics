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19F3ADCB-461F-4CB9-B80E-BA47AAD2F506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2" sheetId="12" r:id="rId1"/>
  </sheets>
  <externalReferences>
    <externalReference r:id="rId2"/>
    <externalReference r:id="rId3"/>
  </externalReferences>
  <definedNames>
    <definedName name="_xlnm.Print_Area" localSheetId="0">'9.12'!$A$1:$J$74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12" l="1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H37" i="12"/>
  <c r="G37" i="12"/>
  <c r="F37" i="12"/>
  <c r="E37" i="12"/>
  <c r="D37" i="12"/>
  <c r="C3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H7" i="12"/>
  <c r="G7" i="12"/>
  <c r="F7" i="12"/>
  <c r="E7" i="12"/>
  <c r="D7" i="12"/>
  <c r="C7" i="12"/>
  <c r="B7" i="12" l="1"/>
  <c r="B37" i="12"/>
</calcChain>
</file>

<file path=xl/sharedStrings.xml><?xml version="1.0" encoding="utf-8"?>
<sst xmlns="http://schemas.openxmlformats.org/spreadsheetml/2006/main" count="124" uniqueCount="63">
  <si>
    <t>Total</t>
  </si>
  <si>
    <t>ޖުމްލަ</t>
  </si>
  <si>
    <t>2022 ,cawtctwvWb egumwkirevuDnwd Wdcawh cSokumcaWa iawgEjcaWr cniaeret egukwtctwvWb unuveruk cTrOpcmia cSwaejcaWr  : 9.12 ulwvWt</t>
  </si>
  <si>
    <t>Table 9.12: IMPORTS OF FRESH AGRICULTURAL CROPS MAINLY PRODUCED IN MALDIVES, 2022</t>
  </si>
  <si>
    <t>(ރުފިޔާއިން )</t>
  </si>
  <si>
    <t>(Value in MVR)</t>
  </si>
  <si>
    <t>Agricultural crops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</si>
  <si>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</si>
  <si>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</si>
  <si>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</si>
  <si>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</si>
  <si>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</si>
  <si>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</si>
  <si>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</si>
  <si>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</si>
  <si>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</si>
  <si>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</si>
  <si>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</si>
  <si>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</si>
  <si>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</si>
  <si>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</si>
  <si>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</si>
  <si>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</si>
  <si>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</si>
  <si>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</si>
  <si>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Bread Fruit (Fresh Or Chilled)</t>
  </si>
  <si>
    <t>ބަނބުކެޔޮ</t>
  </si>
  <si>
    <t>Cabbage (Fresh Or Chilled )</t>
  </si>
  <si>
    <t>ބޮނޑިކޮޕީ</t>
  </si>
  <si>
    <t>Cabbage Lettuce, Fresh or Chilled</t>
  </si>
  <si>
    <t>ކެބެޖް ލެޓިއުސް</t>
  </si>
  <si>
    <t>Cassava &amp; Manioc (Fresh , Chilled Or Frozen )</t>
  </si>
  <si>
    <t>ދަނޑިއަލުވި</t>
  </si>
  <si>
    <t>Chillies(Fresh Or Chilled )</t>
  </si>
  <si>
    <t>ގިތެޔޮމިރުސް</t>
  </si>
  <si>
    <t>Cucumber (Fresh Or Chilled )</t>
  </si>
  <si>
    <t>ކިއުކަމްބަރ</t>
  </si>
  <si>
    <t>Drumstick (Fresh Or Chilled )</t>
  </si>
  <si>
    <t>މުރަނގަތޮޅި</t>
  </si>
  <si>
    <t>Guava (Fresh Or Dried )</t>
  </si>
  <si>
    <t>ފޭރު</t>
  </si>
  <si>
    <t>Lettuce, Fresh Or Chilled, (Excl. Cabbage Lettuce)</t>
  </si>
  <si>
    <t>ލެޓިއުސް</t>
  </si>
  <si>
    <t>Mango (Fresh Or Dried )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</si>
  <si>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</si>
  <si>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</si>
  <si>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</si>
  <si>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</si>
  <si>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</si>
  <si>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</si>
  <si>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</si>
  <si>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Pumpkin (Fresh Or Chilled)</t>
  </si>
  <si>
    <t>ބަރަބޯ</t>
  </si>
  <si>
    <t>Sapodilla (Fresh)</t>
  </si>
  <si>
    <t>ސަބްދެލި</t>
  </si>
  <si>
    <t>Sweet Potato (Fresh , Chilled Or Frozen )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</si>
  <si>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</si>
  <si>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</si>
  <si>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</si>
  <si>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</si>
  <si>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</si>
  <si>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2021 ,cawtctwvWb egumwkirevuDnwd Wdcawh cSokumcaWa iawgEjcaWr cniaeret egukwtctwvWb unuveruk cTrOpcmia cSwaejcaWr  : 9.12 ulwvWt</t>
  </si>
  <si>
    <t>Table 9.12: IMPORTS OF FRESH AGRICULTURAL CROPS MAINLY PRODUCED IN MALDIVES,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</si>
</sst>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8" formatCode="[$-409]mmmm\ d\,\ yyyy;@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Faseyha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  <font>
      <b/>
      <sz val="1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9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0" fontId="2" fillId="0" borderId="0"/>
    <xf numFmtId="0" fontId="2" fillId="0" borderId="0"/>
    <xf numFmtId="0" fontId="10" fillId="0" borderId="0"/>
  </cellStyleXfs>
  <cellXfs count="70">
    <xf numFmtId="0" fontId="0" fillId="0" borderId="0" xfId="0"/>
    <xf numFmtId="164" fontId="4" fillId="2" borderId="0" xfId="1" applyFont="1" applyFill="1" applyAlignment="1">
      <alignment horizontal="left" vertical="center"/>
    </xf>
    <xf numFmtId="164" fontId="3" fillId="2" borderId="0" xfId="1" applyFont="1" applyFill="1" applyAlignment="1">
      <alignment horizontal="left" vertical="center"/>
    </xf>
    <xf numFmtId="38" fontId="5" fillId="2" borderId="0" xfId="2" applyNumberFormat="1" applyFont="1" applyFill="1" applyBorder="1"/>
    <xf numFmtId="38" fontId="7" fillId="2" borderId="0" xfId="2" applyNumberFormat="1" applyFont="1" applyFill="1" applyBorder="1"/>
    <xf numFmtId="38" fontId="7" fillId="2" borderId="1" xfId="2" applyNumberFormat="1" applyFont="1" applyFill="1" applyBorder="1"/>
    <xf numFmtId="164" fontId="10" fillId="2" borderId="4" xfId="8" applyNumberFormat="1" applyFill="1" applyBorder="1"/>
    <xf numFmtId="2" fontId="15" fillId="2" borderId="3" xfId="8" applyNumberFormat="1" applyFont="1" applyFill="1" applyBorder="1" applyAlignment="1">
      <alignment horizontal="right" vertical="center"/>
    </xf>
    <xf numFmtId="0" fontId="14" fillId="2" borderId="1" xfId="8" applyFont="1" applyFill="1" applyBorder="1" applyAlignment="1">
      <alignment horizontal="right" vertical="center"/>
    </xf>
    <xf numFmtId="0" fontId="13" fillId="2" borderId="2" xfId="8" applyFont="1" applyFill="1" applyBorder="1" applyAlignment="1">
      <alignment horizontal="left" vertical="center"/>
    </xf>
    <xf numFmtId="38" fontId="14" fillId="2" borderId="2" xfId="8" applyNumberFormat="1" applyFont="1" applyFill="1" applyBorder="1" applyAlignment="1">
      <alignment horizontal="right" vertical="center"/>
    </xf>
    <xf numFmtId="1" fontId="7" fillId="2" borderId="0" xfId="0" applyNumberFormat="1" applyFont="1" applyFill="1" applyAlignment="1">
      <alignment horizontal="left" vertical="center" indent="1"/>
    </xf>
    <xf numFmtId="0" fontId="17" fillId="2" borderId="8" xfId="8" applyFont="1" applyFill="1" applyBorder="1" applyAlignment="1">
      <alignment horizontal="left" vertical="center" indent="1"/>
    </xf>
    <xf numFmtId="0" fontId="17" fillId="2" borderId="10" xfId="8" applyFont="1" applyFill="1" applyBorder="1" applyAlignment="1">
      <alignment horizontal="left" vertical="center" indent="1"/>
    </xf>
    <xf numFmtId="0" fontId="17" fillId="2" borderId="11" xfId="8" applyFont="1" applyFill="1" applyBorder="1" applyAlignment="1">
      <alignment horizontal="left" vertical="center" indent="1"/>
    </xf>
    <xf numFmtId="38" fontId="5" fillId="2" borderId="1" xfId="2" applyNumberFormat="1" applyFont="1" applyFill="1" applyBorder="1"/>
    <xf numFmtId="164" fontId="3" fillId="2" borderId="8" xfId="1" applyFont="1" applyFill="1" applyBorder="1" applyAlignment="1">
      <alignment horizontal="left" vertical="center"/>
    </xf>
    <xf numFmtId="164" fontId="1" fillId="2" borderId="12" xfId="8" applyNumberFormat="1" applyFont="1" applyFill="1" applyBorder="1"/>
    <xf numFmtId="164" fontId="1" fillId="2" borderId="4" xfId="8" applyNumberFormat="1" applyFont="1" applyFill="1" applyBorder="1"/>
    <xf numFmtId="1" fontId="7" fillId="2" borderId="0" xfId="0" applyNumberFormat="1" applyFont="1" applyFill="1"/>
    <xf numFmtId="164" fontId="1" fillId="2" borderId="9" xfId="8" applyNumberFormat="1" applyFont="1" applyFill="1" applyBorder="1"/>
    <xf numFmtId="164" fontId="4" fillId="2" borderId="12" xfId="1" applyFont="1" applyFill="1" applyBorder="1" applyAlignment="1">
      <alignment horizontal="left" vertical="center"/>
    </xf>
    <xf numFmtId="164" fontId="8" fillId="2" borderId="12" xfId="1" applyFont="1" applyFill="1" applyBorder="1" applyAlignment="1">
      <alignment horizontal="left" vertical="center" indent="1" readingOrder="2"/>
    </xf>
    <xf numFmtId="164" fontId="3" fillId="2" borderId="13" xfId="1" applyFont="1" applyFill="1" applyBorder="1" applyAlignment="1">
      <alignment horizontal="left" vertical="center"/>
    </xf>
    <xf numFmtId="164" fontId="1" fillId="2" borderId="14" xfId="8" applyNumberFormat="1" applyFont="1" applyFill="1" applyBorder="1"/>
    <xf numFmtId="164" fontId="4" fillId="2" borderId="15" xfId="1" applyFont="1" applyFill="1" applyBorder="1" applyAlignment="1">
      <alignment horizontal="left" vertical="center"/>
    </xf>
    <xf numFmtId="164" fontId="8" fillId="2" borderId="15" xfId="1" applyFont="1" applyFill="1" applyBorder="1" applyAlignment="1">
      <alignment horizontal="left" vertical="center" indent="1" readingOrder="2"/>
    </xf>
    <xf numFmtId="164" fontId="1" fillId="2" borderId="0" xfId="8" applyNumberFormat="1" applyFont="1" applyFill="1"/>
    <xf numFmtId="164" fontId="8" fillId="2" borderId="0" xfId="1" applyFont="1" applyFill="1" applyAlignment="1">
      <alignment horizontal="left" vertical="center" indent="1" readingOrder="2"/>
    </xf>
    <xf numFmtId="0" fontId="13" fillId="2" borderId="0" xfId="8" applyFont="1" applyFill="1" applyAlignment="1">
      <alignment horizontal="left" vertical="center"/>
    </xf>
    <xf numFmtId="2" fontId="15" fillId="2" borderId="0" xfId="8" applyNumberFormat="1" applyFont="1" applyFill="1" applyAlignment="1">
      <alignment horizontal="right" vertical="center"/>
    </xf>
    <xf numFmtId="0" fontId="12" fillId="2" borderId="0" xfId="8" applyFont="1" applyFill="1" applyAlignment="1">
      <alignment horizontal="right" vertical="center"/>
    </xf>
    <xf numFmtId="0" fontId="14" fillId="2" borderId="0" xfId="8" applyFont="1" applyFill="1" applyAlignment="1">
      <alignment horizontal="right" vertical="center"/>
    </xf>
    <xf numFmtId="38" fontId="14" fillId="2" borderId="0" xfId="8" applyNumberFormat="1" applyFont="1" applyFill="1" applyAlignment="1">
      <alignment horizontal="right" vertical="center"/>
    </xf>
    <xf numFmtId="0" fontId="16" fillId="2" borderId="0" xfId="8" applyFont="1" applyFill="1" applyAlignment="1">
      <alignment vertical="center"/>
    </xf>
    <xf numFmtId="0" fontId="17" fillId="2" borderId="0" xfId="8" applyFont="1" applyFill="1" applyAlignment="1">
      <alignment horizontal="left" vertical="center"/>
    </xf>
    <xf numFmtId="164" fontId="10" fillId="2" borderId="5" xfId="8" applyNumberFormat="1" applyFill="1" applyBorder="1"/>
    <xf numFmtId="0" fontId="16" fillId="2" borderId="18" xfId="8" applyFont="1" applyFill="1" applyBorder="1" applyAlignment="1">
      <alignment horizontal="right" vertical="center" indent="1"/>
    </xf>
    <xf numFmtId="0" fontId="16" fillId="2" borderId="16" xfId="8" applyFont="1" applyFill="1" applyBorder="1" applyAlignment="1">
      <alignment horizontal="right" vertical="center" indent="1"/>
    </xf>
    <xf numFmtId="0" fontId="16" fillId="2" borderId="17" xfId="8" applyFont="1" applyFill="1" applyBorder="1" applyAlignment="1">
      <alignment horizontal="right" vertical="center" indent="1"/>
    </xf>
    <xf numFmtId="164" fontId="8" fillId="2" borderId="8" xfId="1" applyFont="1" applyFill="1" applyBorder="1" applyAlignment="1">
      <alignment horizontal="right" vertical="center" indent="1"/>
    </xf>
    <xf numFmtId="164" fontId="1" fillId="2" borderId="10" xfId="8" applyNumberFormat="1" applyFont="1" applyFill="1" applyBorder="1"/>
    <xf numFmtId="0" fontId="9" fillId="2" borderId="4" xfId="7" applyFont="1" applyFill="1" applyBorder="1" applyAlignment="1">
      <alignment horizontal="center" vertical="center"/>
    </xf>
    <xf numFmtId="0" fontId="11" fillId="2" borderId="4" xfId="8" applyFont="1" applyFill="1" applyBorder="1" applyAlignment="1">
      <alignment horizontal="center" vertical="center"/>
    </xf>
    <xf numFmtId="0" fontId="12" fillId="2" borderId="4" xfId="8" applyFont="1" applyFill="1" applyBorder="1" applyAlignment="1">
      <alignment horizontal="center" vertical="center"/>
    </xf>
    <xf numFmtId="0" fontId="13" fillId="2" borderId="5" xfId="8" applyFont="1" applyFill="1" applyBorder="1" applyAlignment="1">
      <alignment horizontal="center" vertical="center"/>
    </xf>
    <xf numFmtId="0" fontId="14" fillId="2" borderId="6" xfId="8" applyFont="1" applyFill="1" applyBorder="1" applyAlignment="1">
      <alignment horizontal="left" vertical="center"/>
    </xf>
    <xf numFmtId="0" fontId="14" fillId="2" borderId="7" xfId="8" applyFont="1" applyFill="1" applyBorder="1" applyAlignment="1">
      <alignment horizontal="left" vertical="center"/>
    </xf>
    <xf numFmtId="0" fontId="18" fillId="2" borderId="0" xfId="7" applyFont="1" applyFill="1" applyAlignment="1">
      <alignment horizontal="center" vertical="center"/>
    </xf>
    <xf numFmtId="0" fontId="11" fillId="2" borderId="0" xfId="8" applyFont="1" applyFill="1" applyAlignment="1">
      <alignment horizontal="center" vertical="center"/>
    </xf>
    <xf numFmtId="0" fontId="12" fillId="2" borderId="0" xfId="8" applyFont="1" applyFill="1" applyAlignment="1">
      <alignment horizontal="center" vertical="center"/>
    </xf>
    <xf numFmtId="0" fontId="13" fillId="2" borderId="0" xfId="8" applyFont="1" applyFill="1" applyAlignment="1">
      <alignment horizontal="center" vertical="center"/>
    </xf>
    <xf numFmtId="0" fontId="13" fillId="2" borderId="0" xfId="8" applyFont="1" applyFill="1" applyAlignment="1">
      <alignment horizontal="left" vertical="center"/>
    </xf>
    <xf numFmtId="0" fontId="12" fillId="2" borderId="0" xfId="8" applyFont="1" applyFill="1" applyAlignment="1">
      <alignment horizontal="right" vertical="center"/>
    </xf>
    <xf numFmtId="0" fontId="12" fillId="2" borderId="2" xfId="8" applyFont="1" applyFill="1" applyBorder="1" applyAlignment="1">
      <alignment horizontal="right" vertical="center"/>
    </xf>
    <xf numFmtId="0" fontId="12" fillId="2" borderId="1" xfId="8" applyFont="1" applyFill="1" applyBorder="1" applyAlignment="1">
      <alignment horizontal="right" vertical="center"/>
    </xf>
    <xf numFmtId="0" fontId="12" fillId="2" borderId="2" xfId="8" applyFont="1" applyFill="1" applyBorder="1" applyAlignment="1">
      <alignment horizontal="right" vertical="center"/>
    </xf>
    <xf numFmtId="164" fontId="1" fillId="2" borderId="19" xfId="8" applyNumberFormat="1" applyFont="1" applyFill="1" applyBorder="1"/>
    <xf numFmtId="164" fontId="10" fillId="2" borderId="10" xfId="8" applyNumberFormat="1" applyFill="1" applyBorder="1"/>
    <xf numFmtId="164" fontId="10" fillId="2" borderId="9" xfId="8" applyNumberFormat="1" applyFill="1" applyBorder="1"/>
    <xf numFmtId="164" fontId="10" fillId="2" borderId="0" xfId="8" applyNumberFormat="1" applyFill="1" applyBorder="1"/>
    <xf numFmtId="164" fontId="1" fillId="2" borderId="0" xfId="8" applyNumberFormat="1" applyFont="1" applyFill="1" applyBorder="1"/>
    <xf numFmtId="164" fontId="10" fillId="2" borderId="14" xfId="8" applyNumberFormat="1" applyFill="1" applyBorder="1"/>
    <xf numFmtId="0" fontId="17" fillId="2" borderId="0" xfId="8" applyFont="1" applyFill="1" applyBorder="1" applyAlignment="1">
      <alignment horizontal="left" vertical="center"/>
    </xf>
    <xf numFmtId="0" fontId="16" fillId="2" borderId="0" xfId="8" applyFont="1" applyFill="1" applyBorder="1" applyAlignment="1">
      <alignment vertical="center"/>
    </xf>
    <xf numFmtId="164" fontId="3" fillId="2" borderId="0" xfId="1" applyFont="1" applyFill="1" applyBorder="1" applyAlignment="1">
      <alignment horizontal="left" vertical="center"/>
    </xf>
    <xf numFmtId="164" fontId="8" fillId="2" borderId="0" xfId="1" applyFont="1" applyFill="1" applyBorder="1" applyAlignment="1">
      <alignment horizontal="right" vertical="center" indent="1"/>
    </xf>
    <xf numFmtId="1" fontId="7" fillId="2" borderId="0" xfId="0" applyNumberFormat="1" applyFont="1" applyFill="1" applyBorder="1"/>
    <xf numFmtId="164" fontId="4" fillId="2" borderId="0" xfId="1" applyFont="1" applyFill="1" applyBorder="1" applyAlignment="1">
      <alignment horizontal="left" vertical="center"/>
    </xf>
    <xf numFmtId="164" fontId="8" fillId="2" borderId="0" xfId="1" applyFont="1" applyFill="1" applyBorder="1" applyAlignment="1">
      <alignment horizontal="left" vertical="center" indent="1" readingOrder="2"/>
    </xf>
  </cellXfs>
  <cellStyles count="9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agri planning 2009 year book(final)" xfId="8" xr:uid="{0420BEC2-B9C4-4445-9203-73D13DA34D5D}"/>
    <cellStyle name="Normal_Fish &amp;  Agri - 8" xfId="1" xr:uid="{00000000-0005-0000-0000-00000A000000}"/>
    <cellStyle name="Normal_mmifco" xfId="7" xr:uid="{2A3E7902-223E-4C91-BA3B-3CBD69F9D43E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9.8: Imports of fresh agricultural crops by Country, 2018</a:t>
            </a:r>
          </a:p>
        </c:rich>
      </c:tx>
      <c:layout>
        <c:manualLayout>
          <c:xMode val="edge"/>
          <c:yMode val="edge"/>
          <c:x val="0.2323128127050525"/>
          <c:y val="5.51674115059941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6278245980971"/>
          <c:y val="0.17630082683349171"/>
          <c:w val="0.84210906742125979"/>
          <c:h val="0.7060363907214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66"/>
            </a:solidFill>
          </c:spPr>
          <c:invertIfNegative val="0"/>
          <c:cat>
            <c:strRef>
              <c:f>'[1]9.12'!$Y$40:$Y$45</c:f>
              <c:strCache>
                <c:ptCount val="6"/>
                <c:pt idx="0">
                  <c:v>India</c:v>
                </c:pt>
                <c:pt idx="1">
                  <c:v>U.A.E</c:v>
                </c:pt>
                <c:pt idx="2">
                  <c:v>Srilanka</c:v>
                </c:pt>
                <c:pt idx="3">
                  <c:v>Thailand</c:v>
                </c:pt>
                <c:pt idx="4">
                  <c:v>Other Countries</c:v>
                </c:pt>
                <c:pt idx="5">
                  <c:v>Australia</c:v>
                </c:pt>
              </c:strCache>
            </c:strRef>
          </c:cat>
          <c:val>
            <c:numRef>
              <c:f>'[1]9.12'!$Z$40:$Z$45</c:f>
              <c:numCache>
                <c:formatCode>General</c:formatCode>
                <c:ptCount val="6"/>
                <c:pt idx="0">
                  <c:v>124404067.35999998</c:v>
                </c:pt>
                <c:pt idx="1">
                  <c:v>89466498.949999988</c:v>
                </c:pt>
                <c:pt idx="2">
                  <c:v>84504694.510000005</c:v>
                </c:pt>
                <c:pt idx="3">
                  <c:v>76314727.409999982</c:v>
                </c:pt>
                <c:pt idx="4">
                  <c:v>42838737.359999999</c:v>
                </c:pt>
                <c:pt idx="5">
                  <c:v>19911562.610000003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B-45CE-B03F-41D4D0BB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709048"/>
        <c:axId val="424712184"/>
      </c:barChart>
      <c:catAx>
        <c:axId val="42470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12184"/>
        <c:crosses val="autoZero"/>
        <c:auto val="1"/>
        <c:lblAlgn val="ctr"/>
        <c:lblOffset val="100"/>
        <c:noMultiLvlLbl val="0"/>
      </c:catAx>
      <c:valAx>
        <c:axId val="4247121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(Value in MVR)</a:t>
                </a:r>
              </a:p>
            </c:rich>
          </c:tx>
          <c:layout>
            <c:manualLayout>
              <c:xMode val="edge"/>
              <c:yMode val="edge"/>
              <c:x val="9.8238086450131226E-3"/>
              <c:y val="0.32085053557494503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0904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9.8: Imports of fresh agricultural crops by Country, 2022</a:t>
            </a:r>
          </a:p>
        </c:rich>
      </c:tx>
      <c:layout>
        <c:manualLayout>
          <c:xMode val="edge"/>
          <c:yMode val="edge"/>
          <c:x val="0.2323128127050525"/>
          <c:y val="5.51674115059941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6278245980971"/>
          <c:y val="0.17630082683349171"/>
          <c:w val="0.84210906742125979"/>
          <c:h val="0.7060363907214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'9.12'!$C$6:$H$6</c:f>
              <c:strCache>
                <c:ptCount val="6"/>
                <c:pt idx="0">
                  <c:v>India</c:v>
                </c:pt>
                <c:pt idx="1">
                  <c:v>Srilanka</c:v>
                </c:pt>
                <c:pt idx="2">
                  <c:v>U.A.E</c:v>
                </c:pt>
                <c:pt idx="3">
                  <c:v>Australia</c:v>
                </c:pt>
                <c:pt idx="4">
                  <c:v>Thailand</c:v>
                </c:pt>
                <c:pt idx="5">
                  <c:v>Other Countries</c:v>
                </c:pt>
              </c:strCache>
            </c:strRef>
          </c:cat>
          <c:val>
            <c:numRef>
              <c:f>'9.12'!$C$7:$H$7</c:f>
              <c:numCache>
                <c:formatCode>#,##0_);[Red]\(#,##0\)</c:formatCode>
                <c:ptCount val="6"/>
                <c:pt idx="0">
                  <c:v>171451204.36999992</c:v>
                </c:pt>
                <c:pt idx="1">
                  <c:v>129480489.88999976</c:v>
                </c:pt>
                <c:pt idx="2">
                  <c:v>157125429.56000015</c:v>
                </c:pt>
                <c:pt idx="3">
                  <c:v>9521125</c:v>
                </c:pt>
                <c:pt idx="4">
                  <c:v>59400984.5</c:v>
                </c:pt>
                <c:pt idx="5">
                  <c:v>61722338.149999999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5-4131-8B9C-642064B44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709048"/>
        <c:axId val="424712184"/>
      </c:barChart>
      <c:catAx>
        <c:axId val="42470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12184"/>
        <c:crosses val="autoZero"/>
        <c:auto val="1"/>
        <c:lblAlgn val="ctr"/>
        <c:lblOffset val="100"/>
        <c:noMultiLvlLbl val="0"/>
      </c:catAx>
      <c:valAx>
        <c:axId val="4247121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(Value in MVR)</a:t>
                </a:r>
              </a:p>
            </c:rich>
          </c:tx>
          <c:layout>
            <c:manualLayout>
              <c:xMode val="edge"/>
              <c:yMode val="edge"/>
              <c:x val="9.8238086450131226E-3"/>
              <c:y val="0.32085053557494503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0904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1226820</xdr:colOff>
      <xdr:row>59</xdr:row>
      <xdr:rowOff>114300</xdr:rowOff>
    </xdr:from>
    <xdr:to>
      <xdr:col>7</xdr:col>
      <xdr:colOff>962025</xdr:colOff>
      <xdr:row>71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C25F1-B651-4380-816A-859B0763E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1226820</xdr:colOff>
      <xdr:row>59</xdr:row>
      <xdr:rowOff>114300</xdr:rowOff>
    </xdr:from>
    <xdr:to>
      <xdr:col>7</xdr:col>
      <xdr:colOff>962025</xdr:colOff>
      <xdr:row>71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5D249F-9B55-458B-96E4-3DD1B2C8D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Dissemination\Publications\Statistical%20Year%20Book\YEARBOOK%202021\YEARBOOK%202021_%20LATEST\FINAL%20TABLES\9.%20FISHERIES%20AND%20AGRICULTURE__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9.%20FISHERIES%20AND%20AGRICULTURE%20-%20Agri.xlsx" TargetMode="External"/><Relationship Id="rId1" Type="http://schemas.openxmlformats.org/officeDocument/2006/relationships/externalLinkPath" Target="/Dissemination/Publications/Statistical%20Year%20Book/YEARBOOK%202023/RECEIVED/9.%20FISHERIES%20AND%20AGRICULTURE%20-%20Ag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0">
          <cell r="Y40" t="str">
            <v>India</v>
          </cell>
          <cell r="Z40">
            <v>124404067.35999998</v>
          </cell>
        </row>
        <row r="41">
          <cell r="Y41" t="str">
            <v>U.A.E</v>
          </cell>
          <cell r="Z41">
            <v>89466498.949999988</v>
          </cell>
        </row>
        <row r="42">
          <cell r="Y42" t="str">
            <v>Srilanka</v>
          </cell>
          <cell r="Z42">
            <v>84504694.510000005</v>
          </cell>
        </row>
        <row r="43">
          <cell r="Y43" t="str">
            <v>Thailand</v>
          </cell>
          <cell r="Z43">
            <v>76314727.409999982</v>
          </cell>
        </row>
        <row r="44">
          <cell r="Y44" t="str">
            <v>Other Countries</v>
          </cell>
          <cell r="Z44">
            <v>42838737.359999999</v>
          </cell>
        </row>
        <row r="45">
          <cell r="Y45" t="str">
            <v>Australia</v>
          </cell>
          <cell r="Z45">
            <v>19911562.610000003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>
        <row r="6">
          <cell r="K6">
            <v>2017</v>
          </cell>
          <cell r="L6">
            <v>2018</v>
          </cell>
          <cell r="M6">
            <v>2019</v>
          </cell>
        </row>
        <row r="8">
          <cell r="A8" t="str">
            <v>January</v>
          </cell>
          <cell r="K8">
            <v>8451.4959999999992</v>
          </cell>
          <cell r="L8">
            <v>3998.6889999999999</v>
          </cell>
          <cell r="M8">
            <v>2618.08</v>
          </cell>
        </row>
        <row r="9">
          <cell r="A9" t="str">
            <v>February</v>
          </cell>
          <cell r="K9">
            <v>8453.8235000000004</v>
          </cell>
          <cell r="L9">
            <v>5869.7790000000005</v>
          </cell>
          <cell r="M9">
            <v>2885.299</v>
          </cell>
        </row>
        <row r="10">
          <cell r="A10" t="str">
            <v>March</v>
          </cell>
          <cell r="K10">
            <v>7567.4920000000002</v>
          </cell>
          <cell r="L10">
            <v>5047.7060000000001</v>
          </cell>
          <cell r="M10">
            <v>2069.3150000000001</v>
          </cell>
        </row>
        <row r="11">
          <cell r="A11" t="str">
            <v>April</v>
          </cell>
          <cell r="K11">
            <v>7684.7669999999998</v>
          </cell>
          <cell r="L11">
            <v>6195.2209999999995</v>
          </cell>
          <cell r="M11">
            <v>235.05</v>
          </cell>
        </row>
        <row r="12">
          <cell r="A12" t="str">
            <v>May</v>
          </cell>
          <cell r="K12">
            <v>4452.6779999999999</v>
          </cell>
          <cell r="L12">
            <v>5648.06</v>
          </cell>
          <cell r="M12">
            <v>5236</v>
          </cell>
        </row>
        <row r="13">
          <cell r="A13" t="str">
            <v>June</v>
          </cell>
          <cell r="K13">
            <v>8162.3275000000003</v>
          </cell>
          <cell r="L13">
            <v>4394.7749999999996</v>
          </cell>
          <cell r="M13">
            <v>3785.75</v>
          </cell>
        </row>
        <row r="14">
          <cell r="A14" t="str">
            <v>July</v>
          </cell>
          <cell r="K14">
            <v>3507.6289999999999</v>
          </cell>
          <cell r="L14">
            <v>1475.635</v>
          </cell>
          <cell r="M14">
            <v>3096.165</v>
          </cell>
        </row>
        <row r="15">
          <cell r="A15" t="str">
            <v>August</v>
          </cell>
          <cell r="K15">
            <v>4520.3270000000002</v>
          </cell>
          <cell r="L15">
            <v>2343.393</v>
          </cell>
          <cell r="M15">
            <v>1528.56</v>
          </cell>
        </row>
        <row r="16">
          <cell r="A16" t="str">
            <v>September</v>
          </cell>
          <cell r="K16">
            <v>247.465</v>
          </cell>
          <cell r="L16">
            <v>736.4</v>
          </cell>
          <cell r="M16">
            <v>2215.1</v>
          </cell>
        </row>
        <row r="17">
          <cell r="A17" t="str">
            <v>October</v>
          </cell>
          <cell r="K17">
            <v>3873.07</v>
          </cell>
          <cell r="L17">
            <v>3165.0529999999999</v>
          </cell>
          <cell r="M17">
            <v>1908.519</v>
          </cell>
        </row>
        <row r="18">
          <cell r="A18" t="str">
            <v>November</v>
          </cell>
          <cell r="K18">
            <v>2455.6325000000002</v>
          </cell>
          <cell r="L18">
            <v>2708.9949999999999</v>
          </cell>
          <cell r="M18">
            <v>2635.1750000000002</v>
          </cell>
        </row>
        <row r="19">
          <cell r="A19" t="str">
            <v>December</v>
          </cell>
          <cell r="K19">
            <v>4703.3100000000004</v>
          </cell>
          <cell r="L19">
            <v>1875.7750000000001</v>
          </cell>
          <cell r="M19">
            <v>1911.08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CDF2-8EF4-4353-B347-B1950C701030}">
  <dimension ref="A1:DG1486"/>
  <sheetViews>
    <sheetView tabSelected="1" zoomScale="148" zoomScaleNormal="148" workbookViewId="0">
      <selection activeCell="O23" sqref="O23"/>
    </sheetView>
  </sheetViews>
  <sheetFormatPr defaultColWidth="8.85546875" defaultRowHeight="15" x14ac:dyDescent="0.25"/>
  <cols>
    <col min="1" max="1" width="38.5703125" style="6" customWidth="1"/>
    <col min="2" max="2" width="18.85546875" style="6" customWidth="1"/>
    <col min="3" max="3" width="14" style="6" customWidth="1"/>
    <col min="4" max="7" width="12.7109375" style="6" customWidth="1"/>
    <col min="8" max="8" width="17.140625" style="6" customWidth="1"/>
    <col min="9" max="9" width="22.5703125" style="58" customWidth="1"/>
    <col min="10" max="11" width="8.85546875" style="60"/>
    <col min="12" max="23" width="11.140625" style="60" customWidth="1"/>
    <col min="24" max="24" width="13.28515625" style="60" bestFit="1" customWidth="1"/>
    <col min="25" max="26" width="8.85546875" style="60"/>
    <col min="27" max="27" width="9" style="60" bestFit="1" customWidth="1"/>
    <col min="28" max="110" width="8.85546875" style="60"/>
    <col min="111" max="111" width="8.85546875" style="59"/>
    <col min="112" max="16384" width="8.85546875" style="6"/>
  </cols>
  <sheetData>
    <row r="1" spans="1:9" ht="18" x14ac:dyDescent="0.25">
      <c r="A1" s="42" t="s">
        <v>2</v>
      </c>
      <c r="B1" s="42"/>
      <c r="C1" s="42"/>
      <c r="D1" s="42"/>
      <c r="E1" s="42"/>
      <c r="F1" s="42"/>
      <c r="G1" s="42"/>
      <c r="H1" s="42"/>
      <c r="I1" s="42"/>
    </row>
    <row r="2" spans="1:9" ht="15.75" x14ac:dyDescent="0.25">
      <c r="A2" s="43" t="s">
        <v>3</v>
      </c>
      <c r="B2" s="43"/>
      <c r="C2" s="43"/>
      <c r="D2" s="43"/>
      <c r="E2" s="43"/>
      <c r="F2" s="43"/>
      <c r="G2" s="43"/>
      <c r="H2" s="43"/>
      <c r="I2" s="43"/>
    </row>
    <row r="3" spans="1:9" ht="21" x14ac:dyDescent="0.25">
      <c r="A3" s="44" t="s">
        <v>4</v>
      </c>
      <c r="B3" s="44"/>
      <c r="C3" s="44"/>
      <c r="D3" s="44"/>
      <c r="E3" s="44"/>
      <c r="F3" s="44"/>
      <c r="G3" s="44"/>
      <c r="H3" s="44"/>
      <c r="I3" s="44"/>
    </row>
    <row r="4" spans="1:9" x14ac:dyDescent="0.25">
      <c r="A4" s="45" t="s">
        <v>5</v>
      </c>
      <c r="B4" s="45"/>
      <c r="C4" s="45"/>
      <c r="D4" s="45"/>
      <c r="E4" s="45"/>
      <c r="F4" s="45"/>
      <c r="G4" s="45"/>
      <c r="H4" s="45"/>
      <c r="I4" s="45"/>
    </row>
    <row r="5" spans="1:9" ht="18.75" x14ac:dyDescent="0.25">
      <c r="A5" s="46" t="s">
        <v>6</v>
      </c>
      <c r="B5" s="7" t="s">
        <v>1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54" t="s">
        <v>13</v>
      </c>
    </row>
    <row r="6" spans="1:9" x14ac:dyDescent="0.25">
      <c r="A6" s="47"/>
      <c r="B6" s="8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55"/>
    </row>
    <row r="7" spans="1:9" ht="21" x14ac:dyDescent="0.25">
      <c r="A7" s="9" t="s">
        <v>0</v>
      </c>
      <c r="B7" s="10">
        <f t="shared" ref="B7" si="0">SUM(B8:B26)</f>
        <v>588701571.46999991</v>
      </c>
      <c r="C7" s="10">
        <f t="shared" ref="C7:H7" si="1">SUM(C8:C26)</f>
        <v>171451204.36999992</v>
      </c>
      <c r="D7" s="10">
        <f t="shared" si="1"/>
        <v>129480489.88999976</v>
      </c>
      <c r="E7" s="10">
        <f t="shared" si="1"/>
        <v>157125429.56000015</v>
      </c>
      <c r="F7" s="10">
        <f t="shared" si="1"/>
        <v>9521125</v>
      </c>
      <c r="G7" s="10">
        <f t="shared" si="1"/>
        <v>59400984.5</v>
      </c>
      <c r="H7" s="10">
        <f t="shared" si="1"/>
        <v>61722338.149999999</v>
      </c>
      <c r="I7" s="56" t="s">
        <v>1</v>
      </c>
    </row>
    <row r="8" spans="1:9" ht="21" x14ac:dyDescent="0.25">
      <c r="A8" s="11" t="s">
        <v>21</v>
      </c>
      <c r="B8" s="3">
        <f>SUM(C8:H8)</f>
        <v>32161874.660000019</v>
      </c>
      <c r="C8" s="4">
        <v>19480883</v>
      </c>
      <c r="D8" s="4">
        <v>7171957.0200000107</v>
      </c>
      <c r="E8" s="4">
        <v>3496809.8900000099</v>
      </c>
      <c r="F8" s="4">
        <v>94456.02</v>
      </c>
      <c r="G8" s="4">
        <v>378874.55</v>
      </c>
      <c r="H8" s="4">
        <v>1538894.18</v>
      </c>
      <c r="I8" s="37" t="s">
        <v>22</v>
      </c>
    </row>
    <row r="9" spans="1:9" ht="21" x14ac:dyDescent="0.25">
      <c r="A9" s="12" t="s">
        <v>23</v>
      </c>
      <c r="B9" s="3">
        <f t="shared" ref="B9:B26" si="2">SUM(C9:H9)</f>
        <v>28812320.719999999</v>
      </c>
      <c r="C9" s="4">
        <v>15637849.029999999</v>
      </c>
      <c r="D9" s="4">
        <v>5848984.6399999997</v>
      </c>
      <c r="E9" s="4">
        <v>3947801.45</v>
      </c>
      <c r="F9" s="4">
        <v>114765.53</v>
      </c>
      <c r="G9" s="4">
        <v>1462979.35</v>
      </c>
      <c r="H9" s="4">
        <v>1799940.72</v>
      </c>
      <c r="I9" s="38" t="s">
        <v>24</v>
      </c>
    </row>
    <row r="10" spans="1:9" ht="21" x14ac:dyDescent="0.25">
      <c r="A10" s="13" t="s">
        <v>25</v>
      </c>
      <c r="B10" s="3">
        <f t="shared" si="2"/>
        <v>384729.54</v>
      </c>
      <c r="C10" s="4">
        <v>2550.7600000000002</v>
      </c>
      <c r="D10" s="4">
        <v>351914.62</v>
      </c>
      <c r="E10" s="4">
        <v>27445.69</v>
      </c>
      <c r="F10" s="4">
        <v>0</v>
      </c>
      <c r="G10" s="4">
        <v>0</v>
      </c>
      <c r="H10" s="4">
        <v>2818.47</v>
      </c>
      <c r="I10" s="38" t="s">
        <v>26</v>
      </c>
    </row>
    <row r="11" spans="1:9" ht="21" x14ac:dyDescent="0.25">
      <c r="A11" s="13" t="s">
        <v>27</v>
      </c>
      <c r="B11" s="3">
        <f t="shared" si="2"/>
        <v>51081590.599999987</v>
      </c>
      <c r="C11" s="4">
        <v>34443440.939999998</v>
      </c>
      <c r="D11" s="4">
        <v>7568668.7399999797</v>
      </c>
      <c r="E11" s="4">
        <v>4609347.6600000104</v>
      </c>
      <c r="F11" s="4">
        <v>87528.36</v>
      </c>
      <c r="G11" s="4">
        <v>211139.82</v>
      </c>
      <c r="H11" s="4">
        <v>4161465.08</v>
      </c>
      <c r="I11" s="38" t="s">
        <v>28</v>
      </c>
    </row>
    <row r="12" spans="1:9" ht="21" x14ac:dyDescent="0.25">
      <c r="A12" s="13" t="s">
        <v>29</v>
      </c>
      <c r="B12" s="3">
        <f t="shared" si="2"/>
        <v>10519218.290000001</v>
      </c>
      <c r="C12" s="4">
        <v>136687.22</v>
      </c>
      <c r="D12" s="4">
        <v>1657496.83</v>
      </c>
      <c r="E12" s="4">
        <v>4657472.1500000004</v>
      </c>
      <c r="F12" s="4">
        <v>289085.31</v>
      </c>
      <c r="G12" s="4">
        <v>2657630.63</v>
      </c>
      <c r="H12" s="4">
        <v>1120846.1499999999</v>
      </c>
      <c r="I12" s="38" t="s">
        <v>30</v>
      </c>
    </row>
    <row r="13" spans="1:9" ht="21" x14ac:dyDescent="0.25">
      <c r="A13" s="13" t="s">
        <v>31</v>
      </c>
      <c r="B13" s="3">
        <f t="shared" si="2"/>
        <v>3455290.3500000099</v>
      </c>
      <c r="C13" s="4">
        <v>163920.43</v>
      </c>
      <c r="D13" s="4">
        <v>2890485.03000001</v>
      </c>
      <c r="E13" s="4">
        <v>152881.81</v>
      </c>
      <c r="F13" s="4">
        <v>1310.6300000000001</v>
      </c>
      <c r="G13" s="4">
        <v>13395.69</v>
      </c>
      <c r="H13" s="4">
        <v>233296.76</v>
      </c>
      <c r="I13" s="38" t="s">
        <v>32</v>
      </c>
    </row>
    <row r="14" spans="1:9" ht="21" x14ac:dyDescent="0.25">
      <c r="A14" s="13" t="s">
        <v>33</v>
      </c>
      <c r="B14" s="3">
        <f t="shared" si="2"/>
        <v>26185616.149999987</v>
      </c>
      <c r="C14" s="4">
        <v>11981660.699999999</v>
      </c>
      <c r="D14" s="4">
        <v>4157791.5999999898</v>
      </c>
      <c r="E14" s="4">
        <v>3827217.13</v>
      </c>
      <c r="F14" s="4">
        <v>35988.910000000003</v>
      </c>
      <c r="G14" s="4">
        <v>2497653.5099999998</v>
      </c>
      <c r="H14" s="4">
        <v>3685304.3</v>
      </c>
      <c r="I14" s="38" t="s">
        <v>34</v>
      </c>
    </row>
    <row r="15" spans="1:9" ht="21" x14ac:dyDescent="0.25">
      <c r="A15" s="13" t="s">
        <v>35</v>
      </c>
      <c r="B15" s="3">
        <f t="shared" si="2"/>
        <v>43699122.729999915</v>
      </c>
      <c r="C15" s="4">
        <v>8357128.2700000098</v>
      </c>
      <c r="D15" s="4">
        <v>20224565.079999901</v>
      </c>
      <c r="E15" s="4">
        <v>10721210.460000001</v>
      </c>
      <c r="F15" s="4">
        <v>288899.13</v>
      </c>
      <c r="G15" s="4">
        <v>177462.42</v>
      </c>
      <c r="H15" s="4">
        <v>3929857.37</v>
      </c>
      <c r="I15" s="38" t="s">
        <v>36</v>
      </c>
    </row>
    <row r="16" spans="1:9" ht="21" x14ac:dyDescent="0.25">
      <c r="A16" s="13" t="s">
        <v>37</v>
      </c>
      <c r="B16" s="3">
        <f t="shared" si="2"/>
        <v>4642671.5299999891</v>
      </c>
      <c r="C16" s="4">
        <v>3259837.0699999901</v>
      </c>
      <c r="D16" s="4">
        <v>812381.929999999</v>
      </c>
      <c r="E16" s="4">
        <v>501415.95</v>
      </c>
      <c r="F16" s="4">
        <v>611.12</v>
      </c>
      <c r="G16" s="4">
        <v>6138.38</v>
      </c>
      <c r="H16" s="4">
        <v>62287.08</v>
      </c>
      <c r="I16" s="38" t="s">
        <v>38</v>
      </c>
    </row>
    <row r="17" spans="1:111" ht="21" x14ac:dyDescent="0.25">
      <c r="A17" s="13" t="s">
        <v>39</v>
      </c>
      <c r="B17" s="3">
        <f t="shared" si="2"/>
        <v>32932436.25</v>
      </c>
      <c r="C17" s="4">
        <v>2895691.09</v>
      </c>
      <c r="D17" s="4">
        <v>8038668.3600000003</v>
      </c>
      <c r="E17" s="4">
        <v>11019316.25</v>
      </c>
      <c r="F17" s="4">
        <v>4082.22</v>
      </c>
      <c r="G17" s="4">
        <v>7332586.1200000001</v>
      </c>
      <c r="H17" s="4">
        <v>3642092.21</v>
      </c>
      <c r="I17" s="38" t="s">
        <v>40</v>
      </c>
    </row>
    <row r="18" spans="1:111" ht="21" x14ac:dyDescent="0.25">
      <c r="A18" s="13" t="s">
        <v>41</v>
      </c>
      <c r="B18" s="3">
        <f t="shared" si="2"/>
        <v>81284910.400000095</v>
      </c>
      <c r="C18" s="4">
        <v>971374.01</v>
      </c>
      <c r="D18" s="4">
        <v>6982608.4900000002</v>
      </c>
      <c r="E18" s="4">
        <v>49192721.050000101</v>
      </c>
      <c r="F18" s="4">
        <v>3747831.85</v>
      </c>
      <c r="G18" s="4">
        <v>2489730.23</v>
      </c>
      <c r="H18" s="4">
        <v>17900644.77</v>
      </c>
      <c r="I18" s="38" t="s">
        <v>42</v>
      </c>
    </row>
    <row r="19" spans="1:111" ht="21" x14ac:dyDescent="0.25">
      <c r="A19" s="13" t="s">
        <v>43</v>
      </c>
      <c r="B19" s="3">
        <f t="shared" si="2"/>
        <v>96762762.989999905</v>
      </c>
      <c r="C19" s="4">
        <v>7373198.5700000003</v>
      </c>
      <c r="D19" s="4">
        <v>28011354.939999901</v>
      </c>
      <c r="E19" s="4">
        <v>22324197.449999999</v>
      </c>
      <c r="F19" s="4">
        <v>143712.03</v>
      </c>
      <c r="G19" s="4">
        <v>28139923.41</v>
      </c>
      <c r="H19" s="4">
        <v>10770376.59</v>
      </c>
      <c r="I19" s="38" t="s">
        <v>44</v>
      </c>
    </row>
    <row r="20" spans="1:111" ht="21" x14ac:dyDescent="0.25">
      <c r="A20" s="13" t="s">
        <v>45</v>
      </c>
      <c r="B20" s="3">
        <f t="shared" si="2"/>
        <v>49739223.379999995</v>
      </c>
      <c r="C20" s="4">
        <v>18516069.59</v>
      </c>
      <c r="D20" s="4">
        <v>864108.4</v>
      </c>
      <c r="E20" s="4">
        <v>20087725.359999999</v>
      </c>
      <c r="F20" s="4">
        <v>1684035.99</v>
      </c>
      <c r="G20" s="4">
        <v>1044372.52</v>
      </c>
      <c r="H20" s="4">
        <v>7542911.5199999996</v>
      </c>
      <c r="I20" s="38" t="s">
        <v>46</v>
      </c>
    </row>
    <row r="21" spans="1:111" ht="21" x14ac:dyDescent="0.25">
      <c r="A21" s="13" t="s">
        <v>47</v>
      </c>
      <c r="B21" s="3">
        <f t="shared" si="2"/>
        <v>12917163.839999981</v>
      </c>
      <c r="C21" s="4">
        <v>738337.7</v>
      </c>
      <c r="D21" s="4">
        <v>6614611.7999999896</v>
      </c>
      <c r="E21" s="4">
        <v>1857048.83</v>
      </c>
      <c r="F21" s="4">
        <v>11366.58</v>
      </c>
      <c r="G21" s="4">
        <v>3512511.1799999899</v>
      </c>
      <c r="H21" s="4">
        <v>183287.75</v>
      </c>
      <c r="I21" s="38" t="s">
        <v>48</v>
      </c>
    </row>
    <row r="22" spans="1:111" ht="21" x14ac:dyDescent="0.25">
      <c r="A22" s="13" t="s">
        <v>49</v>
      </c>
      <c r="B22" s="3">
        <f t="shared" si="2"/>
        <v>32398013.860000018</v>
      </c>
      <c r="C22" s="4">
        <v>1231182.8600000001</v>
      </c>
      <c r="D22" s="4">
        <v>17602360.379999999</v>
      </c>
      <c r="E22" s="4">
        <v>8684233.0800000206</v>
      </c>
      <c r="F22" s="4">
        <v>46831.87</v>
      </c>
      <c r="G22" s="4">
        <v>3684543.13</v>
      </c>
      <c r="H22" s="4">
        <v>1148862.54</v>
      </c>
      <c r="I22" s="38" t="s">
        <v>50</v>
      </c>
    </row>
    <row r="23" spans="1:111" ht="21" x14ac:dyDescent="0.25">
      <c r="A23" s="13" t="s">
        <v>51</v>
      </c>
      <c r="B23" s="3">
        <f t="shared" si="2"/>
        <v>13889270.170000011</v>
      </c>
      <c r="C23" s="4">
        <v>5729219.4400000004</v>
      </c>
      <c r="D23" s="4">
        <v>3402651.1800000099</v>
      </c>
      <c r="E23" s="4">
        <v>3907674.38</v>
      </c>
      <c r="F23" s="4">
        <v>281195.13</v>
      </c>
      <c r="G23" s="4">
        <v>50385.01</v>
      </c>
      <c r="H23" s="4">
        <v>518145.03</v>
      </c>
      <c r="I23" s="38" t="s">
        <v>52</v>
      </c>
    </row>
    <row r="24" spans="1:111" ht="21" x14ac:dyDescent="0.25">
      <c r="A24" s="13" t="s">
        <v>53</v>
      </c>
      <c r="B24" s="3">
        <f t="shared" si="2"/>
        <v>428885.47000000003</v>
      </c>
      <c r="C24" s="4">
        <v>61072.5</v>
      </c>
      <c r="D24" s="4">
        <v>7910.27</v>
      </c>
      <c r="E24" s="4">
        <v>250969.93</v>
      </c>
      <c r="F24" s="4">
        <v>1633.56</v>
      </c>
      <c r="G24" s="4">
        <v>101265.52</v>
      </c>
      <c r="H24" s="4">
        <v>6033.69</v>
      </c>
      <c r="I24" s="38" t="s">
        <v>54</v>
      </c>
    </row>
    <row r="25" spans="1:111" ht="21" x14ac:dyDescent="0.25">
      <c r="A25" s="13" t="s">
        <v>55</v>
      </c>
      <c r="B25" s="3">
        <f t="shared" si="2"/>
        <v>10955664.92999999</v>
      </c>
      <c r="C25" s="4">
        <v>1400174.69</v>
      </c>
      <c r="D25" s="4">
        <v>4611786.1899999902</v>
      </c>
      <c r="E25" s="4">
        <v>1970112.45</v>
      </c>
      <c r="F25" s="4">
        <v>119879.74</v>
      </c>
      <c r="G25" s="4">
        <v>387610.47</v>
      </c>
      <c r="H25" s="4">
        <v>2466101.39</v>
      </c>
      <c r="I25" s="38" t="s">
        <v>56</v>
      </c>
    </row>
    <row r="26" spans="1:111" ht="21" x14ac:dyDescent="0.25">
      <c r="A26" s="14" t="s">
        <v>57</v>
      </c>
      <c r="B26" s="15">
        <f t="shared" si="2"/>
        <v>56450805.609999903</v>
      </c>
      <c r="C26" s="5">
        <v>39070926.499999903</v>
      </c>
      <c r="D26" s="5">
        <v>2660184.39</v>
      </c>
      <c r="E26" s="5">
        <v>5889828.5899999999</v>
      </c>
      <c r="F26" s="5">
        <v>2567911.02</v>
      </c>
      <c r="G26" s="5">
        <v>5252782.5599999996</v>
      </c>
      <c r="H26" s="5">
        <v>1009172.55</v>
      </c>
      <c r="I26" s="39" t="s">
        <v>58</v>
      </c>
    </row>
    <row r="27" spans="1:111" s="18" customFormat="1" x14ac:dyDescent="0.25">
      <c r="A27" s="16" t="s">
        <v>59</v>
      </c>
      <c r="B27" s="16"/>
      <c r="C27" s="17"/>
      <c r="D27" s="17"/>
      <c r="E27" s="17"/>
      <c r="F27" s="17"/>
      <c r="G27" s="17"/>
      <c r="H27" s="17"/>
      <c r="I27" s="40" t="s">
        <v>60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20"/>
    </row>
    <row r="28" spans="1:111" s="18" customFormat="1" x14ac:dyDescent="0.25">
      <c r="A28" s="16"/>
      <c r="B28" s="2"/>
      <c r="C28" s="19"/>
      <c r="D28" s="20"/>
      <c r="E28" s="21"/>
      <c r="F28" s="21"/>
      <c r="G28" s="21"/>
      <c r="H28" s="22"/>
      <c r="I28" s="41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20"/>
    </row>
    <row r="29" spans="1:111" s="18" customFormat="1" x14ac:dyDescent="0.25">
      <c r="A29" s="16"/>
      <c r="B29" s="2"/>
      <c r="C29" s="19"/>
      <c r="D29" s="20"/>
      <c r="E29" s="21"/>
      <c r="F29" s="21"/>
      <c r="G29" s="21"/>
      <c r="H29" s="22"/>
      <c r="I29" s="41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20"/>
    </row>
    <row r="30" spans="1:111" s="18" customFormat="1" x14ac:dyDescent="0.25">
      <c r="A30" s="16"/>
      <c r="B30" s="2"/>
      <c r="C30" s="19"/>
      <c r="D30" s="20"/>
      <c r="E30" s="21"/>
      <c r="F30" s="21"/>
      <c r="G30" s="21"/>
      <c r="H30" s="22"/>
      <c r="I30" s="41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20"/>
    </row>
    <row r="31" spans="1:111" ht="18" x14ac:dyDescent="0.25">
      <c r="A31" s="42" t="s">
        <v>61</v>
      </c>
      <c r="B31" s="42"/>
      <c r="C31" s="42"/>
      <c r="D31" s="42"/>
      <c r="E31" s="42"/>
      <c r="F31" s="42"/>
      <c r="G31" s="42"/>
      <c r="H31" s="42"/>
      <c r="I31" s="42"/>
    </row>
    <row r="32" spans="1:111" ht="15.75" x14ac:dyDescent="0.25">
      <c r="A32" s="43" t="s">
        <v>62</v>
      </c>
      <c r="B32" s="43"/>
      <c r="C32" s="43"/>
      <c r="D32" s="43"/>
      <c r="E32" s="43"/>
      <c r="F32" s="43"/>
      <c r="G32" s="43"/>
      <c r="H32" s="43"/>
      <c r="I32" s="43"/>
    </row>
    <row r="33" spans="1:9" ht="21" x14ac:dyDescent="0.25">
      <c r="A33" s="44" t="s">
        <v>4</v>
      </c>
      <c r="B33" s="44"/>
      <c r="C33" s="44"/>
      <c r="D33" s="44"/>
      <c r="E33" s="44"/>
      <c r="F33" s="44"/>
      <c r="G33" s="44"/>
      <c r="H33" s="44"/>
      <c r="I33" s="44"/>
    </row>
    <row r="34" spans="1:9" x14ac:dyDescent="0.25">
      <c r="A34" s="45" t="s">
        <v>5</v>
      </c>
      <c r="B34" s="45"/>
      <c r="C34" s="45"/>
      <c r="D34" s="45"/>
      <c r="E34" s="45"/>
      <c r="F34" s="45"/>
      <c r="G34" s="45"/>
      <c r="H34" s="45"/>
      <c r="I34" s="45"/>
    </row>
    <row r="35" spans="1:9" ht="18.75" x14ac:dyDescent="0.25">
      <c r="A35" s="46" t="s">
        <v>6</v>
      </c>
      <c r="B35" s="7" t="s">
        <v>1</v>
      </c>
      <c r="C35" s="7" t="s">
        <v>7</v>
      </c>
      <c r="D35" s="7" t="s">
        <v>8</v>
      </c>
      <c r="E35" s="7" t="s">
        <v>9</v>
      </c>
      <c r="F35" s="7" t="s">
        <v>10</v>
      </c>
      <c r="G35" s="7" t="s">
        <v>11</v>
      </c>
      <c r="H35" s="7" t="s">
        <v>12</v>
      </c>
      <c r="I35" s="54" t="s">
        <v>13</v>
      </c>
    </row>
    <row r="36" spans="1:9" x14ac:dyDescent="0.25">
      <c r="A36" s="47"/>
      <c r="B36" s="8" t="s">
        <v>14</v>
      </c>
      <c r="C36" s="8" t="s">
        <v>15</v>
      </c>
      <c r="D36" s="8" t="s">
        <v>16</v>
      </c>
      <c r="E36" s="8" t="s">
        <v>17</v>
      </c>
      <c r="F36" s="8" t="s">
        <v>18</v>
      </c>
      <c r="G36" s="8" t="s">
        <v>19</v>
      </c>
      <c r="H36" s="8" t="s">
        <v>20</v>
      </c>
      <c r="I36" s="55"/>
    </row>
    <row r="37" spans="1:9" ht="21" x14ac:dyDescent="0.25">
      <c r="A37" s="9" t="s">
        <v>0</v>
      </c>
      <c r="B37" s="10">
        <f t="shared" ref="B37:H37" si="3">SUM(B38:B56)</f>
        <v>482048375.26999974</v>
      </c>
      <c r="C37" s="10">
        <f t="shared" si="3"/>
        <v>134268906.75</v>
      </c>
      <c r="D37" s="10">
        <f t="shared" si="3"/>
        <v>112677245.33999987</v>
      </c>
      <c r="E37" s="10">
        <f t="shared" si="3"/>
        <v>123530247.84999995</v>
      </c>
      <c r="F37" s="10">
        <f t="shared" si="3"/>
        <v>13405615.030000011</v>
      </c>
      <c r="G37" s="10">
        <f t="shared" si="3"/>
        <v>52328943.699999988</v>
      </c>
      <c r="H37" s="10">
        <f t="shared" si="3"/>
        <v>45837416.600000009</v>
      </c>
      <c r="I37" s="56" t="s">
        <v>1</v>
      </c>
    </row>
    <row r="38" spans="1:9" ht="21" x14ac:dyDescent="0.25">
      <c r="A38" s="11" t="s">
        <v>21</v>
      </c>
      <c r="B38" s="3">
        <f>SUM(C38:H38)</f>
        <v>26618507.299999986</v>
      </c>
      <c r="C38" s="4">
        <v>18103603.419999998</v>
      </c>
      <c r="D38" s="4">
        <v>5061803.5399999898</v>
      </c>
      <c r="E38" s="4">
        <v>2250617.3200000003</v>
      </c>
      <c r="F38" s="4">
        <v>38786.770000000004</v>
      </c>
      <c r="G38" s="4">
        <v>461410.93</v>
      </c>
      <c r="H38" s="4">
        <v>702285.32000000007</v>
      </c>
      <c r="I38" s="37" t="s">
        <v>22</v>
      </c>
    </row>
    <row r="39" spans="1:9" ht="21" x14ac:dyDescent="0.25">
      <c r="A39" s="12" t="s">
        <v>23</v>
      </c>
      <c r="B39" s="3">
        <f t="shared" ref="B39:B56" si="4">SUM(C39:H39)</f>
        <v>24075153.380000032</v>
      </c>
      <c r="C39" s="4">
        <v>13202390.210000001</v>
      </c>
      <c r="D39" s="4">
        <v>5342159.5400000298</v>
      </c>
      <c r="E39" s="4">
        <v>3253548.33</v>
      </c>
      <c r="F39" s="4">
        <v>223155.26</v>
      </c>
      <c r="G39" s="4">
        <v>717324.47000000102</v>
      </c>
      <c r="H39" s="4">
        <v>1336575.57</v>
      </c>
      <c r="I39" s="38" t="s">
        <v>24</v>
      </c>
    </row>
    <row r="40" spans="1:9" ht="21" x14ac:dyDescent="0.25">
      <c r="A40" s="13" t="s">
        <v>25</v>
      </c>
      <c r="B40" s="3">
        <f t="shared" si="4"/>
        <v>284953.76</v>
      </c>
      <c r="C40" s="4">
        <v>1421.34</v>
      </c>
      <c r="D40" s="4">
        <v>266052.40999999997</v>
      </c>
      <c r="E40" s="4">
        <v>15007.02</v>
      </c>
      <c r="F40" s="4">
        <v>0</v>
      </c>
      <c r="G40" s="4"/>
      <c r="H40" s="4">
        <v>2472.9899999999998</v>
      </c>
      <c r="I40" s="38" t="s">
        <v>26</v>
      </c>
    </row>
    <row r="41" spans="1:9" ht="21" x14ac:dyDescent="0.25">
      <c r="A41" s="13" t="s">
        <v>27</v>
      </c>
      <c r="B41" s="3">
        <f t="shared" si="4"/>
        <v>39730062.159999892</v>
      </c>
      <c r="C41" s="4">
        <v>25281741.379999898</v>
      </c>
      <c r="D41" s="4">
        <v>7355012.2999999998</v>
      </c>
      <c r="E41" s="4">
        <v>3613685.55</v>
      </c>
      <c r="F41" s="4">
        <v>283101.51</v>
      </c>
      <c r="G41" s="4">
        <v>205721.06</v>
      </c>
      <c r="H41" s="4">
        <v>2990800.3599999901</v>
      </c>
      <c r="I41" s="38" t="s">
        <v>28</v>
      </c>
    </row>
    <row r="42" spans="1:9" ht="21" x14ac:dyDescent="0.25">
      <c r="A42" s="13" t="s">
        <v>29</v>
      </c>
      <c r="B42" s="3">
        <f t="shared" si="4"/>
        <v>8934122.6600000095</v>
      </c>
      <c r="C42" s="4">
        <v>208303.2</v>
      </c>
      <c r="D42" s="4">
        <v>1695632.79</v>
      </c>
      <c r="E42" s="4">
        <v>3491430.5400000098</v>
      </c>
      <c r="F42" s="4">
        <v>243583.2</v>
      </c>
      <c r="G42" s="4">
        <v>2286775.02</v>
      </c>
      <c r="H42" s="4">
        <v>1008397.91</v>
      </c>
      <c r="I42" s="38" t="s">
        <v>30</v>
      </c>
    </row>
    <row r="43" spans="1:9" ht="21" x14ac:dyDescent="0.25">
      <c r="A43" s="13" t="s">
        <v>31</v>
      </c>
      <c r="B43" s="3">
        <f t="shared" si="4"/>
        <v>3533237.0100000002</v>
      </c>
      <c r="C43" s="4">
        <v>255342.22</v>
      </c>
      <c r="D43" s="4">
        <v>3132815.07</v>
      </c>
      <c r="E43" s="4">
        <v>75891.149999999994</v>
      </c>
      <c r="F43" s="4">
        <v>8018.41</v>
      </c>
      <c r="G43" s="4">
        <v>35881.24</v>
      </c>
      <c r="H43" s="4">
        <v>25288.92</v>
      </c>
      <c r="I43" s="38" t="s">
        <v>32</v>
      </c>
    </row>
    <row r="44" spans="1:9" ht="21" x14ac:dyDescent="0.25">
      <c r="A44" s="13" t="s">
        <v>33</v>
      </c>
      <c r="B44" s="3">
        <f t="shared" si="4"/>
        <v>24847996.389999993</v>
      </c>
      <c r="C44" s="4">
        <v>10894644.02</v>
      </c>
      <c r="D44" s="4">
        <v>5015590.6799999904</v>
      </c>
      <c r="E44" s="4">
        <v>2912861.59</v>
      </c>
      <c r="F44" s="4">
        <v>47858</v>
      </c>
      <c r="G44" s="4">
        <v>2032027.07</v>
      </c>
      <c r="H44" s="4">
        <v>3945015.03</v>
      </c>
      <c r="I44" s="38" t="s">
        <v>34</v>
      </c>
    </row>
    <row r="45" spans="1:9" ht="21" x14ac:dyDescent="0.25">
      <c r="A45" s="13" t="s">
        <v>35</v>
      </c>
      <c r="B45" s="3">
        <f t="shared" si="4"/>
        <v>31777981.690000013</v>
      </c>
      <c r="C45" s="4">
        <v>3953071.46</v>
      </c>
      <c r="D45" s="4">
        <v>16529664.41</v>
      </c>
      <c r="E45" s="4">
        <v>7224623.6700000102</v>
      </c>
      <c r="F45" s="4">
        <v>593236.24000000104</v>
      </c>
      <c r="G45" s="4">
        <v>515611.72</v>
      </c>
      <c r="H45" s="4">
        <v>2961774.19</v>
      </c>
      <c r="I45" s="38" t="s">
        <v>36</v>
      </c>
    </row>
    <row r="46" spans="1:9" ht="21" x14ac:dyDescent="0.25">
      <c r="A46" s="13" t="s">
        <v>37</v>
      </c>
      <c r="B46" s="3">
        <f t="shared" si="4"/>
        <v>3686461.2300000009</v>
      </c>
      <c r="C46" s="4">
        <v>2409184.54</v>
      </c>
      <c r="D46" s="4">
        <v>962053.59000000102</v>
      </c>
      <c r="E46" s="4">
        <v>226634.46</v>
      </c>
      <c r="F46" s="4">
        <v>950.08</v>
      </c>
      <c r="G46" s="4">
        <v>25996.12</v>
      </c>
      <c r="H46" s="4">
        <v>61642.44</v>
      </c>
      <c r="I46" s="38" t="s">
        <v>38</v>
      </c>
    </row>
    <row r="47" spans="1:9" ht="21" x14ac:dyDescent="0.25">
      <c r="A47" s="13" t="s">
        <v>39</v>
      </c>
      <c r="B47" s="3">
        <f t="shared" si="4"/>
        <v>26457961.789999969</v>
      </c>
      <c r="C47" s="4">
        <v>1621965.66</v>
      </c>
      <c r="D47" s="4">
        <v>7464809.1399999801</v>
      </c>
      <c r="E47" s="4">
        <v>10128347.119999999</v>
      </c>
      <c r="F47" s="4">
        <v>11164</v>
      </c>
      <c r="G47" s="4">
        <v>4820600.0999999903</v>
      </c>
      <c r="H47" s="4">
        <v>2411075.77</v>
      </c>
      <c r="I47" s="38" t="s">
        <v>40</v>
      </c>
    </row>
    <row r="48" spans="1:9" ht="21" x14ac:dyDescent="0.25">
      <c r="A48" s="13" t="s">
        <v>41</v>
      </c>
      <c r="B48" s="3">
        <f t="shared" si="4"/>
        <v>65582908.329999968</v>
      </c>
      <c r="C48" s="4">
        <v>1143720.46</v>
      </c>
      <c r="D48" s="4">
        <v>7577748.2199999699</v>
      </c>
      <c r="E48" s="4">
        <v>35941365.909999996</v>
      </c>
      <c r="F48" s="4">
        <v>5624819.8200000096</v>
      </c>
      <c r="G48" s="4">
        <v>1911746.65</v>
      </c>
      <c r="H48" s="4">
        <v>13383507.27</v>
      </c>
      <c r="I48" s="38" t="s">
        <v>42</v>
      </c>
    </row>
    <row r="49" spans="1:9" ht="21" x14ac:dyDescent="0.25">
      <c r="A49" s="13" t="s">
        <v>43</v>
      </c>
      <c r="B49" s="3">
        <f t="shared" si="4"/>
        <v>82393613.440000013</v>
      </c>
      <c r="C49" s="4">
        <v>5089380.5599999996</v>
      </c>
      <c r="D49" s="4">
        <v>21282811.219999999</v>
      </c>
      <c r="E49" s="4">
        <v>21866746.710000001</v>
      </c>
      <c r="F49" s="4">
        <v>188882.42</v>
      </c>
      <c r="G49" s="4">
        <v>25656420.25</v>
      </c>
      <c r="H49" s="4">
        <v>8309372.2800000096</v>
      </c>
      <c r="I49" s="38" t="s">
        <v>44</v>
      </c>
    </row>
    <row r="50" spans="1:9" ht="21" x14ac:dyDescent="0.25">
      <c r="A50" s="13" t="s">
        <v>45</v>
      </c>
      <c r="B50" s="3">
        <f t="shared" si="4"/>
        <v>40095798.449999914</v>
      </c>
      <c r="C50" s="4">
        <v>14799101.869999999</v>
      </c>
      <c r="D50" s="4">
        <v>1241635.53</v>
      </c>
      <c r="E50" s="4">
        <v>16202786.179999899</v>
      </c>
      <c r="F50" s="4">
        <v>1939325.04</v>
      </c>
      <c r="G50" s="4">
        <v>2061367.63</v>
      </c>
      <c r="H50" s="4">
        <v>3851582.20000001</v>
      </c>
      <c r="I50" s="38" t="s">
        <v>46</v>
      </c>
    </row>
    <row r="51" spans="1:9" ht="21" x14ac:dyDescent="0.25">
      <c r="A51" s="13" t="s">
        <v>47</v>
      </c>
      <c r="B51" s="3">
        <f t="shared" si="4"/>
        <v>11276251.33</v>
      </c>
      <c r="C51" s="4">
        <v>740663.86</v>
      </c>
      <c r="D51" s="4">
        <v>5549105.4400000004</v>
      </c>
      <c r="E51" s="4">
        <v>1588535.27</v>
      </c>
      <c r="F51" s="4">
        <v>32173.040000000001</v>
      </c>
      <c r="G51" s="4">
        <v>3276424.37</v>
      </c>
      <c r="H51" s="4">
        <v>89349.35</v>
      </c>
      <c r="I51" s="38" t="s">
        <v>48</v>
      </c>
    </row>
    <row r="52" spans="1:9" ht="21" x14ac:dyDescent="0.25">
      <c r="A52" s="13" t="s">
        <v>49</v>
      </c>
      <c r="B52" s="3">
        <f t="shared" si="4"/>
        <v>26692037.84999989</v>
      </c>
      <c r="C52" s="4">
        <v>1035444.15</v>
      </c>
      <c r="D52" s="4">
        <v>15668150.009999899</v>
      </c>
      <c r="E52" s="4">
        <v>6306025.04</v>
      </c>
      <c r="F52" s="4">
        <v>132875.19</v>
      </c>
      <c r="G52" s="4">
        <v>3036597.9299999899</v>
      </c>
      <c r="H52" s="4">
        <v>512945.53</v>
      </c>
      <c r="I52" s="38" t="s">
        <v>50</v>
      </c>
    </row>
    <row r="53" spans="1:9" ht="21" x14ac:dyDescent="0.25">
      <c r="A53" s="13" t="s">
        <v>51</v>
      </c>
      <c r="B53" s="3">
        <f t="shared" si="4"/>
        <v>9967232.8500000015</v>
      </c>
      <c r="C53" s="4">
        <v>3861110.66</v>
      </c>
      <c r="D53" s="4">
        <v>2927675.41</v>
      </c>
      <c r="E53" s="4">
        <v>2363178.42</v>
      </c>
      <c r="F53" s="4">
        <v>410340.23</v>
      </c>
      <c r="G53" s="4">
        <v>69313.740000000005</v>
      </c>
      <c r="H53" s="4">
        <v>335614.39</v>
      </c>
      <c r="I53" s="38" t="s">
        <v>52</v>
      </c>
    </row>
    <row r="54" spans="1:9" ht="21" x14ac:dyDescent="0.25">
      <c r="A54" s="13" t="s">
        <v>53</v>
      </c>
      <c r="B54" s="3">
        <f t="shared" si="4"/>
        <v>387149.34</v>
      </c>
      <c r="C54" s="4">
        <v>35526.699999999997</v>
      </c>
      <c r="D54" s="4">
        <v>2894.63</v>
      </c>
      <c r="E54" s="4">
        <v>260253.17</v>
      </c>
      <c r="F54" s="4">
        <v>5074.66</v>
      </c>
      <c r="G54" s="4">
        <v>79472.100000000006</v>
      </c>
      <c r="H54" s="4">
        <v>3928.08</v>
      </c>
      <c r="I54" s="38" t="s">
        <v>54</v>
      </c>
    </row>
    <row r="55" spans="1:9" ht="21" x14ac:dyDescent="0.25">
      <c r="A55" s="13" t="s">
        <v>55</v>
      </c>
      <c r="B55" s="3">
        <f t="shared" si="4"/>
        <v>10163732.99000001</v>
      </c>
      <c r="C55" s="4">
        <v>1504795.94</v>
      </c>
      <c r="D55" s="4">
        <v>3988899.3500000099</v>
      </c>
      <c r="E55" s="4">
        <v>1365177.68</v>
      </c>
      <c r="F55" s="4">
        <v>254065.67</v>
      </c>
      <c r="G55" s="4">
        <v>208560</v>
      </c>
      <c r="H55" s="4">
        <v>2842234.35</v>
      </c>
      <c r="I55" s="38" t="s">
        <v>56</v>
      </c>
    </row>
    <row r="56" spans="1:9" ht="21" x14ac:dyDescent="0.25">
      <c r="A56" s="14" t="s">
        <v>57</v>
      </c>
      <c r="B56" s="15">
        <f t="shared" si="4"/>
        <v>45543213.320000097</v>
      </c>
      <c r="C56" s="5">
        <v>30127495.100000098</v>
      </c>
      <c r="D56" s="5">
        <v>1612732.06</v>
      </c>
      <c r="E56" s="5">
        <v>4443532.72</v>
      </c>
      <c r="F56" s="5">
        <v>3368205.49</v>
      </c>
      <c r="G56" s="5">
        <v>4927693.3</v>
      </c>
      <c r="H56" s="5">
        <v>1063554.6499999999</v>
      </c>
      <c r="I56" s="39" t="s">
        <v>58</v>
      </c>
    </row>
    <row r="57" spans="1:9" x14ac:dyDescent="0.25">
      <c r="A57" s="16" t="s">
        <v>59</v>
      </c>
      <c r="B57" s="16"/>
      <c r="C57" s="17"/>
      <c r="D57" s="17"/>
      <c r="E57" s="17"/>
      <c r="F57" s="17"/>
      <c r="G57" s="17"/>
      <c r="H57" s="17"/>
      <c r="I57" s="40" t="s">
        <v>60</v>
      </c>
    </row>
    <row r="58" spans="1:9" x14ac:dyDescent="0.25">
      <c r="A58" s="16"/>
      <c r="B58" s="2"/>
      <c r="C58" s="19"/>
      <c r="D58" s="20"/>
      <c r="E58" s="21"/>
      <c r="F58" s="21"/>
      <c r="G58" s="21"/>
      <c r="H58" s="22"/>
      <c r="I58" s="41"/>
    </row>
    <row r="59" spans="1:9" x14ac:dyDescent="0.25">
      <c r="A59" s="16"/>
      <c r="B59" s="2"/>
      <c r="C59" s="19"/>
      <c r="D59" s="20"/>
      <c r="E59" s="21"/>
      <c r="F59" s="21"/>
      <c r="G59" s="21"/>
      <c r="H59" s="22"/>
      <c r="I59" s="41"/>
    </row>
    <row r="60" spans="1:9" x14ac:dyDescent="0.25">
      <c r="A60" s="23"/>
      <c r="B60" s="2"/>
      <c r="C60" s="19"/>
      <c r="D60" s="24"/>
      <c r="E60" s="25"/>
      <c r="F60" s="25"/>
      <c r="G60" s="25"/>
      <c r="H60" s="26"/>
      <c r="I60" s="57"/>
    </row>
    <row r="61" spans="1:9" x14ac:dyDescent="0.25">
      <c r="A61" s="2"/>
      <c r="B61" s="2"/>
      <c r="C61" s="19"/>
      <c r="D61" s="27"/>
      <c r="E61" s="1"/>
      <c r="F61" s="1"/>
      <c r="G61" s="1"/>
      <c r="H61" s="28"/>
      <c r="I61" s="27"/>
    </row>
    <row r="62" spans="1:9" ht="18" x14ac:dyDescent="0.25">
      <c r="A62" s="48"/>
      <c r="B62" s="48"/>
      <c r="C62" s="48"/>
      <c r="D62" s="48"/>
      <c r="E62" s="48"/>
      <c r="F62" s="48"/>
      <c r="G62" s="48"/>
      <c r="H62" s="48"/>
      <c r="I62" s="48"/>
    </row>
    <row r="63" spans="1:9" ht="15.75" x14ac:dyDescent="0.25">
      <c r="A63" s="49"/>
      <c r="B63" s="49"/>
      <c r="C63" s="49"/>
      <c r="D63" s="49"/>
      <c r="E63" s="49"/>
      <c r="F63" s="49"/>
      <c r="G63" s="49"/>
      <c r="H63" s="49"/>
      <c r="I63" s="49"/>
    </row>
    <row r="64" spans="1:9" ht="21" x14ac:dyDescent="0.25">
      <c r="A64" s="50"/>
      <c r="B64" s="50"/>
      <c r="C64" s="50"/>
      <c r="D64" s="50"/>
      <c r="E64" s="50"/>
      <c r="F64" s="50"/>
      <c r="G64" s="50"/>
      <c r="H64" s="50"/>
      <c r="I64" s="50"/>
    </row>
    <row r="65" spans="1:111" x14ac:dyDescent="0.25">
      <c r="A65" s="51"/>
      <c r="B65" s="51"/>
      <c r="C65" s="51"/>
      <c r="D65" s="51"/>
      <c r="E65" s="51"/>
      <c r="F65" s="51"/>
      <c r="G65" s="51"/>
      <c r="H65" s="51"/>
      <c r="I65" s="51"/>
    </row>
    <row r="66" spans="1:111" ht="18.75" x14ac:dyDescent="0.25">
      <c r="A66" s="52"/>
      <c r="B66" s="30"/>
      <c r="C66" s="30"/>
      <c r="D66" s="30"/>
      <c r="E66" s="30"/>
      <c r="F66" s="30"/>
      <c r="G66" s="30"/>
      <c r="H66" s="30"/>
      <c r="I66" s="53"/>
    </row>
    <row r="67" spans="1:111" x14ac:dyDescent="0.25">
      <c r="A67" s="52"/>
      <c r="B67" s="32"/>
      <c r="C67" s="32"/>
      <c r="D67" s="32"/>
      <c r="E67" s="32"/>
      <c r="F67" s="32"/>
      <c r="G67" s="32"/>
      <c r="H67" s="32"/>
      <c r="I67" s="53"/>
    </row>
    <row r="68" spans="1:111" ht="21" x14ac:dyDescent="0.25">
      <c r="A68" s="29"/>
      <c r="B68" s="33"/>
      <c r="C68" s="33"/>
      <c r="D68" s="33"/>
      <c r="E68" s="33"/>
      <c r="F68" s="33"/>
      <c r="G68" s="33"/>
      <c r="H68" s="33"/>
      <c r="I68" s="31"/>
    </row>
    <row r="69" spans="1:111" ht="21" x14ac:dyDescent="0.25">
      <c r="A69" s="19"/>
      <c r="B69" s="3"/>
      <c r="C69" s="4"/>
      <c r="D69" s="4"/>
      <c r="E69" s="4"/>
      <c r="F69" s="4"/>
      <c r="G69" s="4"/>
      <c r="H69" s="4"/>
      <c r="I69" s="34"/>
    </row>
    <row r="70" spans="1:111" ht="21" x14ac:dyDescent="0.25">
      <c r="A70" s="35"/>
      <c r="B70" s="3"/>
      <c r="C70" s="4"/>
      <c r="D70" s="4"/>
      <c r="E70" s="4"/>
      <c r="F70" s="4"/>
      <c r="G70" s="4"/>
      <c r="H70" s="4"/>
      <c r="I70" s="34"/>
    </row>
    <row r="71" spans="1:111" ht="21" x14ac:dyDescent="0.25">
      <c r="A71" s="35"/>
      <c r="B71" s="3"/>
      <c r="C71" s="4"/>
      <c r="D71" s="4"/>
      <c r="E71" s="4"/>
      <c r="F71" s="4"/>
      <c r="G71" s="4"/>
      <c r="H71" s="4"/>
      <c r="I71" s="34"/>
    </row>
    <row r="72" spans="1:111" ht="21" x14ac:dyDescent="0.25">
      <c r="A72" s="35"/>
      <c r="B72" s="3"/>
      <c r="C72" s="4"/>
      <c r="D72" s="4"/>
      <c r="E72" s="4"/>
      <c r="F72" s="4"/>
      <c r="G72" s="4"/>
      <c r="H72" s="4"/>
      <c r="I72" s="34"/>
    </row>
    <row r="73" spans="1:111" ht="21" x14ac:dyDescent="0.25">
      <c r="A73" s="35"/>
      <c r="B73" s="3"/>
      <c r="C73" s="4"/>
      <c r="D73" s="4"/>
      <c r="E73" s="4"/>
      <c r="F73" s="4"/>
      <c r="G73" s="4"/>
      <c r="H73" s="4"/>
      <c r="I73" s="34"/>
    </row>
    <row r="74" spans="1:111" s="36" customFormat="1" ht="21" x14ac:dyDescent="0.25">
      <c r="A74" s="35"/>
      <c r="B74" s="3"/>
      <c r="C74" s="4"/>
      <c r="D74" s="4"/>
      <c r="E74" s="4"/>
      <c r="F74" s="4"/>
      <c r="G74" s="4"/>
      <c r="H74" s="4"/>
      <c r="I74" s="34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2"/>
    </row>
    <row r="75" spans="1:111" s="60" customFormat="1" ht="21" x14ac:dyDescent="0.25">
      <c r="A75" s="63"/>
      <c r="B75" s="3"/>
      <c r="C75" s="4"/>
      <c r="D75" s="4"/>
      <c r="E75" s="4"/>
      <c r="F75" s="4"/>
      <c r="G75" s="4"/>
      <c r="H75" s="4"/>
      <c r="I75" s="64"/>
    </row>
    <row r="76" spans="1:111" s="60" customFormat="1" x14ac:dyDescent="0.25">
      <c r="A76" s="65"/>
      <c r="B76" s="65"/>
      <c r="C76" s="61"/>
      <c r="D76" s="61"/>
      <c r="E76" s="61"/>
      <c r="F76" s="61"/>
      <c r="G76" s="61"/>
      <c r="H76" s="61"/>
      <c r="I76" s="66"/>
    </row>
    <row r="77" spans="1:111" s="60" customFormat="1" x14ac:dyDescent="0.25">
      <c r="A77" s="65"/>
      <c r="B77" s="65"/>
      <c r="C77" s="67"/>
      <c r="D77" s="61"/>
      <c r="E77" s="68"/>
      <c r="F77" s="68"/>
      <c r="G77" s="68"/>
      <c r="H77" s="69"/>
      <c r="I77" s="61"/>
    </row>
    <row r="78" spans="1:111" s="60" customFormat="1" x14ac:dyDescent="0.25"/>
    <row r="79" spans="1:111" s="60" customFormat="1" x14ac:dyDescent="0.25"/>
    <row r="80" spans="1:111" s="60" customFormat="1" x14ac:dyDescent="0.25"/>
    <row r="81" s="60" customFormat="1" x14ac:dyDescent="0.25"/>
    <row r="82" s="60" customFormat="1" x14ac:dyDescent="0.25"/>
    <row r="83" s="60" customFormat="1" x14ac:dyDescent="0.25"/>
    <row r="84" s="60" customFormat="1" x14ac:dyDescent="0.25"/>
    <row r="85" s="60" customFormat="1" x14ac:dyDescent="0.25"/>
    <row r="86" s="60" customFormat="1" x14ac:dyDescent="0.25"/>
    <row r="87" s="60" customFormat="1" x14ac:dyDescent="0.25"/>
    <row r="88" s="60" customFormat="1" x14ac:dyDescent="0.25"/>
    <row r="89" s="60" customFormat="1" x14ac:dyDescent="0.25"/>
    <row r="90" s="60" customFormat="1" x14ac:dyDescent="0.25"/>
    <row r="91" s="60" customFormat="1" x14ac:dyDescent="0.25"/>
    <row r="92" s="60" customFormat="1" x14ac:dyDescent="0.25"/>
    <row r="93" s="60" customFormat="1" x14ac:dyDescent="0.25"/>
    <row r="94" s="60" customFormat="1" x14ac:dyDescent="0.25"/>
    <row r="95" s="60" customFormat="1" x14ac:dyDescent="0.25"/>
    <row r="96" s="60" customFormat="1" x14ac:dyDescent="0.25"/>
    <row r="97" s="60" customFormat="1" x14ac:dyDescent="0.25"/>
    <row r="98" s="60" customFormat="1" x14ac:dyDescent="0.25"/>
    <row r="99" s="60" customFormat="1" x14ac:dyDescent="0.25"/>
    <row r="100" s="60" customFormat="1" x14ac:dyDescent="0.25"/>
    <row r="101" s="60" customFormat="1" x14ac:dyDescent="0.25"/>
    <row r="102" s="60" customFormat="1" x14ac:dyDescent="0.25"/>
    <row r="103" s="60" customFormat="1" x14ac:dyDescent="0.25"/>
    <row r="104" s="60" customFormat="1" x14ac:dyDescent="0.25"/>
    <row r="105" s="60" customFormat="1" x14ac:dyDescent="0.25"/>
    <row r="106" s="60" customFormat="1" x14ac:dyDescent="0.25"/>
    <row r="107" s="60" customFormat="1" x14ac:dyDescent="0.25"/>
    <row r="108" s="60" customFormat="1" x14ac:dyDescent="0.25"/>
    <row r="109" s="60" customFormat="1" x14ac:dyDescent="0.25"/>
    <row r="110" s="60" customFormat="1" x14ac:dyDescent="0.25"/>
    <row r="111" s="60" customFormat="1" x14ac:dyDescent="0.25"/>
    <row r="112" s="60" customFormat="1" x14ac:dyDescent="0.25"/>
    <row r="113" s="60" customFormat="1" x14ac:dyDescent="0.25"/>
    <row r="114" s="60" customFormat="1" x14ac:dyDescent="0.25"/>
    <row r="115" s="60" customFormat="1" x14ac:dyDescent="0.25"/>
    <row r="116" s="60" customFormat="1" x14ac:dyDescent="0.25"/>
    <row r="117" s="60" customFormat="1" x14ac:dyDescent="0.25"/>
    <row r="118" s="60" customFormat="1" x14ac:dyDescent="0.25"/>
    <row r="119" s="60" customFormat="1" x14ac:dyDescent="0.25"/>
    <row r="120" s="60" customFormat="1" x14ac:dyDescent="0.25"/>
    <row r="121" s="60" customFormat="1" x14ac:dyDescent="0.25"/>
    <row r="122" s="60" customFormat="1" x14ac:dyDescent="0.25"/>
    <row r="123" s="60" customFormat="1" x14ac:dyDescent="0.25"/>
    <row r="124" s="60" customFormat="1" x14ac:dyDescent="0.25"/>
    <row r="125" s="60" customFormat="1" x14ac:dyDescent="0.25"/>
    <row r="126" s="60" customFormat="1" x14ac:dyDescent="0.25"/>
    <row r="127" s="60" customFormat="1" x14ac:dyDescent="0.25"/>
    <row r="128" s="60" customFormat="1" x14ac:dyDescent="0.25"/>
    <row r="129" s="60" customFormat="1" x14ac:dyDescent="0.25"/>
    <row r="130" s="60" customFormat="1" x14ac:dyDescent="0.25"/>
    <row r="131" s="60" customFormat="1" x14ac:dyDescent="0.25"/>
    <row r="132" s="60" customFormat="1" x14ac:dyDescent="0.25"/>
    <row r="133" s="60" customFormat="1" x14ac:dyDescent="0.25"/>
    <row r="134" s="60" customFormat="1" x14ac:dyDescent="0.25"/>
    <row r="135" s="60" customFormat="1" x14ac:dyDescent="0.25"/>
    <row r="136" s="60" customFormat="1" x14ac:dyDescent="0.25"/>
    <row r="137" s="60" customFormat="1" x14ac:dyDescent="0.25"/>
    <row r="138" s="60" customFormat="1" x14ac:dyDescent="0.25"/>
    <row r="139" s="60" customFormat="1" x14ac:dyDescent="0.25"/>
    <row r="140" s="60" customFormat="1" x14ac:dyDescent="0.25"/>
    <row r="141" s="60" customFormat="1" x14ac:dyDescent="0.25"/>
    <row r="142" s="60" customFormat="1" x14ac:dyDescent="0.25"/>
    <row r="143" s="60" customFormat="1" x14ac:dyDescent="0.25"/>
    <row r="144" s="60" customFormat="1" x14ac:dyDescent="0.25"/>
    <row r="145" s="60" customFormat="1" x14ac:dyDescent="0.25"/>
    <row r="146" s="60" customFormat="1" x14ac:dyDescent="0.25"/>
    <row r="147" s="60" customFormat="1" x14ac:dyDescent="0.25"/>
    <row r="148" s="60" customFormat="1" x14ac:dyDescent="0.25"/>
    <row r="149" s="60" customFormat="1" x14ac:dyDescent="0.25"/>
    <row r="150" s="60" customFormat="1" x14ac:dyDescent="0.25"/>
    <row r="151" s="60" customFormat="1" x14ac:dyDescent="0.25"/>
    <row r="152" s="60" customFormat="1" x14ac:dyDescent="0.25"/>
    <row r="153" s="60" customFormat="1" x14ac:dyDescent="0.25"/>
    <row r="154" s="60" customFormat="1" x14ac:dyDescent="0.25"/>
    <row r="155" s="60" customFormat="1" x14ac:dyDescent="0.25"/>
    <row r="156" s="60" customFormat="1" x14ac:dyDescent="0.25"/>
    <row r="157" s="60" customFormat="1" x14ac:dyDescent="0.25"/>
    <row r="158" s="60" customFormat="1" x14ac:dyDescent="0.25"/>
    <row r="159" s="60" customFormat="1" x14ac:dyDescent="0.25"/>
    <row r="160" s="60" customFormat="1" x14ac:dyDescent="0.25"/>
    <row r="161" s="60" customFormat="1" x14ac:dyDescent="0.25"/>
    <row r="162" s="60" customFormat="1" x14ac:dyDescent="0.25"/>
    <row r="163" s="60" customFormat="1" x14ac:dyDescent="0.25"/>
    <row r="164" s="60" customFormat="1" x14ac:dyDescent="0.25"/>
    <row r="165" s="60" customFormat="1" x14ac:dyDescent="0.25"/>
    <row r="166" s="60" customFormat="1" x14ac:dyDescent="0.25"/>
    <row r="167" s="60" customFormat="1" x14ac:dyDescent="0.25"/>
    <row r="168" s="60" customFormat="1" x14ac:dyDescent="0.25"/>
    <row r="169" s="60" customFormat="1" x14ac:dyDescent="0.25"/>
    <row r="170" s="60" customFormat="1" x14ac:dyDescent="0.25"/>
    <row r="171" s="60" customFormat="1" x14ac:dyDescent="0.25"/>
    <row r="172" s="60" customFormat="1" x14ac:dyDescent="0.25"/>
    <row r="173" s="60" customFormat="1" x14ac:dyDescent="0.25"/>
    <row r="174" s="60" customFormat="1" x14ac:dyDescent="0.25"/>
    <row r="175" s="60" customFormat="1" x14ac:dyDescent="0.25"/>
    <row r="176" s="60" customFormat="1" x14ac:dyDescent="0.25"/>
    <row r="177" s="60" customFormat="1" x14ac:dyDescent="0.25"/>
    <row r="178" s="60" customFormat="1" x14ac:dyDescent="0.25"/>
    <row r="179" s="60" customFormat="1" x14ac:dyDescent="0.25"/>
    <row r="180" s="60" customFormat="1" x14ac:dyDescent="0.25"/>
    <row r="181" s="60" customFormat="1" x14ac:dyDescent="0.25"/>
    <row r="182" s="60" customFormat="1" x14ac:dyDescent="0.25"/>
    <row r="183" s="60" customFormat="1" x14ac:dyDescent="0.25"/>
    <row r="184" s="60" customFormat="1" x14ac:dyDescent="0.25"/>
    <row r="185" s="60" customFormat="1" x14ac:dyDescent="0.25"/>
    <row r="186" s="60" customFormat="1" x14ac:dyDescent="0.25"/>
    <row r="187" s="60" customFormat="1" x14ac:dyDescent="0.25"/>
    <row r="188" s="60" customFormat="1" x14ac:dyDescent="0.25"/>
    <row r="189" s="60" customFormat="1" x14ac:dyDescent="0.25"/>
    <row r="190" s="60" customFormat="1" x14ac:dyDescent="0.25"/>
    <row r="191" s="60" customFormat="1" x14ac:dyDescent="0.25"/>
    <row r="192" s="60" customFormat="1" x14ac:dyDescent="0.25"/>
    <row r="193" s="60" customFormat="1" x14ac:dyDescent="0.25"/>
    <row r="194" s="60" customFormat="1" x14ac:dyDescent="0.25"/>
    <row r="195" s="60" customFormat="1" x14ac:dyDescent="0.25"/>
    <row r="196" s="60" customFormat="1" x14ac:dyDescent="0.25"/>
    <row r="197" s="60" customFormat="1" x14ac:dyDescent="0.25"/>
    <row r="198" s="60" customFormat="1" x14ac:dyDescent="0.25"/>
    <row r="199" s="60" customFormat="1" x14ac:dyDescent="0.25"/>
    <row r="200" s="60" customFormat="1" x14ac:dyDescent="0.25"/>
    <row r="201" s="60" customFormat="1" x14ac:dyDescent="0.25"/>
    <row r="202" s="60" customFormat="1" x14ac:dyDescent="0.25"/>
    <row r="203" s="60" customFormat="1" x14ac:dyDescent="0.25"/>
    <row r="204" s="60" customFormat="1" x14ac:dyDescent="0.25"/>
    <row r="205" s="60" customFormat="1" x14ac:dyDescent="0.25"/>
    <row r="206" s="60" customFormat="1" x14ac:dyDescent="0.25"/>
    <row r="207" s="60" customFormat="1" x14ac:dyDescent="0.25"/>
    <row r="208" s="60" customFormat="1" x14ac:dyDescent="0.25"/>
    <row r="209" s="60" customFormat="1" x14ac:dyDescent="0.25"/>
    <row r="210" s="60" customFormat="1" x14ac:dyDescent="0.25"/>
    <row r="211" s="60" customFormat="1" x14ac:dyDescent="0.25"/>
    <row r="212" s="60" customFormat="1" x14ac:dyDescent="0.25"/>
    <row r="213" s="60" customFormat="1" x14ac:dyDescent="0.25"/>
    <row r="214" s="60" customFormat="1" x14ac:dyDescent="0.25"/>
    <row r="215" s="60" customFormat="1" x14ac:dyDescent="0.25"/>
    <row r="216" s="60" customFormat="1" x14ac:dyDescent="0.25"/>
    <row r="217" s="60" customFormat="1" x14ac:dyDescent="0.25"/>
    <row r="218" s="60" customFormat="1" x14ac:dyDescent="0.25"/>
    <row r="219" s="60" customFormat="1" x14ac:dyDescent="0.25"/>
    <row r="220" s="60" customFormat="1" x14ac:dyDescent="0.25"/>
    <row r="221" s="60" customFormat="1" x14ac:dyDescent="0.25"/>
    <row r="222" s="60" customFormat="1" x14ac:dyDescent="0.25"/>
    <row r="223" s="60" customFormat="1" x14ac:dyDescent="0.25"/>
    <row r="224" s="60" customFormat="1" x14ac:dyDescent="0.25"/>
    <row r="225" s="60" customFormat="1" x14ac:dyDescent="0.25"/>
    <row r="226" s="60" customFormat="1" x14ac:dyDescent="0.25"/>
    <row r="227" s="60" customFormat="1" x14ac:dyDescent="0.25"/>
    <row r="228" s="60" customFormat="1" x14ac:dyDescent="0.25"/>
    <row r="229" s="60" customFormat="1" x14ac:dyDescent="0.25"/>
    <row r="230" s="60" customFormat="1" x14ac:dyDescent="0.25"/>
    <row r="231" s="60" customFormat="1" x14ac:dyDescent="0.25"/>
    <row r="232" s="60" customFormat="1" x14ac:dyDescent="0.25"/>
    <row r="233" s="60" customFormat="1" x14ac:dyDescent="0.25"/>
    <row r="234" s="60" customFormat="1" x14ac:dyDescent="0.25"/>
    <row r="235" s="60" customFormat="1" x14ac:dyDescent="0.25"/>
    <row r="236" s="60" customFormat="1" x14ac:dyDescent="0.25"/>
    <row r="237" s="60" customFormat="1" x14ac:dyDescent="0.25"/>
    <row r="238" s="60" customFormat="1" x14ac:dyDescent="0.25"/>
    <row r="239" s="60" customFormat="1" x14ac:dyDescent="0.25"/>
    <row r="240" s="60" customFormat="1" x14ac:dyDescent="0.25"/>
    <row r="241" s="60" customFormat="1" x14ac:dyDescent="0.25"/>
    <row r="242" s="60" customFormat="1" x14ac:dyDescent="0.25"/>
    <row r="243" s="60" customFormat="1" x14ac:dyDescent="0.25"/>
    <row r="244" s="60" customFormat="1" x14ac:dyDescent="0.25"/>
    <row r="245" s="60" customFormat="1" x14ac:dyDescent="0.25"/>
    <row r="246" s="60" customFormat="1" x14ac:dyDescent="0.25"/>
    <row r="247" s="60" customFormat="1" x14ac:dyDescent="0.25"/>
    <row r="248" s="60" customFormat="1" x14ac:dyDescent="0.25"/>
    <row r="249" s="60" customFormat="1" x14ac:dyDescent="0.25"/>
    <row r="250" s="60" customFormat="1" x14ac:dyDescent="0.25"/>
    <row r="251" s="60" customFormat="1" x14ac:dyDescent="0.25"/>
    <row r="252" s="60" customFormat="1" x14ac:dyDescent="0.25"/>
    <row r="253" s="60" customFormat="1" x14ac:dyDescent="0.25"/>
    <row r="254" s="60" customFormat="1" x14ac:dyDescent="0.25"/>
    <row r="255" s="60" customFormat="1" x14ac:dyDescent="0.25"/>
    <row r="256" s="60" customFormat="1" x14ac:dyDescent="0.25"/>
    <row r="257" s="60" customFormat="1" x14ac:dyDescent="0.25"/>
    <row r="258" s="60" customFormat="1" x14ac:dyDescent="0.25"/>
    <row r="259" s="60" customFormat="1" x14ac:dyDescent="0.25"/>
    <row r="260" s="60" customFormat="1" x14ac:dyDescent="0.25"/>
    <row r="261" s="60" customFormat="1" x14ac:dyDescent="0.25"/>
    <row r="262" s="60" customFormat="1" x14ac:dyDescent="0.25"/>
    <row r="263" s="60" customFormat="1" x14ac:dyDescent="0.25"/>
    <row r="264" s="60" customFormat="1" x14ac:dyDescent="0.25"/>
    <row r="265" s="60" customFormat="1" x14ac:dyDescent="0.25"/>
    <row r="266" s="60" customFormat="1" x14ac:dyDescent="0.25"/>
    <row r="267" s="60" customFormat="1" x14ac:dyDescent="0.25"/>
    <row r="268" s="60" customFormat="1" x14ac:dyDescent="0.25"/>
    <row r="269" s="60" customFormat="1" x14ac:dyDescent="0.25"/>
    <row r="270" s="60" customFormat="1" x14ac:dyDescent="0.25"/>
    <row r="271" s="60" customFormat="1" x14ac:dyDescent="0.25"/>
    <row r="272" s="60" customFormat="1" x14ac:dyDescent="0.25"/>
    <row r="273" s="60" customFormat="1" x14ac:dyDescent="0.25"/>
    <row r="274" s="60" customFormat="1" x14ac:dyDescent="0.25"/>
    <row r="275" s="60" customFormat="1" x14ac:dyDescent="0.25"/>
    <row r="276" s="60" customFormat="1" x14ac:dyDescent="0.25"/>
    <row r="277" s="60" customFormat="1" x14ac:dyDescent="0.25"/>
    <row r="278" s="60" customFormat="1" x14ac:dyDescent="0.25"/>
    <row r="279" s="60" customFormat="1" x14ac:dyDescent="0.25"/>
    <row r="280" s="60" customFormat="1" x14ac:dyDescent="0.25"/>
    <row r="281" s="60" customFormat="1" x14ac:dyDescent="0.25"/>
    <row r="282" s="60" customFormat="1" x14ac:dyDescent="0.25"/>
    <row r="283" s="60" customFormat="1" x14ac:dyDescent="0.25"/>
    <row r="284" s="60" customFormat="1" x14ac:dyDescent="0.25"/>
    <row r="285" s="60" customFormat="1" x14ac:dyDescent="0.25"/>
    <row r="286" s="60" customFormat="1" x14ac:dyDescent="0.25"/>
    <row r="287" s="60" customFormat="1" x14ac:dyDescent="0.25"/>
    <row r="288" s="60" customFormat="1" x14ac:dyDescent="0.25"/>
    <row r="289" s="60" customFormat="1" x14ac:dyDescent="0.25"/>
    <row r="290" s="60" customFormat="1" x14ac:dyDescent="0.25"/>
    <row r="291" s="60" customFormat="1" x14ac:dyDescent="0.25"/>
    <row r="292" s="60" customFormat="1" x14ac:dyDescent="0.25"/>
    <row r="293" s="60" customFormat="1" x14ac:dyDescent="0.25"/>
    <row r="294" s="60" customFormat="1" x14ac:dyDescent="0.25"/>
    <row r="295" s="60" customFormat="1" x14ac:dyDescent="0.25"/>
    <row r="296" s="60" customFormat="1" x14ac:dyDescent="0.25"/>
    <row r="297" s="60" customFormat="1" x14ac:dyDescent="0.25"/>
    <row r="298" s="60" customFormat="1" x14ac:dyDescent="0.25"/>
    <row r="299" s="60" customFormat="1" x14ac:dyDescent="0.25"/>
    <row r="300" s="60" customFormat="1" x14ac:dyDescent="0.25"/>
    <row r="301" s="60" customFormat="1" x14ac:dyDescent="0.25"/>
    <row r="302" s="60" customFormat="1" x14ac:dyDescent="0.25"/>
    <row r="303" s="60" customFormat="1" x14ac:dyDescent="0.25"/>
    <row r="304" s="60" customFormat="1" x14ac:dyDescent="0.25"/>
    <row r="305" s="60" customFormat="1" x14ac:dyDescent="0.25"/>
    <row r="306" s="60" customFormat="1" x14ac:dyDescent="0.25"/>
    <row r="307" s="60" customFormat="1" x14ac:dyDescent="0.25"/>
    <row r="308" s="60" customFormat="1" x14ac:dyDescent="0.25"/>
    <row r="309" s="60" customFormat="1" x14ac:dyDescent="0.25"/>
    <row r="310" s="60" customFormat="1" x14ac:dyDescent="0.25"/>
    <row r="311" s="60" customFormat="1" x14ac:dyDescent="0.25"/>
    <row r="312" s="60" customFormat="1" x14ac:dyDescent="0.25"/>
    <row r="313" s="60" customFormat="1" x14ac:dyDescent="0.25"/>
    <row r="314" s="60" customFormat="1" x14ac:dyDescent="0.25"/>
    <row r="315" s="60" customFormat="1" x14ac:dyDescent="0.25"/>
    <row r="316" s="60" customFormat="1" x14ac:dyDescent="0.25"/>
    <row r="317" s="60" customFormat="1" x14ac:dyDescent="0.25"/>
    <row r="318" s="60" customFormat="1" x14ac:dyDescent="0.25"/>
    <row r="319" s="60" customFormat="1" x14ac:dyDescent="0.25"/>
    <row r="320" s="60" customFormat="1" x14ac:dyDescent="0.25"/>
    <row r="321" s="60" customFormat="1" x14ac:dyDescent="0.25"/>
    <row r="322" s="60" customFormat="1" x14ac:dyDescent="0.25"/>
    <row r="323" s="60" customFormat="1" x14ac:dyDescent="0.25"/>
    <row r="324" s="60" customFormat="1" x14ac:dyDescent="0.25"/>
    <row r="325" s="60" customFormat="1" x14ac:dyDescent="0.25"/>
    <row r="326" s="60" customFormat="1" x14ac:dyDescent="0.25"/>
    <row r="327" s="60" customFormat="1" x14ac:dyDescent="0.25"/>
    <row r="328" s="60" customFormat="1" x14ac:dyDescent="0.25"/>
    <row r="329" s="60" customFormat="1" x14ac:dyDescent="0.25"/>
    <row r="330" s="60" customFormat="1" x14ac:dyDescent="0.25"/>
    <row r="331" s="60" customFormat="1" x14ac:dyDescent="0.25"/>
    <row r="332" s="60" customFormat="1" x14ac:dyDescent="0.25"/>
    <row r="333" s="60" customFormat="1" x14ac:dyDescent="0.25"/>
    <row r="334" s="60" customFormat="1" x14ac:dyDescent="0.25"/>
    <row r="335" s="60" customFormat="1" x14ac:dyDescent="0.25"/>
    <row r="336" s="60" customFormat="1" x14ac:dyDescent="0.25"/>
    <row r="337" s="60" customFormat="1" x14ac:dyDescent="0.25"/>
    <row r="338" s="60" customFormat="1" x14ac:dyDescent="0.25"/>
    <row r="339" s="60" customFormat="1" x14ac:dyDescent="0.25"/>
    <row r="340" s="60" customFormat="1" x14ac:dyDescent="0.25"/>
    <row r="341" s="60" customFormat="1" x14ac:dyDescent="0.25"/>
    <row r="342" s="60" customFormat="1" x14ac:dyDescent="0.25"/>
    <row r="343" s="60" customFormat="1" x14ac:dyDescent="0.25"/>
    <row r="344" s="60" customFormat="1" x14ac:dyDescent="0.25"/>
    <row r="345" s="60" customFormat="1" x14ac:dyDescent="0.25"/>
    <row r="346" s="60" customFormat="1" x14ac:dyDescent="0.25"/>
    <row r="347" s="60" customFormat="1" x14ac:dyDescent="0.25"/>
    <row r="348" s="60" customFormat="1" x14ac:dyDescent="0.25"/>
    <row r="349" s="60" customFormat="1" x14ac:dyDescent="0.25"/>
    <row r="350" s="60" customFormat="1" x14ac:dyDescent="0.25"/>
    <row r="351" s="60" customFormat="1" x14ac:dyDescent="0.25"/>
    <row r="352" s="60" customFormat="1" x14ac:dyDescent="0.25"/>
    <row r="353" s="60" customFormat="1" x14ac:dyDescent="0.25"/>
    <row r="354" s="60" customFormat="1" x14ac:dyDescent="0.25"/>
    <row r="355" s="60" customFormat="1" x14ac:dyDescent="0.25"/>
    <row r="356" s="60" customFormat="1" x14ac:dyDescent="0.25"/>
    <row r="357" s="60" customFormat="1" x14ac:dyDescent="0.25"/>
    <row r="358" s="60" customFormat="1" x14ac:dyDescent="0.25"/>
    <row r="359" s="60" customFormat="1" x14ac:dyDescent="0.25"/>
    <row r="360" s="60" customFormat="1" x14ac:dyDescent="0.25"/>
    <row r="361" s="60" customFormat="1" x14ac:dyDescent="0.25"/>
    <row r="362" s="60" customFormat="1" x14ac:dyDescent="0.25"/>
    <row r="363" s="60" customFormat="1" x14ac:dyDescent="0.25"/>
    <row r="364" s="60" customFormat="1" x14ac:dyDescent="0.25"/>
    <row r="365" s="60" customFormat="1" x14ac:dyDescent="0.25"/>
    <row r="366" s="60" customFormat="1" x14ac:dyDescent="0.25"/>
    <row r="367" s="60" customFormat="1" x14ac:dyDescent="0.25"/>
    <row r="368" s="60" customFormat="1" x14ac:dyDescent="0.25"/>
    <row r="369" s="60" customFormat="1" x14ac:dyDescent="0.25"/>
    <row r="370" s="60" customFormat="1" x14ac:dyDescent="0.25"/>
    <row r="371" s="60" customFormat="1" x14ac:dyDescent="0.25"/>
    <row r="372" s="60" customFormat="1" x14ac:dyDescent="0.25"/>
    <row r="373" s="60" customFormat="1" x14ac:dyDescent="0.25"/>
    <row r="374" s="60" customFormat="1" x14ac:dyDescent="0.25"/>
    <row r="375" s="60" customFormat="1" x14ac:dyDescent="0.25"/>
    <row r="376" s="60" customFormat="1" x14ac:dyDescent="0.25"/>
    <row r="377" s="60" customFormat="1" x14ac:dyDescent="0.25"/>
    <row r="378" s="60" customFormat="1" x14ac:dyDescent="0.25"/>
    <row r="379" s="60" customFormat="1" x14ac:dyDescent="0.25"/>
    <row r="380" s="60" customFormat="1" x14ac:dyDescent="0.25"/>
    <row r="381" s="60" customFormat="1" x14ac:dyDescent="0.25"/>
    <row r="382" s="60" customFormat="1" x14ac:dyDescent="0.25"/>
    <row r="383" s="60" customFormat="1" x14ac:dyDescent="0.25"/>
    <row r="384" s="60" customFormat="1" x14ac:dyDescent="0.25"/>
    <row r="385" s="60" customFormat="1" x14ac:dyDescent="0.25"/>
    <row r="386" s="60" customFormat="1" x14ac:dyDescent="0.25"/>
    <row r="387" s="60" customFormat="1" x14ac:dyDescent="0.25"/>
    <row r="388" s="60" customFormat="1" x14ac:dyDescent="0.25"/>
    <row r="389" s="60" customFormat="1" x14ac:dyDescent="0.25"/>
    <row r="390" s="60" customFormat="1" x14ac:dyDescent="0.25"/>
    <row r="391" s="60" customFormat="1" x14ac:dyDescent="0.25"/>
    <row r="392" s="60" customFormat="1" x14ac:dyDescent="0.25"/>
    <row r="393" s="60" customFormat="1" x14ac:dyDescent="0.25"/>
    <row r="394" s="60" customFormat="1" x14ac:dyDescent="0.25"/>
    <row r="395" s="60" customFormat="1" x14ac:dyDescent="0.25"/>
    <row r="396" s="60" customFormat="1" x14ac:dyDescent="0.25"/>
    <row r="397" s="60" customFormat="1" x14ac:dyDescent="0.25"/>
    <row r="398" s="60" customFormat="1" x14ac:dyDescent="0.25"/>
    <row r="399" s="60" customFormat="1" x14ac:dyDescent="0.25"/>
    <row r="400" s="60" customFormat="1" x14ac:dyDescent="0.25"/>
    <row r="401" s="60" customFormat="1" x14ac:dyDescent="0.25"/>
    <row r="402" s="60" customFormat="1" x14ac:dyDescent="0.25"/>
    <row r="403" s="60" customFormat="1" x14ac:dyDescent="0.25"/>
    <row r="404" s="60" customFormat="1" x14ac:dyDescent="0.25"/>
    <row r="405" s="60" customFormat="1" x14ac:dyDescent="0.25"/>
    <row r="406" s="60" customFormat="1" x14ac:dyDescent="0.25"/>
    <row r="407" s="60" customFormat="1" x14ac:dyDescent="0.25"/>
    <row r="408" s="60" customFormat="1" x14ac:dyDescent="0.25"/>
    <row r="409" s="60" customFormat="1" x14ac:dyDescent="0.25"/>
    <row r="410" s="60" customFormat="1" x14ac:dyDescent="0.25"/>
    <row r="411" s="60" customFormat="1" x14ac:dyDescent="0.25"/>
    <row r="412" s="60" customFormat="1" x14ac:dyDescent="0.25"/>
    <row r="413" s="60" customFormat="1" x14ac:dyDescent="0.25"/>
    <row r="414" s="60" customFormat="1" x14ac:dyDescent="0.25"/>
    <row r="415" s="60" customFormat="1" x14ac:dyDescent="0.25"/>
    <row r="416" s="60" customFormat="1" x14ac:dyDescent="0.25"/>
    <row r="417" s="60" customFormat="1" x14ac:dyDescent="0.25"/>
    <row r="418" s="60" customFormat="1" x14ac:dyDescent="0.25"/>
    <row r="419" s="60" customFormat="1" x14ac:dyDescent="0.25"/>
    <row r="420" s="60" customFormat="1" x14ac:dyDescent="0.25"/>
    <row r="421" s="60" customFormat="1" x14ac:dyDescent="0.25"/>
    <row r="422" s="60" customFormat="1" x14ac:dyDescent="0.25"/>
    <row r="423" s="60" customFormat="1" x14ac:dyDescent="0.25"/>
    <row r="424" s="60" customFormat="1" x14ac:dyDescent="0.25"/>
    <row r="425" s="60" customFormat="1" x14ac:dyDescent="0.25"/>
    <row r="426" s="60" customFormat="1" x14ac:dyDescent="0.25"/>
    <row r="427" s="60" customFormat="1" x14ac:dyDescent="0.25"/>
    <row r="428" s="60" customFormat="1" x14ac:dyDescent="0.25"/>
    <row r="429" s="60" customFormat="1" x14ac:dyDescent="0.25"/>
    <row r="430" s="60" customFormat="1" x14ac:dyDescent="0.25"/>
    <row r="431" s="60" customFormat="1" x14ac:dyDescent="0.25"/>
    <row r="432" s="60" customFormat="1" x14ac:dyDescent="0.25"/>
    <row r="433" s="60" customFormat="1" x14ac:dyDescent="0.25"/>
    <row r="434" s="60" customFormat="1" x14ac:dyDescent="0.25"/>
    <row r="435" s="60" customFormat="1" x14ac:dyDescent="0.25"/>
    <row r="436" s="60" customFormat="1" x14ac:dyDescent="0.25"/>
    <row r="437" s="60" customFormat="1" x14ac:dyDescent="0.25"/>
    <row r="438" s="60" customFormat="1" x14ac:dyDescent="0.25"/>
    <row r="439" s="60" customFormat="1" x14ac:dyDescent="0.25"/>
    <row r="440" s="60" customFormat="1" x14ac:dyDescent="0.25"/>
    <row r="441" s="60" customFormat="1" x14ac:dyDescent="0.25"/>
    <row r="442" s="60" customFormat="1" x14ac:dyDescent="0.25"/>
    <row r="443" s="60" customFormat="1" x14ac:dyDescent="0.25"/>
    <row r="444" s="60" customFormat="1" x14ac:dyDescent="0.25"/>
    <row r="445" s="60" customFormat="1" x14ac:dyDescent="0.25"/>
    <row r="446" s="60" customFormat="1" x14ac:dyDescent="0.25"/>
    <row r="447" s="60" customFormat="1" x14ac:dyDescent="0.25"/>
    <row r="448" s="60" customFormat="1" x14ac:dyDescent="0.25"/>
    <row r="449" s="60" customFormat="1" x14ac:dyDescent="0.25"/>
    <row r="450" s="60" customFormat="1" x14ac:dyDescent="0.25"/>
    <row r="451" s="60" customFormat="1" x14ac:dyDescent="0.25"/>
    <row r="452" s="60" customFormat="1" x14ac:dyDescent="0.25"/>
    <row r="453" s="60" customFormat="1" x14ac:dyDescent="0.25"/>
    <row r="454" s="60" customFormat="1" x14ac:dyDescent="0.25"/>
    <row r="455" s="60" customFormat="1" x14ac:dyDescent="0.25"/>
    <row r="456" s="60" customFormat="1" x14ac:dyDescent="0.25"/>
    <row r="457" s="60" customFormat="1" x14ac:dyDescent="0.25"/>
    <row r="458" s="60" customFormat="1" x14ac:dyDescent="0.25"/>
    <row r="459" s="60" customFormat="1" x14ac:dyDescent="0.25"/>
    <row r="460" s="60" customFormat="1" x14ac:dyDescent="0.25"/>
    <row r="461" s="60" customFormat="1" x14ac:dyDescent="0.25"/>
    <row r="462" s="60" customFormat="1" x14ac:dyDescent="0.25"/>
    <row r="463" s="60" customFormat="1" x14ac:dyDescent="0.25"/>
    <row r="464" s="60" customFormat="1" x14ac:dyDescent="0.25"/>
    <row r="465" s="60" customFormat="1" x14ac:dyDescent="0.25"/>
    <row r="466" s="60" customFormat="1" x14ac:dyDescent="0.25"/>
    <row r="467" s="60" customFormat="1" x14ac:dyDescent="0.25"/>
    <row r="468" s="60" customFormat="1" x14ac:dyDescent="0.25"/>
    <row r="469" s="60" customFormat="1" x14ac:dyDescent="0.25"/>
    <row r="470" s="60" customFormat="1" x14ac:dyDescent="0.25"/>
    <row r="471" s="60" customFormat="1" x14ac:dyDescent="0.25"/>
    <row r="472" s="60" customFormat="1" x14ac:dyDescent="0.25"/>
    <row r="473" s="60" customFormat="1" x14ac:dyDescent="0.25"/>
    <row r="474" s="60" customFormat="1" x14ac:dyDescent="0.25"/>
    <row r="475" s="60" customFormat="1" x14ac:dyDescent="0.25"/>
    <row r="476" s="60" customFormat="1" x14ac:dyDescent="0.25"/>
    <row r="477" s="60" customFormat="1" x14ac:dyDescent="0.25"/>
    <row r="478" s="60" customFormat="1" x14ac:dyDescent="0.25"/>
    <row r="479" s="60" customFormat="1" x14ac:dyDescent="0.25"/>
    <row r="480" s="60" customFormat="1" x14ac:dyDescent="0.25"/>
    <row r="481" s="60" customFormat="1" x14ac:dyDescent="0.25"/>
    <row r="482" s="60" customFormat="1" x14ac:dyDescent="0.25"/>
    <row r="483" s="60" customFormat="1" x14ac:dyDescent="0.25"/>
    <row r="484" s="60" customFormat="1" x14ac:dyDescent="0.25"/>
    <row r="485" s="60" customFormat="1" x14ac:dyDescent="0.25"/>
    <row r="486" s="60" customFormat="1" x14ac:dyDescent="0.25"/>
    <row r="487" s="60" customFormat="1" x14ac:dyDescent="0.25"/>
    <row r="488" s="60" customFormat="1" x14ac:dyDescent="0.25"/>
    <row r="489" s="60" customFormat="1" x14ac:dyDescent="0.25"/>
    <row r="490" s="60" customFormat="1" x14ac:dyDescent="0.25"/>
    <row r="491" s="60" customFormat="1" x14ac:dyDescent="0.25"/>
    <row r="492" s="60" customFormat="1" x14ac:dyDescent="0.25"/>
    <row r="493" s="60" customFormat="1" x14ac:dyDescent="0.25"/>
    <row r="494" s="60" customFormat="1" x14ac:dyDescent="0.25"/>
    <row r="495" s="60" customFormat="1" x14ac:dyDescent="0.25"/>
    <row r="496" s="60" customFormat="1" x14ac:dyDescent="0.25"/>
    <row r="497" s="60" customFormat="1" x14ac:dyDescent="0.25"/>
    <row r="498" s="60" customFormat="1" x14ac:dyDescent="0.25"/>
    <row r="499" s="60" customFormat="1" x14ac:dyDescent="0.25"/>
    <row r="500" s="60" customFormat="1" x14ac:dyDescent="0.25"/>
    <row r="501" s="60" customFormat="1" x14ac:dyDescent="0.25"/>
    <row r="502" s="60" customFormat="1" x14ac:dyDescent="0.25"/>
    <row r="503" s="60" customFormat="1" x14ac:dyDescent="0.25"/>
    <row r="504" s="60" customFormat="1" x14ac:dyDescent="0.25"/>
    <row r="505" s="60" customFormat="1" x14ac:dyDescent="0.25"/>
    <row r="506" s="60" customFormat="1" x14ac:dyDescent="0.25"/>
    <row r="507" s="60" customFormat="1" x14ac:dyDescent="0.25"/>
    <row r="508" s="60" customFormat="1" x14ac:dyDescent="0.25"/>
    <row r="509" s="60" customFormat="1" x14ac:dyDescent="0.25"/>
    <row r="510" s="60" customFormat="1" x14ac:dyDescent="0.25"/>
    <row r="511" s="60" customFormat="1" x14ac:dyDescent="0.25"/>
    <row r="512" s="60" customFormat="1" x14ac:dyDescent="0.25"/>
    <row r="513" s="60" customFormat="1" x14ac:dyDescent="0.25"/>
    <row r="514" s="60" customFormat="1" x14ac:dyDescent="0.25"/>
    <row r="515" s="60" customFormat="1" x14ac:dyDescent="0.25"/>
    <row r="516" s="60" customFormat="1" x14ac:dyDescent="0.25"/>
    <row r="517" s="60" customFormat="1" x14ac:dyDescent="0.25"/>
    <row r="518" s="60" customFormat="1" x14ac:dyDescent="0.25"/>
    <row r="519" s="60" customFormat="1" x14ac:dyDescent="0.25"/>
    <row r="520" s="60" customFormat="1" x14ac:dyDescent="0.25"/>
    <row r="521" s="60" customFormat="1" x14ac:dyDescent="0.25"/>
    <row r="522" s="60" customFormat="1" x14ac:dyDescent="0.25"/>
    <row r="523" s="60" customFormat="1" x14ac:dyDescent="0.25"/>
    <row r="524" s="60" customFormat="1" x14ac:dyDescent="0.25"/>
    <row r="525" s="60" customFormat="1" x14ac:dyDescent="0.25"/>
    <row r="526" s="60" customFormat="1" x14ac:dyDescent="0.25"/>
    <row r="527" s="60" customFormat="1" x14ac:dyDescent="0.25"/>
    <row r="528" s="60" customFormat="1" x14ac:dyDescent="0.25"/>
    <row r="529" s="60" customFormat="1" x14ac:dyDescent="0.25"/>
    <row r="530" s="60" customFormat="1" x14ac:dyDescent="0.25"/>
    <row r="531" s="60" customFormat="1" x14ac:dyDescent="0.25"/>
    <row r="532" s="60" customFormat="1" x14ac:dyDescent="0.25"/>
    <row r="533" s="60" customFormat="1" x14ac:dyDescent="0.25"/>
    <row r="534" s="60" customFormat="1" x14ac:dyDescent="0.25"/>
    <row r="535" s="60" customFormat="1" x14ac:dyDescent="0.25"/>
    <row r="536" s="60" customFormat="1" x14ac:dyDescent="0.25"/>
    <row r="537" s="60" customFormat="1" x14ac:dyDescent="0.25"/>
    <row r="538" s="60" customFormat="1" x14ac:dyDescent="0.25"/>
    <row r="539" s="60" customFormat="1" x14ac:dyDescent="0.25"/>
    <row r="540" s="60" customFormat="1" x14ac:dyDescent="0.25"/>
    <row r="541" s="60" customFormat="1" x14ac:dyDescent="0.25"/>
    <row r="542" s="60" customFormat="1" x14ac:dyDescent="0.25"/>
    <row r="543" s="60" customFormat="1" x14ac:dyDescent="0.25"/>
    <row r="544" s="60" customFormat="1" x14ac:dyDescent="0.25"/>
    <row r="545" s="60" customFormat="1" x14ac:dyDescent="0.25"/>
    <row r="546" s="60" customFormat="1" x14ac:dyDescent="0.25"/>
    <row r="547" s="60" customFormat="1" x14ac:dyDescent="0.25"/>
    <row r="548" s="60" customFormat="1" x14ac:dyDescent="0.25"/>
    <row r="549" s="60" customFormat="1" x14ac:dyDescent="0.25"/>
    <row r="550" s="60" customFormat="1" x14ac:dyDescent="0.25"/>
    <row r="551" s="60" customFormat="1" x14ac:dyDescent="0.25"/>
    <row r="552" s="60" customFormat="1" x14ac:dyDescent="0.25"/>
    <row r="553" s="60" customFormat="1" x14ac:dyDescent="0.25"/>
    <row r="554" s="60" customFormat="1" x14ac:dyDescent="0.25"/>
    <row r="555" s="60" customFormat="1" x14ac:dyDescent="0.25"/>
    <row r="556" s="60" customFormat="1" x14ac:dyDescent="0.25"/>
    <row r="557" s="60" customFormat="1" x14ac:dyDescent="0.25"/>
    <row r="558" s="60" customFormat="1" x14ac:dyDescent="0.25"/>
    <row r="559" s="60" customFormat="1" x14ac:dyDescent="0.25"/>
    <row r="560" s="60" customFormat="1" x14ac:dyDescent="0.25"/>
    <row r="561" s="60" customFormat="1" x14ac:dyDescent="0.25"/>
    <row r="562" s="60" customFormat="1" x14ac:dyDescent="0.25"/>
    <row r="563" s="60" customFormat="1" x14ac:dyDescent="0.25"/>
    <row r="564" s="60" customFormat="1" x14ac:dyDescent="0.25"/>
    <row r="565" s="60" customFormat="1" x14ac:dyDescent="0.25"/>
    <row r="566" s="60" customFormat="1" x14ac:dyDescent="0.25"/>
    <row r="567" s="60" customFormat="1" x14ac:dyDescent="0.25"/>
    <row r="568" s="60" customFormat="1" x14ac:dyDescent="0.25"/>
    <row r="569" s="60" customFormat="1" x14ac:dyDescent="0.25"/>
    <row r="570" s="60" customFormat="1" x14ac:dyDescent="0.25"/>
    <row r="571" s="60" customFormat="1" x14ac:dyDescent="0.25"/>
    <row r="572" s="60" customFormat="1" x14ac:dyDescent="0.25"/>
    <row r="573" s="60" customFormat="1" x14ac:dyDescent="0.25"/>
    <row r="574" s="60" customFormat="1" x14ac:dyDescent="0.25"/>
    <row r="575" s="60" customFormat="1" x14ac:dyDescent="0.25"/>
    <row r="576" s="60" customFormat="1" x14ac:dyDescent="0.25"/>
    <row r="577" s="60" customFormat="1" x14ac:dyDescent="0.25"/>
    <row r="578" s="60" customFormat="1" x14ac:dyDescent="0.25"/>
    <row r="579" s="60" customFormat="1" x14ac:dyDescent="0.25"/>
    <row r="580" s="60" customFormat="1" x14ac:dyDescent="0.25"/>
    <row r="581" s="60" customFormat="1" x14ac:dyDescent="0.25"/>
    <row r="582" s="60" customFormat="1" x14ac:dyDescent="0.25"/>
    <row r="583" s="60" customFormat="1" x14ac:dyDescent="0.25"/>
    <row r="584" s="60" customFormat="1" x14ac:dyDescent="0.25"/>
    <row r="585" s="60" customFormat="1" x14ac:dyDescent="0.25"/>
    <row r="586" s="60" customFormat="1" x14ac:dyDescent="0.25"/>
    <row r="587" s="60" customFormat="1" x14ac:dyDescent="0.25"/>
    <row r="588" s="60" customFormat="1" x14ac:dyDescent="0.25"/>
    <row r="589" s="60" customFormat="1" x14ac:dyDescent="0.25"/>
    <row r="590" s="60" customFormat="1" x14ac:dyDescent="0.25"/>
    <row r="591" s="60" customFormat="1" x14ac:dyDescent="0.25"/>
    <row r="592" s="60" customFormat="1" x14ac:dyDescent="0.25"/>
    <row r="593" s="60" customFormat="1" x14ac:dyDescent="0.25"/>
    <row r="594" s="60" customFormat="1" x14ac:dyDescent="0.25"/>
    <row r="595" s="60" customFormat="1" x14ac:dyDescent="0.25"/>
    <row r="596" s="60" customFormat="1" x14ac:dyDescent="0.25"/>
    <row r="597" s="60" customFormat="1" x14ac:dyDescent="0.25"/>
    <row r="598" s="60" customFormat="1" x14ac:dyDescent="0.25"/>
    <row r="599" s="60" customFormat="1" x14ac:dyDescent="0.25"/>
    <row r="600" s="60" customFormat="1" x14ac:dyDescent="0.25"/>
    <row r="601" s="60" customFormat="1" x14ac:dyDescent="0.25"/>
    <row r="602" s="60" customFormat="1" x14ac:dyDescent="0.25"/>
    <row r="603" s="60" customFormat="1" x14ac:dyDescent="0.25"/>
    <row r="604" s="60" customFormat="1" x14ac:dyDescent="0.25"/>
    <row r="605" s="60" customFormat="1" x14ac:dyDescent="0.25"/>
    <row r="606" s="60" customFormat="1" x14ac:dyDescent="0.25"/>
    <row r="607" s="60" customFormat="1" x14ac:dyDescent="0.25"/>
    <row r="608" s="60" customFormat="1" x14ac:dyDescent="0.25"/>
    <row r="609" s="60" customFormat="1" x14ac:dyDescent="0.25"/>
    <row r="610" s="60" customFormat="1" x14ac:dyDescent="0.25"/>
    <row r="611" s="60" customFormat="1" x14ac:dyDescent="0.25"/>
    <row r="612" s="60" customFormat="1" x14ac:dyDescent="0.25"/>
    <row r="613" s="60" customFormat="1" x14ac:dyDescent="0.25"/>
    <row r="614" s="60" customFormat="1" x14ac:dyDescent="0.25"/>
    <row r="615" s="60" customFormat="1" x14ac:dyDescent="0.25"/>
    <row r="616" s="60" customFormat="1" x14ac:dyDescent="0.25"/>
    <row r="617" s="60" customFormat="1" x14ac:dyDescent="0.25"/>
    <row r="618" s="60" customFormat="1" x14ac:dyDescent="0.25"/>
    <row r="619" s="60" customFormat="1" x14ac:dyDescent="0.25"/>
    <row r="620" s="60" customFormat="1" x14ac:dyDescent="0.25"/>
    <row r="621" s="60" customFormat="1" x14ac:dyDescent="0.25"/>
    <row r="622" s="60" customFormat="1" x14ac:dyDescent="0.25"/>
    <row r="623" s="60" customFormat="1" x14ac:dyDescent="0.25"/>
    <row r="624" s="60" customFormat="1" x14ac:dyDescent="0.25"/>
    <row r="625" s="60" customFormat="1" x14ac:dyDescent="0.25"/>
    <row r="626" s="60" customFormat="1" x14ac:dyDescent="0.25"/>
    <row r="627" s="60" customFormat="1" x14ac:dyDescent="0.25"/>
    <row r="628" s="60" customFormat="1" x14ac:dyDescent="0.25"/>
    <row r="629" s="60" customFormat="1" x14ac:dyDescent="0.25"/>
    <row r="630" s="60" customFormat="1" x14ac:dyDescent="0.25"/>
    <row r="631" s="60" customFormat="1" x14ac:dyDescent="0.25"/>
    <row r="632" s="60" customFormat="1" x14ac:dyDescent="0.25"/>
    <row r="633" s="60" customFormat="1" x14ac:dyDescent="0.25"/>
    <row r="634" s="60" customFormat="1" x14ac:dyDescent="0.25"/>
    <row r="635" s="60" customFormat="1" x14ac:dyDescent="0.25"/>
    <row r="636" s="60" customFormat="1" x14ac:dyDescent="0.25"/>
    <row r="637" s="60" customFormat="1" x14ac:dyDescent="0.25"/>
    <row r="638" s="60" customFormat="1" x14ac:dyDescent="0.25"/>
    <row r="639" s="60" customFormat="1" x14ac:dyDescent="0.25"/>
    <row r="640" s="60" customFormat="1" x14ac:dyDescent="0.25"/>
    <row r="641" s="60" customFormat="1" x14ac:dyDescent="0.25"/>
    <row r="642" s="60" customFormat="1" x14ac:dyDescent="0.25"/>
    <row r="643" s="60" customFormat="1" x14ac:dyDescent="0.25"/>
    <row r="644" s="60" customFormat="1" x14ac:dyDescent="0.25"/>
    <row r="645" s="60" customFormat="1" x14ac:dyDescent="0.25"/>
    <row r="646" s="60" customFormat="1" x14ac:dyDescent="0.25"/>
    <row r="647" s="60" customFormat="1" x14ac:dyDescent="0.25"/>
    <row r="648" s="60" customFormat="1" x14ac:dyDescent="0.25"/>
    <row r="649" s="60" customFormat="1" x14ac:dyDescent="0.25"/>
    <row r="650" s="60" customFormat="1" x14ac:dyDescent="0.25"/>
    <row r="651" s="60" customFormat="1" x14ac:dyDescent="0.25"/>
    <row r="652" s="60" customFormat="1" x14ac:dyDescent="0.25"/>
    <row r="653" s="60" customFormat="1" x14ac:dyDescent="0.25"/>
    <row r="654" s="60" customFormat="1" x14ac:dyDescent="0.25"/>
    <row r="655" s="60" customFormat="1" x14ac:dyDescent="0.25"/>
    <row r="656" s="60" customFormat="1" x14ac:dyDescent="0.25"/>
    <row r="657" s="60" customFormat="1" x14ac:dyDescent="0.25"/>
    <row r="658" s="60" customFormat="1" x14ac:dyDescent="0.25"/>
    <row r="659" s="60" customFormat="1" x14ac:dyDescent="0.25"/>
    <row r="660" s="60" customFormat="1" x14ac:dyDescent="0.25"/>
    <row r="661" s="60" customFormat="1" x14ac:dyDescent="0.25"/>
    <row r="662" s="60" customFormat="1" x14ac:dyDescent="0.25"/>
    <row r="663" s="60" customFormat="1" x14ac:dyDescent="0.25"/>
    <row r="664" s="60" customFormat="1" x14ac:dyDescent="0.25"/>
    <row r="665" s="60" customFormat="1" x14ac:dyDescent="0.25"/>
    <row r="666" s="60" customFormat="1" x14ac:dyDescent="0.25"/>
    <row r="667" s="60" customFormat="1" x14ac:dyDescent="0.25"/>
    <row r="668" s="60" customFormat="1" x14ac:dyDescent="0.25"/>
    <row r="669" s="60" customFormat="1" x14ac:dyDescent="0.25"/>
    <row r="670" s="60" customFormat="1" x14ac:dyDescent="0.25"/>
    <row r="671" s="60" customFormat="1" x14ac:dyDescent="0.25"/>
    <row r="672" s="60" customFormat="1" x14ac:dyDescent="0.25"/>
    <row r="673" s="60" customFormat="1" x14ac:dyDescent="0.25"/>
    <row r="674" s="60" customFormat="1" x14ac:dyDescent="0.25"/>
    <row r="675" s="60" customFormat="1" x14ac:dyDescent="0.25"/>
    <row r="676" s="60" customFormat="1" x14ac:dyDescent="0.25"/>
    <row r="677" s="60" customFormat="1" x14ac:dyDescent="0.25"/>
    <row r="678" s="60" customFormat="1" x14ac:dyDescent="0.25"/>
    <row r="679" s="60" customFormat="1" x14ac:dyDescent="0.25"/>
    <row r="680" s="60" customFormat="1" x14ac:dyDescent="0.25"/>
    <row r="681" s="60" customFormat="1" x14ac:dyDescent="0.25"/>
    <row r="682" s="60" customFormat="1" x14ac:dyDescent="0.25"/>
    <row r="683" s="60" customFormat="1" x14ac:dyDescent="0.25"/>
    <row r="684" s="60" customFormat="1" x14ac:dyDescent="0.25"/>
    <row r="685" s="60" customFormat="1" x14ac:dyDescent="0.25"/>
    <row r="686" s="60" customFormat="1" x14ac:dyDescent="0.25"/>
    <row r="687" s="60" customFormat="1" x14ac:dyDescent="0.25"/>
    <row r="688" s="60" customFormat="1" x14ac:dyDescent="0.25"/>
    <row r="689" s="60" customFormat="1" x14ac:dyDescent="0.25"/>
    <row r="690" s="60" customFormat="1" x14ac:dyDescent="0.25"/>
    <row r="691" s="60" customFormat="1" x14ac:dyDescent="0.25"/>
    <row r="692" s="60" customFormat="1" x14ac:dyDescent="0.25"/>
    <row r="693" s="60" customFormat="1" x14ac:dyDescent="0.25"/>
    <row r="694" s="60" customFormat="1" x14ac:dyDescent="0.25"/>
    <row r="695" s="60" customFormat="1" x14ac:dyDescent="0.25"/>
    <row r="696" s="60" customFormat="1" x14ac:dyDescent="0.25"/>
    <row r="697" s="60" customFormat="1" x14ac:dyDescent="0.25"/>
    <row r="698" s="60" customFormat="1" x14ac:dyDescent="0.25"/>
    <row r="699" s="60" customFormat="1" x14ac:dyDescent="0.25"/>
    <row r="700" s="60" customFormat="1" x14ac:dyDescent="0.25"/>
    <row r="701" s="60" customFormat="1" x14ac:dyDescent="0.25"/>
    <row r="702" s="60" customFormat="1" x14ac:dyDescent="0.25"/>
    <row r="703" s="60" customFormat="1" x14ac:dyDescent="0.25"/>
    <row r="704" s="60" customFormat="1" x14ac:dyDescent="0.25"/>
    <row r="705" s="60" customFormat="1" x14ac:dyDescent="0.25"/>
    <row r="706" s="60" customFormat="1" x14ac:dyDescent="0.25"/>
    <row r="707" s="60" customFormat="1" x14ac:dyDescent="0.25"/>
    <row r="708" s="60" customFormat="1" x14ac:dyDescent="0.25"/>
    <row r="709" s="60" customFormat="1" x14ac:dyDescent="0.25"/>
    <row r="710" s="60" customFormat="1" x14ac:dyDescent="0.25"/>
    <row r="711" s="60" customFormat="1" x14ac:dyDescent="0.25"/>
    <row r="712" s="60" customFormat="1" x14ac:dyDescent="0.25"/>
    <row r="713" s="60" customFormat="1" x14ac:dyDescent="0.25"/>
    <row r="714" s="60" customFormat="1" x14ac:dyDescent="0.25"/>
    <row r="715" s="60" customFormat="1" x14ac:dyDescent="0.25"/>
    <row r="716" s="60" customFormat="1" x14ac:dyDescent="0.25"/>
    <row r="717" s="60" customFormat="1" x14ac:dyDescent="0.25"/>
    <row r="718" s="60" customFormat="1" x14ac:dyDescent="0.25"/>
    <row r="719" s="60" customFormat="1" x14ac:dyDescent="0.25"/>
    <row r="720" s="60" customFormat="1" x14ac:dyDescent="0.25"/>
    <row r="721" s="60" customFormat="1" x14ac:dyDescent="0.25"/>
    <row r="722" s="60" customFormat="1" x14ac:dyDescent="0.25"/>
    <row r="723" s="60" customFormat="1" x14ac:dyDescent="0.25"/>
    <row r="724" s="60" customFormat="1" x14ac:dyDescent="0.25"/>
    <row r="725" s="60" customFormat="1" x14ac:dyDescent="0.25"/>
    <row r="726" s="60" customFormat="1" x14ac:dyDescent="0.25"/>
    <row r="727" s="60" customFormat="1" x14ac:dyDescent="0.25"/>
    <row r="728" s="60" customFormat="1" x14ac:dyDescent="0.25"/>
    <row r="729" s="60" customFormat="1" x14ac:dyDescent="0.25"/>
    <row r="730" s="60" customFormat="1" x14ac:dyDescent="0.25"/>
    <row r="731" s="60" customFormat="1" x14ac:dyDescent="0.25"/>
    <row r="732" s="60" customFormat="1" x14ac:dyDescent="0.25"/>
    <row r="733" s="60" customFormat="1" x14ac:dyDescent="0.25"/>
    <row r="734" s="60" customFormat="1" x14ac:dyDescent="0.25"/>
    <row r="735" s="60" customFormat="1" x14ac:dyDescent="0.25"/>
    <row r="736" s="60" customFormat="1" x14ac:dyDescent="0.25"/>
    <row r="737" s="60" customFormat="1" x14ac:dyDescent="0.25"/>
    <row r="738" s="60" customFormat="1" x14ac:dyDescent="0.25"/>
    <row r="739" s="60" customFormat="1" x14ac:dyDescent="0.25"/>
    <row r="740" s="60" customFormat="1" x14ac:dyDescent="0.25"/>
    <row r="741" s="60" customFormat="1" x14ac:dyDescent="0.25"/>
    <row r="742" s="60" customFormat="1" x14ac:dyDescent="0.25"/>
    <row r="743" s="60" customFormat="1" x14ac:dyDescent="0.25"/>
    <row r="744" s="60" customFormat="1" x14ac:dyDescent="0.25"/>
    <row r="745" s="60" customFormat="1" x14ac:dyDescent="0.25"/>
    <row r="746" s="60" customFormat="1" x14ac:dyDescent="0.25"/>
    <row r="747" s="60" customFormat="1" x14ac:dyDescent="0.25"/>
    <row r="748" s="60" customFormat="1" x14ac:dyDescent="0.25"/>
    <row r="749" s="60" customFormat="1" x14ac:dyDescent="0.25"/>
    <row r="750" s="60" customFormat="1" x14ac:dyDescent="0.25"/>
    <row r="751" s="60" customFormat="1" x14ac:dyDescent="0.25"/>
    <row r="752" s="60" customFormat="1" x14ac:dyDescent="0.25"/>
    <row r="753" s="60" customFormat="1" x14ac:dyDescent="0.25"/>
    <row r="754" s="60" customFormat="1" x14ac:dyDescent="0.25"/>
    <row r="755" s="60" customFormat="1" x14ac:dyDescent="0.25"/>
    <row r="756" s="60" customFormat="1" x14ac:dyDescent="0.25"/>
    <row r="757" s="60" customFormat="1" x14ac:dyDescent="0.25"/>
    <row r="758" s="60" customFormat="1" x14ac:dyDescent="0.25"/>
    <row r="759" s="60" customFormat="1" x14ac:dyDescent="0.25"/>
    <row r="760" s="60" customFormat="1" x14ac:dyDescent="0.25"/>
    <row r="761" s="60" customFormat="1" x14ac:dyDescent="0.25"/>
    <row r="762" s="60" customFormat="1" x14ac:dyDescent="0.25"/>
    <row r="763" s="60" customFormat="1" x14ac:dyDescent="0.25"/>
    <row r="764" s="60" customFormat="1" x14ac:dyDescent="0.25"/>
    <row r="765" s="60" customFormat="1" x14ac:dyDescent="0.25"/>
    <row r="766" s="60" customFormat="1" x14ac:dyDescent="0.25"/>
    <row r="767" s="60" customFormat="1" x14ac:dyDescent="0.25"/>
    <row r="768" s="60" customFormat="1" x14ac:dyDescent="0.25"/>
    <row r="769" s="60" customFormat="1" x14ac:dyDescent="0.25"/>
    <row r="770" s="60" customFormat="1" x14ac:dyDescent="0.25"/>
    <row r="771" s="60" customFormat="1" x14ac:dyDescent="0.25"/>
    <row r="772" s="60" customFormat="1" x14ac:dyDescent="0.25"/>
    <row r="773" s="60" customFormat="1" x14ac:dyDescent="0.25"/>
    <row r="774" s="60" customFormat="1" x14ac:dyDescent="0.25"/>
    <row r="775" s="60" customFormat="1" x14ac:dyDescent="0.25"/>
    <row r="776" s="60" customFormat="1" x14ac:dyDescent="0.25"/>
    <row r="777" s="60" customFormat="1" x14ac:dyDescent="0.25"/>
    <row r="778" s="60" customFormat="1" x14ac:dyDescent="0.25"/>
    <row r="779" s="60" customFormat="1" x14ac:dyDescent="0.25"/>
    <row r="780" s="60" customFormat="1" x14ac:dyDescent="0.25"/>
    <row r="781" s="60" customFormat="1" x14ac:dyDescent="0.25"/>
    <row r="782" s="60" customFormat="1" x14ac:dyDescent="0.25"/>
    <row r="783" s="60" customFormat="1" x14ac:dyDescent="0.25"/>
    <row r="784" s="60" customFormat="1" x14ac:dyDescent="0.25"/>
    <row r="785" s="60" customFormat="1" x14ac:dyDescent="0.25"/>
    <row r="786" s="60" customFormat="1" x14ac:dyDescent="0.25"/>
    <row r="787" s="60" customFormat="1" x14ac:dyDescent="0.25"/>
    <row r="788" s="60" customFormat="1" x14ac:dyDescent="0.25"/>
    <row r="789" s="60" customFormat="1" x14ac:dyDescent="0.25"/>
    <row r="790" s="60" customFormat="1" x14ac:dyDescent="0.25"/>
    <row r="791" s="60" customFormat="1" x14ac:dyDescent="0.25"/>
    <row r="792" s="60" customFormat="1" x14ac:dyDescent="0.25"/>
    <row r="793" s="60" customFormat="1" x14ac:dyDescent="0.25"/>
    <row r="794" s="60" customFormat="1" x14ac:dyDescent="0.25"/>
    <row r="795" s="60" customFormat="1" x14ac:dyDescent="0.25"/>
    <row r="796" s="60" customFormat="1" x14ac:dyDescent="0.25"/>
    <row r="797" s="60" customFormat="1" x14ac:dyDescent="0.25"/>
    <row r="798" s="60" customFormat="1" x14ac:dyDescent="0.25"/>
    <row r="799" s="60" customFormat="1" x14ac:dyDescent="0.25"/>
    <row r="800" s="60" customFormat="1" x14ac:dyDescent="0.25"/>
    <row r="801" s="60" customFormat="1" x14ac:dyDescent="0.25"/>
    <row r="802" s="60" customFormat="1" x14ac:dyDescent="0.25"/>
    <row r="803" s="60" customFormat="1" x14ac:dyDescent="0.25"/>
    <row r="804" s="60" customFormat="1" x14ac:dyDescent="0.25"/>
    <row r="805" s="60" customFormat="1" x14ac:dyDescent="0.25"/>
    <row r="806" s="60" customFormat="1" x14ac:dyDescent="0.25"/>
    <row r="807" s="60" customFormat="1" x14ac:dyDescent="0.25"/>
    <row r="808" s="60" customFormat="1" x14ac:dyDescent="0.25"/>
    <row r="809" s="60" customFormat="1" x14ac:dyDescent="0.25"/>
    <row r="810" s="60" customFormat="1" x14ac:dyDescent="0.25"/>
    <row r="811" s="60" customFormat="1" x14ac:dyDescent="0.25"/>
    <row r="812" s="60" customFormat="1" x14ac:dyDescent="0.25"/>
    <row r="813" s="60" customFormat="1" x14ac:dyDescent="0.25"/>
    <row r="814" s="60" customFormat="1" x14ac:dyDescent="0.25"/>
    <row r="815" s="60" customFormat="1" x14ac:dyDescent="0.25"/>
    <row r="816" s="60" customFormat="1" x14ac:dyDescent="0.25"/>
    <row r="817" s="60" customFormat="1" x14ac:dyDescent="0.25"/>
    <row r="818" s="60" customFormat="1" x14ac:dyDescent="0.25"/>
    <row r="819" s="60" customFormat="1" x14ac:dyDescent="0.25"/>
    <row r="820" s="60" customFormat="1" x14ac:dyDescent="0.25"/>
    <row r="821" s="60" customFormat="1" x14ac:dyDescent="0.25"/>
    <row r="822" s="60" customFormat="1" x14ac:dyDescent="0.25"/>
    <row r="823" s="60" customFormat="1" x14ac:dyDescent="0.25"/>
    <row r="824" s="60" customFormat="1" x14ac:dyDescent="0.25"/>
    <row r="825" s="60" customFormat="1" x14ac:dyDescent="0.25"/>
    <row r="826" s="60" customFormat="1" x14ac:dyDescent="0.25"/>
    <row r="827" s="60" customFormat="1" x14ac:dyDescent="0.25"/>
    <row r="828" s="60" customFormat="1" x14ac:dyDescent="0.25"/>
    <row r="829" s="60" customFormat="1" x14ac:dyDescent="0.25"/>
    <row r="830" s="60" customFormat="1" x14ac:dyDescent="0.25"/>
    <row r="831" s="60" customFormat="1" x14ac:dyDescent="0.25"/>
    <row r="832" s="60" customFormat="1" x14ac:dyDescent="0.25"/>
    <row r="833" s="60" customFormat="1" x14ac:dyDescent="0.25"/>
    <row r="834" s="60" customFormat="1" x14ac:dyDescent="0.25"/>
    <row r="835" s="60" customFormat="1" x14ac:dyDescent="0.25"/>
    <row r="836" s="60" customFormat="1" x14ac:dyDescent="0.25"/>
    <row r="837" s="60" customFormat="1" x14ac:dyDescent="0.25"/>
    <row r="838" s="60" customFormat="1" x14ac:dyDescent="0.25"/>
    <row r="839" s="60" customFormat="1" x14ac:dyDescent="0.25"/>
    <row r="840" s="60" customFormat="1" x14ac:dyDescent="0.25"/>
    <row r="841" s="60" customFormat="1" x14ac:dyDescent="0.25"/>
    <row r="842" s="60" customFormat="1" x14ac:dyDescent="0.25"/>
    <row r="843" s="60" customFormat="1" x14ac:dyDescent="0.25"/>
    <row r="844" s="60" customFormat="1" x14ac:dyDescent="0.25"/>
    <row r="845" s="60" customFormat="1" x14ac:dyDescent="0.25"/>
    <row r="846" s="60" customFormat="1" x14ac:dyDescent="0.25"/>
    <row r="847" s="60" customFormat="1" x14ac:dyDescent="0.25"/>
    <row r="848" s="60" customFormat="1" x14ac:dyDescent="0.25"/>
    <row r="849" s="60" customFormat="1" x14ac:dyDescent="0.25"/>
    <row r="850" s="60" customFormat="1" x14ac:dyDescent="0.25"/>
    <row r="851" s="60" customFormat="1" x14ac:dyDescent="0.25"/>
    <row r="852" s="60" customFormat="1" x14ac:dyDescent="0.25"/>
    <row r="853" s="60" customFormat="1" x14ac:dyDescent="0.25"/>
    <row r="854" s="60" customFormat="1" x14ac:dyDescent="0.25"/>
    <row r="855" s="60" customFormat="1" x14ac:dyDescent="0.25"/>
    <row r="856" s="60" customFormat="1" x14ac:dyDescent="0.25"/>
    <row r="857" s="60" customFormat="1" x14ac:dyDescent="0.25"/>
    <row r="858" s="60" customFormat="1" x14ac:dyDescent="0.25"/>
    <row r="859" s="60" customFormat="1" x14ac:dyDescent="0.25"/>
    <row r="860" s="60" customFormat="1" x14ac:dyDescent="0.25"/>
    <row r="861" s="60" customFormat="1" x14ac:dyDescent="0.25"/>
    <row r="862" s="60" customFormat="1" x14ac:dyDescent="0.25"/>
    <row r="863" s="60" customFormat="1" x14ac:dyDescent="0.25"/>
    <row r="864" s="60" customFormat="1" x14ac:dyDescent="0.25"/>
    <row r="865" s="60" customFormat="1" x14ac:dyDescent="0.25"/>
    <row r="866" s="60" customFormat="1" x14ac:dyDescent="0.25"/>
    <row r="867" s="60" customFormat="1" x14ac:dyDescent="0.25"/>
    <row r="868" s="60" customFormat="1" x14ac:dyDescent="0.25"/>
    <row r="869" s="60" customFormat="1" x14ac:dyDescent="0.25"/>
    <row r="870" s="60" customFormat="1" x14ac:dyDescent="0.25"/>
    <row r="871" s="60" customFormat="1" x14ac:dyDescent="0.25"/>
    <row r="872" s="60" customFormat="1" x14ac:dyDescent="0.25"/>
    <row r="873" s="60" customFormat="1" x14ac:dyDescent="0.25"/>
    <row r="874" s="60" customFormat="1" x14ac:dyDescent="0.25"/>
    <row r="875" s="60" customFormat="1" x14ac:dyDescent="0.25"/>
    <row r="876" s="60" customFormat="1" x14ac:dyDescent="0.25"/>
    <row r="877" s="60" customFormat="1" x14ac:dyDescent="0.25"/>
    <row r="878" s="60" customFormat="1" x14ac:dyDescent="0.25"/>
    <row r="879" s="60" customFormat="1" x14ac:dyDescent="0.25"/>
    <row r="880" s="60" customFormat="1" x14ac:dyDescent="0.25"/>
    <row r="881" s="60" customFormat="1" x14ac:dyDescent="0.25"/>
    <row r="882" s="60" customFormat="1" x14ac:dyDescent="0.25"/>
    <row r="883" s="60" customFormat="1" x14ac:dyDescent="0.25"/>
    <row r="884" s="60" customFormat="1" x14ac:dyDescent="0.25"/>
    <row r="885" s="60" customFormat="1" x14ac:dyDescent="0.25"/>
    <row r="886" s="60" customFormat="1" x14ac:dyDescent="0.25"/>
    <row r="887" s="60" customFormat="1" x14ac:dyDescent="0.25"/>
    <row r="888" s="60" customFormat="1" x14ac:dyDescent="0.25"/>
    <row r="889" s="60" customFormat="1" x14ac:dyDescent="0.25"/>
    <row r="890" s="60" customFormat="1" x14ac:dyDescent="0.25"/>
    <row r="891" s="60" customFormat="1" x14ac:dyDescent="0.25"/>
    <row r="892" s="60" customFormat="1" x14ac:dyDescent="0.25"/>
    <row r="893" s="60" customFormat="1" x14ac:dyDescent="0.25"/>
    <row r="894" s="60" customFormat="1" x14ac:dyDescent="0.25"/>
    <row r="895" s="60" customFormat="1" x14ac:dyDescent="0.25"/>
    <row r="896" s="60" customFormat="1" x14ac:dyDescent="0.25"/>
    <row r="897" s="60" customFormat="1" x14ac:dyDescent="0.25"/>
    <row r="898" s="60" customFormat="1" x14ac:dyDescent="0.25"/>
    <row r="899" s="60" customFormat="1" x14ac:dyDescent="0.25"/>
    <row r="900" s="60" customFormat="1" x14ac:dyDescent="0.25"/>
    <row r="901" s="60" customFormat="1" x14ac:dyDescent="0.25"/>
    <row r="902" s="60" customFormat="1" x14ac:dyDescent="0.25"/>
    <row r="903" s="60" customFormat="1" x14ac:dyDescent="0.25"/>
    <row r="904" s="60" customFormat="1" x14ac:dyDescent="0.25"/>
    <row r="905" s="60" customFormat="1" x14ac:dyDescent="0.25"/>
    <row r="906" s="60" customFormat="1" x14ac:dyDescent="0.25"/>
    <row r="907" s="60" customFormat="1" x14ac:dyDescent="0.25"/>
    <row r="908" s="60" customFormat="1" x14ac:dyDescent="0.25"/>
    <row r="909" s="60" customFormat="1" x14ac:dyDescent="0.25"/>
    <row r="910" s="60" customFormat="1" x14ac:dyDescent="0.25"/>
    <row r="911" s="60" customFormat="1" x14ac:dyDescent="0.25"/>
    <row r="912" s="60" customFormat="1" x14ac:dyDescent="0.25"/>
    <row r="913" s="60" customFormat="1" x14ac:dyDescent="0.25"/>
    <row r="914" s="60" customFormat="1" x14ac:dyDescent="0.25"/>
    <row r="915" s="60" customFormat="1" x14ac:dyDescent="0.25"/>
    <row r="916" s="60" customFormat="1" x14ac:dyDescent="0.25"/>
    <row r="917" s="60" customFormat="1" x14ac:dyDescent="0.25"/>
    <row r="918" s="60" customFormat="1" x14ac:dyDescent="0.25"/>
    <row r="919" s="60" customFormat="1" x14ac:dyDescent="0.25"/>
    <row r="920" s="60" customFormat="1" x14ac:dyDescent="0.25"/>
    <row r="921" s="60" customFormat="1" x14ac:dyDescent="0.25"/>
    <row r="922" s="60" customFormat="1" x14ac:dyDescent="0.25"/>
    <row r="923" s="60" customFormat="1" x14ac:dyDescent="0.25"/>
    <row r="924" s="60" customFormat="1" x14ac:dyDescent="0.25"/>
    <row r="925" s="60" customFormat="1" x14ac:dyDescent="0.25"/>
    <row r="926" s="60" customFormat="1" x14ac:dyDescent="0.25"/>
    <row r="927" s="60" customFormat="1" x14ac:dyDescent="0.25"/>
    <row r="928" s="60" customFormat="1" x14ac:dyDescent="0.25"/>
    <row r="929" s="60" customFormat="1" x14ac:dyDescent="0.25"/>
    <row r="930" s="60" customFormat="1" x14ac:dyDescent="0.25"/>
    <row r="931" s="60" customFormat="1" x14ac:dyDescent="0.25"/>
    <row r="932" s="60" customFormat="1" x14ac:dyDescent="0.25"/>
    <row r="933" s="60" customFormat="1" x14ac:dyDescent="0.25"/>
    <row r="934" s="60" customFormat="1" x14ac:dyDescent="0.25"/>
    <row r="935" s="60" customFormat="1" x14ac:dyDescent="0.25"/>
    <row r="936" s="60" customFormat="1" x14ac:dyDescent="0.25"/>
    <row r="937" s="60" customFormat="1" x14ac:dyDescent="0.25"/>
    <row r="938" s="60" customFormat="1" x14ac:dyDescent="0.25"/>
    <row r="939" s="60" customFormat="1" x14ac:dyDescent="0.25"/>
    <row r="940" s="60" customFormat="1" x14ac:dyDescent="0.25"/>
    <row r="941" s="60" customFormat="1" x14ac:dyDescent="0.25"/>
    <row r="942" s="60" customFormat="1" x14ac:dyDescent="0.25"/>
    <row r="943" s="60" customFormat="1" x14ac:dyDescent="0.25"/>
    <row r="944" s="60" customFormat="1" x14ac:dyDescent="0.25"/>
    <row r="945" s="60" customFormat="1" x14ac:dyDescent="0.25"/>
    <row r="946" s="60" customFormat="1" x14ac:dyDescent="0.25"/>
    <row r="947" s="60" customFormat="1" x14ac:dyDescent="0.25"/>
    <row r="948" s="60" customFormat="1" x14ac:dyDescent="0.25"/>
    <row r="949" s="60" customFormat="1" x14ac:dyDescent="0.25"/>
    <row r="950" s="60" customFormat="1" x14ac:dyDescent="0.25"/>
    <row r="951" s="60" customFormat="1" x14ac:dyDescent="0.25"/>
    <row r="952" s="60" customFormat="1" x14ac:dyDescent="0.25"/>
    <row r="953" s="60" customFormat="1" x14ac:dyDescent="0.25"/>
    <row r="954" s="60" customFormat="1" x14ac:dyDescent="0.25"/>
    <row r="955" s="60" customFormat="1" x14ac:dyDescent="0.25"/>
    <row r="956" s="60" customFormat="1" x14ac:dyDescent="0.25"/>
    <row r="957" s="60" customFormat="1" x14ac:dyDescent="0.25"/>
    <row r="958" s="60" customFormat="1" x14ac:dyDescent="0.25"/>
    <row r="959" s="60" customFormat="1" x14ac:dyDescent="0.25"/>
    <row r="960" s="60" customFormat="1" x14ac:dyDescent="0.25"/>
    <row r="961" s="60" customFormat="1" x14ac:dyDescent="0.25"/>
    <row r="962" s="60" customFormat="1" x14ac:dyDescent="0.25"/>
    <row r="963" s="60" customFormat="1" x14ac:dyDescent="0.25"/>
    <row r="964" s="60" customFormat="1" x14ac:dyDescent="0.25"/>
    <row r="965" s="60" customFormat="1" x14ac:dyDescent="0.25"/>
    <row r="966" s="60" customFormat="1" x14ac:dyDescent="0.25"/>
    <row r="967" s="60" customFormat="1" x14ac:dyDescent="0.25"/>
    <row r="968" s="60" customFormat="1" x14ac:dyDescent="0.25"/>
    <row r="969" s="60" customFormat="1" x14ac:dyDescent="0.25"/>
    <row r="970" s="60" customFormat="1" x14ac:dyDescent="0.25"/>
    <row r="971" s="60" customFormat="1" x14ac:dyDescent="0.25"/>
    <row r="972" s="60" customFormat="1" x14ac:dyDescent="0.25"/>
    <row r="973" s="60" customFormat="1" x14ac:dyDescent="0.25"/>
    <row r="974" s="60" customFormat="1" x14ac:dyDescent="0.25"/>
    <row r="975" s="60" customFormat="1" x14ac:dyDescent="0.25"/>
    <row r="976" s="60" customFormat="1" x14ac:dyDescent="0.25"/>
    <row r="977" s="60" customFormat="1" x14ac:dyDescent="0.25"/>
    <row r="978" s="60" customFormat="1" x14ac:dyDescent="0.25"/>
    <row r="979" s="60" customFormat="1" x14ac:dyDescent="0.25"/>
    <row r="980" s="60" customFormat="1" x14ac:dyDescent="0.25"/>
    <row r="981" s="60" customFormat="1" x14ac:dyDescent="0.25"/>
    <row r="982" s="60" customFormat="1" x14ac:dyDescent="0.25"/>
    <row r="983" s="60" customFormat="1" x14ac:dyDescent="0.25"/>
    <row r="984" s="60" customFormat="1" x14ac:dyDescent="0.25"/>
    <row r="985" s="60" customFormat="1" x14ac:dyDescent="0.25"/>
    <row r="986" s="60" customFormat="1" x14ac:dyDescent="0.25"/>
    <row r="987" s="60" customFormat="1" x14ac:dyDescent="0.25"/>
    <row r="988" s="60" customFormat="1" x14ac:dyDescent="0.25"/>
    <row r="989" s="60" customFormat="1" x14ac:dyDescent="0.25"/>
    <row r="990" s="60" customFormat="1" x14ac:dyDescent="0.25"/>
    <row r="991" s="60" customFormat="1" x14ac:dyDescent="0.25"/>
    <row r="992" s="60" customFormat="1" x14ac:dyDescent="0.25"/>
    <row r="993" s="60" customFormat="1" x14ac:dyDescent="0.25"/>
    <row r="994" s="60" customFormat="1" x14ac:dyDescent="0.25"/>
    <row r="995" s="60" customFormat="1" x14ac:dyDescent="0.25"/>
    <row r="996" s="60" customFormat="1" x14ac:dyDescent="0.25"/>
    <row r="997" s="60" customFormat="1" x14ac:dyDescent="0.25"/>
    <row r="998" s="60" customFormat="1" x14ac:dyDescent="0.25"/>
    <row r="999" s="60" customFormat="1" x14ac:dyDescent="0.25"/>
    <row r="1000" s="60" customFormat="1" x14ac:dyDescent="0.25"/>
    <row r="1001" s="60" customFormat="1" x14ac:dyDescent="0.25"/>
    <row r="1002" s="60" customFormat="1" x14ac:dyDescent="0.25"/>
    <row r="1003" s="60" customFormat="1" x14ac:dyDescent="0.25"/>
    <row r="1004" s="60" customFormat="1" x14ac:dyDescent="0.25"/>
    <row r="1005" s="60" customFormat="1" x14ac:dyDescent="0.25"/>
    <row r="1006" s="60" customFormat="1" x14ac:dyDescent="0.25"/>
    <row r="1007" s="60" customFormat="1" x14ac:dyDescent="0.25"/>
    <row r="1008" s="60" customFormat="1" x14ac:dyDescent="0.25"/>
    <row r="1009" s="60" customFormat="1" x14ac:dyDescent="0.25"/>
    <row r="1010" s="60" customFormat="1" x14ac:dyDescent="0.25"/>
    <row r="1011" s="60" customFormat="1" x14ac:dyDescent="0.25"/>
    <row r="1012" s="60" customFormat="1" x14ac:dyDescent="0.25"/>
    <row r="1013" s="60" customFormat="1" x14ac:dyDescent="0.25"/>
    <row r="1014" s="60" customFormat="1" x14ac:dyDescent="0.25"/>
    <row r="1015" s="60" customFormat="1" x14ac:dyDescent="0.25"/>
    <row r="1016" s="60" customFormat="1" x14ac:dyDescent="0.25"/>
    <row r="1017" s="60" customFormat="1" x14ac:dyDescent="0.25"/>
    <row r="1018" s="60" customFormat="1" x14ac:dyDescent="0.25"/>
    <row r="1019" s="60" customFormat="1" x14ac:dyDescent="0.25"/>
    <row r="1020" s="60" customFormat="1" x14ac:dyDescent="0.25"/>
    <row r="1021" s="60" customFormat="1" x14ac:dyDescent="0.25"/>
    <row r="1022" s="60" customFormat="1" x14ac:dyDescent="0.25"/>
    <row r="1023" s="60" customFormat="1" x14ac:dyDescent="0.25"/>
    <row r="1024" s="60" customFormat="1" x14ac:dyDescent="0.25"/>
    <row r="1025" s="60" customFormat="1" x14ac:dyDescent="0.25"/>
    <row r="1026" s="60" customFormat="1" x14ac:dyDescent="0.25"/>
    <row r="1027" s="60" customFormat="1" x14ac:dyDescent="0.25"/>
    <row r="1028" s="60" customFormat="1" x14ac:dyDescent="0.25"/>
    <row r="1029" s="60" customFormat="1" x14ac:dyDescent="0.25"/>
    <row r="1030" s="60" customFormat="1" x14ac:dyDescent="0.25"/>
    <row r="1031" s="60" customFormat="1" x14ac:dyDescent="0.25"/>
    <row r="1032" s="60" customFormat="1" x14ac:dyDescent="0.25"/>
    <row r="1033" s="60" customFormat="1" x14ac:dyDescent="0.25"/>
    <row r="1034" s="60" customFormat="1" x14ac:dyDescent="0.25"/>
    <row r="1035" s="60" customFormat="1" x14ac:dyDescent="0.25"/>
    <row r="1036" s="60" customFormat="1" x14ac:dyDescent="0.25"/>
    <row r="1037" s="60" customFormat="1" x14ac:dyDescent="0.25"/>
    <row r="1038" s="60" customFormat="1" x14ac:dyDescent="0.25"/>
    <row r="1039" s="60" customFormat="1" x14ac:dyDescent="0.25"/>
    <row r="1040" s="60" customFormat="1" x14ac:dyDescent="0.25"/>
    <row r="1041" s="60" customFormat="1" x14ac:dyDescent="0.25"/>
    <row r="1042" s="60" customFormat="1" x14ac:dyDescent="0.25"/>
    <row r="1043" s="60" customFormat="1" x14ac:dyDescent="0.25"/>
    <row r="1044" s="60" customFormat="1" x14ac:dyDescent="0.25"/>
    <row r="1045" s="60" customFormat="1" x14ac:dyDescent="0.25"/>
    <row r="1046" s="60" customFormat="1" x14ac:dyDescent="0.25"/>
    <row r="1047" s="60" customFormat="1" x14ac:dyDescent="0.25"/>
    <row r="1048" s="60" customFormat="1" x14ac:dyDescent="0.25"/>
    <row r="1049" s="60" customFormat="1" x14ac:dyDescent="0.25"/>
    <row r="1050" s="60" customFormat="1" x14ac:dyDescent="0.25"/>
    <row r="1051" s="60" customFormat="1" x14ac:dyDescent="0.25"/>
    <row r="1052" s="60" customFormat="1" x14ac:dyDescent="0.25"/>
    <row r="1053" s="60" customFormat="1" x14ac:dyDescent="0.25"/>
    <row r="1054" s="60" customFormat="1" x14ac:dyDescent="0.25"/>
    <row r="1055" s="60" customFormat="1" x14ac:dyDescent="0.25"/>
    <row r="1056" s="60" customFormat="1" x14ac:dyDescent="0.25"/>
    <row r="1057" s="60" customFormat="1" x14ac:dyDescent="0.25"/>
    <row r="1058" s="60" customFormat="1" x14ac:dyDescent="0.25"/>
    <row r="1059" s="60" customFormat="1" x14ac:dyDescent="0.25"/>
    <row r="1060" s="60" customFormat="1" x14ac:dyDescent="0.25"/>
    <row r="1061" s="60" customFormat="1" x14ac:dyDescent="0.25"/>
    <row r="1062" s="60" customFormat="1" x14ac:dyDescent="0.25"/>
    <row r="1063" s="60" customFormat="1" x14ac:dyDescent="0.25"/>
    <row r="1064" s="60" customFormat="1" x14ac:dyDescent="0.25"/>
    <row r="1065" s="60" customFormat="1" x14ac:dyDescent="0.25"/>
    <row r="1066" s="60" customFormat="1" x14ac:dyDescent="0.25"/>
    <row r="1067" s="60" customFormat="1" x14ac:dyDescent="0.25"/>
    <row r="1068" s="60" customFormat="1" x14ac:dyDescent="0.25"/>
    <row r="1069" s="60" customFormat="1" x14ac:dyDescent="0.25"/>
    <row r="1070" s="60" customFormat="1" x14ac:dyDescent="0.25"/>
    <row r="1071" s="60" customFormat="1" x14ac:dyDescent="0.25"/>
    <row r="1072" s="60" customFormat="1" x14ac:dyDescent="0.25"/>
    <row r="1073" s="60" customFormat="1" x14ac:dyDescent="0.25"/>
    <row r="1074" s="60" customFormat="1" x14ac:dyDescent="0.25"/>
    <row r="1075" s="60" customFormat="1" x14ac:dyDescent="0.25"/>
    <row r="1076" s="60" customFormat="1" x14ac:dyDescent="0.25"/>
    <row r="1077" s="60" customFormat="1" x14ac:dyDescent="0.25"/>
    <row r="1078" s="60" customFormat="1" x14ac:dyDescent="0.25"/>
    <row r="1079" s="60" customFormat="1" x14ac:dyDescent="0.25"/>
    <row r="1080" s="60" customFormat="1" x14ac:dyDescent="0.25"/>
    <row r="1081" s="60" customFormat="1" x14ac:dyDescent="0.25"/>
    <row r="1082" s="60" customFormat="1" x14ac:dyDescent="0.25"/>
    <row r="1083" s="60" customFormat="1" x14ac:dyDescent="0.25"/>
    <row r="1084" s="60" customFormat="1" x14ac:dyDescent="0.25"/>
    <row r="1085" s="60" customFormat="1" x14ac:dyDescent="0.25"/>
    <row r="1086" s="60" customFormat="1" x14ac:dyDescent="0.25"/>
    <row r="1087" s="60" customFormat="1" x14ac:dyDescent="0.25"/>
    <row r="1088" s="60" customFormat="1" x14ac:dyDescent="0.25"/>
    <row r="1089" s="60" customFormat="1" x14ac:dyDescent="0.25"/>
    <row r="1090" s="60" customFormat="1" x14ac:dyDescent="0.25"/>
    <row r="1091" s="60" customFormat="1" x14ac:dyDescent="0.25"/>
    <row r="1092" s="60" customFormat="1" x14ac:dyDescent="0.25"/>
    <row r="1093" s="60" customFormat="1" x14ac:dyDescent="0.25"/>
    <row r="1094" s="60" customFormat="1" x14ac:dyDescent="0.25"/>
    <row r="1095" s="60" customFormat="1" x14ac:dyDescent="0.25"/>
    <row r="1096" s="60" customFormat="1" x14ac:dyDescent="0.25"/>
    <row r="1097" s="60" customFormat="1" x14ac:dyDescent="0.25"/>
    <row r="1098" s="60" customFormat="1" x14ac:dyDescent="0.25"/>
    <row r="1099" s="60" customFormat="1" x14ac:dyDescent="0.25"/>
    <row r="1100" s="60" customFormat="1" x14ac:dyDescent="0.25"/>
    <row r="1101" s="60" customFormat="1" x14ac:dyDescent="0.25"/>
    <row r="1102" s="60" customFormat="1" x14ac:dyDescent="0.25"/>
    <row r="1103" s="60" customFormat="1" x14ac:dyDescent="0.25"/>
    <row r="1104" s="60" customFormat="1" x14ac:dyDescent="0.25"/>
    <row r="1105" s="60" customFormat="1" x14ac:dyDescent="0.25"/>
    <row r="1106" s="60" customFormat="1" x14ac:dyDescent="0.25"/>
    <row r="1107" s="60" customFormat="1" x14ac:dyDescent="0.25"/>
    <row r="1108" s="60" customFormat="1" x14ac:dyDescent="0.25"/>
    <row r="1109" s="60" customFormat="1" x14ac:dyDescent="0.25"/>
    <row r="1110" s="60" customFormat="1" x14ac:dyDescent="0.25"/>
    <row r="1111" s="60" customFormat="1" x14ac:dyDescent="0.25"/>
    <row r="1112" s="60" customFormat="1" x14ac:dyDescent="0.25"/>
    <row r="1113" s="60" customFormat="1" x14ac:dyDescent="0.25"/>
    <row r="1114" s="60" customFormat="1" x14ac:dyDescent="0.25"/>
    <row r="1115" s="60" customFormat="1" x14ac:dyDescent="0.25"/>
    <row r="1116" s="60" customFormat="1" x14ac:dyDescent="0.25"/>
    <row r="1117" s="60" customFormat="1" x14ac:dyDescent="0.25"/>
    <row r="1118" s="60" customFormat="1" x14ac:dyDescent="0.25"/>
    <row r="1119" s="60" customFormat="1" x14ac:dyDescent="0.25"/>
    <row r="1120" s="60" customFormat="1" x14ac:dyDescent="0.25"/>
    <row r="1121" s="60" customFormat="1" x14ac:dyDescent="0.25"/>
    <row r="1122" s="60" customFormat="1" x14ac:dyDescent="0.25"/>
    <row r="1123" s="60" customFormat="1" x14ac:dyDescent="0.25"/>
    <row r="1124" s="60" customFormat="1" x14ac:dyDescent="0.25"/>
    <row r="1125" s="60" customFormat="1" x14ac:dyDescent="0.25"/>
    <row r="1126" s="60" customFormat="1" x14ac:dyDescent="0.25"/>
    <row r="1127" s="60" customFormat="1" x14ac:dyDescent="0.25"/>
    <row r="1128" s="60" customFormat="1" x14ac:dyDescent="0.25"/>
    <row r="1129" s="60" customFormat="1" x14ac:dyDescent="0.25"/>
    <row r="1130" s="60" customFormat="1" x14ac:dyDescent="0.25"/>
    <row r="1131" s="60" customFormat="1" x14ac:dyDescent="0.25"/>
    <row r="1132" s="60" customFormat="1" x14ac:dyDescent="0.25"/>
    <row r="1133" s="60" customFormat="1" x14ac:dyDescent="0.25"/>
    <row r="1134" s="60" customFormat="1" x14ac:dyDescent="0.25"/>
    <row r="1135" s="60" customFormat="1" x14ac:dyDescent="0.25"/>
    <row r="1136" s="60" customFormat="1" x14ac:dyDescent="0.25"/>
    <row r="1137" s="60" customFormat="1" x14ac:dyDescent="0.25"/>
    <row r="1138" s="60" customFormat="1" x14ac:dyDescent="0.25"/>
    <row r="1139" s="60" customFormat="1" x14ac:dyDescent="0.25"/>
    <row r="1140" s="60" customFormat="1" x14ac:dyDescent="0.25"/>
    <row r="1141" s="60" customFormat="1" x14ac:dyDescent="0.25"/>
    <row r="1142" s="60" customFormat="1" x14ac:dyDescent="0.25"/>
    <row r="1143" s="60" customFormat="1" x14ac:dyDescent="0.25"/>
    <row r="1144" s="60" customFormat="1" x14ac:dyDescent="0.25"/>
    <row r="1145" s="60" customFormat="1" x14ac:dyDescent="0.25"/>
    <row r="1146" s="60" customFormat="1" x14ac:dyDescent="0.25"/>
    <row r="1147" s="60" customFormat="1" x14ac:dyDescent="0.25"/>
    <row r="1148" s="60" customFormat="1" x14ac:dyDescent="0.25"/>
    <row r="1149" s="60" customFormat="1" x14ac:dyDescent="0.25"/>
    <row r="1150" s="60" customFormat="1" x14ac:dyDescent="0.25"/>
    <row r="1151" s="60" customFormat="1" x14ac:dyDescent="0.25"/>
    <row r="1152" s="60" customFormat="1" x14ac:dyDescent="0.25"/>
    <row r="1153" s="60" customFormat="1" x14ac:dyDescent="0.25"/>
    <row r="1154" s="60" customFormat="1" x14ac:dyDescent="0.25"/>
    <row r="1155" s="60" customFormat="1" x14ac:dyDescent="0.25"/>
    <row r="1156" s="60" customFormat="1" x14ac:dyDescent="0.25"/>
    <row r="1157" s="60" customFormat="1" x14ac:dyDescent="0.25"/>
    <row r="1158" s="60" customFormat="1" x14ac:dyDescent="0.25"/>
    <row r="1159" s="60" customFormat="1" x14ac:dyDescent="0.25"/>
    <row r="1160" s="60" customFormat="1" x14ac:dyDescent="0.25"/>
    <row r="1161" s="60" customFormat="1" x14ac:dyDescent="0.25"/>
    <row r="1162" s="60" customFormat="1" x14ac:dyDescent="0.25"/>
    <row r="1163" s="60" customFormat="1" x14ac:dyDescent="0.25"/>
    <row r="1164" s="60" customFormat="1" x14ac:dyDescent="0.25"/>
    <row r="1165" s="60" customFormat="1" x14ac:dyDescent="0.25"/>
    <row r="1166" s="60" customFormat="1" x14ac:dyDescent="0.25"/>
    <row r="1167" s="60" customFormat="1" x14ac:dyDescent="0.25"/>
    <row r="1168" s="60" customFormat="1" x14ac:dyDescent="0.25"/>
    <row r="1169" s="60" customFormat="1" x14ac:dyDescent="0.25"/>
    <row r="1170" s="60" customFormat="1" x14ac:dyDescent="0.25"/>
    <row r="1171" s="60" customFormat="1" x14ac:dyDescent="0.25"/>
    <row r="1172" s="60" customFormat="1" x14ac:dyDescent="0.25"/>
    <row r="1173" s="60" customFormat="1" x14ac:dyDescent="0.25"/>
    <row r="1174" s="60" customFormat="1" x14ac:dyDescent="0.25"/>
    <row r="1175" s="60" customFormat="1" x14ac:dyDescent="0.25"/>
    <row r="1176" s="60" customFormat="1" x14ac:dyDescent="0.25"/>
    <row r="1177" s="60" customFormat="1" x14ac:dyDescent="0.25"/>
    <row r="1178" s="60" customFormat="1" x14ac:dyDescent="0.25"/>
    <row r="1179" s="60" customFormat="1" x14ac:dyDescent="0.25"/>
    <row r="1180" s="60" customFormat="1" x14ac:dyDescent="0.25"/>
    <row r="1181" s="60" customFormat="1" x14ac:dyDescent="0.25"/>
    <row r="1182" s="60" customFormat="1" x14ac:dyDescent="0.25"/>
    <row r="1183" s="60" customFormat="1" x14ac:dyDescent="0.25"/>
    <row r="1184" s="60" customFormat="1" x14ac:dyDescent="0.25"/>
    <row r="1185" s="60" customFormat="1" x14ac:dyDescent="0.25"/>
    <row r="1186" s="60" customFormat="1" x14ac:dyDescent="0.25"/>
    <row r="1187" s="60" customFormat="1" x14ac:dyDescent="0.25"/>
    <row r="1188" s="60" customFormat="1" x14ac:dyDescent="0.25"/>
    <row r="1189" s="60" customFormat="1" x14ac:dyDescent="0.25"/>
    <row r="1190" s="60" customFormat="1" x14ac:dyDescent="0.25"/>
    <row r="1191" s="60" customFormat="1" x14ac:dyDescent="0.25"/>
    <row r="1192" s="60" customFormat="1" x14ac:dyDescent="0.25"/>
    <row r="1193" s="60" customFormat="1" x14ac:dyDescent="0.25"/>
    <row r="1194" s="60" customFormat="1" x14ac:dyDescent="0.25"/>
    <row r="1195" s="60" customFormat="1" x14ac:dyDescent="0.25"/>
    <row r="1196" s="60" customFormat="1" x14ac:dyDescent="0.25"/>
    <row r="1197" s="60" customFormat="1" x14ac:dyDescent="0.25"/>
    <row r="1198" s="60" customFormat="1" x14ac:dyDescent="0.25"/>
    <row r="1199" s="60" customFormat="1" x14ac:dyDescent="0.25"/>
    <row r="1200" s="60" customFormat="1" x14ac:dyDescent="0.25"/>
    <row r="1201" s="60" customFormat="1" x14ac:dyDescent="0.25"/>
    <row r="1202" s="60" customFormat="1" x14ac:dyDescent="0.25"/>
    <row r="1203" s="60" customFormat="1" x14ac:dyDescent="0.25"/>
    <row r="1204" s="60" customFormat="1" x14ac:dyDescent="0.25"/>
    <row r="1205" s="60" customFormat="1" x14ac:dyDescent="0.25"/>
    <row r="1206" s="60" customFormat="1" x14ac:dyDescent="0.25"/>
    <row r="1207" s="60" customFormat="1" x14ac:dyDescent="0.25"/>
    <row r="1208" s="60" customFormat="1" x14ac:dyDescent="0.25"/>
    <row r="1209" s="60" customFormat="1" x14ac:dyDescent="0.25"/>
    <row r="1210" s="60" customFormat="1" x14ac:dyDescent="0.25"/>
    <row r="1211" s="60" customFormat="1" x14ac:dyDescent="0.25"/>
    <row r="1212" s="60" customFormat="1" x14ac:dyDescent="0.25"/>
    <row r="1213" s="60" customFormat="1" x14ac:dyDescent="0.25"/>
    <row r="1214" s="60" customFormat="1" x14ac:dyDescent="0.25"/>
    <row r="1215" s="60" customFormat="1" x14ac:dyDescent="0.25"/>
    <row r="1216" s="60" customFormat="1" x14ac:dyDescent="0.25"/>
    <row r="1217" s="60" customFormat="1" x14ac:dyDescent="0.25"/>
    <row r="1218" s="60" customFormat="1" x14ac:dyDescent="0.25"/>
    <row r="1219" s="60" customFormat="1" x14ac:dyDescent="0.25"/>
    <row r="1220" s="60" customFormat="1" x14ac:dyDescent="0.25"/>
    <row r="1221" s="60" customFormat="1" x14ac:dyDescent="0.25"/>
    <row r="1222" s="60" customFormat="1" x14ac:dyDescent="0.25"/>
    <row r="1223" s="60" customFormat="1" x14ac:dyDescent="0.25"/>
    <row r="1224" s="60" customFormat="1" x14ac:dyDescent="0.25"/>
    <row r="1225" s="60" customFormat="1" x14ac:dyDescent="0.25"/>
    <row r="1226" s="60" customFormat="1" x14ac:dyDescent="0.25"/>
    <row r="1227" s="60" customFormat="1" x14ac:dyDescent="0.25"/>
    <row r="1228" s="60" customFormat="1" x14ac:dyDescent="0.25"/>
    <row r="1229" s="60" customFormat="1" x14ac:dyDescent="0.25"/>
    <row r="1230" s="60" customFormat="1" x14ac:dyDescent="0.25"/>
    <row r="1231" s="60" customFormat="1" x14ac:dyDescent="0.25"/>
    <row r="1232" s="60" customFormat="1" x14ac:dyDescent="0.25"/>
    <row r="1233" s="60" customFormat="1" x14ac:dyDescent="0.25"/>
    <row r="1234" s="60" customFormat="1" x14ac:dyDescent="0.25"/>
    <row r="1235" s="60" customFormat="1" x14ac:dyDescent="0.25"/>
    <row r="1236" s="60" customFormat="1" x14ac:dyDescent="0.25"/>
    <row r="1237" s="60" customFormat="1" x14ac:dyDescent="0.25"/>
    <row r="1238" s="60" customFormat="1" x14ac:dyDescent="0.25"/>
    <row r="1239" s="60" customFormat="1" x14ac:dyDescent="0.25"/>
    <row r="1240" s="60" customFormat="1" x14ac:dyDescent="0.25"/>
    <row r="1241" s="60" customFormat="1" x14ac:dyDescent="0.25"/>
    <row r="1242" s="60" customFormat="1" x14ac:dyDescent="0.25"/>
    <row r="1243" s="60" customFormat="1" x14ac:dyDescent="0.25"/>
    <row r="1244" s="60" customFormat="1" x14ac:dyDescent="0.25"/>
    <row r="1245" s="60" customFormat="1" x14ac:dyDescent="0.25"/>
    <row r="1246" s="60" customFormat="1" x14ac:dyDescent="0.25"/>
    <row r="1247" s="60" customFormat="1" x14ac:dyDescent="0.25"/>
    <row r="1248" s="60" customFormat="1" x14ac:dyDescent="0.25"/>
    <row r="1249" s="60" customFormat="1" x14ac:dyDescent="0.25"/>
    <row r="1250" s="60" customFormat="1" x14ac:dyDescent="0.25"/>
    <row r="1251" s="60" customFormat="1" x14ac:dyDescent="0.25"/>
    <row r="1252" s="60" customFormat="1" x14ac:dyDescent="0.25"/>
    <row r="1253" s="60" customFormat="1" x14ac:dyDescent="0.25"/>
    <row r="1254" s="60" customFormat="1" x14ac:dyDescent="0.25"/>
    <row r="1255" s="60" customFormat="1" x14ac:dyDescent="0.25"/>
    <row r="1256" s="60" customFormat="1" x14ac:dyDescent="0.25"/>
    <row r="1257" s="60" customFormat="1" x14ac:dyDescent="0.25"/>
    <row r="1258" s="60" customFormat="1" x14ac:dyDescent="0.25"/>
    <row r="1259" s="60" customFormat="1" x14ac:dyDescent="0.25"/>
    <row r="1260" s="60" customFormat="1" x14ac:dyDescent="0.25"/>
    <row r="1261" s="60" customFormat="1" x14ac:dyDescent="0.25"/>
    <row r="1262" s="60" customFormat="1" x14ac:dyDescent="0.25"/>
    <row r="1263" s="60" customFormat="1" x14ac:dyDescent="0.25"/>
    <row r="1264" s="60" customFormat="1" x14ac:dyDescent="0.25"/>
    <row r="1265" s="60" customFormat="1" x14ac:dyDescent="0.25"/>
    <row r="1266" s="60" customFormat="1" x14ac:dyDescent="0.25"/>
    <row r="1267" s="60" customFormat="1" x14ac:dyDescent="0.25"/>
    <row r="1268" s="60" customFormat="1" x14ac:dyDescent="0.25"/>
    <row r="1269" s="60" customFormat="1" x14ac:dyDescent="0.25"/>
    <row r="1270" s="60" customFormat="1" x14ac:dyDescent="0.25"/>
    <row r="1271" s="60" customFormat="1" x14ac:dyDescent="0.25"/>
    <row r="1272" s="60" customFormat="1" x14ac:dyDescent="0.25"/>
    <row r="1273" s="60" customFormat="1" x14ac:dyDescent="0.25"/>
    <row r="1274" s="60" customFormat="1" x14ac:dyDescent="0.25"/>
    <row r="1275" s="60" customFormat="1" x14ac:dyDescent="0.25"/>
    <row r="1276" s="60" customFormat="1" x14ac:dyDescent="0.25"/>
    <row r="1277" s="60" customFormat="1" x14ac:dyDescent="0.25"/>
    <row r="1278" s="60" customFormat="1" x14ac:dyDescent="0.25"/>
    <row r="1279" s="60" customFormat="1" x14ac:dyDescent="0.25"/>
    <row r="1280" s="60" customFormat="1" x14ac:dyDescent="0.25"/>
    <row r="1281" s="60" customFormat="1" x14ac:dyDescent="0.25"/>
    <row r="1282" s="60" customFormat="1" x14ac:dyDescent="0.25"/>
    <row r="1283" s="60" customFormat="1" x14ac:dyDescent="0.25"/>
    <row r="1284" s="60" customFormat="1" x14ac:dyDescent="0.25"/>
    <row r="1285" s="60" customFormat="1" x14ac:dyDescent="0.25"/>
    <row r="1286" s="60" customFormat="1" x14ac:dyDescent="0.25"/>
    <row r="1287" s="60" customFormat="1" x14ac:dyDescent="0.25"/>
    <row r="1288" s="60" customFormat="1" x14ac:dyDescent="0.25"/>
    <row r="1289" s="60" customFormat="1" x14ac:dyDescent="0.25"/>
    <row r="1290" s="60" customFormat="1" x14ac:dyDescent="0.25"/>
    <row r="1291" s="60" customFormat="1" x14ac:dyDescent="0.25"/>
    <row r="1292" s="60" customFormat="1" x14ac:dyDescent="0.25"/>
    <row r="1293" s="60" customFormat="1" x14ac:dyDescent="0.25"/>
    <row r="1294" s="60" customFormat="1" x14ac:dyDescent="0.25"/>
    <row r="1295" s="60" customFormat="1" x14ac:dyDescent="0.25"/>
    <row r="1296" s="60" customFormat="1" x14ac:dyDescent="0.25"/>
    <row r="1297" s="60" customFormat="1" x14ac:dyDescent="0.25"/>
    <row r="1298" s="60" customFormat="1" x14ac:dyDescent="0.25"/>
    <row r="1299" s="60" customFormat="1" x14ac:dyDescent="0.25"/>
    <row r="1300" s="60" customFormat="1" x14ac:dyDescent="0.25"/>
    <row r="1301" s="60" customFormat="1" x14ac:dyDescent="0.25"/>
    <row r="1302" s="60" customFormat="1" x14ac:dyDescent="0.25"/>
    <row r="1303" s="60" customFormat="1" x14ac:dyDescent="0.25"/>
    <row r="1304" s="60" customFormat="1" x14ac:dyDescent="0.25"/>
    <row r="1305" s="60" customFormat="1" x14ac:dyDescent="0.25"/>
    <row r="1306" s="60" customFormat="1" x14ac:dyDescent="0.25"/>
    <row r="1307" s="60" customFormat="1" x14ac:dyDescent="0.25"/>
    <row r="1308" s="60" customFormat="1" x14ac:dyDescent="0.25"/>
    <row r="1309" s="60" customFormat="1" x14ac:dyDescent="0.25"/>
    <row r="1310" s="60" customFormat="1" x14ac:dyDescent="0.25"/>
    <row r="1311" s="60" customFormat="1" x14ac:dyDescent="0.25"/>
    <row r="1312" s="60" customFormat="1" x14ac:dyDescent="0.25"/>
    <row r="1313" s="60" customFormat="1" x14ac:dyDescent="0.25"/>
    <row r="1314" s="60" customFormat="1" x14ac:dyDescent="0.25"/>
    <row r="1315" s="60" customFormat="1" x14ac:dyDescent="0.25"/>
    <row r="1316" s="60" customFormat="1" x14ac:dyDescent="0.25"/>
    <row r="1317" s="60" customFormat="1" x14ac:dyDescent="0.25"/>
    <row r="1318" s="60" customFormat="1" x14ac:dyDescent="0.25"/>
    <row r="1319" s="60" customFormat="1" x14ac:dyDescent="0.25"/>
    <row r="1320" s="60" customFormat="1" x14ac:dyDescent="0.25"/>
    <row r="1321" s="60" customFormat="1" x14ac:dyDescent="0.25"/>
    <row r="1322" s="60" customFormat="1" x14ac:dyDescent="0.25"/>
    <row r="1323" s="60" customFormat="1" x14ac:dyDescent="0.25"/>
    <row r="1324" s="60" customFormat="1" x14ac:dyDescent="0.25"/>
    <row r="1325" s="60" customFormat="1" x14ac:dyDescent="0.25"/>
    <row r="1326" s="60" customFormat="1" x14ac:dyDescent="0.25"/>
    <row r="1327" s="60" customFormat="1" x14ac:dyDescent="0.25"/>
    <row r="1328" s="60" customFormat="1" x14ac:dyDescent="0.25"/>
    <row r="1329" s="60" customFormat="1" x14ac:dyDescent="0.25"/>
    <row r="1330" s="60" customFormat="1" x14ac:dyDescent="0.25"/>
    <row r="1331" s="60" customFormat="1" x14ac:dyDescent="0.25"/>
    <row r="1332" s="60" customFormat="1" x14ac:dyDescent="0.25"/>
    <row r="1333" s="60" customFormat="1" x14ac:dyDescent="0.25"/>
    <row r="1334" s="60" customFormat="1" x14ac:dyDescent="0.25"/>
    <row r="1335" s="60" customFormat="1" x14ac:dyDescent="0.25"/>
    <row r="1336" s="60" customFormat="1" x14ac:dyDescent="0.25"/>
    <row r="1337" s="60" customFormat="1" x14ac:dyDescent="0.25"/>
    <row r="1338" s="60" customFormat="1" x14ac:dyDescent="0.25"/>
    <row r="1339" s="60" customFormat="1" x14ac:dyDescent="0.25"/>
    <row r="1340" s="60" customFormat="1" x14ac:dyDescent="0.25"/>
    <row r="1341" s="60" customFormat="1" x14ac:dyDescent="0.25"/>
    <row r="1342" s="60" customFormat="1" x14ac:dyDescent="0.25"/>
    <row r="1343" s="60" customFormat="1" x14ac:dyDescent="0.25"/>
    <row r="1344" s="60" customFormat="1" x14ac:dyDescent="0.25"/>
    <row r="1345" s="60" customFormat="1" x14ac:dyDescent="0.25"/>
    <row r="1346" s="60" customFormat="1" x14ac:dyDescent="0.25"/>
    <row r="1347" s="60" customFormat="1" x14ac:dyDescent="0.25"/>
    <row r="1348" s="60" customFormat="1" x14ac:dyDescent="0.25"/>
    <row r="1349" s="60" customFormat="1" x14ac:dyDescent="0.25"/>
    <row r="1350" s="60" customFormat="1" x14ac:dyDescent="0.25"/>
    <row r="1351" s="60" customFormat="1" x14ac:dyDescent="0.25"/>
    <row r="1352" s="60" customFormat="1" x14ac:dyDescent="0.25"/>
    <row r="1353" s="60" customFormat="1" x14ac:dyDescent="0.25"/>
    <row r="1354" s="60" customFormat="1" x14ac:dyDescent="0.25"/>
    <row r="1355" s="60" customFormat="1" x14ac:dyDescent="0.25"/>
    <row r="1356" s="60" customFormat="1" x14ac:dyDescent="0.25"/>
    <row r="1357" s="60" customFormat="1" x14ac:dyDescent="0.25"/>
    <row r="1358" s="60" customFormat="1" x14ac:dyDescent="0.25"/>
    <row r="1359" s="60" customFormat="1" x14ac:dyDescent="0.25"/>
    <row r="1360" s="60" customFormat="1" x14ac:dyDescent="0.25"/>
    <row r="1361" s="60" customFormat="1" x14ac:dyDescent="0.25"/>
    <row r="1362" s="60" customFormat="1" x14ac:dyDescent="0.25"/>
    <row r="1363" s="60" customFormat="1" x14ac:dyDescent="0.25"/>
    <row r="1364" s="60" customFormat="1" x14ac:dyDescent="0.25"/>
    <row r="1365" s="60" customFormat="1" x14ac:dyDescent="0.25"/>
    <row r="1366" s="60" customFormat="1" x14ac:dyDescent="0.25"/>
    <row r="1367" s="60" customFormat="1" x14ac:dyDescent="0.25"/>
    <row r="1368" s="60" customFormat="1" x14ac:dyDescent="0.25"/>
    <row r="1369" s="60" customFormat="1" x14ac:dyDescent="0.25"/>
    <row r="1370" s="60" customFormat="1" x14ac:dyDescent="0.25"/>
    <row r="1371" s="60" customFormat="1" x14ac:dyDescent="0.25"/>
    <row r="1372" s="60" customFormat="1" x14ac:dyDescent="0.25"/>
    <row r="1373" s="60" customFormat="1" x14ac:dyDescent="0.25"/>
    <row r="1374" s="60" customFormat="1" x14ac:dyDescent="0.25"/>
    <row r="1375" s="60" customFormat="1" x14ac:dyDescent="0.25"/>
    <row r="1376" s="60" customFormat="1" x14ac:dyDescent="0.25"/>
    <row r="1377" s="60" customFormat="1" x14ac:dyDescent="0.25"/>
    <row r="1378" s="60" customFormat="1" x14ac:dyDescent="0.25"/>
    <row r="1379" s="60" customFormat="1" x14ac:dyDescent="0.25"/>
    <row r="1380" s="60" customFormat="1" x14ac:dyDescent="0.25"/>
    <row r="1381" s="60" customFormat="1" x14ac:dyDescent="0.25"/>
    <row r="1382" s="60" customFormat="1" x14ac:dyDescent="0.25"/>
    <row r="1383" s="60" customFormat="1" x14ac:dyDescent="0.25"/>
    <row r="1384" s="60" customFormat="1" x14ac:dyDescent="0.25"/>
    <row r="1385" s="60" customFormat="1" x14ac:dyDescent="0.25"/>
    <row r="1386" s="60" customFormat="1" x14ac:dyDescent="0.25"/>
    <row r="1387" s="60" customFormat="1" x14ac:dyDescent="0.25"/>
    <row r="1388" s="60" customFormat="1" x14ac:dyDescent="0.25"/>
    <row r="1389" s="60" customFormat="1" x14ac:dyDescent="0.25"/>
    <row r="1390" s="60" customFormat="1" x14ac:dyDescent="0.25"/>
    <row r="1391" s="60" customFormat="1" x14ac:dyDescent="0.25"/>
    <row r="1392" s="60" customFormat="1" x14ac:dyDescent="0.25"/>
    <row r="1393" s="60" customFormat="1" x14ac:dyDescent="0.25"/>
    <row r="1394" s="60" customFormat="1" x14ac:dyDescent="0.25"/>
    <row r="1395" s="60" customFormat="1" x14ac:dyDescent="0.25"/>
    <row r="1396" s="60" customFormat="1" x14ac:dyDescent="0.25"/>
    <row r="1397" s="60" customFormat="1" x14ac:dyDescent="0.25"/>
    <row r="1398" s="60" customFormat="1" x14ac:dyDescent="0.25"/>
    <row r="1399" s="60" customFormat="1" x14ac:dyDescent="0.25"/>
    <row r="1400" s="60" customFormat="1" x14ac:dyDescent="0.25"/>
    <row r="1401" s="60" customFormat="1" x14ac:dyDescent="0.25"/>
    <row r="1402" s="60" customFormat="1" x14ac:dyDescent="0.25"/>
    <row r="1403" s="60" customFormat="1" x14ac:dyDescent="0.25"/>
    <row r="1404" s="60" customFormat="1" x14ac:dyDescent="0.25"/>
    <row r="1405" s="60" customFormat="1" x14ac:dyDescent="0.25"/>
    <row r="1406" s="60" customFormat="1" x14ac:dyDescent="0.25"/>
    <row r="1407" s="60" customFormat="1" x14ac:dyDescent="0.25"/>
    <row r="1408" s="60" customFormat="1" x14ac:dyDescent="0.25"/>
    <row r="1409" s="60" customFormat="1" x14ac:dyDescent="0.25"/>
    <row r="1410" s="60" customFormat="1" x14ac:dyDescent="0.25"/>
    <row r="1411" s="60" customFormat="1" x14ac:dyDescent="0.25"/>
    <row r="1412" s="60" customFormat="1" x14ac:dyDescent="0.25"/>
    <row r="1413" s="60" customFormat="1" x14ac:dyDescent="0.25"/>
    <row r="1414" s="60" customFormat="1" x14ac:dyDescent="0.25"/>
    <row r="1415" s="60" customFormat="1" x14ac:dyDescent="0.25"/>
    <row r="1416" s="60" customFormat="1" x14ac:dyDescent="0.25"/>
    <row r="1417" s="60" customFormat="1" x14ac:dyDescent="0.25"/>
    <row r="1418" s="60" customFormat="1" x14ac:dyDescent="0.25"/>
    <row r="1419" s="60" customFormat="1" x14ac:dyDescent="0.25"/>
    <row r="1420" s="60" customFormat="1" x14ac:dyDescent="0.25"/>
    <row r="1421" s="60" customFormat="1" x14ac:dyDescent="0.25"/>
    <row r="1422" s="60" customFormat="1" x14ac:dyDescent="0.25"/>
    <row r="1423" s="60" customFormat="1" x14ac:dyDescent="0.25"/>
    <row r="1424" s="60" customFormat="1" x14ac:dyDescent="0.25"/>
    <row r="1425" s="60" customFormat="1" x14ac:dyDescent="0.25"/>
    <row r="1426" s="60" customFormat="1" x14ac:dyDescent="0.25"/>
    <row r="1427" s="60" customFormat="1" x14ac:dyDescent="0.25"/>
    <row r="1428" s="60" customFormat="1" x14ac:dyDescent="0.25"/>
    <row r="1429" s="60" customFormat="1" x14ac:dyDescent="0.25"/>
    <row r="1430" s="60" customFormat="1" x14ac:dyDescent="0.25"/>
    <row r="1431" s="60" customFormat="1" x14ac:dyDescent="0.25"/>
    <row r="1432" s="60" customFormat="1" x14ac:dyDescent="0.25"/>
    <row r="1433" s="60" customFormat="1" x14ac:dyDescent="0.25"/>
    <row r="1434" s="60" customFormat="1" x14ac:dyDescent="0.25"/>
    <row r="1435" s="60" customFormat="1" x14ac:dyDescent="0.25"/>
    <row r="1436" s="60" customFormat="1" x14ac:dyDescent="0.25"/>
    <row r="1437" s="60" customFormat="1" x14ac:dyDescent="0.25"/>
    <row r="1438" s="60" customFormat="1" x14ac:dyDescent="0.25"/>
    <row r="1439" s="60" customFormat="1" x14ac:dyDescent="0.25"/>
    <row r="1440" s="60" customFormat="1" x14ac:dyDescent="0.25"/>
    <row r="1441" s="60" customFormat="1" x14ac:dyDescent="0.25"/>
    <row r="1442" s="60" customFormat="1" x14ac:dyDescent="0.25"/>
    <row r="1443" s="60" customFormat="1" x14ac:dyDescent="0.25"/>
    <row r="1444" s="60" customFormat="1" x14ac:dyDescent="0.25"/>
    <row r="1445" s="60" customFormat="1" x14ac:dyDescent="0.25"/>
    <row r="1446" s="60" customFormat="1" x14ac:dyDescent="0.25"/>
    <row r="1447" s="60" customFormat="1" x14ac:dyDescent="0.25"/>
    <row r="1448" s="60" customFormat="1" x14ac:dyDescent="0.25"/>
    <row r="1449" s="60" customFormat="1" x14ac:dyDescent="0.25"/>
    <row r="1450" s="60" customFormat="1" x14ac:dyDescent="0.25"/>
    <row r="1451" s="60" customFormat="1" x14ac:dyDescent="0.25"/>
    <row r="1452" s="60" customFormat="1" x14ac:dyDescent="0.25"/>
    <row r="1453" s="60" customFormat="1" x14ac:dyDescent="0.25"/>
    <row r="1454" s="60" customFormat="1" x14ac:dyDescent="0.25"/>
    <row r="1455" s="60" customFormat="1" x14ac:dyDescent="0.25"/>
    <row r="1456" s="60" customFormat="1" x14ac:dyDescent="0.25"/>
    <row r="1457" s="60" customFormat="1" x14ac:dyDescent="0.25"/>
    <row r="1458" s="60" customFormat="1" x14ac:dyDescent="0.25"/>
    <row r="1459" s="60" customFormat="1" x14ac:dyDescent="0.25"/>
    <row r="1460" s="60" customFormat="1" x14ac:dyDescent="0.25"/>
    <row r="1461" s="60" customFormat="1" x14ac:dyDescent="0.25"/>
    <row r="1462" s="60" customFormat="1" x14ac:dyDescent="0.25"/>
    <row r="1463" s="60" customFormat="1" x14ac:dyDescent="0.25"/>
    <row r="1464" s="60" customFormat="1" x14ac:dyDescent="0.25"/>
    <row r="1465" s="60" customFormat="1" x14ac:dyDescent="0.25"/>
    <row r="1466" s="60" customFormat="1" x14ac:dyDescent="0.25"/>
    <row r="1467" s="60" customFormat="1" x14ac:dyDescent="0.25"/>
    <row r="1468" s="60" customFormat="1" x14ac:dyDescent="0.25"/>
    <row r="1469" s="60" customFormat="1" x14ac:dyDescent="0.25"/>
    <row r="1470" s="60" customFormat="1" x14ac:dyDescent="0.25"/>
    <row r="1471" s="60" customFormat="1" x14ac:dyDescent="0.25"/>
    <row r="1472" s="60" customFormat="1" x14ac:dyDescent="0.25"/>
    <row r="1473" s="60" customFormat="1" x14ac:dyDescent="0.25"/>
    <row r="1474" s="60" customFormat="1" x14ac:dyDescent="0.25"/>
    <row r="1475" s="60" customFormat="1" x14ac:dyDescent="0.25"/>
    <row r="1476" s="60" customFormat="1" x14ac:dyDescent="0.25"/>
    <row r="1477" s="60" customFormat="1" x14ac:dyDescent="0.25"/>
    <row r="1478" s="60" customFormat="1" x14ac:dyDescent="0.25"/>
    <row r="1479" s="60" customFormat="1" x14ac:dyDescent="0.25"/>
    <row r="1480" s="60" customFormat="1" x14ac:dyDescent="0.25"/>
    <row r="1481" s="60" customFormat="1" x14ac:dyDescent="0.25"/>
    <row r="1482" s="60" customFormat="1" x14ac:dyDescent="0.25"/>
    <row r="1483" s="60" customFormat="1" x14ac:dyDescent="0.25"/>
    <row r="1484" s="60" customFormat="1" x14ac:dyDescent="0.25"/>
    <row r="1485" s="60" customFormat="1" x14ac:dyDescent="0.25"/>
    <row r="1486" s="60" customFormat="1" x14ac:dyDescent="0.25"/>
  </sheetData>
  <mergeCells count="18">
    <mergeCell ref="A62:I62"/>
    <mergeCell ref="A63:I63"/>
    <mergeCell ref="A64:I64"/>
    <mergeCell ref="A65:I65"/>
    <mergeCell ref="A66:A67"/>
    <mergeCell ref="I66:I67"/>
    <mergeCell ref="A31:I31"/>
    <mergeCell ref="A32:I32"/>
    <mergeCell ref="A33:I33"/>
    <mergeCell ref="A34:I34"/>
    <mergeCell ref="A35:A36"/>
    <mergeCell ref="I35:I36"/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scale="49" orientation="portrait" r:id="rId1"/>
  <rowBreaks count="1" manualBreakCount="1">
    <brk id="74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9.12</vt:lpstr>
      <vt:lpstr>'9.12'!Print_Area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2023-07-20T07:15:30Z</cp:lastPrinted>
  <dcterms:created xsi:type="dcterms:W3CDTF">2019-09-09T05:11:24Z</dcterms:created>
  <dcterms:modified xsi:type="dcterms:W3CDTF">2023-07-20T07:15:41Z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