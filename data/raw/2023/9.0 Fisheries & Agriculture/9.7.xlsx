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BC8E31B7-A8E6-4637-B871-698DA9641F1C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7" sheetId="1" r:id="rId1"/>
  </sheets>
  <definedNames>
    <definedName name="_xlnm.Print_Area" localSheetId="0">'9.7'!$A$1:$L$22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B7" i="1"/>
</calcChain>
</file>

<file path=xl/sharedStrings.xml><?xml version="1.0" encoding="utf-8"?>
<sst xmlns="http://schemas.openxmlformats.org/spreadsheetml/2006/main" count="51" uniqueCount="50">
  <si>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</si>
  <si>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</si>
  <si>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</si>
  <si>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</si>
  <si>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</si>
  <si>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</si>
  <si>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</si>
  <si>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</si>
  <si>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</si>
  <si>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</si>
  <si>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</si>
  <si>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</si>
  <si>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</si>
  <si>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ތާވަލު 9.7: އެކިމަސްމަހުގައި ގަތް ތާޒާމަސް، 2014 - 2022</t>
  </si>
  <si>
    <t>Table 9.7: Monthly Fresh Tuna Purchased, 2014 - 2022</t>
  </si>
  <si>
    <t>(މެޓްރިކްޓަނުން)</t>
  </si>
  <si>
    <t>In metrictons (t)</t>
  </si>
  <si>
    <r>
      <t xml:space="preserve"> Purchased    </t>
    </r>
    <r>
      <rPr>
        <b/>
        <sz val="10"/>
        <rFont val="A_Faseyha"/>
      </rPr>
      <t xml:space="preserve">cswmWzWtctwg        </t>
    </r>
  </si>
  <si>
    <t>މަސް</t>
  </si>
  <si>
    <t>TOTAL</t>
  </si>
  <si>
    <t>ޖުމްލަ</t>
  </si>
  <si>
    <t>ޖެނުއަރީ</t>
  </si>
  <si>
    <t>Jan</t>
  </si>
  <si>
    <t>ފެބްރުއަރީ</t>
  </si>
  <si>
    <t>Feb</t>
  </si>
  <si>
    <t>މާރޗް</t>
  </si>
  <si>
    <t>Mar</t>
  </si>
  <si>
    <t>އެޕްރީލް</t>
  </si>
  <si>
    <t>Apr</t>
  </si>
  <si>
    <t>މެއި</t>
  </si>
  <si>
    <t>ޖޫން</t>
  </si>
  <si>
    <t>Jun</t>
  </si>
  <si>
    <t>ޖުލައި</t>
  </si>
  <si>
    <t>Jul</t>
  </si>
  <si>
    <t>އޯގަސްޓް</t>
  </si>
  <si>
    <t>Aug</t>
  </si>
  <si>
    <t>ސެޕްޓެމްބަރ</t>
  </si>
  <si>
    <t>Sep</t>
  </si>
  <si>
    <t>އޮކްޓޯބަރ</t>
  </si>
  <si>
    <t>Oct</t>
  </si>
  <si>
    <t>ނޮވެމްބަރ</t>
  </si>
  <si>
    <t>Nov</t>
  </si>
  <si>
    <t>ޑިސެމްބަރ</t>
  </si>
  <si>
    <t>Dec</t>
  </si>
  <si>
    <t>Source: Purchasing companies</t>
  </si>
  <si>
    <t>މަޢުލޫމާތު ދެއްވި ފަރާތް: މަސްގަންނަ ކުންފުނިތައް</t>
  </si>
  <si>
    <t xml:space="preserve">Compiled by: Statistics Unit, </t>
  </si>
  <si>
    <t>ތާވަލް ތައްޔާރުކުރެއްވި ފަރާތް: ސްޓެޓިސްޓިކްސް ޔުނިޓް،</t>
  </si>
  <si>
    <t xml:space="preserve"> Ministry of Fisheries, Marine Resources and Agriculture</t>
  </si>
  <si>
    <t>މިނިސްޓްރީ އޮފް ފިޝަރީޒް، މެރިންރިސޯސަސް އެންޑް އެގްރިކަލްޗަރ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</si>
</sst>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#,##0.0"/>
    <numFmt numFmtId="170" formatCode="[$-409]mmmm\ d\,\ yyyy;@"/>
  </numFmts>
  <fonts count="2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sz val="9.5"/>
      <name val="Courier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9"/>
      <name val="Faruma"/>
      <family val="3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b/>
      <sz val="12"/>
      <name val="Faruma"/>
      <family val="3"/>
    </font>
    <font>
      <sz val="11"/>
      <color rgb="FFFF0000"/>
      <name val="Calibri"/>
      <family val="2"/>
      <scheme val="minor"/>
    </font>
    <font>
      <sz val="10"/>
      <name val="Faruma"/>
      <family val="3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rgb="FFFF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40" fontId="14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5" fillId="0" borderId="0"/>
  </cellStyleXfs>
  <cellXfs count="41">
    <xf numFmtId="0" fontId="0" fillId="0" borderId="0" xfId="0"/>
    <xf numFmtId="0" fontId="12" fillId="2" borderId="2" xfId="0" applyFont="1" applyFill="1" applyBorder="1" applyAlignment="1">
      <alignment horizontal="right" vertical="center"/>
    </xf>
    <xf numFmtId="4" fontId="11" fillId="2" borderId="2" xfId="0" applyNumberFormat="1" applyFont="1" applyFill="1" applyBorder="1" applyAlignment="1">
      <alignment horizontal="left" vertical="center"/>
    </xf>
    <xf numFmtId="4" fontId="11" fillId="2" borderId="1" xfId="0" applyNumberFormat="1" applyFont="1" applyFill="1" applyBorder="1" applyAlignment="1">
      <alignment horizontal="left" vertical="center"/>
    </xf>
    <xf numFmtId="4" fontId="11" fillId="2" borderId="4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 vertical="center" wrapText="1"/>
    </xf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3" fillId="2" borderId="0" xfId="1" applyFont="1" applyFill="1" applyAlignment="1">
      <alignment vertical="center"/>
    </xf>
    <xf numFmtId="165" fontId="4" fillId="2" borderId="0" xfId="1" applyNumberFormat="1" applyFont="1" applyFill="1" applyAlignment="1" applyProtection="1">
      <alignment horizontal="right" vertical="center"/>
      <protection locked="0"/>
    </xf>
    <xf numFmtId="165" fontId="6" fillId="2" borderId="0" xfId="1" applyNumberFormat="1" applyFont="1" applyFill="1" applyAlignment="1" applyProtection="1">
      <alignment horizontal="right" vertical="center"/>
      <protection locked="0"/>
    </xf>
    <xf numFmtId="164" fontId="8" fillId="2" borderId="0" xfId="1" applyFont="1" applyFill="1" applyAlignment="1">
      <alignment horizontal="right" vertical="center"/>
    </xf>
    <xf numFmtId="164" fontId="10" fillId="2" borderId="0" xfId="1" applyFont="1" applyFill="1" applyAlignment="1">
      <alignment vertical="center"/>
    </xf>
    <xf numFmtId="0" fontId="0" fillId="2" borderId="0" xfId="0" applyFill="1"/>
    <xf numFmtId="1" fontId="11" fillId="2" borderId="3" xfId="0" applyNumberFormat="1" applyFont="1" applyFill="1" applyBorder="1" applyAlignment="1">
      <alignment horizontal="right" vertical="center"/>
    </xf>
    <xf numFmtId="38" fontId="13" fillId="2" borderId="0" xfId="2" applyNumberFormat="1" applyFont="1" applyFill="1" applyAlignment="1" applyProtection="1">
      <alignment horizontal="left" vertical="center"/>
      <protection locked="0"/>
    </xf>
    <xf numFmtId="3" fontId="21" fillId="2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" fontId="15" fillId="2" borderId="0" xfId="0" applyNumberFormat="1" applyFont="1" applyFill="1" applyAlignment="1">
      <alignment horizontal="left" indent="1"/>
    </xf>
    <xf numFmtId="3" fontId="22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65" fontId="11" fillId="2" borderId="5" xfId="0" applyNumberFormat="1" applyFont="1" applyFill="1" applyBorder="1" applyAlignment="1" applyProtection="1">
      <alignment horizontal="center" vertical="center"/>
      <protection hidden="1"/>
    </xf>
    <xf numFmtId="0" fontId="18" fillId="2" borderId="0" xfId="0" applyFont="1" applyFill="1"/>
    <xf numFmtId="1" fontId="15" fillId="2" borderId="1" xfId="0" applyNumberFormat="1" applyFont="1" applyFill="1" applyBorder="1" applyAlignment="1">
      <alignment horizontal="left" indent="1"/>
    </xf>
    <xf numFmtId="3" fontId="22" fillId="2" borderId="1" xfId="0" applyNumberFormat="1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right" vertical="center"/>
    </xf>
    <xf numFmtId="0" fontId="7" fillId="2" borderId="0" xfId="0" applyFont="1" applyFill="1"/>
    <xf numFmtId="0" fontId="9" fillId="2" borderId="0" xfId="0" applyFont="1" applyFill="1"/>
    <xf numFmtId="0" fontId="2" fillId="2" borderId="0" xfId="0" applyFont="1" applyFill="1"/>
    <xf numFmtId="0" fontId="8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4" fillId="2" borderId="0" xfId="0" applyFont="1" applyFill="1"/>
    <xf numFmtId="3" fontId="0" fillId="2" borderId="0" xfId="0" applyNumberFormat="1" applyFill="1"/>
    <xf numFmtId="0" fontId="5" fillId="2" borderId="0" xfId="0" applyFont="1" applyFill="1" applyAlignment="1" applyProtection="1">
      <alignment vertical="center"/>
      <protection hidden="1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12-4300-84F4-DEF518FD09D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A12-4300-84F4-DEF518FD09D4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A12-4300-84F4-DEF518FD0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964248"/>
        <c:axId val="333965032"/>
      </c:barChart>
      <c:catAx>
        <c:axId val="333964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65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3965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64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" r="0.75000000000000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E9A-4180-89C3-49FCB272BA6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E9A-4180-89C3-49FCB272BA63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DE9A-4180-89C3-49FCB272B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960720"/>
        <c:axId val="333961504"/>
      </c:barChart>
      <c:catAx>
        <c:axId val="333960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61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3961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60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" r="0.75000000000000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B79-4CF9-AB09-589292F857A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B79-4CF9-AB09-589292F857A3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9B79-4CF9-AB09-589292F85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963464"/>
        <c:axId val="333963072"/>
      </c:barChart>
      <c:catAx>
        <c:axId val="333963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63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3963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63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515-4F7E-B46E-139E2A58891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515-4F7E-B46E-139E2A588918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A515-4F7E-B46E-139E2A588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962288"/>
        <c:axId val="333962680"/>
      </c:barChart>
      <c:catAx>
        <c:axId val="33396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62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3962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62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F4E-46FE-854F-AF2714417B24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F4E-46FE-854F-AF2714417B24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F4E-46FE-854F-AF2714417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965816"/>
        <c:axId val="333959544"/>
      </c:barChart>
      <c:catAx>
        <c:axId val="333965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59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3959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3965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" r="0.75000000000000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B02-45C9-A7F1-AE4C7214015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B02-45C9-A7F1-AE4C72140150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B02-45C9-A7F1-AE4C72140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20128"/>
        <c:axId val="138721696"/>
      </c:barChart>
      <c:catAx>
        <c:axId val="13872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721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72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720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" r="0.75000000000000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015-46F8-93C7-68F24A55919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015-46F8-93C7-68F24A559195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A015-46F8-93C7-68F24A559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21304"/>
        <c:axId val="138718560"/>
      </c:barChart>
      <c:catAx>
        <c:axId val="138721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718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718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721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71F-42FB-8B8F-723BFAA0900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71F-42FB-8B8F-723BFAA09005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071F-42FB-8B8F-723BFAA09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363136"/>
        <c:axId val="421365880"/>
      </c:barChart>
      <c:catAx>
        <c:axId val="42136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365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1365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1363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555" r="0.750000000000005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1440180</xdr:colOff>
      <xdr:row>22</xdr:row>
      <xdr:rowOff>0</xdr:rowOff>
    </xdr:from>
    <xdr:to>
      <xdr:col>1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1440180</xdr:colOff>
      <xdr:row>22</xdr:row>
      <xdr:rowOff>0</xdr:rowOff>
    </xdr:from>
    <xdr:to>
      <xdr:col>1</xdr:col>
      <xdr:colOff>0</xdr:colOff>
      <xdr:row>22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1440180</xdr:colOff>
      <xdr:row>22</xdr:row>
      <xdr:rowOff>0</xdr:rowOff>
    </xdr:from>
    <xdr:to>
      <xdr:col>1</xdr:col>
      <xdr:colOff>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1440180</xdr:colOff>
      <xdr:row>22</xdr:row>
      <xdr:rowOff>0</xdr:rowOff>
    </xdr:from>
    <xdr:to>
      <xdr:col>1</xdr:col>
      <xdr:colOff>0</xdr:colOff>
      <xdr:row>22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1440180</xdr:colOff>
      <xdr:row>21</xdr:row>
      <xdr:rowOff>0</xdr:rowOff>
    </xdr:from>
    <xdr:to>
      <xdr:col>4</xdr:col>
      <xdr:colOff>0</xdr:colOff>
      <xdr:row>21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1440180</xdr:colOff>
      <xdr:row>21</xdr:row>
      <xdr:rowOff>0</xdr:rowOff>
    </xdr:from>
    <xdr:to>
      <xdr:col>4</xdr:col>
      <xdr:colOff>0</xdr:colOff>
      <xdr:row>21</xdr:row>
      <xdr:rowOff>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1440180</xdr:colOff>
      <xdr:row>21</xdr:row>
      <xdr:rowOff>0</xdr:rowOff>
    </xdr:from>
    <xdr:to>
      <xdr:col>4</xdr:col>
      <xdr:colOff>0</xdr:colOff>
      <xdr:row>21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1440180</xdr:colOff>
      <xdr:row>21</xdr:row>
      <xdr:rowOff>0</xdr:rowOff>
    </xdr:from>
    <xdr:to>
      <xdr:col>4</xdr:col>
      <xdr:colOff>0</xdr:colOff>
      <xdr:row>21</xdr:row>
      <xdr:rowOff>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6"/>
  <sheetViews>
    <sheetView tabSelected="1" zoomScale="89" zoomScaleNormal="89" workbookViewId="0">
      <selection activeCell="S33" sqref="S33"/>
    </sheetView>
  </sheetViews>
  <sheetFormatPr defaultColWidth="8.85546875" defaultRowHeight="12" x14ac:dyDescent="0.25"/>
  <cols>
    <col min="1" max="1" width="17.42578125" style="10" customWidth="1"/>
    <col min="2" max="10" width="11.5703125" style="10" customWidth="1"/>
    <col min="11" max="11" width="30.28515625" style="10" customWidth="1"/>
    <col min="12" max="19" width="7" style="10" customWidth="1"/>
    <col min="20" max="20" width="8.85546875" style="10" bestFit="1" customWidth="1"/>
    <col min="21" max="26" width="7.28515625" style="10" customWidth="1"/>
    <col min="27" max="31" width="7.42578125" style="10" customWidth="1"/>
    <col min="32" max="32" width="41.7109375" style="10" customWidth="1"/>
    <col min="33" max="16384" width="8.85546875" style="10"/>
  </cols>
  <sheetData>
    <row r="1" spans="1:61" ht="21.75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</row>
    <row r="2" spans="1:61" ht="15.75" customHeight="1" x14ac:dyDescent="0.25">
      <c r="A2" s="8" t="s">
        <v>14</v>
      </c>
      <c r="B2" s="8"/>
      <c r="C2" s="8"/>
      <c r="D2" s="8"/>
      <c r="E2" s="8"/>
      <c r="F2" s="8"/>
      <c r="G2" s="8"/>
      <c r="H2" s="8"/>
      <c r="I2" s="8"/>
      <c r="J2" s="8"/>
      <c r="K2" s="8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ht="18.75" x14ac:dyDescent="0.25">
      <c r="A3" s="9" t="s">
        <v>15</v>
      </c>
      <c r="B3" s="9"/>
      <c r="C3" s="9"/>
      <c r="D3" s="9"/>
      <c r="E3" s="9"/>
      <c r="F3" s="9"/>
      <c r="G3" s="9"/>
      <c r="H3" s="9"/>
      <c r="I3" s="9"/>
      <c r="J3" s="9"/>
      <c r="K3" s="9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</row>
    <row r="4" spans="1:61" ht="15" x14ac:dyDescent="0.25">
      <c r="A4" s="7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1" ht="15.75" x14ac:dyDescent="0.25">
      <c r="A5" s="2" t="s">
        <v>0</v>
      </c>
      <c r="B5" s="4" t="s">
        <v>17</v>
      </c>
      <c r="C5" s="4"/>
      <c r="D5" s="4"/>
      <c r="E5" s="4"/>
      <c r="F5" s="4"/>
      <c r="G5" s="4"/>
      <c r="H5" s="4"/>
      <c r="I5" s="4"/>
      <c r="J5" s="4"/>
      <c r="K5" s="1" t="s">
        <v>18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</row>
    <row r="6" spans="1:61" ht="15" x14ac:dyDescent="0.25">
      <c r="A6" s="3"/>
      <c r="B6" s="18">
        <v>2014</v>
      </c>
      <c r="C6" s="18">
        <v>2015</v>
      </c>
      <c r="D6" s="18">
        <v>2016</v>
      </c>
      <c r="E6" s="18">
        <v>2017</v>
      </c>
      <c r="F6" s="18">
        <v>2018</v>
      </c>
      <c r="G6" s="18">
        <v>2019</v>
      </c>
      <c r="H6" s="18">
        <v>2020</v>
      </c>
      <c r="I6" s="18">
        <v>2021</v>
      </c>
      <c r="J6" s="18">
        <v>2022</v>
      </c>
      <c r="K6" s="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2" customFormat="1" ht="19.5" customHeight="1" x14ac:dyDescent="0.25">
      <c r="A7" s="19" t="s">
        <v>19</v>
      </c>
      <c r="B7" s="20">
        <f>SUM(B8:B19)</f>
        <v>50511.167105346387</v>
      </c>
      <c r="C7" s="20">
        <f t="shared" ref="C7:J7" si="0">SUM(C8:C19)</f>
        <v>45235.160591439198</v>
      </c>
      <c r="D7" s="20">
        <f t="shared" si="0"/>
        <v>53875.950018537958</v>
      </c>
      <c r="E7" s="20">
        <f t="shared" si="0"/>
        <v>76620.719259999983</v>
      </c>
      <c r="F7" s="20">
        <f t="shared" si="0"/>
        <v>78886.13721999999</v>
      </c>
      <c r="G7" s="20">
        <f t="shared" si="0"/>
        <v>84237.085239999986</v>
      </c>
      <c r="H7" s="20">
        <f t="shared" si="0"/>
        <v>85091.302280000018</v>
      </c>
      <c r="I7" s="20">
        <f t="shared" si="0"/>
        <v>88313.160260000048</v>
      </c>
      <c r="J7" s="20">
        <f t="shared" si="0"/>
        <v>81033.39691000001</v>
      </c>
      <c r="K7" s="21" t="s">
        <v>20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</row>
    <row r="8" spans="1:61" ht="25.5" customHeight="1" x14ac:dyDescent="0.25">
      <c r="A8" s="22" t="s">
        <v>1</v>
      </c>
      <c r="B8" s="23">
        <v>6427.6346399999957</v>
      </c>
      <c r="C8" s="23">
        <v>7005.5622908703162</v>
      </c>
      <c r="D8" s="23">
        <v>3547.4878672424238</v>
      </c>
      <c r="E8" s="23">
        <v>8385.2395499999984</v>
      </c>
      <c r="F8" s="23">
        <v>8743.6588799999972</v>
      </c>
      <c r="G8" s="23">
        <v>6523.0436100000006</v>
      </c>
      <c r="H8" s="23">
        <v>4134.0285699999995</v>
      </c>
      <c r="I8" s="23">
        <v>9164.3906200000038</v>
      </c>
      <c r="J8" s="23">
        <v>8802.910410000004</v>
      </c>
      <c r="K8" s="24" t="s">
        <v>21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25" t="s">
        <v>22</v>
      </c>
      <c r="BF8" s="17"/>
      <c r="BG8" s="17"/>
      <c r="BH8" s="17"/>
      <c r="BI8" s="26"/>
    </row>
    <row r="9" spans="1:61" ht="25.5" customHeight="1" x14ac:dyDescent="0.25">
      <c r="A9" s="22" t="s">
        <v>2</v>
      </c>
      <c r="B9" s="23">
        <v>3337.3280439999999</v>
      </c>
      <c r="C9" s="23">
        <v>3432.4047981818185</v>
      </c>
      <c r="D9" s="23">
        <v>3700.1932358455538</v>
      </c>
      <c r="E9" s="23">
        <v>6537.4725400000016</v>
      </c>
      <c r="F9" s="23">
        <v>5954.8143700000001</v>
      </c>
      <c r="G9" s="23">
        <v>8987.2074699999994</v>
      </c>
      <c r="H9" s="23">
        <v>7188.4901399999981</v>
      </c>
      <c r="I9" s="23">
        <v>8663.6771600000084</v>
      </c>
      <c r="J9" s="23">
        <v>9251.1706800000011</v>
      </c>
      <c r="K9" s="24" t="s">
        <v>23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25" t="s">
        <v>24</v>
      </c>
      <c r="BF9" s="17"/>
      <c r="BG9" s="17"/>
      <c r="BH9" s="17"/>
      <c r="BI9" s="17"/>
    </row>
    <row r="10" spans="1:61" ht="25.5" customHeight="1" x14ac:dyDescent="0.25">
      <c r="A10" s="22" t="s">
        <v>3</v>
      </c>
      <c r="B10" s="23">
        <v>2850.1987300000042</v>
      </c>
      <c r="C10" s="23">
        <v>3232.3788616976231</v>
      </c>
      <c r="D10" s="23">
        <v>4344.6222404040418</v>
      </c>
      <c r="E10" s="23">
        <v>6336.2513199999994</v>
      </c>
      <c r="F10" s="23">
        <v>7078.495469999998</v>
      </c>
      <c r="G10" s="23">
        <v>10165.657089999999</v>
      </c>
      <c r="H10" s="23">
        <v>10706.605470000002</v>
      </c>
      <c r="I10" s="23">
        <v>7357.6551999999974</v>
      </c>
      <c r="J10" s="23">
        <v>6534.5910000000031</v>
      </c>
      <c r="K10" s="24" t="s">
        <v>25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25" t="s">
        <v>26</v>
      </c>
      <c r="BF10" s="17"/>
      <c r="BG10" s="17"/>
      <c r="BH10" s="17"/>
      <c r="BI10" s="17"/>
    </row>
    <row r="11" spans="1:61" ht="25.5" customHeight="1" x14ac:dyDescent="0.25">
      <c r="A11" s="22" t="s">
        <v>4</v>
      </c>
      <c r="B11" s="23">
        <v>6818.7001700000001</v>
      </c>
      <c r="C11" s="23">
        <v>6238.2860586999041</v>
      </c>
      <c r="D11" s="23">
        <v>7413.7048332277618</v>
      </c>
      <c r="E11" s="23">
        <v>7958.81142</v>
      </c>
      <c r="F11" s="23">
        <v>10419.583229999998</v>
      </c>
      <c r="G11" s="23">
        <v>10978.011440000004</v>
      </c>
      <c r="H11" s="23">
        <v>5960.3085899999996</v>
      </c>
      <c r="I11" s="23">
        <v>7689.6057400000045</v>
      </c>
      <c r="J11" s="23">
        <v>9875.7429000000029</v>
      </c>
      <c r="K11" s="24" t="s">
        <v>27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25" t="s">
        <v>28</v>
      </c>
      <c r="BF11" s="17"/>
      <c r="BG11" s="17"/>
      <c r="BH11" s="17"/>
      <c r="BI11" s="17"/>
    </row>
    <row r="12" spans="1:61" ht="25.5" customHeight="1" x14ac:dyDescent="0.25">
      <c r="A12" s="22" t="s">
        <v>5</v>
      </c>
      <c r="B12" s="23">
        <v>5057.5095330000004</v>
      </c>
      <c r="C12" s="23">
        <v>2909.6493069999997</v>
      </c>
      <c r="D12" s="23">
        <v>4516.7131408181813</v>
      </c>
      <c r="E12" s="23">
        <v>7659.9021600000005</v>
      </c>
      <c r="F12" s="23">
        <v>5828.2491600000003</v>
      </c>
      <c r="G12" s="23">
        <v>5539.4655199999997</v>
      </c>
      <c r="H12" s="23">
        <v>2233.6746799999996</v>
      </c>
      <c r="I12" s="23">
        <v>4240.7111300000006</v>
      </c>
      <c r="J12" s="23">
        <v>3892.9324299999998</v>
      </c>
      <c r="K12" s="24" t="s">
        <v>29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25" t="s">
        <v>5</v>
      </c>
      <c r="BF12" s="17"/>
      <c r="BG12" s="17"/>
      <c r="BH12" s="17"/>
      <c r="BI12" s="17"/>
    </row>
    <row r="13" spans="1:61" ht="25.5" customHeight="1" x14ac:dyDescent="0.25">
      <c r="A13" s="22" t="s">
        <v>6</v>
      </c>
      <c r="B13" s="23">
        <v>4295.1361399999969</v>
      </c>
      <c r="C13" s="23">
        <v>1880.0532999999991</v>
      </c>
      <c r="D13" s="23">
        <v>1124.6612380000001</v>
      </c>
      <c r="E13" s="23">
        <v>4299.6456900000003</v>
      </c>
      <c r="F13" s="23">
        <v>2995.8265099999999</v>
      </c>
      <c r="G13" s="23">
        <v>3298.5679300000002</v>
      </c>
      <c r="H13" s="23">
        <v>3694.9612099999999</v>
      </c>
      <c r="I13" s="23">
        <v>5409.7536500000087</v>
      </c>
      <c r="J13" s="23">
        <v>4109.3070499999967</v>
      </c>
      <c r="K13" s="24" t="s">
        <v>30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25" t="s">
        <v>31</v>
      </c>
      <c r="BF13" s="17"/>
      <c r="BG13" s="17"/>
      <c r="BH13" s="17"/>
      <c r="BI13" s="17"/>
    </row>
    <row r="14" spans="1:61" ht="25.5" customHeight="1" x14ac:dyDescent="0.25">
      <c r="A14" s="22" t="s">
        <v>7</v>
      </c>
      <c r="B14" s="23">
        <v>2096.68469</v>
      </c>
      <c r="C14" s="23">
        <v>1747.8004599999992</v>
      </c>
      <c r="D14" s="23">
        <v>1603.4366600000001</v>
      </c>
      <c r="E14" s="23">
        <v>5847.2433899999987</v>
      </c>
      <c r="F14" s="23">
        <v>4428.2140399999989</v>
      </c>
      <c r="G14" s="23">
        <v>5777.6544599999988</v>
      </c>
      <c r="H14" s="23">
        <v>6247.7105100000017</v>
      </c>
      <c r="I14" s="23">
        <v>4077.9307000000013</v>
      </c>
      <c r="J14" s="23">
        <v>2260.2400000000002</v>
      </c>
      <c r="K14" s="24" t="s">
        <v>32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25" t="s">
        <v>33</v>
      </c>
      <c r="BF14" s="17"/>
      <c r="BG14" s="17"/>
      <c r="BH14" s="17"/>
      <c r="BI14" s="17"/>
    </row>
    <row r="15" spans="1:61" ht="25.5" customHeight="1" x14ac:dyDescent="0.25">
      <c r="A15" s="22" t="s">
        <v>8</v>
      </c>
      <c r="B15" s="23">
        <v>2505.1015399999978</v>
      </c>
      <c r="C15" s="23">
        <v>2545.4261136559116</v>
      </c>
      <c r="D15" s="23">
        <v>2762.3959530000002</v>
      </c>
      <c r="E15" s="23">
        <v>3700.7813699999992</v>
      </c>
      <c r="F15" s="23">
        <v>4136.3727600000011</v>
      </c>
      <c r="G15" s="23">
        <v>4951.4767700000002</v>
      </c>
      <c r="H15" s="23">
        <v>7227.5124899999992</v>
      </c>
      <c r="I15" s="23">
        <v>6098.8315600000014</v>
      </c>
      <c r="J15" s="23">
        <v>4482.0600499999982</v>
      </c>
      <c r="K15" s="24" t="s">
        <v>34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25" t="s">
        <v>35</v>
      </c>
      <c r="BF15" s="17"/>
      <c r="BG15" s="17"/>
      <c r="BH15" s="17"/>
      <c r="BI15" s="17"/>
    </row>
    <row r="16" spans="1:61" ht="25.5" customHeight="1" x14ac:dyDescent="0.25">
      <c r="A16" s="22" t="s">
        <v>9</v>
      </c>
      <c r="B16" s="23">
        <v>3946.1871780563961</v>
      </c>
      <c r="C16" s="23">
        <v>2073.095701560117</v>
      </c>
      <c r="D16" s="23">
        <v>2860.8742099999999</v>
      </c>
      <c r="E16" s="23">
        <v>3018.0501900000004</v>
      </c>
      <c r="F16" s="23">
        <v>4453.6516599999977</v>
      </c>
      <c r="G16" s="23">
        <v>7790.8638199999968</v>
      </c>
      <c r="H16" s="23">
        <v>8226.4240200000022</v>
      </c>
      <c r="I16" s="23">
        <v>7590.0050000000138</v>
      </c>
      <c r="J16" s="23">
        <v>7709.6560399999998</v>
      </c>
      <c r="K16" s="24" t="s">
        <v>36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25" t="s">
        <v>37</v>
      </c>
      <c r="BF16" s="17"/>
      <c r="BG16" s="17"/>
      <c r="BH16" s="17"/>
      <c r="BI16" s="17"/>
    </row>
    <row r="17" spans="1:57" ht="25.5" customHeight="1" x14ac:dyDescent="0.25">
      <c r="A17" s="22" t="s">
        <v>10</v>
      </c>
      <c r="B17" s="23">
        <v>3405.6147045259017</v>
      </c>
      <c r="C17" s="23">
        <v>5343.2705124809372</v>
      </c>
      <c r="D17" s="23">
        <v>7922.7490699999998</v>
      </c>
      <c r="E17" s="23">
        <v>6461.2722199999962</v>
      </c>
      <c r="F17" s="23">
        <v>7975.2993599999991</v>
      </c>
      <c r="G17" s="23">
        <v>8787.9639099999968</v>
      </c>
      <c r="H17" s="23">
        <v>8130.5669500000004</v>
      </c>
      <c r="I17" s="23">
        <v>5610.9634599999908</v>
      </c>
      <c r="J17" s="23">
        <v>6880.8544899999961</v>
      </c>
      <c r="K17" s="24" t="s">
        <v>38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25" t="s">
        <v>39</v>
      </c>
    </row>
    <row r="18" spans="1:57" s="16" customFormat="1" ht="25.5" customHeight="1" x14ac:dyDescent="0.25">
      <c r="A18" s="22" t="s">
        <v>11</v>
      </c>
      <c r="B18" s="23">
        <v>4392.3005135386093</v>
      </c>
      <c r="C18" s="23">
        <v>5043.6594446735089</v>
      </c>
      <c r="D18" s="23">
        <v>6950.4351099999994</v>
      </c>
      <c r="E18" s="23">
        <v>8485.2940499999968</v>
      </c>
      <c r="F18" s="23">
        <v>9291.3220500000007</v>
      </c>
      <c r="G18" s="23">
        <v>6594.389079999999</v>
      </c>
      <c r="H18" s="23">
        <v>10469.907359999999</v>
      </c>
      <c r="I18" s="23">
        <v>6721.1788699999988</v>
      </c>
      <c r="J18" s="23">
        <v>9932.3193600000013</v>
      </c>
      <c r="K18" s="24" t="s">
        <v>40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25" t="s">
        <v>41</v>
      </c>
    </row>
    <row r="19" spans="1:57" s="16" customFormat="1" ht="25.5" customHeight="1" x14ac:dyDescent="0.25">
      <c r="A19" s="27" t="s">
        <v>12</v>
      </c>
      <c r="B19" s="28">
        <v>5378.771222225485</v>
      </c>
      <c r="C19" s="28">
        <v>3783.5737426190631</v>
      </c>
      <c r="D19" s="28">
        <v>7128.6764600000006</v>
      </c>
      <c r="E19" s="28">
        <v>7930.7553599999992</v>
      </c>
      <c r="F19" s="28">
        <v>7580.649730000001</v>
      </c>
      <c r="G19" s="28">
        <v>4842.7841400000007</v>
      </c>
      <c r="H19" s="28">
        <v>10871.112290000003</v>
      </c>
      <c r="I19" s="28">
        <v>15688.457170000022</v>
      </c>
      <c r="J19" s="28">
        <v>7301.6124999999956</v>
      </c>
      <c r="K19" s="29" t="s">
        <v>42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25" t="s">
        <v>43</v>
      </c>
    </row>
    <row r="20" spans="1:57" s="16" customFormat="1" ht="17.25" x14ac:dyDescent="0.25">
      <c r="A20" s="30" t="s">
        <v>44</v>
      </c>
      <c r="B20" s="31"/>
      <c r="C20" s="31"/>
      <c r="D20" s="32"/>
      <c r="E20" s="32"/>
      <c r="F20" s="32"/>
      <c r="G20" s="32"/>
      <c r="H20" s="32"/>
      <c r="I20" s="32"/>
      <c r="J20" s="32"/>
      <c r="K20" s="33" t="s">
        <v>45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</row>
    <row r="21" spans="1:57" s="16" customFormat="1" ht="17.25" x14ac:dyDescent="0.25">
      <c r="A21" s="34" t="s">
        <v>46</v>
      </c>
      <c r="B21" s="35"/>
      <c r="C21" s="35"/>
      <c r="D21" s="32"/>
      <c r="E21" s="32"/>
      <c r="F21" s="32"/>
      <c r="G21" s="32"/>
      <c r="H21" s="32"/>
      <c r="I21" s="32"/>
      <c r="J21" s="32"/>
      <c r="K21" s="33" t="s">
        <v>47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</row>
    <row r="22" spans="1:57" ht="17.25" x14ac:dyDescent="0.25">
      <c r="A22" s="36" t="s">
        <v>48</v>
      </c>
      <c r="B22" s="37"/>
      <c r="C22" s="37"/>
      <c r="D22" s="38"/>
      <c r="E22" s="38"/>
      <c r="F22" s="38"/>
      <c r="G22" s="38"/>
      <c r="H22" s="38"/>
      <c r="I22" s="38"/>
      <c r="J22" s="38"/>
      <c r="K22" s="15" t="s">
        <v>49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</row>
    <row r="23" spans="1:57" ht="12.75" x14ac:dyDescent="0.25">
      <c r="A23" s="11"/>
      <c r="B23" s="11"/>
      <c r="C23" s="11"/>
      <c r="D23" s="11"/>
      <c r="E23" s="11"/>
      <c r="F23" s="11"/>
      <c r="G23" s="13"/>
      <c r="H23" s="13"/>
      <c r="I23" s="13"/>
      <c r="J23" s="13"/>
      <c r="K23" s="13"/>
      <c r="L23" s="13"/>
      <c r="M23" s="16"/>
      <c r="N23" s="16"/>
      <c r="O23" s="16"/>
      <c r="P23" s="16"/>
      <c r="Q23" s="16"/>
      <c r="R23" s="16"/>
      <c r="S23" s="16"/>
      <c r="T23" s="13"/>
      <c r="U23" s="13"/>
      <c r="V23" s="13"/>
      <c r="W23" s="13"/>
      <c r="X23" s="40"/>
      <c r="Y23" s="13"/>
      <c r="Z23" s="13"/>
      <c r="AA23" s="13"/>
      <c r="AB23" s="13"/>
      <c r="AC23" s="13"/>
      <c r="AD23" s="13"/>
      <c r="AE23" s="13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</row>
    <row r="24" spans="1:57" ht="12.75" x14ac:dyDescent="0.25">
      <c r="A24" s="11"/>
      <c r="B24" s="11"/>
      <c r="C24" s="11"/>
      <c r="D24" s="11"/>
      <c r="E24" s="11"/>
      <c r="F24" s="11"/>
      <c r="G24" s="14"/>
      <c r="H24" s="14"/>
      <c r="I24" s="14"/>
      <c r="J24" s="14"/>
      <c r="K24" s="14"/>
      <c r="L24" s="14"/>
      <c r="M24" s="16"/>
      <c r="N24" s="16"/>
      <c r="O24" s="16"/>
      <c r="P24" s="16"/>
      <c r="T24" s="14"/>
      <c r="U24" s="13"/>
      <c r="V24" s="14"/>
      <c r="W24" s="14"/>
      <c r="X24" s="40"/>
      <c r="Y24" s="14"/>
      <c r="Z24" s="14"/>
      <c r="AA24" s="14"/>
      <c r="AB24" s="14"/>
      <c r="AC24" s="14"/>
      <c r="AD24" s="14"/>
      <c r="AE24" s="14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</row>
    <row r="25" spans="1:57" ht="15" x14ac:dyDescent="0.25">
      <c r="A25" s="17"/>
      <c r="B25" s="39"/>
      <c r="C25" s="39"/>
      <c r="D25" s="39"/>
      <c r="E25" s="39"/>
      <c r="F25" s="39"/>
      <c r="G25" s="39"/>
      <c r="H25" s="39"/>
      <c r="I25" s="39"/>
      <c r="J25" s="39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</row>
    <row r="26" spans="1:57" ht="12.75" x14ac:dyDescent="0.25">
      <c r="A26" s="11"/>
      <c r="B26" s="11"/>
      <c r="C26" s="11"/>
      <c r="D26" s="11"/>
      <c r="E26" s="11"/>
      <c r="F26" s="11"/>
      <c r="G26" s="13"/>
      <c r="H26" s="13"/>
      <c r="I26" s="13"/>
      <c r="J26" s="13"/>
      <c r="K26" s="13"/>
      <c r="L26" s="13"/>
      <c r="M26" s="16"/>
      <c r="N26" s="16"/>
      <c r="O26" s="16"/>
      <c r="P26" s="16"/>
      <c r="Q26" s="16"/>
      <c r="R26" s="16"/>
      <c r="S26" s="16"/>
      <c r="T26" s="13"/>
      <c r="U26" s="13"/>
      <c r="V26" s="13"/>
      <c r="W26" s="13"/>
      <c r="X26" s="40"/>
      <c r="Y26" s="13"/>
      <c r="Z26" s="13"/>
      <c r="AA26" s="13"/>
      <c r="AB26" s="13"/>
      <c r="AC26" s="13"/>
      <c r="AD26" s="13"/>
      <c r="AE26" s="13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</row>
    <row r="27" spans="1:57" ht="12.75" x14ac:dyDescent="0.25">
      <c r="A27" s="11"/>
      <c r="B27" s="11"/>
      <c r="C27" s="11"/>
      <c r="D27" s="11"/>
      <c r="E27" s="11"/>
      <c r="F27" s="11"/>
      <c r="G27" s="13"/>
      <c r="H27" s="13"/>
      <c r="I27" s="13"/>
      <c r="J27" s="13"/>
      <c r="K27" s="13"/>
      <c r="L27" s="13"/>
      <c r="M27" s="16"/>
      <c r="N27" s="16"/>
      <c r="O27" s="16"/>
      <c r="P27" s="16"/>
      <c r="Q27" s="16"/>
      <c r="R27" s="16"/>
      <c r="S27" s="16"/>
      <c r="T27" s="13"/>
      <c r="U27" s="13"/>
      <c r="V27" s="13"/>
      <c r="W27" s="13"/>
      <c r="X27" s="40"/>
      <c r="Y27" s="13"/>
      <c r="Z27" s="13"/>
      <c r="AA27" s="13"/>
      <c r="AB27" s="13"/>
      <c r="AC27" s="13"/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</row>
    <row r="28" spans="1:57" ht="12.75" x14ac:dyDescent="0.25">
      <c r="A28" s="11"/>
      <c r="B28" s="11"/>
      <c r="C28" s="11"/>
      <c r="D28" s="11"/>
      <c r="E28" s="11"/>
      <c r="F28" s="11"/>
      <c r="G28" s="13"/>
      <c r="H28" s="13"/>
      <c r="I28" s="13"/>
      <c r="J28" s="13"/>
      <c r="K28" s="13"/>
      <c r="L28" s="13"/>
      <c r="M28" s="16"/>
      <c r="N28" s="16"/>
      <c r="O28" s="16"/>
      <c r="P28" s="16"/>
      <c r="Q28" s="16"/>
      <c r="R28" s="16"/>
      <c r="S28" s="16"/>
      <c r="T28" s="13"/>
      <c r="U28" s="13"/>
      <c r="V28" s="13"/>
      <c r="W28" s="13"/>
      <c r="X28" s="40"/>
      <c r="Y28" s="13"/>
      <c r="Z28" s="13"/>
      <c r="AA28" s="13"/>
      <c r="AB28" s="13"/>
      <c r="AC28" s="13"/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</row>
    <row r="29" spans="1:57" ht="12.75" x14ac:dyDescent="0.25">
      <c r="A29" s="11"/>
      <c r="B29" s="11"/>
      <c r="C29" s="11"/>
      <c r="D29" s="11"/>
      <c r="E29" s="11"/>
      <c r="F29" s="11"/>
      <c r="G29" s="13"/>
      <c r="H29" s="13"/>
      <c r="I29" s="13"/>
      <c r="J29" s="13"/>
      <c r="K29" s="13"/>
      <c r="L29" s="13"/>
      <c r="M29" s="16"/>
      <c r="N29" s="16"/>
      <c r="O29" s="16"/>
      <c r="P29" s="16"/>
      <c r="Q29" s="16"/>
      <c r="R29" s="16"/>
      <c r="S29" s="16"/>
      <c r="T29" s="13"/>
      <c r="U29" s="13"/>
      <c r="V29" s="13"/>
      <c r="W29" s="13"/>
      <c r="X29" s="40"/>
      <c r="Y29" s="13"/>
      <c r="Z29" s="13"/>
      <c r="AA29" s="13"/>
      <c r="AB29" s="13"/>
      <c r="AC29" s="13"/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</row>
    <row r="30" spans="1:57" ht="12.75" x14ac:dyDescent="0.25">
      <c r="A30" s="11"/>
      <c r="B30" s="11"/>
      <c r="C30" s="11"/>
      <c r="D30" s="11"/>
      <c r="E30" s="11"/>
      <c r="F30" s="11"/>
      <c r="G30" s="13"/>
      <c r="H30" s="13"/>
      <c r="I30" s="13"/>
      <c r="J30" s="13"/>
      <c r="K30" s="13"/>
      <c r="L30" s="13"/>
      <c r="M30" s="16"/>
      <c r="N30" s="16"/>
      <c r="O30" s="16"/>
      <c r="P30" s="16"/>
      <c r="Q30" s="16"/>
      <c r="R30" s="16"/>
      <c r="S30" s="16"/>
      <c r="T30" s="13"/>
      <c r="U30" s="13"/>
      <c r="V30" s="13"/>
      <c r="W30" s="13"/>
      <c r="X30" s="40"/>
      <c r="Y30" s="13"/>
      <c r="Z30" s="13"/>
      <c r="AA30" s="13"/>
      <c r="AB30" s="13"/>
      <c r="AC30" s="13"/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</row>
    <row r="31" spans="1:57" ht="12.75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6"/>
      <c r="N31" s="16"/>
      <c r="O31" s="16"/>
      <c r="P31" s="16"/>
      <c r="Q31" s="16"/>
      <c r="R31" s="16"/>
      <c r="S31" s="16"/>
      <c r="T31" s="11"/>
      <c r="U31" s="11"/>
      <c r="V31" s="11"/>
      <c r="W31" s="11"/>
      <c r="X31" s="40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</row>
    <row r="32" spans="1:57" ht="12.75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40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</row>
    <row r="33" spans="1:42" ht="12.75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40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</row>
    <row r="34" spans="1:42" ht="12.75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40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spans="1:42" ht="12.75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X35" s="40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spans="1:42" ht="12.75" x14ac:dyDescent="0.2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X36" s="40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</sheetData>
  <mergeCells count="7">
    <mergeCell ref="A5:A6"/>
    <mergeCell ref="A1:K1"/>
    <mergeCell ref="A2:K2"/>
    <mergeCell ref="A3:K3"/>
    <mergeCell ref="A4:K4"/>
    <mergeCell ref="K5:K6"/>
    <mergeCell ref="B5:J5"/>
  </mergeCells>
  <pageMargins left="0.7" right="0.7" top="0.75" bottom="0.75" header="0.3" footer="0.3"/>
  <pageSetup scale="41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9.7</vt:lpstr>
      <vt:lpstr>'9.7'!Print_Area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2023-07-13T08:31:53Z</cp:lastPrinted>
  <dcterms:created xsi:type="dcterms:W3CDTF">2019-09-09T05:11:24Z</dcterms:created>
  <dcterms:modified xsi:type="dcterms:W3CDTF">2023-07-13T08:31:58Z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