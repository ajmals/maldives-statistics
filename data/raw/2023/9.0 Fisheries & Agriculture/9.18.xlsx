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Fisheries &amp; Agriculture\"/>
    </mc:Choice>
  </mc:AlternateContent>
  <xr:revisionPtr revIDLastSave="0" documentId="13_ncr:1_{D9ABB2D7-CF38-4BB4-9B27-7ECAC95192EB}" xr6:coauthVersionLast="47" xr6:coauthVersionMax="47" xr10:uidLastSave="{00000000-0000-0000-0000-000000000000}"/>
  <bookViews>
    <workbookView xWindow="-120" yWindow="-120" windowWidth="29040" windowHeight="15720" tabRatio="831" xr2:uid="{00000000-000D-0000-FFFF-FFFF00000000}"/>
  </bookViews>
  <sheets>
    <sheet name="9.18" sheetId="18" r:id="rId1"/>
  </sheets>
  <externalReferences>
    <externalReference r:id="rId2"/>
  </externalReferences>
  <definedNames>
    <definedName name="_xlnm.Print_Area" localSheetId="0">'9.18'!$A$1:$Q$45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" i="18" l="1"/>
  <c r="O7" i="18"/>
  <c r="M7" i="18"/>
  <c r="L7" i="18"/>
  <c r="K7" i="18"/>
  <c r="J7" i="18"/>
  <c r="I7" i="18"/>
  <c r="H7" i="18"/>
  <c r="G7" i="18"/>
  <c r="F7" i="18"/>
  <c r="E7" i="18"/>
  <c r="D7" i="18"/>
  <c r="C7" i="18"/>
  <c r="B7" i="18"/>
</calcChain>
</file>

<file path=xl/sharedStrings.xml><?xml version="1.0" encoding="utf-8"?>
<sst xmlns="http://schemas.openxmlformats.org/spreadsheetml/2006/main" count="68" uniqueCount="41">
  <si>
    <t>Total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</si>
  <si>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</si>
  <si>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</si>
  <si>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</si>
  <si>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</si>
  <si>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</si>
  <si>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</si>
  <si>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</si>
  <si>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</si>
  <si>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</si>
  <si>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</si>
  <si>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</si>
  <si>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</si>
  <si>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</si>
  <si>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-</t>
  </si>
  <si>
    <t>Source:  Ministry of Fisheries, Marine Resources and Agriculture</t>
  </si>
  <si>
    <t>މަސް</t>
  </si>
  <si>
    <t>ޖުމްލަ</t>
  </si>
  <si>
    <t>ޖެނުއަރީ</t>
  </si>
  <si>
    <t>ފެބްރުއަރީ</t>
  </si>
  <si>
    <t>މާރޗް</t>
  </si>
  <si>
    <t>މެއި</t>
  </si>
  <si>
    <t>ޖޫން</t>
  </si>
  <si>
    <t>ޖުލައި</t>
  </si>
  <si>
    <t>އޯގަސްޓް</t>
  </si>
  <si>
    <t>ސެޕްޓެމްބަރ</t>
  </si>
  <si>
    <t>އޮކްޓޯބަރ</t>
  </si>
  <si>
    <t>ނޮވެމްބަރ</t>
  </si>
  <si>
    <t>ޑިސެމްބަރ</t>
  </si>
  <si>
    <r>
      <t xml:space="preserve">   (</t>
    </r>
    <r>
      <rPr>
        <b/>
        <sz val="11"/>
        <color theme="1"/>
        <rFont val="Faruma"/>
      </rPr>
      <t>ރުފިޔާއިން /</t>
    </r>
    <r>
      <rPr>
        <b/>
        <sz val="11"/>
        <color theme="1"/>
        <rFont val="Calibri"/>
        <family val="2"/>
      </rPr>
      <t xml:space="preserve"> In rufiyaa)</t>
    </r>
  </si>
  <si>
    <t xml:space="preserve"> Value in '000 (MVR) </t>
  </si>
  <si>
    <t xml:space="preserve">އާމްދަނީ ރުފިޔާ (' 000 ރުފިޔާއިން)    </t>
  </si>
  <si>
    <t>އޭޕްރިލް</t>
  </si>
  <si>
    <r>
      <rPr>
        <i/>
        <vertAlign val="subscript"/>
        <sz val="10"/>
        <color theme="1"/>
        <rFont val="Calibri"/>
        <family val="2"/>
      </rPr>
      <t xml:space="preserve">       </t>
    </r>
    <r>
      <rPr>
        <i/>
        <sz val="10"/>
        <color theme="1"/>
        <rFont val="Calibri"/>
        <family val="2"/>
      </rPr>
      <t xml:space="preserve">:-Data not available </t>
    </r>
  </si>
  <si>
    <t xml:space="preserve">މައުލޫމާތު ދެއްވި ފަރާތް: މިނިސްޓްރީ އޮފް ފިޝަރީޒް، މެރިން ރިސޯސަސް އެންޑް އެގްރިކަލްޗަރ </t>
  </si>
  <si>
    <t>na</t>
  </si>
  <si>
    <t>ނޯޓް:  މައުލޫމާތު ނެތް</t>
  </si>
  <si>
    <t>ނޯޓް: 2020 ގެ މައުލޫމާތު ނެތީ ކޮވިޑްގެ ހާލަތާ ގުޅިގެން ލޯކަލް މާރުކޭޓުން ތަފާސްހިސާބު ނެގިފައި ނެތީމައެވެ.އަދި އަލުން މިމައުލޫމާތު ނަގަންފެށިފައިވަނީ 2021 ގެ ޑިސެމްބަރުގައެވެ.</t>
  </si>
  <si>
    <t>Note: 2020 data are missing as unable to take data on the Male’ Local Market due to the COVID pandemic. And Data collection was resumed duing Decenber 2021</t>
  </si>
  <si>
    <t>Table 9.18: VALUE OF AGRICULTURAL PRODUCTS TRADED IN MALE' MARKET , 2013 - 2022</t>
  </si>
  <si>
    <t xml:space="preserve">            ތާވަލް 9.18: މާލެ މާރުކޭޓަށް ވިއްކި ދަނޑުވެރިކަމުގެ ތަކެތިން ލިބުނު އާމްދަނީ، 2013 -2022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</si>
</sst>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MS Sans Serif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11"/>
      <color theme="1"/>
      <name val="Faruma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Faruma"/>
    </font>
    <font>
      <b/>
      <sz val="10"/>
      <color theme="1"/>
      <name val="Faruma"/>
    </font>
    <font>
      <sz val="11"/>
      <color theme="1"/>
      <name val="Faruma"/>
    </font>
    <font>
      <sz val="10"/>
      <color theme="1"/>
      <name val="Courier"/>
      <family val="3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Courier"/>
      <family val="3"/>
    </font>
    <font>
      <b/>
      <sz val="9"/>
      <color theme="1"/>
      <name val="Faruma"/>
    </font>
    <font>
      <sz val="10"/>
      <color theme="1"/>
      <name val="Calibri"/>
      <family val="2"/>
    </font>
    <font>
      <sz val="16"/>
      <color theme="1"/>
      <name val="Faruma"/>
    </font>
    <font>
      <b/>
      <sz val="20"/>
      <color theme="1"/>
      <name val="Faruma"/>
    </font>
    <font>
      <i/>
      <sz val="10"/>
      <color theme="1"/>
      <name val="Calibri"/>
      <family val="2"/>
    </font>
    <font>
      <i/>
      <vertAlign val="subscript"/>
      <sz val="10"/>
      <color theme="1"/>
      <name val="Calibri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i/>
      <sz val="11"/>
      <color theme="1"/>
      <name val="Courier"/>
      <family val="3"/>
    </font>
    <font>
      <i/>
      <sz val="10"/>
      <color theme="1"/>
      <name val="Arial"/>
      <family val="2"/>
    </font>
    <font>
      <i/>
      <sz val="10"/>
      <color theme="1"/>
      <name val="Faruma"/>
    </font>
    <font>
      <i/>
      <sz val="10"/>
      <color theme="1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0" fontId="4" fillId="0" borderId="0" applyFont="0" applyFill="0" applyBorder="0" applyAlignment="0" applyProtection="0"/>
    <xf numFmtId="167" fontId="2" fillId="0" borderId="0"/>
    <xf numFmtId="167" fontId="2" fillId="0" borderId="0"/>
    <xf numFmtId="167" fontId="2" fillId="0" borderId="0"/>
    <xf numFmtId="0" fontId="3" fillId="0" borderId="0"/>
    <xf numFmtId="43" fontId="8" fillId="0" borderId="0" applyFont="0" applyFill="0" applyBorder="0" applyAlignment="0" applyProtection="0"/>
  </cellStyleXfs>
  <cellXfs count="66">
    <xf numFmtId="0" fontId="0" fillId="0" borderId="0" xfId="0"/>
    <xf numFmtId="0" fontId="13" fillId="2" borderId="0" xfId="0" applyFont="1" applyFill="1"/>
    <xf numFmtId="0" fontId="15" fillId="2" borderId="0" xfId="3" applyNumberFormat="1" applyFont="1" applyFill="1" applyAlignment="1">
      <alignment horizontal="center" vertical="center"/>
    </xf>
    <xf numFmtId="0" fontId="16" fillId="2" borderId="0" xfId="3" applyNumberFormat="1" applyFont="1" applyFill="1"/>
    <xf numFmtId="164" fontId="17" fillId="2" borderId="0" xfId="3" applyNumberFormat="1" applyFont="1" applyFill="1"/>
    <xf numFmtId="0" fontId="7" fillId="2" borderId="0" xfId="3" applyNumberFormat="1" applyFont="1" applyFill="1" applyAlignment="1">
      <alignment horizontal="center" vertical="center"/>
    </xf>
    <xf numFmtId="164" fontId="18" fillId="2" borderId="0" xfId="3" applyNumberFormat="1" applyFont="1" applyFill="1"/>
    <xf numFmtId="0" fontId="16" fillId="2" borderId="0" xfId="3" applyNumberFormat="1" applyFont="1" applyFill="1" applyAlignment="1">
      <alignment horizontal="center" vertical="center"/>
    </xf>
    <xf numFmtId="0" fontId="16" fillId="2" borderId="0" xfId="3" applyNumberFormat="1" applyFont="1" applyFill="1" applyAlignment="1">
      <alignment vertical="center"/>
    </xf>
    <xf numFmtId="0" fontId="5" fillId="2" borderId="0" xfId="3" applyNumberFormat="1" applyFont="1" applyFill="1" applyAlignment="1">
      <alignment horizontal="left" vertical="center"/>
    </xf>
    <xf numFmtId="0" fontId="16" fillId="2" borderId="0" xfId="3" applyNumberFormat="1" applyFont="1" applyFill="1" applyAlignment="1">
      <alignment horizontal="right" vertical="center"/>
    </xf>
    <xf numFmtId="0" fontId="16" fillId="2" borderId="0" xfId="3" applyNumberFormat="1" applyFont="1" applyFill="1" applyAlignment="1">
      <alignment horizontal="right"/>
    </xf>
    <xf numFmtId="0" fontId="5" fillId="2" borderId="1" xfId="3" applyNumberFormat="1" applyFont="1" applyFill="1" applyBorder="1" applyAlignment="1">
      <alignment horizontal="right" vertical="center"/>
    </xf>
    <xf numFmtId="0" fontId="5" fillId="2" borderId="4" xfId="3" applyNumberFormat="1" applyFont="1" applyFill="1" applyBorder="1" applyAlignment="1">
      <alignment horizontal="right" vertical="center"/>
    </xf>
    <xf numFmtId="3" fontId="11" fillId="2" borderId="0" xfId="2" applyNumberFormat="1" applyFont="1" applyFill="1" applyBorder="1" applyAlignment="1">
      <alignment horizontal="right" vertical="center"/>
    </xf>
    <xf numFmtId="3" fontId="11" fillId="2" borderId="0" xfId="7" applyNumberFormat="1" applyFont="1" applyFill="1" applyBorder="1" applyAlignment="1">
      <alignment horizontal="right" vertical="center"/>
    </xf>
    <xf numFmtId="0" fontId="15" fillId="2" borderId="0" xfId="3" applyNumberFormat="1" applyFont="1" applyFill="1" applyAlignment="1">
      <alignment vertical="center"/>
    </xf>
    <xf numFmtId="0" fontId="5" fillId="2" borderId="0" xfId="3" applyNumberFormat="1" applyFont="1" applyFill="1" applyAlignment="1">
      <alignment horizontal="center"/>
    </xf>
    <xf numFmtId="0" fontId="21" fillId="2" borderId="0" xfId="3" applyNumberFormat="1" applyFont="1" applyFill="1" applyAlignment="1">
      <alignment horizontal="left" vertical="center" indent="1"/>
    </xf>
    <xf numFmtId="3" fontId="10" fillId="2" borderId="0" xfId="2" applyNumberFormat="1" applyFont="1" applyFill="1" applyAlignment="1">
      <alignment horizontal="right" vertical="center"/>
    </xf>
    <xf numFmtId="3" fontId="10" fillId="2" borderId="0" xfId="7" applyNumberFormat="1" applyFont="1" applyFill="1" applyBorder="1" applyAlignment="1">
      <alignment horizontal="right" vertical="center"/>
    </xf>
    <xf numFmtId="0" fontId="15" fillId="2" borderId="0" xfId="3" applyNumberFormat="1" applyFont="1" applyFill="1" applyAlignment="1">
      <alignment horizontal="right" vertical="center" indent="1"/>
    </xf>
    <xf numFmtId="0" fontId="22" fillId="2" borderId="0" xfId="3" applyNumberFormat="1" applyFont="1" applyFill="1" applyAlignment="1">
      <alignment horizontal="center" vertical="center"/>
    </xf>
    <xf numFmtId="0" fontId="16" fillId="2" borderId="0" xfId="3" applyNumberFormat="1" applyFont="1" applyFill="1" applyAlignment="1">
      <alignment horizontal="left" vertical="center"/>
    </xf>
    <xf numFmtId="166" fontId="6" fillId="2" borderId="0" xfId="2" applyNumberFormat="1" applyFont="1" applyFill="1" applyBorder="1"/>
    <xf numFmtId="166" fontId="6" fillId="2" borderId="0" xfId="7" applyNumberFormat="1" applyFont="1" applyFill="1" applyBorder="1" applyAlignment="1">
      <alignment horizontal="left"/>
    </xf>
    <xf numFmtId="3" fontId="16" fillId="2" borderId="0" xfId="3" applyNumberFormat="1" applyFont="1" applyFill="1" applyAlignment="1">
      <alignment horizontal="left" vertical="center"/>
    </xf>
    <xf numFmtId="165" fontId="6" fillId="2" borderId="0" xfId="3" applyNumberFormat="1" applyFont="1" applyFill="1" applyAlignment="1">
      <alignment horizontal="right" vertical="center"/>
    </xf>
    <xf numFmtId="0" fontId="23" fillId="2" borderId="0" xfId="3" applyNumberFormat="1" applyFont="1" applyFill="1" applyAlignment="1">
      <alignment vertical="center" wrapText="1"/>
    </xf>
    <xf numFmtId="3" fontId="6" fillId="2" borderId="0" xfId="3" applyNumberFormat="1" applyFont="1" applyFill="1" applyAlignment="1">
      <alignment horizontal="right" vertical="center"/>
    </xf>
    <xf numFmtId="3" fontId="21" fillId="2" borderId="0" xfId="3" applyNumberFormat="1" applyFont="1" applyFill="1" applyAlignment="1">
      <alignment horizontal="right" vertical="center"/>
    </xf>
    <xf numFmtId="0" fontId="21" fillId="2" borderId="1" xfId="3" applyNumberFormat="1" applyFont="1" applyFill="1" applyBorder="1" applyAlignment="1">
      <alignment horizontal="left" vertical="center" indent="1"/>
    </xf>
    <xf numFmtId="3" fontId="10" fillId="2" borderId="1" xfId="2" applyNumberFormat="1" applyFont="1" applyFill="1" applyBorder="1" applyAlignment="1">
      <alignment horizontal="right" vertical="center"/>
    </xf>
    <xf numFmtId="3" fontId="10" fillId="2" borderId="1" xfId="7" applyNumberFormat="1" applyFont="1" applyFill="1" applyBorder="1" applyAlignment="1">
      <alignment horizontal="right" vertical="center"/>
    </xf>
    <xf numFmtId="0" fontId="24" fillId="2" borderId="0" xfId="4" applyNumberFormat="1" applyFont="1" applyFill="1" applyAlignment="1">
      <alignment vertical="center"/>
    </xf>
    <xf numFmtId="3" fontId="26" fillId="2" borderId="0" xfId="4" applyNumberFormat="1" applyFont="1" applyFill="1" applyAlignment="1">
      <alignment horizontal="right"/>
    </xf>
    <xf numFmtId="3" fontId="27" fillId="2" borderId="0" xfId="4" applyNumberFormat="1" applyFont="1" applyFill="1" applyAlignment="1">
      <alignment horizontal="right"/>
    </xf>
    <xf numFmtId="3" fontId="27" fillId="2" borderId="0" xfId="2" applyNumberFormat="1" applyFont="1" applyFill="1" applyBorder="1" applyAlignment="1">
      <alignment horizontal="right"/>
    </xf>
    <xf numFmtId="164" fontId="28" fillId="2" borderId="0" xfId="4" applyNumberFormat="1" applyFont="1" applyFill="1"/>
    <xf numFmtId="166" fontId="27" fillId="2" borderId="0" xfId="7" applyNumberFormat="1" applyFont="1" applyFill="1" applyBorder="1" applyAlignment="1">
      <alignment horizontal="left"/>
    </xf>
    <xf numFmtId="164" fontId="29" fillId="2" borderId="0" xfId="3" applyNumberFormat="1" applyFont="1" applyFill="1"/>
    <xf numFmtId="0" fontId="30" fillId="2" borderId="0" xfId="3" applyNumberFormat="1" applyFont="1" applyFill="1" applyAlignment="1">
      <alignment horizontal="right" vertical="center"/>
    </xf>
    <xf numFmtId="0" fontId="31" fillId="2" borderId="0" xfId="3" applyNumberFormat="1" applyFont="1" applyFill="1" applyAlignment="1">
      <alignment horizontal="right"/>
    </xf>
    <xf numFmtId="0" fontId="24" fillId="2" borderId="0" xfId="3" applyNumberFormat="1" applyFont="1" applyFill="1" applyAlignment="1">
      <alignment horizontal="left" vertical="center"/>
    </xf>
    <xf numFmtId="0" fontId="24" fillId="2" borderId="0" xfId="3" applyNumberFormat="1" applyFont="1" applyFill="1" applyAlignment="1">
      <alignment vertical="center"/>
    </xf>
    <xf numFmtId="1" fontId="29" fillId="2" borderId="0" xfId="3" applyNumberFormat="1" applyFont="1" applyFill="1"/>
    <xf numFmtId="0" fontId="31" fillId="2" borderId="0" xfId="3" applyNumberFormat="1" applyFont="1" applyFill="1" applyAlignment="1">
      <alignment horizontal="right" vertical="center"/>
    </xf>
    <xf numFmtId="0" fontId="31" fillId="2" borderId="0" xfId="3" applyNumberFormat="1" applyFont="1" applyFill="1" applyAlignment="1">
      <alignment horizontal="left" vertical="center"/>
    </xf>
    <xf numFmtId="3" fontId="12" fillId="2" borderId="0" xfId="7" applyNumberFormat="1" applyFont="1" applyFill="1" applyBorder="1" applyAlignment="1">
      <alignment horizontal="right" vertical="center"/>
    </xf>
    <xf numFmtId="166" fontId="10" fillId="2" borderId="0" xfId="1" applyNumberFormat="1" applyFont="1" applyFill="1" applyAlignment="1">
      <alignment horizontal="right" vertical="center"/>
    </xf>
    <xf numFmtId="0" fontId="19" fillId="2" borderId="0" xfId="3" applyNumberFormat="1" applyFont="1" applyFill="1" applyAlignment="1">
      <alignment horizontal="right" vertical="center"/>
    </xf>
    <xf numFmtId="43" fontId="21" fillId="2" borderId="0" xfId="1" applyFont="1" applyFill="1" applyAlignment="1">
      <alignment vertical="center"/>
    </xf>
    <xf numFmtId="166" fontId="21" fillId="2" borderId="0" xfId="1" applyNumberFormat="1" applyFont="1" applyFill="1" applyAlignment="1">
      <alignment vertical="center"/>
    </xf>
    <xf numFmtId="0" fontId="14" fillId="2" borderId="0" xfId="3" applyNumberFormat="1" applyFont="1" applyFill="1" applyAlignment="1">
      <alignment horizontal="center" vertical="center"/>
    </xf>
    <xf numFmtId="0" fontId="5" fillId="2" borderId="0" xfId="3" applyNumberFormat="1" applyFont="1" applyFill="1" applyAlignment="1">
      <alignment horizontal="center" vertical="center"/>
    </xf>
    <xf numFmtId="0" fontId="19" fillId="2" borderId="0" xfId="3" applyNumberFormat="1" applyFont="1" applyFill="1" applyAlignment="1">
      <alignment horizontal="center" vertical="center"/>
    </xf>
    <xf numFmtId="0" fontId="11" fillId="2" borderId="2" xfId="3" applyNumberFormat="1" applyFont="1" applyFill="1" applyBorder="1" applyAlignment="1">
      <alignment horizontal="left" vertical="center"/>
    </xf>
    <xf numFmtId="0" fontId="11" fillId="2" borderId="1" xfId="3" applyNumberFormat="1" applyFont="1" applyFill="1" applyBorder="1" applyAlignment="1">
      <alignment horizontal="left" vertical="center"/>
    </xf>
    <xf numFmtId="0" fontId="11" fillId="2" borderId="3" xfId="3" applyNumberFormat="1" applyFont="1" applyFill="1" applyBorder="1" applyAlignment="1">
      <alignment horizontal="right" vertical="center"/>
    </xf>
    <xf numFmtId="0" fontId="20" fillId="2" borderId="3" xfId="3" applyNumberFormat="1" applyFont="1" applyFill="1" applyBorder="1" applyAlignment="1">
      <alignment horizontal="center" vertical="center"/>
    </xf>
    <xf numFmtId="0" fontId="14" fillId="2" borderId="2" xfId="3" applyNumberFormat="1" applyFont="1" applyFill="1" applyBorder="1" applyAlignment="1">
      <alignment horizontal="right" vertical="center"/>
    </xf>
    <xf numFmtId="0" fontId="14" fillId="2" borderId="1" xfId="3" applyNumberFormat="1" applyFont="1" applyFill="1" applyBorder="1" applyAlignment="1">
      <alignment horizontal="right" vertical="center"/>
    </xf>
    <xf numFmtId="0" fontId="20" fillId="2" borderId="2" xfId="3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3" fillId="2" borderId="0" xfId="0" applyFont="1" applyFill="1" applyAlignment="1">
      <alignment horizontal="right" vertical="center" wrapText="1"/>
    </xf>
    <xf numFmtId="0" fontId="13" fillId="2" borderId="0" xfId="3" applyNumberFormat="1" applyFont="1" applyFill="1" applyAlignment="1">
      <alignment horizontal="right" vertical="center"/>
    </xf>
  </cellXfs>
  <cellStyles count="8">
    <cellStyle name="1" xfId="6" xr:uid="{00000000-0005-0000-0000-000000000000}"/>
    <cellStyle name="Comma" xfId="1" builtinId="3"/>
    <cellStyle name="Comma 2" xfId="2" xr:uid="{00000000-0005-0000-0000-000002000000}"/>
    <cellStyle name="Comma_agri planning 2009 year book(final)" xfId="7" xr:uid="{B79AF040-45F1-4E9E-8D37-925BE2973498}"/>
    <cellStyle name="Normal" xfId="0" builtinId="0"/>
    <cellStyle name="Normal 2_agri planning 2009 year book(final)" xfId="3" xr:uid="{00000000-0005-0000-0000-000005000000}"/>
    <cellStyle name="Normal 3_agri planning 2009 year book(final)" xfId="5" xr:uid="{00000000-0005-0000-0000-000006000000}"/>
    <cellStyle name="Normal 4_agri planning 2009 year book(final)" xfId="4" xr:uid="{00000000-0005-0000-0000-000007000000}"/>
  </cellStyles>
  <dxfs count="0"/>
  <tableStyles count="0" defaultTableStyle="TableStyleMedium2" defaultPivotStyle="PivotStyleLight16"/>
  <colors>
    <mruColors>
      <color rgb="FFFFD5D5"/>
      <color rgb="FFFFA7A7"/>
      <color rgb="FFFFE5E5"/>
      <color rgb="FF249390"/>
      <color rgb="FF33CCCC"/>
      <color rgb="FFEAFAFA"/>
      <color rgb="FFFF9900"/>
      <color rgb="FF196563"/>
      <color rgb="FF00FFCC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9.4: Value of Agricultural Products Traded in Male' Market,  2017 - 2019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2397315031567"/>
          <c:y val="5.177993527508090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601939714800604"/>
          <c:y val="0.17171296296296301"/>
          <c:w val="0.87308791529263952"/>
          <c:h val="0.719334354039078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'[1]9.18'!$K$6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'[1]9.18'!$A$8:$A$19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'[1]9.18'!$K$8:$K$19</c:f>
              <c:numCache>
                <c:formatCode>General</c:formatCode>
                <c:ptCount val="12"/>
                <c:pt idx="0">
                  <c:v>8451.4959999999992</c:v>
                </c:pt>
                <c:pt idx="1">
                  <c:v>8453.8235000000004</c:v>
                </c:pt>
                <c:pt idx="2">
                  <c:v>7567.4920000000002</c:v>
                </c:pt>
                <c:pt idx="3">
                  <c:v>7684.7669999999998</c:v>
                </c:pt>
                <c:pt idx="4">
                  <c:v>4452.6779999999999</c:v>
                </c:pt>
                <c:pt idx="5">
                  <c:v>8162.3275000000003</c:v>
                </c:pt>
                <c:pt idx="6">
                  <c:v>3507.6289999999999</c:v>
                </c:pt>
                <c:pt idx="7">
                  <c:v>4520.3270000000002</c:v>
                </c:pt>
                <c:pt idx="8">
                  <c:v>247.465</c:v>
                </c:pt>
                <c:pt idx="9">
                  <c:v>3873.07</c:v>
                </c:pt>
                <c:pt idx="10">
                  <c:v>2455.6325000000002</c:v>
                </c:pt>
                <c:pt idx="11">
                  <c:v>4703.3100000000004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74-4A38-9355-D2D58F11A9F6}"/>
            </c:ext>
          </c:extLst>
        </c:ser>
        <c:ser>
          <c:idx val="1"/>
          <c:order val="1"/>
          <c:tx>
            <c:strRef>
              <c:f>'[1]9.18'!$L$6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'[1]9.18'!$A$8:$A$19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'[1]9.18'!$L$8:$L$19</c:f>
              <c:numCache>
                <c:formatCode>General</c:formatCode>
                <c:ptCount val="12"/>
                <c:pt idx="0">
                  <c:v>3998.6889999999999</c:v>
                </c:pt>
                <c:pt idx="1">
                  <c:v>5869.7790000000005</c:v>
                </c:pt>
                <c:pt idx="2">
                  <c:v>5047.7060000000001</c:v>
                </c:pt>
                <c:pt idx="3">
                  <c:v>6195.2209999999995</c:v>
                </c:pt>
                <c:pt idx="4">
                  <c:v>5648.06</c:v>
                </c:pt>
                <c:pt idx="5">
                  <c:v>4394.7749999999996</c:v>
                </c:pt>
                <c:pt idx="6">
                  <c:v>1475.635</c:v>
                </c:pt>
                <c:pt idx="7">
                  <c:v>2343.393</c:v>
                </c:pt>
                <c:pt idx="8">
                  <c:v>736.4</c:v>
                </c:pt>
                <c:pt idx="9">
                  <c:v>3165.0529999999999</c:v>
                </c:pt>
                <c:pt idx="10">
                  <c:v>2708.9949999999999</c:v>
                </c:pt>
                <c:pt idx="11">
                  <c:v>1875.7750000000001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74-4A38-9355-D2D58F11A9F6}"/>
            </c:ext>
          </c:extLst>
        </c:ser>
        <c:ser>
          <c:idx val="2"/>
          <c:order val="2"/>
          <c:tx>
            <c:strRef>
              <c:f>'[1]9.18'!$M$6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'[1]9.18'!$A$8:$A$19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'[1]9.18'!$M$8:$M$19</c:f>
              <c:numCache>
                <c:formatCode>General</c:formatCode>
                <c:ptCount val="12"/>
                <c:pt idx="0">
                  <c:v>2618.08</c:v>
                </c:pt>
                <c:pt idx="1">
                  <c:v>2885.299</c:v>
                </c:pt>
                <c:pt idx="2">
                  <c:v>2069.3150000000001</c:v>
                </c:pt>
                <c:pt idx="3">
                  <c:v>235.05</c:v>
                </c:pt>
                <c:pt idx="4">
                  <c:v>5236</c:v>
                </c:pt>
                <c:pt idx="5">
                  <c:v>3785.75</c:v>
                </c:pt>
                <c:pt idx="6">
                  <c:v>3096.165</c:v>
                </c:pt>
                <c:pt idx="7">
                  <c:v>1528.56</c:v>
                </c:pt>
                <c:pt idx="8">
                  <c:v>2215.1</c:v>
                </c:pt>
                <c:pt idx="9">
                  <c:v>1908.519</c:v>
                </c:pt>
                <c:pt idx="10">
                  <c:v>2635.1750000000002</c:v>
                </c:pt>
                <c:pt idx="11">
                  <c:v>1911.08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74-4A38-9355-D2D58F11A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"/>
        <c:overlap val="3"/>
        <c:axId val="243221128"/>
        <c:axId val="243328800"/>
      </c:barChart>
      <c:catAx>
        <c:axId val="243221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328800"/>
        <c:crosses val="autoZero"/>
        <c:auto val="1"/>
        <c:lblAlgn val="ctr"/>
        <c:lblOffset val="100"/>
        <c:noMultiLvlLbl val="0"/>
      </c:catAx>
      <c:valAx>
        <c:axId val="2433288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221128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796840585246121"/>
          <c:y val="0.22661421845635776"/>
          <c:w val="0.15203530301955498"/>
          <c:h val="7.28160436256147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54534</xdr:colOff>
      <xdr:row>19</xdr:row>
      <xdr:rowOff>124394</xdr:rowOff>
    </xdr:from>
    <xdr:to>
      <xdr:col>0</xdr:col>
      <xdr:colOff>131502</xdr:colOff>
      <xdr:row>19</xdr:row>
      <xdr:rowOff>124397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4616FD6-2C03-46EC-A805-754FA5C428E6}"/>
            </a:ext>
          </a:extLst>
        </xdr:cNvPr>
        <xdr:cNvCxnSpPr/>
      </xdr:nvCxnSpPr>
      <xdr:spPr>
        <a:xfrm flipV="1">
          <a:off x="54534" y="5810819"/>
          <a:ext cx="76968" cy="3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381000</xdr:colOff>
      <xdr:row>33</xdr:row>
      <xdr:rowOff>0</xdr:rowOff>
    </xdr:from>
    <xdr:to>
      <xdr:col>0</xdr:col>
      <xdr:colOff>457200</xdr:colOff>
      <xdr:row>34</xdr:row>
      <xdr:rowOff>47624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CC35F0F8-09C0-4A7E-82F1-F8A950E098AF}"/>
            </a:ext>
          </a:extLst>
        </xdr:cNvPr>
        <xdr:cNvSpPr txBox="1">
          <a:spLocks noChangeArrowheads="1"/>
        </xdr:cNvSpPr>
      </xdr:nvSpPr>
      <xdr:spPr bwMode="auto">
        <a:xfrm>
          <a:off x="381000" y="817245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54534</xdr:colOff>
      <xdr:row>19</xdr:row>
      <xdr:rowOff>124394</xdr:rowOff>
    </xdr:from>
    <xdr:to>
      <xdr:col>0</xdr:col>
      <xdr:colOff>131502</xdr:colOff>
      <xdr:row>19</xdr:row>
      <xdr:rowOff>124397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A6B223D-3934-4C48-97A3-FA82F723C2E3}"/>
            </a:ext>
          </a:extLst>
        </xdr:cNvPr>
        <xdr:cNvCxnSpPr/>
      </xdr:nvCxnSpPr>
      <xdr:spPr>
        <a:xfrm flipV="1">
          <a:off x="54534" y="5810819"/>
          <a:ext cx="76968" cy="3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381000</xdr:colOff>
      <xdr:row>33</xdr:row>
      <xdr:rowOff>0</xdr:rowOff>
    </xdr:from>
    <xdr:to>
      <xdr:col>0</xdr:col>
      <xdr:colOff>457200</xdr:colOff>
      <xdr:row>34</xdr:row>
      <xdr:rowOff>47624</xdr:rowOff>
    </xdr:to>
    <xdr:sp macro="" textlink="">
      <xdr:nvSpPr>
        <xdr:cNvPr id="7" name="Text Box 3">
          <a:extLst>
            <a:ext uri="{FF2B5EF4-FFF2-40B4-BE49-F238E27FC236}">
              <a16:creationId xmlns:a16="http://schemas.microsoft.com/office/drawing/2014/main" id="{00452978-03FD-4F72-B40C-0122C3AC869C}"/>
            </a:ext>
          </a:extLst>
        </xdr:cNvPr>
        <xdr:cNvSpPr txBox="1">
          <a:spLocks noChangeArrowheads="1"/>
        </xdr:cNvSpPr>
      </xdr:nvSpPr>
      <xdr:spPr bwMode="auto">
        <a:xfrm>
          <a:off x="381000" y="817245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355377</xdr:colOff>
      <xdr:row>24</xdr:row>
      <xdr:rowOff>37026</xdr:rowOff>
    </xdr:from>
    <xdr:to>
      <xdr:col>15</xdr:col>
      <xdr:colOff>536352</xdr:colOff>
      <xdr:row>42</xdr:row>
      <xdr:rowOff>65601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11F4045-296D-45F7-948D-3C63CBF26E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54534</xdr:colOff>
      <xdr:row>19</xdr:row>
      <xdr:rowOff>124394</xdr:rowOff>
    </xdr:from>
    <xdr:to>
      <xdr:col>0</xdr:col>
      <xdr:colOff>131502</xdr:colOff>
      <xdr:row>19</xdr:row>
      <xdr:rowOff>124397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7441AFD-BFAB-48E7-AAB0-FA2212BE75AF}"/>
            </a:ext>
          </a:extLst>
        </xdr:cNvPr>
        <xdr:cNvCxnSpPr/>
      </xdr:nvCxnSpPr>
      <xdr:spPr>
        <a:xfrm flipV="1">
          <a:off x="54534" y="6925244"/>
          <a:ext cx="76968" cy="3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381000</xdr:colOff>
      <xdr:row>33</xdr:row>
      <xdr:rowOff>0</xdr:rowOff>
    </xdr:from>
    <xdr:to>
      <xdr:col>0</xdr:col>
      <xdr:colOff>457200</xdr:colOff>
      <xdr:row>34</xdr:row>
      <xdr:rowOff>47624</xdr:rowOff>
    </xdr:to>
    <xdr:sp macro="" textlink="">
      <xdr:nvSpPr>
        <xdr:cNvPr id="11" name="Text Box 3">
          <a:extLst>
            <a:ext uri="{FF2B5EF4-FFF2-40B4-BE49-F238E27FC236}">
              <a16:creationId xmlns:a16="http://schemas.microsoft.com/office/drawing/2014/main" id="{DF0E0CF4-F62D-445B-B0BA-421347005BB1}"/>
            </a:ext>
          </a:extLst>
        </xdr:cNvPr>
        <xdr:cNvSpPr txBox="1">
          <a:spLocks noChangeArrowheads="1"/>
        </xdr:cNvSpPr>
      </xdr:nvSpPr>
      <xdr:spPr bwMode="auto">
        <a:xfrm>
          <a:off x="381000" y="93440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39004</xdr:colOff>
      <xdr:row>19</xdr:row>
      <xdr:rowOff>114041</xdr:rowOff>
    </xdr:from>
    <xdr:to>
      <xdr:col>0</xdr:col>
      <xdr:colOff>115972</xdr:colOff>
      <xdr:row>19</xdr:row>
      <xdr:rowOff>114044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8DE755BC-50EF-4AFE-BAAA-AB603FB71FC6}"/>
            </a:ext>
          </a:extLst>
        </xdr:cNvPr>
        <xdr:cNvCxnSpPr/>
      </xdr:nvCxnSpPr>
      <xdr:spPr>
        <a:xfrm flipV="1">
          <a:off x="39004" y="6916133"/>
          <a:ext cx="76968" cy="3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600320</xdr:colOff>
      <xdr:row>19</xdr:row>
      <xdr:rowOff>115753</xdr:rowOff>
    </xdr:from>
    <xdr:to>
      <xdr:col>16</xdr:col>
      <xdr:colOff>677288</xdr:colOff>
      <xdr:row>19</xdr:row>
      <xdr:rowOff>115756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37D4E3EF-2BC5-4A09-9523-6C07746F2876}"/>
            </a:ext>
          </a:extLst>
        </xdr:cNvPr>
        <xdr:cNvCxnSpPr/>
      </xdr:nvCxnSpPr>
      <xdr:spPr>
        <a:xfrm flipV="1">
          <a:off x="10642983" y="6917845"/>
          <a:ext cx="76968" cy="3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381000</xdr:colOff>
      <xdr:row>33</xdr:row>
      <xdr:rowOff>0</xdr:rowOff>
    </xdr:from>
    <xdr:to>
      <xdr:col>0</xdr:col>
      <xdr:colOff>457200</xdr:colOff>
      <xdr:row>34</xdr:row>
      <xdr:rowOff>47624</xdr:rowOff>
    </xdr:to>
    <xdr:sp macro="" textlink="">
      <xdr:nvSpPr>
        <xdr:cNvPr id="14" name="Text Box 3">
          <a:extLst>
            <a:ext uri="{FF2B5EF4-FFF2-40B4-BE49-F238E27FC236}">
              <a16:creationId xmlns:a16="http://schemas.microsoft.com/office/drawing/2014/main" id="{878F4578-762D-4561-AF06-652E859672CB}"/>
            </a:ext>
          </a:extLst>
        </xdr:cNvPr>
        <xdr:cNvSpPr txBox="1">
          <a:spLocks noChangeArrowheads="1"/>
        </xdr:cNvSpPr>
      </xdr:nvSpPr>
      <xdr:spPr bwMode="auto">
        <a:xfrm>
          <a:off x="381000" y="93440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0.00712</cdr:x>
      <cdr:y>0.07767</cdr:y>
    </cdr:from>
    <cdr:to>
      <cdr:x>0.10399</cdr:x>
      <cdr:y>0.15534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7625" y="228601"/>
          <a:ext cx="64770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/>
            <a:t>in MVR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3\RECEIVED\9.%20FISHERIES%20AND%20AGRICULTURE%20-%20Agri.xlsx" TargetMode="External"/><Relationship Id="rId1" Type="http://schemas.openxmlformats.org/officeDocument/2006/relationships/externalLinkPath" Target="/Dissemination/Publications/Statistical%20Year%20Book/YEARBOOK%202023/RECEIVED/9.%20FISHERIES%20AND%20AGRICULTURE%20-%20Ag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9.15"/>
      <sheetName val="9.16"/>
      <sheetName val="9.17"/>
      <sheetName val="9.18"/>
      <sheetName val="9.19"/>
      <sheetName val="9.20"/>
    </sheetNames>
    <sheetDataSet>
      <sheetData sheetId="0"/>
      <sheetData sheetId="1"/>
      <sheetData sheetId="2"/>
      <sheetData sheetId="3">
        <row r="6">
          <cell r="K6">
            <v>2017</v>
          </cell>
          <cell r="L6">
            <v>2018</v>
          </cell>
          <cell r="M6">
            <v>2019</v>
          </cell>
        </row>
        <row r="8">
          <cell r="A8" t="str">
            <v>January</v>
          </cell>
          <cell r="K8">
            <v>8451.4959999999992</v>
          </cell>
          <cell r="L8">
            <v>3998.6889999999999</v>
          </cell>
          <cell r="M8">
            <v>2618.08</v>
          </cell>
        </row>
        <row r="9">
          <cell r="A9" t="str">
            <v>February</v>
          </cell>
          <cell r="K9">
            <v>8453.8235000000004</v>
          </cell>
          <cell r="L9">
            <v>5869.7790000000005</v>
          </cell>
          <cell r="M9">
            <v>2885.299</v>
          </cell>
        </row>
        <row r="10">
          <cell r="A10" t="str">
            <v>March</v>
          </cell>
          <cell r="K10">
            <v>7567.4920000000002</v>
          </cell>
          <cell r="L10">
            <v>5047.7060000000001</v>
          </cell>
          <cell r="M10">
            <v>2069.3150000000001</v>
          </cell>
        </row>
        <row r="11">
          <cell r="A11" t="str">
            <v>April</v>
          </cell>
          <cell r="K11">
            <v>7684.7669999999998</v>
          </cell>
          <cell r="L11">
            <v>6195.2209999999995</v>
          </cell>
          <cell r="M11">
            <v>235.05</v>
          </cell>
        </row>
        <row r="12">
          <cell r="A12" t="str">
            <v>May</v>
          </cell>
          <cell r="K12">
            <v>4452.6779999999999</v>
          </cell>
          <cell r="L12">
            <v>5648.06</v>
          </cell>
          <cell r="M12">
            <v>5236</v>
          </cell>
        </row>
        <row r="13">
          <cell r="A13" t="str">
            <v>June</v>
          </cell>
          <cell r="K13">
            <v>8162.3275000000003</v>
          </cell>
          <cell r="L13">
            <v>4394.7749999999996</v>
          </cell>
          <cell r="M13">
            <v>3785.75</v>
          </cell>
        </row>
        <row r="14">
          <cell r="A14" t="str">
            <v>July</v>
          </cell>
          <cell r="K14">
            <v>3507.6289999999999</v>
          </cell>
          <cell r="L14">
            <v>1475.635</v>
          </cell>
          <cell r="M14">
            <v>3096.165</v>
          </cell>
        </row>
        <row r="15">
          <cell r="A15" t="str">
            <v>August</v>
          </cell>
          <cell r="K15">
            <v>4520.3270000000002</v>
          </cell>
          <cell r="L15">
            <v>2343.393</v>
          </cell>
          <cell r="M15">
            <v>1528.56</v>
          </cell>
        </row>
        <row r="16">
          <cell r="A16" t="str">
            <v>September</v>
          </cell>
          <cell r="K16">
            <v>247.465</v>
          </cell>
          <cell r="L16">
            <v>736.4</v>
          </cell>
          <cell r="M16">
            <v>2215.1</v>
          </cell>
        </row>
        <row r="17">
          <cell r="A17" t="str">
            <v>October</v>
          </cell>
          <cell r="K17">
            <v>3873.07</v>
          </cell>
          <cell r="L17">
            <v>3165.0529999999999</v>
          </cell>
          <cell r="M17">
            <v>1908.519</v>
          </cell>
        </row>
        <row r="18">
          <cell r="A18" t="str">
            <v>November</v>
          </cell>
          <cell r="K18">
            <v>2455.6325000000002</v>
          </cell>
          <cell r="L18">
            <v>2708.9949999999999</v>
          </cell>
          <cell r="M18">
            <v>2635.1750000000002</v>
          </cell>
        </row>
        <row r="19">
          <cell r="A19" t="str">
            <v>December</v>
          </cell>
          <cell r="K19">
            <v>4703.3100000000004</v>
          </cell>
          <cell r="L19">
            <v>1875.7750000000001</v>
          </cell>
          <cell r="M19">
            <v>1911.08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676D4-8EA6-46F4-8E88-D522E12F4A7B}">
  <sheetPr>
    <tabColor rgb="FFFFC000"/>
  </sheetPr>
  <dimension ref="A1:Y29"/>
  <sheetViews>
    <sheetView tabSelected="1" topLeftCell="L1" zoomScale="142" zoomScaleNormal="142" zoomScaleSheetLayoutView="87" workbookViewId="0">
      <selection activeCell="W14" sqref="W14"/>
    </sheetView>
  </sheetViews>
  <sheetFormatPr defaultColWidth="13.28515625" defaultRowHeight="12.75" x14ac:dyDescent="0.2"/>
  <cols>
    <col min="1" max="1" width="10.5703125" style="6" customWidth="1"/>
    <col min="2" max="6" width="13.28515625" style="6" hidden="1" customWidth="1"/>
    <col min="7" max="8" width="13.28515625" style="6"/>
    <col min="9" max="9" width="14.5703125" style="6" customWidth="1"/>
    <col min="10" max="13" width="13.28515625" style="6"/>
    <col min="14" max="14" width="13.42578125" style="6" customWidth="1"/>
    <col min="15" max="15" width="11.85546875" style="6" customWidth="1"/>
    <col min="16" max="16" width="13.28515625" style="6"/>
    <col min="17" max="17" width="14.5703125" style="6" customWidth="1"/>
    <col min="18" max="18" width="6.5703125" style="6" customWidth="1"/>
    <col min="19" max="16384" width="13.28515625" style="6"/>
  </cols>
  <sheetData>
    <row r="1" spans="1:25" s="4" customFormat="1" ht="21" x14ac:dyDescent="0.2">
      <c r="A1" s="53" t="s">
        <v>40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2"/>
      <c r="S1" s="3"/>
      <c r="T1" s="3"/>
    </row>
    <row r="2" spans="1:25" ht="15.75" x14ac:dyDescent="0.2">
      <c r="A2" s="54" t="s">
        <v>39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"/>
      <c r="S2" s="3"/>
      <c r="T2" s="3"/>
    </row>
    <row r="3" spans="1:25" ht="21" x14ac:dyDescent="0.2">
      <c r="A3" s="55" t="s">
        <v>29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7"/>
      <c r="S3" s="3"/>
      <c r="T3" s="3"/>
    </row>
    <row r="4" spans="1:25" s="4" customFormat="1" ht="15" hidden="1" customHeight="1" x14ac:dyDescent="0.2">
      <c r="A4" s="8"/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8"/>
      <c r="R4" s="8"/>
      <c r="S4" s="3"/>
      <c r="T4" s="3"/>
    </row>
    <row r="5" spans="1:25" ht="17.25" x14ac:dyDescent="0.2">
      <c r="A5" s="56" t="s">
        <v>1</v>
      </c>
      <c r="B5" s="58" t="s">
        <v>30</v>
      </c>
      <c r="C5" s="58"/>
      <c r="D5" s="58"/>
      <c r="E5" s="58"/>
      <c r="F5" s="59" t="s">
        <v>31</v>
      </c>
      <c r="G5" s="59"/>
      <c r="H5" s="59"/>
      <c r="I5" s="59"/>
      <c r="J5" s="59"/>
      <c r="K5" s="59"/>
      <c r="L5" s="59"/>
      <c r="M5" s="59"/>
      <c r="N5" s="59"/>
      <c r="O5" s="59"/>
      <c r="P5" s="62"/>
      <c r="Q5" s="60" t="s">
        <v>16</v>
      </c>
      <c r="R5" s="10"/>
      <c r="S5" s="11"/>
      <c r="T5" s="11"/>
    </row>
    <row r="6" spans="1:25" ht="15" x14ac:dyDescent="0.2">
      <c r="A6" s="57"/>
      <c r="B6" s="12">
        <v>2008</v>
      </c>
      <c r="C6" s="12">
        <v>2009</v>
      </c>
      <c r="D6" s="12">
        <v>2010</v>
      </c>
      <c r="E6" s="13">
        <v>2011</v>
      </c>
      <c r="F6" s="13">
        <v>2012</v>
      </c>
      <c r="G6" s="13">
        <v>2013</v>
      </c>
      <c r="H6" s="13">
        <v>2014</v>
      </c>
      <c r="I6" s="13">
        <v>2015</v>
      </c>
      <c r="J6" s="13">
        <v>2016</v>
      </c>
      <c r="K6" s="13">
        <v>2017</v>
      </c>
      <c r="L6" s="13">
        <v>2018</v>
      </c>
      <c r="M6" s="13">
        <v>2019</v>
      </c>
      <c r="N6" s="13">
        <v>2020</v>
      </c>
      <c r="O6" s="13">
        <v>2021</v>
      </c>
      <c r="P6" s="13">
        <v>2022</v>
      </c>
      <c r="Q6" s="61"/>
      <c r="R6" s="8"/>
      <c r="S6" s="3"/>
      <c r="T6" s="3"/>
    </row>
    <row r="7" spans="1:25" ht="21" x14ac:dyDescent="0.25">
      <c r="A7" s="9" t="s">
        <v>0</v>
      </c>
      <c r="B7" s="14">
        <f t="shared" ref="B7:J7" si="0">SUM(B8:B19)</f>
        <v>143654.00287666667</v>
      </c>
      <c r="C7" s="15">
        <f t="shared" si="0"/>
        <v>146369.77578333335</v>
      </c>
      <c r="D7" s="15">
        <f t="shared" si="0"/>
        <v>235977</v>
      </c>
      <c r="E7" s="15">
        <f t="shared" si="0"/>
        <v>169120562</v>
      </c>
      <c r="F7" s="15">
        <f t="shared" si="0"/>
        <v>88859.01</v>
      </c>
      <c r="G7" s="15">
        <f t="shared" si="0"/>
        <v>34592.806499999999</v>
      </c>
      <c r="H7" s="15">
        <f>SUM(H8:H19)</f>
        <v>33026.041000000005</v>
      </c>
      <c r="I7" s="15">
        <f t="shared" si="0"/>
        <v>71262.36599999998</v>
      </c>
      <c r="J7" s="15">
        <f t="shared" si="0"/>
        <v>65027.706999999995</v>
      </c>
      <c r="K7" s="15">
        <f>SUM(K8:K19)</f>
        <v>64080.017499999987</v>
      </c>
      <c r="L7" s="15">
        <f>SUM(L8:L19)</f>
        <v>43459.481000000007</v>
      </c>
      <c r="M7" s="15">
        <f>SUM(M8:M19)</f>
        <v>30124.093000000001</v>
      </c>
      <c r="N7" s="20" t="s">
        <v>35</v>
      </c>
      <c r="O7" s="15">
        <f>SUM(O8:O19)</f>
        <v>66100</v>
      </c>
      <c r="P7" s="15">
        <f>SUM(P8:P19)</f>
        <v>17655.866600000001</v>
      </c>
      <c r="Q7" s="16" t="s">
        <v>17</v>
      </c>
      <c r="R7" s="16"/>
      <c r="S7" s="3"/>
      <c r="T7" s="17"/>
      <c r="U7" s="17"/>
      <c r="W7" s="17"/>
      <c r="X7" s="17"/>
    </row>
    <row r="8" spans="1:25" ht="27.75" x14ac:dyDescent="0.25">
      <c r="A8" s="18" t="s">
        <v>2</v>
      </c>
      <c r="B8" s="19">
        <v>13000.027106666665</v>
      </c>
      <c r="C8" s="20">
        <v>14648.431366666669</v>
      </c>
      <c r="D8" s="20">
        <v>34189</v>
      </c>
      <c r="E8" s="20">
        <v>5372934</v>
      </c>
      <c r="F8" s="20">
        <v>13736.8205</v>
      </c>
      <c r="G8" s="20">
        <v>5494.0505000000003</v>
      </c>
      <c r="H8" s="20">
        <v>3075.7</v>
      </c>
      <c r="I8" s="20">
        <v>4503.7169999999996</v>
      </c>
      <c r="J8" s="20">
        <v>6955.9110000000001</v>
      </c>
      <c r="K8" s="20">
        <v>8451.4959999999992</v>
      </c>
      <c r="L8" s="20">
        <v>3998.6889999999999</v>
      </c>
      <c r="M8" s="20">
        <v>2618.08</v>
      </c>
      <c r="N8" s="20" t="s">
        <v>35</v>
      </c>
      <c r="O8" s="20" t="s">
        <v>35</v>
      </c>
      <c r="P8" s="20">
        <v>666.65780000000007</v>
      </c>
      <c r="Q8" s="21" t="s">
        <v>18</v>
      </c>
      <c r="R8" s="22"/>
      <c r="S8" s="23"/>
      <c r="T8" s="24"/>
      <c r="U8" s="25"/>
      <c r="V8" s="25"/>
      <c r="W8" s="20"/>
      <c r="X8" s="20"/>
      <c r="Y8" s="20"/>
    </row>
    <row r="9" spans="1:25" ht="21" x14ac:dyDescent="0.25">
      <c r="A9" s="18" t="s">
        <v>3</v>
      </c>
      <c r="B9" s="19">
        <v>11173.714066666671</v>
      </c>
      <c r="C9" s="20">
        <v>14087.22733333334</v>
      </c>
      <c r="D9" s="20">
        <v>23758</v>
      </c>
      <c r="E9" s="20">
        <v>250037</v>
      </c>
      <c r="F9" s="20">
        <v>13129.5085</v>
      </c>
      <c r="G9" s="20">
        <v>6652.4795000000004</v>
      </c>
      <c r="H9" s="20">
        <v>2827.83</v>
      </c>
      <c r="I9" s="20">
        <v>5279.8779999999997</v>
      </c>
      <c r="J9" s="20">
        <v>8760.8490000000002</v>
      </c>
      <c r="K9" s="20">
        <v>8453.8235000000004</v>
      </c>
      <c r="L9" s="20">
        <v>5869.7790000000005</v>
      </c>
      <c r="M9" s="20">
        <v>2885.299</v>
      </c>
      <c r="N9" s="20" t="s">
        <v>35</v>
      </c>
      <c r="O9" s="20" t="s">
        <v>35</v>
      </c>
      <c r="P9" s="20">
        <v>171.49510000000001</v>
      </c>
      <c r="Q9" s="21" t="s">
        <v>19</v>
      </c>
      <c r="R9" s="16"/>
      <c r="S9" s="26"/>
      <c r="T9" s="24"/>
      <c r="U9" s="25"/>
      <c r="V9" s="25"/>
      <c r="W9" s="20"/>
      <c r="X9" s="20"/>
      <c r="Y9" s="20"/>
    </row>
    <row r="10" spans="1:25" ht="36" x14ac:dyDescent="0.25">
      <c r="A10" s="18" t="s">
        <v>4</v>
      </c>
      <c r="B10" s="19">
        <v>13533.602203333332</v>
      </c>
      <c r="C10" s="20">
        <v>14675.16883333333</v>
      </c>
      <c r="D10" s="20">
        <v>23913</v>
      </c>
      <c r="E10" s="27">
        <v>0</v>
      </c>
      <c r="F10" s="20">
        <v>10113.8855</v>
      </c>
      <c r="G10" s="20">
        <v>2169.9749999999999</v>
      </c>
      <c r="H10" s="20">
        <v>4973.7240000000002</v>
      </c>
      <c r="I10" s="20">
        <v>9522.0540000000001</v>
      </c>
      <c r="J10" s="20">
        <v>4695.1750000000002</v>
      </c>
      <c r="K10" s="20">
        <v>7567.4920000000002</v>
      </c>
      <c r="L10" s="20">
        <v>5047.7060000000001</v>
      </c>
      <c r="M10" s="20">
        <v>2069.3150000000001</v>
      </c>
      <c r="N10" s="20" t="s">
        <v>35</v>
      </c>
      <c r="O10" s="20" t="s">
        <v>35</v>
      </c>
      <c r="P10" s="20">
        <v>1331.7803000000001</v>
      </c>
      <c r="Q10" s="21" t="s">
        <v>20</v>
      </c>
      <c r="R10" s="28"/>
      <c r="S10" s="23"/>
      <c r="T10" s="24"/>
      <c r="U10" s="25"/>
      <c r="V10" s="25"/>
      <c r="W10" s="20"/>
      <c r="X10" s="20"/>
      <c r="Y10" s="20"/>
    </row>
    <row r="11" spans="1:25" ht="36" x14ac:dyDescent="0.25">
      <c r="A11" s="18" t="s">
        <v>5</v>
      </c>
      <c r="B11" s="19">
        <v>10122.422666666665</v>
      </c>
      <c r="C11" s="20">
        <v>12347.459500000001</v>
      </c>
      <c r="D11" s="20">
        <v>22781</v>
      </c>
      <c r="E11" s="20">
        <v>14202104</v>
      </c>
      <c r="F11" s="20">
        <v>8310.6272499999995</v>
      </c>
      <c r="G11" s="20">
        <v>4903.4449999999997</v>
      </c>
      <c r="H11" s="20">
        <v>3393.68</v>
      </c>
      <c r="I11" s="20">
        <v>7013.7860000000001</v>
      </c>
      <c r="J11" s="20">
        <v>7632.6350000000002</v>
      </c>
      <c r="K11" s="20">
        <v>7684.7669999999998</v>
      </c>
      <c r="L11" s="20">
        <v>6195.2209999999995</v>
      </c>
      <c r="M11" s="20">
        <v>235.05</v>
      </c>
      <c r="N11" s="20" t="s">
        <v>35</v>
      </c>
      <c r="O11" s="20" t="s">
        <v>35</v>
      </c>
      <c r="P11" s="20">
        <v>5027.9690000000001</v>
      </c>
      <c r="Q11" s="21" t="s">
        <v>32</v>
      </c>
      <c r="R11" s="28"/>
      <c r="S11" s="23"/>
      <c r="T11" s="24"/>
      <c r="U11" s="25"/>
      <c r="V11" s="25"/>
      <c r="W11" s="20"/>
      <c r="X11" s="20"/>
      <c r="Y11" s="20"/>
    </row>
    <row r="12" spans="1:25" ht="36" x14ac:dyDescent="0.25">
      <c r="A12" s="18" t="s">
        <v>6</v>
      </c>
      <c r="B12" s="19">
        <v>11974.432499999997</v>
      </c>
      <c r="C12" s="20">
        <v>8401.7029999999995</v>
      </c>
      <c r="D12" s="20">
        <v>25986</v>
      </c>
      <c r="E12" s="20">
        <v>14510890</v>
      </c>
      <c r="F12" s="20">
        <v>9784.75</v>
      </c>
      <c r="G12" s="20">
        <v>1682.45</v>
      </c>
      <c r="H12" s="20">
        <v>1162.385</v>
      </c>
      <c r="I12" s="20">
        <v>6975.7489999999998</v>
      </c>
      <c r="J12" s="20">
        <v>4402.1400000000003</v>
      </c>
      <c r="K12" s="20">
        <v>4452.6779999999999</v>
      </c>
      <c r="L12" s="20">
        <v>5648.06</v>
      </c>
      <c r="M12" s="20">
        <v>5236</v>
      </c>
      <c r="N12" s="20" t="s">
        <v>35</v>
      </c>
      <c r="O12" s="20" t="s">
        <v>35</v>
      </c>
      <c r="P12" s="20">
        <v>155.0582</v>
      </c>
      <c r="Q12" s="21" t="s">
        <v>21</v>
      </c>
      <c r="R12" s="28"/>
      <c r="S12" s="23"/>
      <c r="T12" s="24"/>
      <c r="U12" s="25"/>
      <c r="V12" s="25"/>
      <c r="W12" s="20"/>
      <c r="X12" s="20"/>
      <c r="Y12" s="20"/>
    </row>
    <row r="13" spans="1:25" ht="36" x14ac:dyDescent="0.25">
      <c r="A13" s="18" t="s">
        <v>7</v>
      </c>
      <c r="B13" s="19">
        <v>10004.824499999997</v>
      </c>
      <c r="C13" s="20">
        <v>11568.870999999999</v>
      </c>
      <c r="D13" s="20">
        <v>30687</v>
      </c>
      <c r="E13" s="20">
        <v>22459504</v>
      </c>
      <c r="F13" s="27" t="s">
        <v>14</v>
      </c>
      <c r="G13" s="20">
        <v>629.17499999999995</v>
      </c>
      <c r="H13" s="20">
        <v>135.19999999999999</v>
      </c>
      <c r="I13" s="20">
        <v>13550.741</v>
      </c>
      <c r="J13" s="20">
        <v>17783.645</v>
      </c>
      <c r="K13" s="20">
        <v>8162.3275000000003</v>
      </c>
      <c r="L13" s="20">
        <v>4394.7749999999996</v>
      </c>
      <c r="M13" s="20">
        <v>3785.75</v>
      </c>
      <c r="N13" s="20" t="s">
        <v>35</v>
      </c>
      <c r="O13" s="20" t="s">
        <v>35</v>
      </c>
      <c r="P13" s="20">
        <v>728.67049999999995</v>
      </c>
      <c r="Q13" s="21" t="s">
        <v>22</v>
      </c>
      <c r="R13" s="28"/>
      <c r="S13" s="23"/>
      <c r="T13" s="24"/>
      <c r="U13" s="25"/>
      <c r="V13" s="25"/>
      <c r="W13" s="20"/>
      <c r="X13" s="20"/>
      <c r="Y13" s="20"/>
    </row>
    <row r="14" spans="1:25" ht="36" x14ac:dyDescent="0.25">
      <c r="A14" s="18" t="s">
        <v>8</v>
      </c>
      <c r="B14" s="19">
        <v>10589.222333333331</v>
      </c>
      <c r="C14" s="20">
        <v>10521.87725</v>
      </c>
      <c r="D14" s="20">
        <v>36341</v>
      </c>
      <c r="E14" s="20">
        <v>22884935</v>
      </c>
      <c r="F14" s="20">
        <v>7576.585</v>
      </c>
      <c r="G14" s="29" t="s">
        <v>14</v>
      </c>
      <c r="H14" s="29">
        <v>10021.85</v>
      </c>
      <c r="I14" s="29">
        <v>8491.7849999999999</v>
      </c>
      <c r="J14" s="30">
        <v>3498.8449999999998</v>
      </c>
      <c r="K14" s="30">
        <v>3507.6289999999999</v>
      </c>
      <c r="L14" s="30">
        <v>1475.635</v>
      </c>
      <c r="M14" s="30">
        <v>3096.165</v>
      </c>
      <c r="N14" s="20" t="s">
        <v>35</v>
      </c>
      <c r="O14" s="20" t="s">
        <v>35</v>
      </c>
      <c r="P14" s="30">
        <v>1195.3119999999999</v>
      </c>
      <c r="Q14" s="21" t="s">
        <v>23</v>
      </c>
      <c r="R14" s="28"/>
      <c r="S14" s="23"/>
      <c r="T14" s="24"/>
      <c r="U14" s="25"/>
      <c r="V14" s="25"/>
      <c r="W14" s="20"/>
      <c r="X14" s="20"/>
      <c r="Y14" s="20"/>
    </row>
    <row r="15" spans="1:25" ht="36" x14ac:dyDescent="0.25">
      <c r="A15" s="18" t="s">
        <v>9</v>
      </c>
      <c r="B15" s="19">
        <v>11753.980333333329</v>
      </c>
      <c r="C15" s="20">
        <v>14592.931</v>
      </c>
      <c r="D15" s="20">
        <v>11056</v>
      </c>
      <c r="E15" s="20">
        <v>32929790</v>
      </c>
      <c r="F15" s="20">
        <v>4974.5874999999996</v>
      </c>
      <c r="G15" s="29" t="s">
        <v>14</v>
      </c>
      <c r="H15" s="29">
        <v>921.5</v>
      </c>
      <c r="I15" s="29">
        <v>3681.6990000000001</v>
      </c>
      <c r="J15" s="30">
        <v>1213.77</v>
      </c>
      <c r="K15" s="30">
        <v>4520.3270000000002</v>
      </c>
      <c r="L15" s="30">
        <v>2343.393</v>
      </c>
      <c r="M15" s="30">
        <v>1528.56</v>
      </c>
      <c r="N15" s="20" t="s">
        <v>35</v>
      </c>
      <c r="O15" s="20" t="s">
        <v>35</v>
      </c>
      <c r="P15" s="30">
        <v>728.80790000000002</v>
      </c>
      <c r="Q15" s="21" t="s">
        <v>24</v>
      </c>
      <c r="R15" s="28"/>
      <c r="S15" s="23"/>
      <c r="T15" s="24"/>
      <c r="U15" s="25"/>
      <c r="V15" s="25"/>
      <c r="W15" s="20"/>
      <c r="X15" s="20"/>
      <c r="Y15" s="20"/>
    </row>
    <row r="16" spans="1:25" ht="36" x14ac:dyDescent="0.25">
      <c r="A16" s="18" t="s">
        <v>10</v>
      </c>
      <c r="B16" s="19">
        <v>19023.001499999998</v>
      </c>
      <c r="C16" s="20">
        <v>14904.091</v>
      </c>
      <c r="D16" s="20">
        <v>4692</v>
      </c>
      <c r="E16" s="20">
        <v>23395592</v>
      </c>
      <c r="F16" s="27" t="s">
        <v>14</v>
      </c>
      <c r="G16" s="20">
        <v>7582.9790000000003</v>
      </c>
      <c r="H16" s="20">
        <v>1818.71</v>
      </c>
      <c r="I16" s="20">
        <v>2366.8200000000002</v>
      </c>
      <c r="J16" s="20">
        <v>4420.8180000000002</v>
      </c>
      <c r="K16" s="20">
        <v>247.465</v>
      </c>
      <c r="L16" s="20">
        <v>736.4</v>
      </c>
      <c r="M16" s="20">
        <v>2215.1</v>
      </c>
      <c r="N16" s="20" t="s">
        <v>35</v>
      </c>
      <c r="O16" s="20" t="s">
        <v>35</v>
      </c>
      <c r="P16" s="20">
        <v>2862.7606000000001</v>
      </c>
      <c r="Q16" s="21" t="s">
        <v>25</v>
      </c>
      <c r="R16" s="28"/>
      <c r="S16" s="23"/>
      <c r="T16" s="24"/>
      <c r="U16" s="25"/>
      <c r="V16" s="25"/>
      <c r="W16" s="20"/>
      <c r="X16" s="20"/>
      <c r="Y16" s="20"/>
    </row>
    <row r="17" spans="1:25" ht="36" x14ac:dyDescent="0.25">
      <c r="A17" s="18" t="s">
        <v>11</v>
      </c>
      <c r="B17" s="19">
        <v>8935.3272500000021</v>
      </c>
      <c r="C17" s="20">
        <v>11448.352500000001</v>
      </c>
      <c r="D17" s="20">
        <v>5618</v>
      </c>
      <c r="E17" s="20">
        <v>13496820</v>
      </c>
      <c r="F17" s="20">
        <v>3558.34175</v>
      </c>
      <c r="G17" s="20">
        <v>3918.48</v>
      </c>
      <c r="H17" s="20">
        <v>1463.45</v>
      </c>
      <c r="I17" s="20">
        <v>4383.7449999999999</v>
      </c>
      <c r="J17" s="20">
        <v>3415.4189999999999</v>
      </c>
      <c r="K17" s="20">
        <v>3873.07</v>
      </c>
      <c r="L17" s="20">
        <v>3165.0529999999999</v>
      </c>
      <c r="M17" s="20">
        <v>1908.519</v>
      </c>
      <c r="N17" s="20" t="s">
        <v>35</v>
      </c>
      <c r="O17" s="20" t="s">
        <v>35</v>
      </c>
      <c r="P17" s="20">
        <v>1299.1563000000001</v>
      </c>
      <c r="Q17" s="21" t="s">
        <v>26</v>
      </c>
      <c r="R17" s="28"/>
      <c r="S17" s="23"/>
      <c r="T17" s="24"/>
      <c r="U17" s="25"/>
      <c r="V17" s="25"/>
      <c r="W17" s="20"/>
      <c r="X17" s="20"/>
      <c r="Y17" s="20"/>
    </row>
    <row r="18" spans="1:25" ht="36" x14ac:dyDescent="0.25">
      <c r="A18" s="18" t="s">
        <v>12</v>
      </c>
      <c r="B18" s="19">
        <v>11802.18075</v>
      </c>
      <c r="C18" s="20">
        <v>11841.538</v>
      </c>
      <c r="D18" s="20">
        <v>7230</v>
      </c>
      <c r="E18" s="20">
        <v>8414125</v>
      </c>
      <c r="F18" s="20">
        <v>9511.2639999999992</v>
      </c>
      <c r="G18" s="20">
        <v>386.66500000000002</v>
      </c>
      <c r="H18" s="20">
        <v>2034.43</v>
      </c>
      <c r="I18" s="29" t="s">
        <v>14</v>
      </c>
      <c r="J18" s="20">
        <v>1232.5</v>
      </c>
      <c r="K18" s="20">
        <v>2455.6325000000002</v>
      </c>
      <c r="L18" s="20">
        <v>2708.9949999999999</v>
      </c>
      <c r="M18" s="20">
        <v>2635.1750000000002</v>
      </c>
      <c r="N18" s="20" t="s">
        <v>35</v>
      </c>
      <c r="O18" s="20" t="s">
        <v>35</v>
      </c>
      <c r="P18" s="20">
        <v>1965.3988999999999</v>
      </c>
      <c r="Q18" s="21" t="s">
        <v>27</v>
      </c>
      <c r="R18" s="28"/>
      <c r="S18" s="23"/>
      <c r="T18" s="24"/>
      <c r="U18" s="25"/>
      <c r="V18" s="25"/>
      <c r="W18" s="20"/>
      <c r="X18" s="20"/>
      <c r="Y18" s="20"/>
    </row>
    <row r="19" spans="1:25" ht="21" x14ac:dyDescent="0.25">
      <c r="A19" s="31" t="s">
        <v>13</v>
      </c>
      <c r="B19" s="32">
        <v>11741.267666666674</v>
      </c>
      <c r="C19" s="33">
        <v>7332.125</v>
      </c>
      <c r="D19" s="33">
        <v>9726</v>
      </c>
      <c r="E19" s="33">
        <v>11203831</v>
      </c>
      <c r="F19" s="33">
        <v>8162.64</v>
      </c>
      <c r="G19" s="33">
        <v>1173.1075000000001</v>
      </c>
      <c r="H19" s="33">
        <v>1197.5820000000001</v>
      </c>
      <c r="I19" s="33">
        <v>5492.3919999999998</v>
      </c>
      <c r="J19" s="33">
        <v>1016</v>
      </c>
      <c r="K19" s="33">
        <v>4703.3100000000004</v>
      </c>
      <c r="L19" s="33">
        <v>1875.7750000000001</v>
      </c>
      <c r="M19" s="33">
        <v>1911.08</v>
      </c>
      <c r="N19" s="33" t="s">
        <v>35</v>
      </c>
      <c r="O19" s="33">
        <v>66100</v>
      </c>
      <c r="P19" s="33">
        <v>1522.8</v>
      </c>
      <c r="Q19" s="33" t="s">
        <v>28</v>
      </c>
      <c r="R19" s="16"/>
      <c r="S19" s="23"/>
      <c r="T19" s="24"/>
      <c r="U19" s="25"/>
      <c r="V19" s="25"/>
      <c r="W19" s="20"/>
      <c r="X19" s="20"/>
      <c r="Y19" s="20"/>
    </row>
    <row r="20" spans="1:25" s="38" customFormat="1" ht="18" x14ac:dyDescent="0.45">
      <c r="A20" s="34" t="s">
        <v>33</v>
      </c>
      <c r="B20" s="35"/>
      <c r="C20" s="36"/>
      <c r="D20" s="36"/>
      <c r="E20" s="36"/>
      <c r="F20" s="36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1" t="s">
        <v>36</v>
      </c>
      <c r="R20" s="37"/>
      <c r="U20" s="39"/>
    </row>
    <row r="21" spans="1:25" s="40" customFormat="1" ht="33" customHeight="1" x14ac:dyDescent="0.25">
      <c r="A21" s="63" t="s">
        <v>38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4" t="s">
        <v>37</v>
      </c>
      <c r="N21" s="64"/>
      <c r="O21" s="64"/>
      <c r="P21" s="64"/>
      <c r="Q21" s="64"/>
      <c r="R21" s="41"/>
      <c r="S21" s="42"/>
      <c r="T21" s="42"/>
      <c r="U21" s="39"/>
    </row>
    <row r="22" spans="1:25" s="40" customFormat="1" ht="17.25" x14ac:dyDescent="0.25">
      <c r="A22" s="43" t="s">
        <v>15</v>
      </c>
      <c r="B22" s="43"/>
      <c r="C22" s="44"/>
      <c r="D22" s="44"/>
      <c r="G22" s="45"/>
      <c r="H22" s="45"/>
      <c r="I22" s="45"/>
      <c r="J22" s="45"/>
      <c r="K22" s="44"/>
      <c r="L22" s="44"/>
      <c r="M22" s="44"/>
      <c r="N22" s="44"/>
      <c r="O22" s="44"/>
      <c r="P22" s="44"/>
      <c r="Q22" s="65" t="s">
        <v>34</v>
      </c>
      <c r="R22" s="46"/>
      <c r="S22" s="42"/>
      <c r="T22" s="42"/>
      <c r="U22" s="39"/>
      <c r="V22" s="47"/>
      <c r="W22" s="48"/>
      <c r="X22" s="48"/>
      <c r="Y22" s="48"/>
    </row>
    <row r="23" spans="1:25" ht="15" x14ac:dyDescent="0.25">
      <c r="R23" s="10"/>
      <c r="S23" s="11"/>
      <c r="T23" s="11"/>
      <c r="U23" s="25"/>
      <c r="V23" s="23"/>
      <c r="W23" s="20"/>
      <c r="X23" s="20"/>
      <c r="Y23" s="20"/>
    </row>
    <row r="24" spans="1:25" ht="15" x14ac:dyDescent="0.25">
      <c r="A24" s="49"/>
      <c r="B24" s="49"/>
      <c r="C24" s="49"/>
      <c r="D24" s="50"/>
      <c r="E24" s="51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10"/>
      <c r="R24" s="10"/>
      <c r="S24" s="11"/>
      <c r="T24" s="11"/>
      <c r="U24" s="25"/>
      <c r="V24" s="23"/>
      <c r="W24" s="20"/>
      <c r="X24" s="27"/>
      <c r="Y24" s="20"/>
    </row>
    <row r="25" spans="1:25" x14ac:dyDescent="0.2">
      <c r="A25" s="49"/>
      <c r="B25" s="49"/>
      <c r="C25" s="4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1"/>
      <c r="T25" s="11"/>
    </row>
    <row r="26" spans="1:25" x14ac:dyDescent="0.2">
      <c r="A26" s="49"/>
      <c r="B26" s="49"/>
      <c r="C26" s="49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1"/>
      <c r="T26" s="11"/>
    </row>
    <row r="27" spans="1:25" x14ac:dyDescent="0.2">
      <c r="A27" s="49"/>
      <c r="B27" s="49"/>
      <c r="C27" s="49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spans="1:25" x14ac:dyDescent="0.2">
      <c r="A28" s="49"/>
      <c r="B28" s="49"/>
      <c r="C28" s="49"/>
    </row>
    <row r="29" spans="1:25" x14ac:dyDescent="0.2">
      <c r="A29" s="49"/>
      <c r="B29" s="49"/>
      <c r="C29" s="49"/>
    </row>
  </sheetData>
  <mergeCells count="9">
    <mergeCell ref="A21:L21"/>
    <mergeCell ref="M21:Q21"/>
    <mergeCell ref="A5:A6"/>
    <mergeCell ref="B5:E5"/>
    <mergeCell ref="A1:Q1"/>
    <mergeCell ref="A2:Q2"/>
    <mergeCell ref="A3:Q3"/>
    <mergeCell ref="F5:O5"/>
    <mergeCell ref="Q5:Q6"/>
  </mergeCells>
  <pageMargins left="0.7" right="0.7" top="0.75" bottom="0.75" header="0.3" footer="0.3"/>
  <pageSetup scale="5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9.18</vt:lpstr>
      <vt:lpstr>'9.18'!Print_Area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2023-07-20T07:59:06Z</cp:lastPrinted>
  <dcterms:created xsi:type="dcterms:W3CDTF">2019-09-09T05:11:24Z</dcterms:created>
  <dcterms:modified xsi:type="dcterms:W3CDTF">2023-07-20T07:59:17Z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