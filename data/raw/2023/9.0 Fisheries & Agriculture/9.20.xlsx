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F21AC85A-1C65-4B78-867A-617A59C85FEC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20" sheetId="20" r:id="rId1"/>
  </sheets>
  <externalReferences>
    <externalReference r:id="rId2"/>
    <externalReference r:id="rId3"/>
  </externalReferences>
  <definedNames>
    <definedName name="_xlnm.Print_Area" localSheetId="0">'9.20'!$A$1:$Z$33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20" l="1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B8" i="20" l="1"/>
</calcChain>
</file>

<file path=xl/sharedStrings.xml><?xml version="1.0" encoding="utf-8"?>
<sst xmlns="http://schemas.openxmlformats.org/spreadsheetml/2006/main" count="89" uniqueCount="85">
  <si>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</si>
  <si>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</si>
  <si>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</si>
  <si>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</si>
  <si>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</si>
  <si>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</si>
  <si>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</si>
  <si>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</si>
  <si>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</si>
  <si>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</si>
  <si>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</si>
  <si>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</si>
  <si>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</si>
  <si>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</si>
  <si>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</si>
  <si>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</si>
  <si>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</si>
  <si>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</si>
  <si>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</si>
  <si>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</si>
  <si>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</si>
  <si>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</si>
  <si>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</si>
  <si>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</si>
  <si>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</si>
  <si>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</si>
  <si>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</si>
  <si>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</si>
  <si>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</si>
  <si>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</si>
  <si>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</si>
  <si>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</si>
  <si>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</si>
  <si>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</si>
  <si>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</si>
  <si>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</si>
  <si>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</si>
  <si>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</si>
  <si>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Total</t>
  </si>
  <si>
    <t xml:space="preserve"> AA</t>
  </si>
  <si>
    <t>ޖުމްލަ</t>
  </si>
  <si>
    <t>ދަނޑުވެރިކަމުގެ ބާވަތްތައް</t>
  </si>
  <si>
    <t>ފަތްކެޔޮ</t>
  </si>
  <si>
    <t>ގިތެޔޮމިރުސް</t>
  </si>
  <si>
    <t>ކިއުކަމްބަރ</t>
  </si>
  <si>
    <t>އަނބު</t>
  </si>
  <si>
    <t>ފަޅޯ</t>
  </si>
  <si>
    <t>ބަރަބޯ</t>
  </si>
  <si>
    <t>ކަރާ</t>
  </si>
  <si>
    <t>Agricultural Crops</t>
  </si>
  <si>
    <t>R</t>
  </si>
  <si>
    <t>އުފެއްދުނު އަތޮޅުތައް</t>
  </si>
  <si>
    <t>Watermelon</t>
  </si>
  <si>
    <t>Coconut (young)</t>
  </si>
  <si>
    <t>ކުރުނބާ</t>
  </si>
  <si>
    <t>Pumpkin</t>
  </si>
  <si>
    <t>Cucumber</t>
  </si>
  <si>
    <t>Banana</t>
  </si>
  <si>
    <t>Brinjal</t>
  </si>
  <si>
    <t>ބަށި</t>
  </si>
  <si>
    <t>Coconut</t>
  </si>
  <si>
    <t>ކާށި</t>
  </si>
  <si>
    <t>Bottle gourd</t>
  </si>
  <si>
    <t>Butternut</t>
  </si>
  <si>
    <t>ބަޓާނާ</t>
  </si>
  <si>
    <t>Chinese Cabbage</t>
  </si>
  <si>
    <t>ޗައިނީޒް ކެބެޖް</t>
  </si>
  <si>
    <t>Mango</t>
  </si>
  <si>
    <t>Wax gourd</t>
  </si>
  <si>
    <t>ފުފޫ</t>
  </si>
  <si>
    <t>Others</t>
  </si>
  <si>
    <t>އެހެނިހެން</t>
  </si>
  <si>
    <t xml:space="preserve">މައުލޫމާތު ދެއްވި ފަރާތް: އެގްރިކަލްޗަރ ޑާޓާ މެނޭޖްމަންޓް ޔުނިޓް/ މައުލޫމާތު ދެއްވި ފަރާތް: މިނިސްޓްރީ އޮފް ފިޝަރީޒް، މެރިން ރިސޯސަސް އެންޑް އެގްރިކަލްޗަރ </t>
  </si>
  <si>
    <t>ތާވަލު 9.20:  އަތޮޅުތަކުން މާލެ މާރުކޭޓަށް ވިއްކި ދަނޑުވެރިކަމުގެ ތަކެތި ، 2022</t>
  </si>
  <si>
    <t xml:space="preserve">       Table 9.20: AGRICULTURAL PRODUCTS TRADED IN MALE' MARKET BY ATOLLS, 2022</t>
  </si>
  <si>
    <t xml:space="preserve">            (Value in MVR)  (ރުފިޔާއިން)</t>
  </si>
  <si>
    <t>Producing by Atolls</t>
  </si>
  <si>
    <t>ޅ</t>
  </si>
  <si>
    <t>Betel leaf</t>
  </si>
  <si>
    <t>ބިލެއް</t>
  </si>
  <si>
    <t>Chilly</t>
  </si>
  <si>
    <t>Papaya</t>
  </si>
  <si>
    <t>ދިއްސާ</t>
  </si>
  <si>
    <t>Source:  Agriculture Data Management Unit/Ministry of Fisheries, Marine Resources and Agriculture</t>
  </si>
  <si>
    <t>ނޯޓް:  0 ޖެހިފައި ވަނީ އެކިއެކި ސަބަބުތަކާއިހުރެ ތަފާސްހިސާބު ލިބިފައި ނުވާތީއެވެ.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</si>
</sst>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8" formatCode="[$-409]mmmm\ d\,\ yyyy;@"/>
  </numFmts>
  <fonts count="2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10"/>
      <name val="MS Sans Serif"/>
      <family val="2"/>
    </font>
    <font>
      <sz val="10"/>
      <name val="Calibri"/>
      <family val="2"/>
      <scheme val="minor"/>
    </font>
    <font>
      <i/>
      <sz val="10"/>
      <name val="Calibri"/>
      <family val="2"/>
    </font>
    <font>
      <sz val="11"/>
      <name val="Courier"/>
      <family val="3"/>
    </font>
    <font>
      <b/>
      <sz val="9"/>
      <name val="A_Faseyha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i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Faruma"/>
    </font>
    <font>
      <sz val="10"/>
      <color indexed="8"/>
      <name val="Faruma"/>
    </font>
    <font>
      <b/>
      <sz val="12"/>
      <color indexed="8"/>
      <name val="Faruma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8">
    <xf numFmtId="0" fontId="0" fillId="0" borderId="0"/>
    <xf numFmtId="40" fontId="9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0" fontId="5" fillId="0" borderId="0"/>
    <xf numFmtId="0" fontId="14" fillId="0" borderId="0"/>
    <xf numFmtId="43" fontId="14" fillId="0" borderId="0" applyFont="0" applyFill="0" applyBorder="0" applyAlignment="0" applyProtection="0"/>
  </cellStyleXfs>
  <cellXfs count="59">
    <xf numFmtId="0" fontId="0" fillId="0" borderId="0" xfId="0"/>
    <xf numFmtId="0" fontId="16" fillId="2" borderId="3" xfId="3" applyNumberFormat="1" applyFont="1" applyFill="1" applyBorder="1" applyAlignment="1">
      <alignment horizontal="center" vertical="center"/>
    </xf>
    <xf numFmtId="0" fontId="16" fillId="2" borderId="3" xfId="3" applyNumberFormat="1" applyFont="1" applyFill="1" applyBorder="1" applyAlignment="1">
      <alignment vertical="center"/>
    </xf>
    <xf numFmtId="0" fontId="1" fillId="2" borderId="3" xfId="3" applyNumberFormat="1" applyFill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164" fontId="12" fillId="2" borderId="0" xfId="3" applyNumberFormat="1" applyFont="1" applyFill="1"/>
    <xf numFmtId="0" fontId="4" fillId="2" borderId="0" xfId="3" applyNumberFormat="1" applyFont="1" applyFill="1" applyAlignment="1">
      <alignment vertical="center"/>
    </xf>
    <xf numFmtId="0" fontId="21" fillId="2" borderId="0" xfId="2" applyNumberFormat="1" applyFont="1" applyFill="1" applyAlignment="1">
      <alignment horizontal="right" vertical="center"/>
    </xf>
    <xf numFmtId="164" fontId="1" fillId="2" borderId="0" xfId="4" applyNumberFormat="1" applyFill="1"/>
    <xf numFmtId="164" fontId="6" fillId="2" borderId="0" xfId="4" applyNumberFormat="1" applyFont="1" applyFill="1"/>
    <xf numFmtId="0" fontId="1" fillId="2" borderId="2" xfId="4" applyNumberFormat="1" applyFill="1" applyBorder="1" applyAlignment="1">
      <alignment vertical="center"/>
    </xf>
    <xf numFmtId="164" fontId="6" fillId="2" borderId="0" xfId="4" applyNumberFormat="1" applyFont="1" applyFill="1" applyAlignment="1">
      <alignment horizontal="center"/>
    </xf>
    <xf numFmtId="0" fontId="7" fillId="2" borderId="0" xfId="4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0" fontId="4" fillId="2" borderId="0" xfId="4" applyNumberFormat="1" applyFont="1" applyFill="1" applyAlignment="1">
      <alignment horizontal="center" vertical="center"/>
    </xf>
    <xf numFmtId="0" fontId="16" fillId="2" borderId="2" xfId="4" applyNumberFormat="1" applyFont="1" applyFill="1" applyBorder="1" applyAlignment="1">
      <alignment vertical="center"/>
    </xf>
    <xf numFmtId="3" fontId="16" fillId="2" borderId="2" xfId="3" applyNumberFormat="1" applyFont="1" applyFill="1" applyBorder="1" applyAlignment="1">
      <alignment horizontal="right"/>
    </xf>
    <xf numFmtId="3" fontId="2" fillId="2" borderId="2" xfId="3" applyNumberFormat="1" applyFont="1" applyFill="1" applyBorder="1" applyAlignment="1">
      <alignment horizontal="right"/>
    </xf>
    <xf numFmtId="0" fontId="15" fillId="2" borderId="2" xfId="4" applyNumberFormat="1" applyFont="1" applyFill="1" applyBorder="1" applyAlignment="1">
      <alignment vertical="center"/>
    </xf>
    <xf numFmtId="0" fontId="19" fillId="2" borderId="0" xfId="6" applyFont="1" applyFill="1" applyAlignment="1">
      <alignment horizontal="left" vertical="center" indent="2"/>
    </xf>
    <xf numFmtId="3" fontId="16" fillId="2" borderId="0" xfId="3" applyNumberFormat="1" applyFont="1" applyFill="1" applyAlignment="1">
      <alignment horizontal="right"/>
    </xf>
    <xf numFmtId="0" fontId="17" fillId="2" borderId="0" xfId="4" applyNumberFormat="1" applyFont="1" applyFill="1" applyAlignment="1">
      <alignment horizontal="right" vertical="center" indent="4"/>
    </xf>
    <xf numFmtId="0" fontId="19" fillId="2" borderId="0" xfId="6" applyFont="1" applyFill="1" applyAlignment="1">
      <alignment horizontal="left" indent="2"/>
    </xf>
    <xf numFmtId="0" fontId="4" fillId="2" borderId="0" xfId="3" applyNumberFormat="1" applyFont="1" applyFill="1" applyAlignment="1">
      <alignment horizontal="left" vertical="center" indent="2"/>
    </xf>
    <xf numFmtId="0" fontId="4" fillId="2" borderId="1" xfId="4" applyNumberFormat="1" applyFont="1" applyFill="1" applyBorder="1" applyAlignment="1">
      <alignment vertical="center"/>
    </xf>
    <xf numFmtId="3" fontId="16" fillId="2" borderId="1" xfId="3" applyNumberFormat="1" applyFont="1" applyFill="1" applyBorder="1" applyAlignment="1">
      <alignment horizontal="right"/>
    </xf>
    <xf numFmtId="0" fontId="17" fillId="2" borderId="1" xfId="4" applyNumberFormat="1" applyFont="1" applyFill="1" applyBorder="1" applyAlignment="1">
      <alignment horizontal="right" vertical="center" indent="4"/>
    </xf>
    <xf numFmtId="0" fontId="11" fillId="2" borderId="0" xfId="3" applyNumberFormat="1" applyFont="1" applyFill="1" applyAlignment="1">
      <alignment vertical="center"/>
    </xf>
    <xf numFmtId="0" fontId="4" fillId="2" borderId="0" xfId="4" applyNumberFormat="1" applyFont="1" applyFill="1" applyAlignment="1">
      <alignment vertical="center"/>
    </xf>
    <xf numFmtId="0" fontId="5" fillId="2" borderId="0" xfId="4" applyNumberFormat="1" applyFont="1" applyFill="1" applyAlignment="1">
      <alignment vertical="center"/>
    </xf>
    <xf numFmtId="0" fontId="1" fillId="2" borderId="0" xfId="4" applyNumberFormat="1" applyFill="1" applyAlignment="1">
      <alignment vertical="center"/>
    </xf>
    <xf numFmtId="3" fontId="4" fillId="2" borderId="0" xfId="4" applyNumberFormat="1" applyFont="1" applyFill="1" applyAlignment="1">
      <alignment vertical="center"/>
    </xf>
    <xf numFmtId="0" fontId="20" fillId="2" borderId="0" xfId="2" applyNumberFormat="1" applyFont="1" applyFill="1" applyAlignment="1">
      <alignment horizontal="right" vertical="center"/>
    </xf>
    <xf numFmtId="38" fontId="1" fillId="2" borderId="0" xfId="1" applyNumberFormat="1" applyFont="1" applyFill="1"/>
    <xf numFmtId="3" fontId="23" fillId="2" borderId="0" xfId="7" applyNumberFormat="1" applyFont="1" applyFill="1" applyBorder="1" applyAlignment="1">
      <alignment horizontal="right" vertical="center"/>
    </xf>
    <xf numFmtId="3" fontId="23" fillId="2" borderId="1" xfId="7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3" fontId="8" fillId="2" borderId="0" xfId="4" applyNumberFormat="1" applyFont="1" applyFill="1" applyAlignment="1">
      <alignment vertical="center"/>
    </xf>
    <xf numFmtId="3" fontId="14" fillId="2" borderId="0" xfId="3" applyNumberFormat="1" applyFont="1" applyFill="1" applyAlignment="1">
      <alignment horizontal="right" vertical="center"/>
    </xf>
    <xf numFmtId="3" fontId="14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>
      <alignment horizontal="right" vertical="center"/>
    </xf>
    <xf numFmtId="3" fontId="10" fillId="2" borderId="0" xfId="4" applyNumberFormat="1" applyFont="1" applyFill="1" applyAlignment="1">
      <alignment vertical="center"/>
    </xf>
    <xf numFmtId="3" fontId="4" fillId="2" borderId="0" xfId="1" quotePrefix="1" applyNumberFormat="1" applyFont="1" applyFill="1" applyBorder="1" applyAlignment="1">
      <alignment horizontal="right" vertical="center"/>
    </xf>
    <xf numFmtId="3" fontId="14" fillId="2" borderId="1" xfId="3" applyNumberFormat="1" applyFont="1" applyFill="1" applyBorder="1" applyAlignment="1">
      <alignment horizontal="right" vertical="center"/>
    </xf>
    <xf numFmtId="3" fontId="14" fillId="2" borderId="1" xfId="1" applyNumberFormat="1" applyFont="1" applyFill="1" applyBorder="1" applyAlignment="1">
      <alignment horizontal="right" vertical="center"/>
    </xf>
    <xf numFmtId="3" fontId="8" fillId="2" borderId="1" xfId="1" applyNumberFormat="1" applyFont="1" applyFill="1" applyBorder="1" applyAlignment="1">
      <alignment horizontal="right" vertical="center"/>
    </xf>
    <xf numFmtId="3" fontId="4" fillId="2" borderId="1" xfId="1" applyNumberFormat="1" applyFont="1" applyFill="1" applyBorder="1" applyAlignment="1">
      <alignment horizontal="right" vertical="center"/>
    </xf>
    <xf numFmtId="0" fontId="15" fillId="2" borderId="3" xfId="3" applyNumberFormat="1" applyFont="1" applyFill="1" applyBorder="1" applyAlignment="1">
      <alignment horizontal="center" vertical="center"/>
    </xf>
    <xf numFmtId="0" fontId="20" fillId="2" borderId="2" xfId="3" applyNumberFormat="1" applyFont="1" applyFill="1" applyBorder="1" applyAlignment="1">
      <alignment horizontal="right" vertical="center" wrapText="1"/>
    </xf>
    <xf numFmtId="0" fontId="16" fillId="2" borderId="2" xfId="3" applyNumberFormat="1" applyFont="1" applyFill="1" applyBorder="1" applyAlignment="1">
      <alignment horizontal="right" vertical="center"/>
    </xf>
    <xf numFmtId="0" fontId="16" fillId="2" borderId="0" xfId="3" applyNumberFormat="1" applyFont="1" applyFill="1" applyAlignment="1">
      <alignment horizontal="right" vertical="center"/>
    </xf>
    <xf numFmtId="0" fontId="16" fillId="2" borderId="3" xfId="3" applyNumberFormat="1" applyFont="1" applyFill="1" applyBorder="1" applyAlignment="1">
      <alignment horizontal="center" vertical="center"/>
    </xf>
    <xf numFmtId="0" fontId="16" fillId="2" borderId="1" xfId="3" applyNumberFormat="1" applyFont="1" applyFill="1" applyBorder="1" applyAlignment="1">
      <alignment horizontal="right" vertical="center"/>
    </xf>
    <xf numFmtId="0" fontId="22" fillId="2" borderId="0" xfId="4" applyNumberFormat="1" applyFont="1" applyFill="1" applyAlignment="1">
      <alignment horizontal="center" vertical="center"/>
    </xf>
    <xf numFmtId="0" fontId="16" fillId="2" borderId="0" xfId="4" applyNumberFormat="1" applyFont="1" applyFill="1" applyAlignment="1">
      <alignment horizontal="center" vertical="center"/>
    </xf>
    <xf numFmtId="0" fontId="15" fillId="2" borderId="0" xfId="4" applyNumberFormat="1" applyFont="1" applyFill="1" applyAlignment="1">
      <alignment horizontal="center" vertical="center"/>
    </xf>
    <xf numFmtId="0" fontId="15" fillId="2" borderId="2" xfId="4" applyNumberFormat="1" applyFont="1" applyFill="1" applyBorder="1" applyAlignment="1">
      <alignment horizontal="center" vertical="center"/>
    </xf>
    <xf numFmtId="0" fontId="15" fillId="2" borderId="1" xfId="4" applyNumberFormat="1" applyFont="1" applyFill="1" applyBorder="1" applyAlignment="1">
      <alignment horizontal="center" vertical="center"/>
    </xf>
  </cellXfs>
  <cellStyles count="8">
    <cellStyle name="1" xfId="5" xr:uid="{00000000-0005-0000-0000-000000000000}"/>
    <cellStyle name="Comma 2" xfId="1" xr:uid="{00000000-0005-0000-0000-000002000000}"/>
    <cellStyle name="Comma_agri planning 2009 year book(final)" xfId="7" xr:uid="{B79AF040-45F1-4E9E-8D37-925BE2973498}"/>
    <cellStyle name="Normal" xfId="0" builtinId="0"/>
    <cellStyle name="Normal 2_agri planning 2009 year book(final)" xfId="2" xr:uid="{00000000-0005-0000-0000-000005000000}"/>
    <cellStyle name="Normal 3_agri planning 2009 year book(final)" xfId="4" xr:uid="{00000000-0005-0000-0000-000006000000}"/>
    <cellStyle name="Normal 4_agri planning 2009 year book(final)" xfId="3" xr:uid="{00000000-0005-0000-0000-000007000000}"/>
    <cellStyle name="Normal_agri planning 2009 year book(final)" xfId="6" xr:uid="{0420BEC2-B9C4-4445-9203-73D13DA34D5D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Dissemination\Publications\Statistical%20Year%20Book\YEARBOOK%202021\YEARBOOK%202021_%20LATEST\FINAL%20TABLES\9.%20FISHERIES%20AND%20AGRICULTURE__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9.%20FISHERIES%20AND%20AGRICULTURE%20-%20Agri.xlsx" TargetMode="External"/><Relationship Id="rId1" Type="http://schemas.openxmlformats.org/officeDocument/2006/relationships/externalLinkPath" Target="/Dissemination/Publications/Statistical%20Year%20Book/YEARBOOK%202023/RECEIVED/9.%20FISHERIES%20AND%20AGRICULTURE%20-%20Ag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0">
          <cell r="Y40" t="str">
            <v>India</v>
          </cell>
          <cell r="Z40">
            <v>124404067.35999998</v>
          </cell>
        </row>
        <row r="41">
          <cell r="Y41" t="str">
            <v>U.A.E</v>
          </cell>
          <cell r="Z41">
            <v>89466498.949999988</v>
          </cell>
        </row>
        <row r="42">
          <cell r="Y42" t="str">
            <v>Srilanka</v>
          </cell>
          <cell r="Z42">
            <v>84504694.510000005</v>
          </cell>
        </row>
        <row r="43">
          <cell r="Y43" t="str">
            <v>Thailand</v>
          </cell>
          <cell r="Z43">
            <v>76314727.409999982</v>
          </cell>
        </row>
        <row r="44">
          <cell r="Y44" t="str">
            <v>Other Countries</v>
          </cell>
          <cell r="Z44">
            <v>42838737.359999999</v>
          </cell>
        </row>
        <row r="45">
          <cell r="Y45" t="str">
            <v>Australia</v>
          </cell>
          <cell r="Z45">
            <v>19911562.610000003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>
        <row r="6">
          <cell r="K6">
            <v>2017</v>
          </cell>
          <cell r="L6">
            <v>2018</v>
          </cell>
          <cell r="M6">
            <v>2019</v>
          </cell>
        </row>
        <row r="8">
          <cell r="A8" t="str">
            <v>January</v>
          </cell>
          <cell r="K8">
            <v>8451.4959999999992</v>
          </cell>
          <cell r="L8">
            <v>3998.6889999999999</v>
          </cell>
          <cell r="M8">
            <v>2618.08</v>
          </cell>
        </row>
        <row r="9">
          <cell r="A9" t="str">
            <v>February</v>
          </cell>
          <cell r="K9">
            <v>8453.8235000000004</v>
          </cell>
          <cell r="L9">
            <v>5869.7790000000005</v>
          </cell>
          <cell r="M9">
            <v>2885.299</v>
          </cell>
        </row>
        <row r="10">
          <cell r="A10" t="str">
            <v>March</v>
          </cell>
          <cell r="K10">
            <v>7567.4920000000002</v>
          </cell>
          <cell r="L10">
            <v>5047.7060000000001</v>
          </cell>
          <cell r="M10">
            <v>2069.3150000000001</v>
          </cell>
        </row>
        <row r="11">
          <cell r="A11" t="str">
            <v>April</v>
          </cell>
          <cell r="K11">
            <v>7684.7669999999998</v>
          </cell>
          <cell r="L11">
            <v>6195.2209999999995</v>
          </cell>
          <cell r="M11">
            <v>235.05</v>
          </cell>
        </row>
        <row r="12">
          <cell r="A12" t="str">
            <v>May</v>
          </cell>
          <cell r="K12">
            <v>4452.6779999999999</v>
          </cell>
          <cell r="L12">
            <v>5648.06</v>
          </cell>
          <cell r="M12">
            <v>5236</v>
          </cell>
        </row>
        <row r="13">
          <cell r="A13" t="str">
            <v>June</v>
          </cell>
          <cell r="K13">
            <v>8162.3275000000003</v>
          </cell>
          <cell r="L13">
            <v>4394.7749999999996</v>
          </cell>
          <cell r="M13">
            <v>3785.75</v>
          </cell>
        </row>
        <row r="14">
          <cell r="A14" t="str">
            <v>July</v>
          </cell>
          <cell r="K14">
            <v>3507.6289999999999</v>
          </cell>
          <cell r="L14">
            <v>1475.635</v>
          </cell>
          <cell r="M14">
            <v>3096.165</v>
          </cell>
        </row>
        <row r="15">
          <cell r="A15" t="str">
            <v>August</v>
          </cell>
          <cell r="K15">
            <v>4520.3270000000002</v>
          </cell>
          <cell r="L15">
            <v>2343.393</v>
          </cell>
          <cell r="M15">
            <v>1528.56</v>
          </cell>
        </row>
        <row r="16">
          <cell r="A16" t="str">
            <v>September</v>
          </cell>
          <cell r="K16">
            <v>247.465</v>
          </cell>
          <cell r="L16">
            <v>736.4</v>
          </cell>
          <cell r="M16">
            <v>2215.1</v>
          </cell>
        </row>
        <row r="17">
          <cell r="A17" t="str">
            <v>October</v>
          </cell>
          <cell r="K17">
            <v>3873.07</v>
          </cell>
          <cell r="L17">
            <v>3165.0529999999999</v>
          </cell>
          <cell r="M17">
            <v>1908.519</v>
          </cell>
        </row>
        <row r="18">
          <cell r="A18" t="str">
            <v>November</v>
          </cell>
          <cell r="K18">
            <v>2455.6325000000002</v>
          </cell>
          <cell r="L18">
            <v>2708.9949999999999</v>
          </cell>
          <cell r="M18">
            <v>2635.1750000000002</v>
          </cell>
        </row>
        <row r="19">
          <cell r="A19" t="str">
            <v>December</v>
          </cell>
          <cell r="K19">
            <v>4703.3100000000004</v>
          </cell>
          <cell r="L19">
            <v>1875.7750000000001</v>
          </cell>
          <cell r="M19">
            <v>1911.08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BC52-8C45-4EEE-B0EB-18572FCE26F8}">
  <dimension ref="A2:Z28"/>
  <sheetViews>
    <sheetView tabSelected="1" zoomScaleNormal="100" workbookViewId="0">
      <selection activeCell="AB20" sqref="AB20"/>
    </sheetView>
  </sheetViews>
  <sheetFormatPr defaultColWidth="11.28515625" defaultRowHeight="12" x14ac:dyDescent="0.15"/>
  <cols>
    <col min="1" max="1" width="18.28515625" style="8" customWidth="1"/>
    <col min="2" max="2" width="12.7109375" style="33" customWidth="1"/>
    <col min="3" max="3" width="12" style="33" customWidth="1"/>
    <col min="4" max="5" width="10.7109375" style="33" hidden="1" customWidth="1"/>
    <col min="6" max="6" width="10.7109375" style="33" customWidth="1"/>
    <col min="7" max="11" width="10.7109375" style="33" hidden="1" customWidth="1"/>
    <col min="12" max="12" width="13.5703125" style="33" customWidth="1"/>
    <col min="13" max="13" width="15.140625" style="33" customWidth="1"/>
    <col min="14" max="14" width="10.7109375" style="33" customWidth="1"/>
    <col min="15" max="16" width="10.7109375" style="33" hidden="1" customWidth="1"/>
    <col min="17" max="17" width="10.7109375" style="33" customWidth="1"/>
    <col min="18" max="18" width="10.7109375" style="8" customWidth="1"/>
    <col min="19" max="20" width="10.7109375" style="8" hidden="1" customWidth="1"/>
    <col min="21" max="21" width="10.7109375" style="8" customWidth="1"/>
    <col min="22" max="22" width="10.7109375" style="8" hidden="1" customWidth="1"/>
    <col min="23" max="24" width="10.7109375" style="8" customWidth="1"/>
    <col min="25" max="25" width="13.140625" style="8" customWidth="1"/>
    <col min="26" max="26" width="24" style="8" customWidth="1"/>
    <col min="27" max="16384" width="11.28515625" style="8"/>
  </cols>
  <sheetData>
    <row r="2" spans="1:26" ht="21.75" x14ac:dyDescent="0.15">
      <c r="A2" s="54" t="s">
        <v>73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s="9" customFormat="1" ht="17.25" customHeight="1" x14ac:dyDescent="0.15">
      <c r="A3" s="55" t="s">
        <v>74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s="9" customFormat="1" ht="21" x14ac:dyDescent="0.15">
      <c r="A4" s="56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s="11" customFormat="1" ht="21" x14ac:dyDescent="0.15">
      <c r="A5" s="10"/>
      <c r="B5" s="50" t="s">
        <v>38</v>
      </c>
      <c r="C5" s="52" t="s">
        <v>76</v>
      </c>
      <c r="D5" s="52"/>
      <c r="E5" s="52"/>
      <c r="F5" s="52"/>
      <c r="G5" s="52"/>
      <c r="H5" s="1"/>
      <c r="I5" s="2"/>
      <c r="J5" s="3"/>
      <c r="K5" s="3"/>
      <c r="L5" s="3"/>
      <c r="M5" s="3"/>
      <c r="N5" s="3"/>
      <c r="O5" s="3"/>
      <c r="P5" s="3"/>
      <c r="Q5" s="3"/>
      <c r="R5" s="3"/>
      <c r="S5" s="48" t="s">
        <v>51</v>
      </c>
      <c r="T5" s="48"/>
      <c r="U5" s="48"/>
      <c r="V5" s="48"/>
      <c r="W5" s="48"/>
      <c r="X5" s="48"/>
      <c r="Y5" s="48"/>
      <c r="Z5" s="57" t="s">
        <v>41</v>
      </c>
    </row>
    <row r="6" spans="1:26" s="11" customFormat="1" ht="12.75" customHeight="1" x14ac:dyDescent="0.15">
      <c r="A6" s="12" t="s">
        <v>49</v>
      </c>
      <c r="B6" s="51"/>
      <c r="C6" s="13" t="s">
        <v>1</v>
      </c>
      <c r="D6" s="13" t="s">
        <v>3</v>
      </c>
      <c r="E6" s="13" t="s">
        <v>5</v>
      </c>
      <c r="F6" s="13" t="s">
        <v>7</v>
      </c>
      <c r="G6" s="13" t="s">
        <v>9</v>
      </c>
      <c r="H6" s="13"/>
      <c r="I6" s="13" t="s">
        <v>11</v>
      </c>
      <c r="J6" s="13" t="s">
        <v>13</v>
      </c>
      <c r="K6" s="13" t="s">
        <v>77</v>
      </c>
      <c r="L6" s="13" t="s">
        <v>15</v>
      </c>
      <c r="M6" s="13" t="s">
        <v>16</v>
      </c>
      <c r="N6" s="13" t="s">
        <v>18</v>
      </c>
      <c r="O6" s="13" t="s">
        <v>20</v>
      </c>
      <c r="P6" s="13"/>
      <c r="Q6" s="13" t="s">
        <v>22</v>
      </c>
      <c r="R6" s="13" t="s">
        <v>24</v>
      </c>
      <c r="S6" s="13" t="s">
        <v>26</v>
      </c>
      <c r="T6" s="13" t="s">
        <v>28</v>
      </c>
      <c r="U6" s="13" t="s">
        <v>30</v>
      </c>
      <c r="V6" s="13" t="s">
        <v>32</v>
      </c>
      <c r="W6" s="13" t="s">
        <v>34</v>
      </c>
      <c r="X6" s="13" t="s">
        <v>36</v>
      </c>
      <c r="Y6" s="13" t="s">
        <v>37</v>
      </c>
      <c r="Z6" s="56"/>
    </row>
    <row r="7" spans="1:26" s="9" customFormat="1" ht="12.75" x14ac:dyDescent="0.15">
      <c r="A7" s="14"/>
      <c r="B7" s="53"/>
      <c r="C7" s="4" t="s">
        <v>0</v>
      </c>
      <c r="D7" s="4" t="s">
        <v>2</v>
      </c>
      <c r="E7" s="4" t="s">
        <v>4</v>
      </c>
      <c r="F7" s="4" t="s">
        <v>6</v>
      </c>
      <c r="G7" s="4" t="s">
        <v>8</v>
      </c>
      <c r="H7" s="4" t="s">
        <v>50</v>
      </c>
      <c r="I7" s="4" t="s">
        <v>10</v>
      </c>
      <c r="J7" s="4" t="s">
        <v>12</v>
      </c>
      <c r="K7" s="4" t="s">
        <v>12</v>
      </c>
      <c r="L7" s="4" t="s">
        <v>14</v>
      </c>
      <c r="M7" s="4" t="s">
        <v>39</v>
      </c>
      <c r="N7" s="4" t="s">
        <v>17</v>
      </c>
      <c r="O7" s="4" t="s">
        <v>19</v>
      </c>
      <c r="P7" s="4" t="s">
        <v>19</v>
      </c>
      <c r="Q7" s="4" t="s">
        <v>21</v>
      </c>
      <c r="R7" s="4" t="s">
        <v>23</v>
      </c>
      <c r="S7" s="4" t="s">
        <v>25</v>
      </c>
      <c r="T7" s="4" t="s">
        <v>27</v>
      </c>
      <c r="U7" s="4" t="s">
        <v>29</v>
      </c>
      <c r="V7" s="4" t="s">
        <v>31</v>
      </c>
      <c r="W7" s="4" t="s">
        <v>33</v>
      </c>
      <c r="X7" s="4" t="s">
        <v>35</v>
      </c>
      <c r="Y7" s="4" t="s">
        <v>5</v>
      </c>
      <c r="Z7" s="58"/>
    </row>
    <row r="8" spans="1:26" s="9" customFormat="1" ht="21" x14ac:dyDescent="0.25">
      <c r="A8" s="15" t="s">
        <v>38</v>
      </c>
      <c r="B8" s="16">
        <f t="shared" ref="B8:B24" si="0">SUM(C8:Y8)</f>
        <v>17334413.899999999</v>
      </c>
      <c r="C8" s="17">
        <f>SUM(C9:C24)</f>
        <v>84980</v>
      </c>
      <c r="D8" s="17">
        <f t="shared" ref="D8:L8" si="1">SUM(D9:D24)</f>
        <v>0</v>
      </c>
      <c r="E8" s="17">
        <f t="shared" si="1"/>
        <v>0</v>
      </c>
      <c r="F8" s="17">
        <f t="shared" si="1"/>
        <v>83360</v>
      </c>
      <c r="G8" s="17">
        <f t="shared" si="1"/>
        <v>0</v>
      </c>
      <c r="H8" s="17">
        <f t="shared" si="1"/>
        <v>0</v>
      </c>
      <c r="I8" s="17">
        <f t="shared" si="1"/>
        <v>0</v>
      </c>
      <c r="J8" s="17">
        <f t="shared" si="1"/>
        <v>0</v>
      </c>
      <c r="K8" s="17">
        <f t="shared" si="1"/>
        <v>0</v>
      </c>
      <c r="L8" s="17">
        <f t="shared" si="1"/>
        <v>6354994.5999999996</v>
      </c>
      <c r="M8" s="17">
        <f>SUM(M9:M24)</f>
        <v>4863214.8000000007</v>
      </c>
      <c r="N8" s="17">
        <f t="shared" ref="N8:X8" si="2">SUM(N9:N24)</f>
        <v>43610</v>
      </c>
      <c r="O8" s="17">
        <f t="shared" si="2"/>
        <v>0</v>
      </c>
      <c r="P8" s="17">
        <f t="shared" si="2"/>
        <v>0</v>
      </c>
      <c r="Q8" s="17">
        <f t="shared" si="2"/>
        <v>88500</v>
      </c>
      <c r="R8" s="17">
        <f t="shared" si="2"/>
        <v>165650</v>
      </c>
      <c r="S8" s="17">
        <f t="shared" si="2"/>
        <v>0</v>
      </c>
      <c r="T8" s="17">
        <f t="shared" si="2"/>
        <v>0</v>
      </c>
      <c r="U8" s="17">
        <f t="shared" si="2"/>
        <v>1769749</v>
      </c>
      <c r="V8" s="17">
        <f t="shared" si="2"/>
        <v>0</v>
      </c>
      <c r="W8" s="17">
        <f t="shared" si="2"/>
        <v>862105.5</v>
      </c>
      <c r="X8" s="17">
        <f t="shared" si="2"/>
        <v>1240750</v>
      </c>
      <c r="Y8" s="17">
        <f>SUM(Y9:Y24)</f>
        <v>1777500</v>
      </c>
      <c r="Z8" s="18" t="s">
        <v>40</v>
      </c>
    </row>
    <row r="9" spans="1:26" s="9" customFormat="1" ht="21" x14ac:dyDescent="0.25">
      <c r="A9" s="19" t="s">
        <v>78</v>
      </c>
      <c r="B9" s="20">
        <f t="shared" si="0"/>
        <v>513557.2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12168</v>
      </c>
      <c r="M9" s="37">
        <v>501389.2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21" t="s">
        <v>79</v>
      </c>
    </row>
    <row r="10" spans="1:26" s="9" customFormat="1" ht="21" x14ac:dyDescent="0.25">
      <c r="A10" s="19" t="s">
        <v>52</v>
      </c>
      <c r="B10" s="20">
        <f t="shared" si="0"/>
        <v>1928025</v>
      </c>
      <c r="C10" s="38">
        <v>0</v>
      </c>
      <c r="D10" s="38">
        <v>0</v>
      </c>
      <c r="E10" s="38">
        <v>0</v>
      </c>
      <c r="F10" s="38">
        <v>0</v>
      </c>
      <c r="G10" s="34">
        <v>0</v>
      </c>
      <c r="H10" s="34">
        <v>0</v>
      </c>
      <c r="I10" s="39">
        <v>0</v>
      </c>
      <c r="J10" s="34">
        <v>0</v>
      </c>
      <c r="K10" s="34">
        <v>0</v>
      </c>
      <c r="L10" s="40">
        <v>205000</v>
      </c>
      <c r="M10" s="39">
        <v>1658500</v>
      </c>
      <c r="N10" s="40">
        <v>3600</v>
      </c>
      <c r="O10" s="34">
        <v>0</v>
      </c>
      <c r="P10" s="34">
        <v>0</v>
      </c>
      <c r="Q10" s="40">
        <v>0</v>
      </c>
      <c r="R10" s="40">
        <v>0</v>
      </c>
      <c r="S10" s="41">
        <v>0</v>
      </c>
      <c r="T10" s="41">
        <v>0</v>
      </c>
      <c r="U10" s="41">
        <v>27325</v>
      </c>
      <c r="V10" s="41">
        <v>0</v>
      </c>
      <c r="W10" s="41">
        <v>0</v>
      </c>
      <c r="X10" s="41">
        <v>3600</v>
      </c>
      <c r="Y10" s="37">
        <v>30000</v>
      </c>
      <c r="Z10" s="21" t="s">
        <v>48</v>
      </c>
    </row>
    <row r="11" spans="1:26" s="9" customFormat="1" ht="21" x14ac:dyDescent="0.25">
      <c r="A11" s="22" t="s">
        <v>56</v>
      </c>
      <c r="B11" s="20">
        <f t="shared" si="0"/>
        <v>486220</v>
      </c>
      <c r="C11" s="38">
        <v>0</v>
      </c>
      <c r="D11" s="38">
        <v>0</v>
      </c>
      <c r="E11" s="38">
        <v>0</v>
      </c>
      <c r="F11" s="38">
        <v>0</v>
      </c>
      <c r="G11" s="34">
        <v>0</v>
      </c>
      <c r="H11" s="34">
        <v>0</v>
      </c>
      <c r="I11" s="39">
        <v>0</v>
      </c>
      <c r="J11" s="34">
        <v>0</v>
      </c>
      <c r="K11" s="34">
        <v>0</v>
      </c>
      <c r="L11" s="40">
        <v>21170</v>
      </c>
      <c r="M11" s="39">
        <v>441600</v>
      </c>
      <c r="N11" s="40">
        <v>4700</v>
      </c>
      <c r="O11" s="34">
        <v>0</v>
      </c>
      <c r="P11" s="34">
        <v>0</v>
      </c>
      <c r="Q11" s="40">
        <v>0</v>
      </c>
      <c r="R11" s="41">
        <v>0</v>
      </c>
      <c r="S11" s="41">
        <v>0</v>
      </c>
      <c r="T11" s="41">
        <v>0</v>
      </c>
      <c r="U11" s="41">
        <v>13500</v>
      </c>
      <c r="V11" s="41">
        <v>0</v>
      </c>
      <c r="W11" s="41">
        <v>5250</v>
      </c>
      <c r="X11" s="41">
        <v>0</v>
      </c>
      <c r="Y11" s="37">
        <v>0</v>
      </c>
      <c r="Z11" s="21" t="s">
        <v>44</v>
      </c>
    </row>
    <row r="12" spans="1:26" s="9" customFormat="1" ht="21" x14ac:dyDescent="0.25">
      <c r="A12" s="22" t="s">
        <v>80</v>
      </c>
      <c r="B12" s="20">
        <f t="shared" si="0"/>
        <v>388900</v>
      </c>
      <c r="C12" s="38">
        <v>0</v>
      </c>
      <c r="D12" s="38">
        <v>0</v>
      </c>
      <c r="E12" s="38">
        <v>0</v>
      </c>
      <c r="F12" s="38">
        <v>0</v>
      </c>
      <c r="G12" s="34">
        <v>0</v>
      </c>
      <c r="H12" s="34">
        <v>0</v>
      </c>
      <c r="I12" s="39">
        <v>0</v>
      </c>
      <c r="J12" s="34">
        <v>0</v>
      </c>
      <c r="K12" s="34">
        <v>0</v>
      </c>
      <c r="L12" s="40">
        <v>135900</v>
      </c>
      <c r="M12" s="39">
        <v>28000</v>
      </c>
      <c r="N12" s="40">
        <v>0</v>
      </c>
      <c r="O12" s="34">
        <v>0</v>
      </c>
      <c r="P12" s="34">
        <v>0</v>
      </c>
      <c r="Q12" s="40">
        <v>0</v>
      </c>
      <c r="R12" s="41">
        <v>113000</v>
      </c>
      <c r="S12" s="41">
        <v>0</v>
      </c>
      <c r="T12" s="42">
        <v>0</v>
      </c>
      <c r="U12" s="41">
        <v>112000</v>
      </c>
      <c r="V12" s="41">
        <v>0</v>
      </c>
      <c r="W12" s="41">
        <v>0</v>
      </c>
      <c r="X12" s="41">
        <v>0</v>
      </c>
      <c r="Y12" s="37">
        <v>0</v>
      </c>
      <c r="Z12" s="21" t="s">
        <v>43</v>
      </c>
    </row>
    <row r="13" spans="1:26" s="9" customFormat="1" ht="21" x14ac:dyDescent="0.25">
      <c r="A13" s="19" t="s">
        <v>81</v>
      </c>
      <c r="B13" s="20">
        <f t="shared" si="0"/>
        <v>1238400</v>
      </c>
      <c r="C13" s="38">
        <v>0</v>
      </c>
      <c r="D13" s="38">
        <v>0</v>
      </c>
      <c r="E13" s="38">
        <v>0</v>
      </c>
      <c r="F13" s="38">
        <v>0</v>
      </c>
      <c r="G13" s="34">
        <v>0</v>
      </c>
      <c r="H13" s="34">
        <v>0</v>
      </c>
      <c r="I13" s="39">
        <v>0</v>
      </c>
      <c r="J13" s="34">
        <v>0</v>
      </c>
      <c r="K13" s="34">
        <v>0</v>
      </c>
      <c r="L13" s="40">
        <v>268100</v>
      </c>
      <c r="M13" s="39">
        <v>845840</v>
      </c>
      <c r="N13" s="40">
        <v>0</v>
      </c>
      <c r="O13" s="34">
        <v>0</v>
      </c>
      <c r="P13" s="34">
        <v>0</v>
      </c>
      <c r="Q13" s="40">
        <v>0</v>
      </c>
      <c r="R13" s="41">
        <v>43750</v>
      </c>
      <c r="S13" s="43">
        <v>0</v>
      </c>
      <c r="T13" s="41">
        <v>0</v>
      </c>
      <c r="U13" s="41">
        <v>75510</v>
      </c>
      <c r="V13" s="41">
        <v>0</v>
      </c>
      <c r="W13" s="41">
        <v>5200</v>
      </c>
      <c r="X13" s="41">
        <v>0</v>
      </c>
      <c r="Y13" s="37">
        <v>0</v>
      </c>
      <c r="Z13" s="21" t="s">
        <v>46</v>
      </c>
    </row>
    <row r="14" spans="1:26" s="9" customFormat="1" ht="21" x14ac:dyDescent="0.25">
      <c r="A14" s="19" t="s">
        <v>55</v>
      </c>
      <c r="B14" s="20">
        <f t="shared" si="0"/>
        <v>163175</v>
      </c>
      <c r="C14" s="38">
        <v>0</v>
      </c>
      <c r="D14" s="38">
        <v>0</v>
      </c>
      <c r="E14" s="38">
        <v>0</v>
      </c>
      <c r="F14" s="38">
        <v>0</v>
      </c>
      <c r="G14" s="34">
        <v>0</v>
      </c>
      <c r="H14" s="34">
        <v>0</v>
      </c>
      <c r="I14" s="39">
        <v>0</v>
      </c>
      <c r="J14" s="34">
        <v>0</v>
      </c>
      <c r="K14" s="34">
        <v>0</v>
      </c>
      <c r="L14" s="40">
        <v>87000</v>
      </c>
      <c r="M14" s="37">
        <v>47900</v>
      </c>
      <c r="N14" s="40">
        <v>0</v>
      </c>
      <c r="O14" s="34">
        <v>0</v>
      </c>
      <c r="P14" s="34">
        <v>0</v>
      </c>
      <c r="Q14" s="40">
        <v>0</v>
      </c>
      <c r="R14" s="41">
        <v>0</v>
      </c>
      <c r="S14" s="41">
        <v>0</v>
      </c>
      <c r="T14" s="41">
        <v>0</v>
      </c>
      <c r="U14" s="41">
        <v>25275</v>
      </c>
      <c r="V14" s="41">
        <v>0</v>
      </c>
      <c r="W14" s="41">
        <v>0</v>
      </c>
      <c r="X14" s="41">
        <v>0</v>
      </c>
      <c r="Y14" s="41">
        <v>3000</v>
      </c>
      <c r="Z14" s="21" t="s">
        <v>47</v>
      </c>
    </row>
    <row r="15" spans="1:26" s="9" customFormat="1" ht="21" x14ac:dyDescent="0.25">
      <c r="A15" s="19" t="s">
        <v>57</v>
      </c>
      <c r="B15" s="20">
        <f t="shared" si="0"/>
        <v>5037285</v>
      </c>
      <c r="C15" s="38">
        <v>70500</v>
      </c>
      <c r="D15" s="38">
        <v>0</v>
      </c>
      <c r="E15" s="38">
        <v>0</v>
      </c>
      <c r="F15" s="38">
        <v>19500</v>
      </c>
      <c r="G15" s="34">
        <v>0</v>
      </c>
      <c r="H15" s="34">
        <v>0</v>
      </c>
      <c r="I15" s="39">
        <v>0</v>
      </c>
      <c r="J15" s="34">
        <v>0</v>
      </c>
      <c r="K15" s="34">
        <v>0</v>
      </c>
      <c r="L15" s="40">
        <v>4032150</v>
      </c>
      <c r="M15" s="39">
        <v>19950</v>
      </c>
      <c r="N15" s="40">
        <v>0</v>
      </c>
      <c r="O15" s="34">
        <v>0</v>
      </c>
      <c r="P15" s="34">
        <v>0</v>
      </c>
      <c r="Q15" s="40">
        <v>27000</v>
      </c>
      <c r="R15" s="41">
        <v>4050</v>
      </c>
      <c r="S15" s="41">
        <v>0</v>
      </c>
      <c r="T15" s="41">
        <v>0</v>
      </c>
      <c r="U15" s="41">
        <v>130635</v>
      </c>
      <c r="V15" s="41">
        <v>0</v>
      </c>
      <c r="W15" s="41">
        <v>58500</v>
      </c>
      <c r="X15" s="41">
        <v>555000</v>
      </c>
      <c r="Y15" s="41">
        <v>120000</v>
      </c>
      <c r="Z15" s="21" t="s">
        <v>42</v>
      </c>
    </row>
    <row r="16" spans="1:26" s="9" customFormat="1" ht="21" x14ac:dyDescent="0.25">
      <c r="A16" s="23" t="s">
        <v>53</v>
      </c>
      <c r="B16" s="20">
        <f t="shared" si="0"/>
        <v>4694700</v>
      </c>
      <c r="C16" s="38">
        <v>3600</v>
      </c>
      <c r="D16" s="38">
        <v>0</v>
      </c>
      <c r="E16" s="38">
        <v>0</v>
      </c>
      <c r="F16" s="38">
        <v>37200</v>
      </c>
      <c r="G16" s="34">
        <v>0</v>
      </c>
      <c r="H16" s="34">
        <v>0</v>
      </c>
      <c r="I16" s="39">
        <v>0</v>
      </c>
      <c r="J16" s="34">
        <v>0</v>
      </c>
      <c r="K16" s="34">
        <v>0</v>
      </c>
      <c r="L16" s="40">
        <v>1066500</v>
      </c>
      <c r="M16" s="39">
        <v>0</v>
      </c>
      <c r="N16" s="40">
        <v>0</v>
      </c>
      <c r="O16" s="34">
        <v>0</v>
      </c>
      <c r="P16" s="34">
        <v>0</v>
      </c>
      <c r="Q16" s="40">
        <v>45000</v>
      </c>
      <c r="R16" s="41">
        <v>0</v>
      </c>
      <c r="S16" s="41"/>
      <c r="T16" s="41">
        <v>0</v>
      </c>
      <c r="U16" s="41">
        <v>800400</v>
      </c>
      <c r="V16" s="41">
        <v>0</v>
      </c>
      <c r="W16" s="41">
        <v>582000</v>
      </c>
      <c r="X16" s="41">
        <v>660000</v>
      </c>
      <c r="Y16" s="41">
        <v>1500000</v>
      </c>
      <c r="Z16" s="21" t="s">
        <v>54</v>
      </c>
    </row>
    <row r="17" spans="1:26" s="9" customFormat="1" ht="21" x14ac:dyDescent="0.25">
      <c r="A17" s="19" t="s">
        <v>58</v>
      </c>
      <c r="B17" s="20">
        <f t="shared" si="0"/>
        <v>142825</v>
      </c>
      <c r="C17" s="38">
        <v>0</v>
      </c>
      <c r="D17" s="38">
        <v>0</v>
      </c>
      <c r="E17" s="38">
        <v>0</v>
      </c>
      <c r="F17" s="38">
        <v>0</v>
      </c>
      <c r="G17" s="34">
        <v>0</v>
      </c>
      <c r="H17" s="34">
        <v>0</v>
      </c>
      <c r="I17" s="39">
        <v>0</v>
      </c>
      <c r="J17" s="34">
        <v>0</v>
      </c>
      <c r="K17" s="34">
        <v>0</v>
      </c>
      <c r="L17" s="40">
        <v>35350</v>
      </c>
      <c r="M17" s="39">
        <v>39000</v>
      </c>
      <c r="N17" s="40">
        <v>23375</v>
      </c>
      <c r="O17" s="34">
        <v>0</v>
      </c>
      <c r="P17" s="34">
        <v>0</v>
      </c>
      <c r="Q17" s="40">
        <v>0</v>
      </c>
      <c r="R17" s="41">
        <v>1350</v>
      </c>
      <c r="S17" s="41">
        <v>0</v>
      </c>
      <c r="T17" s="41">
        <v>0</v>
      </c>
      <c r="U17" s="41">
        <v>43750</v>
      </c>
      <c r="V17" s="41">
        <v>0</v>
      </c>
      <c r="W17" s="41">
        <v>0</v>
      </c>
      <c r="X17" s="41">
        <v>0</v>
      </c>
      <c r="Y17" s="41">
        <v>0</v>
      </c>
      <c r="Z17" s="21" t="s">
        <v>59</v>
      </c>
    </row>
    <row r="18" spans="1:26" s="9" customFormat="1" ht="21" x14ac:dyDescent="0.25">
      <c r="A18" s="22" t="s">
        <v>65</v>
      </c>
      <c r="B18" s="20">
        <f t="shared" si="0"/>
        <v>452800</v>
      </c>
      <c r="C18" s="38">
        <v>0</v>
      </c>
      <c r="D18" s="38">
        <v>0</v>
      </c>
      <c r="E18" s="38">
        <v>0</v>
      </c>
      <c r="F18" s="38">
        <v>0</v>
      </c>
      <c r="G18" s="34">
        <v>0</v>
      </c>
      <c r="H18" s="34">
        <v>0</v>
      </c>
      <c r="I18" s="39">
        <v>0</v>
      </c>
      <c r="J18" s="34">
        <v>0</v>
      </c>
      <c r="K18" s="34">
        <v>0</v>
      </c>
      <c r="L18" s="40">
        <v>95800</v>
      </c>
      <c r="M18" s="39">
        <v>357000</v>
      </c>
      <c r="N18" s="40">
        <v>0</v>
      </c>
      <c r="O18" s="34">
        <v>0</v>
      </c>
      <c r="P18" s="34">
        <v>0</v>
      </c>
      <c r="Q18" s="40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0</v>
      </c>
      <c r="Z18" s="21" t="s">
        <v>66</v>
      </c>
    </row>
    <row r="19" spans="1:26" s="9" customFormat="1" ht="21" x14ac:dyDescent="0.25">
      <c r="A19" s="23" t="s">
        <v>60</v>
      </c>
      <c r="B19" s="20">
        <f t="shared" si="0"/>
        <v>844760</v>
      </c>
      <c r="C19" s="38">
        <v>3600</v>
      </c>
      <c r="D19" s="38">
        <v>0</v>
      </c>
      <c r="E19" s="38">
        <v>0</v>
      </c>
      <c r="F19" s="38">
        <v>0</v>
      </c>
      <c r="G19" s="34"/>
      <c r="H19" s="34">
        <v>0</v>
      </c>
      <c r="I19" s="39">
        <v>0</v>
      </c>
      <c r="J19" s="34">
        <v>0</v>
      </c>
      <c r="K19" s="34">
        <v>0</v>
      </c>
      <c r="L19" s="40">
        <v>144100</v>
      </c>
      <c r="M19" s="39">
        <v>10400</v>
      </c>
      <c r="N19" s="40">
        <v>0</v>
      </c>
      <c r="O19" s="34"/>
      <c r="P19" s="34"/>
      <c r="Q19" s="40">
        <v>16500</v>
      </c>
      <c r="R19" s="41">
        <v>3500</v>
      </c>
      <c r="S19" s="41"/>
      <c r="T19" s="41"/>
      <c r="U19" s="41">
        <v>457060</v>
      </c>
      <c r="V19" s="41"/>
      <c r="W19" s="41">
        <v>137600</v>
      </c>
      <c r="X19" s="41">
        <v>4500</v>
      </c>
      <c r="Y19" s="41">
        <v>67500</v>
      </c>
      <c r="Z19" s="21" t="s">
        <v>61</v>
      </c>
    </row>
    <row r="20" spans="1:26" s="9" customFormat="1" ht="21" x14ac:dyDescent="0.25">
      <c r="A20" s="19" t="s">
        <v>63</v>
      </c>
      <c r="B20" s="20">
        <f t="shared" si="0"/>
        <v>40745</v>
      </c>
      <c r="C20" s="38">
        <v>0</v>
      </c>
      <c r="D20" s="38">
        <v>0</v>
      </c>
      <c r="E20" s="38">
        <v>0</v>
      </c>
      <c r="F20" s="38">
        <v>0</v>
      </c>
      <c r="G20" s="34">
        <v>0</v>
      </c>
      <c r="H20" s="34">
        <v>0</v>
      </c>
      <c r="I20" s="39">
        <v>0</v>
      </c>
      <c r="J20" s="34">
        <v>0</v>
      </c>
      <c r="K20" s="34">
        <v>0</v>
      </c>
      <c r="L20" s="40">
        <v>0</v>
      </c>
      <c r="M20" s="39">
        <v>33500</v>
      </c>
      <c r="N20" s="40">
        <v>0</v>
      </c>
      <c r="O20" s="34">
        <v>0</v>
      </c>
      <c r="P20" s="34">
        <v>0</v>
      </c>
      <c r="Q20" s="40">
        <v>0</v>
      </c>
      <c r="R20" s="40">
        <v>0</v>
      </c>
      <c r="S20" s="41">
        <v>0</v>
      </c>
      <c r="T20" s="41">
        <v>0</v>
      </c>
      <c r="U20" s="41">
        <v>7245</v>
      </c>
      <c r="V20" s="41">
        <v>0</v>
      </c>
      <c r="W20" s="41">
        <v>0</v>
      </c>
      <c r="X20" s="34">
        <v>0</v>
      </c>
      <c r="Y20" s="34">
        <v>0</v>
      </c>
      <c r="Z20" s="21" t="s">
        <v>64</v>
      </c>
    </row>
    <row r="21" spans="1:26" s="9" customFormat="1" ht="21" x14ac:dyDescent="0.25">
      <c r="A21" s="22" t="s">
        <v>67</v>
      </c>
      <c r="B21" s="20">
        <f t="shared" si="0"/>
        <v>31400</v>
      </c>
      <c r="C21" s="38">
        <v>0</v>
      </c>
      <c r="D21" s="38">
        <v>0</v>
      </c>
      <c r="E21" s="38">
        <v>0</v>
      </c>
      <c r="F21" s="38">
        <v>0</v>
      </c>
      <c r="G21" s="34">
        <v>0</v>
      </c>
      <c r="H21" s="34">
        <v>0</v>
      </c>
      <c r="I21" s="39">
        <v>0</v>
      </c>
      <c r="J21" s="34">
        <v>0</v>
      </c>
      <c r="K21" s="34">
        <v>0</v>
      </c>
      <c r="L21" s="40">
        <v>0</v>
      </c>
      <c r="M21" s="39">
        <v>0</v>
      </c>
      <c r="N21" s="40">
        <v>0</v>
      </c>
      <c r="O21" s="34">
        <v>0</v>
      </c>
      <c r="P21" s="34">
        <v>0</v>
      </c>
      <c r="Q21" s="40">
        <v>0</v>
      </c>
      <c r="R21" s="40">
        <v>0</v>
      </c>
      <c r="S21" s="41">
        <v>0</v>
      </c>
      <c r="T21" s="41">
        <v>0</v>
      </c>
      <c r="U21" s="41">
        <v>1400</v>
      </c>
      <c r="V21" s="41">
        <v>0</v>
      </c>
      <c r="W21" s="41">
        <v>0</v>
      </c>
      <c r="X21" s="41">
        <v>0</v>
      </c>
      <c r="Y21" s="34">
        <v>30000</v>
      </c>
      <c r="Z21" s="21" t="s">
        <v>45</v>
      </c>
    </row>
    <row r="22" spans="1:26" s="9" customFormat="1" ht="21" x14ac:dyDescent="0.25">
      <c r="A22" s="19" t="s">
        <v>62</v>
      </c>
      <c r="B22" s="20">
        <f t="shared" si="0"/>
        <v>116855</v>
      </c>
      <c r="C22" s="38">
        <v>0</v>
      </c>
      <c r="D22" s="38">
        <v>0</v>
      </c>
      <c r="E22" s="38">
        <v>0</v>
      </c>
      <c r="F22" s="38">
        <v>0</v>
      </c>
      <c r="G22" s="34">
        <v>0</v>
      </c>
      <c r="H22" s="34">
        <v>0</v>
      </c>
      <c r="I22" s="39">
        <v>0</v>
      </c>
      <c r="J22" s="34">
        <v>0</v>
      </c>
      <c r="K22" s="34">
        <v>0</v>
      </c>
      <c r="L22" s="40">
        <v>13440</v>
      </c>
      <c r="M22" s="39">
        <v>71400</v>
      </c>
      <c r="N22" s="40">
        <v>3810</v>
      </c>
      <c r="O22" s="34">
        <v>0</v>
      </c>
      <c r="P22" s="34">
        <v>0</v>
      </c>
      <c r="Q22" s="40">
        <v>0</v>
      </c>
      <c r="R22" s="40">
        <v>0</v>
      </c>
      <c r="S22" s="41">
        <v>0</v>
      </c>
      <c r="T22" s="41">
        <v>0</v>
      </c>
      <c r="U22" s="41">
        <v>28205</v>
      </c>
      <c r="V22" s="41">
        <v>0</v>
      </c>
      <c r="W22" s="41">
        <v>0</v>
      </c>
      <c r="X22" s="34">
        <v>0</v>
      </c>
      <c r="Y22" s="34">
        <v>0</v>
      </c>
      <c r="Z22" s="21" t="s">
        <v>82</v>
      </c>
    </row>
    <row r="23" spans="1:26" s="9" customFormat="1" ht="20.25" customHeight="1" x14ac:dyDescent="0.25">
      <c r="A23" s="19" t="s">
        <v>68</v>
      </c>
      <c r="B23" s="20">
        <f t="shared" si="0"/>
        <v>117140</v>
      </c>
      <c r="C23" s="38">
        <v>0</v>
      </c>
      <c r="D23" s="38">
        <v>0</v>
      </c>
      <c r="E23" s="38">
        <v>0</v>
      </c>
      <c r="F23" s="38">
        <v>0</v>
      </c>
      <c r="G23" s="34">
        <v>0</v>
      </c>
      <c r="H23" s="34">
        <v>0</v>
      </c>
      <c r="I23" s="39">
        <v>0</v>
      </c>
      <c r="J23" s="34">
        <v>0</v>
      </c>
      <c r="K23" s="34">
        <v>0</v>
      </c>
      <c r="L23" s="40">
        <v>37140</v>
      </c>
      <c r="M23" s="39">
        <v>80000</v>
      </c>
      <c r="N23" s="40">
        <v>0</v>
      </c>
      <c r="O23" s="34">
        <v>0</v>
      </c>
      <c r="P23" s="34">
        <v>0</v>
      </c>
      <c r="Q23" s="40">
        <v>0</v>
      </c>
      <c r="R23" s="40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34">
        <v>0</v>
      </c>
      <c r="Y23" s="34">
        <v>0</v>
      </c>
      <c r="Z23" s="21" t="s">
        <v>69</v>
      </c>
    </row>
    <row r="24" spans="1:26" s="5" customFormat="1" ht="21.75" customHeight="1" x14ac:dyDescent="0.25">
      <c r="A24" s="24" t="s">
        <v>70</v>
      </c>
      <c r="B24" s="25">
        <f t="shared" si="0"/>
        <v>1137626.7000000002</v>
      </c>
      <c r="C24" s="44">
        <v>7280</v>
      </c>
      <c r="D24" s="44">
        <v>0</v>
      </c>
      <c r="E24" s="44">
        <v>0</v>
      </c>
      <c r="F24" s="44">
        <v>26660</v>
      </c>
      <c r="G24" s="35">
        <v>0</v>
      </c>
      <c r="H24" s="35">
        <v>0</v>
      </c>
      <c r="I24" s="45">
        <v>0</v>
      </c>
      <c r="J24" s="35">
        <v>0</v>
      </c>
      <c r="K24" s="35">
        <v>0</v>
      </c>
      <c r="L24" s="46">
        <v>201176.6</v>
      </c>
      <c r="M24" s="44">
        <v>728735.60000000009</v>
      </c>
      <c r="N24" s="44">
        <v>8125</v>
      </c>
      <c r="O24" s="35">
        <v>0</v>
      </c>
      <c r="P24" s="35">
        <v>0</v>
      </c>
      <c r="Q24" s="46">
        <v>0</v>
      </c>
      <c r="R24" s="47">
        <v>0</v>
      </c>
      <c r="S24" s="47">
        <v>0</v>
      </c>
      <c r="T24" s="47">
        <v>0</v>
      </c>
      <c r="U24" s="47">
        <v>47444</v>
      </c>
      <c r="V24" s="47">
        <v>0</v>
      </c>
      <c r="W24" s="35">
        <v>73555.5</v>
      </c>
      <c r="X24" s="47">
        <v>17650</v>
      </c>
      <c r="Y24" s="47">
        <v>27000</v>
      </c>
      <c r="Z24" s="26" t="s">
        <v>71</v>
      </c>
    </row>
    <row r="25" spans="1:26" s="5" customFormat="1" ht="26.25" customHeight="1" x14ac:dyDescent="0.15">
      <c r="A25" s="27" t="s">
        <v>83</v>
      </c>
      <c r="B25" s="28"/>
      <c r="C25" s="28"/>
      <c r="D25" s="28"/>
      <c r="E25" s="29"/>
      <c r="F25" s="29"/>
      <c r="G25" s="29"/>
      <c r="H25" s="29"/>
      <c r="I25" s="29"/>
      <c r="J25" s="30"/>
      <c r="K25" s="30"/>
      <c r="L25" s="30"/>
      <c r="M25" s="30"/>
      <c r="N25" s="49" t="s">
        <v>84</v>
      </c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s="5" customFormat="1" ht="12.75" customHeight="1" x14ac:dyDescent="0.15">
      <c r="A26" s="36"/>
      <c r="B26" s="31"/>
      <c r="C26" s="28"/>
      <c r="D26" s="28"/>
      <c r="E26" s="29"/>
      <c r="F26" s="29"/>
      <c r="G26" s="29"/>
      <c r="H26" s="29"/>
      <c r="I26" s="29"/>
      <c r="J26" s="30"/>
      <c r="K26" s="30"/>
      <c r="L26" s="30"/>
      <c r="M26" s="30"/>
      <c r="N26" s="30"/>
      <c r="O26" s="30"/>
      <c r="P26" s="30"/>
      <c r="Q26" s="32"/>
      <c r="R26" s="9"/>
      <c r="S26" s="9"/>
      <c r="T26" s="9"/>
      <c r="U26" s="9"/>
      <c r="V26" s="9"/>
      <c r="W26" s="9"/>
      <c r="X26" s="9"/>
      <c r="Y26" s="9"/>
      <c r="Z26" s="7" t="s">
        <v>72</v>
      </c>
    </row>
    <row r="27" spans="1:26" s="5" customFormat="1" ht="12.75" customHeight="1" x14ac:dyDescent="0.15">
      <c r="B27" s="31"/>
      <c r="C27" s="28"/>
      <c r="D27" s="28"/>
      <c r="E27" s="29"/>
      <c r="F27" s="29"/>
      <c r="G27" s="29"/>
      <c r="H27" s="29"/>
      <c r="I27" s="29"/>
      <c r="J27" s="30"/>
      <c r="K27" s="30"/>
      <c r="L27" s="30"/>
      <c r="M27" s="30"/>
      <c r="N27" s="30"/>
      <c r="O27" s="30"/>
      <c r="P27" s="30"/>
      <c r="Q27" s="32"/>
      <c r="R27" s="9"/>
      <c r="S27" s="9"/>
      <c r="T27" s="9"/>
      <c r="U27" s="9"/>
      <c r="V27" s="9"/>
      <c r="W27" s="9"/>
      <c r="X27" s="9"/>
      <c r="Y27" s="9"/>
    </row>
    <row r="28" spans="1:26" s="5" customFormat="1" ht="12.75" customHeight="1" x14ac:dyDescent="0.15">
      <c r="A28" s="6"/>
      <c r="B28" s="31"/>
      <c r="C28" s="28"/>
      <c r="D28" s="28"/>
      <c r="E28" s="29"/>
      <c r="F28" s="29"/>
      <c r="G28" s="29"/>
      <c r="H28" s="29"/>
      <c r="I28" s="29"/>
      <c r="J28" s="30"/>
      <c r="K28" s="30"/>
      <c r="L28" s="30"/>
      <c r="M28" s="30"/>
      <c r="N28" s="30"/>
      <c r="O28" s="30"/>
      <c r="P28" s="30"/>
      <c r="Q28" s="32"/>
      <c r="R28" s="9"/>
      <c r="S28" s="9"/>
      <c r="T28" s="9"/>
      <c r="U28" s="9"/>
      <c r="V28" s="9"/>
      <c r="W28" s="9"/>
      <c r="X28" s="9"/>
      <c r="Y28" s="9"/>
      <c r="Z28" s="7"/>
    </row>
  </sheetData>
  <mergeCells count="8">
    <mergeCell ref="N25:Z25"/>
    <mergeCell ref="A2:Z2"/>
    <mergeCell ref="A3:Z3"/>
    <mergeCell ref="A4:Z4"/>
    <mergeCell ref="B5:B7"/>
    <mergeCell ref="C5:G5"/>
    <mergeCell ref="S5:Y5"/>
    <mergeCell ref="Z5:Z7"/>
  </mergeCells>
  <pageMargins left="0.7" right="0.7" top="0.75" bottom="0.75" header="0.3" footer="0.3"/>
  <pageSetup scale="4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9.20</vt:lpstr>
      <vt:lpstr>'9.20'!Print_Area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2023-07-20T07:33:28Z</cp:lastPrinted>
  <dcterms:created xsi:type="dcterms:W3CDTF">2019-09-09T05:11:24Z</dcterms:created>
  <dcterms:modified xsi:type="dcterms:W3CDTF">2023-07-20T07:33:33Z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