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Fisheries &amp; Agriculture\"/>
    </mc:Choice>
  </mc:AlternateContent>
  <xr:revisionPtr revIDLastSave="0" documentId="13_ncr:1_{4BB9AB9C-5EF2-44B1-A753-6C6EC0FCA199}" xr6:coauthVersionLast="47" xr6:coauthVersionMax="47" xr10:uidLastSave="{00000000-0000-0000-0000-000000000000}"/>
  <bookViews>
    <workbookView xWindow="-120" yWindow="-120" windowWidth="29040" windowHeight="15720" tabRatio="831" xr2:uid="{00000000-000D-0000-FFFF-FFFF00000000}"/>
  </bookViews>
  <sheets>
    <sheet name="9.17" sheetId="17" r:id="rId1"/>
  </sheets>
  <definedNames>
    <definedName name="_xlnm.Print_Area" localSheetId="0">'9.17'!$A$1:$F$39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7" l="1"/>
  <c r="C22" i="17"/>
  <c r="D21" i="17"/>
  <c r="C21" i="17"/>
  <c r="D20" i="17"/>
  <c r="C20" i="17"/>
  <c r="D19" i="17"/>
  <c r="C19" i="17"/>
  <c r="D18" i="17"/>
  <c r="C18" i="17"/>
  <c r="D17" i="17"/>
  <c r="C17" i="17"/>
  <c r="D16" i="17"/>
  <c r="C16" i="17"/>
  <c r="D15" i="17"/>
  <c r="C15" i="17"/>
  <c r="D14" i="17"/>
  <c r="D13" i="17"/>
  <c r="C13" i="17"/>
  <c r="D12" i="17"/>
  <c r="C12" i="17"/>
  <c r="D11" i="17"/>
  <c r="C11" i="17"/>
  <c r="D10" i="17"/>
  <c r="C10" i="17"/>
  <c r="D9" i="17"/>
  <c r="C9" i="17"/>
  <c r="D8" i="17"/>
  <c r="C8" i="17"/>
  <c r="D7" i="17"/>
  <c r="C7" i="17"/>
  <c r="B6" i="17"/>
  <c r="D6" i="17" l="1"/>
  <c r="C6" i="17"/>
</calcChain>
</file>

<file path=xl/sharedStrings.xml><?xml version="1.0" encoding="utf-8"?>
<sst xmlns="http://schemas.openxmlformats.org/spreadsheetml/2006/main" count="67" uniqueCount="50">
  <si>
    <t>L</t>
  </si>
  <si>
    <t>Total</t>
  </si>
  <si>
    <t>ޖުމްލަ</t>
  </si>
  <si>
    <t xml:space="preserve">އަތޮޅުތައް </t>
  </si>
  <si>
    <t>HA</t>
  </si>
  <si>
    <t>R</t>
  </si>
  <si>
    <t>Source: Agriculture Data Management Unit/ Ministry of Fisheries, Marine Resources and Agriculture</t>
  </si>
  <si>
    <t xml:space="preserve">މައުލޫމާތު ދެއްވި ފަރާތް: މިނިސްޓްރީ އޮފް ފިޝަރީޒް, މެރިން ރިސޯސަސް އެންޑް އެގްރިކަލްޗަރ </t>
  </si>
  <si>
    <t>ތާވަލު 9.17: ދަނޑުވެރިކަން ކުރުމަށް ކުއްޔަށް ދޫކުރެވިފައިވާ ރަށްތަކުގެ އަދަދު، ބޮޑުމިން އަދި ކުއްޔަށް ދެވުނު އަދަދު (ރުފިޔާއިން)، 2021</t>
  </si>
  <si>
    <t>Table 9.17: Islands leased for agriculture purpose, by area and lease value,  end 2021</t>
  </si>
  <si>
    <t>Atoll</t>
  </si>
  <si>
    <t>Number  of islands</t>
  </si>
  <si>
    <t>Area (hectares)</t>
  </si>
  <si>
    <t>Annual Lease/rent value (MVR)</t>
  </si>
  <si>
    <t xml:space="preserve">ރަށްތަކުގެ އަދަދު </t>
  </si>
  <si>
    <t>ބޮޑުމިން (ހެކްޓަރުން)</t>
  </si>
  <si>
    <t>ކުއްޔަށް ދެވުނު ޢަދަދު (ރުފިޔާ)</t>
  </si>
  <si>
    <t>SH</t>
  </si>
  <si>
    <t xml:space="preserve">ނޯޓް: 2021 ވަނަ އަހަރު ދަނޑުވެރިކަން ކުރުމަށް ކުއްޔަށް ދޫކޮށްފައިވަނީ 4 ރަށް.  </t>
  </si>
  <si>
    <t>ރ</t>
  </si>
  <si>
    <t>ހއ</t>
  </si>
  <si>
    <t>ށ</t>
  </si>
  <si>
    <t>ލ</t>
  </si>
  <si>
    <t>ތާވަލު 9.17: ދަނޑުވެރިކަން ކުރުމަށް ކުއްޔަށް ދޫކުރެވިފައިވާ ރަށްތަކުގެ އަދަދު، ބޮޑުމިން އަދި ކުއްޔަށް ދެވުނު އަދަދު (ރުފިޔާއިން)، 2022</t>
  </si>
  <si>
    <t>Table 9.17: Islands leased for agriculture purpose, by area and lease value,  end 2022</t>
  </si>
  <si>
    <t>HDh</t>
  </si>
  <si>
    <t>ހދ</t>
  </si>
  <si>
    <t>Sh</t>
  </si>
  <si>
    <t>N</t>
  </si>
  <si>
    <t>ނ</t>
  </si>
  <si>
    <t>B</t>
  </si>
  <si>
    <t>ބ</t>
  </si>
  <si>
    <t>Lh</t>
  </si>
  <si>
    <t>ޅ</t>
  </si>
  <si>
    <t>K</t>
  </si>
  <si>
    <t>ކ</t>
  </si>
  <si>
    <t>Adh</t>
  </si>
  <si>
    <t>އދ</t>
  </si>
  <si>
    <t>V</t>
  </si>
  <si>
    <t>ވ</t>
  </si>
  <si>
    <t>M</t>
  </si>
  <si>
    <t>މ</t>
  </si>
  <si>
    <t>Dh</t>
  </si>
  <si>
    <t>ދ</t>
  </si>
  <si>
    <t>Th</t>
  </si>
  <si>
    <t>ތ</t>
  </si>
  <si>
    <t>Ga</t>
  </si>
  <si>
    <t>ގއ</t>
  </si>
  <si>
    <t>GDh</t>
  </si>
  <si>
    <t>ގދ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</si>
</sst>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#,##0.0"/>
    <numFmt numFmtId="166" formatCode="[$-409]mmmm\ d\,\ 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Faruma"/>
    </font>
    <font>
      <sz val="9"/>
      <color theme="1"/>
      <name val="Faruma"/>
    </font>
    <font>
      <b/>
      <sz val="10"/>
      <color theme="1"/>
      <name val="Faruma"/>
    </font>
    <font>
      <sz val="10"/>
      <color theme="1"/>
      <name val="Faruma"/>
    </font>
    <font>
      <b/>
      <sz val="9"/>
      <name val="Faruma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9"/>
      <name val="Faruma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0" fontId="7" fillId="0" borderId="0" applyFont="0" applyFill="0" applyBorder="0" applyAlignment="0" applyProtection="0"/>
    <xf numFmtId="166" fontId="2" fillId="0" borderId="0"/>
    <xf numFmtId="166" fontId="2" fillId="0" borderId="0"/>
    <xf numFmtId="166" fontId="2" fillId="0" borderId="0"/>
    <xf numFmtId="0" fontId="3" fillId="0" borderId="0"/>
    <xf numFmtId="0" fontId="2" fillId="0" borderId="0"/>
  </cellStyleXfs>
  <cellXfs count="37">
    <xf numFmtId="0" fontId="0" fillId="0" borderId="0" xfId="0"/>
    <xf numFmtId="0" fontId="8" fillId="2" borderId="0" xfId="0" applyFont="1" applyFill="1"/>
    <xf numFmtId="164" fontId="8" fillId="2" borderId="0" xfId="0" applyNumberFormat="1" applyFont="1" applyFill="1"/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164" fontId="6" fillId="2" borderId="0" xfId="0" applyNumberFormat="1" applyFont="1" applyFill="1"/>
    <xf numFmtId="0" fontId="14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indent="2"/>
    </xf>
    <xf numFmtId="37" fontId="5" fillId="2" borderId="0" xfId="0" applyNumberFormat="1" applyFont="1" applyFill="1" applyAlignment="1">
      <alignment horizontal="left" vertical="center" indent="7"/>
    </xf>
    <xf numFmtId="165" fontId="5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right" vertical="center" indent="2"/>
    </xf>
    <xf numFmtId="164" fontId="16" fillId="2" borderId="0" xfId="0" applyNumberFormat="1" applyFont="1" applyFill="1"/>
    <xf numFmtId="164" fontId="17" fillId="2" borderId="0" xfId="0" applyNumberFormat="1" applyFont="1" applyFill="1" applyAlignment="1">
      <alignment horizontal="left" vertical="center"/>
    </xf>
    <xf numFmtId="164" fontId="11" fillId="2" borderId="0" xfId="7" applyNumberFormat="1" applyFont="1" applyFill="1" applyAlignment="1">
      <alignment horizontal="right" vertical="center" indent="3" readingOrder="2"/>
    </xf>
    <xf numFmtId="164" fontId="18" fillId="2" borderId="0" xfId="7" applyNumberFormat="1" applyFont="1" applyFill="1" applyAlignment="1">
      <alignment horizontal="right" vertical="center" indent="3" readingOrder="2"/>
    </xf>
    <xf numFmtId="0" fontId="15" fillId="2" borderId="1" xfId="0" applyFont="1" applyFill="1" applyBorder="1" applyAlignment="1">
      <alignment horizontal="left" indent="2"/>
    </xf>
    <xf numFmtId="165" fontId="8" fillId="2" borderId="1" xfId="1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 indent="2"/>
    </xf>
    <xf numFmtId="165" fontId="19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right" vertical="center" indent="2"/>
    </xf>
    <xf numFmtId="0" fontId="13" fillId="2" borderId="1" xfId="0" applyFont="1" applyFill="1" applyBorder="1" applyAlignment="1">
      <alignment horizontal="right" vertical="center" indent="2"/>
    </xf>
    <xf numFmtId="37" fontId="8" fillId="2" borderId="1" xfId="1" applyNumberFormat="1" applyFont="1" applyFill="1" applyBorder="1" applyAlignment="1">
      <alignment horizontal="center" vertical="center"/>
    </xf>
    <xf numFmtId="164" fontId="4" fillId="2" borderId="0" xfId="0" applyNumberFormat="1" applyFont="1" applyFill="1" applyAlignment="1">
      <alignment horizontal="left" vertical="center" wrapText="1"/>
    </xf>
    <xf numFmtId="0" fontId="11" fillId="2" borderId="0" xfId="0" applyFont="1" applyFill="1" applyAlignment="1">
      <alignment horizontal="right" wrapText="1"/>
    </xf>
    <xf numFmtId="37" fontId="19" fillId="2" borderId="0" xfId="0" applyNumberFormat="1" applyFont="1" applyFill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6" fillId="2" borderId="2" xfId="0" applyFont="1" applyFill="1" applyBorder="1" applyAlignment="1">
      <alignment horizontal="left" vertical="center" indent="2"/>
    </xf>
    <xf numFmtId="0" fontId="6" fillId="2" borderId="1" xfId="0" applyFont="1" applyFill="1" applyBorder="1" applyAlignment="1">
      <alignment horizontal="left" vertical="center" indent="2"/>
    </xf>
    <xf numFmtId="0" fontId="12" fillId="2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right" wrapText="1"/>
    </xf>
    <xf numFmtId="165" fontId="5" fillId="2" borderId="0" xfId="0" applyNumberFormat="1" applyFont="1" applyFill="1" applyAlignment="1">
      <alignment horizontal="right" vertical="center" indent="6"/>
    </xf>
    <xf numFmtId="37" fontId="19" fillId="2" borderId="0" xfId="0" applyNumberFormat="1" applyFont="1" applyFill="1" applyAlignment="1">
      <alignment horizontal="left" vertical="center" indent="7"/>
    </xf>
    <xf numFmtId="165" fontId="19" fillId="2" borderId="0" xfId="0" applyNumberFormat="1" applyFont="1" applyFill="1" applyAlignment="1">
      <alignment horizontal="right" vertical="center" indent="6"/>
    </xf>
    <xf numFmtId="165" fontId="19" fillId="2" borderId="1" xfId="0" applyNumberFormat="1" applyFont="1" applyFill="1" applyBorder="1" applyAlignment="1">
      <alignment horizontal="right" vertical="center" indent="6"/>
    </xf>
  </cellXfs>
  <cellStyles count="8">
    <cellStyle name="1" xfId="6" xr:uid="{00000000-0005-0000-0000-000000000000}"/>
    <cellStyle name="Comma" xfId="1" builtinId="3"/>
    <cellStyle name="Comma 2" xfId="2" xr:uid="{00000000-0005-0000-0000-000002000000}"/>
    <cellStyle name="Normal" xfId="0" builtinId="0"/>
    <cellStyle name="Normal 2_agri planning 2009 year book(final)" xfId="3" xr:uid="{00000000-0005-0000-0000-000005000000}"/>
    <cellStyle name="Normal 3_agri planning 2009 year book(final)" xfId="5" xr:uid="{00000000-0005-0000-0000-000006000000}"/>
    <cellStyle name="Normal 4_agri planning 2009 year book(final)" xfId="4" xr:uid="{00000000-0005-0000-0000-000007000000}"/>
    <cellStyle name="Normal_3 Population." xfId="7" xr:uid="{E0077E2F-AF46-40D1-A03F-AE8EE1A26879}"/>
  </cellStyles>
  <dxfs count="0"/>
  <tableStyles count="0" defaultTableStyle="TableStyleMedium2" defaultPivotStyle="PivotStyleLight16"/>
  <colors>
    <mruColors>
      <color rgb="FFFFD5D5"/>
      <color rgb="FFFFA7A7"/>
      <color rgb="FFFFE5E5"/>
      <color rgb="FF249390"/>
      <color rgb="FF33CCCC"/>
      <color rgb="FFEAFAFA"/>
      <color rgb="FFFF9900"/>
      <color rgb="FF196563"/>
      <color rgb="FF00FFCC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5B55A-F0AA-4D05-99EC-648A110C305C}">
  <sheetPr>
    <tabColor rgb="FFFFC000"/>
  </sheetPr>
  <dimension ref="A1:H38"/>
  <sheetViews>
    <sheetView tabSelected="1" zoomScaleNormal="100" workbookViewId="0">
      <selection activeCell="J26" sqref="J26"/>
    </sheetView>
  </sheetViews>
  <sheetFormatPr defaultColWidth="9.140625" defaultRowHeight="12.75" x14ac:dyDescent="0.2"/>
  <cols>
    <col min="1" max="1" width="16" style="2" customWidth="1"/>
    <col min="2" max="2" width="18.85546875" style="2" customWidth="1"/>
    <col min="3" max="3" width="22.5703125" style="2" customWidth="1"/>
    <col min="4" max="4" width="25.28515625" style="2" customWidth="1"/>
    <col min="5" max="5" width="18.42578125" style="2" customWidth="1"/>
    <col min="6" max="16384" width="9.140625" style="2"/>
  </cols>
  <sheetData>
    <row r="1" spans="1:5" ht="18.75" x14ac:dyDescent="0.2">
      <c r="A1" s="25" t="s">
        <v>23</v>
      </c>
      <c r="B1" s="25"/>
      <c r="C1" s="25"/>
      <c r="D1" s="25"/>
      <c r="E1" s="25"/>
    </row>
    <row r="2" spans="1:5" ht="15" x14ac:dyDescent="0.25">
      <c r="A2" s="26" t="s">
        <v>24</v>
      </c>
      <c r="B2" s="26"/>
      <c r="C2" s="26"/>
      <c r="D2" s="26"/>
      <c r="E2" s="26"/>
    </row>
    <row r="3" spans="1:5" x14ac:dyDescent="0.2">
      <c r="A3" s="1"/>
      <c r="B3" s="1"/>
      <c r="C3" s="1"/>
      <c r="D3" s="1"/>
    </row>
    <row r="4" spans="1:5" ht="25.5" x14ac:dyDescent="0.2">
      <c r="A4" s="27" t="s">
        <v>10</v>
      </c>
      <c r="B4" s="3" t="s">
        <v>11</v>
      </c>
      <c r="C4" s="3" t="s">
        <v>12</v>
      </c>
      <c r="D4" s="4" t="s">
        <v>13</v>
      </c>
      <c r="E4" s="29" t="s">
        <v>3</v>
      </c>
    </row>
    <row r="5" spans="1:5" ht="17.25" x14ac:dyDescent="0.2">
      <c r="A5" s="28"/>
      <c r="B5" s="6" t="s">
        <v>14</v>
      </c>
      <c r="C5" s="6" t="s">
        <v>15</v>
      </c>
      <c r="D5" s="6" t="s">
        <v>16</v>
      </c>
      <c r="E5" s="30"/>
    </row>
    <row r="6" spans="1:5" ht="18.75" x14ac:dyDescent="0.2">
      <c r="A6" s="7" t="s">
        <v>1</v>
      </c>
      <c r="B6" s="8">
        <f>SUM(B7:B22)</f>
        <v>55</v>
      </c>
      <c r="C6" s="33">
        <f>SUM(C7:C22)</f>
        <v>1580.7699999999995</v>
      </c>
      <c r="D6" s="33">
        <f>SUM(D7:D22)</f>
        <v>17080118.369999997</v>
      </c>
      <c r="E6" s="10" t="s">
        <v>2</v>
      </c>
    </row>
    <row r="7" spans="1:5" ht="18.75" x14ac:dyDescent="0.2">
      <c r="A7" s="17" t="s">
        <v>4</v>
      </c>
      <c r="B7" s="34">
        <v>3</v>
      </c>
      <c r="C7" s="35">
        <f>99.1+66.51+13.31</f>
        <v>178.92000000000002</v>
      </c>
      <c r="D7" s="35">
        <f>1066703.52+715917.37+143225.67</f>
        <v>1925846.56</v>
      </c>
      <c r="E7" s="19" t="s">
        <v>20</v>
      </c>
    </row>
    <row r="8" spans="1:5" ht="18.75" x14ac:dyDescent="0.2">
      <c r="A8" s="17" t="s">
        <v>25</v>
      </c>
      <c r="B8" s="34">
        <v>3</v>
      </c>
      <c r="C8" s="35">
        <f>17.1+50.4+43.98</f>
        <v>111.47999999999999</v>
      </c>
      <c r="D8" s="35">
        <f>236700.4+297624.6+72000</f>
        <v>606325</v>
      </c>
      <c r="E8" s="19" t="s">
        <v>26</v>
      </c>
    </row>
    <row r="9" spans="1:5" ht="18.75" x14ac:dyDescent="0.2">
      <c r="A9" s="17" t="s">
        <v>27</v>
      </c>
      <c r="B9" s="34">
        <v>10</v>
      </c>
      <c r="C9" s="35">
        <f>60+19.64+12.7+33.6+23+91.3+43.81+42.5+74.7+17.2</f>
        <v>418.45</v>
      </c>
      <c r="D9" s="35">
        <f>193750.44+211403.2+136701.66+542501.09+144000+982753.2+1393140+66000+804064.11+310000.32</f>
        <v>4784314.0200000005</v>
      </c>
      <c r="E9" s="19" t="s">
        <v>21</v>
      </c>
    </row>
    <row r="10" spans="1:5" ht="18.75" x14ac:dyDescent="0.2">
      <c r="A10" s="17" t="s">
        <v>28</v>
      </c>
      <c r="B10" s="34">
        <v>8</v>
      </c>
      <c r="C10" s="35">
        <f>26.9+21.1+18.5+31.8+21.8+25.2+6.5+6</f>
        <v>157.79999999999998</v>
      </c>
      <c r="D10" s="35">
        <f>275000+113559.25+199134+720000+500000+274479.7+108716.4+144000</f>
        <v>2334889.35</v>
      </c>
      <c r="E10" s="19" t="s">
        <v>29</v>
      </c>
    </row>
    <row r="11" spans="1:5" ht="18.75" x14ac:dyDescent="0.2">
      <c r="A11" s="17" t="s">
        <v>5</v>
      </c>
      <c r="B11" s="34">
        <v>5</v>
      </c>
      <c r="C11" s="35">
        <f>5.4+14.6+11.2+19.1+16.6</f>
        <v>66.900000000000006</v>
      </c>
      <c r="D11" s="35">
        <f>17437.53+157154.4+125000+365000+180000</f>
        <v>844591.92999999993</v>
      </c>
      <c r="E11" s="19" t="s">
        <v>19</v>
      </c>
    </row>
    <row r="12" spans="1:5" ht="18.75" x14ac:dyDescent="0.2">
      <c r="A12" s="17" t="s">
        <v>30</v>
      </c>
      <c r="B12" s="34">
        <v>5</v>
      </c>
      <c r="C12" s="35">
        <f>7.7+20.1+3.1+12.7+27.4</f>
        <v>71</v>
      </c>
      <c r="D12" s="35">
        <f>82882.11+216354.6+33368.4+136702.8+410000</f>
        <v>879307.91</v>
      </c>
      <c r="E12" s="19" t="s">
        <v>31</v>
      </c>
    </row>
    <row r="13" spans="1:5" ht="18.75" x14ac:dyDescent="0.2">
      <c r="A13" s="17" t="s">
        <v>32</v>
      </c>
      <c r="B13" s="34">
        <v>4</v>
      </c>
      <c r="C13" s="35">
        <f>11.3+2.7+25+12.3</f>
        <v>51.3</v>
      </c>
      <c r="D13" s="35">
        <f>12633.2+29062.8+269097.76+172116.36</f>
        <v>482910.12</v>
      </c>
      <c r="E13" s="19" t="s">
        <v>33</v>
      </c>
    </row>
    <row r="14" spans="1:5" ht="18.75" x14ac:dyDescent="0.2">
      <c r="A14" s="17" t="s">
        <v>34</v>
      </c>
      <c r="B14" s="34">
        <v>1</v>
      </c>
      <c r="C14" s="35">
        <v>3.6</v>
      </c>
      <c r="D14" s="35">
        <f>165765</f>
        <v>165765</v>
      </c>
      <c r="E14" s="19" t="s">
        <v>35</v>
      </c>
    </row>
    <row r="15" spans="1:5" ht="18.75" x14ac:dyDescent="0.2">
      <c r="A15" s="17" t="s">
        <v>36</v>
      </c>
      <c r="B15" s="34">
        <v>1</v>
      </c>
      <c r="C15" s="35">
        <f>14.8</f>
        <v>14.8</v>
      </c>
      <c r="D15" s="35">
        <f>159307.2</f>
        <v>159307.20000000001</v>
      </c>
      <c r="E15" s="19" t="s">
        <v>37</v>
      </c>
    </row>
    <row r="16" spans="1:5" ht="18.75" x14ac:dyDescent="0.2">
      <c r="A16" s="17" t="s">
        <v>38</v>
      </c>
      <c r="B16" s="34">
        <v>1</v>
      </c>
      <c r="C16" s="35">
        <f>3.1</f>
        <v>3.1</v>
      </c>
      <c r="D16" s="35">
        <f>33368.4</f>
        <v>33368.400000000001</v>
      </c>
      <c r="E16" s="19" t="s">
        <v>39</v>
      </c>
    </row>
    <row r="17" spans="1:5" ht="18.75" x14ac:dyDescent="0.2">
      <c r="A17" s="17" t="s">
        <v>40</v>
      </c>
      <c r="B17" s="34">
        <v>3</v>
      </c>
      <c r="C17" s="35">
        <f>5.8+12+14.8</f>
        <v>32.6</v>
      </c>
      <c r="D17" s="35">
        <f>62430.68+157153.09+162652.02</f>
        <v>382235.79</v>
      </c>
      <c r="E17" s="19" t="s">
        <v>41</v>
      </c>
    </row>
    <row r="18" spans="1:5" ht="18.75" x14ac:dyDescent="0.2">
      <c r="A18" s="17" t="s">
        <v>42</v>
      </c>
      <c r="B18" s="34">
        <v>2</v>
      </c>
      <c r="C18" s="35">
        <f>7.6+6.1</f>
        <v>13.7</v>
      </c>
      <c r="D18" s="35">
        <f>62753.6+230000</f>
        <v>292753.59999999998</v>
      </c>
      <c r="E18" s="19" t="s">
        <v>43</v>
      </c>
    </row>
    <row r="19" spans="1:5" ht="18.75" x14ac:dyDescent="0.2">
      <c r="A19" s="17" t="s">
        <v>44</v>
      </c>
      <c r="B19" s="34">
        <v>1</v>
      </c>
      <c r="C19" s="35">
        <f>9.8</f>
        <v>9.8000000000000007</v>
      </c>
      <c r="D19" s="35">
        <f>105487.2</f>
        <v>105487.2</v>
      </c>
      <c r="E19" s="19" t="s">
        <v>45</v>
      </c>
    </row>
    <row r="20" spans="1:5" ht="18.75" x14ac:dyDescent="0.2">
      <c r="A20" s="17" t="s">
        <v>0</v>
      </c>
      <c r="B20" s="34">
        <v>4</v>
      </c>
      <c r="C20" s="35">
        <f>12.7+65.6+17.88+71.1</f>
        <v>167.27999999999997</v>
      </c>
      <c r="D20" s="35">
        <f>136702.8+706112.52+192470.02</f>
        <v>1035285.3400000001</v>
      </c>
      <c r="E20" s="19" t="s">
        <v>22</v>
      </c>
    </row>
    <row r="21" spans="1:5" ht="18.75" x14ac:dyDescent="0.2">
      <c r="A21" s="17" t="s">
        <v>46</v>
      </c>
      <c r="B21" s="34">
        <v>3</v>
      </c>
      <c r="C21" s="35">
        <f>5+5.9+23.5</f>
        <v>34.4</v>
      </c>
      <c r="D21" s="35">
        <f>70000+80730+252954</f>
        <v>403684</v>
      </c>
      <c r="E21" s="19" t="s">
        <v>47</v>
      </c>
    </row>
    <row r="22" spans="1:5" ht="18.75" x14ac:dyDescent="0.2">
      <c r="A22" s="17" t="s">
        <v>48</v>
      </c>
      <c r="B22" s="34">
        <v>1</v>
      </c>
      <c r="C22" s="35">
        <f>245.64</f>
        <v>245.64</v>
      </c>
      <c r="D22" s="36">
        <f>2644046.95</f>
        <v>2644046.9500000002</v>
      </c>
      <c r="E22" s="20" t="s">
        <v>49</v>
      </c>
    </row>
    <row r="23" spans="1:5" ht="34.5" customHeight="1" x14ac:dyDescent="0.45">
      <c r="A23" s="31" t="s">
        <v>6</v>
      </c>
      <c r="B23" s="31"/>
      <c r="C23" s="31"/>
      <c r="D23" s="32" t="s">
        <v>7</v>
      </c>
      <c r="E23" s="32"/>
    </row>
    <row r="24" spans="1:5" ht="31.5" customHeight="1" x14ac:dyDescent="0.45">
      <c r="A24" s="22"/>
      <c r="B24" s="22"/>
      <c r="C24" s="22"/>
      <c r="D24" s="23"/>
      <c r="E24" s="23"/>
    </row>
    <row r="25" spans="1:5" ht="17.25" x14ac:dyDescent="0.2">
      <c r="A25" s="12"/>
      <c r="B25" s="11"/>
      <c r="C25" s="11"/>
      <c r="D25" s="11"/>
      <c r="E25" s="13"/>
    </row>
    <row r="26" spans="1:5" ht="17.25" x14ac:dyDescent="0.2">
      <c r="A26" s="12"/>
      <c r="B26" s="11"/>
      <c r="C26" s="11"/>
      <c r="D26" s="11"/>
      <c r="E26" s="14"/>
    </row>
    <row r="27" spans="1:5" ht="18.75" x14ac:dyDescent="0.2">
      <c r="A27" s="25" t="s">
        <v>8</v>
      </c>
      <c r="B27" s="25"/>
      <c r="C27" s="25"/>
      <c r="D27" s="25"/>
      <c r="E27" s="25"/>
    </row>
    <row r="28" spans="1:5" ht="13.5" customHeight="1" x14ac:dyDescent="0.25">
      <c r="A28" s="26" t="s">
        <v>9</v>
      </c>
      <c r="B28" s="26"/>
      <c r="C28" s="26"/>
      <c r="D28" s="26"/>
      <c r="E28" s="26"/>
    </row>
    <row r="29" spans="1:5" x14ac:dyDescent="0.2">
      <c r="A29" s="1"/>
      <c r="B29" s="1"/>
      <c r="C29" s="1"/>
      <c r="D29" s="1"/>
    </row>
    <row r="30" spans="1:5" s="5" customFormat="1" ht="25.5" x14ac:dyDescent="0.2">
      <c r="A30" s="27" t="s">
        <v>10</v>
      </c>
      <c r="B30" s="3" t="s">
        <v>11</v>
      </c>
      <c r="C30" s="3" t="s">
        <v>12</v>
      </c>
      <c r="D30" s="4" t="s">
        <v>13</v>
      </c>
      <c r="E30" s="29" t="s">
        <v>3</v>
      </c>
    </row>
    <row r="31" spans="1:5" s="5" customFormat="1" ht="17.25" customHeight="1" x14ac:dyDescent="0.2">
      <c r="A31" s="28"/>
      <c r="B31" s="6" t="s">
        <v>14</v>
      </c>
      <c r="C31" s="6" t="s">
        <v>15</v>
      </c>
      <c r="D31" s="6" t="s">
        <v>16</v>
      </c>
      <c r="E31" s="30"/>
    </row>
    <row r="32" spans="1:5" s="5" customFormat="1" ht="18.75" x14ac:dyDescent="0.2">
      <c r="A32" s="7" t="s">
        <v>1</v>
      </c>
      <c r="B32" s="8"/>
      <c r="C32" s="9"/>
      <c r="D32" s="9"/>
      <c r="E32" s="10" t="s">
        <v>2</v>
      </c>
    </row>
    <row r="33" spans="1:8" ht="18.75" x14ac:dyDescent="0.2">
      <c r="A33" s="17" t="s">
        <v>4</v>
      </c>
      <c r="B33" s="24">
        <v>2</v>
      </c>
      <c r="C33" s="18">
        <v>79.819999999999993</v>
      </c>
      <c r="D33" s="18">
        <v>0</v>
      </c>
      <c r="E33" s="19" t="s">
        <v>20</v>
      </c>
    </row>
    <row r="34" spans="1:8" ht="18.75" x14ac:dyDescent="0.2">
      <c r="A34" s="17" t="s">
        <v>17</v>
      </c>
      <c r="B34" s="24">
        <v>1</v>
      </c>
      <c r="C34" s="18">
        <v>3.8</v>
      </c>
      <c r="D34" s="18">
        <v>0</v>
      </c>
      <c r="E34" s="19" t="s">
        <v>21</v>
      </c>
    </row>
    <row r="35" spans="1:8" ht="18.75" x14ac:dyDescent="0.2">
      <c r="A35" s="15" t="s">
        <v>0</v>
      </c>
      <c r="B35" s="21">
        <v>1</v>
      </c>
      <c r="C35" s="16">
        <v>71.099999999999994</v>
      </c>
      <c r="D35" s="16">
        <v>0</v>
      </c>
      <c r="E35" s="20" t="s">
        <v>22</v>
      </c>
    </row>
    <row r="36" spans="1:8" s="11" customFormat="1" ht="33" customHeight="1" x14ac:dyDescent="0.45">
      <c r="A36" s="31" t="s">
        <v>6</v>
      </c>
      <c r="B36" s="31"/>
      <c r="C36" s="31"/>
      <c r="D36" s="32" t="s">
        <v>7</v>
      </c>
      <c r="E36" s="32"/>
      <c r="H36" s="2"/>
    </row>
    <row r="37" spans="1:8" s="11" customFormat="1" ht="17.25" x14ac:dyDescent="0.2">
      <c r="A37" s="12"/>
      <c r="E37" s="13" t="s">
        <v>18</v>
      </c>
    </row>
    <row r="38" spans="1:8" s="11" customFormat="1" ht="17.25" x14ac:dyDescent="0.2">
      <c r="A38" s="12"/>
      <c r="E38" s="14"/>
    </row>
  </sheetData>
  <mergeCells count="12">
    <mergeCell ref="A27:E27"/>
    <mergeCell ref="A28:E28"/>
    <mergeCell ref="A30:A31"/>
    <mergeCell ref="E30:E31"/>
    <mergeCell ref="A36:C36"/>
    <mergeCell ref="D36:E36"/>
    <mergeCell ref="A1:E1"/>
    <mergeCell ref="A4:A5"/>
    <mergeCell ref="E4:E5"/>
    <mergeCell ref="A23:C23"/>
    <mergeCell ref="D23:E23"/>
    <mergeCell ref="A2:E2"/>
  </mergeCells>
  <pageMargins left="0.7" right="0.7" top="0.75" bottom="0.75" header="0.3" footer="0.3"/>
  <pageSetup scale="77" orientation="portrait" r:id="rId1"/>
  <colBreaks count="1" manualBreakCount="1">
    <brk id="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9.17</vt:lpstr>
      <vt:lpstr>'9.17'!Print_Area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2023-07-31T03:24:08Z</cp:lastPrinted>
  <dcterms:created xsi:type="dcterms:W3CDTF">2019-09-09T05:11:24Z</dcterms:created>
  <dcterms:modified xsi:type="dcterms:W3CDTF">2023-07-31T03:24:15Z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