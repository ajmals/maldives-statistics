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DE239560-A3C1-4650-B583-763654D14CAE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5" sheetId="15" r:id="rId1"/>
  </sheets>
  <externalReferences>
    <externalReference r:id="rId2"/>
    <externalReference r:id="rId3"/>
  </externalReferences>
  <definedNames>
    <definedName name="_xlnm.Print_Area" localSheetId="0">'9.15'!$A$1:$M$28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5" l="1"/>
  <c r="J6" i="15"/>
  <c r="I6" i="15"/>
  <c r="H6" i="15"/>
  <c r="G6" i="15"/>
  <c r="F6" i="15"/>
  <c r="E6" i="15"/>
  <c r="D6" i="15"/>
  <c r="C6" i="15"/>
  <c r="B6" i="15"/>
</calcChain>
</file>

<file path=xl/sharedStrings.xml><?xml version="1.0" encoding="utf-8"?>
<sst xmlns="http://schemas.openxmlformats.org/spreadsheetml/2006/main" count="51" uniqueCount="48">
  <si>
    <t>Atolls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</si>
  <si>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</si>
  <si>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</si>
  <si>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</si>
  <si>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</si>
  <si>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</si>
  <si>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</si>
  <si>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</si>
  <si>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</si>
  <si>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</si>
  <si>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</si>
  <si>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</si>
  <si>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</si>
  <si>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</si>
  <si>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</si>
  <si>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</si>
  <si>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</si>
  <si>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</si>
  <si>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</si>
  <si>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</si>
  <si>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</si>
  <si>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</si>
  <si>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</si>
  <si>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</si>
  <si>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</si>
  <si>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</si>
  <si>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</si>
  <si>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</si>
  <si>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</si>
  <si>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</si>
  <si>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</si>
  <si>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</si>
  <si>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</si>
  <si>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ތާވަލު 9.15: ދަނޑުވެރިންގެ އަދަދު، 2013 - 2021</t>
  </si>
  <si>
    <r>
      <t xml:space="preserve">No. of Farmers   </t>
    </r>
    <r>
      <rPr>
        <b/>
        <sz val="11"/>
        <color theme="1"/>
        <rFont val="Faruma"/>
      </rPr>
      <t>ދަނޑުވެރިންގެ އަދަދު</t>
    </r>
  </si>
  <si>
    <t xml:space="preserve">އަތޮޅުތައް </t>
  </si>
  <si>
    <t>Atoll total</t>
  </si>
  <si>
    <t>އަޔޮޅުތަކުގެ ޖުމްލަ</t>
  </si>
  <si>
    <t>HA</t>
  </si>
  <si>
    <t>HDh</t>
  </si>
  <si>
    <t>Sh</t>
  </si>
  <si>
    <t>R</t>
  </si>
  <si>
    <t xml:space="preserve"> k</t>
  </si>
  <si>
    <t xml:space="preserve">Note: 2020 data are missing as unable to take data on the Male’ Local Market due to the COVID pandemic. </t>
  </si>
  <si>
    <t>ނޯޓް:  މައުލޫމާތު ނެތީ ކޮވިޑްގެ ހާލަތާ ގުޅިގެން ލޯކަލް މާރުކޭޓުން ތަފާސްހިސާބު ނެގިފައި ނެތީމައެވެ.</t>
  </si>
  <si>
    <t>Source: Agriculture Data Management Unit/ Ministry of Fisheries, Marine Resources and Agriculture</t>
  </si>
  <si>
    <t xml:space="preserve">މައުލޫމާތު ދެއްވި ފަރާތް: މިނިސްޓްރީ އޮފް ފިޝަރީޒް, މެރިން ރިސޯސަސް އެންޑް އެގްރިކަލްޗަރ </t>
  </si>
  <si>
    <t>TABLE 9.15: NUMBER OF REGISTERED FARMERS BY ATOLL, 2013-2022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</si>
</sst>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8" formatCode="[$-409]mmmm\ d\,\ yyyy;@"/>
  </numFmts>
  <fonts count="1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b/>
      <sz val="11"/>
      <color theme="1"/>
      <name val="Calibri"/>
      <family val="2"/>
      <scheme val="minor"/>
    </font>
    <font>
      <b/>
      <sz val="10"/>
      <name val="Faruma"/>
    </font>
    <font>
      <b/>
      <sz val="11"/>
      <color theme="1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7">
    <xf numFmtId="0" fontId="0" fillId="0" borderId="0"/>
    <xf numFmtId="40" fontId="5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8" fillId="2" borderId="1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left" vertical="center"/>
    </xf>
    <xf numFmtId="38" fontId="4" fillId="2" borderId="0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left" vertical="center" indent="2"/>
    </xf>
    <xf numFmtId="38" fontId="6" fillId="2" borderId="0" xfId="1" applyNumberFormat="1" applyFont="1" applyFill="1" applyBorder="1" applyAlignment="1">
      <alignment horizontal="right" vertical="center"/>
    </xf>
    <xf numFmtId="164" fontId="7" fillId="2" borderId="0" xfId="6" applyNumberFormat="1" applyFont="1" applyFill="1" applyAlignment="1">
      <alignment horizontal="right" vertical="center" indent="2"/>
    </xf>
    <xf numFmtId="0" fontId="11" fillId="2" borderId="1" xfId="0" applyFont="1" applyFill="1" applyBorder="1" applyAlignment="1">
      <alignment horizontal="left" vertical="center" indent="2"/>
    </xf>
    <xf numFmtId="38" fontId="6" fillId="2" borderId="1" xfId="1" applyNumberFormat="1" applyFont="1" applyFill="1" applyBorder="1" applyAlignment="1">
      <alignment horizontal="right" vertical="center"/>
    </xf>
    <xf numFmtId="164" fontId="7" fillId="2" borderId="1" xfId="6" applyNumberFormat="1" applyFont="1" applyFill="1" applyBorder="1" applyAlignment="1">
      <alignment horizontal="right" vertical="center" indent="2"/>
    </xf>
    <xf numFmtId="164" fontId="3" fillId="2" borderId="0" xfId="0" applyNumberFormat="1" applyFont="1" applyFill="1" applyAlignment="1">
      <alignment horizontal="left" vertical="center"/>
    </xf>
    <xf numFmtId="0" fontId="14" fillId="2" borderId="0" xfId="0" applyFont="1" applyFill="1"/>
    <xf numFmtId="43" fontId="6" fillId="2" borderId="0" xfId="1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164" fontId="12" fillId="2" borderId="4" xfId="0" applyNumberFormat="1" applyFont="1" applyFill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center" vertical="center" wrapText="1"/>
    </xf>
    <xf numFmtId="164" fontId="12" fillId="2" borderId="6" xfId="0" applyNumberFormat="1" applyFont="1" applyFill="1" applyBorder="1" applyAlignment="1">
      <alignment horizontal="center" vertical="center" wrapText="1"/>
    </xf>
    <xf numFmtId="164" fontId="12" fillId="2" borderId="0" xfId="0" applyNumberFormat="1" applyFont="1" applyFill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</cellXfs>
  <cellStyles count="7">
    <cellStyle name="1" xfId="5" xr:uid="{00000000-0005-0000-0000-000000000000}"/>
    <cellStyle name="Comma 2" xfId="1" xr:uid="{00000000-0005-0000-0000-000002000000}"/>
    <cellStyle name="Normal" xfId="0" builtinId="0"/>
    <cellStyle name="Normal 2_agri planning 2009 year book(final)" xfId="2" xr:uid="{00000000-0005-0000-0000-000005000000}"/>
    <cellStyle name="Normal 3_agri planning 2009 year book(final)" xfId="4" xr:uid="{00000000-0005-0000-0000-000006000000}"/>
    <cellStyle name="Normal 4_agri planning 2009 year book(final)" xfId="3" xr:uid="{00000000-0005-0000-0000-000007000000}"/>
    <cellStyle name="Normal_3 Population." xfId="6" xr:uid="{E0077E2F-AF46-40D1-A03F-AE8EE1A26879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Dissemination\Publications\Statistical%20Year%20Book\YEARBOOK%202021\YEARBOOK%202021_%20LATEST\FINAL%20TABLES\9.%20FISHERIES%20AND%20AGRICULTURE__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9.%20FISHERIES%20AND%20AGRICULTURE%20-%20Agri.xlsx" TargetMode="External"/><Relationship Id="rId1" Type="http://schemas.openxmlformats.org/officeDocument/2006/relationships/externalLinkPath" Target="/Dissemination/Publications/Statistical%20Year%20Book/YEARBOOK%202023/RECEIVED/9.%20FISHERIES%20AND%20AGRICULTURE%20-%20Ag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0">
          <cell r="Y40" t="str">
            <v>India</v>
          </cell>
          <cell r="Z40">
            <v>124404067.35999998</v>
          </cell>
        </row>
        <row r="41">
          <cell r="Y41" t="str">
            <v>U.A.E</v>
          </cell>
          <cell r="Z41">
            <v>89466498.949999988</v>
          </cell>
        </row>
        <row r="42">
          <cell r="Y42" t="str">
            <v>Srilanka</v>
          </cell>
          <cell r="Z42">
            <v>84504694.510000005</v>
          </cell>
        </row>
        <row r="43">
          <cell r="Y43" t="str">
            <v>Thailand</v>
          </cell>
          <cell r="Z43">
            <v>76314727.409999982</v>
          </cell>
        </row>
        <row r="44">
          <cell r="Y44" t="str">
            <v>Other Countries</v>
          </cell>
          <cell r="Z44">
            <v>42838737.359999999</v>
          </cell>
        </row>
        <row r="45">
          <cell r="Y45" t="str">
            <v>Australia</v>
          </cell>
          <cell r="Z45">
            <v>19911562.610000003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>
        <row r="6">
          <cell r="K6">
            <v>2017</v>
          </cell>
          <cell r="L6">
            <v>2018</v>
          </cell>
          <cell r="M6">
            <v>2019</v>
          </cell>
        </row>
        <row r="8">
          <cell r="A8" t="str">
            <v>January</v>
          </cell>
          <cell r="K8">
            <v>8451.4959999999992</v>
          </cell>
          <cell r="L8">
            <v>3998.6889999999999</v>
          </cell>
          <cell r="M8">
            <v>2618.08</v>
          </cell>
        </row>
        <row r="9">
          <cell r="A9" t="str">
            <v>February</v>
          </cell>
          <cell r="K9">
            <v>8453.8235000000004</v>
          </cell>
          <cell r="L9">
            <v>5869.7790000000005</v>
          </cell>
          <cell r="M9">
            <v>2885.299</v>
          </cell>
        </row>
        <row r="10">
          <cell r="A10" t="str">
            <v>March</v>
          </cell>
          <cell r="K10">
            <v>7567.4920000000002</v>
          </cell>
          <cell r="L10">
            <v>5047.7060000000001</v>
          </cell>
          <cell r="M10">
            <v>2069.3150000000001</v>
          </cell>
        </row>
        <row r="11">
          <cell r="A11" t="str">
            <v>April</v>
          </cell>
          <cell r="K11">
            <v>7684.7669999999998</v>
          </cell>
          <cell r="L11">
            <v>6195.2209999999995</v>
          </cell>
          <cell r="M11">
            <v>235.05</v>
          </cell>
        </row>
        <row r="12">
          <cell r="A12" t="str">
            <v>May</v>
          </cell>
          <cell r="K12">
            <v>4452.6779999999999</v>
          </cell>
          <cell r="L12">
            <v>5648.06</v>
          </cell>
          <cell r="M12">
            <v>5236</v>
          </cell>
        </row>
        <row r="13">
          <cell r="A13" t="str">
            <v>June</v>
          </cell>
          <cell r="K13">
            <v>8162.3275000000003</v>
          </cell>
          <cell r="L13">
            <v>4394.7749999999996</v>
          </cell>
          <cell r="M13">
            <v>3785.75</v>
          </cell>
        </row>
        <row r="14">
          <cell r="A14" t="str">
            <v>July</v>
          </cell>
          <cell r="K14">
            <v>3507.6289999999999</v>
          </cell>
          <cell r="L14">
            <v>1475.635</v>
          </cell>
          <cell r="M14">
            <v>3096.165</v>
          </cell>
        </row>
        <row r="15">
          <cell r="A15" t="str">
            <v>August</v>
          </cell>
          <cell r="K15">
            <v>4520.3270000000002</v>
          </cell>
          <cell r="L15">
            <v>2343.393</v>
          </cell>
          <cell r="M15">
            <v>1528.56</v>
          </cell>
        </row>
        <row r="16">
          <cell r="A16" t="str">
            <v>September</v>
          </cell>
          <cell r="K16">
            <v>247.465</v>
          </cell>
          <cell r="L16">
            <v>736.4</v>
          </cell>
          <cell r="M16">
            <v>2215.1</v>
          </cell>
        </row>
        <row r="17">
          <cell r="A17" t="str">
            <v>October</v>
          </cell>
          <cell r="K17">
            <v>3873.07</v>
          </cell>
          <cell r="L17">
            <v>3165.0529999999999</v>
          </cell>
          <cell r="M17">
            <v>1908.519</v>
          </cell>
        </row>
        <row r="18">
          <cell r="A18" t="str">
            <v>November</v>
          </cell>
          <cell r="K18">
            <v>2455.6325000000002</v>
          </cell>
          <cell r="L18">
            <v>2708.9949999999999</v>
          </cell>
          <cell r="M18">
            <v>2635.1750000000002</v>
          </cell>
        </row>
        <row r="19">
          <cell r="A19" t="str">
            <v>December</v>
          </cell>
          <cell r="K19">
            <v>4703.3100000000004</v>
          </cell>
          <cell r="L19">
            <v>1875.7750000000001</v>
          </cell>
          <cell r="M19">
            <v>1911.08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240B-145A-47DB-A22D-82FBFD83AF91}">
  <dimension ref="A1:Q28"/>
  <sheetViews>
    <sheetView tabSelected="1" zoomScaleNormal="100" workbookViewId="0">
      <selection activeCell="O29" sqref="O29"/>
    </sheetView>
  </sheetViews>
  <sheetFormatPr defaultRowHeight="15" x14ac:dyDescent="0.25"/>
  <cols>
    <col min="1" max="1" width="16.140625" style="1" customWidth="1"/>
    <col min="2" max="11" width="14" style="1" customWidth="1"/>
    <col min="12" max="12" width="19.5703125" style="1" customWidth="1"/>
    <col min="13" max="13" width="4.140625" style="1" customWidth="1"/>
    <col min="14" max="264" width="9.140625" style="1"/>
    <col min="265" max="265" width="15.5703125" style="1" customWidth="1"/>
    <col min="266" max="266" width="19" style="1" customWidth="1"/>
    <col min="267" max="267" width="16.140625" style="1" customWidth="1"/>
    <col min="268" max="268" width="19" style="1" customWidth="1"/>
    <col min="269" max="520" width="9.140625" style="1"/>
    <col min="521" max="521" width="15.5703125" style="1" customWidth="1"/>
    <col min="522" max="522" width="19" style="1" customWidth="1"/>
    <col min="523" max="523" width="16.140625" style="1" customWidth="1"/>
    <col min="524" max="524" width="19" style="1" customWidth="1"/>
    <col min="525" max="776" width="9.140625" style="1"/>
    <col min="777" max="777" width="15.5703125" style="1" customWidth="1"/>
    <col min="778" max="778" width="19" style="1" customWidth="1"/>
    <col min="779" max="779" width="16.140625" style="1" customWidth="1"/>
    <col min="780" max="780" width="19" style="1" customWidth="1"/>
    <col min="781" max="1032" width="9.140625" style="1"/>
    <col min="1033" max="1033" width="15.5703125" style="1" customWidth="1"/>
    <col min="1034" max="1034" width="19" style="1" customWidth="1"/>
    <col min="1035" max="1035" width="16.140625" style="1" customWidth="1"/>
    <col min="1036" max="1036" width="19" style="1" customWidth="1"/>
    <col min="1037" max="1288" width="9.140625" style="1"/>
    <col min="1289" max="1289" width="15.5703125" style="1" customWidth="1"/>
    <col min="1290" max="1290" width="19" style="1" customWidth="1"/>
    <col min="1291" max="1291" width="16.140625" style="1" customWidth="1"/>
    <col min="1292" max="1292" width="19" style="1" customWidth="1"/>
    <col min="1293" max="1544" width="9.140625" style="1"/>
    <col min="1545" max="1545" width="15.5703125" style="1" customWidth="1"/>
    <col min="1546" max="1546" width="19" style="1" customWidth="1"/>
    <col min="1547" max="1547" width="16.140625" style="1" customWidth="1"/>
    <col min="1548" max="1548" width="19" style="1" customWidth="1"/>
    <col min="1549" max="1800" width="9.140625" style="1"/>
    <col min="1801" max="1801" width="15.5703125" style="1" customWidth="1"/>
    <col min="1802" max="1802" width="19" style="1" customWidth="1"/>
    <col min="1803" max="1803" width="16.140625" style="1" customWidth="1"/>
    <col min="1804" max="1804" width="19" style="1" customWidth="1"/>
    <col min="1805" max="2056" width="9.140625" style="1"/>
    <col min="2057" max="2057" width="15.5703125" style="1" customWidth="1"/>
    <col min="2058" max="2058" width="19" style="1" customWidth="1"/>
    <col min="2059" max="2059" width="16.140625" style="1" customWidth="1"/>
    <col min="2060" max="2060" width="19" style="1" customWidth="1"/>
    <col min="2061" max="2312" width="9.140625" style="1"/>
    <col min="2313" max="2313" width="15.5703125" style="1" customWidth="1"/>
    <col min="2314" max="2314" width="19" style="1" customWidth="1"/>
    <col min="2315" max="2315" width="16.140625" style="1" customWidth="1"/>
    <col min="2316" max="2316" width="19" style="1" customWidth="1"/>
    <col min="2317" max="2568" width="9.140625" style="1"/>
    <col min="2569" max="2569" width="15.5703125" style="1" customWidth="1"/>
    <col min="2570" max="2570" width="19" style="1" customWidth="1"/>
    <col min="2571" max="2571" width="16.140625" style="1" customWidth="1"/>
    <col min="2572" max="2572" width="19" style="1" customWidth="1"/>
    <col min="2573" max="2824" width="9.140625" style="1"/>
    <col min="2825" max="2825" width="15.5703125" style="1" customWidth="1"/>
    <col min="2826" max="2826" width="19" style="1" customWidth="1"/>
    <col min="2827" max="2827" width="16.140625" style="1" customWidth="1"/>
    <col min="2828" max="2828" width="19" style="1" customWidth="1"/>
    <col min="2829" max="3080" width="9.140625" style="1"/>
    <col min="3081" max="3081" width="15.5703125" style="1" customWidth="1"/>
    <col min="3082" max="3082" width="19" style="1" customWidth="1"/>
    <col min="3083" max="3083" width="16.140625" style="1" customWidth="1"/>
    <col min="3084" max="3084" width="19" style="1" customWidth="1"/>
    <col min="3085" max="3336" width="9.140625" style="1"/>
    <col min="3337" max="3337" width="15.5703125" style="1" customWidth="1"/>
    <col min="3338" max="3338" width="19" style="1" customWidth="1"/>
    <col min="3339" max="3339" width="16.140625" style="1" customWidth="1"/>
    <col min="3340" max="3340" width="19" style="1" customWidth="1"/>
    <col min="3341" max="3592" width="9.140625" style="1"/>
    <col min="3593" max="3593" width="15.5703125" style="1" customWidth="1"/>
    <col min="3594" max="3594" width="19" style="1" customWidth="1"/>
    <col min="3595" max="3595" width="16.140625" style="1" customWidth="1"/>
    <col min="3596" max="3596" width="19" style="1" customWidth="1"/>
    <col min="3597" max="3848" width="9.140625" style="1"/>
    <col min="3849" max="3849" width="15.5703125" style="1" customWidth="1"/>
    <col min="3850" max="3850" width="19" style="1" customWidth="1"/>
    <col min="3851" max="3851" width="16.140625" style="1" customWidth="1"/>
    <col min="3852" max="3852" width="19" style="1" customWidth="1"/>
    <col min="3853" max="4104" width="9.140625" style="1"/>
    <col min="4105" max="4105" width="15.5703125" style="1" customWidth="1"/>
    <col min="4106" max="4106" width="19" style="1" customWidth="1"/>
    <col min="4107" max="4107" width="16.140625" style="1" customWidth="1"/>
    <col min="4108" max="4108" width="19" style="1" customWidth="1"/>
    <col min="4109" max="4360" width="9.140625" style="1"/>
    <col min="4361" max="4361" width="15.5703125" style="1" customWidth="1"/>
    <col min="4362" max="4362" width="19" style="1" customWidth="1"/>
    <col min="4363" max="4363" width="16.140625" style="1" customWidth="1"/>
    <col min="4364" max="4364" width="19" style="1" customWidth="1"/>
    <col min="4365" max="4616" width="9.140625" style="1"/>
    <col min="4617" max="4617" width="15.5703125" style="1" customWidth="1"/>
    <col min="4618" max="4618" width="19" style="1" customWidth="1"/>
    <col min="4619" max="4619" width="16.140625" style="1" customWidth="1"/>
    <col min="4620" max="4620" width="19" style="1" customWidth="1"/>
    <col min="4621" max="4872" width="9.140625" style="1"/>
    <col min="4873" max="4873" width="15.5703125" style="1" customWidth="1"/>
    <col min="4874" max="4874" width="19" style="1" customWidth="1"/>
    <col min="4875" max="4875" width="16.140625" style="1" customWidth="1"/>
    <col min="4876" max="4876" width="19" style="1" customWidth="1"/>
    <col min="4877" max="5128" width="9.140625" style="1"/>
    <col min="5129" max="5129" width="15.5703125" style="1" customWidth="1"/>
    <col min="5130" max="5130" width="19" style="1" customWidth="1"/>
    <col min="5131" max="5131" width="16.140625" style="1" customWidth="1"/>
    <col min="5132" max="5132" width="19" style="1" customWidth="1"/>
    <col min="5133" max="5384" width="9.140625" style="1"/>
    <col min="5385" max="5385" width="15.5703125" style="1" customWidth="1"/>
    <col min="5386" max="5386" width="19" style="1" customWidth="1"/>
    <col min="5387" max="5387" width="16.140625" style="1" customWidth="1"/>
    <col min="5388" max="5388" width="19" style="1" customWidth="1"/>
    <col min="5389" max="5640" width="9.140625" style="1"/>
    <col min="5641" max="5641" width="15.5703125" style="1" customWidth="1"/>
    <col min="5642" max="5642" width="19" style="1" customWidth="1"/>
    <col min="5643" max="5643" width="16.140625" style="1" customWidth="1"/>
    <col min="5644" max="5644" width="19" style="1" customWidth="1"/>
    <col min="5645" max="5896" width="9.140625" style="1"/>
    <col min="5897" max="5897" width="15.5703125" style="1" customWidth="1"/>
    <col min="5898" max="5898" width="19" style="1" customWidth="1"/>
    <col min="5899" max="5899" width="16.140625" style="1" customWidth="1"/>
    <col min="5900" max="5900" width="19" style="1" customWidth="1"/>
    <col min="5901" max="6152" width="9.140625" style="1"/>
    <col min="6153" max="6153" width="15.5703125" style="1" customWidth="1"/>
    <col min="6154" max="6154" width="19" style="1" customWidth="1"/>
    <col min="6155" max="6155" width="16.140625" style="1" customWidth="1"/>
    <col min="6156" max="6156" width="19" style="1" customWidth="1"/>
    <col min="6157" max="6408" width="9.140625" style="1"/>
    <col min="6409" max="6409" width="15.5703125" style="1" customWidth="1"/>
    <col min="6410" max="6410" width="19" style="1" customWidth="1"/>
    <col min="6411" max="6411" width="16.140625" style="1" customWidth="1"/>
    <col min="6412" max="6412" width="19" style="1" customWidth="1"/>
    <col min="6413" max="6664" width="9.140625" style="1"/>
    <col min="6665" max="6665" width="15.5703125" style="1" customWidth="1"/>
    <col min="6666" max="6666" width="19" style="1" customWidth="1"/>
    <col min="6667" max="6667" width="16.140625" style="1" customWidth="1"/>
    <col min="6668" max="6668" width="19" style="1" customWidth="1"/>
    <col min="6669" max="6920" width="9.140625" style="1"/>
    <col min="6921" max="6921" width="15.5703125" style="1" customWidth="1"/>
    <col min="6922" max="6922" width="19" style="1" customWidth="1"/>
    <col min="6923" max="6923" width="16.140625" style="1" customWidth="1"/>
    <col min="6924" max="6924" width="19" style="1" customWidth="1"/>
    <col min="6925" max="7176" width="9.140625" style="1"/>
    <col min="7177" max="7177" width="15.5703125" style="1" customWidth="1"/>
    <col min="7178" max="7178" width="19" style="1" customWidth="1"/>
    <col min="7179" max="7179" width="16.140625" style="1" customWidth="1"/>
    <col min="7180" max="7180" width="19" style="1" customWidth="1"/>
    <col min="7181" max="7432" width="9.140625" style="1"/>
    <col min="7433" max="7433" width="15.5703125" style="1" customWidth="1"/>
    <col min="7434" max="7434" width="19" style="1" customWidth="1"/>
    <col min="7435" max="7435" width="16.140625" style="1" customWidth="1"/>
    <col min="7436" max="7436" width="19" style="1" customWidth="1"/>
    <col min="7437" max="7688" width="9.140625" style="1"/>
    <col min="7689" max="7689" width="15.5703125" style="1" customWidth="1"/>
    <col min="7690" max="7690" width="19" style="1" customWidth="1"/>
    <col min="7691" max="7691" width="16.140625" style="1" customWidth="1"/>
    <col min="7692" max="7692" width="19" style="1" customWidth="1"/>
    <col min="7693" max="7944" width="9.140625" style="1"/>
    <col min="7945" max="7945" width="15.5703125" style="1" customWidth="1"/>
    <col min="7946" max="7946" width="19" style="1" customWidth="1"/>
    <col min="7947" max="7947" width="16.140625" style="1" customWidth="1"/>
    <col min="7948" max="7948" width="19" style="1" customWidth="1"/>
    <col min="7949" max="8200" width="9.140625" style="1"/>
    <col min="8201" max="8201" width="15.5703125" style="1" customWidth="1"/>
    <col min="8202" max="8202" width="19" style="1" customWidth="1"/>
    <col min="8203" max="8203" width="16.140625" style="1" customWidth="1"/>
    <col min="8204" max="8204" width="19" style="1" customWidth="1"/>
    <col min="8205" max="8456" width="9.140625" style="1"/>
    <col min="8457" max="8457" width="15.5703125" style="1" customWidth="1"/>
    <col min="8458" max="8458" width="19" style="1" customWidth="1"/>
    <col min="8459" max="8459" width="16.140625" style="1" customWidth="1"/>
    <col min="8460" max="8460" width="19" style="1" customWidth="1"/>
    <col min="8461" max="8712" width="9.140625" style="1"/>
    <col min="8713" max="8713" width="15.5703125" style="1" customWidth="1"/>
    <col min="8714" max="8714" width="19" style="1" customWidth="1"/>
    <col min="8715" max="8715" width="16.140625" style="1" customWidth="1"/>
    <col min="8716" max="8716" width="19" style="1" customWidth="1"/>
    <col min="8717" max="8968" width="9.140625" style="1"/>
    <col min="8969" max="8969" width="15.5703125" style="1" customWidth="1"/>
    <col min="8970" max="8970" width="19" style="1" customWidth="1"/>
    <col min="8971" max="8971" width="16.140625" style="1" customWidth="1"/>
    <col min="8972" max="8972" width="19" style="1" customWidth="1"/>
    <col min="8973" max="9224" width="9.140625" style="1"/>
    <col min="9225" max="9225" width="15.5703125" style="1" customWidth="1"/>
    <col min="9226" max="9226" width="19" style="1" customWidth="1"/>
    <col min="9227" max="9227" width="16.140625" style="1" customWidth="1"/>
    <col min="9228" max="9228" width="19" style="1" customWidth="1"/>
    <col min="9229" max="9480" width="9.140625" style="1"/>
    <col min="9481" max="9481" width="15.5703125" style="1" customWidth="1"/>
    <col min="9482" max="9482" width="19" style="1" customWidth="1"/>
    <col min="9483" max="9483" width="16.140625" style="1" customWidth="1"/>
    <col min="9484" max="9484" width="19" style="1" customWidth="1"/>
    <col min="9485" max="9736" width="9.140625" style="1"/>
    <col min="9737" max="9737" width="15.5703125" style="1" customWidth="1"/>
    <col min="9738" max="9738" width="19" style="1" customWidth="1"/>
    <col min="9739" max="9739" width="16.140625" style="1" customWidth="1"/>
    <col min="9740" max="9740" width="19" style="1" customWidth="1"/>
    <col min="9741" max="9992" width="9.140625" style="1"/>
    <col min="9993" max="9993" width="15.5703125" style="1" customWidth="1"/>
    <col min="9994" max="9994" width="19" style="1" customWidth="1"/>
    <col min="9995" max="9995" width="16.140625" style="1" customWidth="1"/>
    <col min="9996" max="9996" width="19" style="1" customWidth="1"/>
    <col min="9997" max="10248" width="9.140625" style="1"/>
    <col min="10249" max="10249" width="15.5703125" style="1" customWidth="1"/>
    <col min="10250" max="10250" width="19" style="1" customWidth="1"/>
    <col min="10251" max="10251" width="16.140625" style="1" customWidth="1"/>
    <col min="10252" max="10252" width="19" style="1" customWidth="1"/>
    <col min="10253" max="10504" width="9.140625" style="1"/>
    <col min="10505" max="10505" width="15.5703125" style="1" customWidth="1"/>
    <col min="10506" max="10506" width="19" style="1" customWidth="1"/>
    <col min="10507" max="10507" width="16.140625" style="1" customWidth="1"/>
    <col min="10508" max="10508" width="19" style="1" customWidth="1"/>
    <col min="10509" max="10760" width="9.140625" style="1"/>
    <col min="10761" max="10761" width="15.5703125" style="1" customWidth="1"/>
    <col min="10762" max="10762" width="19" style="1" customWidth="1"/>
    <col min="10763" max="10763" width="16.140625" style="1" customWidth="1"/>
    <col min="10764" max="10764" width="19" style="1" customWidth="1"/>
    <col min="10765" max="11016" width="9.140625" style="1"/>
    <col min="11017" max="11017" width="15.5703125" style="1" customWidth="1"/>
    <col min="11018" max="11018" width="19" style="1" customWidth="1"/>
    <col min="11019" max="11019" width="16.140625" style="1" customWidth="1"/>
    <col min="11020" max="11020" width="19" style="1" customWidth="1"/>
    <col min="11021" max="11272" width="9.140625" style="1"/>
    <col min="11273" max="11273" width="15.5703125" style="1" customWidth="1"/>
    <col min="11274" max="11274" width="19" style="1" customWidth="1"/>
    <col min="11275" max="11275" width="16.140625" style="1" customWidth="1"/>
    <col min="11276" max="11276" width="19" style="1" customWidth="1"/>
    <col min="11277" max="11528" width="9.140625" style="1"/>
    <col min="11529" max="11529" width="15.5703125" style="1" customWidth="1"/>
    <col min="11530" max="11530" width="19" style="1" customWidth="1"/>
    <col min="11531" max="11531" width="16.140625" style="1" customWidth="1"/>
    <col min="11532" max="11532" width="19" style="1" customWidth="1"/>
    <col min="11533" max="11784" width="9.140625" style="1"/>
    <col min="11785" max="11785" width="15.5703125" style="1" customWidth="1"/>
    <col min="11786" max="11786" width="19" style="1" customWidth="1"/>
    <col min="11787" max="11787" width="16.140625" style="1" customWidth="1"/>
    <col min="11788" max="11788" width="19" style="1" customWidth="1"/>
    <col min="11789" max="12040" width="9.140625" style="1"/>
    <col min="12041" max="12041" width="15.5703125" style="1" customWidth="1"/>
    <col min="12042" max="12042" width="19" style="1" customWidth="1"/>
    <col min="12043" max="12043" width="16.140625" style="1" customWidth="1"/>
    <col min="12044" max="12044" width="19" style="1" customWidth="1"/>
    <col min="12045" max="12296" width="9.140625" style="1"/>
    <col min="12297" max="12297" width="15.5703125" style="1" customWidth="1"/>
    <col min="12298" max="12298" width="19" style="1" customWidth="1"/>
    <col min="12299" max="12299" width="16.140625" style="1" customWidth="1"/>
    <col min="12300" max="12300" width="19" style="1" customWidth="1"/>
    <col min="12301" max="12552" width="9.140625" style="1"/>
    <col min="12553" max="12553" width="15.5703125" style="1" customWidth="1"/>
    <col min="12554" max="12554" width="19" style="1" customWidth="1"/>
    <col min="12555" max="12555" width="16.140625" style="1" customWidth="1"/>
    <col min="12556" max="12556" width="19" style="1" customWidth="1"/>
    <col min="12557" max="12808" width="9.140625" style="1"/>
    <col min="12809" max="12809" width="15.5703125" style="1" customWidth="1"/>
    <col min="12810" max="12810" width="19" style="1" customWidth="1"/>
    <col min="12811" max="12811" width="16.140625" style="1" customWidth="1"/>
    <col min="12812" max="12812" width="19" style="1" customWidth="1"/>
    <col min="12813" max="13064" width="9.140625" style="1"/>
    <col min="13065" max="13065" width="15.5703125" style="1" customWidth="1"/>
    <col min="13066" max="13066" width="19" style="1" customWidth="1"/>
    <col min="13067" max="13067" width="16.140625" style="1" customWidth="1"/>
    <col min="13068" max="13068" width="19" style="1" customWidth="1"/>
    <col min="13069" max="13320" width="9.140625" style="1"/>
    <col min="13321" max="13321" width="15.5703125" style="1" customWidth="1"/>
    <col min="13322" max="13322" width="19" style="1" customWidth="1"/>
    <col min="13323" max="13323" width="16.140625" style="1" customWidth="1"/>
    <col min="13324" max="13324" width="19" style="1" customWidth="1"/>
    <col min="13325" max="13576" width="9.140625" style="1"/>
    <col min="13577" max="13577" width="15.5703125" style="1" customWidth="1"/>
    <col min="13578" max="13578" width="19" style="1" customWidth="1"/>
    <col min="13579" max="13579" width="16.140625" style="1" customWidth="1"/>
    <col min="13580" max="13580" width="19" style="1" customWidth="1"/>
    <col min="13581" max="13832" width="9.140625" style="1"/>
    <col min="13833" max="13833" width="15.5703125" style="1" customWidth="1"/>
    <col min="13834" max="13834" width="19" style="1" customWidth="1"/>
    <col min="13835" max="13835" width="16.140625" style="1" customWidth="1"/>
    <col min="13836" max="13836" width="19" style="1" customWidth="1"/>
    <col min="13837" max="14088" width="9.140625" style="1"/>
    <col min="14089" max="14089" width="15.5703125" style="1" customWidth="1"/>
    <col min="14090" max="14090" width="19" style="1" customWidth="1"/>
    <col min="14091" max="14091" width="16.140625" style="1" customWidth="1"/>
    <col min="14092" max="14092" width="19" style="1" customWidth="1"/>
    <col min="14093" max="14344" width="9.140625" style="1"/>
    <col min="14345" max="14345" width="15.5703125" style="1" customWidth="1"/>
    <col min="14346" max="14346" width="19" style="1" customWidth="1"/>
    <col min="14347" max="14347" width="16.140625" style="1" customWidth="1"/>
    <col min="14348" max="14348" width="19" style="1" customWidth="1"/>
    <col min="14349" max="14600" width="9.140625" style="1"/>
    <col min="14601" max="14601" width="15.5703125" style="1" customWidth="1"/>
    <col min="14602" max="14602" width="19" style="1" customWidth="1"/>
    <col min="14603" max="14603" width="16.140625" style="1" customWidth="1"/>
    <col min="14604" max="14604" width="19" style="1" customWidth="1"/>
    <col min="14605" max="14856" width="9.140625" style="1"/>
    <col min="14857" max="14857" width="15.5703125" style="1" customWidth="1"/>
    <col min="14858" max="14858" width="19" style="1" customWidth="1"/>
    <col min="14859" max="14859" width="16.140625" style="1" customWidth="1"/>
    <col min="14860" max="14860" width="19" style="1" customWidth="1"/>
    <col min="14861" max="15112" width="9.140625" style="1"/>
    <col min="15113" max="15113" width="15.5703125" style="1" customWidth="1"/>
    <col min="15114" max="15114" width="19" style="1" customWidth="1"/>
    <col min="15115" max="15115" width="16.140625" style="1" customWidth="1"/>
    <col min="15116" max="15116" width="19" style="1" customWidth="1"/>
    <col min="15117" max="15368" width="9.140625" style="1"/>
    <col min="15369" max="15369" width="15.5703125" style="1" customWidth="1"/>
    <col min="15370" max="15370" width="19" style="1" customWidth="1"/>
    <col min="15371" max="15371" width="16.140625" style="1" customWidth="1"/>
    <col min="15372" max="15372" width="19" style="1" customWidth="1"/>
    <col min="15373" max="15624" width="9.140625" style="1"/>
    <col min="15625" max="15625" width="15.5703125" style="1" customWidth="1"/>
    <col min="15626" max="15626" width="19" style="1" customWidth="1"/>
    <col min="15627" max="15627" width="16.140625" style="1" customWidth="1"/>
    <col min="15628" max="15628" width="19" style="1" customWidth="1"/>
    <col min="15629" max="15880" width="9.140625" style="1"/>
    <col min="15881" max="15881" width="15.5703125" style="1" customWidth="1"/>
    <col min="15882" max="15882" width="19" style="1" customWidth="1"/>
    <col min="15883" max="15883" width="16.140625" style="1" customWidth="1"/>
    <col min="15884" max="15884" width="19" style="1" customWidth="1"/>
    <col min="15885" max="16136" width="9.140625" style="1"/>
    <col min="16137" max="16137" width="15.5703125" style="1" customWidth="1"/>
    <col min="16138" max="16138" width="19" style="1" customWidth="1"/>
    <col min="16139" max="16139" width="16.140625" style="1" customWidth="1"/>
    <col min="16140" max="16140" width="19" style="1" customWidth="1"/>
    <col min="16141" max="16384" width="9.140625" style="1"/>
  </cols>
  <sheetData>
    <row r="1" spans="1:17" ht="18.75" x14ac:dyDescent="0.25">
      <c r="A1" s="18" t="s">
        <v>33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7" s="2" customFormat="1" x14ac:dyDescent="0.25">
      <c r="A2" s="19" t="s">
        <v>47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7" s="2" customForma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7" s="2" customFormat="1" ht="15" customHeight="1" x14ac:dyDescent="0.25">
      <c r="A4" s="20" t="s">
        <v>0</v>
      </c>
      <c r="B4" s="28" t="s">
        <v>34</v>
      </c>
      <c r="C4" s="28"/>
      <c r="D4" s="28"/>
      <c r="E4" s="28"/>
      <c r="F4" s="28"/>
      <c r="G4" s="28"/>
      <c r="H4" s="28"/>
      <c r="I4" s="28"/>
      <c r="J4" s="28"/>
      <c r="K4" s="28"/>
      <c r="L4" s="22" t="s">
        <v>35</v>
      </c>
    </row>
    <row r="5" spans="1:17" x14ac:dyDescent="0.25">
      <c r="A5" s="21"/>
      <c r="B5" s="3">
        <v>2013</v>
      </c>
      <c r="C5" s="3">
        <v>2014</v>
      </c>
      <c r="D5" s="3">
        <v>2015</v>
      </c>
      <c r="E5" s="3">
        <v>2016</v>
      </c>
      <c r="F5" s="3">
        <v>2017</v>
      </c>
      <c r="G5" s="3">
        <v>2018</v>
      </c>
      <c r="H5" s="3">
        <v>2019</v>
      </c>
      <c r="I5" s="3">
        <v>2020</v>
      </c>
      <c r="J5" s="3">
        <v>2021</v>
      </c>
      <c r="K5" s="3">
        <v>2022</v>
      </c>
      <c r="L5" s="23"/>
    </row>
    <row r="6" spans="1:17" ht="21" x14ac:dyDescent="0.25">
      <c r="A6" s="4" t="s">
        <v>36</v>
      </c>
      <c r="B6" s="5">
        <f t="shared" ref="B6:G6" si="0">SUM(B7:B26)</f>
        <v>9973.2153715049062</v>
      </c>
      <c r="C6" s="5">
        <f t="shared" si="0"/>
        <v>6549</v>
      </c>
      <c r="D6" s="5">
        <f t="shared" si="0"/>
        <v>7410</v>
      </c>
      <c r="E6" s="5">
        <f t="shared" si="0"/>
        <v>7567</v>
      </c>
      <c r="F6" s="5">
        <f t="shared" si="0"/>
        <v>7567</v>
      </c>
      <c r="G6" s="5">
        <f t="shared" si="0"/>
        <v>7568</v>
      </c>
      <c r="H6" s="5">
        <f>SUM(H7:H26)</f>
        <v>7611</v>
      </c>
      <c r="I6" s="5">
        <f>SUM(I7:I26)</f>
        <v>7601</v>
      </c>
      <c r="J6" s="5">
        <f>SUM(J7:J26)</f>
        <v>7612</v>
      </c>
      <c r="K6" s="5">
        <f>SUM(K7:K26)</f>
        <v>7613</v>
      </c>
      <c r="L6" s="6" t="s">
        <v>37</v>
      </c>
    </row>
    <row r="7" spans="1:17" ht="15.75" x14ac:dyDescent="0.25">
      <c r="A7" s="7" t="s">
        <v>38</v>
      </c>
      <c r="B7" s="8">
        <v>659.99566999861804</v>
      </c>
      <c r="C7" s="8">
        <v>149</v>
      </c>
      <c r="D7" s="8">
        <v>139</v>
      </c>
      <c r="E7" s="8">
        <v>139</v>
      </c>
      <c r="F7" s="8">
        <v>139</v>
      </c>
      <c r="G7" s="8">
        <v>139</v>
      </c>
      <c r="H7" s="8">
        <v>139</v>
      </c>
      <c r="I7" s="8">
        <v>140</v>
      </c>
      <c r="J7" s="8">
        <v>140</v>
      </c>
      <c r="K7" s="8">
        <v>140</v>
      </c>
      <c r="L7" s="9" t="s">
        <v>1</v>
      </c>
    </row>
    <row r="8" spans="1:17" ht="15.75" x14ac:dyDescent="0.25">
      <c r="A8" s="7" t="s">
        <v>39</v>
      </c>
      <c r="B8" s="8">
        <v>451.02855958358282</v>
      </c>
      <c r="C8" s="8">
        <v>480</v>
      </c>
      <c r="D8" s="8">
        <v>479</v>
      </c>
      <c r="E8" s="8">
        <v>480</v>
      </c>
      <c r="F8" s="8">
        <v>480</v>
      </c>
      <c r="G8" s="8">
        <v>480</v>
      </c>
      <c r="H8" s="8">
        <v>482</v>
      </c>
      <c r="I8" s="8">
        <v>479</v>
      </c>
      <c r="J8" s="8">
        <v>479</v>
      </c>
      <c r="K8" s="8">
        <v>479</v>
      </c>
      <c r="L8" s="9" t="s">
        <v>2</v>
      </c>
    </row>
    <row r="9" spans="1:17" ht="15.75" x14ac:dyDescent="0.25">
      <c r="A9" s="7" t="s">
        <v>40</v>
      </c>
      <c r="B9" s="8">
        <v>838.17979230324352</v>
      </c>
      <c r="C9" s="8">
        <v>909</v>
      </c>
      <c r="D9" s="8">
        <v>909</v>
      </c>
      <c r="E9" s="8">
        <v>992</v>
      </c>
      <c r="F9" s="8">
        <v>992</v>
      </c>
      <c r="G9" s="8">
        <v>992</v>
      </c>
      <c r="H9" s="8">
        <v>909</v>
      </c>
      <c r="I9" s="8">
        <v>910</v>
      </c>
      <c r="J9" s="8">
        <v>910</v>
      </c>
      <c r="K9" s="8">
        <v>910</v>
      </c>
      <c r="L9" s="9" t="s">
        <v>3</v>
      </c>
    </row>
    <row r="10" spans="1:17" ht="15.75" x14ac:dyDescent="0.25">
      <c r="A10" s="7" t="s">
        <v>31</v>
      </c>
      <c r="B10" s="8">
        <v>300.16039942471377</v>
      </c>
      <c r="C10" s="8">
        <v>219</v>
      </c>
      <c r="D10" s="8">
        <v>219</v>
      </c>
      <c r="E10" s="8">
        <v>219</v>
      </c>
      <c r="F10" s="8">
        <v>219</v>
      </c>
      <c r="G10" s="8">
        <v>219</v>
      </c>
      <c r="H10" s="8">
        <v>223</v>
      </c>
      <c r="I10" s="8">
        <v>219</v>
      </c>
      <c r="J10" s="8">
        <v>219</v>
      </c>
      <c r="K10" s="8">
        <v>219</v>
      </c>
      <c r="L10" s="9" t="s">
        <v>4</v>
      </c>
      <c r="P10" s="24"/>
      <c r="Q10" s="25"/>
    </row>
    <row r="11" spans="1:17" ht="15.75" x14ac:dyDescent="0.25">
      <c r="A11" s="7" t="s">
        <v>41</v>
      </c>
      <c r="B11" s="8">
        <v>760.6970150628772</v>
      </c>
      <c r="C11" s="8">
        <v>138</v>
      </c>
      <c r="D11" s="8">
        <v>130</v>
      </c>
      <c r="E11" s="8">
        <v>130</v>
      </c>
      <c r="F11" s="8">
        <v>130</v>
      </c>
      <c r="G11" s="8">
        <v>130</v>
      </c>
      <c r="H11" s="8">
        <v>130</v>
      </c>
      <c r="I11" s="8">
        <v>130</v>
      </c>
      <c r="J11" s="8">
        <v>130</v>
      </c>
      <c r="K11" s="8">
        <v>130</v>
      </c>
      <c r="L11" s="9" t="s">
        <v>5</v>
      </c>
      <c r="P11" s="26"/>
      <c r="Q11" s="27"/>
    </row>
    <row r="12" spans="1:17" ht="15.75" x14ac:dyDescent="0.25">
      <c r="A12" s="7" t="s">
        <v>6</v>
      </c>
      <c r="B12" s="8">
        <v>704.85688475337929</v>
      </c>
      <c r="C12" s="8">
        <v>163</v>
      </c>
      <c r="D12" s="8">
        <v>170</v>
      </c>
      <c r="E12" s="8">
        <v>172</v>
      </c>
      <c r="F12" s="8">
        <v>172</v>
      </c>
      <c r="G12" s="8">
        <v>172</v>
      </c>
      <c r="H12" s="8">
        <v>187</v>
      </c>
      <c r="I12" s="8">
        <v>172</v>
      </c>
      <c r="J12" s="8">
        <v>172</v>
      </c>
      <c r="K12" s="8">
        <v>172</v>
      </c>
      <c r="L12" s="9" t="s">
        <v>7</v>
      </c>
      <c r="P12" s="26"/>
      <c r="Q12" s="27"/>
    </row>
    <row r="13" spans="1:17" ht="15.75" x14ac:dyDescent="0.25">
      <c r="A13" s="7" t="s">
        <v>8</v>
      </c>
      <c r="B13" s="8">
        <v>352.42844237668965</v>
      </c>
      <c r="C13" s="8">
        <v>47</v>
      </c>
      <c r="D13" s="8">
        <v>46</v>
      </c>
      <c r="E13" s="8">
        <v>46</v>
      </c>
      <c r="F13" s="8">
        <v>46</v>
      </c>
      <c r="G13" s="8">
        <v>46</v>
      </c>
      <c r="H13" s="8">
        <v>46</v>
      </c>
      <c r="I13" s="8">
        <v>46</v>
      </c>
      <c r="J13" s="8">
        <v>46</v>
      </c>
      <c r="K13" s="8">
        <v>46</v>
      </c>
      <c r="L13" s="9" t="s">
        <v>9</v>
      </c>
      <c r="P13" s="26"/>
      <c r="Q13" s="27"/>
    </row>
    <row r="14" spans="1:17" ht="15.75" x14ac:dyDescent="0.25">
      <c r="A14" s="7" t="s">
        <v>10</v>
      </c>
      <c r="B14" s="8">
        <v>562.60375880971026</v>
      </c>
      <c r="C14" s="8">
        <v>6</v>
      </c>
      <c r="D14" s="8">
        <v>742</v>
      </c>
      <c r="E14" s="8">
        <v>773</v>
      </c>
      <c r="F14" s="8">
        <v>773</v>
      </c>
      <c r="G14" s="8">
        <v>773</v>
      </c>
      <c r="H14" s="8">
        <v>775</v>
      </c>
      <c r="I14" s="8">
        <v>770</v>
      </c>
      <c r="J14" s="8">
        <v>770</v>
      </c>
      <c r="K14" s="8">
        <v>770</v>
      </c>
      <c r="L14" s="9" t="s">
        <v>42</v>
      </c>
      <c r="P14" s="26"/>
      <c r="Q14" s="27"/>
    </row>
    <row r="15" spans="1:17" ht="15.75" x14ac:dyDescent="0.25">
      <c r="A15" s="7" t="s">
        <v>11</v>
      </c>
      <c r="B15" s="8">
        <v>430.80424145643639</v>
      </c>
      <c r="C15" s="8">
        <v>916</v>
      </c>
      <c r="D15" s="8">
        <v>920</v>
      </c>
      <c r="E15" s="8">
        <v>921</v>
      </c>
      <c r="F15" s="8">
        <v>921</v>
      </c>
      <c r="G15" s="8">
        <v>921</v>
      </c>
      <c r="H15" s="8">
        <v>921</v>
      </c>
      <c r="I15" s="8">
        <v>925</v>
      </c>
      <c r="J15" s="15">
        <v>925</v>
      </c>
      <c r="K15" s="15">
        <v>925</v>
      </c>
      <c r="L15" s="9" t="s">
        <v>12</v>
      </c>
    </row>
    <row r="16" spans="1:17" ht="15.75" x14ac:dyDescent="0.25">
      <c r="A16" s="7" t="s">
        <v>13</v>
      </c>
      <c r="B16" s="8">
        <v>284.76890536950879</v>
      </c>
      <c r="C16" s="8">
        <v>4</v>
      </c>
      <c r="D16" s="8">
        <v>4</v>
      </c>
      <c r="E16" s="8">
        <v>4</v>
      </c>
      <c r="F16" s="8">
        <v>4</v>
      </c>
      <c r="G16" s="8">
        <v>4</v>
      </c>
      <c r="H16" s="8">
        <v>4</v>
      </c>
      <c r="I16" s="8">
        <v>5</v>
      </c>
      <c r="J16" s="8">
        <v>5</v>
      </c>
      <c r="K16" s="8">
        <v>5</v>
      </c>
      <c r="L16" s="9" t="s">
        <v>14</v>
      </c>
    </row>
    <row r="17" spans="1:12" ht="15.75" x14ac:dyDescent="0.25">
      <c r="A17" s="7" t="s">
        <v>15</v>
      </c>
      <c r="B17" s="8">
        <v>90.773043438205349</v>
      </c>
      <c r="C17" s="8">
        <v>2</v>
      </c>
      <c r="D17" s="8">
        <v>2</v>
      </c>
      <c r="E17" s="8">
        <v>5</v>
      </c>
      <c r="F17" s="8">
        <v>5</v>
      </c>
      <c r="G17" s="8">
        <v>5</v>
      </c>
      <c r="H17" s="8">
        <v>3</v>
      </c>
      <c r="I17" s="8">
        <v>5</v>
      </c>
      <c r="J17" s="8">
        <v>5</v>
      </c>
      <c r="K17" s="8">
        <v>5</v>
      </c>
      <c r="L17" s="9" t="s">
        <v>16</v>
      </c>
    </row>
    <row r="18" spans="1:12" ht="15.75" x14ac:dyDescent="0.25">
      <c r="A18" s="7" t="s">
        <v>17</v>
      </c>
      <c r="B18" s="8">
        <v>377.06533900430441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9" t="s">
        <v>18</v>
      </c>
    </row>
    <row r="19" spans="1:12" ht="15.75" x14ac:dyDescent="0.25">
      <c r="A19" s="7" t="s">
        <v>19</v>
      </c>
      <c r="B19" s="8">
        <v>330.10289639217729</v>
      </c>
      <c r="C19" s="8">
        <v>96</v>
      </c>
      <c r="D19" s="8">
        <v>185</v>
      </c>
      <c r="E19" s="8">
        <v>188</v>
      </c>
      <c r="F19" s="8">
        <v>188</v>
      </c>
      <c r="G19" s="8">
        <v>188</v>
      </c>
      <c r="H19" s="8">
        <v>187</v>
      </c>
      <c r="I19" s="8">
        <v>187</v>
      </c>
      <c r="J19" s="8">
        <v>187</v>
      </c>
      <c r="K19" s="8">
        <v>187</v>
      </c>
      <c r="L19" s="9" t="s">
        <v>20</v>
      </c>
    </row>
    <row r="20" spans="1:12" ht="15.75" x14ac:dyDescent="0.25">
      <c r="A20" s="7" t="s">
        <v>21</v>
      </c>
      <c r="B20" s="8">
        <v>399.6010077745533</v>
      </c>
      <c r="C20" s="8">
        <v>1</v>
      </c>
      <c r="D20" s="8">
        <v>2</v>
      </c>
      <c r="E20" s="8">
        <v>2</v>
      </c>
      <c r="F20" s="8">
        <v>2</v>
      </c>
      <c r="G20" s="8">
        <v>2</v>
      </c>
      <c r="H20" s="8">
        <v>2</v>
      </c>
      <c r="I20" s="8">
        <v>2</v>
      </c>
      <c r="J20" s="8">
        <v>2</v>
      </c>
      <c r="K20" s="8">
        <v>2</v>
      </c>
      <c r="L20" s="9" t="s">
        <v>22</v>
      </c>
    </row>
    <row r="21" spans="1:12" ht="15.75" x14ac:dyDescent="0.25">
      <c r="A21" s="7" t="s">
        <v>23</v>
      </c>
      <c r="B21" s="8">
        <v>689.78057487677927</v>
      </c>
      <c r="C21" s="8">
        <v>461</v>
      </c>
      <c r="D21" s="8">
        <v>356</v>
      </c>
      <c r="E21" s="8">
        <v>356</v>
      </c>
      <c r="F21" s="8">
        <v>356</v>
      </c>
      <c r="G21" s="8">
        <v>356</v>
      </c>
      <c r="H21" s="8">
        <v>357</v>
      </c>
      <c r="I21" s="8">
        <v>384</v>
      </c>
      <c r="J21" s="8">
        <v>388</v>
      </c>
      <c r="K21" s="8">
        <v>388</v>
      </c>
      <c r="L21" s="9" t="s">
        <v>24</v>
      </c>
    </row>
    <row r="22" spans="1:12" ht="15.75" x14ac:dyDescent="0.25">
      <c r="A22" s="7" t="s">
        <v>9</v>
      </c>
      <c r="B22" s="8">
        <v>823.83891217672146</v>
      </c>
      <c r="C22" s="8">
        <v>1717</v>
      </c>
      <c r="D22" s="8">
        <v>1711</v>
      </c>
      <c r="E22" s="8">
        <v>1711</v>
      </c>
      <c r="F22" s="8">
        <v>1711</v>
      </c>
      <c r="G22" s="8">
        <v>1711</v>
      </c>
      <c r="H22" s="8">
        <v>1712</v>
      </c>
      <c r="I22" s="8">
        <v>1712</v>
      </c>
      <c r="J22" s="8">
        <v>1712</v>
      </c>
      <c r="K22" s="8">
        <v>1713</v>
      </c>
      <c r="L22" s="9" t="s">
        <v>25</v>
      </c>
    </row>
    <row r="23" spans="1:12" ht="15.75" x14ac:dyDescent="0.25">
      <c r="A23" s="7" t="s">
        <v>26</v>
      </c>
      <c r="B23" s="8">
        <v>762.01028247373074</v>
      </c>
      <c r="C23" s="8">
        <v>562</v>
      </c>
      <c r="D23" s="8">
        <v>625</v>
      </c>
      <c r="E23" s="8">
        <v>650</v>
      </c>
      <c r="F23" s="8">
        <v>650</v>
      </c>
      <c r="G23" s="8">
        <v>651</v>
      </c>
      <c r="H23" s="8">
        <v>652</v>
      </c>
      <c r="I23" s="8">
        <v>643</v>
      </c>
      <c r="J23" s="8">
        <v>643</v>
      </c>
      <c r="K23" s="8">
        <v>643</v>
      </c>
      <c r="L23" s="9" t="s">
        <v>27</v>
      </c>
    </row>
    <row r="24" spans="1:12" ht="15.75" x14ac:dyDescent="0.25">
      <c r="A24" s="7" t="s">
        <v>28</v>
      </c>
      <c r="B24" s="8">
        <v>796.62801142383341</v>
      </c>
      <c r="C24" s="8">
        <v>359</v>
      </c>
      <c r="D24" s="8">
        <v>358</v>
      </c>
      <c r="E24" s="8">
        <v>433</v>
      </c>
      <c r="F24" s="8">
        <v>433</v>
      </c>
      <c r="G24" s="8">
        <v>433</v>
      </c>
      <c r="H24" s="8">
        <v>434</v>
      </c>
      <c r="I24" s="8">
        <v>433</v>
      </c>
      <c r="J24" s="8">
        <v>433</v>
      </c>
      <c r="K24" s="8">
        <v>433</v>
      </c>
      <c r="L24" s="9" t="s">
        <v>29</v>
      </c>
    </row>
    <row r="25" spans="1:12" ht="15.75" x14ac:dyDescent="0.25">
      <c r="A25" s="7" t="s">
        <v>30</v>
      </c>
      <c r="B25" s="8">
        <v>67.449414221444258</v>
      </c>
      <c r="C25" s="8">
        <v>165</v>
      </c>
      <c r="D25" s="8">
        <v>274</v>
      </c>
      <c r="E25" s="8">
        <v>284</v>
      </c>
      <c r="F25" s="8">
        <v>284</v>
      </c>
      <c r="G25" s="8">
        <v>284</v>
      </c>
      <c r="H25" s="8">
        <v>284</v>
      </c>
      <c r="I25" s="8">
        <v>274</v>
      </c>
      <c r="J25" s="8">
        <v>274</v>
      </c>
      <c r="K25" s="8">
        <v>274</v>
      </c>
      <c r="L25" s="9" t="s">
        <v>31</v>
      </c>
    </row>
    <row r="26" spans="1:12" ht="15.75" x14ac:dyDescent="0.25">
      <c r="A26" s="10" t="s">
        <v>3</v>
      </c>
      <c r="B26" s="11">
        <v>290.44222058439664</v>
      </c>
      <c r="C26" s="11">
        <v>155</v>
      </c>
      <c r="D26" s="11">
        <v>139</v>
      </c>
      <c r="E26" s="11">
        <v>62</v>
      </c>
      <c r="F26" s="11">
        <v>62</v>
      </c>
      <c r="G26" s="11">
        <v>62</v>
      </c>
      <c r="H26" s="11">
        <v>164</v>
      </c>
      <c r="I26" s="11">
        <v>165</v>
      </c>
      <c r="J26" s="11">
        <v>172</v>
      </c>
      <c r="K26" s="11">
        <v>172</v>
      </c>
      <c r="L26" s="12" t="s">
        <v>32</v>
      </c>
    </row>
    <row r="27" spans="1:12" ht="18" x14ac:dyDescent="0.45">
      <c r="A27" s="16" t="s">
        <v>43</v>
      </c>
      <c r="B27" s="13"/>
      <c r="L27" s="14" t="s">
        <v>44</v>
      </c>
    </row>
    <row r="28" spans="1:12" ht="18" x14ac:dyDescent="0.45">
      <c r="A28" s="13" t="s">
        <v>45</v>
      </c>
      <c r="L28" s="14" t="s">
        <v>46</v>
      </c>
    </row>
  </sheetData>
  <mergeCells count="6">
    <mergeCell ref="A1:L1"/>
    <mergeCell ref="A2:L2"/>
    <mergeCell ref="A4:A5"/>
    <mergeCell ref="L4:L5"/>
    <mergeCell ref="P10:Q14"/>
    <mergeCell ref="B4:K4"/>
  </mergeCells>
  <pageMargins left="0.7" right="0.7" top="0.75" bottom="0.75" header="0.3" footer="0.3"/>
  <pageSetup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9.15</vt:lpstr>
      <vt:lpstr>'9.15'!Print_Area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2023-07-20T07:26:57Z</cp:lastPrinted>
  <dcterms:created xsi:type="dcterms:W3CDTF">2019-09-09T05:11:24Z</dcterms:created>
  <dcterms:modified xsi:type="dcterms:W3CDTF">2023-07-20T07:27:58Z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