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1F3EA832-D992-459F-9C1E-F52F4118C14A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8" sheetId="8" r:id="rId1"/>
  </sheets>
  <definedNames>
    <definedName name="_xlnm.Print_Area" localSheetId="0">'9.8'!$A$1:$E$65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8" l="1"/>
  <c r="C40" i="8" s="1"/>
  <c r="B43" i="8"/>
  <c r="B40" i="8" s="1"/>
  <c r="C12" i="8"/>
  <c r="C9" i="8" s="1"/>
  <c r="B12" i="8"/>
  <c r="B9" i="8" s="1"/>
</calcChain>
</file>

<file path=xl/sharedStrings.xml><?xml version="1.0" encoding="utf-8"?>
<sst xmlns="http://schemas.openxmlformats.org/spreadsheetml/2006/main" count="117" uniqueCount="62">
  <si>
    <t xml:space="preserve"> Locality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</si>
  <si>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</si>
  <si>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</si>
  <si>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</si>
  <si>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</si>
  <si>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</si>
  <si>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</si>
  <si>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</si>
  <si>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</si>
  <si>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</si>
  <si>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</si>
  <si>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</si>
  <si>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</si>
  <si>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</si>
  <si>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</si>
  <si>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</si>
  <si>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</si>
  <si>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</si>
  <si>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</si>
  <si>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</si>
  <si>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</si>
  <si>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</si>
  <si>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</si>
  <si>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</si>
  <si>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</si>
  <si>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</si>
  <si>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</si>
  <si>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</si>
  <si>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</si>
  <si>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</si>
  <si>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</si>
  <si>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</si>
  <si>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</si>
  <si>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</si>
  <si>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</si>
  <si>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</si>
  <si>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</si>
  <si>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</si>
  <si>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</si>
  <si>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</si>
  <si>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</si>
  <si>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</si>
  <si>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</si>
  <si>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</si>
  <si>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</si>
  <si>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</si>
  <si>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Other vessels</t>
  </si>
  <si>
    <t>inOdcswm cnehinehea</t>
  </si>
  <si>
    <t>ތަން</t>
  </si>
  <si>
    <t>inOdcswm iLeaunIjcnia</t>
  </si>
  <si>
    <t>Mechanised</t>
  </si>
  <si>
    <t>Masdhoni</t>
  </si>
  <si>
    <t xml:space="preserve"> AA</t>
  </si>
  <si>
    <r>
      <rPr>
        <b/>
        <sz val="10"/>
        <rFont val="Calibri"/>
        <family val="2"/>
      </rPr>
      <t xml:space="preserve">Average no. of vessels engaged per month  </t>
    </r>
    <r>
      <rPr>
        <b/>
        <sz val="10"/>
        <rFont val="A_Randhoo"/>
      </rPr>
      <t xml:space="preserve">      </t>
    </r>
  </si>
  <si>
    <t>inOdcswmiLeaunIjcnia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</si>
  <si>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</si>
  <si>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</si>
  <si>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</si>
  <si>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r>
      <t xml:space="preserve">  </t>
    </r>
    <r>
      <rPr>
        <b/>
        <sz val="10"/>
        <rFont val="Calibri"/>
        <family val="2"/>
        <scheme val="minor"/>
      </rPr>
      <t xml:space="preserve">   Fishing Trips</t>
    </r>
    <r>
      <rPr>
        <b/>
        <sz val="10"/>
        <rFont val="A_Funa"/>
      </rPr>
      <t xml:space="preserve">                       urwhwfirufcSwhwm</t>
    </r>
  </si>
  <si>
    <t>Table 9.8 :  NUMBER OF VESSELS ENGAGED PER MONTH IN FISHING AND NUMBER OF FISHING TRIPS BY VESSEL LOCALITY, 2022</t>
  </si>
  <si>
    <t>2022 ,udwdwA irufcSwhwm urwhwfinOd iaWdwdwA egurwhwfudnwLua Wrukcnwkirevcswm irufcSwhwm ukwhwm emcnok cSokcjercvea ,cnutog eguLotwa WviawfcSokIrcTcsijwr udnwLua : 9.8 ulwvWt</t>
  </si>
  <si>
    <t>Table 9.6  ( continued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</si>
</sst>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b/>
      <sz val="10"/>
      <name val="A_Faseyha"/>
    </font>
    <font>
      <b/>
      <sz val="10"/>
      <name val="Courier"/>
      <family val="3"/>
    </font>
    <font>
      <i/>
      <sz val="10"/>
      <name val="Calibri"/>
      <family val="2"/>
    </font>
    <font>
      <b/>
      <sz val="11"/>
      <name val="A_Faseyha"/>
    </font>
    <font>
      <sz val="10"/>
      <name val="A_Faseyha"/>
    </font>
    <font>
      <b/>
      <sz val="10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164" fontId="1" fillId="0" borderId="0"/>
    <xf numFmtId="40" fontId="10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4" fillId="0" borderId="0"/>
  </cellStyleXfs>
  <cellXfs count="53">
    <xf numFmtId="0" fontId="0" fillId="0" borderId="0" xfId="0"/>
    <xf numFmtId="164" fontId="4" fillId="2" borderId="0" xfId="1" applyFont="1" applyFill="1" applyAlignment="1">
      <alignment vertical="center"/>
    </xf>
    <xf numFmtId="164" fontId="5" fillId="2" borderId="0" xfId="1" applyFont="1" applyFill="1" applyAlignment="1">
      <alignment horizontal="left" vertical="center"/>
    </xf>
    <xf numFmtId="164" fontId="6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vertical="center"/>
    </xf>
    <xf numFmtId="164" fontId="1" fillId="2" borderId="0" xfId="0" applyNumberFormat="1" applyFont="1" applyFill="1"/>
    <xf numFmtId="164" fontId="3" fillId="2" borderId="0" xfId="0" applyNumberFormat="1" applyFont="1" applyFill="1"/>
    <xf numFmtId="164" fontId="1" fillId="2" borderId="0" xfId="0" applyNumberFormat="1" applyFont="1" applyFill="1" applyAlignment="1">
      <alignment wrapText="1"/>
    </xf>
    <xf numFmtId="164" fontId="13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5" fillId="2" borderId="5" xfId="1" applyFont="1" applyFill="1" applyBorder="1" applyAlignment="1">
      <alignment horizontal="right"/>
    </xf>
    <xf numFmtId="1" fontId="3" fillId="2" borderId="0" xfId="0" applyNumberFormat="1" applyFont="1" applyFill="1" applyAlignment="1">
      <alignment vertical="center"/>
    </xf>
    <xf numFmtId="164" fontId="5" fillId="2" borderId="1" xfId="0" applyNumberFormat="1" applyFont="1" applyFill="1" applyBorder="1" applyAlignment="1">
      <alignment horizontal="right"/>
    </xf>
    <xf numFmtId="164" fontId="5" fillId="2" borderId="0" xfId="1" applyFont="1" applyFill="1" applyAlignment="1">
      <alignment horizontal="left" vertical="center" indent="2"/>
    </xf>
    <xf numFmtId="3" fontId="5" fillId="2" borderId="2" xfId="0" applyNumberFormat="1" applyFont="1" applyFill="1" applyBorder="1" applyAlignment="1">
      <alignment horizontal="right" vertical="center"/>
    </xf>
    <xf numFmtId="1" fontId="13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 indent="2"/>
    </xf>
    <xf numFmtId="3" fontId="3" fillId="2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3" fillId="2" borderId="1" xfId="0" applyNumberFormat="1" applyFont="1" applyFill="1" applyBorder="1" applyAlignment="1">
      <alignment horizontal="left" vertical="center" indent="2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13" fillId="2" borderId="0" xfId="0" applyNumberFormat="1" applyFont="1" applyFill="1"/>
    <xf numFmtId="164" fontId="3" fillId="2" borderId="0" xfId="0" applyNumberFormat="1" applyFont="1" applyFill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14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 indent="1"/>
    </xf>
    <xf numFmtId="164" fontId="16" fillId="2" borderId="1" xfId="0" applyNumberFormat="1" applyFont="1" applyFill="1" applyBorder="1" applyAlignment="1">
      <alignment horizontal="right" vertical="center" indent="1"/>
    </xf>
    <xf numFmtId="164" fontId="17" fillId="2" borderId="4" xfId="0" applyNumberFormat="1" applyFont="1" applyFill="1" applyBorder="1" applyAlignment="1">
      <alignment horizontal="right" vertical="center" wrapText="1"/>
    </xf>
    <xf numFmtId="164" fontId="17" fillId="2" borderId="0" xfId="1" applyFont="1" applyFill="1" applyAlignment="1">
      <alignment horizontal="right" vertical="center"/>
    </xf>
    <xf numFmtId="164" fontId="12" fillId="2" borderId="4" xfId="0" applyNumberFormat="1" applyFont="1" applyFill="1" applyBorder="1" applyAlignment="1">
      <alignment horizontal="right" vertical="center" wrapText="1"/>
    </xf>
    <xf numFmtId="164" fontId="16" fillId="2" borderId="0" xfId="0" applyNumberFormat="1" applyFont="1" applyFill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4" fillId="2" borderId="0" xfId="1" applyFont="1" applyFill="1" applyAlignment="1">
      <alignment vertical="center" wrapText="1"/>
    </xf>
    <xf numFmtId="164" fontId="7" fillId="2" borderId="2" xfId="1" applyFont="1" applyFill="1" applyBorder="1" applyAlignment="1">
      <alignment horizontal="left" vertical="center" wrapText="1"/>
    </xf>
    <xf numFmtId="164" fontId="6" fillId="2" borderId="2" xfId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5" fillId="2" borderId="5" xfId="1" applyFont="1" applyFill="1" applyBorder="1" applyAlignment="1">
      <alignment horizontal="right" vertical="center"/>
    </xf>
    <xf numFmtId="164" fontId="5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S65"/>
  <sheetViews>
    <sheetView tabSelected="1" zoomScale="112" zoomScaleNormal="112" workbookViewId="0">
      <selection activeCell="G24" sqref="G24"/>
    </sheetView>
  </sheetViews>
  <sheetFormatPr defaultColWidth="21.7109375" defaultRowHeight="12" x14ac:dyDescent="0.15"/>
  <cols>
    <col min="1" max="4" width="21.7109375" style="5"/>
    <col min="5" max="5" width="2.85546875" style="5" customWidth="1"/>
    <col min="6" max="16384" width="21.7109375" style="5"/>
  </cols>
  <sheetData>
    <row r="1" spans="1:227" ht="37.5" customHeight="1" x14ac:dyDescent="0.15">
      <c r="A1" s="45" t="s">
        <v>60</v>
      </c>
      <c r="B1" s="45"/>
      <c r="C1" s="45"/>
      <c r="D1" s="45"/>
    </row>
    <row r="2" spans="1:227" s="6" customFormat="1" ht="37.5" customHeight="1" x14ac:dyDescent="0.2">
      <c r="A2" s="46" t="s">
        <v>59</v>
      </c>
      <c r="B2" s="46"/>
      <c r="C2" s="46"/>
      <c r="D2" s="46"/>
    </row>
    <row r="3" spans="1:227" s="6" customFormat="1" ht="12.75" x14ac:dyDescent="0.2">
      <c r="A3" s="47"/>
      <c r="B3" s="48"/>
      <c r="C3" s="48"/>
    </row>
    <row r="4" spans="1:227" ht="16.5" x14ac:dyDescent="0.15">
      <c r="A4" s="39" t="s">
        <v>0</v>
      </c>
      <c r="B4" s="49" t="s">
        <v>58</v>
      </c>
      <c r="C4" s="49"/>
      <c r="D4" s="42" t="s">
        <v>48</v>
      </c>
    </row>
    <row r="5" spans="1:227" s="7" customFormat="1" ht="39" customHeight="1" x14ac:dyDescent="0.15">
      <c r="A5" s="40"/>
      <c r="B5" s="31" t="s">
        <v>49</v>
      </c>
      <c r="C5" s="32" t="s">
        <v>47</v>
      </c>
      <c r="D5" s="43"/>
    </row>
    <row r="6" spans="1:227" ht="1.1499999999999999" customHeight="1" x14ac:dyDescent="0.15">
      <c r="A6" s="40"/>
      <c r="B6" s="8"/>
      <c r="C6" s="8"/>
      <c r="D6" s="43"/>
    </row>
    <row r="7" spans="1:227" s="11" customFormat="1" ht="12" customHeight="1" x14ac:dyDescent="0.2">
      <c r="A7" s="40"/>
      <c r="B7" s="9" t="s">
        <v>50</v>
      </c>
      <c r="C7" s="10" t="s">
        <v>46</v>
      </c>
      <c r="D7" s="4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</row>
    <row r="8" spans="1:227" s="11" customFormat="1" ht="12.75" x14ac:dyDescent="0.2">
      <c r="A8" s="41"/>
      <c r="B8" s="12" t="s">
        <v>51</v>
      </c>
      <c r="C8" s="12"/>
      <c r="D8" s="4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</row>
    <row r="9" spans="1:227" s="15" customFormat="1" ht="15.75" x14ac:dyDescent="0.25">
      <c r="A9" s="13" t="s">
        <v>1</v>
      </c>
      <c r="B9" s="14">
        <f>B10+B12+B11</f>
        <v>49103</v>
      </c>
      <c r="C9" s="14">
        <f>C10+C12+C11</f>
        <v>136</v>
      </c>
      <c r="D9" s="28" t="s">
        <v>2</v>
      </c>
    </row>
    <row r="10" spans="1:227" s="15" customFormat="1" ht="15.75" x14ac:dyDescent="0.25">
      <c r="A10" s="13" t="s">
        <v>3</v>
      </c>
      <c r="B10" s="16">
        <v>7131</v>
      </c>
      <c r="C10" s="16">
        <v>0</v>
      </c>
      <c r="D10" s="28" t="s">
        <v>4</v>
      </c>
    </row>
    <row r="11" spans="1:227" s="15" customFormat="1" ht="15.75" hidden="1" x14ac:dyDescent="0.25">
      <c r="A11" s="13" t="s">
        <v>7</v>
      </c>
      <c r="B11" s="16"/>
      <c r="C11" s="16"/>
      <c r="D11" s="28" t="s">
        <v>56</v>
      </c>
    </row>
    <row r="12" spans="1:227" s="15" customFormat="1" ht="15.75" x14ac:dyDescent="0.25">
      <c r="A12" s="13" t="s">
        <v>5</v>
      </c>
      <c r="B12" s="16">
        <f>SUM(B13:B32)</f>
        <v>41972</v>
      </c>
      <c r="C12" s="16">
        <f>SUM(C13:C32)</f>
        <v>136</v>
      </c>
      <c r="D12" s="28" t="s">
        <v>6</v>
      </c>
    </row>
    <row r="13" spans="1:227" s="19" customFormat="1" ht="15.75" x14ac:dyDescent="0.25">
      <c r="A13" s="17" t="s">
        <v>8</v>
      </c>
      <c r="B13" s="18">
        <v>2803</v>
      </c>
      <c r="C13" s="18">
        <v>0</v>
      </c>
      <c r="D13" s="29" t="s">
        <v>9</v>
      </c>
    </row>
    <row r="14" spans="1:227" s="19" customFormat="1" ht="15.75" x14ac:dyDescent="0.25">
      <c r="A14" s="17" t="s">
        <v>10</v>
      </c>
      <c r="B14" s="18">
        <v>884</v>
      </c>
      <c r="C14" s="18">
        <v>0</v>
      </c>
      <c r="D14" s="29" t="s">
        <v>11</v>
      </c>
    </row>
    <row r="15" spans="1:227" s="19" customFormat="1" ht="15.75" x14ac:dyDescent="0.25">
      <c r="A15" s="17" t="s">
        <v>12</v>
      </c>
      <c r="B15" s="18">
        <v>1192</v>
      </c>
      <c r="C15" s="18">
        <v>0</v>
      </c>
      <c r="D15" s="29" t="s">
        <v>13</v>
      </c>
    </row>
    <row r="16" spans="1:227" s="19" customFormat="1" ht="15.75" x14ac:dyDescent="0.25">
      <c r="A16" s="17" t="s">
        <v>14</v>
      </c>
      <c r="B16" s="18">
        <v>1059</v>
      </c>
      <c r="C16" s="18">
        <v>0</v>
      </c>
      <c r="D16" s="29" t="s">
        <v>15</v>
      </c>
    </row>
    <row r="17" spans="1:227" s="19" customFormat="1" ht="15.75" x14ac:dyDescent="0.25">
      <c r="A17" s="17" t="s">
        <v>16</v>
      </c>
      <c r="B17" s="18">
        <v>2542</v>
      </c>
      <c r="C17" s="18">
        <v>0</v>
      </c>
      <c r="D17" s="29" t="s">
        <v>17</v>
      </c>
    </row>
    <row r="18" spans="1:227" s="19" customFormat="1" ht="15.75" x14ac:dyDescent="0.25">
      <c r="A18" s="17" t="s">
        <v>18</v>
      </c>
      <c r="B18" s="18">
        <v>1071</v>
      </c>
      <c r="C18" s="18">
        <v>0</v>
      </c>
      <c r="D18" s="29" t="s">
        <v>19</v>
      </c>
    </row>
    <row r="19" spans="1:227" s="19" customFormat="1" ht="15.75" x14ac:dyDescent="0.25">
      <c r="A19" s="17" t="s">
        <v>20</v>
      </c>
      <c r="B19" s="18">
        <v>1264</v>
      </c>
      <c r="C19" s="18">
        <v>0</v>
      </c>
      <c r="D19" s="29" t="s">
        <v>21</v>
      </c>
    </row>
    <row r="20" spans="1:227" s="19" customFormat="1" ht="15.75" x14ac:dyDescent="0.25">
      <c r="A20" s="17" t="s">
        <v>22</v>
      </c>
      <c r="B20" s="18">
        <v>1702</v>
      </c>
      <c r="C20" s="18">
        <v>0</v>
      </c>
      <c r="D20" s="29" t="s">
        <v>23</v>
      </c>
    </row>
    <row r="21" spans="1:227" s="19" customFormat="1" ht="15.75" x14ac:dyDescent="0.25">
      <c r="A21" s="17" t="s">
        <v>52</v>
      </c>
      <c r="B21" s="18">
        <v>1387</v>
      </c>
      <c r="C21" s="18">
        <v>0</v>
      </c>
      <c r="D21" s="29" t="s">
        <v>24</v>
      </c>
    </row>
    <row r="22" spans="1:227" s="19" customFormat="1" ht="15.75" x14ac:dyDescent="0.25">
      <c r="A22" s="17" t="s">
        <v>25</v>
      </c>
      <c r="B22" s="18">
        <v>1992</v>
      </c>
      <c r="C22" s="18">
        <v>0</v>
      </c>
      <c r="D22" s="29" t="s">
        <v>26</v>
      </c>
    </row>
    <row r="23" spans="1:227" s="19" customFormat="1" ht="15.75" x14ac:dyDescent="0.25">
      <c r="A23" s="17" t="s">
        <v>27</v>
      </c>
      <c r="B23" s="18">
        <v>178</v>
      </c>
      <c r="C23" s="18">
        <v>0</v>
      </c>
      <c r="D23" s="29" t="s">
        <v>28</v>
      </c>
    </row>
    <row r="24" spans="1:227" s="19" customFormat="1" ht="15.75" x14ac:dyDescent="0.25">
      <c r="A24" s="17" t="s">
        <v>29</v>
      </c>
      <c r="B24" s="18">
        <v>1436</v>
      </c>
      <c r="C24" s="18">
        <v>0</v>
      </c>
      <c r="D24" s="29" t="s">
        <v>30</v>
      </c>
    </row>
    <row r="25" spans="1:227" s="19" customFormat="1" ht="15.75" x14ac:dyDescent="0.25">
      <c r="A25" s="17" t="s">
        <v>31</v>
      </c>
      <c r="B25" s="18">
        <v>1529</v>
      </c>
      <c r="C25" s="18">
        <v>0</v>
      </c>
      <c r="D25" s="29" t="s">
        <v>32</v>
      </c>
    </row>
    <row r="26" spans="1:227" ht="15.75" x14ac:dyDescent="0.15">
      <c r="A26" s="17" t="s">
        <v>33</v>
      </c>
      <c r="B26" s="18">
        <v>3679</v>
      </c>
      <c r="C26" s="18">
        <v>0</v>
      </c>
      <c r="D26" s="29" t="s">
        <v>34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</row>
    <row r="27" spans="1:227" ht="15.75" x14ac:dyDescent="0.15">
      <c r="A27" s="17" t="s">
        <v>35</v>
      </c>
      <c r="B27" s="18">
        <v>2368</v>
      </c>
      <c r="C27" s="18">
        <v>0</v>
      </c>
      <c r="D27" s="29" t="s">
        <v>36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</row>
    <row r="28" spans="1:227" ht="15.75" x14ac:dyDescent="0.15">
      <c r="A28" s="17" t="s">
        <v>37</v>
      </c>
      <c r="B28" s="18">
        <v>3138</v>
      </c>
      <c r="C28" s="18">
        <v>120</v>
      </c>
      <c r="D28" s="29" t="s">
        <v>38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</row>
    <row r="29" spans="1:227" s="20" customFormat="1" ht="15.75" x14ac:dyDescent="0.25">
      <c r="A29" s="17" t="s">
        <v>39</v>
      </c>
      <c r="B29" s="18">
        <v>6174</v>
      </c>
      <c r="C29" s="18">
        <v>0</v>
      </c>
      <c r="D29" s="29" t="s">
        <v>40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</row>
    <row r="30" spans="1:227" s="20" customFormat="1" ht="15.75" x14ac:dyDescent="0.25">
      <c r="A30" s="17" t="s">
        <v>41</v>
      </c>
      <c r="B30" s="18">
        <v>3580</v>
      </c>
      <c r="C30" s="18">
        <v>0</v>
      </c>
      <c r="D30" s="29" t="s">
        <v>42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</row>
    <row r="31" spans="1:227" s="20" customFormat="1" ht="15.75" x14ac:dyDescent="0.25">
      <c r="A31" s="17" t="s">
        <v>43</v>
      </c>
      <c r="B31" s="18">
        <v>1330</v>
      </c>
      <c r="C31" s="18">
        <v>2</v>
      </c>
      <c r="D31" s="29" t="s">
        <v>44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</row>
    <row r="32" spans="1:227" s="20" customFormat="1" ht="15.75" x14ac:dyDescent="0.25">
      <c r="A32" s="21" t="s">
        <v>13</v>
      </c>
      <c r="B32" s="22">
        <v>2664</v>
      </c>
      <c r="C32" s="22">
        <v>14</v>
      </c>
      <c r="D32" s="30" t="s">
        <v>45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</row>
    <row r="33" spans="1:227" s="20" customFormat="1" ht="17.25" x14ac:dyDescent="0.15">
      <c r="D33" s="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</row>
    <row r="34" spans="1:227" ht="12.75" x14ac:dyDescent="0.15">
      <c r="A34" s="23" t="s">
        <v>61</v>
      </c>
    </row>
    <row r="36" spans="1:227" ht="18.75" customHeight="1" x14ac:dyDescent="0.15">
      <c r="A36" s="39" t="s">
        <v>0</v>
      </c>
      <c r="B36" s="50" t="s">
        <v>53</v>
      </c>
      <c r="C36" s="50"/>
      <c r="D36" s="42" t="s">
        <v>48</v>
      </c>
    </row>
    <row r="37" spans="1:227" ht="18.75" customHeight="1" x14ac:dyDescent="0.15">
      <c r="A37" s="40"/>
      <c r="B37" s="33" t="s">
        <v>54</v>
      </c>
      <c r="C37" s="28" t="s">
        <v>47</v>
      </c>
      <c r="D37" s="43"/>
    </row>
    <row r="38" spans="1:227" ht="18.75" customHeight="1" x14ac:dyDescent="0.2">
      <c r="A38" s="40"/>
      <c r="B38" s="9" t="s">
        <v>50</v>
      </c>
      <c r="C38" s="51" t="s">
        <v>46</v>
      </c>
      <c r="D38" s="43"/>
    </row>
    <row r="39" spans="1:227" ht="18.75" customHeight="1" x14ac:dyDescent="0.2">
      <c r="A39" s="41"/>
      <c r="B39" s="12" t="s">
        <v>51</v>
      </c>
      <c r="C39" s="52"/>
      <c r="D39" s="44"/>
    </row>
    <row r="40" spans="1:227" ht="15.75" x14ac:dyDescent="0.15">
      <c r="A40" s="2" t="s">
        <v>1</v>
      </c>
      <c r="B40" s="16">
        <f>B41+B43+B42</f>
        <v>621</v>
      </c>
      <c r="C40" s="16">
        <f>C41+C43+C42</f>
        <v>6</v>
      </c>
      <c r="D40" s="28" t="s">
        <v>2</v>
      </c>
    </row>
    <row r="41" spans="1:227" ht="15.75" x14ac:dyDescent="0.15">
      <c r="A41" s="2" t="s">
        <v>3</v>
      </c>
      <c r="B41" s="16">
        <v>79</v>
      </c>
      <c r="C41" s="16">
        <v>0</v>
      </c>
      <c r="D41" s="28" t="s">
        <v>4</v>
      </c>
    </row>
    <row r="42" spans="1:227" s="24" customFormat="1" ht="15.75" hidden="1" x14ac:dyDescent="0.15">
      <c r="A42" s="4" t="s">
        <v>7</v>
      </c>
      <c r="B42" s="16"/>
      <c r="C42" s="16"/>
      <c r="D42" s="28" t="s">
        <v>56</v>
      </c>
    </row>
    <row r="43" spans="1:227" ht="15.75" x14ac:dyDescent="0.15">
      <c r="A43" s="2" t="s">
        <v>5</v>
      </c>
      <c r="B43" s="16">
        <f>SUM(B44:B63)</f>
        <v>542</v>
      </c>
      <c r="C43" s="16">
        <f>SUM(C44:C63)</f>
        <v>6</v>
      </c>
      <c r="D43" s="28" t="s">
        <v>6</v>
      </c>
    </row>
    <row r="44" spans="1:227" ht="15.75" x14ac:dyDescent="0.15">
      <c r="A44" s="25" t="s">
        <v>8</v>
      </c>
      <c r="B44" s="18">
        <v>44</v>
      </c>
      <c r="C44" s="18">
        <v>0</v>
      </c>
      <c r="D44" s="34" t="s">
        <v>9</v>
      </c>
    </row>
    <row r="45" spans="1:227" ht="15.75" x14ac:dyDescent="0.15">
      <c r="A45" s="25" t="s">
        <v>10</v>
      </c>
      <c r="B45" s="18">
        <v>16</v>
      </c>
      <c r="C45" s="18">
        <v>0</v>
      </c>
      <c r="D45" s="34" t="s">
        <v>11</v>
      </c>
    </row>
    <row r="46" spans="1:227" ht="15.75" x14ac:dyDescent="0.15">
      <c r="A46" s="25" t="s">
        <v>12</v>
      </c>
      <c r="B46" s="18">
        <v>23</v>
      </c>
      <c r="C46" s="18">
        <v>0</v>
      </c>
      <c r="D46" s="34" t="s">
        <v>13</v>
      </c>
    </row>
    <row r="47" spans="1:227" ht="15.75" x14ac:dyDescent="0.15">
      <c r="A47" s="25" t="s">
        <v>14</v>
      </c>
      <c r="B47" s="18">
        <v>21</v>
      </c>
      <c r="C47" s="18">
        <v>0</v>
      </c>
      <c r="D47" s="34" t="s">
        <v>15</v>
      </c>
    </row>
    <row r="48" spans="1:227" ht="15.75" x14ac:dyDescent="0.15">
      <c r="A48" s="25" t="s">
        <v>16</v>
      </c>
      <c r="B48" s="18">
        <v>41</v>
      </c>
      <c r="C48" s="18">
        <v>0</v>
      </c>
      <c r="D48" s="34" t="s">
        <v>17</v>
      </c>
    </row>
    <row r="49" spans="1:4" ht="15.75" x14ac:dyDescent="0.15">
      <c r="A49" s="25" t="s">
        <v>18</v>
      </c>
      <c r="B49" s="18">
        <v>16</v>
      </c>
      <c r="C49" s="18">
        <v>0</v>
      </c>
      <c r="D49" s="34" t="s">
        <v>19</v>
      </c>
    </row>
    <row r="50" spans="1:4" ht="15.75" x14ac:dyDescent="0.15">
      <c r="A50" s="25" t="s">
        <v>20</v>
      </c>
      <c r="B50" s="18">
        <v>21</v>
      </c>
      <c r="C50" s="18">
        <v>0</v>
      </c>
      <c r="D50" s="34" t="s">
        <v>21</v>
      </c>
    </row>
    <row r="51" spans="1:4" ht="15.75" x14ac:dyDescent="0.15">
      <c r="A51" s="25" t="s">
        <v>22</v>
      </c>
      <c r="B51" s="18">
        <v>31</v>
      </c>
      <c r="C51" s="18">
        <v>0</v>
      </c>
      <c r="D51" s="34" t="s">
        <v>23</v>
      </c>
    </row>
    <row r="52" spans="1:4" ht="15.75" x14ac:dyDescent="0.15">
      <c r="A52" s="25" t="s">
        <v>52</v>
      </c>
      <c r="B52" s="18">
        <v>19</v>
      </c>
      <c r="C52" s="18">
        <v>0</v>
      </c>
      <c r="D52" s="34" t="s">
        <v>24</v>
      </c>
    </row>
    <row r="53" spans="1:4" ht="15.75" x14ac:dyDescent="0.15">
      <c r="A53" s="25" t="s">
        <v>25</v>
      </c>
      <c r="B53" s="18">
        <v>21</v>
      </c>
      <c r="C53" s="18">
        <v>0</v>
      </c>
      <c r="D53" s="34" t="s">
        <v>26</v>
      </c>
    </row>
    <row r="54" spans="1:4" ht="15.75" x14ac:dyDescent="0.15">
      <c r="A54" s="25" t="s">
        <v>27</v>
      </c>
      <c r="B54" s="18">
        <v>3</v>
      </c>
      <c r="C54" s="18">
        <v>0</v>
      </c>
      <c r="D54" s="34" t="s">
        <v>28</v>
      </c>
    </row>
    <row r="55" spans="1:4" ht="15.75" x14ac:dyDescent="0.15">
      <c r="A55" s="25" t="s">
        <v>29</v>
      </c>
      <c r="B55" s="18">
        <v>23</v>
      </c>
      <c r="C55" s="18">
        <v>0</v>
      </c>
      <c r="D55" s="34" t="s">
        <v>30</v>
      </c>
    </row>
    <row r="56" spans="1:4" ht="15.75" x14ac:dyDescent="0.15">
      <c r="A56" s="25" t="s">
        <v>31</v>
      </c>
      <c r="B56" s="18">
        <v>23</v>
      </c>
      <c r="C56" s="18">
        <v>0</v>
      </c>
      <c r="D56" s="34" t="s">
        <v>32</v>
      </c>
    </row>
    <row r="57" spans="1:4" ht="15.75" x14ac:dyDescent="0.15">
      <c r="A57" s="25" t="s">
        <v>33</v>
      </c>
      <c r="B57" s="18">
        <v>50</v>
      </c>
      <c r="C57" s="18">
        <v>0</v>
      </c>
      <c r="D57" s="34" t="s">
        <v>34</v>
      </c>
    </row>
    <row r="58" spans="1:4" ht="15.75" x14ac:dyDescent="0.15">
      <c r="A58" s="25" t="s">
        <v>35</v>
      </c>
      <c r="B58" s="18">
        <v>26</v>
      </c>
      <c r="C58" s="18">
        <v>0</v>
      </c>
      <c r="D58" s="34" t="s">
        <v>36</v>
      </c>
    </row>
    <row r="59" spans="1:4" ht="15.75" x14ac:dyDescent="0.15">
      <c r="A59" s="25" t="s">
        <v>37</v>
      </c>
      <c r="B59" s="18">
        <v>34</v>
      </c>
      <c r="C59" s="18">
        <v>1</v>
      </c>
      <c r="D59" s="34" t="s">
        <v>38</v>
      </c>
    </row>
    <row r="60" spans="1:4" ht="15.75" x14ac:dyDescent="0.15">
      <c r="A60" s="25" t="s">
        <v>39</v>
      </c>
      <c r="B60" s="18">
        <v>44</v>
      </c>
      <c r="C60" s="18">
        <v>0</v>
      </c>
      <c r="D60" s="34" t="s">
        <v>40</v>
      </c>
    </row>
    <row r="61" spans="1:4" ht="15.75" x14ac:dyDescent="0.15">
      <c r="A61" s="25" t="s">
        <v>41</v>
      </c>
      <c r="B61" s="18">
        <v>25</v>
      </c>
      <c r="C61" s="18">
        <v>0</v>
      </c>
      <c r="D61" s="34" t="s">
        <v>42</v>
      </c>
    </row>
    <row r="62" spans="1:4" ht="15.75" x14ac:dyDescent="0.15">
      <c r="A62" s="25" t="s">
        <v>43</v>
      </c>
      <c r="B62" s="18">
        <v>30</v>
      </c>
      <c r="C62" s="18">
        <v>1</v>
      </c>
      <c r="D62" s="34" t="s">
        <v>44</v>
      </c>
    </row>
    <row r="63" spans="1:4" ht="15.75" x14ac:dyDescent="0.15">
      <c r="A63" s="26" t="s">
        <v>13</v>
      </c>
      <c r="B63" s="22">
        <v>31</v>
      </c>
      <c r="C63" s="22">
        <v>4</v>
      </c>
      <c r="D63" s="35" t="s">
        <v>45</v>
      </c>
    </row>
    <row r="64" spans="1:4" s="36" customFormat="1" ht="15" customHeight="1" x14ac:dyDescent="0.25">
      <c r="A64" s="37" t="s">
        <v>57</v>
      </c>
      <c r="B64" s="37"/>
      <c r="C64" s="38" t="s">
        <v>55</v>
      </c>
      <c r="D64" s="38"/>
    </row>
    <row r="65" spans="1:4" s="1" customFormat="1" ht="17.25" x14ac:dyDescent="0.25">
      <c r="A65" s="27"/>
      <c r="B65" s="27"/>
      <c r="C65" s="27"/>
      <c r="D65" s="3"/>
    </row>
  </sheetData>
  <mergeCells count="12">
    <mergeCell ref="A64:B64"/>
    <mergeCell ref="C64:D64"/>
    <mergeCell ref="A36:A39"/>
    <mergeCell ref="D36:D39"/>
    <mergeCell ref="A1:D1"/>
    <mergeCell ref="A2:D2"/>
    <mergeCell ref="A3:C3"/>
    <mergeCell ref="A4:A8"/>
    <mergeCell ref="D4:D8"/>
    <mergeCell ref="B4:C4"/>
    <mergeCell ref="B36:C36"/>
    <mergeCell ref="C38:C39"/>
  </mergeCells>
  <pageMargins left="0.7" right="0.7" top="0.75" bottom="0.75" header="0.3" footer="0.3"/>
  <pageSetup paperSize="9" scale="97" orientation="portrait" horizontalDpi="4294967295" verticalDpi="4294967295" r:id="rId1"/>
  <rowBreaks count="2" manualBreakCount="2">
    <brk id="32" max="16383" man="1"/>
    <brk id="65" max="16383" man="1"/>
  </rowBreaks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2023-07-13T08:27:04Z</cp:lastPrinted>
  <dcterms:created xsi:type="dcterms:W3CDTF">2019-09-09T05:11:24Z</dcterms:created>
  <dcterms:modified xsi:type="dcterms:W3CDTF">2023-07-13T08:27:11Z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