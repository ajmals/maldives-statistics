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isheries &amp; Agriculture\"/>
    </mc:Choice>
  </mc:AlternateContent>
  <xr:revisionPtr revIDLastSave="0" documentId="13_ncr:1_{A05403A0-0F01-413E-9592-7EDA4A033B2C}" xr6:coauthVersionLast="47" xr6:coauthVersionMax="47" xr10:uidLastSave="{00000000-0000-0000-0000-000000000000}"/>
  <bookViews>
    <workbookView xWindow="-120" yWindow="-120" windowWidth="29040" windowHeight="15720" tabRatio="831" xr2:uid="{00000000-000D-0000-FFFF-FFFF00000000}"/>
  </bookViews>
  <sheets>
    <sheet name="9.19" sheetId="19" r:id="rId1"/>
  </sheets>
  <externalReferences>
    <externalReference r:id="rId2"/>
    <externalReference r:id="rId3"/>
  </externalReferences>
  <definedNames>
    <definedName name="_xlnm.Print_Area" localSheetId="0">'9.19'!$A$1:$X$31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9" l="1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V8" i="19"/>
  <c r="U8" i="19"/>
  <c r="T8" i="19"/>
  <c r="S8" i="19"/>
  <c r="R8" i="19"/>
  <c r="Q8" i="19"/>
  <c r="P8" i="19"/>
  <c r="O8" i="19"/>
  <c r="N8" i="19"/>
  <c r="M8" i="19"/>
  <c r="L8" i="19"/>
  <c r="K8" i="19"/>
  <c r="J8" i="19"/>
  <c r="I8" i="19"/>
  <c r="H8" i="19"/>
  <c r="G8" i="19"/>
  <c r="F8" i="19"/>
  <c r="E8" i="19"/>
  <c r="D8" i="19"/>
  <c r="C8" i="19"/>
  <c r="B8" i="19" l="1"/>
</calcChain>
</file>

<file path=xl/sharedStrings.xml><?xml version="1.0" encoding="utf-8"?>
<sst xmlns="http://schemas.openxmlformats.org/spreadsheetml/2006/main" count="86" uniqueCount="84">
  <si>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</si>
  <si>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</si>
  <si>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</si>
  <si>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</si>
  <si>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</si>
  <si>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</si>
  <si>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</si>
  <si>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</si>
  <si>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</si>
  <si>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</si>
  <si>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</si>
  <si>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</si>
  <si>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</si>
  <si>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</si>
  <si>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</si>
  <si>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</si>
  <si>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</si>
  <si>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</si>
  <si>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</si>
  <si>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</si>
  <si>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</si>
  <si>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</si>
  <si>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</si>
  <si>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</si>
  <si>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</si>
  <si>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</si>
  <si>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</si>
  <si>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</si>
  <si>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</si>
  <si>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</si>
  <si>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</si>
  <si>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</si>
  <si>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</si>
  <si>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</si>
  <si>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</si>
  <si>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</si>
  <si>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</si>
  <si>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</si>
  <si>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Total</t>
  </si>
  <si>
    <t xml:space="preserve"> AA</t>
  </si>
  <si>
    <t>ޖުމްލަ</t>
  </si>
  <si>
    <t>Agricultural crops</t>
  </si>
  <si>
    <t>ފަތްކެޔޮ</t>
  </si>
  <si>
    <t>ކިއުކަމްބަރ</t>
  </si>
  <si>
    <t>އަނބު</t>
  </si>
  <si>
    <t>ފަޅޯ</t>
  </si>
  <si>
    <t>ބަރަބޯ</t>
  </si>
  <si>
    <t>ކަރާ</t>
  </si>
  <si>
    <t xml:space="preserve">Note: 2020 data are missing as unable to take data on the Male’ Local Market due to the COVID pandemic. </t>
  </si>
  <si>
    <t xml:space="preserve">      ތާވަލު 9.19: އަތޮޅުތަކުން މާލޭ މާރުކޭޓަށް ވިއްކި ދަނޑުވެރިކަމުގެ ތަކެތި 2022</t>
  </si>
  <si>
    <t>Table 9.19: AGRICULTURAL PRODUCTS TRADED IN MALE' MARKET BY ATOLLS, 2022</t>
  </si>
  <si>
    <r>
      <t xml:space="preserve">( In Kgs/ </t>
    </r>
    <r>
      <rPr>
        <b/>
        <sz val="11"/>
        <color indexed="8"/>
        <rFont val="Faruma"/>
      </rPr>
      <t>ކިލޯއިން)</t>
    </r>
  </si>
  <si>
    <t>Production by Atolls</t>
  </si>
  <si>
    <t>އުފެއްދުނު އަތޮޅުތައް</t>
  </si>
  <si>
    <t>ބާވަތް</t>
  </si>
  <si>
    <t>Watermelon</t>
  </si>
  <si>
    <t>Coconut (young)</t>
  </si>
  <si>
    <t>ކުރުނބާ</t>
  </si>
  <si>
    <t>Papayas</t>
  </si>
  <si>
    <t>Pumpkin</t>
  </si>
  <si>
    <t>Cucumber</t>
  </si>
  <si>
    <t>Banana</t>
  </si>
  <si>
    <t>Brinjal</t>
  </si>
  <si>
    <t>ބަށި</t>
  </si>
  <si>
    <t>Coconut</t>
  </si>
  <si>
    <t>ކާށި</t>
  </si>
  <si>
    <t>chillies</t>
  </si>
  <si>
    <t>މިރުސް</t>
  </si>
  <si>
    <t>Bottle gourd</t>
  </si>
  <si>
    <t>ގިއްސާ</t>
  </si>
  <si>
    <t>Butternut</t>
  </si>
  <si>
    <t>ބަޓާނާ</t>
  </si>
  <si>
    <t>Chinese Cabbage</t>
  </si>
  <si>
    <t>ޗައިނީޒް ކެބެޖް</t>
  </si>
  <si>
    <t>Mango</t>
  </si>
  <si>
    <t>Wax gourd</t>
  </si>
  <si>
    <t>ފުފޫ</t>
  </si>
  <si>
    <t>Betel leaves</t>
  </si>
  <si>
    <t>ބިލެތް</t>
  </si>
  <si>
    <t>Others</t>
  </si>
  <si>
    <t>އެހެނިހެން</t>
  </si>
  <si>
    <t>Source:  Agriculture Data Management Unit/Min. Fisheries, Marine Resources and Agriculture</t>
  </si>
  <si>
    <t>ނޯޓް:   0 ޖެހިފައި ވަނީ އެކިއެކި ސަބަބުތަކާއިހުރެ ތަފާސްހިސާބު ލިބިފައި ނުވާތީއެވެ..</t>
  </si>
  <si>
    <t xml:space="preserve">މައުލޫމާތު ދެއްވި ފަރާތް: އެގްރިކަލްޗަރ ޑާޓާ މެނޭޖްމަންޓް ޔުނިޓް/ މައުލޫމާތު ދެއްވި ފަރާތް: މިނިސްޓްރީ އޮފް ފިޝަރީޒް، މެރިން ރިސޯސަސް އެންޑް އެގްރިކަލްޗަރ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</si>
</sst>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8" formatCode="[$-409]mmmm\ d\,\ yyyy;@"/>
  </numFmts>
  <fonts count="22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A_Faseyha"/>
    </font>
    <font>
      <b/>
      <sz val="10"/>
      <name val="Courier"/>
      <family val="3"/>
    </font>
    <font>
      <i/>
      <sz val="10"/>
      <name val="Calibri"/>
      <family val="2"/>
    </font>
    <font>
      <sz val="11"/>
      <name val="Courier"/>
      <family val="3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i/>
      <sz val="10"/>
      <color theme="1"/>
      <name val="Calibri"/>
      <family val="2"/>
      <scheme val="minor"/>
    </font>
    <font>
      <b/>
      <sz val="10"/>
      <name val="ަރިެ"/>
    </font>
    <font>
      <sz val="10"/>
      <color indexed="8"/>
      <name val="Calibri"/>
      <family val="2"/>
    </font>
    <font>
      <sz val="11"/>
      <name val="Faruma"/>
    </font>
    <font>
      <sz val="10"/>
      <name val="Arie"/>
      <charset val="1"/>
    </font>
    <font>
      <sz val="10"/>
      <name val="Faruma"/>
    </font>
    <font>
      <sz val="10"/>
      <color indexed="8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7">
    <xf numFmtId="0" fontId="0" fillId="0" borderId="0"/>
    <xf numFmtId="40" fontId="5" fillId="0" borderId="0" applyFont="0" applyFill="0" applyBorder="0" applyAlignment="0" applyProtection="0"/>
    <xf numFmtId="168" fontId="1" fillId="0" borderId="0"/>
    <xf numFmtId="168" fontId="1" fillId="0" borderId="0"/>
    <xf numFmtId="168" fontId="1" fillId="0" borderId="0"/>
    <xf numFmtId="0" fontId="4" fillId="0" borderId="0"/>
    <xf numFmtId="0" fontId="11" fillId="0" borderId="0"/>
  </cellStyleXfs>
  <cellXfs count="46">
    <xf numFmtId="0" fontId="0" fillId="0" borderId="0" xfId="0"/>
    <xf numFmtId="164" fontId="1" fillId="2" borderId="0" xfId="3" applyNumberFormat="1" applyFill="1"/>
    <xf numFmtId="0" fontId="1" fillId="2" borderId="0" xfId="3" applyNumberFormat="1" applyFill="1" applyAlignment="1">
      <alignment vertical="center"/>
    </xf>
    <xf numFmtId="43" fontId="1" fillId="2" borderId="0" xfId="3" applyNumberFormat="1" applyFill="1"/>
    <xf numFmtId="43" fontId="1" fillId="2" borderId="0" xfId="3" applyNumberFormat="1" applyFill="1" applyAlignment="1">
      <alignment vertical="center"/>
    </xf>
    <xf numFmtId="0" fontId="1" fillId="2" borderId="2" xfId="3" applyNumberFormat="1" applyFill="1" applyBorder="1" applyAlignment="1">
      <alignment vertical="center"/>
    </xf>
    <xf numFmtId="0" fontId="13" fillId="2" borderId="3" xfId="3" applyNumberFormat="1" applyFont="1" applyFill="1" applyBorder="1" applyAlignment="1">
      <alignment vertical="center"/>
    </xf>
    <xf numFmtId="0" fontId="1" fillId="2" borderId="3" xfId="3" applyNumberFormat="1" applyFill="1" applyBorder="1" applyAlignment="1">
      <alignment vertical="center"/>
    </xf>
    <xf numFmtId="0" fontId="16" fillId="2" borderId="0" xfId="3" applyNumberFormat="1" applyFont="1" applyFill="1" applyAlignment="1">
      <alignment vertical="center" wrapText="1"/>
    </xf>
    <xf numFmtId="0" fontId="6" fillId="2" borderId="0" xfId="0" applyFont="1" applyFill="1" applyAlignment="1">
      <alignment horizontal="right" vertical="center"/>
    </xf>
    <xf numFmtId="164" fontId="7" fillId="2" borderId="0" xfId="3" applyNumberFormat="1" applyFont="1" applyFill="1"/>
    <xf numFmtId="0" fontId="2" fillId="2" borderId="0" xfId="0" applyFont="1" applyFill="1" applyAlignment="1">
      <alignment horizontal="right" vertical="center"/>
    </xf>
    <xf numFmtId="0" fontId="13" fillId="2" borderId="2" xfId="3" applyNumberFormat="1" applyFont="1" applyFill="1" applyBorder="1" applyAlignment="1">
      <alignment vertical="center"/>
    </xf>
    <xf numFmtId="38" fontId="13" fillId="2" borderId="2" xfId="3" applyNumberFormat="1" applyFont="1" applyFill="1" applyBorder="1" applyAlignment="1">
      <alignment horizontal="right"/>
    </xf>
    <xf numFmtId="0" fontId="12" fillId="2" borderId="2" xfId="3" applyNumberFormat="1" applyFont="1" applyFill="1" applyBorder="1" applyAlignment="1">
      <alignment vertical="center"/>
    </xf>
    <xf numFmtId="164" fontId="9" fillId="2" borderId="0" xfId="3" applyNumberFormat="1" applyFont="1" applyFill="1"/>
    <xf numFmtId="0" fontId="17" fillId="2" borderId="0" xfId="6" applyFont="1" applyFill="1" applyAlignment="1">
      <alignment horizontal="left" vertical="center"/>
    </xf>
    <xf numFmtId="38" fontId="13" fillId="2" borderId="0" xfId="3" applyNumberFormat="1" applyFont="1" applyFill="1" applyAlignment="1">
      <alignment horizontal="right"/>
    </xf>
    <xf numFmtId="0" fontId="14" fillId="2" borderId="0" xfId="3" applyNumberFormat="1" applyFont="1" applyFill="1" applyAlignment="1">
      <alignment vertical="center"/>
    </xf>
    <xf numFmtId="0" fontId="3" fillId="2" borderId="0" xfId="3" applyNumberFormat="1" applyFont="1" applyFill="1" applyAlignment="1">
      <alignment vertical="center"/>
    </xf>
    <xf numFmtId="164" fontId="18" fillId="2" borderId="0" xfId="3" applyNumberFormat="1" applyFont="1" applyFill="1"/>
    <xf numFmtId="0" fontId="3" fillId="2" borderId="1" xfId="3" applyNumberFormat="1" applyFont="1" applyFill="1" applyBorder="1" applyAlignment="1">
      <alignment vertical="center"/>
    </xf>
    <xf numFmtId="0" fontId="14" fillId="2" borderId="1" xfId="3" applyNumberFormat="1" applyFont="1" applyFill="1" applyBorder="1" applyAlignment="1">
      <alignment vertical="center"/>
    </xf>
    <xf numFmtId="0" fontId="19" fillId="2" borderId="0" xfId="3" applyNumberFormat="1" applyFont="1" applyFill="1" applyAlignment="1">
      <alignment vertical="center" wrapText="1"/>
    </xf>
    <xf numFmtId="0" fontId="19" fillId="2" borderId="0" xfId="3" applyNumberFormat="1" applyFont="1" applyFill="1" applyAlignment="1">
      <alignment vertical="center"/>
    </xf>
    <xf numFmtId="0" fontId="20" fillId="2" borderId="0" xfId="3" applyNumberFormat="1" applyFont="1" applyFill="1" applyAlignment="1">
      <alignment vertical="center"/>
    </xf>
    <xf numFmtId="0" fontId="21" fillId="2" borderId="0" xfId="2" applyNumberFormat="1" applyFont="1" applyFill="1" applyAlignment="1">
      <alignment horizontal="right" vertical="center"/>
    </xf>
    <xf numFmtId="38" fontId="11" fillId="2" borderId="0" xfId="3" applyNumberFormat="1" applyFont="1" applyFill="1" applyAlignment="1">
      <alignment horizontal="right"/>
    </xf>
    <xf numFmtId="38" fontId="17" fillId="2" borderId="0" xfId="1" applyNumberFormat="1" applyFont="1" applyFill="1" applyBorder="1" applyAlignment="1">
      <alignment horizontal="right"/>
    </xf>
    <xf numFmtId="38" fontId="11" fillId="2" borderId="1" xfId="3" applyNumberFormat="1" applyFont="1" applyFill="1" applyBorder="1" applyAlignment="1">
      <alignment horizontal="right"/>
    </xf>
    <xf numFmtId="38" fontId="17" fillId="2" borderId="1" xfId="1" applyNumberFormat="1" applyFont="1" applyFill="1" applyBorder="1" applyAlignment="1">
      <alignment horizontal="right"/>
    </xf>
    <xf numFmtId="0" fontId="15" fillId="2" borderId="0" xfId="0" applyFont="1" applyFill="1" applyAlignment="1">
      <alignment vertical="center"/>
    </xf>
    <xf numFmtId="43" fontId="17" fillId="2" borderId="0" xfId="1" applyNumberFormat="1" applyFont="1" applyFill="1" applyBorder="1" applyAlignment="1">
      <alignment horizontal="right"/>
    </xf>
    <xf numFmtId="43" fontId="10" fillId="2" borderId="0" xfId="3" applyNumberFormat="1" applyFont="1" applyFill="1" applyAlignment="1">
      <alignment horizontal="right"/>
    </xf>
    <xf numFmtId="43" fontId="11" fillId="2" borderId="0" xfId="3" applyNumberFormat="1" applyFont="1" applyFill="1" applyAlignment="1">
      <alignment horizontal="right"/>
    </xf>
    <xf numFmtId="43" fontId="11" fillId="2" borderId="1" xfId="3" applyNumberFormat="1" applyFont="1" applyFill="1" applyBorder="1" applyAlignment="1">
      <alignment horizontal="right"/>
    </xf>
    <xf numFmtId="43" fontId="17" fillId="2" borderId="1" xfId="1" applyNumberFormat="1" applyFont="1" applyFill="1" applyBorder="1" applyAlignment="1">
      <alignment horizontal="right"/>
    </xf>
    <xf numFmtId="0" fontId="12" fillId="2" borderId="3" xfId="3" applyNumberFormat="1" applyFont="1" applyFill="1" applyBorder="1" applyAlignment="1">
      <alignment horizontal="center" vertical="center"/>
    </xf>
    <xf numFmtId="0" fontId="12" fillId="2" borderId="2" xfId="3" applyNumberFormat="1" applyFont="1" applyFill="1" applyBorder="1" applyAlignment="1">
      <alignment horizontal="center" vertical="center"/>
    </xf>
    <xf numFmtId="0" fontId="12" fillId="2" borderId="0" xfId="3" applyNumberFormat="1" applyFont="1" applyFill="1" applyAlignment="1">
      <alignment horizontal="center" vertical="center"/>
    </xf>
    <xf numFmtId="0" fontId="8" fillId="2" borderId="2" xfId="3" applyNumberFormat="1" applyFont="1" applyFill="1" applyBorder="1" applyAlignment="1">
      <alignment horizontal="left" vertical="center" wrapText="1"/>
    </xf>
    <xf numFmtId="0" fontId="20" fillId="2" borderId="2" xfId="3" applyNumberFormat="1" applyFont="1" applyFill="1" applyBorder="1" applyAlignment="1">
      <alignment horizontal="right" vertical="center" wrapText="1"/>
    </xf>
    <xf numFmtId="0" fontId="13" fillId="2" borderId="0" xfId="3" applyNumberFormat="1" applyFont="1" applyFill="1" applyAlignment="1">
      <alignment horizontal="center" vertical="center"/>
    </xf>
    <xf numFmtId="0" fontId="13" fillId="2" borderId="2" xfId="3" applyNumberFormat="1" applyFont="1" applyFill="1" applyBorder="1" applyAlignment="1">
      <alignment horizontal="right" vertical="center"/>
    </xf>
    <xf numFmtId="0" fontId="13" fillId="2" borderId="0" xfId="3" applyNumberFormat="1" applyFont="1" applyFill="1" applyAlignment="1">
      <alignment horizontal="right" vertical="center"/>
    </xf>
    <xf numFmtId="0" fontId="13" fillId="2" borderId="3" xfId="3" applyNumberFormat="1" applyFont="1" applyFill="1" applyBorder="1" applyAlignment="1">
      <alignment horizontal="center" vertical="center"/>
    </xf>
  </cellXfs>
  <cellStyles count="7">
    <cellStyle name="1" xfId="5" xr:uid="{00000000-0005-0000-0000-000000000000}"/>
    <cellStyle name="Comma 2" xfId="1" xr:uid="{00000000-0005-0000-0000-000002000000}"/>
    <cellStyle name="Normal" xfId="0" builtinId="0"/>
    <cellStyle name="Normal 2_agri planning 2009 year book(final)" xfId="2" xr:uid="{00000000-0005-0000-0000-000005000000}"/>
    <cellStyle name="Normal 3_agri planning 2009 year book(final)" xfId="4" xr:uid="{00000000-0005-0000-0000-000006000000}"/>
    <cellStyle name="Normal 4_agri planning 2009 year book(final)" xfId="3" xr:uid="{00000000-0005-0000-0000-000007000000}"/>
    <cellStyle name="Normal_agri planning 2009 year book(final)" xfId="6" xr:uid="{0420BEC2-B9C4-4445-9203-73D13DA34D5D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8\st4\Dissemination\Publications\Statistical%20Year%20Book\YEARBOOK%202021\YEARBOOK%202021_%20LATEST\FINAL%20TABLES\9.%20FISHERIES%20AND%20AGRICULTURE__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3\RECEIVED\9.%20FISHERIES%20AND%20AGRICULTURE%20-%20Agri.xlsx" TargetMode="External"/><Relationship Id="rId1" Type="http://schemas.openxmlformats.org/officeDocument/2006/relationships/externalLinkPath" Target="/Dissemination/Publications/Statistical%20Year%20Book/YEARBOOK%202023/RECEIVED/9.%20FISHERIES%20AND%20AGRICULTURE%20-%20Ag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9.14"/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0">
          <cell r="Y40" t="str">
            <v>India</v>
          </cell>
          <cell r="Z40">
            <v>124404067.35999998</v>
          </cell>
        </row>
        <row r="41">
          <cell r="Y41" t="str">
            <v>U.A.E</v>
          </cell>
          <cell r="Z41">
            <v>89466498.949999988</v>
          </cell>
        </row>
        <row r="42">
          <cell r="Y42" t="str">
            <v>Srilanka</v>
          </cell>
          <cell r="Z42">
            <v>84504694.510000005</v>
          </cell>
        </row>
        <row r="43">
          <cell r="Y43" t="str">
            <v>Thailand</v>
          </cell>
          <cell r="Z43">
            <v>76314727.409999982</v>
          </cell>
        </row>
        <row r="44">
          <cell r="Y44" t="str">
            <v>Other Countries</v>
          </cell>
          <cell r="Z44">
            <v>42838737.359999999</v>
          </cell>
        </row>
        <row r="45">
          <cell r="Y45" t="str">
            <v>Australia</v>
          </cell>
          <cell r="Z45">
            <v>19911562.610000003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.15"/>
      <sheetName val="9.16"/>
      <sheetName val="9.17"/>
      <sheetName val="9.18"/>
      <sheetName val="9.19"/>
      <sheetName val="9.20"/>
    </sheetNames>
    <sheetDataSet>
      <sheetData sheetId="0"/>
      <sheetData sheetId="1"/>
      <sheetData sheetId="2"/>
      <sheetData sheetId="3">
        <row r="6">
          <cell r="K6">
            <v>2017</v>
          </cell>
          <cell r="L6">
            <v>2018</v>
          </cell>
          <cell r="M6">
            <v>2019</v>
          </cell>
        </row>
        <row r="8">
          <cell r="A8" t="str">
            <v>January</v>
          </cell>
          <cell r="K8">
            <v>8451.4959999999992</v>
          </cell>
          <cell r="L8">
            <v>3998.6889999999999</v>
          </cell>
          <cell r="M8">
            <v>2618.08</v>
          </cell>
        </row>
        <row r="9">
          <cell r="A9" t="str">
            <v>February</v>
          </cell>
          <cell r="K9">
            <v>8453.8235000000004</v>
          </cell>
          <cell r="L9">
            <v>5869.7790000000005</v>
          </cell>
          <cell r="M9">
            <v>2885.299</v>
          </cell>
        </row>
        <row r="10">
          <cell r="A10" t="str">
            <v>March</v>
          </cell>
          <cell r="K10">
            <v>7567.4920000000002</v>
          </cell>
          <cell r="L10">
            <v>5047.7060000000001</v>
          </cell>
          <cell r="M10">
            <v>2069.3150000000001</v>
          </cell>
        </row>
        <row r="11">
          <cell r="A11" t="str">
            <v>April</v>
          </cell>
          <cell r="K11">
            <v>7684.7669999999998</v>
          </cell>
          <cell r="L11">
            <v>6195.2209999999995</v>
          </cell>
          <cell r="M11">
            <v>235.05</v>
          </cell>
        </row>
        <row r="12">
          <cell r="A12" t="str">
            <v>May</v>
          </cell>
          <cell r="K12">
            <v>4452.6779999999999</v>
          </cell>
          <cell r="L12">
            <v>5648.06</v>
          </cell>
          <cell r="M12">
            <v>5236</v>
          </cell>
        </row>
        <row r="13">
          <cell r="A13" t="str">
            <v>June</v>
          </cell>
          <cell r="K13">
            <v>8162.3275000000003</v>
          </cell>
          <cell r="L13">
            <v>4394.7749999999996</v>
          </cell>
          <cell r="M13">
            <v>3785.75</v>
          </cell>
        </row>
        <row r="14">
          <cell r="A14" t="str">
            <v>July</v>
          </cell>
          <cell r="K14">
            <v>3507.6289999999999</v>
          </cell>
          <cell r="L14">
            <v>1475.635</v>
          </cell>
          <cell r="M14">
            <v>3096.165</v>
          </cell>
        </row>
        <row r="15">
          <cell r="A15" t="str">
            <v>August</v>
          </cell>
          <cell r="K15">
            <v>4520.3270000000002</v>
          </cell>
          <cell r="L15">
            <v>2343.393</v>
          </cell>
          <cell r="M15">
            <v>1528.56</v>
          </cell>
        </row>
        <row r="16">
          <cell r="A16" t="str">
            <v>September</v>
          </cell>
          <cell r="K16">
            <v>247.465</v>
          </cell>
          <cell r="L16">
            <v>736.4</v>
          </cell>
          <cell r="M16">
            <v>2215.1</v>
          </cell>
        </row>
        <row r="17">
          <cell r="A17" t="str">
            <v>October</v>
          </cell>
          <cell r="K17">
            <v>3873.07</v>
          </cell>
          <cell r="L17">
            <v>3165.0529999999999</v>
          </cell>
          <cell r="M17">
            <v>1908.519</v>
          </cell>
        </row>
        <row r="18">
          <cell r="A18" t="str">
            <v>November</v>
          </cell>
          <cell r="K18">
            <v>2455.6325000000002</v>
          </cell>
          <cell r="L18">
            <v>2708.9949999999999</v>
          </cell>
          <cell r="M18">
            <v>2635.1750000000002</v>
          </cell>
        </row>
        <row r="19">
          <cell r="A19" t="str">
            <v>December</v>
          </cell>
          <cell r="K19">
            <v>4703.3100000000004</v>
          </cell>
          <cell r="L19">
            <v>1875.7750000000001</v>
          </cell>
          <cell r="M19">
            <v>1911.08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13C6-E5BC-48C6-8947-6679A4713913}">
  <dimension ref="A1:W27"/>
  <sheetViews>
    <sheetView tabSelected="1" zoomScaleNormal="100" workbookViewId="0">
      <selection activeCell="A45" sqref="A45:XFD252"/>
    </sheetView>
  </sheetViews>
  <sheetFormatPr defaultColWidth="10" defaultRowHeight="12"/>
  <cols>
    <col min="1" max="1" width="16.28515625" style="1" customWidth="1"/>
    <col min="2" max="2" width="13.7109375" style="1" customWidth="1"/>
    <col min="3" max="3" width="9.7109375" style="1" customWidth="1"/>
    <col min="4" max="5" width="9.7109375" style="1" hidden="1" customWidth="1"/>
    <col min="6" max="6" width="9.7109375" style="1" customWidth="1"/>
    <col min="7" max="9" width="9.7109375" style="1" hidden="1" customWidth="1"/>
    <col min="10" max="10" width="11.140625" style="1" customWidth="1"/>
    <col min="11" max="11" width="11.7109375" style="1" customWidth="1"/>
    <col min="12" max="12" width="9.7109375" style="1" customWidth="1"/>
    <col min="13" max="13" width="9.7109375" style="1" hidden="1" customWidth="1"/>
    <col min="14" max="15" width="9.7109375" style="1" customWidth="1"/>
    <col min="16" max="16" width="9.7109375" style="1" hidden="1" customWidth="1"/>
    <col min="17" max="18" width="9.7109375" style="1" customWidth="1"/>
    <col min="19" max="19" width="9.7109375" style="1" hidden="1" customWidth="1"/>
    <col min="20" max="22" width="9.7109375" style="1" customWidth="1"/>
    <col min="23" max="23" width="11.7109375" style="1" customWidth="1"/>
    <col min="24" max="24" width="3.140625" style="1" customWidth="1"/>
    <col min="25" max="16384" width="10" style="1"/>
  </cols>
  <sheetData>
    <row r="1" spans="1:23" ht="21">
      <c r="A1" s="39" t="s">
        <v>49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2" spans="1:23" ht="15">
      <c r="A2" s="42" t="s">
        <v>50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</row>
    <row r="3" spans="1:23" ht="21">
      <c r="A3" s="42" t="s">
        <v>51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</row>
    <row r="4" spans="1:23">
      <c r="A4" s="2"/>
      <c r="B4" s="2"/>
      <c r="C4" s="2"/>
      <c r="D4" s="2"/>
      <c r="E4" s="2"/>
      <c r="F4" s="2"/>
      <c r="G4" s="3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21" customHeight="1">
      <c r="A5" s="5"/>
      <c r="B5" s="43" t="s">
        <v>38</v>
      </c>
      <c r="C5" s="45" t="s">
        <v>52</v>
      </c>
      <c r="D5" s="45"/>
      <c r="E5" s="45"/>
      <c r="F5" s="45"/>
      <c r="G5" s="45"/>
      <c r="H5" s="6"/>
      <c r="I5" s="7"/>
      <c r="J5" s="7"/>
      <c r="K5" s="7"/>
      <c r="L5" s="7"/>
      <c r="M5" s="7"/>
      <c r="N5" s="7"/>
      <c r="O5" s="7"/>
      <c r="P5" s="37" t="s">
        <v>53</v>
      </c>
      <c r="Q5" s="37"/>
      <c r="R5" s="37"/>
      <c r="S5" s="37"/>
      <c r="T5" s="37"/>
      <c r="U5" s="37"/>
      <c r="V5" s="37"/>
      <c r="W5" s="38" t="s">
        <v>54</v>
      </c>
    </row>
    <row r="6" spans="1:23" s="10" customFormat="1" ht="27" customHeight="1">
      <c r="A6" s="8" t="s">
        <v>41</v>
      </c>
      <c r="B6" s="44"/>
      <c r="C6" s="9" t="s">
        <v>1</v>
      </c>
      <c r="D6" s="9" t="s">
        <v>3</v>
      </c>
      <c r="E6" s="9" t="s">
        <v>5</v>
      </c>
      <c r="F6" s="9" t="s">
        <v>7</v>
      </c>
      <c r="G6" s="9" t="s">
        <v>9</v>
      </c>
      <c r="H6" s="9" t="s">
        <v>11</v>
      </c>
      <c r="I6" s="9" t="s">
        <v>13</v>
      </c>
      <c r="J6" s="9" t="s">
        <v>15</v>
      </c>
      <c r="K6" s="9" t="s">
        <v>16</v>
      </c>
      <c r="L6" s="9" t="s">
        <v>18</v>
      </c>
      <c r="M6" s="9" t="s">
        <v>20</v>
      </c>
      <c r="N6" s="9" t="s">
        <v>22</v>
      </c>
      <c r="O6" s="9" t="s">
        <v>24</v>
      </c>
      <c r="P6" s="9" t="s">
        <v>26</v>
      </c>
      <c r="Q6" s="9" t="s">
        <v>28</v>
      </c>
      <c r="R6" s="9" t="s">
        <v>30</v>
      </c>
      <c r="S6" s="9" t="s">
        <v>32</v>
      </c>
      <c r="T6" s="9" t="s">
        <v>34</v>
      </c>
      <c r="U6" s="9" t="s">
        <v>36</v>
      </c>
      <c r="V6" s="9" t="s">
        <v>37</v>
      </c>
      <c r="W6" s="39"/>
    </row>
    <row r="7" spans="1:23" ht="12" customHeight="1">
      <c r="B7" s="44"/>
      <c r="C7" s="11" t="s">
        <v>0</v>
      </c>
      <c r="D7" s="11" t="s">
        <v>2</v>
      </c>
      <c r="E7" s="11" t="s">
        <v>4</v>
      </c>
      <c r="F7" s="11" t="s">
        <v>6</v>
      </c>
      <c r="G7" s="11" t="s">
        <v>8</v>
      </c>
      <c r="H7" s="11" t="s">
        <v>10</v>
      </c>
      <c r="I7" s="11" t="s">
        <v>12</v>
      </c>
      <c r="J7" s="11" t="s">
        <v>14</v>
      </c>
      <c r="K7" s="11" t="s">
        <v>39</v>
      </c>
      <c r="L7" s="11" t="s">
        <v>17</v>
      </c>
      <c r="M7" s="11" t="s">
        <v>19</v>
      </c>
      <c r="N7" s="11" t="s">
        <v>21</v>
      </c>
      <c r="O7" s="11" t="s">
        <v>23</v>
      </c>
      <c r="P7" s="11" t="s">
        <v>25</v>
      </c>
      <c r="Q7" s="11" t="s">
        <v>27</v>
      </c>
      <c r="R7" s="11" t="s">
        <v>29</v>
      </c>
      <c r="S7" s="11" t="s">
        <v>31</v>
      </c>
      <c r="T7" s="11" t="s">
        <v>33</v>
      </c>
      <c r="U7" s="11" t="s">
        <v>35</v>
      </c>
      <c r="V7" s="11" t="s">
        <v>5</v>
      </c>
      <c r="W7" s="39"/>
    </row>
    <row r="8" spans="1:23" s="15" customFormat="1" ht="21">
      <c r="A8" s="12" t="s">
        <v>38</v>
      </c>
      <c r="B8" s="13">
        <f>SUM(C8:V8)</f>
        <v>961636.99</v>
      </c>
      <c r="C8" s="13">
        <f>SUM(C9:C24)</f>
        <v>2654</v>
      </c>
      <c r="D8" s="13">
        <f>SUM(D9:D24)</f>
        <v>0</v>
      </c>
      <c r="E8" s="13">
        <f>SUM(E9:E24)</f>
        <v>0</v>
      </c>
      <c r="F8" s="13">
        <f t="shared" ref="F8:V8" si="0">SUM(F9:F24)</f>
        <v>4773.3999999999996</v>
      </c>
      <c r="G8" s="13">
        <f t="shared" si="0"/>
        <v>0</v>
      </c>
      <c r="H8" s="13">
        <f t="shared" si="0"/>
        <v>0</v>
      </c>
      <c r="I8" s="13">
        <f t="shared" si="0"/>
        <v>0</v>
      </c>
      <c r="J8" s="13">
        <f t="shared" si="0"/>
        <v>325069.7</v>
      </c>
      <c r="K8" s="13">
        <f t="shared" si="0"/>
        <v>292660.63</v>
      </c>
      <c r="L8" s="13">
        <f t="shared" si="0"/>
        <v>1350</v>
      </c>
      <c r="M8" s="13">
        <f t="shared" si="0"/>
        <v>0</v>
      </c>
      <c r="N8" s="13">
        <f t="shared" si="0"/>
        <v>6750</v>
      </c>
      <c r="O8" s="13">
        <f t="shared" si="0"/>
        <v>3085</v>
      </c>
      <c r="P8" s="13">
        <f t="shared" si="0"/>
        <v>0</v>
      </c>
      <c r="Q8" s="13">
        <f t="shared" si="0"/>
        <v>658.13</v>
      </c>
      <c r="R8" s="13">
        <f t="shared" si="0"/>
        <v>122175.38</v>
      </c>
      <c r="S8" s="13">
        <f t="shared" si="0"/>
        <v>0</v>
      </c>
      <c r="T8" s="13">
        <f t="shared" si="0"/>
        <v>67344.350000000006</v>
      </c>
      <c r="U8" s="13">
        <f t="shared" si="0"/>
        <v>61372.6</v>
      </c>
      <c r="V8" s="13">
        <f t="shared" si="0"/>
        <v>73743.8</v>
      </c>
      <c r="W8" s="14" t="s">
        <v>40</v>
      </c>
    </row>
    <row r="9" spans="1:23" s="15" customFormat="1" ht="21">
      <c r="A9" s="16" t="s">
        <v>55</v>
      </c>
      <c r="B9" s="17">
        <f>SUM(C9:V9)</f>
        <v>139242.5</v>
      </c>
      <c r="C9" s="15">
        <v>0</v>
      </c>
      <c r="D9" s="27">
        <v>0</v>
      </c>
      <c r="E9" s="27">
        <v>0</v>
      </c>
      <c r="F9" s="27">
        <v>0</v>
      </c>
      <c r="G9" s="28">
        <v>0</v>
      </c>
      <c r="H9" s="28">
        <v>0</v>
      </c>
      <c r="I9" s="28">
        <v>0</v>
      </c>
      <c r="J9" s="32">
        <v>19000</v>
      </c>
      <c r="K9" s="33">
        <v>115300</v>
      </c>
      <c r="L9" s="32">
        <v>200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32">
        <v>2442.5</v>
      </c>
      <c r="S9" s="28">
        <v>0</v>
      </c>
      <c r="T9" s="28">
        <v>0</v>
      </c>
      <c r="U9" s="28">
        <v>300</v>
      </c>
      <c r="V9" s="28">
        <v>2000</v>
      </c>
      <c r="W9" s="18" t="s">
        <v>47</v>
      </c>
    </row>
    <row r="10" spans="1:23" s="15" customFormat="1" ht="21">
      <c r="A10" s="19" t="s">
        <v>56</v>
      </c>
      <c r="B10" s="17">
        <f>SUM(C10:V10)</f>
        <v>286920</v>
      </c>
      <c r="C10" s="34">
        <v>120</v>
      </c>
      <c r="D10" s="27">
        <v>0</v>
      </c>
      <c r="E10" s="27">
        <v>0</v>
      </c>
      <c r="F10" s="34">
        <v>3600</v>
      </c>
      <c r="G10" s="28">
        <v>0</v>
      </c>
      <c r="H10" s="28">
        <v>0</v>
      </c>
      <c r="I10" s="28">
        <v>0</v>
      </c>
      <c r="J10" s="32">
        <v>66000</v>
      </c>
      <c r="K10" s="32">
        <v>0</v>
      </c>
      <c r="L10" s="28">
        <v>0</v>
      </c>
      <c r="M10" s="28">
        <v>0</v>
      </c>
      <c r="N10" s="32">
        <v>4500</v>
      </c>
      <c r="O10" s="28">
        <v>0</v>
      </c>
      <c r="P10" s="28">
        <v>0</v>
      </c>
      <c r="Q10" s="28">
        <v>0</v>
      </c>
      <c r="R10" s="32">
        <v>56700</v>
      </c>
      <c r="S10" s="28">
        <v>0</v>
      </c>
      <c r="T10" s="32">
        <v>54000</v>
      </c>
      <c r="U10" s="32">
        <v>39000</v>
      </c>
      <c r="V10" s="32">
        <v>63000</v>
      </c>
      <c r="W10" s="18" t="s">
        <v>57</v>
      </c>
    </row>
    <row r="11" spans="1:23" s="15" customFormat="1" ht="21">
      <c r="A11" s="16" t="s">
        <v>58</v>
      </c>
      <c r="B11" s="17">
        <f t="shared" ref="B11:B24" si="1">SUM(C11:V11)</f>
        <v>67766</v>
      </c>
      <c r="C11" s="27">
        <v>0</v>
      </c>
      <c r="D11" s="27">
        <v>0</v>
      </c>
      <c r="E11" s="27">
        <v>0</v>
      </c>
      <c r="F11" s="27">
        <v>0</v>
      </c>
      <c r="G11" s="28">
        <v>0</v>
      </c>
      <c r="H11" s="28">
        <v>0</v>
      </c>
      <c r="I11" s="28">
        <v>0</v>
      </c>
      <c r="J11" s="32">
        <v>12820</v>
      </c>
      <c r="K11" s="32">
        <v>51661</v>
      </c>
      <c r="L11" s="28">
        <v>0</v>
      </c>
      <c r="M11" s="28">
        <v>0</v>
      </c>
      <c r="N11" s="28">
        <v>0</v>
      </c>
      <c r="O11" s="32">
        <v>1750</v>
      </c>
      <c r="P11" s="28">
        <v>0</v>
      </c>
      <c r="Q11" s="28">
        <v>0</v>
      </c>
      <c r="R11" s="32">
        <v>1135</v>
      </c>
      <c r="S11" s="28">
        <v>0</v>
      </c>
      <c r="T11" s="32">
        <v>400</v>
      </c>
      <c r="U11" s="28">
        <v>0</v>
      </c>
      <c r="V11" s="28">
        <v>0</v>
      </c>
      <c r="W11" s="18" t="s">
        <v>45</v>
      </c>
    </row>
    <row r="12" spans="1:23" s="15" customFormat="1" ht="21">
      <c r="A12" s="16" t="s">
        <v>59</v>
      </c>
      <c r="B12" s="17">
        <f t="shared" si="1"/>
        <v>12597.5</v>
      </c>
      <c r="C12" s="27">
        <v>0</v>
      </c>
      <c r="D12" s="27">
        <v>0</v>
      </c>
      <c r="E12" s="27">
        <v>0</v>
      </c>
      <c r="F12" s="27">
        <v>0</v>
      </c>
      <c r="G12" s="28">
        <v>0</v>
      </c>
      <c r="H12" s="28">
        <v>0</v>
      </c>
      <c r="I12" s="28">
        <v>0</v>
      </c>
      <c r="J12" s="32">
        <v>5300</v>
      </c>
      <c r="K12" s="32">
        <v>4550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</v>
      </c>
      <c r="R12" s="32">
        <v>2447.5</v>
      </c>
      <c r="S12" s="28">
        <v>0</v>
      </c>
      <c r="T12" s="28">
        <v>0</v>
      </c>
      <c r="U12" s="28">
        <v>0</v>
      </c>
      <c r="V12" s="32">
        <v>300</v>
      </c>
      <c r="W12" s="20" t="s">
        <v>46</v>
      </c>
    </row>
    <row r="13" spans="1:23" s="15" customFormat="1" ht="21">
      <c r="A13" s="19" t="s">
        <v>60</v>
      </c>
      <c r="B13" s="17">
        <f t="shared" si="1"/>
        <v>27460</v>
      </c>
      <c r="C13" s="27">
        <v>0</v>
      </c>
      <c r="D13" s="27">
        <v>0</v>
      </c>
      <c r="E13" s="27">
        <v>0</v>
      </c>
      <c r="F13" s="27">
        <v>0</v>
      </c>
      <c r="G13" s="28">
        <v>0</v>
      </c>
      <c r="H13" s="28">
        <v>0</v>
      </c>
      <c r="I13" s="28">
        <v>0</v>
      </c>
      <c r="J13" s="32">
        <v>710</v>
      </c>
      <c r="K13" s="32">
        <v>25600</v>
      </c>
      <c r="L13" s="32">
        <v>125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32">
        <v>675</v>
      </c>
      <c r="S13" s="28">
        <v>0</v>
      </c>
      <c r="T13" s="32">
        <v>350</v>
      </c>
      <c r="U13" s="28">
        <v>0</v>
      </c>
      <c r="V13" s="28">
        <v>0</v>
      </c>
      <c r="W13" s="18" t="s">
        <v>43</v>
      </c>
    </row>
    <row r="14" spans="1:23" s="15" customFormat="1" ht="21">
      <c r="A14" s="16" t="s">
        <v>61</v>
      </c>
      <c r="B14" s="17">
        <f t="shared" si="1"/>
        <v>217005</v>
      </c>
      <c r="C14" s="34">
        <v>2100</v>
      </c>
      <c r="D14" s="27">
        <v>0</v>
      </c>
      <c r="E14" s="27">
        <v>0</v>
      </c>
      <c r="F14" s="34">
        <v>975</v>
      </c>
      <c r="G14" s="28">
        <v>0</v>
      </c>
      <c r="H14" s="28">
        <v>0</v>
      </c>
      <c r="I14" s="28">
        <v>0</v>
      </c>
      <c r="J14" s="32">
        <v>176370</v>
      </c>
      <c r="K14" s="32">
        <v>945</v>
      </c>
      <c r="L14" s="28">
        <v>0</v>
      </c>
      <c r="M14" s="28">
        <v>0</v>
      </c>
      <c r="N14" s="32">
        <v>1350</v>
      </c>
      <c r="O14" s="32">
        <v>150</v>
      </c>
      <c r="P14" s="28">
        <v>0</v>
      </c>
      <c r="Q14" s="28">
        <v>0</v>
      </c>
      <c r="R14" s="32">
        <v>6315</v>
      </c>
      <c r="S14" s="28">
        <v>0</v>
      </c>
      <c r="T14" s="32">
        <v>2550</v>
      </c>
      <c r="U14" s="32">
        <v>21000</v>
      </c>
      <c r="V14" s="32">
        <v>5250</v>
      </c>
      <c r="W14" s="18" t="s">
        <v>42</v>
      </c>
    </row>
    <row r="15" spans="1:23" s="15" customFormat="1" ht="21">
      <c r="A15" s="16" t="s">
        <v>62</v>
      </c>
      <c r="B15" s="17">
        <f t="shared" si="1"/>
        <v>4025</v>
      </c>
      <c r="C15" s="27">
        <v>0</v>
      </c>
      <c r="D15" s="27">
        <v>0</v>
      </c>
      <c r="E15" s="27">
        <v>0</v>
      </c>
      <c r="F15" s="27">
        <v>0</v>
      </c>
      <c r="G15" s="28">
        <v>0</v>
      </c>
      <c r="H15" s="28">
        <v>0</v>
      </c>
      <c r="I15" s="28">
        <v>0</v>
      </c>
      <c r="J15" s="32">
        <v>930</v>
      </c>
      <c r="K15" s="32">
        <v>1200</v>
      </c>
      <c r="L15" s="32">
        <v>525</v>
      </c>
      <c r="M15" s="28">
        <v>0</v>
      </c>
      <c r="N15" s="28">
        <v>0</v>
      </c>
      <c r="O15" s="32">
        <v>45</v>
      </c>
      <c r="P15" s="28">
        <v>0</v>
      </c>
      <c r="Q15" s="28">
        <v>0</v>
      </c>
      <c r="R15" s="32">
        <v>1325</v>
      </c>
      <c r="S15" s="28">
        <v>0</v>
      </c>
      <c r="T15" s="28">
        <v>0</v>
      </c>
      <c r="U15" s="28">
        <v>0</v>
      </c>
      <c r="V15" s="28">
        <v>0</v>
      </c>
      <c r="W15" s="20" t="s">
        <v>63</v>
      </c>
    </row>
    <row r="16" spans="1:23" s="15" customFormat="1" ht="21">
      <c r="A16" s="19" t="s">
        <v>64</v>
      </c>
      <c r="B16" s="17">
        <f t="shared" si="1"/>
        <v>74655</v>
      </c>
      <c r="C16" s="34">
        <v>265</v>
      </c>
      <c r="D16" s="27">
        <v>0</v>
      </c>
      <c r="E16" s="27">
        <v>0</v>
      </c>
      <c r="F16" s="27">
        <v>0</v>
      </c>
      <c r="G16" s="28">
        <v>0</v>
      </c>
      <c r="H16" s="28">
        <v>0</v>
      </c>
      <c r="I16" s="28">
        <v>0</v>
      </c>
      <c r="J16" s="32">
        <v>11500</v>
      </c>
      <c r="K16" s="32">
        <v>4260</v>
      </c>
      <c r="L16" s="28">
        <v>0</v>
      </c>
      <c r="M16" s="28">
        <v>0</v>
      </c>
      <c r="N16" s="32">
        <v>900</v>
      </c>
      <c r="O16" s="32">
        <v>140</v>
      </c>
      <c r="P16" s="28">
        <v>0</v>
      </c>
      <c r="Q16" s="28">
        <v>0</v>
      </c>
      <c r="R16" s="32">
        <v>46650</v>
      </c>
      <c r="S16" s="28">
        <v>0</v>
      </c>
      <c r="T16" s="32">
        <v>8440</v>
      </c>
      <c r="U16" s="32">
        <v>300</v>
      </c>
      <c r="V16" s="32">
        <v>2200</v>
      </c>
      <c r="W16" s="18" t="s">
        <v>65</v>
      </c>
    </row>
    <row r="17" spans="1:23" s="15" customFormat="1" ht="21">
      <c r="A17" s="19" t="s">
        <v>66</v>
      </c>
      <c r="B17" s="17">
        <f t="shared" si="1"/>
        <v>3733.13</v>
      </c>
      <c r="C17" s="27">
        <v>0</v>
      </c>
      <c r="D17" s="27">
        <v>0</v>
      </c>
      <c r="E17" s="27">
        <v>0</v>
      </c>
      <c r="F17" s="27">
        <v>0</v>
      </c>
      <c r="G17" s="28">
        <v>0</v>
      </c>
      <c r="H17" s="28">
        <v>0</v>
      </c>
      <c r="I17" s="28">
        <v>0</v>
      </c>
      <c r="J17" s="32">
        <v>1055</v>
      </c>
      <c r="K17" s="32">
        <v>170</v>
      </c>
      <c r="L17" s="28">
        <v>0</v>
      </c>
      <c r="M17" s="28">
        <v>0</v>
      </c>
      <c r="N17" s="28">
        <v>0</v>
      </c>
      <c r="O17" s="32">
        <v>1000</v>
      </c>
      <c r="P17" s="28">
        <v>0</v>
      </c>
      <c r="Q17" s="32">
        <v>658.13</v>
      </c>
      <c r="R17" s="32">
        <v>850</v>
      </c>
      <c r="S17" s="28">
        <v>0</v>
      </c>
      <c r="T17" s="28">
        <v>0</v>
      </c>
      <c r="U17" s="28">
        <v>0</v>
      </c>
      <c r="V17" s="28">
        <v>0</v>
      </c>
      <c r="W17" s="18" t="s">
        <v>67</v>
      </c>
    </row>
    <row r="18" spans="1:23" s="15" customFormat="1" ht="21">
      <c r="A18" s="19" t="s">
        <v>68</v>
      </c>
      <c r="B18" s="17">
        <f t="shared" si="1"/>
        <v>7322</v>
      </c>
      <c r="C18" s="27">
        <v>0</v>
      </c>
      <c r="D18" s="27">
        <v>0</v>
      </c>
      <c r="E18" s="27">
        <v>0</v>
      </c>
      <c r="F18" s="27">
        <v>0</v>
      </c>
      <c r="G18" s="28">
        <v>0</v>
      </c>
      <c r="H18" s="28">
        <v>0</v>
      </c>
      <c r="I18" s="28">
        <v>0</v>
      </c>
      <c r="J18" s="32">
        <v>1020</v>
      </c>
      <c r="K18" s="32">
        <v>4650</v>
      </c>
      <c r="L18" s="32">
        <v>215</v>
      </c>
      <c r="M18" s="28">
        <v>0</v>
      </c>
      <c r="N18" s="28">
        <v>0</v>
      </c>
      <c r="O18" s="28">
        <v>0</v>
      </c>
      <c r="P18" s="28">
        <v>0</v>
      </c>
      <c r="Q18" s="28">
        <v>0</v>
      </c>
      <c r="R18" s="32">
        <v>1437</v>
      </c>
      <c r="S18" s="28">
        <v>0</v>
      </c>
      <c r="T18" s="28">
        <v>0</v>
      </c>
      <c r="U18" s="28">
        <v>0</v>
      </c>
      <c r="V18" s="28">
        <v>0</v>
      </c>
      <c r="W18" s="18" t="s">
        <v>69</v>
      </c>
    </row>
    <row r="19" spans="1:23" s="15" customFormat="1" ht="21">
      <c r="A19" s="19" t="s">
        <v>70</v>
      </c>
      <c r="B19" s="17">
        <f t="shared" si="1"/>
        <v>2265</v>
      </c>
      <c r="C19" s="27">
        <v>0</v>
      </c>
      <c r="D19" s="27">
        <v>0</v>
      </c>
      <c r="E19" s="27">
        <v>0</v>
      </c>
      <c r="F19" s="27">
        <v>0</v>
      </c>
      <c r="G19" s="28">
        <v>0</v>
      </c>
      <c r="H19" s="28">
        <v>0</v>
      </c>
      <c r="I19" s="28">
        <v>0</v>
      </c>
      <c r="J19" s="28">
        <v>0</v>
      </c>
      <c r="K19" s="32">
        <v>1800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32">
        <v>465</v>
      </c>
      <c r="S19" s="28">
        <v>0</v>
      </c>
      <c r="T19" s="28">
        <v>0</v>
      </c>
      <c r="U19" s="28">
        <v>0</v>
      </c>
      <c r="V19" s="28">
        <v>0</v>
      </c>
      <c r="W19" s="18" t="s">
        <v>71</v>
      </c>
    </row>
    <row r="20" spans="1:23" s="15" customFormat="1" ht="21">
      <c r="A20" s="19" t="s">
        <v>72</v>
      </c>
      <c r="B20" s="17">
        <f t="shared" si="1"/>
        <v>14830</v>
      </c>
      <c r="C20" s="27">
        <v>0</v>
      </c>
      <c r="D20" s="27">
        <v>0</v>
      </c>
      <c r="E20" s="27">
        <v>0</v>
      </c>
      <c r="F20" s="27">
        <v>0</v>
      </c>
      <c r="G20" s="28">
        <v>0</v>
      </c>
      <c r="H20" s="28">
        <v>0</v>
      </c>
      <c r="I20" s="28">
        <v>0</v>
      </c>
      <c r="J20" s="32">
        <v>4080</v>
      </c>
      <c r="K20" s="32">
        <v>10750</v>
      </c>
      <c r="L20" s="28">
        <v>0</v>
      </c>
      <c r="M20" s="28">
        <v>0</v>
      </c>
      <c r="N20" s="28"/>
      <c r="O20" s="28">
        <v>0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18" t="s">
        <v>73</v>
      </c>
    </row>
    <row r="21" spans="1:23" s="15" customFormat="1" ht="21">
      <c r="A21" s="16" t="s">
        <v>74</v>
      </c>
      <c r="B21" s="17">
        <f t="shared" si="1"/>
        <v>1058.4000000000001</v>
      </c>
      <c r="C21" s="27">
        <v>0</v>
      </c>
      <c r="D21" s="27">
        <v>0</v>
      </c>
      <c r="E21" s="27">
        <v>0</v>
      </c>
      <c r="F21" s="27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32">
        <v>21.6</v>
      </c>
      <c r="S21" s="28">
        <v>0</v>
      </c>
      <c r="T21" s="28">
        <v>0</v>
      </c>
      <c r="U21" s="32">
        <v>648</v>
      </c>
      <c r="V21" s="32">
        <v>388.8</v>
      </c>
      <c r="W21" s="18" t="s">
        <v>44</v>
      </c>
    </row>
    <row r="22" spans="1:23" s="15" customFormat="1" ht="21">
      <c r="A22" s="16" t="s">
        <v>75</v>
      </c>
      <c r="B22" s="17">
        <f t="shared" si="1"/>
        <v>10570</v>
      </c>
      <c r="C22" s="27">
        <v>0</v>
      </c>
      <c r="D22" s="27">
        <v>0</v>
      </c>
      <c r="E22" s="27">
        <v>0</v>
      </c>
      <c r="F22" s="27">
        <v>0</v>
      </c>
      <c r="G22" s="28">
        <v>0</v>
      </c>
      <c r="H22" s="28">
        <v>0</v>
      </c>
      <c r="I22" s="28">
        <v>0</v>
      </c>
      <c r="J22" s="32">
        <v>3120</v>
      </c>
      <c r="K22" s="32">
        <v>7450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0" t="s">
        <v>76</v>
      </c>
    </row>
    <row r="23" spans="1:23" s="15" customFormat="1" ht="21">
      <c r="A23" s="16" t="s">
        <v>77</v>
      </c>
      <c r="B23" s="17">
        <f t="shared" si="1"/>
        <v>9007.7000000000007</v>
      </c>
      <c r="C23" s="27">
        <v>0</v>
      </c>
      <c r="D23" s="27">
        <v>0</v>
      </c>
      <c r="E23" s="27">
        <v>0</v>
      </c>
      <c r="F23" s="27">
        <v>0</v>
      </c>
      <c r="G23" s="28">
        <v>0</v>
      </c>
      <c r="H23" s="28">
        <v>0</v>
      </c>
      <c r="I23" s="28">
        <v>0</v>
      </c>
      <c r="J23" s="32">
        <v>202.8</v>
      </c>
      <c r="K23" s="32">
        <v>8804.9000000000015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0" t="s">
        <v>78</v>
      </c>
    </row>
    <row r="24" spans="1:23" s="15" customFormat="1" ht="21">
      <c r="A24" s="21" t="s">
        <v>79</v>
      </c>
      <c r="B24" s="17">
        <f t="shared" si="1"/>
        <v>83179.759999999995</v>
      </c>
      <c r="C24" s="35">
        <v>169</v>
      </c>
      <c r="D24" s="29">
        <v>0</v>
      </c>
      <c r="E24" s="29">
        <v>0</v>
      </c>
      <c r="F24" s="35">
        <v>198.4</v>
      </c>
      <c r="G24" s="30">
        <v>0</v>
      </c>
      <c r="H24" s="30">
        <v>0</v>
      </c>
      <c r="I24" s="30">
        <v>0</v>
      </c>
      <c r="J24" s="36">
        <v>22961.899999999998</v>
      </c>
      <c r="K24" s="36">
        <v>55519.729999999989</v>
      </c>
      <c r="L24" s="36">
        <v>285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6">
        <v>1711.7799999999997</v>
      </c>
      <c r="S24" s="30">
        <v>0</v>
      </c>
      <c r="T24" s="36">
        <v>1604.35</v>
      </c>
      <c r="U24" s="36">
        <v>124.6</v>
      </c>
      <c r="V24" s="36">
        <v>605</v>
      </c>
      <c r="W24" s="22" t="s">
        <v>80</v>
      </c>
    </row>
    <row r="25" spans="1:23" s="15" customFormat="1" ht="45" customHeight="1">
      <c r="A25" s="40" t="s">
        <v>81</v>
      </c>
      <c r="B25" s="40"/>
      <c r="C25" s="40"/>
      <c r="D25" s="40"/>
      <c r="E25" s="40"/>
      <c r="F25" s="23"/>
      <c r="G25" s="23"/>
      <c r="H25" s="23"/>
      <c r="I25" s="24"/>
      <c r="J25" s="41" t="s">
        <v>82</v>
      </c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s="15" customFormat="1" ht="13.5" customHeight="1">
      <c r="A26" s="19"/>
      <c r="B26" s="24"/>
      <c r="C26" s="24"/>
      <c r="D26" s="24"/>
      <c r="E26" s="24"/>
      <c r="F26" s="24"/>
      <c r="G26" s="24"/>
      <c r="H26" s="24"/>
      <c r="I26" s="24"/>
      <c r="J26" s="24"/>
      <c r="K26" s="2"/>
      <c r="L26" s="2"/>
      <c r="M26" s="2"/>
      <c r="N26" s="2"/>
      <c r="O26" s="2"/>
      <c r="P26" s="25"/>
      <c r="Q26" s="25"/>
      <c r="R26" s="25"/>
      <c r="S26" s="25"/>
      <c r="T26" s="25"/>
      <c r="U26" s="25"/>
      <c r="V26" s="26"/>
      <c r="W26" s="26" t="s">
        <v>83</v>
      </c>
    </row>
    <row r="27" spans="1:23" ht="12.75">
      <c r="A27" s="31" t="s">
        <v>48</v>
      </c>
    </row>
  </sheetData>
  <mergeCells count="9">
    <mergeCell ref="A25:E25"/>
    <mergeCell ref="J25:W25"/>
    <mergeCell ref="A1:W1"/>
    <mergeCell ref="A2:W2"/>
    <mergeCell ref="A3:W3"/>
    <mergeCell ref="B5:B7"/>
    <mergeCell ref="C5:G5"/>
    <mergeCell ref="P5:V5"/>
    <mergeCell ref="W5:W7"/>
  </mergeCells>
  <pageMargins left="0.7" right="0.7" top="0.75" bottom="0.75" header="0.3" footer="0.3"/>
  <pageSetup scale="5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9.19</vt:lpstr>
      <vt:lpstr>'9.19'!Print_Area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2023-07-20T07:32:25Z</cp:lastPrinted>
  <dcterms:created xsi:type="dcterms:W3CDTF">2019-09-09T05:11:24Z</dcterms:created>
  <dcterms:modified xsi:type="dcterms:W3CDTF">2023-07-20T07:32:31Z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