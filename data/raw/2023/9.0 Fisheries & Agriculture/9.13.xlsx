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C3AB3E22-B618-40A9-9085-03D493BE6FE8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13" sheetId="13" r:id="rId1"/>
  </sheets>
  <externalReferences>
    <externalReference r:id="rId2"/>
    <externalReference r:id="rId3"/>
  </externalReferences>
  <definedNames>
    <definedName name="_xlnm.Print_Area" localSheetId="0">'9.13'!$A$1:$J$61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8" i="13" l="1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H39" i="13"/>
  <c r="G39" i="13"/>
  <c r="F39" i="13"/>
  <c r="E39" i="13"/>
  <c r="D39" i="13"/>
  <c r="C39" i="13"/>
  <c r="B39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H7" i="13"/>
  <c r="G7" i="13"/>
  <c r="F7" i="13"/>
  <c r="E7" i="13"/>
  <c r="D7" i="13"/>
  <c r="C7" i="13"/>
  <c r="B7" i="13" l="1"/>
</calcChain>
</file>

<file path=xl/sharedStrings.xml><?xml version="1.0" encoding="utf-8"?>
<sst xmlns="http://schemas.openxmlformats.org/spreadsheetml/2006/main" count="124" uniqueCount="63">
  <si>
    <t>Total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</si>
  <si>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</si>
  <si>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</si>
  <si>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</si>
  <si>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</si>
  <si>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</si>
  <si>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</si>
  <si>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</si>
  <si>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</si>
  <si>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</si>
  <si>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</si>
  <si>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</si>
  <si>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</si>
  <si>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</si>
  <si>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</si>
  <si>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</si>
  <si>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</si>
  <si>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</si>
  <si>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</si>
  <si>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</si>
  <si>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ބަނބުކެޔޮ</t>
  </si>
  <si>
    <t>ބޮނޑިކޮޕީ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</si>
  <si>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</si>
  <si>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</si>
  <si>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</si>
  <si>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</si>
  <si>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</si>
  <si>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</si>
  <si>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</si>
  <si>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</si>
  <si>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</si>
  <si>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</si>
  <si>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</si>
  <si>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</si>
  <si>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</si>
  <si>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</si>
  <si>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ފެޝަންފްރުޓް</t>
  </si>
  <si>
    <t>Pumpkin (Fresh Or Chilled)</t>
  </si>
  <si>
    <t>ބަރަބޯ</t>
  </si>
  <si>
    <t>Sapodilla (Fresh)</t>
  </si>
  <si>
    <t>ސަބްދެލި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</si>
  <si>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</si>
  <si>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</si>
  <si>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</si>
  <si>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</si>
  <si>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</si>
  <si>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2022 ,cawtctwvWb egumwkirevuDnwd Wdcawh cSokumcaWa iawgEjcaWr cniaeret egukwtctwvWb unuveruk cTrOpcmia cSwaejcaWr  : 9.13 ulwvWt</t>
  </si>
  <si>
    <t>Table 9.13: IMPORTS OF FRESH AGRICULTURAL CROPS MAINLY PRODUCED IN MALDIVES, 2022</t>
  </si>
  <si>
    <t>(cniaOlik )</t>
  </si>
  <si>
    <t>(In kgs)</t>
  </si>
  <si>
    <t>Agricultural Crops</t>
  </si>
  <si>
    <t>Bread Fruit ( Fresh Or Chilled)</t>
  </si>
  <si>
    <t>Cabbage ( Fresh Or Chilled )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</si>
  <si>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</si>
  <si>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</si>
  <si>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</si>
  <si>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</si>
  <si>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</si>
  <si>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</si>
  <si>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Passion Fruit ( Fresh Or Dried )</t>
  </si>
  <si>
    <t>Sweet Potato ( Fresh , Chilled Or Frozen )</t>
  </si>
  <si>
    <t>2021 ,cawtctwvWb egumwkirevuDnwd Wdcawh cSokumcaWa iawgEjcaWr cniaeret egukwtctwvWb unuveruk cTrOpcmia cSwaejcaWr  : 9.13 ulwvWt</t>
  </si>
  <si>
    <t>Table 9.13: IMPORTS OF FRESH AGRICULTURAL CROPS MAINLY PRODUCED IN MALDIVES,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</si>
</sst>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8" formatCode="[$-409]mmmm\ d\,\ yyyy;@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11"/>
      <name val="A_Faseyha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  <font>
      <b/>
      <sz val="10"/>
      <color indexed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</borders>
  <cellStyleXfs count="9">
    <xf numFmtId="0" fontId="0" fillId="0" borderId="0"/>
    <xf numFmtId="164" fontId="1" fillId="0" borderId="0"/>
    <xf numFmtId="40" fontId="6" fillId="0" borderId="0" applyFont="0" applyFill="0" applyBorder="0" applyAlignment="0" applyProtection="0"/>
    <xf numFmtId="168" fontId="1" fillId="0" borderId="0"/>
    <xf numFmtId="168" fontId="1" fillId="0" borderId="0"/>
    <xf numFmtId="168" fontId="1" fillId="0" borderId="0"/>
    <xf numFmtId="0" fontId="2" fillId="0" borderId="0"/>
    <xf numFmtId="0" fontId="2" fillId="0" borderId="0"/>
    <xf numFmtId="0" fontId="10" fillId="0" borderId="0"/>
  </cellStyleXfs>
  <cellXfs count="33">
    <xf numFmtId="0" fontId="0" fillId="0" borderId="0" xfId="0"/>
    <xf numFmtId="38" fontId="5" fillId="2" borderId="0" xfId="2" applyNumberFormat="1" applyFont="1" applyFill="1" applyBorder="1"/>
    <xf numFmtId="1" fontId="7" fillId="2" borderId="0" xfId="0" applyNumberFormat="1" applyFont="1" applyFill="1" applyAlignment="1">
      <alignment horizontal="left" indent="1"/>
    </xf>
    <xf numFmtId="164" fontId="10" fillId="2" borderId="4" xfId="8" applyNumberFormat="1" applyFill="1" applyBorder="1"/>
    <xf numFmtId="2" fontId="15" fillId="2" borderId="3" xfId="8" applyNumberFormat="1" applyFont="1" applyFill="1" applyBorder="1" applyAlignment="1">
      <alignment horizontal="right" vertical="center"/>
    </xf>
    <xf numFmtId="0" fontId="12" fillId="2" borderId="7" xfId="8" applyFont="1" applyFill="1" applyBorder="1" applyAlignment="1">
      <alignment horizontal="right" vertical="center"/>
    </xf>
    <xf numFmtId="0" fontId="14" fillId="2" borderId="1" xfId="8" applyFont="1" applyFill="1" applyBorder="1" applyAlignment="1">
      <alignment horizontal="right" vertical="center"/>
    </xf>
    <xf numFmtId="0" fontId="13" fillId="2" borderId="2" xfId="8" applyFont="1" applyFill="1" applyBorder="1" applyAlignment="1">
      <alignment horizontal="left" vertical="center"/>
    </xf>
    <xf numFmtId="38" fontId="14" fillId="2" borderId="2" xfId="8" applyNumberFormat="1" applyFont="1" applyFill="1" applyBorder="1" applyAlignment="1">
      <alignment horizontal="right" vertical="center"/>
    </xf>
    <xf numFmtId="0" fontId="17" fillId="2" borderId="10" xfId="8" applyFont="1" applyFill="1" applyBorder="1" applyAlignment="1">
      <alignment horizontal="left" vertical="center" indent="1"/>
    </xf>
    <xf numFmtId="0" fontId="17" fillId="2" borderId="11" xfId="8" applyFont="1" applyFill="1" applyBorder="1" applyAlignment="1">
      <alignment horizontal="left" vertical="center" indent="1"/>
    </xf>
    <xf numFmtId="0" fontId="17" fillId="2" borderId="12" xfId="8" applyFont="1" applyFill="1" applyBorder="1" applyAlignment="1">
      <alignment horizontal="left" vertical="center" indent="1"/>
    </xf>
    <xf numFmtId="38" fontId="5" fillId="2" borderId="1" xfId="2" applyNumberFormat="1" applyFont="1" applyFill="1" applyBorder="1"/>
    <xf numFmtId="164" fontId="8" fillId="2" borderId="13" xfId="1" applyFont="1" applyFill="1" applyBorder="1" applyAlignment="1">
      <alignment horizontal="right" vertical="center" indent="1"/>
    </xf>
    <xf numFmtId="164" fontId="1" fillId="2" borderId="4" xfId="8" applyNumberFormat="1" applyFont="1" applyFill="1" applyBorder="1"/>
    <xf numFmtId="164" fontId="4" fillId="2" borderId="13" xfId="1" applyFont="1" applyFill="1" applyBorder="1" applyAlignment="1">
      <alignment horizontal="left" vertical="center"/>
    </xf>
    <xf numFmtId="164" fontId="10" fillId="2" borderId="0" xfId="8" applyNumberFormat="1" applyFill="1"/>
    <xf numFmtId="0" fontId="16" fillId="2" borderId="14" xfId="8" applyFont="1" applyFill="1" applyBorder="1" applyAlignment="1">
      <alignment horizontal="right" vertical="center" indent="1"/>
    </xf>
    <xf numFmtId="0" fontId="16" fillId="2" borderId="0" xfId="8" applyFont="1" applyFill="1" applyAlignment="1">
      <alignment horizontal="right" vertical="center" indent="1"/>
    </xf>
    <xf numFmtId="0" fontId="16" fillId="2" borderId="9" xfId="8" applyFont="1" applyFill="1" applyBorder="1" applyAlignment="1">
      <alignment horizontal="right" vertical="center" indent="1"/>
    </xf>
    <xf numFmtId="164" fontId="3" fillId="2" borderId="13" xfId="1" applyFont="1" applyFill="1" applyBorder="1" applyAlignment="1">
      <alignment horizontal="left" vertical="center"/>
    </xf>
    <xf numFmtId="164" fontId="8" fillId="2" borderId="13" xfId="1" applyFont="1" applyFill="1" applyBorder="1" applyAlignment="1">
      <alignment horizontal="left" vertical="center" indent="1"/>
    </xf>
    <xf numFmtId="38" fontId="7" fillId="2" borderId="0" xfId="2" applyNumberFormat="1" applyFont="1" applyFill="1" applyBorder="1" applyAlignment="1">
      <alignment horizontal="right"/>
    </xf>
    <xf numFmtId="38" fontId="7" fillId="2" borderId="1" xfId="2" applyNumberFormat="1" applyFont="1" applyFill="1" applyBorder="1" applyAlignment="1">
      <alignment horizontal="right"/>
    </xf>
    <xf numFmtId="0" fontId="9" fillId="2" borderId="4" xfId="7" applyFont="1" applyFill="1" applyBorder="1" applyAlignment="1">
      <alignment horizontal="center" vertical="center"/>
    </xf>
    <xf numFmtId="0" fontId="11" fillId="2" borderId="4" xfId="8" applyFont="1" applyFill="1" applyBorder="1" applyAlignment="1">
      <alignment horizontal="center" vertical="center"/>
    </xf>
    <xf numFmtId="0" fontId="13" fillId="2" borderId="5" xfId="8" applyFont="1" applyFill="1" applyBorder="1" applyAlignment="1">
      <alignment horizontal="center" vertical="center"/>
    </xf>
    <xf numFmtId="0" fontId="12" fillId="2" borderId="7" xfId="8" applyFont="1" applyFill="1" applyBorder="1" applyAlignment="1">
      <alignment horizontal="right" vertical="center"/>
    </xf>
    <xf numFmtId="0" fontId="12" fillId="2" borderId="9" xfId="8" applyFont="1" applyFill="1" applyBorder="1" applyAlignment="1">
      <alignment horizontal="right" vertical="center"/>
    </xf>
    <xf numFmtId="0" fontId="18" fillId="2" borderId="4" xfId="8" applyFont="1" applyFill="1" applyBorder="1" applyAlignment="1">
      <alignment horizontal="center" vertical="center"/>
    </xf>
    <xf numFmtId="0" fontId="15" fillId="2" borderId="4" xfId="8" applyFont="1" applyFill="1" applyBorder="1" applyAlignment="1">
      <alignment horizontal="center" vertical="center"/>
    </xf>
    <xf numFmtId="0" fontId="13" fillId="2" borderId="6" xfId="8" applyFont="1" applyFill="1" applyBorder="1" applyAlignment="1">
      <alignment horizontal="left" vertical="center"/>
    </xf>
    <xf numFmtId="0" fontId="13" fillId="2" borderId="8" xfId="8" applyFont="1" applyFill="1" applyBorder="1" applyAlignment="1">
      <alignment horizontal="left" vertical="center"/>
    </xf>
  </cellXfs>
  <cellStyles count="9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agri planning 2009 year book(final)" xfId="8" xr:uid="{0420BEC2-B9C4-4445-9203-73D13DA34D5D}"/>
    <cellStyle name="Normal_Fish &amp;  Agri - 8" xfId="1" xr:uid="{00000000-0005-0000-0000-00000A000000}"/>
    <cellStyle name="Normal_mmifco" xfId="7" xr:uid="{2A3E7902-223E-4C91-BA3B-3CBD69F9D43E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Dissemination\Publications\Statistical%20Year%20Book\YEARBOOK%202021\YEARBOOK%202021_%20LATEST\FINAL%20TABLES\9.%20FISHERIES%20AND%20AGRICULTURE__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9.%20FISHERIES%20AND%20AGRICULTURE%20-%20Agri.xlsx" TargetMode="External"/><Relationship Id="rId1" Type="http://schemas.openxmlformats.org/officeDocument/2006/relationships/externalLinkPath" Target="/Dissemination/Publications/Statistical%20Year%20Book/YEARBOOK%202023/RECEIVED/9.%20FISHERIES%20AND%20AGRICULTURE%20-%20Ag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0">
          <cell r="Y40" t="str">
            <v>India</v>
          </cell>
          <cell r="Z40">
            <v>124404067.35999998</v>
          </cell>
        </row>
        <row r="41">
          <cell r="Y41" t="str">
            <v>U.A.E</v>
          </cell>
          <cell r="Z41">
            <v>89466498.949999988</v>
          </cell>
        </row>
        <row r="42">
          <cell r="Y42" t="str">
            <v>Srilanka</v>
          </cell>
          <cell r="Z42">
            <v>84504694.510000005</v>
          </cell>
        </row>
        <row r="43">
          <cell r="Y43" t="str">
            <v>Thailand</v>
          </cell>
          <cell r="Z43">
            <v>76314727.409999982</v>
          </cell>
        </row>
        <row r="44">
          <cell r="Y44" t="str">
            <v>Other Countries</v>
          </cell>
          <cell r="Z44">
            <v>42838737.359999999</v>
          </cell>
        </row>
        <row r="45">
          <cell r="Y45" t="str">
            <v>Australia</v>
          </cell>
          <cell r="Z45">
            <v>19911562.610000003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>
        <row r="6">
          <cell r="K6">
            <v>2017</v>
          </cell>
          <cell r="L6">
            <v>2018</v>
          </cell>
          <cell r="M6">
            <v>2019</v>
          </cell>
        </row>
        <row r="8">
          <cell r="A8" t="str">
            <v>January</v>
          </cell>
          <cell r="K8">
            <v>8451.4959999999992</v>
          </cell>
          <cell r="L8">
            <v>3998.6889999999999</v>
          </cell>
          <cell r="M8">
            <v>2618.08</v>
          </cell>
        </row>
        <row r="9">
          <cell r="A9" t="str">
            <v>February</v>
          </cell>
          <cell r="K9">
            <v>8453.8235000000004</v>
          </cell>
          <cell r="L9">
            <v>5869.7790000000005</v>
          </cell>
          <cell r="M9">
            <v>2885.299</v>
          </cell>
        </row>
        <row r="10">
          <cell r="A10" t="str">
            <v>March</v>
          </cell>
          <cell r="K10">
            <v>7567.4920000000002</v>
          </cell>
          <cell r="L10">
            <v>5047.7060000000001</v>
          </cell>
          <cell r="M10">
            <v>2069.3150000000001</v>
          </cell>
        </row>
        <row r="11">
          <cell r="A11" t="str">
            <v>April</v>
          </cell>
          <cell r="K11">
            <v>7684.7669999999998</v>
          </cell>
          <cell r="L11">
            <v>6195.2209999999995</v>
          </cell>
          <cell r="M11">
            <v>235.05</v>
          </cell>
        </row>
        <row r="12">
          <cell r="A12" t="str">
            <v>May</v>
          </cell>
          <cell r="K12">
            <v>4452.6779999999999</v>
          </cell>
          <cell r="L12">
            <v>5648.06</v>
          </cell>
          <cell r="M12">
            <v>5236</v>
          </cell>
        </row>
        <row r="13">
          <cell r="A13" t="str">
            <v>June</v>
          </cell>
          <cell r="K13">
            <v>8162.3275000000003</v>
          </cell>
          <cell r="L13">
            <v>4394.7749999999996</v>
          </cell>
          <cell r="M13">
            <v>3785.75</v>
          </cell>
        </row>
        <row r="14">
          <cell r="A14" t="str">
            <v>July</v>
          </cell>
          <cell r="K14">
            <v>3507.6289999999999</v>
          </cell>
          <cell r="L14">
            <v>1475.635</v>
          </cell>
          <cell r="M14">
            <v>3096.165</v>
          </cell>
        </row>
        <row r="15">
          <cell r="A15" t="str">
            <v>August</v>
          </cell>
          <cell r="K15">
            <v>4520.3270000000002</v>
          </cell>
          <cell r="L15">
            <v>2343.393</v>
          </cell>
          <cell r="M15">
            <v>1528.56</v>
          </cell>
        </row>
        <row r="16">
          <cell r="A16" t="str">
            <v>September</v>
          </cell>
          <cell r="K16">
            <v>247.465</v>
          </cell>
          <cell r="L16">
            <v>736.4</v>
          </cell>
          <cell r="M16">
            <v>2215.1</v>
          </cell>
        </row>
        <row r="17">
          <cell r="A17" t="str">
            <v>October</v>
          </cell>
          <cell r="K17">
            <v>3873.07</v>
          </cell>
          <cell r="L17">
            <v>3165.0529999999999</v>
          </cell>
          <cell r="M17">
            <v>1908.519</v>
          </cell>
        </row>
        <row r="18">
          <cell r="A18" t="str">
            <v>November</v>
          </cell>
          <cell r="K18">
            <v>2455.6325000000002</v>
          </cell>
          <cell r="L18">
            <v>2708.9949999999999</v>
          </cell>
          <cell r="M18">
            <v>2635.1750000000002</v>
          </cell>
        </row>
        <row r="19">
          <cell r="A19" t="str">
            <v>December</v>
          </cell>
          <cell r="K19">
            <v>4703.3100000000004</v>
          </cell>
          <cell r="L19">
            <v>1875.7750000000001</v>
          </cell>
          <cell r="M19">
            <v>1911.08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DD03-D906-4DEB-8242-1E1E4CF82D5A}">
  <dimension ref="A1:AT63"/>
  <sheetViews>
    <sheetView tabSelected="1" zoomScaleNormal="100" workbookViewId="0">
      <selection activeCell="K22" sqref="K22"/>
    </sheetView>
  </sheetViews>
  <sheetFormatPr defaultColWidth="8.85546875" defaultRowHeight="15" x14ac:dyDescent="0.25"/>
  <cols>
    <col min="1" max="1" width="40.85546875" style="3" customWidth="1"/>
    <col min="2" max="8" width="15.7109375" style="3" customWidth="1"/>
    <col min="9" max="9" width="24.5703125" style="3" customWidth="1"/>
    <col min="10" max="10" width="2.85546875" style="3" customWidth="1"/>
    <col min="11" max="16384" width="8.85546875" style="3"/>
  </cols>
  <sheetData>
    <row r="1" spans="1:46" ht="18" x14ac:dyDescent="0.25">
      <c r="A1" s="24" t="s">
        <v>46</v>
      </c>
      <c r="B1" s="24"/>
      <c r="C1" s="24"/>
      <c r="D1" s="24"/>
      <c r="E1" s="24"/>
      <c r="F1" s="24"/>
      <c r="G1" s="24"/>
      <c r="H1" s="24"/>
      <c r="I1" s="24"/>
    </row>
    <row r="2" spans="1:46" ht="15.75" x14ac:dyDescent="0.25">
      <c r="A2" s="25" t="s">
        <v>47</v>
      </c>
      <c r="B2" s="25"/>
      <c r="C2" s="25"/>
      <c r="D2" s="25"/>
      <c r="E2" s="25"/>
      <c r="F2" s="25"/>
      <c r="G2" s="25"/>
      <c r="H2" s="25"/>
      <c r="I2" s="25"/>
    </row>
    <row r="3" spans="1:46" ht="18.75" x14ac:dyDescent="0.25">
      <c r="A3" s="29" t="s">
        <v>48</v>
      </c>
      <c r="B3" s="29"/>
      <c r="C3" s="30"/>
      <c r="D3" s="30"/>
      <c r="E3" s="30"/>
      <c r="F3" s="30"/>
      <c r="G3" s="30"/>
      <c r="H3" s="30"/>
      <c r="I3" s="30"/>
    </row>
    <row r="4" spans="1:46" x14ac:dyDescent="0.25">
      <c r="A4" s="26" t="s">
        <v>49</v>
      </c>
      <c r="B4" s="26"/>
      <c r="C4" s="26"/>
      <c r="D4" s="26"/>
      <c r="E4" s="26"/>
      <c r="F4" s="26"/>
      <c r="G4" s="26"/>
      <c r="H4" s="26"/>
      <c r="I4" s="26"/>
    </row>
    <row r="5" spans="1:46" ht="18.75" x14ac:dyDescent="0.25">
      <c r="A5" s="31" t="s">
        <v>50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27" t="s">
        <v>8</v>
      </c>
    </row>
    <row r="6" spans="1:46" x14ac:dyDescent="0.25">
      <c r="A6" s="32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6" t="s">
        <v>15</v>
      </c>
      <c r="I6" s="28"/>
    </row>
    <row r="7" spans="1:46" ht="21" x14ac:dyDescent="0.25">
      <c r="A7" s="7" t="s">
        <v>0</v>
      </c>
      <c r="B7" s="8">
        <f t="shared" ref="B7" si="0">SUM(B8:B26)</f>
        <v>22333985.677375682</v>
      </c>
      <c r="C7" s="8">
        <f t="shared" ref="C7:H7" si="1">SUM(C8:C26)</f>
        <v>15683282.96314062</v>
      </c>
      <c r="D7" s="8">
        <f t="shared" si="1"/>
        <v>3134630.41731248</v>
      </c>
      <c r="E7" s="8">
        <f t="shared" si="1"/>
        <v>1591832.3498181684</v>
      </c>
      <c r="F7" s="8">
        <f t="shared" si="1"/>
        <v>111279.42850000001</v>
      </c>
      <c r="G7" s="8">
        <f t="shared" si="1"/>
        <v>366460.04660000012</v>
      </c>
      <c r="H7" s="8">
        <f t="shared" si="1"/>
        <v>1446500.4720044131</v>
      </c>
      <c r="I7" s="5" t="s">
        <v>1</v>
      </c>
      <c r="AO7" s="16"/>
      <c r="AP7" s="16"/>
      <c r="AQ7" s="16"/>
      <c r="AR7" s="16"/>
      <c r="AS7" s="16"/>
      <c r="AT7" s="16"/>
    </row>
    <row r="8" spans="1:46" ht="21" x14ac:dyDescent="0.25">
      <c r="A8" s="2" t="s">
        <v>16</v>
      </c>
      <c r="B8" s="1">
        <f t="shared" ref="B8:B24" si="2">SUM(C8:H8)</f>
        <v>2524565.7332000006</v>
      </c>
      <c r="C8" s="22">
        <v>2057129.6632000001</v>
      </c>
      <c r="D8" s="22">
        <v>339356.34899999999</v>
      </c>
      <c r="E8" s="22">
        <v>88893.142999999996</v>
      </c>
      <c r="F8" s="22">
        <v>969.77</v>
      </c>
      <c r="G8" s="22">
        <v>2857.5</v>
      </c>
      <c r="H8" s="22">
        <v>35359.307999999997</v>
      </c>
      <c r="I8" s="17" t="s">
        <v>17</v>
      </c>
    </row>
    <row r="9" spans="1:46" ht="21" x14ac:dyDescent="0.25">
      <c r="A9" s="9" t="s">
        <v>18</v>
      </c>
      <c r="B9" s="1">
        <f t="shared" si="2"/>
        <v>629276.80882857158</v>
      </c>
      <c r="C9" s="22">
        <v>391377.05080000003</v>
      </c>
      <c r="D9" s="22">
        <v>95361.509000000005</v>
      </c>
      <c r="E9" s="22">
        <v>74466.1700000001</v>
      </c>
      <c r="F9" s="22">
        <v>2370.748</v>
      </c>
      <c r="G9" s="22">
        <v>21261.0396</v>
      </c>
      <c r="H9" s="22">
        <v>44440.291428571501</v>
      </c>
      <c r="I9" s="18" t="s">
        <v>19</v>
      </c>
    </row>
    <row r="10" spans="1:46" ht="21" x14ac:dyDescent="0.25">
      <c r="A10" s="10" t="s">
        <v>51</v>
      </c>
      <c r="B10" s="1">
        <f t="shared" si="2"/>
        <v>8349.619999999999</v>
      </c>
      <c r="C10" s="22">
        <v>71</v>
      </c>
      <c r="D10" s="22">
        <v>7949.24</v>
      </c>
      <c r="E10" s="22">
        <v>297.38</v>
      </c>
      <c r="F10" s="22">
        <v>0</v>
      </c>
      <c r="G10" s="22">
        <v>0</v>
      </c>
      <c r="H10" s="22">
        <v>32</v>
      </c>
      <c r="I10" s="18" t="s">
        <v>20</v>
      </c>
    </row>
    <row r="11" spans="1:46" ht="21" x14ac:dyDescent="0.25">
      <c r="A11" s="10" t="s">
        <v>52</v>
      </c>
      <c r="B11" s="1">
        <f t="shared" si="2"/>
        <v>3991311.1406699093</v>
      </c>
      <c r="C11" s="22">
        <v>3542383.855</v>
      </c>
      <c r="D11" s="22">
        <v>173402.13348624</v>
      </c>
      <c r="E11" s="22">
        <v>110520.501</v>
      </c>
      <c r="F11" s="22">
        <v>1761.68</v>
      </c>
      <c r="G11" s="22">
        <v>1736.86</v>
      </c>
      <c r="H11" s="22">
        <v>161506.11118366901</v>
      </c>
      <c r="I11" s="18" t="s">
        <v>21</v>
      </c>
    </row>
    <row r="12" spans="1:46" ht="21" x14ac:dyDescent="0.25">
      <c r="A12" s="10" t="s">
        <v>22</v>
      </c>
      <c r="B12" s="1">
        <f t="shared" si="2"/>
        <v>79609.005420000001</v>
      </c>
      <c r="C12" s="22">
        <v>1488.85</v>
      </c>
      <c r="D12" s="22">
        <v>16079.306420000001</v>
      </c>
      <c r="E12" s="22">
        <v>33386.334000000003</v>
      </c>
      <c r="F12" s="22">
        <v>1217.25</v>
      </c>
      <c r="G12" s="22">
        <v>11244.775</v>
      </c>
      <c r="H12" s="22">
        <v>16192.49</v>
      </c>
      <c r="I12" s="18" t="s">
        <v>23</v>
      </c>
    </row>
    <row r="13" spans="1:46" ht="21" x14ac:dyDescent="0.25">
      <c r="A13" s="10" t="s">
        <v>53</v>
      </c>
      <c r="B13" s="1">
        <f t="shared" si="2"/>
        <v>167307.01499999998</v>
      </c>
      <c r="C13" s="22">
        <v>5339.55</v>
      </c>
      <c r="D13" s="22">
        <v>147075.47</v>
      </c>
      <c r="E13" s="22">
        <v>3350.85</v>
      </c>
      <c r="F13" s="22">
        <v>2</v>
      </c>
      <c r="G13" s="22">
        <v>139.97</v>
      </c>
      <c r="H13" s="22">
        <v>11399.174999999999</v>
      </c>
      <c r="I13" s="18" t="s">
        <v>24</v>
      </c>
    </row>
    <row r="14" spans="1:46" ht="21" x14ac:dyDescent="0.25">
      <c r="A14" s="10" t="s">
        <v>54</v>
      </c>
      <c r="B14" s="1">
        <f t="shared" si="2"/>
        <v>488855.17552030546</v>
      </c>
      <c r="C14" s="22">
        <v>291269.34082031</v>
      </c>
      <c r="D14" s="22">
        <v>73290.731299999898</v>
      </c>
      <c r="E14" s="22">
        <v>48407.494199995497</v>
      </c>
      <c r="F14" s="22">
        <v>145.982</v>
      </c>
      <c r="G14" s="22">
        <v>10363.742</v>
      </c>
      <c r="H14" s="22">
        <v>65377.885199999997</v>
      </c>
      <c r="I14" s="18" t="s">
        <v>25</v>
      </c>
    </row>
    <row r="15" spans="1:46" ht="21" x14ac:dyDescent="0.25">
      <c r="A15" s="10" t="s">
        <v>55</v>
      </c>
      <c r="B15" s="1">
        <f t="shared" si="2"/>
        <v>976372.29477372859</v>
      </c>
      <c r="C15" s="22">
        <v>238158.64</v>
      </c>
      <c r="D15" s="22">
        <v>484104.7</v>
      </c>
      <c r="E15" s="22">
        <v>179970.08021817301</v>
      </c>
      <c r="F15" s="22">
        <v>2383.2449999999999</v>
      </c>
      <c r="G15" s="22">
        <v>1732.46</v>
      </c>
      <c r="H15" s="22">
        <v>70023.169555555505</v>
      </c>
      <c r="I15" s="18" t="s">
        <v>26</v>
      </c>
    </row>
    <row r="16" spans="1:46" ht="21" x14ac:dyDescent="0.25">
      <c r="A16" s="10" t="s">
        <v>56</v>
      </c>
      <c r="B16" s="1">
        <f t="shared" si="2"/>
        <v>91760.915820310009</v>
      </c>
      <c r="C16" s="22">
        <v>70488.330820310002</v>
      </c>
      <c r="D16" s="22">
        <v>13276.905000000001</v>
      </c>
      <c r="E16" s="22">
        <v>6318.88</v>
      </c>
      <c r="F16" s="22">
        <v>7</v>
      </c>
      <c r="G16" s="22">
        <v>59.8</v>
      </c>
      <c r="H16" s="22">
        <v>1610</v>
      </c>
      <c r="I16" s="18" t="s">
        <v>27</v>
      </c>
    </row>
    <row r="17" spans="1:20" ht="21" x14ac:dyDescent="0.25">
      <c r="A17" s="10" t="s">
        <v>57</v>
      </c>
      <c r="B17" s="1">
        <f t="shared" si="2"/>
        <v>443801.81549999997</v>
      </c>
      <c r="C17" s="22">
        <v>70101.822499999995</v>
      </c>
      <c r="D17" s="22">
        <v>182809.87100000001</v>
      </c>
      <c r="E17" s="22">
        <v>50603.853000000003</v>
      </c>
      <c r="F17" s="22">
        <v>36</v>
      </c>
      <c r="G17" s="22">
        <v>53424.425000000003</v>
      </c>
      <c r="H17" s="22">
        <v>86825.843999999997</v>
      </c>
      <c r="I17" s="18" t="s">
        <v>28</v>
      </c>
    </row>
    <row r="18" spans="1:20" ht="21" x14ac:dyDescent="0.25">
      <c r="A18" s="10" t="s">
        <v>29</v>
      </c>
      <c r="B18" s="1">
        <f t="shared" si="2"/>
        <v>867169.93159197294</v>
      </c>
      <c r="C18" s="22">
        <v>15076.7</v>
      </c>
      <c r="D18" s="22">
        <v>51959.364999999998</v>
      </c>
      <c r="E18" s="22">
        <v>405869.6262</v>
      </c>
      <c r="F18" s="22">
        <v>26809.463500000002</v>
      </c>
      <c r="G18" s="22">
        <v>9662.1650000000009</v>
      </c>
      <c r="H18" s="22">
        <v>357792.61189197301</v>
      </c>
      <c r="I18" s="18" t="s">
        <v>30</v>
      </c>
    </row>
    <row r="19" spans="1:20" ht="21" x14ac:dyDescent="0.25">
      <c r="A19" s="10" t="s">
        <v>58</v>
      </c>
      <c r="B19" s="1">
        <f t="shared" si="2"/>
        <v>999429.88529999997</v>
      </c>
      <c r="C19" s="22">
        <v>157035.07999999999</v>
      </c>
      <c r="D19" s="22">
        <v>340345.185</v>
      </c>
      <c r="E19" s="22">
        <v>119879.5</v>
      </c>
      <c r="F19" s="22">
        <v>1005.1</v>
      </c>
      <c r="G19" s="22">
        <v>131314.70000000001</v>
      </c>
      <c r="H19" s="22">
        <v>249850.32029999999</v>
      </c>
      <c r="I19" s="18" t="s">
        <v>31</v>
      </c>
    </row>
    <row r="20" spans="1:20" ht="21" x14ac:dyDescent="0.25">
      <c r="A20" s="10" t="s">
        <v>32</v>
      </c>
      <c r="B20" s="1">
        <f t="shared" si="2"/>
        <v>1159853.045990099</v>
      </c>
      <c r="C20" s="22">
        <v>682460.09</v>
      </c>
      <c r="D20" s="22">
        <v>19530.009999999998</v>
      </c>
      <c r="E20" s="22">
        <v>278327.34999999998</v>
      </c>
      <c r="F20" s="22">
        <v>23658.9</v>
      </c>
      <c r="G20" s="22">
        <v>6505.65</v>
      </c>
      <c r="H20" s="22">
        <v>149371.045990099</v>
      </c>
      <c r="I20" s="18" t="s">
        <v>33</v>
      </c>
    </row>
    <row r="21" spans="1:20" ht="21" x14ac:dyDescent="0.25">
      <c r="A21" s="10" t="s">
        <v>34</v>
      </c>
      <c r="B21" s="1">
        <f t="shared" si="2"/>
        <v>365993.53700000001</v>
      </c>
      <c r="C21" s="22">
        <v>29853.15</v>
      </c>
      <c r="D21" s="22">
        <v>288780.00699999998</v>
      </c>
      <c r="E21" s="22">
        <v>14139.9</v>
      </c>
      <c r="F21" s="22">
        <v>801</v>
      </c>
      <c r="G21" s="22">
        <v>27530.1</v>
      </c>
      <c r="H21" s="22">
        <v>4889.38</v>
      </c>
      <c r="I21" s="18" t="s">
        <v>35</v>
      </c>
    </row>
    <row r="22" spans="1:20" ht="21" x14ac:dyDescent="0.25">
      <c r="A22" s="10" t="s">
        <v>59</v>
      </c>
      <c r="B22" s="1">
        <f t="shared" si="2"/>
        <v>556927.78426312003</v>
      </c>
      <c r="C22" s="22">
        <v>24447</v>
      </c>
      <c r="D22" s="22">
        <v>446937.74426312</v>
      </c>
      <c r="E22" s="22">
        <v>56664.03</v>
      </c>
      <c r="F22" s="22">
        <v>132.61000000000001</v>
      </c>
      <c r="G22" s="22">
        <v>21044.400000000001</v>
      </c>
      <c r="H22" s="22">
        <v>7702</v>
      </c>
      <c r="I22" s="18" t="s">
        <v>36</v>
      </c>
    </row>
    <row r="23" spans="1:20" ht="21" x14ac:dyDescent="0.25">
      <c r="A23" s="10" t="s">
        <v>37</v>
      </c>
      <c r="B23" s="1">
        <f t="shared" si="2"/>
        <v>1172007.9472000001</v>
      </c>
      <c r="C23" s="22">
        <v>973006.45</v>
      </c>
      <c r="D23" s="22">
        <v>146091.23000000001</v>
      </c>
      <c r="E23" s="22">
        <v>36932.477200000001</v>
      </c>
      <c r="F23" s="22">
        <v>5483.8</v>
      </c>
      <c r="G23" s="22">
        <v>413.46</v>
      </c>
      <c r="H23" s="22">
        <v>10080.530000000001</v>
      </c>
      <c r="I23" s="18" t="s">
        <v>38</v>
      </c>
    </row>
    <row r="24" spans="1:20" ht="21" x14ac:dyDescent="0.25">
      <c r="A24" s="10" t="s">
        <v>39</v>
      </c>
      <c r="B24" s="1">
        <f t="shared" si="2"/>
        <v>3958.65</v>
      </c>
      <c r="C24" s="22">
        <v>1441</v>
      </c>
      <c r="D24" s="22">
        <v>289.5</v>
      </c>
      <c r="E24" s="22">
        <v>1400.1</v>
      </c>
      <c r="F24" s="22">
        <v>5</v>
      </c>
      <c r="G24" s="22">
        <v>750.2</v>
      </c>
      <c r="H24" s="22">
        <v>72.849999999999994</v>
      </c>
      <c r="I24" s="18" t="s">
        <v>40</v>
      </c>
    </row>
    <row r="25" spans="1:20" ht="21" x14ac:dyDescent="0.25">
      <c r="A25" s="10" t="s">
        <v>60</v>
      </c>
      <c r="B25" s="1">
        <f>SUM(C25:H25)</f>
        <v>495097.24229766498</v>
      </c>
      <c r="C25" s="22">
        <v>131682.9</v>
      </c>
      <c r="D25" s="22">
        <v>189848.86084312</v>
      </c>
      <c r="E25" s="22">
        <v>29187.481</v>
      </c>
      <c r="F25" s="22">
        <v>5309.28</v>
      </c>
      <c r="G25" s="22">
        <v>2950.4</v>
      </c>
      <c r="H25" s="22">
        <v>136118.320454545</v>
      </c>
      <c r="I25" s="18" t="s">
        <v>41</v>
      </c>
    </row>
    <row r="26" spans="1:20" ht="21" x14ac:dyDescent="0.25">
      <c r="A26" s="11" t="s">
        <v>42</v>
      </c>
      <c r="B26" s="12">
        <f t="shared" ref="B26" si="3">SUM(C26:H26)</f>
        <v>7312338.1290000007</v>
      </c>
      <c r="C26" s="23">
        <v>7000472.4900000002</v>
      </c>
      <c r="D26" s="23">
        <v>118142.3</v>
      </c>
      <c r="E26" s="23">
        <v>53217.2</v>
      </c>
      <c r="F26" s="23">
        <v>39180.6</v>
      </c>
      <c r="G26" s="23">
        <v>63468.4</v>
      </c>
      <c r="H26" s="23">
        <v>37857.139000000003</v>
      </c>
      <c r="I26" s="19" t="s">
        <v>43</v>
      </c>
    </row>
    <row r="27" spans="1:20" s="14" customFormat="1" x14ac:dyDescent="0.25">
      <c r="A27" s="20" t="s">
        <v>44</v>
      </c>
      <c r="B27" s="20"/>
      <c r="C27" s="15"/>
      <c r="D27" s="15"/>
      <c r="E27" s="15"/>
      <c r="F27" s="15"/>
      <c r="G27" s="15"/>
      <c r="H27" s="21"/>
      <c r="I27" s="13" t="s">
        <v>45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s="14" customFormat="1" x14ac:dyDescent="0.25">
      <c r="A28" s="20"/>
      <c r="B28" s="20"/>
      <c r="C28" s="15"/>
      <c r="D28" s="15"/>
      <c r="E28" s="15"/>
      <c r="F28" s="15"/>
      <c r="G28" s="15"/>
      <c r="H28" s="21"/>
      <c r="I28" s="1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s="14" customFormat="1" x14ac:dyDescent="0.25">
      <c r="A29" s="20"/>
      <c r="B29" s="20"/>
      <c r="C29" s="15"/>
      <c r="D29" s="15"/>
      <c r="E29" s="15"/>
      <c r="F29" s="15"/>
      <c r="G29" s="15"/>
      <c r="H29" s="21"/>
      <c r="I29" s="13"/>
      <c r="J29" s="3"/>
      <c r="K29" s="3"/>
      <c r="L29" s="3"/>
      <c r="M29" s="3"/>
      <c r="N29" s="3"/>
      <c r="O29" s="3"/>
      <c r="P29" s="3"/>
      <c r="Q29" s="3"/>
    </row>
    <row r="30" spans="1:20" s="14" customFormat="1" x14ac:dyDescent="0.25">
      <c r="A30" s="20"/>
      <c r="B30" s="20"/>
      <c r="C30" s="15"/>
      <c r="D30" s="15"/>
      <c r="E30" s="15"/>
      <c r="F30" s="15"/>
      <c r="G30" s="15"/>
      <c r="H30" s="21"/>
      <c r="I30" s="13"/>
      <c r="J30" s="3"/>
      <c r="K30" s="3"/>
      <c r="L30" s="3"/>
      <c r="M30" s="3"/>
      <c r="N30" s="3"/>
      <c r="O30" s="3"/>
      <c r="P30" s="3"/>
      <c r="Q30" s="3"/>
    </row>
    <row r="31" spans="1:20" s="14" customFormat="1" x14ac:dyDescent="0.25">
      <c r="A31" s="20"/>
      <c r="B31" s="20"/>
      <c r="C31" s="15"/>
      <c r="D31" s="15"/>
      <c r="E31" s="15"/>
      <c r="F31" s="15"/>
      <c r="G31" s="15"/>
      <c r="H31" s="21"/>
      <c r="I31" s="13"/>
      <c r="J31" s="3"/>
      <c r="K31" s="3"/>
      <c r="L31" s="3"/>
      <c r="M31" s="3"/>
      <c r="N31" s="3"/>
      <c r="O31" s="3"/>
      <c r="P31" s="3"/>
      <c r="Q31" s="3"/>
    </row>
    <row r="32" spans="1:20" s="14" customFormat="1" x14ac:dyDescent="0.25">
      <c r="A32" s="20"/>
      <c r="B32" s="20"/>
      <c r="C32" s="15"/>
      <c r="D32" s="15"/>
      <c r="E32" s="15"/>
      <c r="F32" s="15"/>
      <c r="G32" s="15"/>
      <c r="H32" s="21"/>
      <c r="I32" s="13"/>
      <c r="J32" s="3"/>
      <c r="K32" s="3"/>
      <c r="L32" s="3"/>
      <c r="M32" s="3"/>
      <c r="N32" s="3"/>
      <c r="O32" s="3"/>
      <c r="P32" s="3"/>
      <c r="Q32" s="3"/>
    </row>
    <row r="33" spans="1:46" ht="18" x14ac:dyDescent="0.25">
      <c r="A33" s="24" t="s">
        <v>61</v>
      </c>
      <c r="B33" s="24"/>
      <c r="C33" s="24"/>
      <c r="D33" s="24"/>
      <c r="E33" s="24"/>
      <c r="F33" s="24"/>
      <c r="G33" s="24"/>
      <c r="H33" s="24"/>
      <c r="I33" s="24"/>
    </row>
    <row r="34" spans="1:46" ht="15.75" x14ac:dyDescent="0.25">
      <c r="A34" s="25" t="s">
        <v>62</v>
      </c>
      <c r="B34" s="25"/>
      <c r="C34" s="25"/>
      <c r="D34" s="25"/>
      <c r="E34" s="25"/>
      <c r="F34" s="25"/>
      <c r="G34" s="25"/>
      <c r="H34" s="25"/>
      <c r="I34" s="25"/>
    </row>
    <row r="35" spans="1:46" ht="18.75" x14ac:dyDescent="0.25">
      <c r="A35" s="29" t="s">
        <v>48</v>
      </c>
      <c r="B35" s="29"/>
      <c r="C35" s="30"/>
      <c r="D35" s="30"/>
      <c r="E35" s="30"/>
      <c r="F35" s="30"/>
      <c r="G35" s="30"/>
      <c r="H35" s="30"/>
      <c r="I35" s="30"/>
    </row>
    <row r="36" spans="1:46" x14ac:dyDescent="0.25">
      <c r="A36" s="26" t="s">
        <v>49</v>
      </c>
      <c r="B36" s="26"/>
      <c r="C36" s="26"/>
      <c r="D36" s="26"/>
      <c r="E36" s="26"/>
      <c r="F36" s="26"/>
      <c r="G36" s="26"/>
      <c r="H36" s="26"/>
      <c r="I36" s="26"/>
    </row>
    <row r="37" spans="1:46" ht="18.75" x14ac:dyDescent="0.25">
      <c r="A37" s="31" t="s">
        <v>50</v>
      </c>
      <c r="B37" s="4" t="s">
        <v>1</v>
      </c>
      <c r="C37" s="4" t="s">
        <v>2</v>
      </c>
      <c r="D37" s="4" t="s">
        <v>3</v>
      </c>
      <c r="E37" s="4" t="s">
        <v>4</v>
      </c>
      <c r="F37" s="4" t="s">
        <v>5</v>
      </c>
      <c r="G37" s="4" t="s">
        <v>6</v>
      </c>
      <c r="H37" s="4" t="s">
        <v>7</v>
      </c>
      <c r="I37" s="27" t="s">
        <v>8</v>
      </c>
    </row>
    <row r="38" spans="1:46" x14ac:dyDescent="0.25">
      <c r="A38" s="32"/>
      <c r="B38" s="6" t="s">
        <v>9</v>
      </c>
      <c r="C38" s="6" t="s">
        <v>10</v>
      </c>
      <c r="D38" s="6" t="s">
        <v>11</v>
      </c>
      <c r="E38" s="6" t="s">
        <v>12</v>
      </c>
      <c r="F38" s="6" t="s">
        <v>13</v>
      </c>
      <c r="G38" s="6" t="s">
        <v>14</v>
      </c>
      <c r="H38" s="6" t="s">
        <v>15</v>
      </c>
      <c r="I38" s="28"/>
    </row>
    <row r="39" spans="1:46" ht="21" x14ac:dyDescent="0.25">
      <c r="A39" s="7" t="s">
        <v>0</v>
      </c>
      <c r="B39" s="8">
        <f t="shared" ref="B39:H39" si="4">SUM(B40:B58)</f>
        <v>20000764.91053031</v>
      </c>
      <c r="C39" s="8">
        <f t="shared" si="4"/>
        <v>14079671.1135008</v>
      </c>
      <c r="D39" s="8">
        <f t="shared" si="4"/>
        <v>3069611.1340100006</v>
      </c>
      <c r="E39" s="8">
        <f t="shared" si="4"/>
        <v>1300699.0451145417</v>
      </c>
      <c r="F39" s="8">
        <f t="shared" si="4"/>
        <v>159847.6666</v>
      </c>
      <c r="G39" s="8">
        <f t="shared" si="4"/>
        <v>328984.68199999997</v>
      </c>
      <c r="H39" s="8">
        <f t="shared" si="4"/>
        <v>1061951.2693049686</v>
      </c>
      <c r="I39" s="5" t="s">
        <v>1</v>
      </c>
      <c r="AO39" s="16"/>
      <c r="AP39" s="16"/>
      <c r="AQ39" s="16"/>
      <c r="AR39" s="16"/>
      <c r="AS39" s="16"/>
      <c r="AT39" s="16"/>
    </row>
    <row r="40" spans="1:46" ht="21" x14ac:dyDescent="0.25">
      <c r="A40" s="2" t="s">
        <v>16</v>
      </c>
      <c r="B40" s="1">
        <f t="shared" ref="B40:B56" si="5">SUM(C40:H40)</f>
        <v>2710639.2499999995</v>
      </c>
      <c r="C40" s="22">
        <v>2404505.389</v>
      </c>
      <c r="D40" s="22">
        <v>218939.723</v>
      </c>
      <c r="E40" s="22">
        <v>57612.01</v>
      </c>
      <c r="F40" s="22">
        <v>457.49</v>
      </c>
      <c r="G40" s="22">
        <v>3822</v>
      </c>
      <c r="H40" s="22">
        <v>25302.637999999999</v>
      </c>
      <c r="I40" s="17" t="s">
        <v>17</v>
      </c>
    </row>
    <row r="41" spans="1:46" ht="21" x14ac:dyDescent="0.25">
      <c r="A41" s="9" t="s">
        <v>18</v>
      </c>
      <c r="B41" s="1">
        <f t="shared" si="5"/>
        <v>515038.42852848268</v>
      </c>
      <c r="C41" s="22">
        <v>332486.43900000001</v>
      </c>
      <c r="D41" s="22">
        <v>90265.4905</v>
      </c>
      <c r="E41" s="22">
        <v>57069.654407272101</v>
      </c>
      <c r="F41" s="22">
        <v>1036.2625</v>
      </c>
      <c r="G41" s="22">
        <v>5891.76</v>
      </c>
      <c r="H41" s="22">
        <v>28288.822121210502</v>
      </c>
      <c r="I41" s="18" t="s">
        <v>19</v>
      </c>
    </row>
    <row r="42" spans="1:46" ht="21" x14ac:dyDescent="0.25">
      <c r="A42" s="10" t="s">
        <v>51</v>
      </c>
      <c r="B42" s="1">
        <f t="shared" si="5"/>
        <v>5332.7699999999995</v>
      </c>
      <c r="C42" s="22">
        <v>20</v>
      </c>
      <c r="D42" s="22">
        <v>5097.07</v>
      </c>
      <c r="E42" s="22">
        <v>183.2</v>
      </c>
      <c r="F42" s="22">
        <v>0</v>
      </c>
      <c r="G42" s="22">
        <v>0</v>
      </c>
      <c r="H42" s="22">
        <v>32.5</v>
      </c>
      <c r="I42" s="18" t="s">
        <v>20</v>
      </c>
    </row>
    <row r="43" spans="1:46" ht="21" x14ac:dyDescent="0.25">
      <c r="A43" s="10" t="s">
        <v>52</v>
      </c>
      <c r="B43" s="1">
        <f t="shared" si="5"/>
        <v>3649301.8833333328</v>
      </c>
      <c r="C43" s="22">
        <v>3280436.6129999999</v>
      </c>
      <c r="D43" s="22">
        <v>143063.87700000001</v>
      </c>
      <c r="E43" s="22">
        <v>87998.44</v>
      </c>
      <c r="F43" s="22">
        <v>9614.24</v>
      </c>
      <c r="G43" s="22">
        <v>1733.8</v>
      </c>
      <c r="H43" s="22">
        <v>126454.913333333</v>
      </c>
      <c r="I43" s="18" t="s">
        <v>21</v>
      </c>
    </row>
    <row r="44" spans="1:46" ht="21" x14ac:dyDescent="0.25">
      <c r="A44" s="10" t="s">
        <v>22</v>
      </c>
      <c r="B44" s="1">
        <f t="shared" si="5"/>
        <v>67021.040000000008</v>
      </c>
      <c r="C44" s="22">
        <v>3479.02</v>
      </c>
      <c r="D44" s="22">
        <v>15912.11</v>
      </c>
      <c r="E44" s="22">
        <v>27712.915000000001</v>
      </c>
      <c r="F44" s="22">
        <v>1162.7249999999999</v>
      </c>
      <c r="G44" s="22">
        <v>9315.09</v>
      </c>
      <c r="H44" s="22">
        <v>9439.18</v>
      </c>
      <c r="I44" s="18" t="s">
        <v>23</v>
      </c>
    </row>
    <row r="45" spans="1:46" ht="21" x14ac:dyDescent="0.25">
      <c r="A45" s="10" t="s">
        <v>53</v>
      </c>
      <c r="B45" s="1">
        <f t="shared" si="5"/>
        <v>164878.11499999999</v>
      </c>
      <c r="C45" s="22">
        <v>12298.78</v>
      </c>
      <c r="D45" s="22">
        <v>149043.54999999999</v>
      </c>
      <c r="E45" s="22">
        <v>2804.585</v>
      </c>
      <c r="F45" s="22">
        <v>31</v>
      </c>
      <c r="G45" s="22">
        <v>150</v>
      </c>
      <c r="H45" s="22">
        <v>550.20000000000005</v>
      </c>
      <c r="I45" s="18" t="s">
        <v>24</v>
      </c>
    </row>
    <row r="46" spans="1:46" ht="21" x14ac:dyDescent="0.25">
      <c r="A46" s="10" t="s">
        <v>54</v>
      </c>
      <c r="B46" s="1">
        <f t="shared" si="5"/>
        <v>453315.85555999662</v>
      </c>
      <c r="C46" s="22">
        <v>263498.77799999999</v>
      </c>
      <c r="D46" s="22">
        <v>81263.793999999994</v>
      </c>
      <c r="E46" s="22">
        <v>23782.485623633402</v>
      </c>
      <c r="F46" s="22">
        <v>150.64500000000001</v>
      </c>
      <c r="G46" s="22">
        <v>8828.1009999999897</v>
      </c>
      <c r="H46" s="22">
        <v>75792.051936363205</v>
      </c>
      <c r="I46" s="18" t="s">
        <v>25</v>
      </c>
    </row>
    <row r="47" spans="1:46" ht="21" x14ac:dyDescent="0.25">
      <c r="A47" s="10" t="s">
        <v>55</v>
      </c>
      <c r="B47" s="1">
        <f t="shared" si="5"/>
        <v>752647.37100000004</v>
      </c>
      <c r="C47" s="22">
        <v>109483.09</v>
      </c>
      <c r="D47" s="22">
        <v>441198.94900000002</v>
      </c>
      <c r="E47" s="22">
        <v>132406</v>
      </c>
      <c r="F47" s="22">
        <v>4694.8999999999996</v>
      </c>
      <c r="G47" s="22">
        <v>4625.5550000000003</v>
      </c>
      <c r="H47" s="22">
        <v>60238.877</v>
      </c>
      <c r="I47" s="18" t="s">
        <v>26</v>
      </c>
    </row>
    <row r="48" spans="1:46" ht="21" x14ac:dyDescent="0.25">
      <c r="A48" s="10" t="s">
        <v>56</v>
      </c>
      <c r="B48" s="1">
        <f t="shared" si="5"/>
        <v>69022.091</v>
      </c>
      <c r="C48" s="22">
        <v>51046.360999999997</v>
      </c>
      <c r="D48" s="22">
        <v>14062.38</v>
      </c>
      <c r="E48" s="22">
        <v>3048.05</v>
      </c>
      <c r="F48" s="22">
        <v>9</v>
      </c>
      <c r="G48" s="22">
        <v>230</v>
      </c>
      <c r="H48" s="22">
        <v>626.29999999999995</v>
      </c>
      <c r="I48" s="18" t="s">
        <v>27</v>
      </c>
    </row>
    <row r="49" spans="1:20" ht="21" x14ac:dyDescent="0.25">
      <c r="A49" s="10" t="s">
        <v>57</v>
      </c>
      <c r="B49" s="1">
        <f t="shared" si="5"/>
        <v>363891.3835</v>
      </c>
      <c r="C49" s="22">
        <v>40848.620000000003</v>
      </c>
      <c r="D49" s="22">
        <v>188878.356</v>
      </c>
      <c r="E49" s="22">
        <v>45229.717499999999</v>
      </c>
      <c r="F49" s="22">
        <v>84</v>
      </c>
      <c r="G49" s="22">
        <v>35672.22</v>
      </c>
      <c r="H49" s="22">
        <v>53178.47</v>
      </c>
      <c r="I49" s="18" t="s">
        <v>28</v>
      </c>
    </row>
    <row r="50" spans="1:20" ht="21" x14ac:dyDescent="0.25">
      <c r="A50" s="10" t="s">
        <v>29</v>
      </c>
      <c r="B50" s="1">
        <f t="shared" si="5"/>
        <v>681274.39597406203</v>
      </c>
      <c r="C50" s="22">
        <v>16964.749</v>
      </c>
      <c r="D50" s="22">
        <v>57549.595000000103</v>
      </c>
      <c r="E50" s="22">
        <v>353691.8395</v>
      </c>
      <c r="F50" s="22">
        <v>43126.5916</v>
      </c>
      <c r="G50" s="22">
        <v>8245.366</v>
      </c>
      <c r="H50" s="22">
        <v>201696.254874062</v>
      </c>
      <c r="I50" s="18" t="s">
        <v>30</v>
      </c>
    </row>
    <row r="51" spans="1:20" ht="21" x14ac:dyDescent="0.25">
      <c r="A51" s="10" t="s">
        <v>58</v>
      </c>
      <c r="B51" s="1">
        <f t="shared" si="5"/>
        <v>856736.55400443613</v>
      </c>
      <c r="C51" s="22">
        <v>148417.00250080001</v>
      </c>
      <c r="D51" s="22">
        <v>246621.3015</v>
      </c>
      <c r="E51" s="22">
        <v>138337.94096363601</v>
      </c>
      <c r="F51" s="22">
        <v>1298</v>
      </c>
      <c r="G51" s="22">
        <v>121494.15</v>
      </c>
      <c r="H51" s="22">
        <v>200568.15904</v>
      </c>
      <c r="I51" s="18" t="s">
        <v>31</v>
      </c>
    </row>
    <row r="52" spans="1:20" ht="21" x14ac:dyDescent="0.25">
      <c r="A52" s="10" t="s">
        <v>32</v>
      </c>
      <c r="B52" s="1">
        <f t="shared" si="5"/>
        <v>973831.68200000003</v>
      </c>
      <c r="C52" s="22">
        <v>601534.92000000004</v>
      </c>
      <c r="D52" s="22">
        <v>26039.598000000002</v>
      </c>
      <c r="E52" s="22">
        <v>224584.204</v>
      </c>
      <c r="F52" s="22">
        <v>26279.65</v>
      </c>
      <c r="G52" s="22">
        <v>13928.6</v>
      </c>
      <c r="H52" s="22">
        <v>81464.710000000006</v>
      </c>
      <c r="I52" s="18" t="s">
        <v>33</v>
      </c>
    </row>
    <row r="53" spans="1:20" ht="21" x14ac:dyDescent="0.25">
      <c r="A53" s="10" t="s">
        <v>34</v>
      </c>
      <c r="B53" s="1">
        <f t="shared" si="5"/>
        <v>668024.97200000018</v>
      </c>
      <c r="C53" s="22">
        <v>41436.322</v>
      </c>
      <c r="D53" s="22">
        <v>581762.65</v>
      </c>
      <c r="E53" s="22">
        <v>12585.55</v>
      </c>
      <c r="F53" s="22">
        <v>261</v>
      </c>
      <c r="G53" s="22">
        <v>29264.65</v>
      </c>
      <c r="H53" s="22">
        <v>2714.8</v>
      </c>
      <c r="I53" s="18" t="s">
        <v>35</v>
      </c>
    </row>
    <row r="54" spans="1:20" ht="21" x14ac:dyDescent="0.25">
      <c r="A54" s="10" t="s">
        <v>59</v>
      </c>
      <c r="B54" s="1">
        <f t="shared" si="5"/>
        <v>509291.49900000001</v>
      </c>
      <c r="C54" s="22">
        <v>18438.45</v>
      </c>
      <c r="D54" s="22">
        <v>421011.679</v>
      </c>
      <c r="E54" s="22">
        <v>41048.31</v>
      </c>
      <c r="F54" s="22">
        <v>428.5</v>
      </c>
      <c r="G54" s="22">
        <v>18990.439999999999</v>
      </c>
      <c r="H54" s="22">
        <v>9374.1200000000008</v>
      </c>
      <c r="I54" s="18" t="s">
        <v>36</v>
      </c>
    </row>
    <row r="55" spans="1:20" ht="21" x14ac:dyDescent="0.25">
      <c r="A55" s="10" t="s">
        <v>37</v>
      </c>
      <c r="B55" s="1">
        <f t="shared" si="5"/>
        <v>997141.77234999987</v>
      </c>
      <c r="C55" s="22">
        <v>828358.36</v>
      </c>
      <c r="D55" s="22">
        <v>124696.01701</v>
      </c>
      <c r="E55" s="22">
        <v>24911.40984</v>
      </c>
      <c r="F55" s="22">
        <v>8009.7524999999996</v>
      </c>
      <c r="G55" s="22">
        <v>690.9</v>
      </c>
      <c r="H55" s="22">
        <v>10475.333000000001</v>
      </c>
      <c r="I55" s="18" t="s">
        <v>38</v>
      </c>
    </row>
    <row r="56" spans="1:20" ht="21" x14ac:dyDescent="0.25">
      <c r="A56" s="10" t="s">
        <v>39</v>
      </c>
      <c r="B56" s="1">
        <f t="shared" si="5"/>
        <v>2867.5699999999997</v>
      </c>
      <c r="C56" s="22">
        <v>928</v>
      </c>
      <c r="D56" s="22">
        <v>49.99</v>
      </c>
      <c r="E56" s="22">
        <v>1366.03</v>
      </c>
      <c r="F56" s="22">
        <v>19</v>
      </c>
      <c r="G56" s="22">
        <v>439.85</v>
      </c>
      <c r="H56" s="22">
        <v>64.7</v>
      </c>
      <c r="I56" s="18" t="s">
        <v>40</v>
      </c>
    </row>
    <row r="57" spans="1:20" ht="21" x14ac:dyDescent="0.25">
      <c r="A57" s="10" t="s">
        <v>60</v>
      </c>
      <c r="B57" s="1">
        <f>SUM(C57:H57)</f>
        <v>498875.43728000001</v>
      </c>
      <c r="C57" s="22">
        <v>167387.39000000001</v>
      </c>
      <c r="D57" s="22">
        <v>171928.554</v>
      </c>
      <c r="E57" s="22">
        <v>19472.683280000001</v>
      </c>
      <c r="F57" s="22">
        <v>17963.7</v>
      </c>
      <c r="G57" s="22">
        <v>1857.3</v>
      </c>
      <c r="H57" s="22">
        <v>120265.81</v>
      </c>
      <c r="I57" s="18" t="s">
        <v>41</v>
      </c>
    </row>
    <row r="58" spans="1:20" ht="21" x14ac:dyDescent="0.25">
      <c r="A58" s="11" t="s">
        <v>42</v>
      </c>
      <c r="B58" s="12">
        <f t="shared" ref="B58" si="6">SUM(C58:H58)</f>
        <v>6061632.8399999999</v>
      </c>
      <c r="C58" s="23">
        <v>5758102.8300000001</v>
      </c>
      <c r="D58" s="23">
        <v>92226.45</v>
      </c>
      <c r="E58" s="23">
        <v>46854.02</v>
      </c>
      <c r="F58" s="23">
        <v>45221.21</v>
      </c>
      <c r="G58" s="23">
        <v>63804.9</v>
      </c>
      <c r="H58" s="23">
        <v>55423.43</v>
      </c>
      <c r="I58" s="19" t="s">
        <v>43</v>
      </c>
    </row>
    <row r="59" spans="1:20" s="14" customFormat="1" x14ac:dyDescent="0.25">
      <c r="A59" s="20" t="s">
        <v>44</v>
      </c>
      <c r="B59" s="20"/>
      <c r="C59" s="15"/>
      <c r="D59" s="15"/>
      <c r="E59" s="15"/>
      <c r="F59" s="15"/>
      <c r="G59" s="15"/>
      <c r="H59" s="21"/>
      <c r="I59" s="13" t="s">
        <v>45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s="14" customFormat="1" x14ac:dyDescent="0.25">
      <c r="A60" s="20"/>
      <c r="B60" s="20"/>
      <c r="C60" s="15"/>
      <c r="D60" s="15"/>
      <c r="E60" s="15"/>
      <c r="F60" s="15"/>
      <c r="G60" s="15"/>
      <c r="H60" s="21"/>
      <c r="I60" s="1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s="14" customFormat="1" x14ac:dyDescent="0.25">
      <c r="A61" s="20"/>
      <c r="B61" s="20"/>
      <c r="C61" s="15"/>
      <c r="D61" s="15"/>
      <c r="E61" s="15"/>
      <c r="F61" s="15"/>
      <c r="G61" s="15"/>
      <c r="H61" s="21"/>
      <c r="I61" s="13"/>
      <c r="J61" s="3"/>
      <c r="K61" s="3"/>
      <c r="L61" s="3"/>
      <c r="M61" s="3"/>
      <c r="N61" s="3"/>
      <c r="O61" s="3"/>
      <c r="P61" s="3"/>
      <c r="Q61" s="3"/>
    </row>
    <row r="62" spans="1:20" s="14" customFormat="1" x14ac:dyDescent="0.25">
      <c r="A62" s="20"/>
      <c r="B62" s="20"/>
      <c r="C62" s="15"/>
      <c r="D62" s="15"/>
      <c r="E62" s="15"/>
      <c r="F62" s="15"/>
      <c r="G62" s="15"/>
      <c r="H62" s="21"/>
      <c r="I62" s="13"/>
      <c r="J62" s="3"/>
      <c r="K62" s="3"/>
      <c r="L62" s="3"/>
      <c r="M62" s="3"/>
      <c r="N62" s="3"/>
      <c r="O62" s="3"/>
      <c r="P62" s="3"/>
      <c r="Q62" s="3"/>
    </row>
    <row r="63" spans="1:20" s="14" customFormat="1" x14ac:dyDescent="0.25">
      <c r="A63" s="20"/>
      <c r="B63" s="20"/>
      <c r="C63" s="15"/>
      <c r="D63" s="15"/>
      <c r="E63" s="15"/>
      <c r="F63" s="15"/>
      <c r="G63" s="15"/>
      <c r="H63" s="21"/>
      <c r="I63" s="13"/>
      <c r="J63" s="3"/>
      <c r="K63" s="3"/>
      <c r="L63" s="3"/>
      <c r="M63" s="3"/>
      <c r="N63" s="3"/>
      <c r="O63" s="3"/>
      <c r="P63" s="3"/>
      <c r="Q63" s="3"/>
    </row>
  </sheetData>
  <mergeCells count="12">
    <mergeCell ref="A33:I33"/>
    <mergeCell ref="A34:I34"/>
    <mergeCell ref="A35:I35"/>
    <mergeCell ref="A36:I36"/>
    <mergeCell ref="A37:A38"/>
    <mergeCell ref="I37:I38"/>
    <mergeCell ref="A1:I1"/>
    <mergeCell ref="A2:I2"/>
    <mergeCell ref="A3:I3"/>
    <mergeCell ref="A4:I4"/>
    <mergeCell ref="A5:A6"/>
    <mergeCell ref="I5:I6"/>
  </mergeCells>
  <pageMargins left="0.7" right="0.7" top="0.75" bottom="0.75" header="0.3" footer="0.3"/>
  <pageSetup scale="49" orientation="portrait" r:id="rId1"/>
  <colBreaks count="1" manualBreakCount="1">
    <brk id="10" max="60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9.13</vt:lpstr>
      <vt:lpstr>'9.13'!Print_Area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2023-07-20T07:16:26Z</cp:lastPrinted>
  <dcterms:created xsi:type="dcterms:W3CDTF">2019-09-09T05:11:24Z</dcterms:created>
  <dcterms:modified xsi:type="dcterms:W3CDTF">2023-07-20T07:16:37Z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