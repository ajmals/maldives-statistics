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3A88EE53-4143-471C-9122-04CBD13E7DAB}" xr6:coauthVersionLast="47" xr6:coauthVersionMax="47" xr10:uidLastSave="{00000000-0000-0000-0000-000000000000}"/>
  <bookViews>
    <workbookView xWindow="-110" yWindow="-110" windowWidth="19420" windowHeight="10300" tabRatio="760" xr2:uid="{00000000-000D-0000-FFFF-FFFF00000000}"/>
  </bookViews>
  <sheets>
    <sheet name="12.3" sheetId="18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'12.3'!$A$1:$P$43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8" l="1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</calcChain>
</file>

<file path=xl/sharedStrings.xml><?xml version="1.0" encoding="utf-8"?>
<sst xmlns="http://schemas.openxmlformats.org/spreadsheetml/2006/main" count="90" uniqueCount="90">
  <si>
    <t>cnwt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</si>
  <si>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</si>
  <si>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</si>
  <si>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</si>
  <si>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</si>
  <si>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</si>
  <si>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</si>
  <si>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</si>
  <si>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</si>
  <si>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</si>
  <si>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</si>
  <si>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</si>
  <si>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</si>
  <si>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</si>
  <si>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</si>
  <si>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</si>
  <si>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</si>
  <si>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</si>
  <si>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</si>
  <si>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</si>
  <si>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</si>
  <si>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</si>
  <si>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</si>
  <si>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</si>
  <si>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</si>
  <si>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</si>
  <si>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</si>
  <si>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</si>
  <si>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</si>
  <si>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</si>
  <si>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</si>
  <si>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</si>
  <si>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</si>
  <si>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</si>
  <si>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</si>
  <si>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</si>
  <si>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</si>
  <si>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</si>
  <si>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</si>
  <si>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</si>
  <si>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</si>
  <si>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</si>
  <si>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</si>
  <si>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</si>
  <si>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</si>
  <si>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</si>
  <si>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</si>
  <si>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</si>
  <si>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</si>
  <si>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</si>
  <si>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</si>
  <si>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</si>
  <si>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</si>
  <si>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</si>
  <si>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</si>
  <si>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</si>
  <si>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</si>
  <si>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</si>
  <si>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</si>
  <si>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</si>
  <si>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</si>
  <si>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</si>
  <si>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</si>
  <si>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</si>
  <si>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</si>
  <si>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</si>
  <si>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</si>
  <si>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</si>
  <si>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</si>
  <si>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</si>
  <si>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</si>
  <si>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</si>
  <si>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</si>
  <si>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</si>
  <si>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</si>
  <si>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</si>
  <si>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</si>
  <si>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</si>
  <si>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</si>
  <si>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</si>
  <si>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</si>
  <si>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</si>
  <si>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</si>
  <si>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</si>
  <si>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</si>
  <si>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</si>
  <si>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</si>
  <si>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Adh.Mahibadhoo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</si>
  <si>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2022</t>
  </si>
  <si>
    <t>Table  12.3 :   MONTHLY CONSUMPTION OF FUEL FOR ELECTRICITY GENERATION IN SELECTED LOCALITIES BY PUBLIC SECTOR,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</si>
</sst>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_Faseyha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1"/>
      <color theme="1"/>
      <name val="Calibri"/>
      <family val="2"/>
      <scheme val="minor"/>
    </font>
    <font>
      <b/>
      <sz val="10.5"/>
      <name val="A_Faseyha"/>
    </font>
    <font>
      <b/>
      <sz val="10.5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sz val="11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14" fillId="2" borderId="4" xfId="2" applyFont="1" applyFill="1" applyBorder="1" applyAlignment="1">
      <alignment vertical="center"/>
    </xf>
    <xf numFmtId="0" fontId="4" fillId="2" borderId="3" xfId="2" applyFont="1" applyFill="1" applyBorder="1" applyAlignment="1">
      <alignment vertical="center"/>
    </xf>
    <xf numFmtId="165" fontId="4" fillId="2" borderId="3" xfId="1" applyFont="1" applyFill="1" applyBorder="1" applyAlignment="1" applyProtection="1">
      <alignment horizontal="right" vertical="center"/>
    </xf>
    <xf numFmtId="166" fontId="2" fillId="2" borderId="8" xfId="0" applyNumberFormat="1" applyFont="1" applyFill="1" applyBorder="1" applyAlignment="1">
      <alignment horizontal="right" vertical="center"/>
    </xf>
    <xf numFmtId="0" fontId="15" fillId="2" borderId="8" xfId="0" applyFont="1" applyFill="1" applyBorder="1" applyAlignment="1">
      <alignment horizontal="right" vertical="center"/>
    </xf>
    <xf numFmtId="166" fontId="2" fillId="2" borderId="7" xfId="0" applyNumberFormat="1" applyFont="1" applyFill="1" applyBorder="1" applyAlignment="1">
      <alignment horizontal="right" vertical="center"/>
    </xf>
    <xf numFmtId="0" fontId="6" fillId="2" borderId="2" xfId="2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3" fillId="2" borderId="5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166" fontId="3" fillId="2" borderId="8" xfId="0" applyNumberFormat="1" applyFont="1" applyFill="1" applyBorder="1" applyAlignment="1">
      <alignment horizontal="right" vertical="center"/>
    </xf>
    <xf numFmtId="166" fontId="3" fillId="2" borderId="7" xfId="0" applyNumberFormat="1" applyFont="1" applyFill="1" applyBorder="1" applyAlignment="1">
      <alignment horizontal="right" vertical="center"/>
    </xf>
    <xf numFmtId="0" fontId="14" fillId="2" borderId="8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2" borderId="1" xfId="2" applyFont="1" applyFill="1" applyBorder="1" applyAlignment="1">
      <alignment vertical="center"/>
    </xf>
    <xf numFmtId="0" fontId="14" fillId="2" borderId="11" xfId="2" applyFont="1" applyFill="1" applyBorder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15" fillId="2" borderId="12" xfId="0" applyFont="1" applyFill="1" applyBorder="1" applyAlignment="1">
      <alignment horizontal="right" vertical="center"/>
    </xf>
    <xf numFmtId="0" fontId="13" fillId="2" borderId="8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0" fillId="2" borderId="7" xfId="2" applyFont="1" applyFill="1" applyBorder="1" applyAlignment="1">
      <alignment horizontal="center" vertical="top"/>
    </xf>
    <xf numFmtId="0" fontId="10" fillId="2" borderId="10" xfId="2" applyFont="1" applyFill="1" applyBorder="1" applyAlignment="1">
      <alignment horizontal="center" vertical="top"/>
    </xf>
    <xf numFmtId="0" fontId="10" fillId="2" borderId="6" xfId="2" applyFont="1" applyFill="1" applyBorder="1" applyAlignment="1">
      <alignment horizontal="center" vertical="top"/>
    </xf>
  </cellXfs>
  <cellStyles count="8">
    <cellStyle name="Comma 2" xfId="1" xr:uid="{00000000-0005-0000-0000-000001000000}"/>
    <cellStyle name="Comma 2 2" xfId="7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4" xr:uid="{00000000-0005-0000-0000-000006000000}"/>
    <cellStyle name="Normal 4" xfId="6" xr:uid="{20929243-CB8C-4CF2-AC69-17703CC8D5A5}"/>
    <cellStyle name="Normal 5" xfId="5" xr:uid="{66F2880D-D6E5-4B3B-87A1-A67063300ED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4EB9-D05C-4582-A23E-A9B90B2FBD31}">
  <dimension ref="A1:CC1100"/>
  <sheetViews>
    <sheetView tabSelected="1" topLeftCell="E1" zoomScaleNormal="100" workbookViewId="0">
      <selection activeCell="T14" sqref="T14"/>
    </sheetView>
  </sheetViews>
  <sheetFormatPr defaultColWidth="11.1796875" defaultRowHeight="15.5" x14ac:dyDescent="0.35"/>
  <cols>
    <col min="1" max="1" width="18.08984375" style="1" customWidth="1"/>
    <col min="2" max="2" width="12" style="1" customWidth="1"/>
    <col min="3" max="14" width="9.7265625" style="1" customWidth="1"/>
    <col min="15" max="15" width="15.453125" style="1" customWidth="1"/>
    <col min="16" max="16" width="1.81640625" style="16" customWidth="1"/>
    <col min="17" max="81" width="11.1796875" style="17"/>
    <col min="82" max="16384" width="11.1796875" style="1"/>
  </cols>
  <sheetData>
    <row r="1" spans="1:15" ht="21.5" x14ac:dyDescent="0.35">
      <c r="A1" s="22" t="s">
        <v>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15" x14ac:dyDescent="0.35">
      <c r="A2" s="25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ht="16.5" x14ac:dyDescent="0.6">
      <c r="A3" s="28" t="s">
        <v>86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x14ac:dyDescent="0.35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1"/>
    </row>
    <row r="5" spans="1:15" x14ac:dyDescent="0.3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20" t="s">
        <v>0</v>
      </c>
    </row>
    <row r="6" spans="1:15" ht="20" x14ac:dyDescent="0.35">
      <c r="A6" s="12" t="s">
        <v>17</v>
      </c>
      <c r="B6" s="4">
        <f>SUM(C6:N6)</f>
        <v>61133.581000000006</v>
      </c>
      <c r="C6" s="14">
        <v>4583.8270000000002</v>
      </c>
      <c r="D6" s="14">
        <v>4494.1499999999996</v>
      </c>
      <c r="E6" s="14">
        <v>5569.1450000000004</v>
      </c>
      <c r="F6" s="14">
        <v>6185.4759999999997</v>
      </c>
      <c r="G6" s="14">
        <v>5418.5240000000003</v>
      </c>
      <c r="H6" s="14">
        <v>5550.4530000000004</v>
      </c>
      <c r="I6" s="14">
        <v>4291.5770000000002</v>
      </c>
      <c r="J6" s="14">
        <v>4909.8580000000002</v>
      </c>
      <c r="K6" s="14">
        <v>4849.4269999999997</v>
      </c>
      <c r="L6" s="14">
        <v>4846.5619999999999</v>
      </c>
      <c r="M6" s="14">
        <v>5354.5110000000004</v>
      </c>
      <c r="N6" s="14">
        <v>5080.0709999999999</v>
      </c>
      <c r="O6" s="5" t="s">
        <v>18</v>
      </c>
    </row>
    <row r="7" spans="1:15" ht="20" x14ac:dyDescent="0.35">
      <c r="A7" s="12" t="s">
        <v>19</v>
      </c>
      <c r="B7" s="4">
        <f>SUM(C7:N7)</f>
        <v>3547.4630000000002</v>
      </c>
      <c r="C7" s="14">
        <v>303.89</v>
      </c>
      <c r="D7" s="14">
        <v>284.31099999999998</v>
      </c>
      <c r="E7" s="14">
        <v>326.464</v>
      </c>
      <c r="F7" s="14">
        <v>326.86900000000003</v>
      </c>
      <c r="G7" s="14">
        <v>344.44200000000001</v>
      </c>
      <c r="H7" s="14">
        <v>311.44499999999999</v>
      </c>
      <c r="I7" s="14">
        <v>267.43299999999999</v>
      </c>
      <c r="J7" s="14">
        <v>282.29399999999998</v>
      </c>
      <c r="K7" s="14">
        <v>274.91399999999999</v>
      </c>
      <c r="L7" s="14">
        <v>275.27100000000002</v>
      </c>
      <c r="M7" s="14">
        <v>273.61500000000001</v>
      </c>
      <c r="N7" s="14">
        <v>276.51499999999999</v>
      </c>
      <c r="O7" s="5" t="s">
        <v>20</v>
      </c>
    </row>
    <row r="8" spans="1:15" ht="20" x14ac:dyDescent="0.35">
      <c r="A8" s="12" t="s">
        <v>21</v>
      </c>
      <c r="B8" s="4">
        <f>SUM(C8:N8)</f>
        <v>73586.459520000004</v>
      </c>
      <c r="C8" s="14">
        <v>5945.0573199999999</v>
      </c>
      <c r="D8" s="14">
        <v>5573.9423200000001</v>
      </c>
      <c r="E8" s="14">
        <v>6222.1057099999998</v>
      </c>
      <c r="F8" s="14">
        <v>5908.7764000000006</v>
      </c>
      <c r="G8" s="14">
        <v>6281.7243899999994</v>
      </c>
      <c r="H8" s="14">
        <v>6100.9665700000005</v>
      </c>
      <c r="I8" s="14">
        <v>6189.03946</v>
      </c>
      <c r="J8" s="14">
        <v>6485.1997099999999</v>
      </c>
      <c r="K8" s="14">
        <v>6095.1369599999998</v>
      </c>
      <c r="L8" s="14">
        <v>6377.3681699999997</v>
      </c>
      <c r="M8" s="14">
        <v>6126.2652300000009</v>
      </c>
      <c r="N8" s="14">
        <v>6280.8772800000006</v>
      </c>
      <c r="O8" s="5" t="s">
        <v>22</v>
      </c>
    </row>
    <row r="9" spans="1:15" ht="20" x14ac:dyDescent="0.35">
      <c r="A9" s="12" t="s">
        <v>23</v>
      </c>
      <c r="B9" s="4">
        <f t="shared" ref="B9:B40" si="0">SUM(C9:N9)</f>
        <v>1147.6620000000003</v>
      </c>
      <c r="C9" s="14">
        <v>97.709000000000003</v>
      </c>
      <c r="D9" s="14">
        <v>91.42</v>
      </c>
      <c r="E9" s="14">
        <v>105.66200000000001</v>
      </c>
      <c r="F9" s="14">
        <v>116.569</v>
      </c>
      <c r="G9" s="14">
        <v>103.6</v>
      </c>
      <c r="H9" s="14">
        <v>97.748999999999995</v>
      </c>
      <c r="I9" s="14">
        <v>89.99</v>
      </c>
      <c r="J9" s="14">
        <v>88.421000000000006</v>
      </c>
      <c r="K9" s="14">
        <v>89.411000000000001</v>
      </c>
      <c r="L9" s="14">
        <v>90.048000000000002</v>
      </c>
      <c r="M9" s="14">
        <v>90.921999999999997</v>
      </c>
      <c r="N9" s="14">
        <v>86.161000000000001</v>
      </c>
      <c r="O9" s="5" t="s">
        <v>24</v>
      </c>
    </row>
    <row r="10" spans="1:15" ht="20" x14ac:dyDescent="0.35">
      <c r="A10" s="12" t="s">
        <v>25</v>
      </c>
      <c r="B10" s="4">
        <f t="shared" si="0"/>
        <v>645.29399999999998</v>
      </c>
      <c r="C10" s="14">
        <v>58.774999999999999</v>
      </c>
      <c r="D10" s="14">
        <v>55.506999999999998</v>
      </c>
      <c r="E10" s="14">
        <v>60.661000000000001</v>
      </c>
      <c r="F10" s="14">
        <v>66.603999999999999</v>
      </c>
      <c r="G10" s="14">
        <v>54.164000000000001</v>
      </c>
      <c r="H10" s="14">
        <v>54.005000000000003</v>
      </c>
      <c r="I10" s="14">
        <v>50.600999999999999</v>
      </c>
      <c r="J10" s="14">
        <v>48.594000000000001</v>
      </c>
      <c r="K10" s="14">
        <v>48.573999999999998</v>
      </c>
      <c r="L10" s="14">
        <v>47.16</v>
      </c>
      <c r="M10" s="14">
        <v>50.302999999999997</v>
      </c>
      <c r="N10" s="14">
        <v>50.345999999999997</v>
      </c>
      <c r="O10" s="5" t="s">
        <v>26</v>
      </c>
    </row>
    <row r="11" spans="1:15" ht="20" x14ac:dyDescent="0.35">
      <c r="A11" s="12" t="s">
        <v>27</v>
      </c>
      <c r="B11" s="4">
        <f t="shared" si="0"/>
        <v>852.56399999999985</v>
      </c>
      <c r="C11" s="14">
        <v>76.355000000000004</v>
      </c>
      <c r="D11" s="14">
        <v>70.194999999999993</v>
      </c>
      <c r="E11" s="14">
        <v>80.891999999999996</v>
      </c>
      <c r="F11" s="14">
        <v>74.918999999999997</v>
      </c>
      <c r="G11" s="14">
        <v>72.662000000000006</v>
      </c>
      <c r="H11" s="14">
        <v>67.332999999999998</v>
      </c>
      <c r="I11" s="14">
        <v>75.972999999999999</v>
      </c>
      <c r="J11" s="14">
        <v>63.987000000000002</v>
      </c>
      <c r="K11" s="14">
        <v>61.619</v>
      </c>
      <c r="L11" s="14">
        <v>66.707999999999998</v>
      </c>
      <c r="M11" s="14">
        <v>67.924000000000007</v>
      </c>
      <c r="N11" s="14">
        <v>73.997</v>
      </c>
      <c r="O11" s="5" t="s">
        <v>28</v>
      </c>
    </row>
    <row r="12" spans="1:15" ht="20" x14ac:dyDescent="0.35">
      <c r="A12" s="12" t="s">
        <v>29</v>
      </c>
      <c r="B12" s="4">
        <f t="shared" si="0"/>
        <v>1205.5535400000001</v>
      </c>
      <c r="C12" s="14">
        <v>98.345140000000001</v>
      </c>
      <c r="D12" s="14">
        <v>94.163629999999998</v>
      </c>
      <c r="E12" s="14">
        <v>110.54817</v>
      </c>
      <c r="F12" s="14">
        <v>109.28783</v>
      </c>
      <c r="G12" s="14">
        <v>102.25324999999999</v>
      </c>
      <c r="H12" s="14">
        <v>101.95821000000001</v>
      </c>
      <c r="I12" s="14">
        <v>104.20308</v>
      </c>
      <c r="J12" s="14">
        <v>101.06602000000001</v>
      </c>
      <c r="K12" s="14">
        <v>97.726500000000001</v>
      </c>
      <c r="L12" s="14">
        <v>98.12124</v>
      </c>
      <c r="M12" s="14">
        <v>95.334270000000004</v>
      </c>
      <c r="N12" s="14">
        <v>92.546199999999999</v>
      </c>
      <c r="O12" s="5" t="s">
        <v>30</v>
      </c>
    </row>
    <row r="13" spans="1:15" ht="20" x14ac:dyDescent="0.35">
      <c r="A13" s="12" t="s">
        <v>31</v>
      </c>
      <c r="B13" s="4">
        <f t="shared" si="0"/>
        <v>1207.0549999999998</v>
      </c>
      <c r="C13" s="14">
        <v>101.11</v>
      </c>
      <c r="D13" s="14">
        <v>96.03</v>
      </c>
      <c r="E13" s="14">
        <v>111.67400000000001</v>
      </c>
      <c r="F13" s="14">
        <v>116.729</v>
      </c>
      <c r="G13" s="14">
        <v>106.702</v>
      </c>
      <c r="H13" s="14">
        <v>104.32</v>
      </c>
      <c r="I13" s="14">
        <v>98.995999999999995</v>
      </c>
      <c r="J13" s="14">
        <v>97.313000000000002</v>
      </c>
      <c r="K13" s="14">
        <v>94.573999999999998</v>
      </c>
      <c r="L13" s="14">
        <v>96.885999999999996</v>
      </c>
      <c r="M13" s="14">
        <v>90.397000000000006</v>
      </c>
      <c r="N13" s="14">
        <v>92.323999999999998</v>
      </c>
      <c r="O13" s="5" t="s">
        <v>32</v>
      </c>
    </row>
    <row r="14" spans="1:15" ht="20" x14ac:dyDescent="0.35">
      <c r="A14" s="12" t="s">
        <v>33</v>
      </c>
      <c r="B14" s="4">
        <f t="shared" si="0"/>
        <v>2365.2320300000001</v>
      </c>
      <c r="C14" s="14">
        <v>200.553</v>
      </c>
      <c r="D14" s="14">
        <v>184.77500000000001</v>
      </c>
      <c r="E14" s="14">
        <v>208.51103000000001</v>
      </c>
      <c r="F14" s="14">
        <v>210.119</v>
      </c>
      <c r="G14" s="14">
        <v>201.941</v>
      </c>
      <c r="H14" s="14">
        <v>201.12899999999999</v>
      </c>
      <c r="I14" s="14">
        <v>187.45599999999999</v>
      </c>
      <c r="J14" s="14">
        <v>189.60400000000001</v>
      </c>
      <c r="K14" s="14">
        <v>184.19</v>
      </c>
      <c r="L14" s="14">
        <v>190.50399999999999</v>
      </c>
      <c r="M14" s="14">
        <v>186.27699999999999</v>
      </c>
      <c r="N14" s="14">
        <v>220.173</v>
      </c>
      <c r="O14" s="5" t="s">
        <v>34</v>
      </c>
    </row>
    <row r="15" spans="1:15" ht="20" x14ac:dyDescent="0.35">
      <c r="A15" s="12" t="s">
        <v>35</v>
      </c>
      <c r="B15" s="4">
        <f t="shared" si="0"/>
        <v>427.08499999999998</v>
      </c>
      <c r="C15" s="14">
        <v>31.285</v>
      </c>
      <c r="D15" s="14">
        <v>29.486000000000001</v>
      </c>
      <c r="E15" s="14">
        <v>32.079000000000001</v>
      </c>
      <c r="F15" s="14">
        <v>32.168999999999997</v>
      </c>
      <c r="G15" s="14">
        <v>32.168999999999997</v>
      </c>
      <c r="H15" s="14">
        <v>35.997</v>
      </c>
      <c r="I15" s="14">
        <v>38.741</v>
      </c>
      <c r="J15" s="14">
        <v>37.286000000000001</v>
      </c>
      <c r="K15" s="14">
        <v>36.512</v>
      </c>
      <c r="L15" s="14">
        <v>37.279000000000003</v>
      </c>
      <c r="M15" s="14">
        <v>42.121000000000002</v>
      </c>
      <c r="N15" s="14">
        <v>41.960999999999999</v>
      </c>
      <c r="O15" s="5" t="s">
        <v>36</v>
      </c>
    </row>
    <row r="16" spans="1:15" ht="20" x14ac:dyDescent="0.35">
      <c r="A16" s="12" t="s">
        <v>37</v>
      </c>
      <c r="B16" s="4">
        <f t="shared" si="0"/>
        <v>603.07299999999998</v>
      </c>
      <c r="C16" s="14">
        <v>47.534999999999997</v>
      </c>
      <c r="D16" s="14">
        <v>46.566000000000003</v>
      </c>
      <c r="E16" s="14">
        <v>56.05</v>
      </c>
      <c r="F16" s="14">
        <v>56.912999999999997</v>
      </c>
      <c r="G16" s="14">
        <v>52.103999999999999</v>
      </c>
      <c r="H16" s="14">
        <v>51.209000000000003</v>
      </c>
      <c r="I16" s="14">
        <v>49.918999999999997</v>
      </c>
      <c r="J16" s="14">
        <v>46.82</v>
      </c>
      <c r="K16" s="14">
        <v>47.427999999999997</v>
      </c>
      <c r="L16" s="14">
        <v>48.942999999999998</v>
      </c>
      <c r="M16" s="14">
        <v>49.485999999999997</v>
      </c>
      <c r="N16" s="14">
        <v>50.1</v>
      </c>
      <c r="O16" s="5" t="s">
        <v>38</v>
      </c>
    </row>
    <row r="17" spans="1:15" ht="20" x14ac:dyDescent="0.35">
      <c r="A17" s="12" t="s">
        <v>39</v>
      </c>
      <c r="B17" s="4">
        <f t="shared" si="0"/>
        <v>3785.6270000000004</v>
      </c>
      <c r="C17" s="14">
        <v>324.52600000000001</v>
      </c>
      <c r="D17" s="14">
        <v>310.58300000000003</v>
      </c>
      <c r="E17" s="14">
        <v>354.339</v>
      </c>
      <c r="F17" s="14">
        <v>342.71800000000002</v>
      </c>
      <c r="G17" s="14">
        <v>335.75200000000001</v>
      </c>
      <c r="H17" s="14">
        <v>309.99599999999998</v>
      </c>
      <c r="I17" s="14">
        <v>304.69200000000001</v>
      </c>
      <c r="J17" s="14">
        <v>302.31900000000002</v>
      </c>
      <c r="K17" s="14">
        <v>292.54300000000001</v>
      </c>
      <c r="L17" s="14">
        <v>302.286</v>
      </c>
      <c r="M17" s="14">
        <v>290.959</v>
      </c>
      <c r="N17" s="14">
        <v>314.91399999999999</v>
      </c>
      <c r="O17" s="5" t="s">
        <v>40</v>
      </c>
    </row>
    <row r="18" spans="1:15" ht="20" x14ac:dyDescent="0.35">
      <c r="A18" s="12" t="s">
        <v>41</v>
      </c>
      <c r="B18" s="4">
        <f t="shared" si="0"/>
        <v>1219.913</v>
      </c>
      <c r="C18" s="14">
        <v>107.306</v>
      </c>
      <c r="D18" s="14">
        <v>101.479</v>
      </c>
      <c r="E18" s="14">
        <v>115.602</v>
      </c>
      <c r="F18" s="14">
        <v>119.798</v>
      </c>
      <c r="G18" s="14">
        <v>106.126</v>
      </c>
      <c r="H18" s="14">
        <v>103.214</v>
      </c>
      <c r="I18" s="14">
        <v>97.552999999999997</v>
      </c>
      <c r="J18" s="14">
        <v>95.242999999999995</v>
      </c>
      <c r="K18" s="14">
        <v>93.981999999999999</v>
      </c>
      <c r="L18" s="14">
        <v>91.162000000000006</v>
      </c>
      <c r="M18" s="14">
        <v>95.204999999999998</v>
      </c>
      <c r="N18" s="14">
        <v>93.242999999999995</v>
      </c>
      <c r="O18" s="5" t="s">
        <v>42</v>
      </c>
    </row>
    <row r="19" spans="1:15" ht="20" x14ac:dyDescent="0.35">
      <c r="A19" s="12" t="s">
        <v>43</v>
      </c>
      <c r="B19" s="4">
        <f t="shared" si="0"/>
        <v>1062.04</v>
      </c>
      <c r="C19" s="14">
        <v>95.686000000000007</v>
      </c>
      <c r="D19" s="14">
        <v>92.421999999999997</v>
      </c>
      <c r="E19" s="14">
        <v>102.316</v>
      </c>
      <c r="F19" s="14">
        <v>94.575999999999993</v>
      </c>
      <c r="G19" s="14">
        <v>87.147999999999996</v>
      </c>
      <c r="H19" s="14">
        <v>86.209000000000003</v>
      </c>
      <c r="I19" s="14">
        <v>80.819999999999993</v>
      </c>
      <c r="J19" s="14">
        <v>81.311000000000007</v>
      </c>
      <c r="K19" s="14">
        <v>78.805000000000007</v>
      </c>
      <c r="L19" s="14">
        <v>80.963999999999999</v>
      </c>
      <c r="M19" s="14">
        <v>89.176000000000002</v>
      </c>
      <c r="N19" s="14">
        <v>92.606999999999999</v>
      </c>
      <c r="O19" s="5" t="s">
        <v>44</v>
      </c>
    </row>
    <row r="20" spans="1:15" ht="20" x14ac:dyDescent="0.35">
      <c r="A20" s="12" t="s">
        <v>45</v>
      </c>
      <c r="B20" s="4">
        <f t="shared" si="0"/>
        <v>526.63700000000017</v>
      </c>
      <c r="C20" s="14">
        <v>45.889000000000003</v>
      </c>
      <c r="D20" s="14">
        <v>43.610999999999997</v>
      </c>
      <c r="E20" s="14">
        <v>47.970999999999997</v>
      </c>
      <c r="F20" s="14">
        <v>51.53</v>
      </c>
      <c r="G20" s="14">
        <v>45.423000000000002</v>
      </c>
      <c r="H20" s="14">
        <v>46.137999999999998</v>
      </c>
      <c r="I20" s="14">
        <v>41.42</v>
      </c>
      <c r="J20" s="14">
        <v>42.872</v>
      </c>
      <c r="K20" s="14">
        <v>43.066000000000003</v>
      </c>
      <c r="L20" s="14">
        <v>38.869</v>
      </c>
      <c r="M20" s="14">
        <v>40.573999999999998</v>
      </c>
      <c r="N20" s="14">
        <v>39.274000000000001</v>
      </c>
      <c r="O20" s="5" t="s">
        <v>46</v>
      </c>
    </row>
    <row r="21" spans="1:15" ht="20" x14ac:dyDescent="0.35">
      <c r="A21" s="12" t="s">
        <v>47</v>
      </c>
      <c r="B21" s="4">
        <f t="shared" si="0"/>
        <v>365.10300000000001</v>
      </c>
      <c r="C21" s="14">
        <v>30.771000000000001</v>
      </c>
      <c r="D21" s="14">
        <v>30.077999999999999</v>
      </c>
      <c r="E21" s="14">
        <v>35.082999999999998</v>
      </c>
      <c r="F21" s="14">
        <v>37.273000000000003</v>
      </c>
      <c r="G21" s="14">
        <v>31.414999999999999</v>
      </c>
      <c r="H21" s="14">
        <v>32.281999999999996</v>
      </c>
      <c r="I21" s="14">
        <v>27.699000000000002</v>
      </c>
      <c r="J21" s="14">
        <v>28.225000000000001</v>
      </c>
      <c r="K21" s="14">
        <v>28.353999999999999</v>
      </c>
      <c r="L21" s="14">
        <v>27.448</v>
      </c>
      <c r="M21" s="14">
        <v>27.858000000000001</v>
      </c>
      <c r="N21" s="14">
        <v>28.617000000000001</v>
      </c>
      <c r="O21" s="5" t="s">
        <v>48</v>
      </c>
    </row>
    <row r="22" spans="1:15" ht="20" x14ac:dyDescent="0.35">
      <c r="A22" s="12" t="s">
        <v>49</v>
      </c>
      <c r="B22" s="4">
        <f t="shared" si="0"/>
        <v>322.32499999999999</v>
      </c>
      <c r="C22" s="14">
        <v>28.675000000000001</v>
      </c>
      <c r="D22" s="14">
        <v>26.611000000000001</v>
      </c>
      <c r="E22" s="14">
        <v>30.66</v>
      </c>
      <c r="F22" s="14">
        <v>31.873999999999999</v>
      </c>
      <c r="G22" s="14">
        <v>28.568000000000001</v>
      </c>
      <c r="H22" s="14">
        <v>26.779</v>
      </c>
      <c r="I22" s="14">
        <v>25.324000000000002</v>
      </c>
      <c r="J22" s="14">
        <v>24.523</v>
      </c>
      <c r="K22" s="14">
        <v>24.83</v>
      </c>
      <c r="L22" s="14">
        <v>24.562000000000001</v>
      </c>
      <c r="M22" s="14">
        <v>24.227</v>
      </c>
      <c r="N22" s="14">
        <v>25.692</v>
      </c>
      <c r="O22" s="5" t="s">
        <v>50</v>
      </c>
    </row>
    <row r="23" spans="1:15" ht="20" x14ac:dyDescent="0.35">
      <c r="A23" s="12" t="s">
        <v>51</v>
      </c>
      <c r="B23" s="4">
        <f t="shared" si="0"/>
        <v>244.738</v>
      </c>
      <c r="C23" s="14">
        <v>21.361999999999998</v>
      </c>
      <c r="D23" s="14">
        <v>19.728000000000002</v>
      </c>
      <c r="E23" s="14">
        <v>22.978999999999999</v>
      </c>
      <c r="F23" s="14">
        <v>28.568000000000001</v>
      </c>
      <c r="G23" s="14">
        <v>21.170999999999999</v>
      </c>
      <c r="H23" s="14">
        <v>20.315999999999999</v>
      </c>
      <c r="I23" s="14">
        <v>16.722000000000001</v>
      </c>
      <c r="J23" s="14">
        <v>18.709</v>
      </c>
      <c r="K23" s="14">
        <v>19.100999999999999</v>
      </c>
      <c r="L23" s="14">
        <v>18.381</v>
      </c>
      <c r="M23" s="14">
        <v>18.670000000000002</v>
      </c>
      <c r="N23" s="14">
        <v>19.030999999999999</v>
      </c>
      <c r="O23" s="5" t="s">
        <v>52</v>
      </c>
    </row>
    <row r="24" spans="1:15" ht="20" x14ac:dyDescent="0.35">
      <c r="A24" s="12" t="s">
        <v>53</v>
      </c>
      <c r="B24" s="4">
        <f t="shared" si="0"/>
        <v>461.87599999999998</v>
      </c>
      <c r="C24" s="14">
        <v>41.459000000000003</v>
      </c>
      <c r="D24" s="14">
        <v>38.764000000000003</v>
      </c>
      <c r="E24" s="14">
        <v>44.151000000000003</v>
      </c>
      <c r="F24" s="14">
        <v>45.854999999999997</v>
      </c>
      <c r="G24" s="14">
        <v>40.566000000000003</v>
      </c>
      <c r="H24" s="14">
        <v>41.502000000000002</v>
      </c>
      <c r="I24" s="14">
        <v>35.406999999999996</v>
      </c>
      <c r="J24" s="14">
        <v>35.628999999999998</v>
      </c>
      <c r="K24" s="14">
        <v>35.552999999999997</v>
      </c>
      <c r="L24" s="14">
        <v>32.884999999999998</v>
      </c>
      <c r="M24" s="14">
        <v>33.994</v>
      </c>
      <c r="N24" s="14">
        <v>36.110999999999997</v>
      </c>
      <c r="O24" s="5" t="s">
        <v>54</v>
      </c>
    </row>
    <row r="25" spans="1:15" ht="20" x14ac:dyDescent="0.35">
      <c r="A25" s="12" t="s">
        <v>55</v>
      </c>
      <c r="B25" s="4">
        <f t="shared" si="0"/>
        <v>1111.6420000000001</v>
      </c>
      <c r="C25" s="14">
        <v>99.602999999999994</v>
      </c>
      <c r="D25" s="14">
        <v>93.71</v>
      </c>
      <c r="E25" s="14">
        <v>111.578</v>
      </c>
      <c r="F25" s="14">
        <v>106.489</v>
      </c>
      <c r="G25" s="14">
        <v>87.941000000000003</v>
      </c>
      <c r="H25" s="14">
        <v>90.545000000000002</v>
      </c>
      <c r="I25" s="14">
        <v>83.853999999999999</v>
      </c>
      <c r="J25" s="14">
        <v>86.376000000000005</v>
      </c>
      <c r="K25" s="14">
        <v>82.805000000000007</v>
      </c>
      <c r="L25" s="14">
        <v>86.36</v>
      </c>
      <c r="M25" s="14">
        <v>90.108999999999995</v>
      </c>
      <c r="N25" s="14">
        <v>92.272000000000006</v>
      </c>
      <c r="O25" s="5" t="s">
        <v>56</v>
      </c>
    </row>
    <row r="26" spans="1:15" ht="20" x14ac:dyDescent="0.35">
      <c r="A26" s="12" t="s">
        <v>57</v>
      </c>
      <c r="B26" s="4">
        <f t="shared" si="0"/>
        <v>1131.5729999999999</v>
      </c>
      <c r="C26" s="14">
        <v>107.812</v>
      </c>
      <c r="D26" s="14">
        <v>102.23399999999999</v>
      </c>
      <c r="E26" s="14">
        <v>110.658</v>
      </c>
      <c r="F26" s="14">
        <v>103.675</v>
      </c>
      <c r="G26" s="14">
        <v>92.777000000000001</v>
      </c>
      <c r="H26" s="14">
        <v>88.875</v>
      </c>
      <c r="I26" s="14">
        <v>84.491</v>
      </c>
      <c r="J26" s="14">
        <v>89.02</v>
      </c>
      <c r="K26" s="14">
        <v>82.150999999999996</v>
      </c>
      <c r="L26" s="14">
        <v>86.116</v>
      </c>
      <c r="M26" s="14">
        <v>91.962000000000003</v>
      </c>
      <c r="N26" s="14">
        <v>91.802000000000007</v>
      </c>
      <c r="O26" s="5" t="s">
        <v>58</v>
      </c>
    </row>
    <row r="27" spans="1:15" ht="20" x14ac:dyDescent="0.35">
      <c r="A27" s="12" t="s">
        <v>59</v>
      </c>
      <c r="B27" s="4">
        <f t="shared" si="0"/>
        <v>395.12499999999994</v>
      </c>
      <c r="C27" s="14">
        <v>26.759</v>
      </c>
      <c r="D27" s="14">
        <v>26.367999999999999</v>
      </c>
      <c r="E27" s="14">
        <v>32.381</v>
      </c>
      <c r="F27" s="14">
        <v>38.296999999999997</v>
      </c>
      <c r="G27" s="14">
        <v>36.604999999999997</v>
      </c>
      <c r="H27" s="14">
        <v>34.677999999999997</v>
      </c>
      <c r="I27" s="14">
        <v>40.987000000000002</v>
      </c>
      <c r="J27" s="14">
        <v>40.356000000000002</v>
      </c>
      <c r="K27" s="14">
        <v>31.495000000000001</v>
      </c>
      <c r="L27" s="14">
        <v>29.835000000000001</v>
      </c>
      <c r="M27" s="14">
        <v>28.303000000000001</v>
      </c>
      <c r="N27" s="14">
        <v>29.061</v>
      </c>
      <c r="O27" s="5" t="s">
        <v>60</v>
      </c>
    </row>
    <row r="28" spans="1:15" ht="20" x14ac:dyDescent="0.35">
      <c r="A28" s="12" t="s">
        <v>61</v>
      </c>
      <c r="B28" s="4">
        <f t="shared" si="0"/>
        <v>260.74900000000002</v>
      </c>
      <c r="C28" s="14">
        <v>22.457999999999998</v>
      </c>
      <c r="D28" s="14">
        <v>21.512</v>
      </c>
      <c r="E28" s="14">
        <v>24.472999999999999</v>
      </c>
      <c r="F28" s="14">
        <v>25.946000000000002</v>
      </c>
      <c r="G28" s="14">
        <v>22.318999999999999</v>
      </c>
      <c r="H28" s="14">
        <v>22.891999999999999</v>
      </c>
      <c r="I28" s="14">
        <v>20.547999999999998</v>
      </c>
      <c r="J28" s="14">
        <v>20.736000000000001</v>
      </c>
      <c r="K28" s="14">
        <v>20.43</v>
      </c>
      <c r="L28" s="14">
        <v>19.821000000000002</v>
      </c>
      <c r="M28" s="14">
        <v>19.268999999999998</v>
      </c>
      <c r="N28" s="14">
        <v>20.344999999999999</v>
      </c>
      <c r="O28" s="5" t="s">
        <v>62</v>
      </c>
    </row>
    <row r="29" spans="1:15" ht="20" x14ac:dyDescent="0.35">
      <c r="A29" s="12" t="s">
        <v>63</v>
      </c>
      <c r="B29" s="4">
        <f t="shared" si="0"/>
        <v>744.47199999999987</v>
      </c>
      <c r="C29" s="14">
        <v>65.804000000000002</v>
      </c>
      <c r="D29" s="14">
        <v>64.275000000000006</v>
      </c>
      <c r="E29" s="14">
        <v>76.230999999999995</v>
      </c>
      <c r="F29" s="14">
        <v>77.096999999999994</v>
      </c>
      <c r="G29" s="14">
        <v>67.283000000000001</v>
      </c>
      <c r="H29" s="14">
        <v>56.691000000000003</v>
      </c>
      <c r="I29" s="14">
        <v>54.024999999999999</v>
      </c>
      <c r="J29" s="14">
        <v>56.569000000000003</v>
      </c>
      <c r="K29" s="14">
        <v>52.768999999999998</v>
      </c>
      <c r="L29" s="14">
        <v>54.192999999999998</v>
      </c>
      <c r="M29" s="14">
        <v>57.86</v>
      </c>
      <c r="N29" s="14">
        <v>61.674999999999997</v>
      </c>
      <c r="O29" s="5" t="s">
        <v>64</v>
      </c>
    </row>
    <row r="30" spans="1:15" ht="20" x14ac:dyDescent="0.35">
      <c r="A30" s="12" t="s">
        <v>65</v>
      </c>
      <c r="B30" s="4">
        <f t="shared" si="0"/>
        <v>461.48599999999999</v>
      </c>
      <c r="C30" s="14">
        <v>40.606000000000002</v>
      </c>
      <c r="D30" s="14">
        <v>40.128999999999998</v>
      </c>
      <c r="E30" s="14">
        <v>43.552</v>
      </c>
      <c r="F30" s="14">
        <v>46.057000000000002</v>
      </c>
      <c r="G30" s="14">
        <v>40.835999999999999</v>
      </c>
      <c r="H30" s="14">
        <v>40.869</v>
      </c>
      <c r="I30" s="14">
        <v>35.68</v>
      </c>
      <c r="J30" s="14">
        <v>35.545000000000002</v>
      </c>
      <c r="K30" s="14">
        <v>34.165999999999997</v>
      </c>
      <c r="L30" s="14">
        <v>34.042000000000002</v>
      </c>
      <c r="M30" s="14">
        <v>33.951000000000001</v>
      </c>
      <c r="N30" s="14">
        <v>36.052999999999997</v>
      </c>
      <c r="O30" s="5" t="s">
        <v>66</v>
      </c>
    </row>
    <row r="31" spans="1:15" ht="20" x14ac:dyDescent="0.35">
      <c r="A31" s="12" t="s">
        <v>87</v>
      </c>
      <c r="B31" s="4">
        <f t="shared" si="0"/>
        <v>1351.12</v>
      </c>
      <c r="C31" s="14">
        <v>113.167</v>
      </c>
      <c r="D31" s="14">
        <v>110.20399999999999</v>
      </c>
      <c r="E31" s="14">
        <v>124.49</v>
      </c>
      <c r="F31" s="14">
        <v>133.06299999999999</v>
      </c>
      <c r="G31" s="14">
        <v>118.827</v>
      </c>
      <c r="H31" s="14">
        <v>119.679</v>
      </c>
      <c r="I31" s="14">
        <v>104.16500000000001</v>
      </c>
      <c r="J31" s="14">
        <v>104.05</v>
      </c>
      <c r="K31" s="14">
        <v>103.571</v>
      </c>
      <c r="L31" s="14">
        <v>103.95</v>
      </c>
      <c r="M31" s="14">
        <v>103.422</v>
      </c>
      <c r="N31" s="14">
        <v>112.532</v>
      </c>
      <c r="O31" s="5" t="s">
        <v>67</v>
      </c>
    </row>
    <row r="32" spans="1:15" ht="20" x14ac:dyDescent="0.35">
      <c r="A32" s="12" t="s">
        <v>68</v>
      </c>
      <c r="B32" s="4">
        <f t="shared" si="0"/>
        <v>298.55199999999996</v>
      </c>
      <c r="C32" s="14">
        <v>27.917000000000002</v>
      </c>
      <c r="D32" s="14">
        <v>25.917000000000002</v>
      </c>
      <c r="E32" s="14">
        <v>28.27</v>
      </c>
      <c r="F32" s="14">
        <v>28.648</v>
      </c>
      <c r="G32" s="14">
        <v>24.957000000000001</v>
      </c>
      <c r="H32" s="14">
        <v>23.984000000000002</v>
      </c>
      <c r="I32" s="14">
        <v>21.824999999999999</v>
      </c>
      <c r="J32" s="14">
        <v>23.289000000000001</v>
      </c>
      <c r="K32" s="14">
        <v>22.85</v>
      </c>
      <c r="L32" s="14">
        <v>23.545999999999999</v>
      </c>
      <c r="M32" s="14">
        <v>23.747</v>
      </c>
      <c r="N32" s="14">
        <v>23.602</v>
      </c>
      <c r="O32" s="5" t="s">
        <v>69</v>
      </c>
    </row>
    <row r="33" spans="1:81" ht="20" x14ac:dyDescent="0.35">
      <c r="A33" s="12" t="s">
        <v>70</v>
      </c>
      <c r="B33" s="4">
        <f t="shared" si="0"/>
        <v>112.66000000000003</v>
      </c>
      <c r="C33" s="14">
        <v>9.7360000000000007</v>
      </c>
      <c r="D33" s="14">
        <v>9.0470000000000006</v>
      </c>
      <c r="E33" s="14">
        <v>10.163</v>
      </c>
      <c r="F33" s="14">
        <v>10.826000000000001</v>
      </c>
      <c r="G33" s="14">
        <v>10.208</v>
      </c>
      <c r="H33" s="14">
        <v>9.7330000000000005</v>
      </c>
      <c r="I33" s="14">
        <v>9.5190000000000001</v>
      </c>
      <c r="J33" s="14">
        <v>8.8759999999999994</v>
      </c>
      <c r="K33" s="14">
        <v>8.7799999999999994</v>
      </c>
      <c r="L33" s="14">
        <v>8.2959999999999994</v>
      </c>
      <c r="M33" s="14">
        <v>8.1440000000000001</v>
      </c>
      <c r="N33" s="14">
        <v>9.3320000000000007</v>
      </c>
      <c r="O33" s="5" t="s">
        <v>71</v>
      </c>
    </row>
    <row r="34" spans="1:81" ht="20" x14ac:dyDescent="0.35">
      <c r="A34" s="12" t="s">
        <v>72</v>
      </c>
      <c r="B34" s="4">
        <f t="shared" si="0"/>
        <v>231.79000000000002</v>
      </c>
      <c r="C34" s="14">
        <v>18.13</v>
      </c>
      <c r="D34" s="14">
        <v>16.852</v>
      </c>
      <c r="E34" s="14">
        <v>18.829000000000001</v>
      </c>
      <c r="F34" s="14">
        <v>21.879000000000001</v>
      </c>
      <c r="G34" s="14">
        <v>18.984000000000002</v>
      </c>
      <c r="H34" s="14">
        <v>19.442</v>
      </c>
      <c r="I34" s="14">
        <v>19.067</v>
      </c>
      <c r="J34" s="14">
        <v>17.844000000000001</v>
      </c>
      <c r="K34" s="14">
        <v>31.879000000000001</v>
      </c>
      <c r="L34" s="14">
        <v>16.568000000000001</v>
      </c>
      <c r="M34" s="14">
        <v>15.708</v>
      </c>
      <c r="N34" s="14">
        <v>16.608000000000001</v>
      </c>
      <c r="O34" s="5" t="s">
        <v>73</v>
      </c>
    </row>
    <row r="35" spans="1:81" ht="20" x14ac:dyDescent="0.35">
      <c r="A35" s="12" t="s">
        <v>74</v>
      </c>
      <c r="B35" s="4">
        <f t="shared" si="0"/>
        <v>741.12800000000004</v>
      </c>
      <c r="C35" s="14">
        <v>61.161000000000001</v>
      </c>
      <c r="D35" s="14">
        <v>58.106999999999999</v>
      </c>
      <c r="E35" s="14">
        <v>69.316999999999993</v>
      </c>
      <c r="F35" s="14">
        <v>69.195999999999998</v>
      </c>
      <c r="G35" s="14">
        <v>60.999000000000002</v>
      </c>
      <c r="H35" s="14">
        <v>64.215000000000003</v>
      </c>
      <c r="I35" s="14">
        <v>66.850999999999999</v>
      </c>
      <c r="J35" s="14">
        <v>62.064</v>
      </c>
      <c r="K35" s="14">
        <v>56.999000000000002</v>
      </c>
      <c r="L35" s="14">
        <v>58.802</v>
      </c>
      <c r="M35" s="14">
        <v>55.956000000000003</v>
      </c>
      <c r="N35" s="14">
        <v>57.460999999999999</v>
      </c>
      <c r="O35" s="5" t="s">
        <v>75</v>
      </c>
    </row>
    <row r="36" spans="1:81" ht="20" x14ac:dyDescent="0.35">
      <c r="A36" s="12" t="s">
        <v>76</v>
      </c>
      <c r="B36" s="4">
        <f t="shared" si="0"/>
        <v>391.375</v>
      </c>
      <c r="C36" s="14">
        <v>33.994999999999997</v>
      </c>
      <c r="D36" s="14">
        <v>32.518000000000001</v>
      </c>
      <c r="E36" s="14">
        <v>37.779000000000003</v>
      </c>
      <c r="F36" s="14">
        <v>39.363</v>
      </c>
      <c r="G36" s="14">
        <v>35.665999999999997</v>
      </c>
      <c r="H36" s="14">
        <v>32.292999999999999</v>
      </c>
      <c r="I36" s="14">
        <v>30.253</v>
      </c>
      <c r="J36" s="14">
        <v>30.895</v>
      </c>
      <c r="K36" s="14">
        <v>30.58</v>
      </c>
      <c r="L36" s="14">
        <v>30.248000000000001</v>
      </c>
      <c r="M36" s="14">
        <v>29.16</v>
      </c>
      <c r="N36" s="14">
        <v>28.625</v>
      </c>
      <c r="O36" s="5" t="s">
        <v>77</v>
      </c>
    </row>
    <row r="37" spans="1:81" ht="20" x14ac:dyDescent="0.35">
      <c r="A37" s="12" t="s">
        <v>78</v>
      </c>
      <c r="B37" s="4">
        <f t="shared" si="0"/>
        <v>338.98499999999996</v>
      </c>
      <c r="C37" s="14">
        <v>29.172000000000001</v>
      </c>
      <c r="D37" s="14">
        <v>28.073</v>
      </c>
      <c r="E37" s="14">
        <v>33.122999999999998</v>
      </c>
      <c r="F37" s="14">
        <v>31.437999999999999</v>
      </c>
      <c r="G37" s="14">
        <v>27.495000000000001</v>
      </c>
      <c r="H37" s="14">
        <v>26.401</v>
      </c>
      <c r="I37" s="14">
        <v>28.228000000000002</v>
      </c>
      <c r="J37" s="14">
        <v>26.178999999999998</v>
      </c>
      <c r="K37" s="14">
        <v>24.744</v>
      </c>
      <c r="L37" s="14">
        <v>27.178999999999998</v>
      </c>
      <c r="M37" s="14">
        <v>26.771999999999998</v>
      </c>
      <c r="N37" s="14">
        <v>30.181000000000001</v>
      </c>
      <c r="O37" s="5" t="s">
        <v>79</v>
      </c>
    </row>
    <row r="38" spans="1:81" ht="20" x14ac:dyDescent="0.35">
      <c r="A38" s="12" t="s">
        <v>80</v>
      </c>
      <c r="B38" s="4">
        <f t="shared" si="0"/>
        <v>373.517</v>
      </c>
      <c r="C38" s="14">
        <v>36.073</v>
      </c>
      <c r="D38" s="14">
        <v>34.209000000000003</v>
      </c>
      <c r="E38" s="14">
        <v>38.610999999999997</v>
      </c>
      <c r="F38" s="14">
        <v>34.189</v>
      </c>
      <c r="G38" s="14">
        <v>27.5</v>
      </c>
      <c r="H38" s="14">
        <v>26.741</v>
      </c>
      <c r="I38" s="14">
        <v>30.074999999999999</v>
      </c>
      <c r="J38" s="14">
        <v>31.686</v>
      </c>
      <c r="K38" s="14">
        <v>26.122</v>
      </c>
      <c r="L38" s="14">
        <v>26.783000000000001</v>
      </c>
      <c r="M38" s="14">
        <v>30.085999999999999</v>
      </c>
      <c r="N38" s="14">
        <v>31.442</v>
      </c>
      <c r="O38" s="5" t="s">
        <v>81</v>
      </c>
    </row>
    <row r="39" spans="1:81" ht="20" x14ac:dyDescent="0.35">
      <c r="A39" s="12" t="s">
        <v>82</v>
      </c>
      <c r="B39" s="4">
        <f t="shared" si="0"/>
        <v>412.86900000000003</v>
      </c>
      <c r="C39" s="14">
        <v>36.250999999999998</v>
      </c>
      <c r="D39" s="14">
        <v>34.125999999999998</v>
      </c>
      <c r="E39" s="14">
        <v>41.192999999999998</v>
      </c>
      <c r="F39" s="14">
        <v>44.389000000000003</v>
      </c>
      <c r="G39" s="14">
        <v>36.109000000000002</v>
      </c>
      <c r="H39" s="14">
        <v>34.155999999999999</v>
      </c>
      <c r="I39" s="14">
        <v>30.285</v>
      </c>
      <c r="J39" s="14">
        <v>32.481000000000002</v>
      </c>
      <c r="K39" s="14">
        <v>30.527999999999999</v>
      </c>
      <c r="L39" s="14">
        <v>31.402000000000001</v>
      </c>
      <c r="M39" s="14">
        <v>31.478000000000002</v>
      </c>
      <c r="N39" s="14">
        <v>30.471</v>
      </c>
      <c r="O39" s="5" t="s">
        <v>83</v>
      </c>
    </row>
    <row r="40" spans="1:81" ht="20" x14ac:dyDescent="0.35">
      <c r="A40" s="13" t="s">
        <v>84</v>
      </c>
      <c r="B40" s="6">
        <f t="shared" si="0"/>
        <v>92.838000000000008</v>
      </c>
      <c r="C40" s="15">
        <v>8.3770000000000007</v>
      </c>
      <c r="D40" s="15">
        <v>7.0469999999999997</v>
      </c>
      <c r="E40" s="15">
        <v>8.2750000000000004</v>
      </c>
      <c r="F40" s="15">
        <v>9.3149999999999995</v>
      </c>
      <c r="G40" s="15">
        <v>8.0220000000000002</v>
      </c>
      <c r="H40" s="15">
        <v>7.6790000000000003</v>
      </c>
      <c r="I40" s="15">
        <v>7.8920000000000003</v>
      </c>
      <c r="J40" s="15">
        <v>6.97</v>
      </c>
      <c r="K40" s="15">
        <v>6.92</v>
      </c>
      <c r="L40" s="15">
        <v>7.0190000000000001</v>
      </c>
      <c r="M40" s="15">
        <v>7.2930000000000001</v>
      </c>
      <c r="N40" s="15">
        <v>8.0289999999999999</v>
      </c>
      <c r="O40" s="21" t="s">
        <v>85</v>
      </c>
    </row>
    <row r="41" spans="1:81" x14ac:dyDescent="0.35">
      <c r="A41" s="7" t="s">
        <v>1</v>
      </c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  <c r="O41" s="11" t="s">
        <v>2</v>
      </c>
    </row>
    <row r="42" spans="1:81" s="18" customFormat="1" x14ac:dyDescent="0.35">
      <c r="P42" s="19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</row>
    <row r="43" spans="1:81" s="17" customFormat="1" x14ac:dyDescent="0.35"/>
    <row r="44" spans="1:81" s="17" customFormat="1" x14ac:dyDescent="0.35"/>
    <row r="45" spans="1:81" s="17" customFormat="1" x14ac:dyDescent="0.35"/>
    <row r="46" spans="1:81" s="17" customFormat="1" x14ac:dyDescent="0.35"/>
    <row r="47" spans="1:81" s="17" customFormat="1" x14ac:dyDescent="0.35"/>
    <row r="48" spans="1:81" s="17" customFormat="1" x14ac:dyDescent="0.35"/>
    <row r="49" s="17" customFormat="1" x14ac:dyDescent="0.35"/>
    <row r="50" s="17" customFormat="1" x14ac:dyDescent="0.35"/>
    <row r="51" s="17" customFormat="1" x14ac:dyDescent="0.35"/>
    <row r="52" s="17" customFormat="1" x14ac:dyDescent="0.35"/>
    <row r="53" s="17" customFormat="1" x14ac:dyDescent="0.35"/>
    <row r="54" s="17" customFormat="1" x14ac:dyDescent="0.35"/>
    <row r="55" s="17" customFormat="1" x14ac:dyDescent="0.35"/>
    <row r="56" s="17" customFormat="1" x14ac:dyDescent="0.35"/>
    <row r="57" s="17" customFormat="1" x14ac:dyDescent="0.35"/>
    <row r="58" s="17" customFormat="1" x14ac:dyDescent="0.35"/>
    <row r="59" s="17" customFormat="1" x14ac:dyDescent="0.35"/>
    <row r="60" s="17" customFormat="1" x14ac:dyDescent="0.35"/>
    <row r="61" s="17" customFormat="1" x14ac:dyDescent="0.35"/>
    <row r="62" s="17" customFormat="1" x14ac:dyDescent="0.35"/>
    <row r="63" s="17" customFormat="1" x14ac:dyDescent="0.35"/>
    <row r="64" s="17" customFormat="1" x14ac:dyDescent="0.35"/>
    <row r="65" s="17" customFormat="1" x14ac:dyDescent="0.35"/>
    <row r="66" s="17" customFormat="1" x14ac:dyDescent="0.35"/>
    <row r="67" s="17" customFormat="1" x14ac:dyDescent="0.35"/>
    <row r="68" s="17" customFormat="1" x14ac:dyDescent="0.35"/>
    <row r="69" s="17" customFormat="1" x14ac:dyDescent="0.35"/>
    <row r="70" s="17" customFormat="1" x14ac:dyDescent="0.35"/>
    <row r="71" s="17" customFormat="1" x14ac:dyDescent="0.35"/>
    <row r="72" s="17" customFormat="1" x14ac:dyDescent="0.35"/>
    <row r="73" s="17" customFormat="1" x14ac:dyDescent="0.35"/>
    <row r="74" s="17" customFormat="1" x14ac:dyDescent="0.35"/>
    <row r="75" s="17" customFormat="1" x14ac:dyDescent="0.35"/>
    <row r="76" s="17" customFormat="1" x14ac:dyDescent="0.35"/>
    <row r="77" s="17" customFormat="1" x14ac:dyDescent="0.35"/>
    <row r="78" s="17" customFormat="1" x14ac:dyDescent="0.35"/>
    <row r="79" s="17" customFormat="1" x14ac:dyDescent="0.35"/>
    <row r="80" s="17" customFormat="1" x14ac:dyDescent="0.35"/>
    <row r="81" s="17" customFormat="1" x14ac:dyDescent="0.35"/>
    <row r="82" s="17" customFormat="1" x14ac:dyDescent="0.35"/>
    <row r="83" s="17" customFormat="1" x14ac:dyDescent="0.35"/>
    <row r="84" s="17" customFormat="1" x14ac:dyDescent="0.35"/>
    <row r="85" s="17" customFormat="1" x14ac:dyDescent="0.35"/>
    <row r="86" s="17" customFormat="1" x14ac:dyDescent="0.35"/>
    <row r="87" s="17" customFormat="1" x14ac:dyDescent="0.35"/>
    <row r="88" s="17" customFormat="1" x14ac:dyDescent="0.35"/>
    <row r="89" s="17" customFormat="1" x14ac:dyDescent="0.35"/>
    <row r="90" s="17" customFormat="1" x14ac:dyDescent="0.35"/>
    <row r="91" s="17" customFormat="1" x14ac:dyDescent="0.35"/>
    <row r="92" s="17" customFormat="1" x14ac:dyDescent="0.35"/>
    <row r="93" s="17" customFormat="1" x14ac:dyDescent="0.35"/>
    <row r="94" s="17" customFormat="1" x14ac:dyDescent="0.35"/>
    <row r="95" s="17" customFormat="1" x14ac:dyDescent="0.35"/>
    <row r="96" s="17" customFormat="1" x14ac:dyDescent="0.35"/>
    <row r="97" s="17" customFormat="1" x14ac:dyDescent="0.35"/>
    <row r="98" s="17" customFormat="1" x14ac:dyDescent="0.35"/>
    <row r="99" s="17" customFormat="1" x14ac:dyDescent="0.35"/>
    <row r="100" s="17" customFormat="1" x14ac:dyDescent="0.35"/>
    <row r="101" s="17" customFormat="1" x14ac:dyDescent="0.35"/>
    <row r="102" s="17" customFormat="1" x14ac:dyDescent="0.35"/>
    <row r="103" s="17" customFormat="1" x14ac:dyDescent="0.35"/>
    <row r="104" s="17" customFormat="1" x14ac:dyDescent="0.35"/>
    <row r="105" s="17" customFormat="1" x14ac:dyDescent="0.35"/>
    <row r="106" s="17" customFormat="1" x14ac:dyDescent="0.35"/>
    <row r="107" s="17" customFormat="1" x14ac:dyDescent="0.35"/>
    <row r="108" s="17" customFormat="1" x14ac:dyDescent="0.35"/>
    <row r="109" s="17" customFormat="1" x14ac:dyDescent="0.35"/>
    <row r="110" s="17" customFormat="1" x14ac:dyDescent="0.35"/>
    <row r="111" s="17" customFormat="1" x14ac:dyDescent="0.35"/>
    <row r="112" s="17" customFormat="1" x14ac:dyDescent="0.35"/>
    <row r="113" s="17" customFormat="1" x14ac:dyDescent="0.35"/>
    <row r="114" s="17" customFormat="1" x14ac:dyDescent="0.35"/>
    <row r="115" s="17" customFormat="1" x14ac:dyDescent="0.35"/>
    <row r="116" s="17" customFormat="1" x14ac:dyDescent="0.35"/>
    <row r="117" s="17" customFormat="1" x14ac:dyDescent="0.35"/>
    <row r="118" s="17" customFormat="1" x14ac:dyDescent="0.35"/>
    <row r="119" s="17" customFormat="1" x14ac:dyDescent="0.35"/>
    <row r="120" s="17" customFormat="1" x14ac:dyDescent="0.35"/>
    <row r="121" s="17" customFormat="1" x14ac:dyDescent="0.35"/>
    <row r="122" s="17" customFormat="1" x14ac:dyDescent="0.35"/>
    <row r="123" s="17" customFormat="1" x14ac:dyDescent="0.35"/>
    <row r="124" s="17" customFormat="1" x14ac:dyDescent="0.35"/>
    <row r="125" s="17" customFormat="1" x14ac:dyDescent="0.35"/>
    <row r="126" s="17" customFormat="1" x14ac:dyDescent="0.35"/>
    <row r="127" s="17" customFormat="1" x14ac:dyDescent="0.35"/>
    <row r="128" s="17" customFormat="1" x14ac:dyDescent="0.35"/>
    <row r="129" s="17" customFormat="1" x14ac:dyDescent="0.35"/>
    <row r="130" s="17" customFormat="1" x14ac:dyDescent="0.35"/>
    <row r="131" s="17" customFormat="1" x14ac:dyDescent="0.35"/>
    <row r="132" s="17" customFormat="1" x14ac:dyDescent="0.35"/>
    <row r="133" s="17" customFormat="1" x14ac:dyDescent="0.35"/>
    <row r="134" s="17" customFormat="1" x14ac:dyDescent="0.35"/>
    <row r="135" s="17" customFormat="1" x14ac:dyDescent="0.35"/>
    <row r="136" s="17" customFormat="1" x14ac:dyDescent="0.35"/>
    <row r="137" s="17" customFormat="1" x14ac:dyDescent="0.35"/>
    <row r="138" s="17" customFormat="1" x14ac:dyDescent="0.35"/>
    <row r="139" s="17" customFormat="1" x14ac:dyDescent="0.35"/>
    <row r="140" s="17" customFormat="1" x14ac:dyDescent="0.35"/>
    <row r="141" s="17" customFormat="1" x14ac:dyDescent="0.35"/>
    <row r="142" s="17" customFormat="1" x14ac:dyDescent="0.35"/>
    <row r="143" s="17" customFormat="1" x14ac:dyDescent="0.35"/>
    <row r="144" s="17" customFormat="1" x14ac:dyDescent="0.35"/>
    <row r="145" s="17" customFormat="1" x14ac:dyDescent="0.35"/>
    <row r="146" s="17" customFormat="1" x14ac:dyDescent="0.35"/>
    <row r="147" s="17" customFormat="1" x14ac:dyDescent="0.35"/>
    <row r="148" s="17" customFormat="1" x14ac:dyDescent="0.35"/>
    <row r="149" s="17" customFormat="1" x14ac:dyDescent="0.35"/>
    <row r="150" s="17" customFormat="1" x14ac:dyDescent="0.35"/>
    <row r="151" s="17" customFormat="1" x14ac:dyDescent="0.35"/>
    <row r="152" s="17" customFormat="1" x14ac:dyDescent="0.35"/>
    <row r="153" s="17" customFormat="1" x14ac:dyDescent="0.35"/>
    <row r="154" s="17" customFormat="1" x14ac:dyDescent="0.35"/>
    <row r="155" s="17" customFormat="1" x14ac:dyDescent="0.35"/>
    <row r="156" s="17" customFormat="1" x14ac:dyDescent="0.35"/>
    <row r="157" s="17" customFormat="1" x14ac:dyDescent="0.35"/>
    <row r="158" s="17" customFormat="1" x14ac:dyDescent="0.35"/>
    <row r="159" s="17" customFormat="1" x14ac:dyDescent="0.35"/>
    <row r="160" s="17" customFormat="1" x14ac:dyDescent="0.35"/>
    <row r="161" s="17" customFormat="1" x14ac:dyDescent="0.35"/>
    <row r="162" s="17" customFormat="1" x14ac:dyDescent="0.35"/>
    <row r="163" s="17" customFormat="1" x14ac:dyDescent="0.35"/>
    <row r="164" s="17" customFormat="1" x14ac:dyDescent="0.35"/>
    <row r="165" s="17" customFormat="1" x14ac:dyDescent="0.35"/>
    <row r="166" s="17" customFormat="1" x14ac:dyDescent="0.35"/>
    <row r="167" s="17" customFormat="1" x14ac:dyDescent="0.35"/>
    <row r="168" s="17" customFormat="1" x14ac:dyDescent="0.35"/>
    <row r="169" s="17" customFormat="1" x14ac:dyDescent="0.35"/>
    <row r="170" s="17" customFormat="1" x14ac:dyDescent="0.35"/>
    <row r="171" s="17" customFormat="1" x14ac:dyDescent="0.35"/>
    <row r="172" s="17" customFormat="1" x14ac:dyDescent="0.35"/>
    <row r="173" s="17" customFormat="1" x14ac:dyDescent="0.35"/>
    <row r="174" s="17" customFormat="1" x14ac:dyDescent="0.35"/>
    <row r="175" s="17" customFormat="1" x14ac:dyDescent="0.35"/>
    <row r="176" s="17" customFormat="1" x14ac:dyDescent="0.35"/>
    <row r="177" s="17" customFormat="1" x14ac:dyDescent="0.35"/>
    <row r="178" s="17" customFormat="1" x14ac:dyDescent="0.35"/>
    <row r="179" s="17" customFormat="1" x14ac:dyDescent="0.35"/>
    <row r="180" s="17" customFormat="1" x14ac:dyDescent="0.35"/>
    <row r="181" s="17" customFormat="1" x14ac:dyDescent="0.35"/>
    <row r="182" s="17" customFormat="1" x14ac:dyDescent="0.35"/>
    <row r="183" s="17" customFormat="1" x14ac:dyDescent="0.35"/>
    <row r="184" s="17" customFormat="1" x14ac:dyDescent="0.35"/>
    <row r="185" s="17" customFormat="1" x14ac:dyDescent="0.35"/>
    <row r="186" s="17" customFormat="1" x14ac:dyDescent="0.35"/>
    <row r="187" s="17" customFormat="1" x14ac:dyDescent="0.35"/>
    <row r="188" s="17" customFormat="1" x14ac:dyDescent="0.35"/>
    <row r="189" s="17" customFormat="1" x14ac:dyDescent="0.35"/>
    <row r="190" s="17" customFormat="1" x14ac:dyDescent="0.35"/>
    <row r="191" s="17" customFormat="1" x14ac:dyDescent="0.35"/>
    <row r="192" s="17" customFormat="1" x14ac:dyDescent="0.35"/>
    <row r="193" s="17" customFormat="1" x14ac:dyDescent="0.35"/>
    <row r="194" s="17" customFormat="1" x14ac:dyDescent="0.35"/>
    <row r="195" s="17" customFormat="1" x14ac:dyDescent="0.35"/>
    <row r="196" s="17" customFormat="1" x14ac:dyDescent="0.35"/>
    <row r="197" s="17" customFormat="1" x14ac:dyDescent="0.35"/>
    <row r="198" s="17" customFormat="1" x14ac:dyDescent="0.35"/>
    <row r="199" s="17" customFormat="1" x14ac:dyDescent="0.35"/>
    <row r="200" s="17" customFormat="1" x14ac:dyDescent="0.35"/>
    <row r="201" s="17" customFormat="1" x14ac:dyDescent="0.35"/>
    <row r="202" s="17" customFormat="1" x14ac:dyDescent="0.35"/>
    <row r="203" s="17" customFormat="1" x14ac:dyDescent="0.35"/>
    <row r="204" s="17" customFormat="1" x14ac:dyDescent="0.35"/>
    <row r="205" s="17" customFormat="1" x14ac:dyDescent="0.35"/>
    <row r="206" s="17" customFormat="1" x14ac:dyDescent="0.35"/>
    <row r="207" s="17" customFormat="1" x14ac:dyDescent="0.35"/>
    <row r="208" s="17" customFormat="1" x14ac:dyDescent="0.35"/>
    <row r="209" s="17" customFormat="1" x14ac:dyDescent="0.35"/>
    <row r="210" s="17" customFormat="1" x14ac:dyDescent="0.35"/>
    <row r="211" s="17" customFormat="1" x14ac:dyDescent="0.35"/>
    <row r="212" s="17" customFormat="1" x14ac:dyDescent="0.35"/>
    <row r="213" s="17" customFormat="1" x14ac:dyDescent="0.35"/>
    <row r="214" s="17" customFormat="1" x14ac:dyDescent="0.35"/>
    <row r="215" s="17" customFormat="1" x14ac:dyDescent="0.35"/>
    <row r="216" s="17" customFormat="1" x14ac:dyDescent="0.35"/>
    <row r="217" s="17" customFormat="1" x14ac:dyDescent="0.35"/>
    <row r="218" s="17" customFormat="1" x14ac:dyDescent="0.35"/>
    <row r="219" s="17" customFormat="1" x14ac:dyDescent="0.35"/>
    <row r="220" s="17" customFormat="1" x14ac:dyDescent="0.35"/>
    <row r="221" s="17" customFormat="1" x14ac:dyDescent="0.35"/>
    <row r="222" s="17" customFormat="1" x14ac:dyDescent="0.35"/>
    <row r="223" s="17" customFormat="1" x14ac:dyDescent="0.35"/>
    <row r="224" s="17" customFormat="1" x14ac:dyDescent="0.35"/>
    <row r="225" s="17" customFormat="1" x14ac:dyDescent="0.35"/>
    <row r="226" s="17" customFormat="1" x14ac:dyDescent="0.35"/>
    <row r="227" s="17" customFormat="1" x14ac:dyDescent="0.35"/>
    <row r="228" s="17" customFormat="1" x14ac:dyDescent="0.35"/>
    <row r="229" s="17" customFormat="1" x14ac:dyDescent="0.35"/>
    <row r="230" s="17" customFormat="1" x14ac:dyDescent="0.35"/>
    <row r="231" s="17" customFormat="1" x14ac:dyDescent="0.35"/>
    <row r="232" s="17" customFormat="1" x14ac:dyDescent="0.35"/>
    <row r="233" s="17" customFormat="1" x14ac:dyDescent="0.35"/>
    <row r="234" s="17" customFormat="1" x14ac:dyDescent="0.35"/>
    <row r="235" s="17" customFormat="1" x14ac:dyDescent="0.35"/>
    <row r="236" s="17" customFormat="1" x14ac:dyDescent="0.35"/>
    <row r="237" s="17" customFormat="1" x14ac:dyDescent="0.35"/>
    <row r="238" s="17" customFormat="1" x14ac:dyDescent="0.35"/>
    <row r="239" s="17" customFormat="1" x14ac:dyDescent="0.35"/>
    <row r="240" s="17" customFormat="1" x14ac:dyDescent="0.35"/>
    <row r="241" s="17" customFormat="1" x14ac:dyDescent="0.35"/>
    <row r="242" s="17" customFormat="1" x14ac:dyDescent="0.35"/>
    <row r="243" s="17" customFormat="1" x14ac:dyDescent="0.35"/>
    <row r="244" s="17" customFormat="1" x14ac:dyDescent="0.35"/>
    <row r="245" s="17" customFormat="1" x14ac:dyDescent="0.35"/>
    <row r="246" s="17" customFormat="1" x14ac:dyDescent="0.35"/>
    <row r="247" s="17" customFormat="1" x14ac:dyDescent="0.35"/>
    <row r="248" s="17" customFormat="1" x14ac:dyDescent="0.35"/>
    <row r="249" s="17" customFormat="1" x14ac:dyDescent="0.35"/>
    <row r="250" s="17" customFormat="1" x14ac:dyDescent="0.35"/>
    <row r="251" s="17" customFormat="1" x14ac:dyDescent="0.35"/>
    <row r="252" s="17" customFormat="1" x14ac:dyDescent="0.35"/>
    <row r="253" s="17" customFormat="1" x14ac:dyDescent="0.35"/>
    <row r="254" s="17" customFormat="1" x14ac:dyDescent="0.35"/>
    <row r="255" s="17" customFormat="1" x14ac:dyDescent="0.35"/>
    <row r="256" s="17" customFormat="1" x14ac:dyDescent="0.35"/>
    <row r="257" s="17" customFormat="1" x14ac:dyDescent="0.35"/>
    <row r="258" s="17" customFormat="1" x14ac:dyDescent="0.35"/>
    <row r="259" s="17" customFormat="1" x14ac:dyDescent="0.35"/>
    <row r="260" s="17" customFormat="1" x14ac:dyDescent="0.35"/>
    <row r="261" s="17" customFormat="1" x14ac:dyDescent="0.35"/>
    <row r="262" s="17" customFormat="1" x14ac:dyDescent="0.35"/>
    <row r="263" s="17" customFormat="1" x14ac:dyDescent="0.35"/>
    <row r="264" s="17" customFormat="1" x14ac:dyDescent="0.35"/>
    <row r="265" s="17" customFormat="1" x14ac:dyDescent="0.35"/>
    <row r="266" s="17" customFormat="1" x14ac:dyDescent="0.35"/>
    <row r="267" s="17" customFormat="1" x14ac:dyDescent="0.35"/>
    <row r="268" s="17" customFormat="1" x14ac:dyDescent="0.35"/>
    <row r="269" s="17" customFormat="1" x14ac:dyDescent="0.35"/>
    <row r="270" s="17" customFormat="1" x14ac:dyDescent="0.35"/>
    <row r="271" s="17" customFormat="1" x14ac:dyDescent="0.35"/>
    <row r="272" s="17" customFormat="1" x14ac:dyDescent="0.35"/>
    <row r="273" s="17" customFormat="1" x14ac:dyDescent="0.35"/>
    <row r="274" s="17" customFormat="1" x14ac:dyDescent="0.35"/>
    <row r="275" s="17" customFormat="1" x14ac:dyDescent="0.35"/>
    <row r="276" s="17" customFormat="1" x14ac:dyDescent="0.35"/>
    <row r="277" s="17" customFormat="1" x14ac:dyDescent="0.35"/>
    <row r="278" s="17" customFormat="1" x14ac:dyDescent="0.35"/>
    <row r="279" s="17" customFormat="1" x14ac:dyDescent="0.35"/>
    <row r="280" s="17" customFormat="1" x14ac:dyDescent="0.35"/>
    <row r="281" s="17" customFormat="1" x14ac:dyDescent="0.35"/>
    <row r="282" s="17" customFormat="1" x14ac:dyDescent="0.35"/>
    <row r="283" s="17" customFormat="1" x14ac:dyDescent="0.35"/>
    <row r="284" s="17" customFormat="1" x14ac:dyDescent="0.35"/>
    <row r="285" s="17" customFormat="1" x14ac:dyDescent="0.35"/>
    <row r="286" s="17" customFormat="1" x14ac:dyDescent="0.35"/>
    <row r="287" s="17" customFormat="1" x14ac:dyDescent="0.35"/>
    <row r="288" s="17" customFormat="1" x14ac:dyDescent="0.35"/>
    <row r="289" s="17" customFormat="1" x14ac:dyDescent="0.35"/>
    <row r="290" s="17" customFormat="1" x14ac:dyDescent="0.35"/>
    <row r="291" s="17" customFormat="1" x14ac:dyDescent="0.35"/>
    <row r="292" s="17" customFormat="1" x14ac:dyDescent="0.35"/>
    <row r="293" s="17" customFormat="1" x14ac:dyDescent="0.35"/>
    <row r="294" s="17" customFormat="1" x14ac:dyDescent="0.35"/>
    <row r="295" s="17" customFormat="1" x14ac:dyDescent="0.35"/>
    <row r="296" s="17" customFormat="1" x14ac:dyDescent="0.35"/>
    <row r="297" s="17" customFormat="1" x14ac:dyDescent="0.35"/>
    <row r="298" s="17" customFormat="1" x14ac:dyDescent="0.35"/>
    <row r="299" s="17" customFormat="1" x14ac:dyDescent="0.35"/>
    <row r="300" s="17" customFormat="1" x14ac:dyDescent="0.35"/>
    <row r="301" s="17" customFormat="1" x14ac:dyDescent="0.35"/>
    <row r="302" s="17" customFormat="1" x14ac:dyDescent="0.35"/>
    <row r="303" s="17" customFormat="1" x14ac:dyDescent="0.35"/>
    <row r="304" s="17" customFormat="1" x14ac:dyDescent="0.35"/>
    <row r="305" s="17" customFormat="1" x14ac:dyDescent="0.35"/>
    <row r="306" s="17" customFormat="1" x14ac:dyDescent="0.35"/>
    <row r="307" s="17" customFormat="1" x14ac:dyDescent="0.35"/>
    <row r="308" s="17" customFormat="1" x14ac:dyDescent="0.35"/>
    <row r="309" s="17" customFormat="1" x14ac:dyDescent="0.35"/>
    <row r="310" s="17" customFormat="1" x14ac:dyDescent="0.35"/>
    <row r="311" s="17" customFormat="1" x14ac:dyDescent="0.35"/>
    <row r="312" s="17" customFormat="1" x14ac:dyDescent="0.35"/>
    <row r="313" s="17" customFormat="1" x14ac:dyDescent="0.35"/>
    <row r="314" s="17" customFormat="1" x14ac:dyDescent="0.35"/>
    <row r="315" s="17" customFormat="1" x14ac:dyDescent="0.35"/>
    <row r="316" s="17" customFormat="1" x14ac:dyDescent="0.35"/>
    <row r="317" s="17" customFormat="1" x14ac:dyDescent="0.35"/>
    <row r="318" s="17" customFormat="1" x14ac:dyDescent="0.35"/>
    <row r="319" s="17" customFormat="1" x14ac:dyDescent="0.35"/>
    <row r="320" s="17" customFormat="1" x14ac:dyDescent="0.35"/>
    <row r="321" s="17" customFormat="1" x14ac:dyDescent="0.35"/>
    <row r="322" s="17" customFormat="1" x14ac:dyDescent="0.35"/>
    <row r="323" s="17" customFormat="1" x14ac:dyDescent="0.35"/>
    <row r="324" s="17" customFormat="1" x14ac:dyDescent="0.35"/>
    <row r="325" s="17" customFormat="1" x14ac:dyDescent="0.35"/>
    <row r="326" s="17" customFormat="1" x14ac:dyDescent="0.35"/>
    <row r="327" s="17" customFormat="1" x14ac:dyDescent="0.35"/>
    <row r="328" s="17" customFormat="1" x14ac:dyDescent="0.35"/>
    <row r="329" s="17" customFormat="1" x14ac:dyDescent="0.35"/>
    <row r="330" s="17" customFormat="1" x14ac:dyDescent="0.35"/>
    <row r="331" s="17" customFormat="1" x14ac:dyDescent="0.35"/>
    <row r="332" s="17" customFormat="1" x14ac:dyDescent="0.35"/>
    <row r="333" s="17" customFormat="1" x14ac:dyDescent="0.35"/>
    <row r="334" s="17" customFormat="1" x14ac:dyDescent="0.35"/>
    <row r="335" s="17" customFormat="1" x14ac:dyDescent="0.35"/>
    <row r="336" s="17" customFormat="1" x14ac:dyDescent="0.35"/>
    <row r="337" s="17" customFormat="1" x14ac:dyDescent="0.35"/>
    <row r="338" s="17" customFormat="1" x14ac:dyDescent="0.35"/>
    <row r="339" s="17" customFormat="1" x14ac:dyDescent="0.35"/>
    <row r="340" s="17" customFormat="1" x14ac:dyDescent="0.35"/>
    <row r="341" s="17" customFormat="1" x14ac:dyDescent="0.35"/>
    <row r="342" s="17" customFormat="1" x14ac:dyDescent="0.35"/>
    <row r="343" s="17" customFormat="1" x14ac:dyDescent="0.35"/>
    <row r="344" s="17" customFormat="1" x14ac:dyDescent="0.35"/>
    <row r="345" s="17" customFormat="1" x14ac:dyDescent="0.35"/>
    <row r="346" s="17" customFormat="1" x14ac:dyDescent="0.35"/>
    <row r="347" s="17" customFormat="1" x14ac:dyDescent="0.35"/>
    <row r="348" s="17" customFormat="1" x14ac:dyDescent="0.35"/>
    <row r="349" s="17" customFormat="1" x14ac:dyDescent="0.35"/>
    <row r="350" s="17" customFormat="1" x14ac:dyDescent="0.35"/>
    <row r="351" s="17" customFormat="1" x14ac:dyDescent="0.35"/>
    <row r="352" s="17" customFormat="1" x14ac:dyDescent="0.35"/>
    <row r="353" s="17" customFormat="1" x14ac:dyDescent="0.35"/>
    <row r="354" s="17" customFormat="1" x14ac:dyDescent="0.35"/>
    <row r="355" s="17" customFormat="1" x14ac:dyDescent="0.35"/>
    <row r="356" s="17" customFormat="1" x14ac:dyDescent="0.35"/>
    <row r="357" s="17" customFormat="1" x14ac:dyDescent="0.35"/>
    <row r="358" s="17" customFormat="1" x14ac:dyDescent="0.35"/>
    <row r="359" s="17" customFormat="1" x14ac:dyDescent="0.35"/>
    <row r="360" s="17" customFormat="1" x14ac:dyDescent="0.35"/>
    <row r="361" s="17" customFormat="1" x14ac:dyDescent="0.35"/>
    <row r="362" s="17" customFormat="1" x14ac:dyDescent="0.35"/>
    <row r="363" s="17" customFormat="1" x14ac:dyDescent="0.35"/>
    <row r="364" s="17" customFormat="1" x14ac:dyDescent="0.35"/>
    <row r="365" s="17" customFormat="1" x14ac:dyDescent="0.35"/>
    <row r="366" s="17" customFormat="1" x14ac:dyDescent="0.35"/>
    <row r="367" s="17" customFormat="1" x14ac:dyDescent="0.35"/>
    <row r="368" s="17" customFormat="1" x14ac:dyDescent="0.35"/>
    <row r="369" s="17" customFormat="1" x14ac:dyDescent="0.35"/>
    <row r="370" s="17" customFormat="1" x14ac:dyDescent="0.35"/>
    <row r="371" s="17" customFormat="1" x14ac:dyDescent="0.35"/>
    <row r="372" s="17" customFormat="1" x14ac:dyDescent="0.35"/>
    <row r="373" s="17" customFormat="1" x14ac:dyDescent="0.35"/>
    <row r="374" s="17" customFormat="1" x14ac:dyDescent="0.35"/>
    <row r="375" s="17" customFormat="1" x14ac:dyDescent="0.35"/>
    <row r="376" s="17" customFormat="1" x14ac:dyDescent="0.35"/>
    <row r="377" s="17" customFormat="1" x14ac:dyDescent="0.35"/>
    <row r="378" s="17" customFormat="1" x14ac:dyDescent="0.35"/>
    <row r="379" s="17" customFormat="1" x14ac:dyDescent="0.35"/>
    <row r="380" s="17" customFormat="1" x14ac:dyDescent="0.35"/>
    <row r="381" s="17" customFormat="1" x14ac:dyDescent="0.35"/>
    <row r="382" s="17" customFormat="1" x14ac:dyDescent="0.35"/>
    <row r="383" s="17" customFormat="1" x14ac:dyDescent="0.35"/>
    <row r="384" s="17" customFormat="1" x14ac:dyDescent="0.35"/>
    <row r="385" s="17" customFormat="1" x14ac:dyDescent="0.35"/>
    <row r="386" s="17" customFormat="1" x14ac:dyDescent="0.35"/>
    <row r="387" s="17" customFormat="1" x14ac:dyDescent="0.35"/>
    <row r="388" s="17" customFormat="1" x14ac:dyDescent="0.35"/>
    <row r="389" s="17" customFormat="1" x14ac:dyDescent="0.35"/>
    <row r="390" s="17" customFormat="1" x14ac:dyDescent="0.35"/>
    <row r="391" s="17" customFormat="1" x14ac:dyDescent="0.35"/>
    <row r="392" s="17" customFormat="1" x14ac:dyDescent="0.35"/>
    <row r="393" s="17" customFormat="1" x14ac:dyDescent="0.35"/>
    <row r="394" s="17" customFormat="1" x14ac:dyDescent="0.35"/>
    <row r="395" s="17" customFormat="1" x14ac:dyDescent="0.35"/>
    <row r="396" s="17" customFormat="1" x14ac:dyDescent="0.35"/>
    <row r="397" s="17" customFormat="1" x14ac:dyDescent="0.35"/>
    <row r="398" s="17" customFormat="1" x14ac:dyDescent="0.35"/>
    <row r="399" s="17" customFormat="1" x14ac:dyDescent="0.35"/>
    <row r="400" s="17" customFormat="1" x14ac:dyDescent="0.35"/>
    <row r="401" s="17" customFormat="1" x14ac:dyDescent="0.35"/>
    <row r="402" s="17" customFormat="1" x14ac:dyDescent="0.35"/>
    <row r="403" s="17" customFormat="1" x14ac:dyDescent="0.35"/>
    <row r="404" s="17" customFormat="1" x14ac:dyDescent="0.35"/>
    <row r="405" s="17" customFormat="1" x14ac:dyDescent="0.35"/>
    <row r="406" s="17" customFormat="1" x14ac:dyDescent="0.35"/>
    <row r="407" s="17" customFormat="1" x14ac:dyDescent="0.35"/>
    <row r="408" s="17" customFormat="1" x14ac:dyDescent="0.35"/>
    <row r="409" s="17" customFormat="1" x14ac:dyDescent="0.35"/>
    <row r="410" s="17" customFormat="1" x14ac:dyDescent="0.35"/>
    <row r="411" s="17" customFormat="1" x14ac:dyDescent="0.35"/>
    <row r="412" s="17" customFormat="1" x14ac:dyDescent="0.35"/>
    <row r="413" s="17" customFormat="1" x14ac:dyDescent="0.35"/>
    <row r="414" s="17" customFormat="1" x14ac:dyDescent="0.35"/>
    <row r="415" s="17" customFormat="1" x14ac:dyDescent="0.35"/>
    <row r="416" s="17" customFormat="1" x14ac:dyDescent="0.35"/>
    <row r="417" s="17" customFormat="1" x14ac:dyDescent="0.35"/>
    <row r="418" s="17" customFormat="1" x14ac:dyDescent="0.35"/>
    <row r="419" s="17" customFormat="1" x14ac:dyDescent="0.35"/>
    <row r="420" s="17" customFormat="1" x14ac:dyDescent="0.35"/>
    <row r="421" s="17" customFormat="1" x14ac:dyDescent="0.35"/>
    <row r="422" s="17" customFormat="1" x14ac:dyDescent="0.35"/>
    <row r="423" s="17" customFormat="1" x14ac:dyDescent="0.35"/>
    <row r="424" s="17" customFormat="1" x14ac:dyDescent="0.35"/>
    <row r="425" s="17" customFormat="1" x14ac:dyDescent="0.35"/>
    <row r="426" s="17" customFormat="1" x14ac:dyDescent="0.35"/>
    <row r="427" s="17" customFormat="1" x14ac:dyDescent="0.35"/>
    <row r="428" s="17" customFormat="1" x14ac:dyDescent="0.35"/>
    <row r="429" s="17" customFormat="1" x14ac:dyDescent="0.35"/>
    <row r="430" s="17" customFormat="1" x14ac:dyDescent="0.35"/>
    <row r="431" s="17" customFormat="1" x14ac:dyDescent="0.35"/>
    <row r="432" s="17" customFormat="1" x14ac:dyDescent="0.35"/>
    <row r="433" s="17" customFormat="1" x14ac:dyDescent="0.35"/>
    <row r="434" s="17" customFormat="1" x14ac:dyDescent="0.35"/>
    <row r="435" s="17" customFormat="1" x14ac:dyDescent="0.35"/>
    <row r="436" s="17" customFormat="1" x14ac:dyDescent="0.35"/>
    <row r="437" s="17" customFormat="1" x14ac:dyDescent="0.35"/>
    <row r="438" s="17" customFormat="1" x14ac:dyDescent="0.35"/>
    <row r="439" s="17" customFormat="1" x14ac:dyDescent="0.35"/>
    <row r="440" s="17" customFormat="1" x14ac:dyDescent="0.35"/>
    <row r="441" s="17" customFormat="1" x14ac:dyDescent="0.35"/>
    <row r="442" s="17" customFormat="1" x14ac:dyDescent="0.35"/>
    <row r="443" s="17" customFormat="1" x14ac:dyDescent="0.35"/>
    <row r="444" s="17" customFormat="1" x14ac:dyDescent="0.35"/>
    <row r="445" s="17" customFormat="1" x14ac:dyDescent="0.35"/>
    <row r="446" s="17" customFormat="1" x14ac:dyDescent="0.35"/>
    <row r="447" s="17" customFormat="1" x14ac:dyDescent="0.35"/>
    <row r="448" s="17" customFormat="1" x14ac:dyDescent="0.35"/>
    <row r="449" s="17" customFormat="1" x14ac:dyDescent="0.35"/>
    <row r="450" s="17" customFormat="1" x14ac:dyDescent="0.35"/>
    <row r="451" s="17" customFormat="1" x14ac:dyDescent="0.35"/>
    <row r="452" s="17" customFormat="1" x14ac:dyDescent="0.35"/>
    <row r="453" s="17" customFormat="1" x14ac:dyDescent="0.35"/>
    <row r="454" s="17" customFormat="1" x14ac:dyDescent="0.35"/>
    <row r="455" s="17" customFormat="1" x14ac:dyDescent="0.35"/>
    <row r="456" s="17" customFormat="1" x14ac:dyDescent="0.35"/>
    <row r="457" s="17" customFormat="1" x14ac:dyDescent="0.35"/>
    <row r="458" s="17" customFormat="1" x14ac:dyDescent="0.35"/>
    <row r="459" s="17" customFormat="1" x14ac:dyDescent="0.35"/>
    <row r="460" s="17" customFormat="1" x14ac:dyDescent="0.35"/>
    <row r="461" s="17" customFormat="1" x14ac:dyDescent="0.35"/>
    <row r="462" s="17" customFormat="1" x14ac:dyDescent="0.35"/>
    <row r="463" s="17" customFormat="1" x14ac:dyDescent="0.35"/>
    <row r="464" s="17" customFormat="1" x14ac:dyDescent="0.35"/>
    <row r="465" s="17" customFormat="1" x14ac:dyDescent="0.35"/>
    <row r="466" s="17" customFormat="1" x14ac:dyDescent="0.35"/>
    <row r="467" s="17" customFormat="1" x14ac:dyDescent="0.35"/>
    <row r="468" s="17" customFormat="1" x14ac:dyDescent="0.35"/>
    <row r="469" s="17" customFormat="1" x14ac:dyDescent="0.35"/>
    <row r="470" s="17" customFormat="1" x14ac:dyDescent="0.35"/>
    <row r="471" s="17" customFormat="1" x14ac:dyDescent="0.35"/>
    <row r="472" s="17" customFormat="1" x14ac:dyDescent="0.35"/>
    <row r="473" s="17" customFormat="1" x14ac:dyDescent="0.35"/>
    <row r="474" s="17" customFormat="1" x14ac:dyDescent="0.35"/>
    <row r="475" s="17" customFormat="1" x14ac:dyDescent="0.35"/>
    <row r="476" s="17" customFormat="1" x14ac:dyDescent="0.35"/>
    <row r="477" s="17" customFormat="1" x14ac:dyDescent="0.35"/>
    <row r="478" s="17" customFormat="1" x14ac:dyDescent="0.35"/>
    <row r="479" s="17" customFormat="1" x14ac:dyDescent="0.35"/>
    <row r="480" s="17" customFormat="1" x14ac:dyDescent="0.35"/>
    <row r="481" s="17" customFormat="1" x14ac:dyDescent="0.35"/>
    <row r="482" s="17" customFormat="1" x14ac:dyDescent="0.35"/>
    <row r="483" s="17" customFormat="1" x14ac:dyDescent="0.35"/>
    <row r="484" s="17" customFormat="1" x14ac:dyDescent="0.35"/>
    <row r="485" s="17" customFormat="1" x14ac:dyDescent="0.35"/>
    <row r="486" s="17" customFormat="1" x14ac:dyDescent="0.35"/>
    <row r="487" s="17" customFormat="1" x14ac:dyDescent="0.35"/>
    <row r="488" s="17" customFormat="1" x14ac:dyDescent="0.35"/>
    <row r="489" s="17" customFormat="1" x14ac:dyDescent="0.35"/>
    <row r="490" s="17" customFormat="1" x14ac:dyDescent="0.35"/>
    <row r="491" s="17" customFormat="1" x14ac:dyDescent="0.35"/>
    <row r="492" s="17" customFormat="1" x14ac:dyDescent="0.35"/>
    <row r="493" s="17" customFormat="1" x14ac:dyDescent="0.35"/>
    <row r="494" s="17" customFormat="1" x14ac:dyDescent="0.35"/>
    <row r="495" s="17" customFormat="1" x14ac:dyDescent="0.35"/>
    <row r="496" s="17" customFormat="1" x14ac:dyDescent="0.35"/>
    <row r="497" s="17" customFormat="1" x14ac:dyDescent="0.35"/>
    <row r="498" s="17" customFormat="1" x14ac:dyDescent="0.35"/>
    <row r="499" s="17" customFormat="1" x14ac:dyDescent="0.35"/>
    <row r="500" s="17" customFormat="1" x14ac:dyDescent="0.35"/>
    <row r="501" s="17" customFormat="1" x14ac:dyDescent="0.35"/>
    <row r="502" s="17" customFormat="1" x14ac:dyDescent="0.35"/>
    <row r="503" s="17" customFormat="1" x14ac:dyDescent="0.35"/>
    <row r="504" s="17" customFormat="1" x14ac:dyDescent="0.35"/>
    <row r="505" s="17" customFormat="1" x14ac:dyDescent="0.35"/>
    <row r="506" s="17" customFormat="1" x14ac:dyDescent="0.35"/>
    <row r="507" s="17" customFormat="1" x14ac:dyDescent="0.35"/>
    <row r="508" s="17" customFormat="1" x14ac:dyDescent="0.35"/>
    <row r="509" s="17" customFormat="1" x14ac:dyDescent="0.35"/>
    <row r="510" s="17" customFormat="1" x14ac:dyDescent="0.35"/>
    <row r="511" s="17" customFormat="1" x14ac:dyDescent="0.35"/>
    <row r="512" s="17" customFormat="1" x14ac:dyDescent="0.35"/>
    <row r="513" s="17" customFormat="1" x14ac:dyDescent="0.35"/>
    <row r="514" s="17" customFormat="1" x14ac:dyDescent="0.35"/>
    <row r="515" s="17" customFormat="1" x14ac:dyDescent="0.35"/>
    <row r="516" s="17" customFormat="1" x14ac:dyDescent="0.35"/>
    <row r="517" s="17" customFormat="1" x14ac:dyDescent="0.35"/>
    <row r="518" s="17" customFormat="1" x14ac:dyDescent="0.35"/>
    <row r="519" s="17" customFormat="1" x14ac:dyDescent="0.35"/>
    <row r="520" s="17" customFormat="1" x14ac:dyDescent="0.35"/>
    <row r="521" s="17" customFormat="1" x14ac:dyDescent="0.35"/>
    <row r="522" s="17" customFormat="1" x14ac:dyDescent="0.35"/>
    <row r="523" s="17" customFormat="1" x14ac:dyDescent="0.35"/>
    <row r="524" s="17" customFormat="1" x14ac:dyDescent="0.35"/>
    <row r="525" s="17" customFormat="1" x14ac:dyDescent="0.35"/>
    <row r="526" s="17" customFormat="1" x14ac:dyDescent="0.35"/>
    <row r="527" s="17" customFormat="1" x14ac:dyDescent="0.35"/>
    <row r="528" s="17" customFormat="1" x14ac:dyDescent="0.35"/>
    <row r="529" s="17" customFormat="1" x14ac:dyDescent="0.35"/>
    <row r="530" s="17" customFormat="1" x14ac:dyDescent="0.35"/>
    <row r="531" s="17" customFormat="1" x14ac:dyDescent="0.35"/>
    <row r="532" s="17" customFormat="1" x14ac:dyDescent="0.35"/>
    <row r="533" s="17" customFormat="1" x14ac:dyDescent="0.35"/>
    <row r="534" s="17" customFormat="1" x14ac:dyDescent="0.35"/>
    <row r="535" s="17" customFormat="1" x14ac:dyDescent="0.35"/>
    <row r="536" s="17" customFormat="1" x14ac:dyDescent="0.35"/>
    <row r="537" s="17" customFormat="1" x14ac:dyDescent="0.35"/>
    <row r="538" s="17" customFormat="1" x14ac:dyDescent="0.35"/>
    <row r="539" s="17" customFormat="1" x14ac:dyDescent="0.35"/>
    <row r="540" s="17" customFormat="1" x14ac:dyDescent="0.35"/>
    <row r="541" s="17" customFormat="1" x14ac:dyDescent="0.35"/>
    <row r="542" s="17" customFormat="1" x14ac:dyDescent="0.35"/>
    <row r="543" s="17" customFormat="1" x14ac:dyDescent="0.35"/>
    <row r="544" s="17" customFormat="1" x14ac:dyDescent="0.35"/>
    <row r="545" s="17" customFormat="1" x14ac:dyDescent="0.35"/>
    <row r="546" s="17" customFormat="1" x14ac:dyDescent="0.35"/>
    <row r="547" s="17" customFormat="1" x14ac:dyDescent="0.35"/>
    <row r="548" s="17" customFormat="1" x14ac:dyDescent="0.35"/>
    <row r="549" s="17" customFormat="1" x14ac:dyDescent="0.35"/>
    <row r="550" s="17" customFormat="1" x14ac:dyDescent="0.35"/>
    <row r="551" s="17" customFormat="1" x14ac:dyDescent="0.35"/>
    <row r="552" s="17" customFormat="1" x14ac:dyDescent="0.35"/>
    <row r="553" s="17" customFormat="1" x14ac:dyDescent="0.35"/>
    <row r="554" s="17" customFormat="1" x14ac:dyDescent="0.35"/>
    <row r="555" s="17" customFormat="1" x14ac:dyDescent="0.35"/>
    <row r="556" s="17" customFormat="1" x14ac:dyDescent="0.35"/>
    <row r="557" s="17" customFormat="1" x14ac:dyDescent="0.35"/>
    <row r="558" s="17" customFormat="1" x14ac:dyDescent="0.35"/>
    <row r="559" s="17" customFormat="1" x14ac:dyDescent="0.35"/>
    <row r="560" s="17" customFormat="1" x14ac:dyDescent="0.35"/>
    <row r="561" s="17" customFormat="1" x14ac:dyDescent="0.35"/>
    <row r="562" s="17" customFormat="1" x14ac:dyDescent="0.35"/>
    <row r="563" s="17" customFormat="1" x14ac:dyDescent="0.35"/>
    <row r="564" s="17" customFormat="1" x14ac:dyDescent="0.35"/>
    <row r="565" s="17" customFormat="1" x14ac:dyDescent="0.35"/>
    <row r="566" s="17" customFormat="1" x14ac:dyDescent="0.35"/>
    <row r="567" s="17" customFormat="1" x14ac:dyDescent="0.35"/>
    <row r="568" s="17" customFormat="1" x14ac:dyDescent="0.35"/>
    <row r="569" s="17" customFormat="1" x14ac:dyDescent="0.35"/>
    <row r="570" s="17" customFormat="1" x14ac:dyDescent="0.35"/>
    <row r="571" s="17" customFormat="1" x14ac:dyDescent="0.35"/>
    <row r="572" s="17" customFormat="1" x14ac:dyDescent="0.35"/>
    <row r="573" s="17" customFormat="1" x14ac:dyDescent="0.35"/>
    <row r="574" s="17" customFormat="1" x14ac:dyDescent="0.35"/>
    <row r="575" s="17" customFormat="1" x14ac:dyDescent="0.35"/>
    <row r="576" s="17" customFormat="1" x14ac:dyDescent="0.35"/>
    <row r="577" s="17" customFormat="1" x14ac:dyDescent="0.35"/>
    <row r="578" s="17" customFormat="1" x14ac:dyDescent="0.35"/>
    <row r="579" s="17" customFormat="1" x14ac:dyDescent="0.35"/>
    <row r="580" s="17" customFormat="1" x14ac:dyDescent="0.35"/>
    <row r="581" s="17" customFormat="1" x14ac:dyDescent="0.35"/>
    <row r="582" s="17" customFormat="1" x14ac:dyDescent="0.35"/>
    <row r="583" s="17" customFormat="1" x14ac:dyDescent="0.35"/>
    <row r="584" s="17" customFormat="1" x14ac:dyDescent="0.35"/>
    <row r="585" s="17" customFormat="1" x14ac:dyDescent="0.35"/>
    <row r="586" s="17" customFormat="1" x14ac:dyDescent="0.35"/>
    <row r="587" s="17" customFormat="1" x14ac:dyDescent="0.35"/>
    <row r="588" s="17" customFormat="1" x14ac:dyDescent="0.35"/>
    <row r="589" s="17" customFormat="1" x14ac:dyDescent="0.35"/>
    <row r="590" s="17" customFormat="1" x14ac:dyDescent="0.35"/>
    <row r="591" s="17" customFormat="1" x14ac:dyDescent="0.35"/>
    <row r="592" s="17" customFormat="1" x14ac:dyDescent="0.35"/>
    <row r="593" s="17" customFormat="1" x14ac:dyDescent="0.35"/>
    <row r="594" s="17" customFormat="1" x14ac:dyDescent="0.35"/>
    <row r="595" s="17" customFormat="1" x14ac:dyDescent="0.35"/>
    <row r="596" s="17" customFormat="1" x14ac:dyDescent="0.35"/>
    <row r="597" s="17" customFormat="1" x14ac:dyDescent="0.35"/>
    <row r="598" s="17" customFormat="1" x14ac:dyDescent="0.35"/>
    <row r="599" s="17" customFormat="1" x14ac:dyDescent="0.35"/>
    <row r="600" s="17" customFormat="1" x14ac:dyDescent="0.35"/>
    <row r="601" s="17" customFormat="1" x14ac:dyDescent="0.35"/>
    <row r="602" s="17" customFormat="1" x14ac:dyDescent="0.35"/>
    <row r="603" s="17" customFormat="1" x14ac:dyDescent="0.35"/>
    <row r="604" s="17" customFormat="1" x14ac:dyDescent="0.35"/>
    <row r="605" s="17" customFormat="1" x14ac:dyDescent="0.35"/>
    <row r="606" s="17" customFormat="1" x14ac:dyDescent="0.35"/>
    <row r="607" s="17" customFormat="1" x14ac:dyDescent="0.35"/>
    <row r="608" s="17" customFormat="1" x14ac:dyDescent="0.35"/>
    <row r="609" s="17" customFormat="1" x14ac:dyDescent="0.35"/>
    <row r="610" s="17" customFormat="1" x14ac:dyDescent="0.35"/>
    <row r="611" s="17" customFormat="1" x14ac:dyDescent="0.35"/>
    <row r="612" s="17" customFormat="1" x14ac:dyDescent="0.35"/>
    <row r="613" s="17" customFormat="1" x14ac:dyDescent="0.35"/>
    <row r="614" s="17" customFormat="1" x14ac:dyDescent="0.35"/>
    <row r="615" s="17" customFormat="1" x14ac:dyDescent="0.35"/>
    <row r="616" s="17" customFormat="1" x14ac:dyDescent="0.35"/>
    <row r="617" s="17" customFormat="1" x14ac:dyDescent="0.35"/>
    <row r="618" s="17" customFormat="1" x14ac:dyDescent="0.35"/>
    <row r="619" s="17" customFormat="1" x14ac:dyDescent="0.35"/>
    <row r="620" s="17" customFormat="1" x14ac:dyDescent="0.35"/>
    <row r="621" s="17" customFormat="1" x14ac:dyDescent="0.35"/>
    <row r="622" s="17" customFormat="1" x14ac:dyDescent="0.35"/>
    <row r="623" s="17" customFormat="1" x14ac:dyDescent="0.35"/>
    <row r="624" s="17" customFormat="1" x14ac:dyDescent="0.35"/>
    <row r="625" s="17" customFormat="1" x14ac:dyDescent="0.35"/>
    <row r="626" s="17" customFormat="1" x14ac:dyDescent="0.35"/>
    <row r="627" s="17" customFormat="1" x14ac:dyDescent="0.35"/>
    <row r="628" s="17" customFormat="1" x14ac:dyDescent="0.35"/>
    <row r="629" s="17" customFormat="1" x14ac:dyDescent="0.35"/>
    <row r="630" s="17" customFormat="1" x14ac:dyDescent="0.35"/>
    <row r="631" s="17" customFormat="1" x14ac:dyDescent="0.35"/>
    <row r="632" s="17" customFormat="1" x14ac:dyDescent="0.35"/>
    <row r="633" s="17" customFormat="1" x14ac:dyDescent="0.35"/>
    <row r="634" s="17" customFormat="1" x14ac:dyDescent="0.35"/>
    <row r="635" s="17" customFormat="1" x14ac:dyDescent="0.35"/>
    <row r="636" s="17" customFormat="1" x14ac:dyDescent="0.35"/>
    <row r="637" s="17" customFormat="1" x14ac:dyDescent="0.35"/>
    <row r="638" s="17" customFormat="1" x14ac:dyDescent="0.35"/>
    <row r="639" s="17" customFormat="1" x14ac:dyDescent="0.35"/>
    <row r="640" s="17" customFormat="1" x14ac:dyDescent="0.35"/>
    <row r="641" s="17" customFormat="1" x14ac:dyDescent="0.35"/>
    <row r="642" s="17" customFormat="1" x14ac:dyDescent="0.35"/>
    <row r="643" s="17" customFormat="1" x14ac:dyDescent="0.35"/>
    <row r="644" s="17" customFormat="1" x14ac:dyDescent="0.35"/>
    <row r="645" s="17" customFormat="1" x14ac:dyDescent="0.35"/>
    <row r="646" s="17" customFormat="1" x14ac:dyDescent="0.35"/>
    <row r="647" s="17" customFormat="1" x14ac:dyDescent="0.35"/>
    <row r="648" s="17" customFormat="1" x14ac:dyDescent="0.35"/>
    <row r="649" s="17" customFormat="1" x14ac:dyDescent="0.35"/>
    <row r="650" s="17" customFormat="1" x14ac:dyDescent="0.35"/>
    <row r="651" s="17" customFormat="1" x14ac:dyDescent="0.35"/>
    <row r="652" s="17" customFormat="1" x14ac:dyDescent="0.35"/>
    <row r="653" s="17" customFormat="1" x14ac:dyDescent="0.35"/>
    <row r="654" s="17" customFormat="1" x14ac:dyDescent="0.35"/>
    <row r="655" s="17" customFormat="1" x14ac:dyDescent="0.35"/>
    <row r="656" s="17" customFormat="1" x14ac:dyDescent="0.35"/>
    <row r="657" s="17" customFormat="1" x14ac:dyDescent="0.35"/>
    <row r="658" s="17" customFormat="1" x14ac:dyDescent="0.35"/>
    <row r="659" s="17" customFormat="1" x14ac:dyDescent="0.35"/>
    <row r="660" s="17" customFormat="1" x14ac:dyDescent="0.35"/>
    <row r="661" s="17" customFormat="1" x14ac:dyDescent="0.35"/>
    <row r="662" s="17" customFormat="1" x14ac:dyDescent="0.35"/>
    <row r="663" s="17" customFormat="1" x14ac:dyDescent="0.35"/>
    <row r="664" s="17" customFormat="1" x14ac:dyDescent="0.35"/>
    <row r="665" s="17" customFormat="1" x14ac:dyDescent="0.35"/>
    <row r="666" s="17" customFormat="1" x14ac:dyDescent="0.35"/>
    <row r="667" s="17" customFormat="1" x14ac:dyDescent="0.35"/>
    <row r="668" s="17" customFormat="1" x14ac:dyDescent="0.35"/>
    <row r="669" s="17" customFormat="1" x14ac:dyDescent="0.35"/>
    <row r="670" s="17" customFormat="1" x14ac:dyDescent="0.35"/>
    <row r="671" s="17" customFormat="1" x14ac:dyDescent="0.35"/>
    <row r="672" s="17" customFormat="1" x14ac:dyDescent="0.35"/>
    <row r="673" s="17" customFormat="1" x14ac:dyDescent="0.35"/>
    <row r="674" s="17" customFormat="1" x14ac:dyDescent="0.35"/>
    <row r="675" s="17" customFormat="1" x14ac:dyDescent="0.35"/>
    <row r="676" s="17" customFormat="1" x14ac:dyDescent="0.35"/>
    <row r="677" s="17" customFormat="1" x14ac:dyDescent="0.35"/>
    <row r="678" s="17" customFormat="1" x14ac:dyDescent="0.35"/>
    <row r="679" s="17" customFormat="1" x14ac:dyDescent="0.35"/>
    <row r="680" s="17" customFormat="1" x14ac:dyDescent="0.35"/>
    <row r="681" s="17" customFormat="1" x14ac:dyDescent="0.35"/>
    <row r="682" s="17" customFormat="1" x14ac:dyDescent="0.35"/>
    <row r="683" s="17" customFormat="1" x14ac:dyDescent="0.35"/>
    <row r="684" s="17" customFormat="1" x14ac:dyDescent="0.35"/>
    <row r="685" s="17" customFormat="1" x14ac:dyDescent="0.35"/>
    <row r="686" s="17" customFormat="1" x14ac:dyDescent="0.35"/>
    <row r="687" s="17" customFormat="1" x14ac:dyDescent="0.35"/>
    <row r="688" s="17" customFormat="1" x14ac:dyDescent="0.35"/>
    <row r="689" s="17" customFormat="1" x14ac:dyDescent="0.35"/>
    <row r="690" s="17" customFormat="1" x14ac:dyDescent="0.35"/>
    <row r="691" s="17" customFormat="1" x14ac:dyDescent="0.35"/>
    <row r="692" s="17" customFormat="1" x14ac:dyDescent="0.35"/>
    <row r="693" s="17" customFormat="1" x14ac:dyDescent="0.35"/>
    <row r="694" s="17" customFormat="1" x14ac:dyDescent="0.35"/>
    <row r="695" s="17" customFormat="1" x14ac:dyDescent="0.35"/>
    <row r="696" s="17" customFormat="1" x14ac:dyDescent="0.35"/>
    <row r="697" s="17" customFormat="1" x14ac:dyDescent="0.35"/>
    <row r="698" s="17" customFormat="1" x14ac:dyDescent="0.35"/>
    <row r="699" s="17" customFormat="1" x14ac:dyDescent="0.35"/>
    <row r="700" s="17" customFormat="1" x14ac:dyDescent="0.35"/>
    <row r="701" s="17" customFormat="1" x14ac:dyDescent="0.35"/>
    <row r="702" s="17" customFormat="1" x14ac:dyDescent="0.35"/>
    <row r="703" s="17" customFormat="1" x14ac:dyDescent="0.35"/>
    <row r="704" s="17" customFormat="1" x14ac:dyDescent="0.35"/>
    <row r="705" s="17" customFormat="1" x14ac:dyDescent="0.35"/>
    <row r="706" s="17" customFormat="1" x14ac:dyDescent="0.35"/>
    <row r="707" s="17" customFormat="1" x14ac:dyDescent="0.35"/>
    <row r="708" s="17" customFormat="1" x14ac:dyDescent="0.35"/>
    <row r="709" s="17" customFormat="1" x14ac:dyDescent="0.35"/>
    <row r="710" s="17" customFormat="1" x14ac:dyDescent="0.35"/>
    <row r="711" s="17" customFormat="1" x14ac:dyDescent="0.35"/>
    <row r="712" s="17" customFormat="1" x14ac:dyDescent="0.35"/>
    <row r="713" s="17" customFormat="1" x14ac:dyDescent="0.35"/>
    <row r="714" s="17" customFormat="1" x14ac:dyDescent="0.35"/>
    <row r="715" s="17" customFormat="1" x14ac:dyDescent="0.35"/>
    <row r="716" s="17" customFormat="1" x14ac:dyDescent="0.35"/>
    <row r="717" s="17" customFormat="1" x14ac:dyDescent="0.35"/>
    <row r="718" s="17" customFormat="1" x14ac:dyDescent="0.35"/>
    <row r="719" s="17" customFormat="1" x14ac:dyDescent="0.35"/>
    <row r="720" s="17" customFormat="1" x14ac:dyDescent="0.35"/>
    <row r="721" s="17" customFormat="1" x14ac:dyDescent="0.35"/>
    <row r="722" s="17" customFormat="1" x14ac:dyDescent="0.35"/>
    <row r="723" s="17" customFormat="1" x14ac:dyDescent="0.35"/>
    <row r="724" s="17" customFormat="1" x14ac:dyDescent="0.35"/>
    <row r="725" s="17" customFormat="1" x14ac:dyDescent="0.35"/>
    <row r="726" s="17" customFormat="1" x14ac:dyDescent="0.35"/>
    <row r="727" s="17" customFormat="1" x14ac:dyDescent="0.35"/>
    <row r="728" s="17" customFormat="1" x14ac:dyDescent="0.35"/>
    <row r="729" s="17" customFormat="1" x14ac:dyDescent="0.35"/>
    <row r="730" s="17" customFormat="1" x14ac:dyDescent="0.35"/>
    <row r="731" s="17" customFormat="1" x14ac:dyDescent="0.35"/>
    <row r="732" s="17" customFormat="1" x14ac:dyDescent="0.35"/>
    <row r="733" s="17" customFormat="1" x14ac:dyDescent="0.35"/>
    <row r="734" s="17" customFormat="1" x14ac:dyDescent="0.35"/>
    <row r="735" s="17" customFormat="1" x14ac:dyDescent="0.35"/>
    <row r="736" s="17" customFormat="1" x14ac:dyDescent="0.35"/>
    <row r="737" s="17" customFormat="1" x14ac:dyDescent="0.35"/>
    <row r="738" s="17" customFormat="1" x14ac:dyDescent="0.35"/>
    <row r="739" s="17" customFormat="1" x14ac:dyDescent="0.35"/>
    <row r="740" s="17" customFormat="1" x14ac:dyDescent="0.35"/>
    <row r="741" s="17" customFormat="1" x14ac:dyDescent="0.35"/>
    <row r="742" s="17" customFormat="1" x14ac:dyDescent="0.35"/>
    <row r="743" s="17" customFormat="1" x14ac:dyDescent="0.35"/>
    <row r="744" s="17" customFormat="1" x14ac:dyDescent="0.35"/>
    <row r="745" s="17" customFormat="1" x14ac:dyDescent="0.35"/>
    <row r="746" s="17" customFormat="1" x14ac:dyDescent="0.35"/>
    <row r="747" s="17" customFormat="1" x14ac:dyDescent="0.35"/>
    <row r="748" s="17" customFormat="1" x14ac:dyDescent="0.35"/>
    <row r="749" s="17" customFormat="1" x14ac:dyDescent="0.35"/>
    <row r="750" s="17" customFormat="1" x14ac:dyDescent="0.35"/>
    <row r="751" s="17" customFormat="1" x14ac:dyDescent="0.35"/>
    <row r="752" s="17" customFormat="1" x14ac:dyDescent="0.35"/>
    <row r="753" s="17" customFormat="1" x14ac:dyDescent="0.35"/>
    <row r="754" s="17" customFormat="1" x14ac:dyDescent="0.35"/>
    <row r="755" s="17" customFormat="1" x14ac:dyDescent="0.35"/>
    <row r="756" s="17" customFormat="1" x14ac:dyDescent="0.35"/>
    <row r="757" s="17" customFormat="1" x14ac:dyDescent="0.35"/>
    <row r="758" s="17" customFormat="1" x14ac:dyDescent="0.35"/>
    <row r="759" s="17" customFormat="1" x14ac:dyDescent="0.35"/>
    <row r="760" s="17" customFormat="1" x14ac:dyDescent="0.35"/>
    <row r="761" s="17" customFormat="1" x14ac:dyDescent="0.35"/>
    <row r="762" s="17" customFormat="1" x14ac:dyDescent="0.35"/>
    <row r="763" s="17" customFormat="1" x14ac:dyDescent="0.35"/>
    <row r="764" s="17" customFormat="1" x14ac:dyDescent="0.35"/>
    <row r="765" s="17" customFormat="1" x14ac:dyDescent="0.35"/>
    <row r="766" s="17" customFormat="1" x14ac:dyDescent="0.35"/>
    <row r="767" s="17" customFormat="1" x14ac:dyDescent="0.35"/>
    <row r="768" s="17" customFormat="1" x14ac:dyDescent="0.35"/>
    <row r="769" s="17" customFormat="1" x14ac:dyDescent="0.35"/>
    <row r="770" s="17" customFormat="1" x14ac:dyDescent="0.35"/>
    <row r="771" s="17" customFormat="1" x14ac:dyDescent="0.35"/>
    <row r="772" s="17" customFormat="1" x14ac:dyDescent="0.35"/>
    <row r="773" s="17" customFormat="1" x14ac:dyDescent="0.35"/>
    <row r="774" s="17" customFormat="1" x14ac:dyDescent="0.35"/>
    <row r="775" s="17" customFormat="1" x14ac:dyDescent="0.35"/>
    <row r="776" s="17" customFormat="1" x14ac:dyDescent="0.35"/>
    <row r="777" s="17" customFormat="1" x14ac:dyDescent="0.35"/>
    <row r="778" s="17" customFormat="1" x14ac:dyDescent="0.35"/>
    <row r="779" s="17" customFormat="1" x14ac:dyDescent="0.35"/>
    <row r="780" s="17" customFormat="1" x14ac:dyDescent="0.35"/>
    <row r="781" s="17" customFormat="1" x14ac:dyDescent="0.35"/>
    <row r="782" s="17" customFormat="1" x14ac:dyDescent="0.35"/>
    <row r="783" s="17" customFormat="1" x14ac:dyDescent="0.35"/>
    <row r="784" s="17" customFormat="1" x14ac:dyDescent="0.35"/>
    <row r="785" s="17" customFormat="1" x14ac:dyDescent="0.35"/>
    <row r="786" s="17" customFormat="1" x14ac:dyDescent="0.35"/>
    <row r="787" s="17" customFormat="1" x14ac:dyDescent="0.35"/>
    <row r="788" s="17" customFormat="1" x14ac:dyDescent="0.35"/>
    <row r="789" s="17" customFormat="1" x14ac:dyDescent="0.35"/>
    <row r="790" s="17" customFormat="1" x14ac:dyDescent="0.35"/>
    <row r="791" s="17" customFormat="1" x14ac:dyDescent="0.35"/>
    <row r="792" s="17" customFormat="1" x14ac:dyDescent="0.35"/>
    <row r="793" s="17" customFormat="1" x14ac:dyDescent="0.35"/>
    <row r="794" s="17" customFormat="1" x14ac:dyDescent="0.35"/>
    <row r="795" s="17" customFormat="1" x14ac:dyDescent="0.35"/>
    <row r="796" s="17" customFormat="1" x14ac:dyDescent="0.35"/>
    <row r="797" s="17" customFormat="1" x14ac:dyDescent="0.35"/>
    <row r="798" s="17" customFormat="1" x14ac:dyDescent="0.35"/>
    <row r="799" s="17" customFormat="1" x14ac:dyDescent="0.35"/>
    <row r="800" s="17" customFormat="1" x14ac:dyDescent="0.35"/>
    <row r="801" s="17" customFormat="1" x14ac:dyDescent="0.35"/>
    <row r="802" s="17" customFormat="1" x14ac:dyDescent="0.35"/>
    <row r="803" s="17" customFormat="1" x14ac:dyDescent="0.35"/>
    <row r="804" s="17" customFormat="1" x14ac:dyDescent="0.35"/>
    <row r="805" s="17" customFormat="1" x14ac:dyDescent="0.35"/>
    <row r="806" s="17" customFormat="1" x14ac:dyDescent="0.35"/>
    <row r="807" s="17" customFormat="1" x14ac:dyDescent="0.35"/>
    <row r="808" s="17" customFormat="1" x14ac:dyDescent="0.35"/>
    <row r="809" s="17" customFormat="1" x14ac:dyDescent="0.35"/>
    <row r="810" s="17" customFormat="1" x14ac:dyDescent="0.35"/>
    <row r="811" s="17" customFormat="1" x14ac:dyDescent="0.35"/>
    <row r="812" s="17" customFormat="1" x14ac:dyDescent="0.35"/>
    <row r="813" s="17" customFormat="1" x14ac:dyDescent="0.35"/>
    <row r="814" s="17" customFormat="1" x14ac:dyDescent="0.35"/>
    <row r="815" s="17" customFormat="1" x14ac:dyDescent="0.35"/>
    <row r="816" s="17" customFormat="1" x14ac:dyDescent="0.35"/>
    <row r="817" s="17" customFormat="1" x14ac:dyDescent="0.35"/>
    <row r="818" s="17" customFormat="1" x14ac:dyDescent="0.35"/>
    <row r="819" s="17" customFormat="1" x14ac:dyDescent="0.35"/>
    <row r="820" s="17" customFormat="1" x14ac:dyDescent="0.35"/>
    <row r="821" s="17" customFormat="1" x14ac:dyDescent="0.35"/>
    <row r="822" s="17" customFormat="1" x14ac:dyDescent="0.35"/>
    <row r="823" s="17" customFormat="1" x14ac:dyDescent="0.35"/>
    <row r="824" s="17" customFormat="1" x14ac:dyDescent="0.35"/>
    <row r="825" s="17" customFormat="1" x14ac:dyDescent="0.35"/>
    <row r="826" s="17" customFormat="1" x14ac:dyDescent="0.35"/>
    <row r="827" s="17" customFormat="1" x14ac:dyDescent="0.35"/>
    <row r="828" s="17" customFormat="1" x14ac:dyDescent="0.35"/>
    <row r="829" s="17" customFormat="1" x14ac:dyDescent="0.35"/>
    <row r="830" s="17" customFormat="1" x14ac:dyDescent="0.35"/>
    <row r="831" s="17" customFormat="1" x14ac:dyDescent="0.35"/>
    <row r="832" s="17" customFormat="1" x14ac:dyDescent="0.35"/>
    <row r="833" s="17" customFormat="1" x14ac:dyDescent="0.35"/>
    <row r="834" s="17" customFormat="1" x14ac:dyDescent="0.35"/>
    <row r="835" s="17" customFormat="1" x14ac:dyDescent="0.35"/>
    <row r="836" s="17" customFormat="1" x14ac:dyDescent="0.35"/>
    <row r="837" s="17" customFormat="1" x14ac:dyDescent="0.35"/>
    <row r="838" s="17" customFormat="1" x14ac:dyDescent="0.35"/>
    <row r="839" s="17" customFormat="1" x14ac:dyDescent="0.35"/>
    <row r="840" s="17" customFormat="1" x14ac:dyDescent="0.35"/>
    <row r="841" s="17" customFormat="1" x14ac:dyDescent="0.35"/>
    <row r="842" s="17" customFormat="1" x14ac:dyDescent="0.35"/>
    <row r="843" s="17" customFormat="1" x14ac:dyDescent="0.35"/>
    <row r="844" s="17" customFormat="1" x14ac:dyDescent="0.35"/>
    <row r="845" s="17" customFormat="1" x14ac:dyDescent="0.35"/>
    <row r="846" s="17" customFormat="1" x14ac:dyDescent="0.35"/>
    <row r="847" s="17" customFormat="1" x14ac:dyDescent="0.35"/>
    <row r="848" s="17" customFormat="1" x14ac:dyDescent="0.35"/>
    <row r="849" s="17" customFormat="1" x14ac:dyDescent="0.35"/>
    <row r="850" s="17" customFormat="1" x14ac:dyDescent="0.35"/>
    <row r="851" s="17" customFormat="1" x14ac:dyDescent="0.35"/>
    <row r="852" s="17" customFormat="1" x14ac:dyDescent="0.35"/>
    <row r="853" s="17" customFormat="1" x14ac:dyDescent="0.35"/>
    <row r="854" s="17" customFormat="1" x14ac:dyDescent="0.35"/>
    <row r="855" s="17" customFormat="1" x14ac:dyDescent="0.35"/>
    <row r="856" s="17" customFormat="1" x14ac:dyDescent="0.35"/>
    <row r="857" s="17" customFormat="1" x14ac:dyDescent="0.35"/>
    <row r="858" s="17" customFormat="1" x14ac:dyDescent="0.35"/>
    <row r="859" s="17" customFormat="1" x14ac:dyDescent="0.35"/>
    <row r="860" s="17" customFormat="1" x14ac:dyDescent="0.35"/>
    <row r="861" s="17" customFormat="1" x14ac:dyDescent="0.35"/>
    <row r="862" s="17" customFormat="1" x14ac:dyDescent="0.35"/>
    <row r="863" s="17" customFormat="1" x14ac:dyDescent="0.35"/>
    <row r="864" s="17" customFormat="1" x14ac:dyDescent="0.35"/>
    <row r="865" s="17" customFormat="1" x14ac:dyDescent="0.35"/>
    <row r="866" s="17" customFormat="1" x14ac:dyDescent="0.35"/>
    <row r="867" s="17" customFormat="1" x14ac:dyDescent="0.35"/>
    <row r="868" s="17" customFormat="1" x14ac:dyDescent="0.35"/>
    <row r="869" s="17" customFormat="1" x14ac:dyDescent="0.35"/>
    <row r="870" s="17" customFormat="1" x14ac:dyDescent="0.35"/>
    <row r="871" s="17" customFormat="1" x14ac:dyDescent="0.35"/>
    <row r="872" s="17" customFormat="1" x14ac:dyDescent="0.35"/>
    <row r="873" s="17" customFormat="1" x14ac:dyDescent="0.35"/>
    <row r="874" s="17" customFormat="1" x14ac:dyDescent="0.35"/>
    <row r="875" s="17" customFormat="1" x14ac:dyDescent="0.35"/>
    <row r="876" s="17" customFormat="1" x14ac:dyDescent="0.35"/>
    <row r="877" s="17" customFormat="1" x14ac:dyDescent="0.35"/>
    <row r="878" s="17" customFormat="1" x14ac:dyDescent="0.35"/>
    <row r="879" s="17" customFormat="1" x14ac:dyDescent="0.35"/>
    <row r="880" s="17" customFormat="1" x14ac:dyDescent="0.35"/>
    <row r="881" s="17" customFormat="1" x14ac:dyDescent="0.35"/>
    <row r="882" s="17" customFormat="1" x14ac:dyDescent="0.35"/>
    <row r="883" s="17" customFormat="1" x14ac:dyDescent="0.35"/>
    <row r="884" s="17" customFormat="1" x14ac:dyDescent="0.35"/>
    <row r="885" s="17" customFormat="1" x14ac:dyDescent="0.35"/>
    <row r="886" s="17" customFormat="1" x14ac:dyDescent="0.35"/>
    <row r="887" s="17" customFormat="1" x14ac:dyDescent="0.35"/>
    <row r="888" s="17" customFormat="1" x14ac:dyDescent="0.35"/>
    <row r="889" s="17" customFormat="1" x14ac:dyDescent="0.35"/>
    <row r="890" s="17" customFormat="1" x14ac:dyDescent="0.35"/>
    <row r="891" s="17" customFormat="1" x14ac:dyDescent="0.35"/>
    <row r="892" s="17" customFormat="1" x14ac:dyDescent="0.35"/>
    <row r="893" s="17" customFormat="1" x14ac:dyDescent="0.35"/>
    <row r="894" s="17" customFormat="1" x14ac:dyDescent="0.35"/>
    <row r="895" s="17" customFormat="1" x14ac:dyDescent="0.35"/>
    <row r="896" s="17" customFormat="1" x14ac:dyDescent="0.35"/>
    <row r="897" s="17" customFormat="1" x14ac:dyDescent="0.35"/>
    <row r="898" s="17" customFormat="1" x14ac:dyDescent="0.35"/>
    <row r="899" s="17" customFormat="1" x14ac:dyDescent="0.35"/>
    <row r="900" s="17" customFormat="1" x14ac:dyDescent="0.35"/>
    <row r="901" s="17" customFormat="1" x14ac:dyDescent="0.35"/>
    <row r="902" s="17" customFormat="1" x14ac:dyDescent="0.35"/>
    <row r="903" s="17" customFormat="1" x14ac:dyDescent="0.35"/>
    <row r="904" s="17" customFormat="1" x14ac:dyDescent="0.35"/>
    <row r="905" s="17" customFormat="1" x14ac:dyDescent="0.35"/>
    <row r="906" s="17" customFormat="1" x14ac:dyDescent="0.35"/>
    <row r="907" s="17" customFormat="1" x14ac:dyDescent="0.35"/>
    <row r="908" s="17" customFormat="1" x14ac:dyDescent="0.35"/>
    <row r="909" s="17" customFormat="1" x14ac:dyDescent="0.35"/>
    <row r="910" s="17" customFormat="1" x14ac:dyDescent="0.35"/>
    <row r="911" s="17" customFormat="1" x14ac:dyDescent="0.35"/>
    <row r="912" s="17" customFormat="1" x14ac:dyDescent="0.35"/>
    <row r="913" s="17" customFormat="1" x14ac:dyDescent="0.35"/>
    <row r="914" s="17" customFormat="1" x14ac:dyDescent="0.35"/>
    <row r="915" s="17" customFormat="1" x14ac:dyDescent="0.35"/>
    <row r="916" s="17" customFormat="1" x14ac:dyDescent="0.35"/>
    <row r="917" s="17" customFormat="1" x14ac:dyDescent="0.35"/>
    <row r="918" s="17" customFormat="1" x14ac:dyDescent="0.35"/>
    <row r="919" s="17" customFormat="1" x14ac:dyDescent="0.35"/>
    <row r="920" s="17" customFormat="1" x14ac:dyDescent="0.35"/>
    <row r="921" s="17" customFormat="1" x14ac:dyDescent="0.35"/>
    <row r="922" s="17" customFormat="1" x14ac:dyDescent="0.35"/>
    <row r="923" s="17" customFormat="1" x14ac:dyDescent="0.35"/>
    <row r="924" s="17" customFormat="1" x14ac:dyDescent="0.35"/>
    <row r="925" s="17" customFormat="1" x14ac:dyDescent="0.35"/>
    <row r="926" s="17" customFormat="1" x14ac:dyDescent="0.35"/>
    <row r="927" s="17" customFormat="1" x14ac:dyDescent="0.35"/>
    <row r="928" s="17" customFormat="1" x14ac:dyDescent="0.35"/>
    <row r="929" s="17" customFormat="1" x14ac:dyDescent="0.35"/>
    <row r="930" s="17" customFormat="1" x14ac:dyDescent="0.35"/>
    <row r="931" s="17" customFormat="1" x14ac:dyDescent="0.35"/>
    <row r="932" s="17" customFormat="1" x14ac:dyDescent="0.35"/>
    <row r="933" s="17" customFormat="1" x14ac:dyDescent="0.35"/>
    <row r="934" s="17" customFormat="1" x14ac:dyDescent="0.35"/>
    <row r="935" s="17" customFormat="1" x14ac:dyDescent="0.35"/>
    <row r="936" s="17" customFormat="1" x14ac:dyDescent="0.35"/>
    <row r="937" s="17" customFormat="1" x14ac:dyDescent="0.35"/>
    <row r="938" s="17" customFormat="1" x14ac:dyDescent="0.35"/>
    <row r="939" s="17" customFormat="1" x14ac:dyDescent="0.35"/>
    <row r="940" s="17" customFormat="1" x14ac:dyDescent="0.35"/>
    <row r="941" s="17" customFormat="1" x14ac:dyDescent="0.35"/>
    <row r="942" s="17" customFormat="1" x14ac:dyDescent="0.35"/>
    <row r="943" s="17" customFormat="1" x14ac:dyDescent="0.35"/>
    <row r="944" s="17" customFormat="1" x14ac:dyDescent="0.35"/>
    <row r="945" s="17" customFormat="1" x14ac:dyDescent="0.35"/>
    <row r="946" s="17" customFormat="1" x14ac:dyDescent="0.35"/>
    <row r="947" s="17" customFormat="1" x14ac:dyDescent="0.35"/>
    <row r="948" s="17" customFormat="1" x14ac:dyDescent="0.35"/>
    <row r="949" s="17" customFormat="1" x14ac:dyDescent="0.35"/>
    <row r="950" s="17" customFormat="1" x14ac:dyDescent="0.35"/>
    <row r="951" s="17" customFormat="1" x14ac:dyDescent="0.35"/>
    <row r="952" s="17" customFormat="1" x14ac:dyDescent="0.35"/>
    <row r="953" s="17" customFormat="1" x14ac:dyDescent="0.35"/>
    <row r="954" s="17" customFormat="1" x14ac:dyDescent="0.35"/>
    <row r="955" s="17" customFormat="1" x14ac:dyDescent="0.35"/>
    <row r="956" s="17" customFormat="1" x14ac:dyDescent="0.35"/>
    <row r="957" s="17" customFormat="1" x14ac:dyDescent="0.35"/>
    <row r="958" s="17" customFormat="1" x14ac:dyDescent="0.35"/>
    <row r="959" s="17" customFormat="1" x14ac:dyDescent="0.35"/>
    <row r="960" s="17" customFormat="1" x14ac:dyDescent="0.35"/>
    <row r="961" s="17" customFormat="1" x14ac:dyDescent="0.35"/>
    <row r="962" s="17" customFormat="1" x14ac:dyDescent="0.35"/>
    <row r="963" s="17" customFormat="1" x14ac:dyDescent="0.35"/>
    <row r="964" s="17" customFormat="1" x14ac:dyDescent="0.35"/>
    <row r="965" s="17" customFormat="1" x14ac:dyDescent="0.35"/>
    <row r="966" s="17" customFormat="1" x14ac:dyDescent="0.35"/>
    <row r="967" s="17" customFormat="1" x14ac:dyDescent="0.35"/>
    <row r="968" s="17" customFormat="1" x14ac:dyDescent="0.35"/>
    <row r="969" s="17" customFormat="1" x14ac:dyDescent="0.35"/>
    <row r="970" s="17" customFormat="1" x14ac:dyDescent="0.35"/>
    <row r="971" s="17" customFormat="1" x14ac:dyDescent="0.35"/>
    <row r="972" s="17" customFormat="1" x14ac:dyDescent="0.35"/>
    <row r="973" s="17" customFormat="1" x14ac:dyDescent="0.35"/>
    <row r="974" s="17" customFormat="1" x14ac:dyDescent="0.35"/>
    <row r="975" s="17" customFormat="1" x14ac:dyDescent="0.35"/>
    <row r="976" s="17" customFormat="1" x14ac:dyDescent="0.35"/>
    <row r="977" s="17" customFormat="1" x14ac:dyDescent="0.35"/>
    <row r="978" s="17" customFormat="1" x14ac:dyDescent="0.35"/>
    <row r="979" s="17" customFormat="1" x14ac:dyDescent="0.35"/>
    <row r="980" s="17" customFormat="1" x14ac:dyDescent="0.35"/>
    <row r="981" s="17" customFormat="1" x14ac:dyDescent="0.35"/>
    <row r="982" s="17" customFormat="1" x14ac:dyDescent="0.35"/>
    <row r="983" s="17" customFormat="1" x14ac:dyDescent="0.35"/>
    <row r="984" s="17" customFormat="1" x14ac:dyDescent="0.35"/>
    <row r="985" s="17" customFormat="1" x14ac:dyDescent="0.35"/>
    <row r="986" s="17" customFormat="1" x14ac:dyDescent="0.35"/>
    <row r="987" s="17" customFormat="1" x14ac:dyDescent="0.35"/>
    <row r="988" s="17" customFormat="1" x14ac:dyDescent="0.35"/>
    <row r="989" s="17" customFormat="1" x14ac:dyDescent="0.35"/>
    <row r="990" s="17" customFormat="1" x14ac:dyDescent="0.35"/>
    <row r="991" s="17" customFormat="1" x14ac:dyDescent="0.35"/>
    <row r="992" s="17" customFormat="1" x14ac:dyDescent="0.35"/>
    <row r="993" s="17" customFormat="1" x14ac:dyDescent="0.35"/>
    <row r="994" s="17" customFormat="1" x14ac:dyDescent="0.35"/>
    <row r="995" s="17" customFormat="1" x14ac:dyDescent="0.35"/>
    <row r="996" s="17" customFormat="1" x14ac:dyDescent="0.35"/>
    <row r="997" s="17" customFormat="1" x14ac:dyDescent="0.35"/>
    <row r="998" s="17" customFormat="1" x14ac:dyDescent="0.35"/>
    <row r="999" s="17" customFormat="1" x14ac:dyDescent="0.35"/>
    <row r="1000" s="17" customFormat="1" x14ac:dyDescent="0.35"/>
    <row r="1001" s="17" customFormat="1" x14ac:dyDescent="0.35"/>
    <row r="1002" s="17" customFormat="1" x14ac:dyDescent="0.35"/>
    <row r="1003" s="17" customFormat="1" x14ac:dyDescent="0.35"/>
    <row r="1004" s="17" customFormat="1" x14ac:dyDescent="0.35"/>
    <row r="1005" s="17" customFormat="1" x14ac:dyDescent="0.35"/>
    <row r="1006" s="17" customFormat="1" x14ac:dyDescent="0.35"/>
    <row r="1007" s="17" customFormat="1" x14ac:dyDescent="0.35"/>
    <row r="1008" s="17" customFormat="1" x14ac:dyDescent="0.35"/>
    <row r="1009" s="17" customFormat="1" x14ac:dyDescent="0.35"/>
    <row r="1010" s="17" customFormat="1" x14ac:dyDescent="0.35"/>
    <row r="1011" s="17" customFormat="1" x14ac:dyDescent="0.35"/>
    <row r="1012" s="17" customFormat="1" x14ac:dyDescent="0.35"/>
    <row r="1013" s="17" customFormat="1" x14ac:dyDescent="0.35"/>
    <row r="1014" s="17" customFormat="1" x14ac:dyDescent="0.35"/>
    <row r="1015" s="17" customFormat="1" x14ac:dyDescent="0.35"/>
    <row r="1016" s="17" customFormat="1" x14ac:dyDescent="0.35"/>
    <row r="1017" s="17" customFormat="1" x14ac:dyDescent="0.35"/>
    <row r="1018" s="17" customFormat="1" x14ac:dyDescent="0.35"/>
    <row r="1019" s="17" customFormat="1" x14ac:dyDescent="0.35"/>
    <row r="1020" s="17" customFormat="1" x14ac:dyDescent="0.35"/>
    <row r="1021" s="17" customFormat="1" x14ac:dyDescent="0.35"/>
    <row r="1022" s="17" customFormat="1" x14ac:dyDescent="0.35"/>
    <row r="1023" s="17" customFormat="1" x14ac:dyDescent="0.35"/>
    <row r="1024" s="17" customFormat="1" x14ac:dyDescent="0.35"/>
    <row r="1025" s="17" customFormat="1" x14ac:dyDescent="0.35"/>
    <row r="1026" s="17" customFormat="1" x14ac:dyDescent="0.35"/>
    <row r="1027" s="17" customFormat="1" x14ac:dyDescent="0.35"/>
    <row r="1028" s="17" customFormat="1" x14ac:dyDescent="0.35"/>
    <row r="1029" s="17" customFormat="1" x14ac:dyDescent="0.35"/>
    <row r="1030" s="17" customFormat="1" x14ac:dyDescent="0.35"/>
    <row r="1031" s="17" customFormat="1" x14ac:dyDescent="0.35"/>
    <row r="1032" s="17" customFormat="1" x14ac:dyDescent="0.35"/>
    <row r="1033" s="17" customFormat="1" x14ac:dyDescent="0.35"/>
    <row r="1034" s="17" customFormat="1" x14ac:dyDescent="0.35"/>
    <row r="1035" s="17" customFormat="1" x14ac:dyDescent="0.35"/>
    <row r="1036" s="17" customFormat="1" x14ac:dyDescent="0.35"/>
    <row r="1037" s="17" customFormat="1" x14ac:dyDescent="0.35"/>
    <row r="1038" s="17" customFormat="1" x14ac:dyDescent="0.35"/>
    <row r="1039" s="17" customFormat="1" x14ac:dyDescent="0.35"/>
    <row r="1040" s="17" customFormat="1" x14ac:dyDescent="0.35"/>
    <row r="1041" s="17" customFormat="1" x14ac:dyDescent="0.35"/>
    <row r="1042" s="17" customFormat="1" x14ac:dyDescent="0.35"/>
    <row r="1043" s="17" customFormat="1" x14ac:dyDescent="0.35"/>
    <row r="1044" s="17" customFormat="1" x14ac:dyDescent="0.35"/>
    <row r="1045" s="17" customFormat="1" x14ac:dyDescent="0.35"/>
    <row r="1046" s="17" customFormat="1" x14ac:dyDescent="0.35"/>
    <row r="1047" s="17" customFormat="1" x14ac:dyDescent="0.35"/>
    <row r="1048" s="17" customFormat="1" x14ac:dyDescent="0.35"/>
    <row r="1049" s="17" customFormat="1" x14ac:dyDescent="0.35"/>
    <row r="1050" s="17" customFormat="1" x14ac:dyDescent="0.35"/>
    <row r="1051" s="17" customFormat="1" x14ac:dyDescent="0.35"/>
    <row r="1052" s="17" customFormat="1" x14ac:dyDescent="0.35"/>
    <row r="1053" s="17" customFormat="1" x14ac:dyDescent="0.35"/>
    <row r="1054" s="17" customFormat="1" x14ac:dyDescent="0.35"/>
    <row r="1055" s="17" customFormat="1" x14ac:dyDescent="0.35"/>
    <row r="1056" s="17" customFormat="1" x14ac:dyDescent="0.35"/>
    <row r="1057" s="17" customFormat="1" x14ac:dyDescent="0.35"/>
    <row r="1058" s="17" customFormat="1" x14ac:dyDescent="0.35"/>
    <row r="1059" s="17" customFormat="1" x14ac:dyDescent="0.35"/>
    <row r="1060" s="17" customFormat="1" x14ac:dyDescent="0.35"/>
    <row r="1061" s="17" customFormat="1" x14ac:dyDescent="0.35"/>
    <row r="1062" s="17" customFormat="1" x14ac:dyDescent="0.35"/>
    <row r="1063" s="17" customFormat="1" x14ac:dyDescent="0.35"/>
    <row r="1064" s="17" customFormat="1" x14ac:dyDescent="0.35"/>
    <row r="1065" s="17" customFormat="1" x14ac:dyDescent="0.35"/>
    <row r="1066" s="17" customFormat="1" x14ac:dyDescent="0.35"/>
    <row r="1067" s="17" customFormat="1" x14ac:dyDescent="0.35"/>
    <row r="1068" s="17" customFormat="1" x14ac:dyDescent="0.35"/>
    <row r="1069" s="17" customFormat="1" x14ac:dyDescent="0.35"/>
    <row r="1070" s="17" customFormat="1" x14ac:dyDescent="0.35"/>
    <row r="1071" s="17" customFormat="1" x14ac:dyDescent="0.35"/>
    <row r="1072" s="17" customFormat="1" x14ac:dyDescent="0.35"/>
    <row r="1073" s="17" customFormat="1" x14ac:dyDescent="0.35"/>
    <row r="1074" s="17" customFormat="1" x14ac:dyDescent="0.35"/>
    <row r="1075" s="17" customFormat="1" x14ac:dyDescent="0.35"/>
    <row r="1076" s="17" customFormat="1" x14ac:dyDescent="0.35"/>
    <row r="1077" s="17" customFormat="1" x14ac:dyDescent="0.35"/>
    <row r="1078" s="17" customFormat="1" x14ac:dyDescent="0.35"/>
    <row r="1079" s="17" customFormat="1" x14ac:dyDescent="0.35"/>
    <row r="1080" s="17" customFormat="1" x14ac:dyDescent="0.35"/>
    <row r="1081" s="17" customFormat="1" x14ac:dyDescent="0.35"/>
    <row r="1082" s="17" customFormat="1" x14ac:dyDescent="0.35"/>
    <row r="1083" s="17" customFormat="1" x14ac:dyDescent="0.35"/>
    <row r="1084" s="17" customFormat="1" x14ac:dyDescent="0.35"/>
    <row r="1085" s="17" customFormat="1" x14ac:dyDescent="0.35"/>
    <row r="1086" s="17" customFormat="1" x14ac:dyDescent="0.35"/>
    <row r="1087" s="17" customFormat="1" x14ac:dyDescent="0.35"/>
    <row r="1088" s="17" customFormat="1" x14ac:dyDescent="0.35"/>
    <row r="1089" s="17" customFormat="1" x14ac:dyDescent="0.35"/>
    <row r="1090" s="17" customFormat="1" x14ac:dyDescent="0.35"/>
    <row r="1091" s="17" customFormat="1" x14ac:dyDescent="0.35"/>
    <row r="1092" s="17" customFormat="1" x14ac:dyDescent="0.35"/>
    <row r="1093" s="17" customFormat="1" x14ac:dyDescent="0.35"/>
    <row r="1094" s="17" customFormat="1" x14ac:dyDescent="0.35"/>
    <row r="1095" s="17" customFormat="1" x14ac:dyDescent="0.35"/>
    <row r="1096" s="17" customFormat="1" x14ac:dyDescent="0.35"/>
    <row r="1097" s="17" customFormat="1" x14ac:dyDescent="0.35"/>
    <row r="1098" s="17" customFormat="1" x14ac:dyDescent="0.35"/>
    <row r="1099" s="17" customFormat="1" x14ac:dyDescent="0.35"/>
    <row r="1100" s="17" customFormat="1" x14ac:dyDescent="0.35"/>
  </sheetData>
  <mergeCells count="4">
    <mergeCell ref="A1:O1"/>
    <mergeCell ref="A2:O2"/>
    <mergeCell ref="A3:O3"/>
    <mergeCell ref="A4:O4"/>
  </mergeCells>
  <pageMargins left="0.7" right="0.7" top="0.75" bottom="0.75" header="0.3" footer="0.3"/>
  <pageSetup scale="5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2023-10-23T20:30:35Z</cp:lastPrinted>
  <dcterms:created xsi:type="dcterms:W3CDTF">2019-05-21T05:57:01Z</dcterms:created>
  <dcterms:modified xsi:type="dcterms:W3CDTF">2023-10-23T20:30:44Z</dcterms:modified>
</cp:coreProperties>
</file>