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2022\"/>
    </mc:Choice>
  </mc:AlternateContent>
  <xr:revisionPtr revIDLastSave="0" documentId="13_ncr:1_{FC62EB68-3A3E-412A-9D77-EBD6798412DB}" xr6:coauthVersionLast="47" xr6:coauthVersionMax="47" xr10:uidLastSave="{00000000-0000-0000-0000-000000000000}"/>
  <bookViews>
    <workbookView xWindow="-110" yWindow="-110" windowWidth="19420" windowHeight="10300" tabRatio="923" xr2:uid="{00000000-000D-0000-FFFF-FFFF00000000}"/>
  </bookViews>
  <sheets>
    <sheet name="12.5" sheetId="34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'12.5'!$A$1:$H$60</definedName>
    <definedName name="_xlnm.Print_Titles" localSheetId="0">'12.5'!$5:$7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34" l="1"/>
  <c r="E31" i="34" s="1"/>
  <c r="D31" i="34"/>
  <c r="D32" i="34" s="1"/>
  <c r="F31" i="34" s="1"/>
  <c r="C29" i="34"/>
  <c r="E23" i="34" s="1"/>
  <c r="D28" i="34"/>
  <c r="D27" i="34"/>
  <c r="D26" i="34"/>
  <c r="D25" i="34"/>
  <c r="D24" i="34"/>
  <c r="D23" i="34"/>
  <c r="D22" i="34"/>
  <c r="C20" i="34"/>
  <c r="E16" i="34" s="1"/>
  <c r="D19" i="34"/>
  <c r="D18" i="34"/>
  <c r="D17" i="34"/>
  <c r="D16" i="34"/>
  <c r="W15" i="34"/>
  <c r="D15" i="34"/>
  <c r="C13" i="34"/>
  <c r="E10" i="34" s="1"/>
  <c r="E12" i="34"/>
  <c r="D12" i="34"/>
  <c r="E11" i="34"/>
  <c r="D11" i="34"/>
  <c r="D10" i="34"/>
  <c r="D9" i="34"/>
  <c r="D8" i="34"/>
  <c r="E7" i="34"/>
  <c r="D7" i="34"/>
  <c r="E6" i="34"/>
  <c r="D6" i="34"/>
  <c r="F10" i="34" l="1"/>
  <c r="E26" i="34"/>
  <c r="D13" i="34"/>
  <c r="F9" i="34" s="1"/>
  <c r="E8" i="34"/>
  <c r="E13" i="34"/>
  <c r="F12" i="34"/>
  <c r="F13" i="34"/>
  <c r="F8" i="34"/>
  <c r="F27" i="34"/>
  <c r="W16" i="34"/>
  <c r="E9" i="34"/>
  <c r="E15" i="34"/>
  <c r="E20" i="34"/>
  <c r="D29" i="34"/>
  <c r="F22" i="34" s="1"/>
  <c r="E32" i="34"/>
  <c r="E24" i="34"/>
  <c r="E29" i="34"/>
  <c r="F32" i="34"/>
  <c r="D20" i="34"/>
  <c r="F18" i="34" s="1"/>
  <c r="W18" i="34"/>
  <c r="E17" i="34"/>
  <c r="E27" i="34"/>
  <c r="E22" i="34"/>
  <c r="E18" i="34"/>
  <c r="X18" i="34"/>
  <c r="W17" i="34"/>
  <c r="E19" i="34"/>
  <c r="E25" i="34"/>
  <c r="E28" i="34"/>
  <c r="F6" i="34" l="1"/>
  <c r="X15" i="34"/>
  <c r="F7" i="34"/>
  <c r="F11" i="34"/>
  <c r="F28" i="34"/>
  <c r="F25" i="34"/>
  <c r="X17" i="34"/>
  <c r="F29" i="34"/>
  <c r="F24" i="34"/>
  <c r="F23" i="34"/>
  <c r="F16" i="34"/>
  <c r="F19" i="34"/>
  <c r="F20" i="34"/>
  <c r="X16" i="34"/>
  <c r="F15" i="34"/>
  <c r="F26" i="34"/>
  <c r="F17" i="34"/>
</calcChain>
</file>

<file path=xl/sharedStrings.xml><?xml version="1.0" encoding="utf-8"?>
<sst xmlns="http://schemas.openxmlformats.org/spreadsheetml/2006/main" count="76" uniqueCount="49">
  <si>
    <t>2022 ,urwvcnim unuverukcnunEb cTcnwrwk iawgElWm :12.5 ulwvWt</t>
  </si>
  <si>
    <t>TABLE 12.5 ELECTRICITY CONSUMPTION IN MALE',  2022</t>
  </si>
  <si>
    <t>Bands</t>
  </si>
  <si>
    <t>ރޭޓް</t>
  </si>
  <si>
    <t>ޖުމްލަ</t>
  </si>
  <si>
    <t>އަދަދު</t>
  </si>
  <si>
    <t xml:space="preserve"> % cnutogWviawfiheb</t>
  </si>
  <si>
    <t>ބޭންޑް</t>
  </si>
  <si>
    <t>Rates (MVR)</t>
  </si>
  <si>
    <t>Total (Kwh)</t>
  </si>
  <si>
    <t>Value (MVR)</t>
  </si>
  <si>
    <t>% Share of Quantity</t>
  </si>
  <si>
    <t>% Share of Value</t>
  </si>
  <si>
    <t>Domestic</t>
  </si>
  <si>
    <t>ގޭބިސީ</t>
  </si>
  <si>
    <t>0-100 units</t>
  </si>
  <si>
    <t>100 - 0</t>
  </si>
  <si>
    <t>101-200</t>
  </si>
  <si>
    <t>200 - 101</t>
  </si>
  <si>
    <t>201 -300</t>
  </si>
  <si>
    <t>300-201</t>
  </si>
  <si>
    <t>301-400</t>
  </si>
  <si>
    <t>400-301</t>
  </si>
  <si>
    <t>401-500</t>
  </si>
  <si>
    <t>500-401</t>
  </si>
  <si>
    <t>501-600</t>
  </si>
  <si>
    <t>600 - 501</t>
  </si>
  <si>
    <t>&gt; 600</t>
  </si>
  <si>
    <t>601އަށް ވުރެމަތި</t>
  </si>
  <si>
    <t>All bands</t>
  </si>
  <si>
    <t>ހުރިހާ ބޭންޑް</t>
  </si>
  <si>
    <t>Government</t>
  </si>
  <si>
    <t>އޮފީސް އަދި އެހެނިހެން</t>
  </si>
  <si>
    <t>101-300</t>
  </si>
  <si>
    <t>300 - 101</t>
  </si>
  <si>
    <t>301 -500</t>
  </si>
  <si>
    <t>500 - 301</t>
  </si>
  <si>
    <t>Business</t>
  </si>
  <si>
    <t>Tertiary Hospital</t>
  </si>
  <si>
    <t>600 -501</t>
  </si>
  <si>
    <t>601-3000</t>
  </si>
  <si>
    <t>3001-10000</t>
  </si>
  <si>
    <t>6001-10000</t>
  </si>
  <si>
    <t>&gt;10000</t>
  </si>
  <si>
    <t>10001އަށް ވުރެމަތި</t>
  </si>
  <si>
    <t>TERTIARY HOSPITAL</t>
  </si>
  <si>
    <t>ޓާރޝިއަރީ ހޮސްޕިޓަލް</t>
  </si>
  <si>
    <t>Source: State Electric Company Limited</t>
  </si>
  <si>
    <t>cDeTimil Inepcmok ckircTckeliacTETcs :ctWrwfivcaedutWmUluAwm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</si>
</sst>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7" formatCode="General_)"/>
    <numFmt numFmtId="168" formatCode="#,##0.0_);\(#,##0.0\)"/>
    <numFmt numFmtId="169" formatCode="_(* #,##0.0_);_(* \(#,##0.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1"/>
      <name val="A_Faseyha"/>
    </font>
    <font>
      <b/>
      <sz val="11"/>
      <name val="A_Randhoo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b/>
      <sz val="10"/>
      <name val="A_Faseyha"/>
    </font>
    <font>
      <b/>
      <u/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Faruma"/>
    </font>
    <font>
      <b/>
      <u/>
      <sz val="11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Faseyha"/>
    </font>
    <font>
      <sz val="9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4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59">
    <xf numFmtId="0" fontId="0" fillId="0" borderId="0" xfId="0"/>
    <xf numFmtId="0" fontId="6" fillId="2" borderId="10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vertical="center"/>
    </xf>
    <xf numFmtId="0" fontId="8" fillId="2" borderId="2" xfId="0" applyFont="1" applyFill="1" applyBorder="1"/>
    <xf numFmtId="167" fontId="9" fillId="2" borderId="6" xfId="2" applyNumberFormat="1" applyFont="1" applyFill="1" applyBorder="1" applyAlignment="1">
      <alignment horizontal="center" vertical="top" wrapText="1"/>
    </xf>
    <xf numFmtId="167" fontId="9" fillId="2" borderId="9" xfId="2" applyNumberFormat="1" applyFont="1" applyFill="1" applyBorder="1" applyAlignment="1">
      <alignment horizontal="center" vertical="top" wrapText="1"/>
    </xf>
    <xf numFmtId="167" fontId="9" fillId="2" borderId="4" xfId="2" applyNumberFormat="1" applyFont="1" applyFill="1" applyBorder="1" applyAlignment="1">
      <alignment horizontal="center" vertical="top" wrapText="1"/>
    </xf>
    <xf numFmtId="0" fontId="2" fillId="2" borderId="2" xfId="0" applyFont="1" applyFill="1" applyBorder="1"/>
    <xf numFmtId="167" fontId="10" fillId="2" borderId="11" xfId="2" applyNumberFormat="1" applyFont="1" applyFill="1" applyBorder="1" applyAlignment="1">
      <alignment horizontal="left" vertical="center"/>
    </xf>
    <xf numFmtId="167" fontId="11" fillId="2" borderId="12" xfId="2" applyNumberFormat="1" applyFont="1" applyFill="1" applyBorder="1" applyAlignment="1">
      <alignment vertical="top" wrapText="1"/>
    </xf>
    <xf numFmtId="167" fontId="11" fillId="2" borderId="13" xfId="2" applyNumberFormat="1" applyFont="1" applyFill="1" applyBorder="1" applyAlignment="1">
      <alignment vertical="top" wrapText="1"/>
    </xf>
    <xf numFmtId="167" fontId="12" fillId="2" borderId="13" xfId="2" applyNumberFormat="1" applyFont="1" applyFill="1" applyBorder="1" applyAlignment="1">
      <alignment horizontal="right" vertical="top" wrapText="1"/>
    </xf>
    <xf numFmtId="167" fontId="11" fillId="2" borderId="14" xfId="2" applyNumberFormat="1" applyFont="1" applyFill="1" applyBorder="1" applyAlignment="1">
      <alignment horizontal="right" vertical="center" wrapText="1"/>
    </xf>
    <xf numFmtId="167" fontId="10" fillId="2" borderId="15" xfId="2" applyNumberFormat="1" applyFont="1" applyFill="1" applyBorder="1" applyAlignment="1">
      <alignment horizontal="left" vertical="center"/>
    </xf>
    <xf numFmtId="167" fontId="10" fillId="2" borderId="15" xfId="2" applyNumberFormat="1" applyFont="1" applyFill="1" applyBorder="1" applyAlignment="1">
      <alignment horizontal="right" vertical="center"/>
    </xf>
    <xf numFmtId="167" fontId="11" fillId="2" borderId="1" xfId="2" applyNumberFormat="1" applyFont="1" applyFill="1" applyBorder="1" applyAlignment="1">
      <alignment horizontal="right" vertical="center" wrapText="1"/>
    </xf>
    <xf numFmtId="167" fontId="13" fillId="2" borderId="16" xfId="0" applyNumberFormat="1" applyFont="1" applyFill="1" applyBorder="1"/>
    <xf numFmtId="164" fontId="8" fillId="2" borderId="2" xfId="3" applyFont="1" applyFill="1" applyBorder="1"/>
    <xf numFmtId="165" fontId="8" fillId="2" borderId="2" xfId="3" applyNumberFormat="1" applyFont="1" applyFill="1" applyBorder="1"/>
    <xf numFmtId="164" fontId="8" fillId="2" borderId="17" xfId="3" applyFont="1" applyFill="1" applyBorder="1"/>
    <xf numFmtId="164" fontId="14" fillId="2" borderId="17" xfId="3" applyFont="1" applyFill="1" applyBorder="1" applyAlignment="1">
      <alignment vertical="center" textRotation="90"/>
    </xf>
    <xf numFmtId="165" fontId="11" fillId="2" borderId="2" xfId="3" applyNumberFormat="1" applyFont="1" applyFill="1" applyBorder="1" applyAlignment="1">
      <alignment horizontal="right" vertical="center"/>
    </xf>
    <xf numFmtId="167" fontId="8" fillId="2" borderId="2" xfId="2" applyNumberFormat="1" applyFont="1" applyFill="1" applyBorder="1" applyAlignment="1">
      <alignment horizontal="left" vertical="center"/>
    </xf>
    <xf numFmtId="164" fontId="8" fillId="2" borderId="2" xfId="3" applyFont="1" applyFill="1" applyBorder="1" applyAlignment="1" applyProtection="1">
      <alignment horizontal="right" vertical="center"/>
    </xf>
    <xf numFmtId="165" fontId="8" fillId="2" borderId="2" xfId="3" applyNumberFormat="1" applyFont="1" applyFill="1" applyBorder="1" applyAlignment="1">
      <alignment horizontal="right" vertical="center"/>
    </xf>
    <xf numFmtId="168" fontId="8" fillId="2" borderId="2" xfId="3" applyNumberFormat="1" applyFont="1" applyFill="1" applyBorder="1" applyAlignment="1">
      <alignment horizontal="right" vertical="center" indent="3"/>
    </xf>
    <xf numFmtId="165" fontId="15" fillId="2" borderId="2" xfId="3" applyNumberFormat="1" applyFont="1" applyFill="1" applyBorder="1" applyAlignment="1">
      <alignment horizontal="right" vertical="center"/>
    </xf>
    <xf numFmtId="0" fontId="2" fillId="2" borderId="7" xfId="0" applyFont="1" applyFill="1" applyBorder="1"/>
    <xf numFmtId="0" fontId="2" fillId="2" borderId="3" xfId="0" applyFont="1" applyFill="1" applyBorder="1"/>
    <xf numFmtId="0" fontId="2" fillId="2" borderId="8" xfId="0" applyFont="1" applyFill="1" applyBorder="1"/>
    <xf numFmtId="167" fontId="10" fillId="2" borderId="2" xfId="2" applyNumberFormat="1" applyFont="1" applyFill="1" applyBorder="1" applyAlignment="1">
      <alignment horizontal="left" vertical="center"/>
    </xf>
    <xf numFmtId="164" fontId="3" fillId="2" borderId="2" xfId="3" applyFont="1" applyFill="1" applyBorder="1" applyAlignment="1">
      <alignment horizontal="right" vertical="center"/>
    </xf>
    <xf numFmtId="165" fontId="10" fillId="2" borderId="2" xfId="3" applyNumberFormat="1" applyFont="1" applyFill="1" applyBorder="1" applyAlignment="1">
      <alignment horizontal="right" vertical="center"/>
    </xf>
    <xf numFmtId="168" fontId="10" fillId="2" borderId="2" xfId="3" applyNumberFormat="1" applyFont="1" applyFill="1" applyBorder="1" applyAlignment="1">
      <alignment horizontal="right" vertical="center" indent="3"/>
    </xf>
    <xf numFmtId="165" fontId="2" fillId="2" borderId="2" xfId="0" applyNumberFormat="1" applyFont="1" applyFill="1" applyBorder="1"/>
    <xf numFmtId="167" fontId="16" fillId="2" borderId="2" xfId="2" applyNumberFormat="1" applyFont="1" applyFill="1" applyBorder="1" applyAlignment="1">
      <alignment horizontal="left" vertical="center"/>
    </xf>
    <xf numFmtId="164" fontId="8" fillId="2" borderId="2" xfId="3" applyFont="1" applyFill="1" applyBorder="1" applyAlignment="1">
      <alignment horizontal="right" vertical="center"/>
    </xf>
    <xf numFmtId="169" fontId="8" fillId="2" borderId="17" xfId="3" applyNumberFormat="1" applyFont="1" applyFill="1" applyBorder="1" applyAlignment="1">
      <alignment horizontal="left" vertical="center" indent="7"/>
    </xf>
    <xf numFmtId="169" fontId="14" fillId="2" borderId="17" xfId="3" applyNumberFormat="1" applyFont="1" applyFill="1" applyBorder="1" applyAlignment="1">
      <alignment horizontal="left" vertical="center" indent="7"/>
    </xf>
    <xf numFmtId="43" fontId="2" fillId="2" borderId="2" xfId="8" applyFont="1" applyFill="1" applyBorder="1"/>
    <xf numFmtId="165" fontId="8" fillId="2" borderId="17" xfId="3" applyNumberFormat="1" applyFont="1" applyFill="1" applyBorder="1" applyAlignment="1">
      <alignment horizontal="left" vertical="center" indent="7"/>
    </xf>
    <xf numFmtId="165" fontId="14" fillId="2" borderId="17" xfId="3" applyNumberFormat="1" applyFont="1" applyFill="1" applyBorder="1" applyAlignment="1">
      <alignment horizontal="left" vertical="center" indent="7"/>
    </xf>
    <xf numFmtId="167" fontId="16" fillId="2" borderId="18" xfId="2" applyNumberFormat="1" applyFont="1" applyFill="1" applyBorder="1" applyAlignment="1">
      <alignment horizontal="left" vertical="center"/>
    </xf>
    <xf numFmtId="164" fontId="8" fillId="2" borderId="18" xfId="3" applyFont="1" applyFill="1" applyBorder="1" applyAlignment="1">
      <alignment horizontal="right" vertical="center"/>
    </xf>
    <xf numFmtId="165" fontId="8" fillId="2" borderId="18" xfId="3" applyNumberFormat="1" applyFont="1" applyFill="1" applyBorder="1" applyAlignment="1">
      <alignment horizontal="right" vertical="center"/>
    </xf>
    <xf numFmtId="165" fontId="11" fillId="2" borderId="18" xfId="3" applyNumberFormat="1" applyFont="1" applyFill="1" applyBorder="1" applyAlignment="1">
      <alignment horizontal="right" vertical="center"/>
    </xf>
    <xf numFmtId="167" fontId="10" fillId="2" borderId="5" xfId="2" applyNumberFormat="1" applyFont="1" applyFill="1" applyBorder="1" applyAlignment="1">
      <alignment horizontal="left" vertical="center"/>
    </xf>
    <xf numFmtId="164" fontId="3" fillId="2" borderId="5" xfId="3" applyFont="1" applyFill="1" applyBorder="1" applyAlignment="1">
      <alignment horizontal="right" vertical="center"/>
    </xf>
    <xf numFmtId="165" fontId="10" fillId="2" borderId="5" xfId="3" applyNumberFormat="1" applyFont="1" applyFill="1" applyBorder="1" applyAlignment="1">
      <alignment horizontal="right" vertical="center"/>
    </xf>
    <xf numFmtId="168" fontId="10" fillId="2" borderId="5" xfId="3" applyNumberFormat="1" applyFont="1" applyFill="1" applyBorder="1" applyAlignment="1">
      <alignment horizontal="right" vertical="center" indent="3"/>
    </xf>
    <xf numFmtId="165" fontId="11" fillId="2" borderId="5" xfId="3" applyNumberFormat="1" applyFont="1" applyFill="1" applyBorder="1" applyAlignment="1">
      <alignment horizontal="right" vertical="center"/>
    </xf>
    <xf numFmtId="0" fontId="17" fillId="2" borderId="19" xfId="0" applyFont="1" applyFill="1" applyBorder="1" applyAlignment="1">
      <alignment horizontal="left" vertical="top"/>
    </xf>
    <xf numFmtId="164" fontId="3" fillId="2" borderId="0" xfId="3" applyFont="1" applyFill="1" applyBorder="1"/>
    <xf numFmtId="164" fontId="10" fillId="2" borderId="0" xfId="3" applyFont="1" applyFill="1" applyBorder="1"/>
    <xf numFmtId="0" fontId="18" fillId="2" borderId="0" xfId="0" applyFont="1" applyFill="1" applyAlignment="1">
      <alignment horizontal="right" vertical="top"/>
    </xf>
    <xf numFmtId="0" fontId="2" fillId="2" borderId="10" xfId="0" applyFont="1" applyFill="1" applyBorder="1"/>
    <xf numFmtId="164" fontId="2" fillId="2" borderId="2" xfId="3" applyFont="1" applyFill="1" applyBorder="1"/>
    <xf numFmtId="0" fontId="17" fillId="2" borderId="10" xfId="0" applyFont="1" applyFill="1" applyBorder="1" applyAlignment="1">
      <alignment horizontal="left" vertical="top"/>
    </xf>
    <xf numFmtId="0" fontId="19" fillId="2" borderId="0" xfId="0" applyFont="1" applyFill="1" applyAlignment="1">
      <alignment horizontal="right" vertical="top"/>
    </xf>
  </cellXfs>
  <cellStyles count="9">
    <cellStyle name="Comma" xfId="8" builtinId="3"/>
    <cellStyle name="Comma 2" xfId="1" xr:uid="{00000000-0005-0000-0000-000001000000}"/>
    <cellStyle name="Comma 2 2" xfId="7" xr:uid="{9903DEDC-20E1-4B27-9529-B36F9B2CD978}"/>
    <cellStyle name="Comma 4" xfId="3" xr:uid="{00000000-0005-0000-0000-000002000000}"/>
    <cellStyle name="Normal" xfId="0" builtinId="0"/>
    <cellStyle name="Normal 2" xfId="2" xr:uid="{00000000-0005-0000-0000-000005000000}"/>
    <cellStyle name="Normal 2 2" xfId="4" xr:uid="{00000000-0005-0000-0000-000006000000}"/>
    <cellStyle name="Normal 4" xfId="6" xr:uid="{20929243-CB8C-4CF2-AC69-17703CC8D5A5}"/>
    <cellStyle name="Normal 5" xfId="5" xr:uid="{66F2880D-D6E5-4B3B-87A1-A67063300ED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12.4:  Electricity consumption in Male' by type, 2018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1937005675488139"/>
          <c:y val="1.5595591973468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0373094924131"/>
          <c:y val="0.12121871780743523"/>
          <c:w val="0.84800617990623806"/>
          <c:h val="0.74195103014665553"/>
        </c:manualLayout>
      </c:layout>
      <c:barChart>
        <c:barDir val="col"/>
        <c:grouping val="clustered"/>
        <c:varyColors val="0"/>
        <c:ser>
          <c:idx val="0"/>
          <c:order val="0"/>
          <c:tx>
            <c:v>Unit (Kwh)</c:v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'[2]12.5'!$S$15:$S$18</c:f>
              <c:strCache>
                <c:ptCount val="4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</c:strCache>
            </c:strRef>
          </c:cat>
          <c:val>
            <c:numRef>
              <c:f>'[2]12.5'!$T$15:$T$18</c:f>
              <c:numCache>
                <c:formatCode>General</c:formatCode>
                <c:ptCount val="4"/>
                <c:pt idx="0">
                  <c:v>166585834</c:v>
                </c:pt>
                <c:pt idx="1">
                  <c:v>32375242</c:v>
                </c:pt>
                <c:pt idx="2">
                  <c:v>109946317</c:v>
                </c:pt>
                <c:pt idx="3">
                  <c:v>1552880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7-4239-B50C-4769D454FE9E}"/>
            </c:ext>
          </c:extLst>
        </c:ser>
        <c:ser>
          <c:idx val="1"/>
          <c:order val="1"/>
          <c:tx>
            <c:strRef>
              <c:f>'[2]12.5'!$U$14</c:f>
              <c:strCache>
                <c:ptCount val="1"/>
                <c:pt idx="0">
                  <c:v>Value (MVR)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'[2]12.5'!$S$15:$S$18</c:f>
              <c:strCache>
                <c:ptCount val="4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</c:strCache>
            </c:strRef>
          </c:cat>
          <c:val>
            <c:numRef>
              <c:f>'[2]12.5'!$U$15:$U$18</c:f>
              <c:numCache>
                <c:formatCode>General</c:formatCode>
                <c:ptCount val="4"/>
                <c:pt idx="0">
                  <c:v>421605340.88050002</c:v>
                </c:pt>
                <c:pt idx="1">
                  <c:v>137301880.88150001</c:v>
                </c:pt>
                <c:pt idx="2">
                  <c:v>510097490.05399996</c:v>
                </c:pt>
                <c:pt idx="3">
                  <c:v>5279792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B7-4239-B50C-4769D454F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2050512"/>
        <c:axId val="462050904"/>
      </c:barChart>
      <c:catAx>
        <c:axId val="46205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0904"/>
        <c:crosses val="autoZero"/>
        <c:auto val="1"/>
        <c:lblAlgn val="ctr"/>
        <c:lblOffset val="100"/>
        <c:noMultiLvlLbl val="0"/>
      </c:catAx>
      <c:valAx>
        <c:axId val="46205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051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2343026214833315"/>
          <c:y val="0.1256547973454441"/>
          <c:w val="0.25804783112312735"/>
          <c:h val="7.5054093372159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12.4:  Electricity consumption in Male' by type, 2019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6829400975225554"/>
          <c:y val="2.3549035884528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0373094924131"/>
          <c:y val="0.12121871780743523"/>
          <c:w val="0.84800617990623806"/>
          <c:h val="0.741951030146655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'[3]12.5'!$T$14</c:f>
              <c:strCache>
                <c:ptCount val="1"/>
                <c:pt idx="0">
                  <c:v>Total (Kwh)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'[3]12.5'!$S$15:$S$19</c:f>
              <c:strCache>
                <c:ptCount val="5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  <c:pt idx="4">
                  <c:v>Tertiary Hospital</c:v>
                </c:pt>
              </c:strCache>
            </c:strRef>
          </c:cat>
          <c:val>
            <c:numRef>
              <c:f>'[3]12.5'!$T$15:$T$19</c:f>
              <c:numCache>
                <c:formatCode>General</c:formatCode>
                <c:ptCount val="5"/>
                <c:pt idx="0">
                  <c:v>166585834</c:v>
                </c:pt>
                <c:pt idx="1">
                  <c:v>32375242</c:v>
                </c:pt>
                <c:pt idx="2">
                  <c:v>109946317</c:v>
                </c:pt>
                <c:pt idx="3">
                  <c:v>1552880</c:v>
                </c:pt>
                <c:pt idx="4">
                  <c:v>8390390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0-4BD5-9EB3-AFB4E7BADD61}"/>
            </c:ext>
          </c:extLst>
        </c:ser>
        <c:ser>
          <c:idx val="1"/>
          <c:order val="1"/>
          <c:tx>
            <c:strRef>
              <c:f>'[3]12.5'!$U$14</c:f>
              <c:strCache>
                <c:ptCount val="1"/>
                <c:pt idx="0">
                  <c:v>Value (MVR)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'[3]12.5'!$S$15:$S$19</c:f>
              <c:strCache>
                <c:ptCount val="5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  <c:pt idx="4">
                  <c:v>Tertiary Hospital</c:v>
                </c:pt>
              </c:strCache>
            </c:strRef>
          </c:cat>
          <c:val>
            <c:numRef>
              <c:f>'[3]12.5'!$U$15:$U$19</c:f>
              <c:numCache>
                <c:formatCode>General</c:formatCode>
                <c:ptCount val="5"/>
                <c:pt idx="0">
                  <c:v>421605340.88050002</c:v>
                </c:pt>
                <c:pt idx="1">
                  <c:v>137301880.88150001</c:v>
                </c:pt>
                <c:pt idx="2">
                  <c:v>510097490.05399996</c:v>
                </c:pt>
                <c:pt idx="3">
                  <c:v>5279792</c:v>
                </c:pt>
                <c:pt idx="4">
                  <c:v>35659157.5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60-4BD5-9EB3-AFB4E7BAD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2058352"/>
        <c:axId val="462061488"/>
      </c:barChart>
      <c:catAx>
        <c:axId val="46205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61488"/>
        <c:crosses val="autoZero"/>
        <c:auto val="1"/>
        <c:lblAlgn val="ctr"/>
        <c:lblOffset val="100"/>
        <c:noMultiLvlLbl val="0"/>
      </c:catAx>
      <c:valAx>
        <c:axId val="46206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835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5959142867315904"/>
          <c:y val="0.15306617365245642"/>
          <c:w val="0.25804783112312735"/>
          <c:h val="7.5054093372159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12.4:  Electricity consumption in Male' by type, 2022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8250229765915658"/>
          <c:y val="2.3549035884528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0373094924131"/>
          <c:y val="0.12121871780743523"/>
          <c:w val="0.84800617990623806"/>
          <c:h val="0.741951030146655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'[4]12.5'!$W$14</c:f>
              <c:strCache>
                <c:ptCount val="1"/>
                <c:pt idx="0">
                  <c:v>Total (Kwh)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'[4]12.5'!$V$15:$V$18</c:f>
              <c:strCache>
                <c:ptCount val="4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Tertiary Hospital</c:v>
                </c:pt>
              </c:strCache>
            </c:strRef>
          </c:cat>
          <c:val>
            <c:numRef>
              <c:f>'[4]12.5'!$W$15:$W$18</c:f>
              <c:numCache>
                <c:formatCode>_(* #,##0_);_(* \(#,##0\);_(* "-"??_);_(@_)</c:formatCode>
                <c:ptCount val="4"/>
                <c:pt idx="0">
                  <c:v>204596353.99999997</c:v>
                </c:pt>
                <c:pt idx="1">
                  <c:v>42117856</c:v>
                </c:pt>
                <c:pt idx="2">
                  <c:v>123295381</c:v>
                </c:pt>
                <c:pt idx="3">
                  <c:v>14799455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7-46EC-9624-11CECA805420}"/>
            </c:ext>
          </c:extLst>
        </c:ser>
        <c:ser>
          <c:idx val="1"/>
          <c:order val="1"/>
          <c:tx>
            <c:strRef>
              <c:f>'[4]12.5'!$X$14</c:f>
              <c:strCache>
                <c:ptCount val="1"/>
                <c:pt idx="0">
                  <c:v>Value (MVR)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'[4]12.5'!$V$15:$V$18</c:f>
              <c:strCache>
                <c:ptCount val="4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Tertiary Hospital</c:v>
                </c:pt>
              </c:strCache>
            </c:strRef>
          </c:cat>
          <c:val>
            <c:numRef>
              <c:f>'[4]12.5'!$X$15:$X$18</c:f>
              <c:numCache>
                <c:formatCode>_(* #,##0_);_(* \(#,##0\);_(* "-"??_);_(@_)</c:formatCode>
                <c:ptCount val="4"/>
                <c:pt idx="0">
                  <c:v>525218544.97849995</c:v>
                </c:pt>
                <c:pt idx="1">
                  <c:v>179248020.61499998</c:v>
                </c:pt>
                <c:pt idx="2">
                  <c:v>557023382.8714999</c:v>
                </c:pt>
                <c:pt idx="3">
                  <c:v>62897683.75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27-46EC-9624-11CECA805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2054432"/>
        <c:axId val="462055216"/>
      </c:barChart>
      <c:catAx>
        <c:axId val="4620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5216"/>
        <c:crosses val="autoZero"/>
        <c:auto val="1"/>
        <c:lblAlgn val="ctr"/>
        <c:lblOffset val="100"/>
        <c:noMultiLvlLbl val="0"/>
      </c:catAx>
      <c:valAx>
        <c:axId val="4620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443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5959142867315904"/>
          <c:y val="0.15306617365245642"/>
          <c:w val="0.25804783112312735"/>
          <c:h val="7.5054093372159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12.3:  Percentage share of electricity consumption in Male' (Domestic)  by quantity and value, 2022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1860957737965454"/>
          <c:y val="2.4825052559163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555390460693201E-2"/>
          <c:y val="0.13241449994757315"/>
          <c:w val="0.90850235050756201"/>
          <c:h val="0.763791004338357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'[4]12.5'!$E$4</c:f>
              <c:strCache>
                <c:ptCount val="1"/>
                <c:pt idx="0">
                  <c:v>% Share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'[4]12.5'!$A$6:$A$12</c:f>
              <c:strCache>
                <c:ptCount val="7"/>
                <c:pt idx="0">
                  <c:v>0-100 units</c:v>
                </c:pt>
                <c:pt idx="1">
                  <c:v>101-200</c:v>
                </c:pt>
                <c:pt idx="2">
                  <c:v>201 -300</c:v>
                </c:pt>
                <c:pt idx="3">
                  <c:v>301-400</c:v>
                </c:pt>
                <c:pt idx="4">
                  <c:v>401-500</c:v>
                </c:pt>
                <c:pt idx="5">
                  <c:v>501-600</c:v>
                </c:pt>
                <c:pt idx="6">
                  <c:v>&gt; 600</c:v>
                </c:pt>
              </c:strCache>
            </c:strRef>
          </c:cat>
          <c:val>
            <c:numRef>
              <c:f>'[4]12.5'!$E$6:$E$12</c:f>
              <c:numCache>
                <c:formatCode>#,##0.0_);\(#,##0.0\)</c:formatCode>
                <c:ptCount val="7"/>
                <c:pt idx="0">
                  <c:v>19.455629517229813</c:v>
                </c:pt>
                <c:pt idx="1">
                  <c:v>17.560808605611811</c:v>
                </c:pt>
                <c:pt idx="2">
                  <c:v>15.142801591664728</c:v>
                </c:pt>
                <c:pt idx="3">
                  <c:v>12.335146553980138</c:v>
                </c:pt>
                <c:pt idx="4">
                  <c:v>9.5797731615491077</c:v>
                </c:pt>
                <c:pt idx="5">
                  <c:v>7.207530848765761</c:v>
                </c:pt>
                <c:pt idx="6">
                  <c:v>18.718309721198651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8-4A93-BF2C-2D9078C4DD1D}"/>
            </c:ext>
          </c:extLst>
        </c:ser>
        <c:ser>
          <c:idx val="1"/>
          <c:order val="1"/>
          <c:tx>
            <c:strRef>
              <c:f>'[4]12.5'!$F$4</c:f>
              <c:strCache>
                <c:ptCount val="1"/>
                <c:pt idx="0">
                  <c:v>% Share of Value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'[4]12.5'!$A$6:$A$12</c:f>
              <c:strCache>
                <c:ptCount val="7"/>
                <c:pt idx="0">
                  <c:v>0-100 units</c:v>
                </c:pt>
                <c:pt idx="1">
                  <c:v>101-200</c:v>
                </c:pt>
                <c:pt idx="2">
                  <c:v>201 -300</c:v>
                </c:pt>
                <c:pt idx="3">
                  <c:v>301-400</c:v>
                </c:pt>
                <c:pt idx="4">
                  <c:v>401-500</c:v>
                </c:pt>
                <c:pt idx="5">
                  <c:v>501-600</c:v>
                </c:pt>
                <c:pt idx="6">
                  <c:v>&gt; 600</c:v>
                </c:pt>
              </c:strCache>
            </c:strRef>
          </c:cat>
          <c:val>
            <c:numRef>
              <c:f>'[4]12.5'!$F$6:$F$12</c:f>
              <c:numCache>
                <c:formatCode>#,##0.0_);\(#,##0.0\)</c:formatCode>
                <c:ptCount val="7"/>
                <c:pt idx="0">
                  <c:v>11.368270128855441</c:v>
                </c:pt>
                <c:pt idx="1">
                  <c:v>11.971274690533601</c:v>
                </c:pt>
                <c:pt idx="2">
                  <c:v>12.682431633335934</c:v>
                </c:pt>
                <c:pt idx="3">
                  <c:v>12.012742291417517</c:v>
                </c:pt>
                <c:pt idx="4">
                  <c:v>11.00867573171219</c:v>
                </c:pt>
                <c:pt idx="5">
                  <c:v>9.9671891676336255</c:v>
                </c:pt>
                <c:pt idx="6">
                  <c:v>30.989416356511697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88-4A93-BF2C-2D9078C4D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"/>
        <c:axId val="462059136"/>
        <c:axId val="462049336"/>
      </c:barChart>
      <c:catAx>
        <c:axId val="46205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49336"/>
        <c:crosses val="autoZero"/>
        <c:auto val="1"/>
        <c:lblAlgn val="ctr"/>
        <c:lblOffset val="100"/>
        <c:noMultiLvlLbl val="0"/>
      </c:catAx>
      <c:valAx>
        <c:axId val="462049336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9136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7565964210714794"/>
          <c:y val="0.18475084030554317"/>
          <c:w val="0.36077467844076772"/>
          <c:h val="7.016623413474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208364</xdr:colOff>
      <xdr:row>48</xdr:row>
      <xdr:rowOff>25400</xdr:rowOff>
    </xdr:from>
    <xdr:to>
      <xdr:col>6</xdr:col>
      <xdr:colOff>863070</xdr:colOff>
      <xdr:row>59</xdr:row>
      <xdr:rowOff>180474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80631B-4D7B-4AD7-9E39-98E4F76B0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208364</xdr:colOff>
      <xdr:row>48</xdr:row>
      <xdr:rowOff>25400</xdr:rowOff>
    </xdr:from>
    <xdr:to>
      <xdr:col>6</xdr:col>
      <xdr:colOff>863070</xdr:colOff>
      <xdr:row>59</xdr:row>
      <xdr:rowOff>180474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8A0717-AAA5-4673-9DBF-27A14C7C5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208364</xdr:colOff>
      <xdr:row>48</xdr:row>
      <xdr:rowOff>25400</xdr:rowOff>
    </xdr:from>
    <xdr:to>
      <xdr:col>6</xdr:col>
      <xdr:colOff>863070</xdr:colOff>
      <xdr:row>59</xdr:row>
      <xdr:rowOff>180474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7CFF34-A6C9-4F5F-8C06-C8ECD1C71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308811</xdr:colOff>
      <xdr:row>34</xdr:row>
      <xdr:rowOff>53639</xdr:rowOff>
    </xdr:from>
    <xdr:to>
      <xdr:col>6</xdr:col>
      <xdr:colOff>880310</xdr:colOff>
      <xdr:row>46</xdr:row>
      <xdr:rowOff>242134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50D059-7CE0-4D7B-8981-5F3C81BBC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lectricity%20and%20Water\2022\12.%20ELECTRICITY%20and%20%20WATER.xlsx" TargetMode="External"/><Relationship Id="rId1" Type="http://schemas.openxmlformats.org/officeDocument/2006/relationships/externalLinkPath" Target="12.%20ELECTRICITY%20and%20%20WA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.1"/>
      <sheetName val="12.2"/>
      <sheetName val="12.3 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  <sheetName val="12.17"/>
      <sheetName val="12.18"/>
      <sheetName val="12.19"/>
    </sheetNames>
    <sheetDataSet>
      <sheetData sheetId="0"/>
      <sheetData sheetId="1"/>
      <sheetData sheetId="2"/>
      <sheetData sheetId="3"/>
      <sheetData sheetId="4">
        <row r="4">
          <cell r="E4" t="str">
            <v>% Share of Quantity</v>
          </cell>
          <cell r="F4" t="str">
            <v>% Share of Value</v>
          </cell>
        </row>
        <row r="6">
          <cell r="A6" t="str">
            <v>0-100 units</v>
          </cell>
          <cell r="E6">
            <v>19.455629517229813</v>
          </cell>
          <cell r="F6">
            <v>11.368270128855441</v>
          </cell>
        </row>
        <row r="7">
          <cell r="A7" t="str">
            <v>101-200</v>
          </cell>
          <cell r="E7">
            <v>17.560808605611811</v>
          </cell>
          <cell r="F7">
            <v>11.971274690533601</v>
          </cell>
        </row>
        <row r="8">
          <cell r="A8" t="str">
            <v>201 -300</v>
          </cell>
          <cell r="E8">
            <v>15.142801591664728</v>
          </cell>
          <cell r="F8">
            <v>12.682431633335934</v>
          </cell>
        </row>
        <row r="9">
          <cell r="A9" t="str">
            <v>301-400</v>
          </cell>
          <cell r="E9">
            <v>12.335146553980138</v>
          </cell>
          <cell r="F9">
            <v>12.012742291417517</v>
          </cell>
        </row>
        <row r="10">
          <cell r="A10" t="str">
            <v>401-500</v>
          </cell>
          <cell r="E10">
            <v>9.5797731615491077</v>
          </cell>
          <cell r="F10">
            <v>11.00867573171219</v>
          </cell>
        </row>
        <row r="11">
          <cell r="A11" t="str">
            <v>501-600</v>
          </cell>
          <cell r="E11">
            <v>7.207530848765761</v>
          </cell>
          <cell r="F11">
            <v>9.9671891676336255</v>
          </cell>
        </row>
        <row r="12">
          <cell r="A12" t="str">
            <v>&gt; 600</v>
          </cell>
          <cell r="E12">
            <v>18.718309721198651</v>
          </cell>
          <cell r="F12">
            <v>30.989416356511697</v>
          </cell>
        </row>
        <row r="14">
          <cell r="W14" t="str">
            <v>Total (Kwh)</v>
          </cell>
          <cell r="X14" t="str">
            <v>Value (MVR)</v>
          </cell>
        </row>
        <row r="15">
          <cell r="V15" t="str">
            <v>Domestic</v>
          </cell>
          <cell r="W15">
            <v>204596353.99999997</v>
          </cell>
          <cell r="X15">
            <v>525218544.97849995</v>
          </cell>
        </row>
        <row r="16">
          <cell r="V16" t="str">
            <v>Government</v>
          </cell>
          <cell r="W16">
            <v>42117856</v>
          </cell>
          <cell r="X16">
            <v>179248020.61499998</v>
          </cell>
        </row>
        <row r="17">
          <cell r="V17" t="str">
            <v>Business</v>
          </cell>
          <cell r="W17">
            <v>123295381</v>
          </cell>
          <cell r="X17">
            <v>557023382.8714999</v>
          </cell>
        </row>
        <row r="18">
          <cell r="V18" t="str">
            <v>Tertiary Hospital</v>
          </cell>
          <cell r="W18">
            <v>14799455</v>
          </cell>
          <cell r="X18">
            <v>62897683.75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A217-42F0-477A-9A27-238B9F43DEDC}">
  <sheetPr>
    <tabColor rgb="FF92D050"/>
  </sheetPr>
  <dimension ref="A1:AC62"/>
  <sheetViews>
    <sheetView tabSelected="1" zoomScaleNormal="100" workbookViewId="0">
      <selection activeCell="J30" sqref="J30"/>
    </sheetView>
  </sheetViews>
  <sheetFormatPr defaultColWidth="9.1796875" defaultRowHeight="13" x14ac:dyDescent="0.3"/>
  <cols>
    <col min="1" max="1" width="15" style="7" bestFit="1" customWidth="1"/>
    <col min="2" max="2" width="12.81640625" style="7" customWidth="1"/>
    <col min="3" max="3" width="15.7265625" style="7" customWidth="1"/>
    <col min="4" max="4" width="16.54296875" style="7" customWidth="1"/>
    <col min="5" max="5" width="18.7265625" style="7" customWidth="1"/>
    <col min="6" max="6" width="18.54296875" style="7" customWidth="1"/>
    <col min="7" max="7" width="19.26953125" style="7" customWidth="1"/>
    <col min="8" max="8" width="2" style="7" customWidth="1"/>
    <col min="9" max="9" width="12.26953125" style="7" bestFit="1" customWidth="1"/>
    <col min="10" max="10" width="18.54296875" style="7" customWidth="1"/>
    <col min="11" max="11" width="13.54296875" style="7" bestFit="1" customWidth="1"/>
    <col min="12" max="12" width="14.54296875" style="7" bestFit="1" customWidth="1"/>
    <col min="13" max="13" width="15" style="7" bestFit="1" customWidth="1"/>
    <col min="14" max="16" width="15" style="7" customWidth="1"/>
    <col min="17" max="20" width="13.54296875" style="7" bestFit="1" customWidth="1"/>
    <col min="21" max="22" width="9.1796875" style="7"/>
    <col min="23" max="24" width="18" style="7" bestFit="1" customWidth="1"/>
    <col min="25" max="16384" width="9.1796875" style="7"/>
  </cols>
  <sheetData>
    <row r="1" spans="1:29" s="3" customFormat="1" ht="17.5" x14ac:dyDescent="0.35">
      <c r="A1" s="1" t="s">
        <v>0</v>
      </c>
      <c r="B1" s="1"/>
      <c r="C1" s="1"/>
      <c r="D1" s="1"/>
      <c r="E1" s="1"/>
      <c r="F1" s="1"/>
      <c r="G1" s="1"/>
      <c r="H1" s="2"/>
    </row>
    <row r="2" spans="1:29" ht="15.75" customHeight="1" x14ac:dyDescent="0.35">
      <c r="A2" s="4" t="s">
        <v>1</v>
      </c>
      <c r="B2" s="5"/>
      <c r="C2" s="5"/>
      <c r="D2" s="5"/>
      <c r="E2" s="5"/>
      <c r="F2" s="5"/>
      <c r="G2" s="6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0" x14ac:dyDescent="0.35">
      <c r="A3" s="8" t="s">
        <v>2</v>
      </c>
      <c r="B3" s="9" t="s">
        <v>3</v>
      </c>
      <c r="C3" s="10" t="s">
        <v>4</v>
      </c>
      <c r="D3" s="10" t="s">
        <v>5</v>
      </c>
      <c r="E3" s="11" t="s">
        <v>6</v>
      </c>
      <c r="F3" s="11" t="s">
        <v>6</v>
      </c>
      <c r="G3" s="12" t="s">
        <v>7</v>
      </c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" customHeight="1" x14ac:dyDescent="0.35">
      <c r="A4" s="13"/>
      <c r="B4" s="14" t="s">
        <v>8</v>
      </c>
      <c r="C4" s="14" t="s">
        <v>9</v>
      </c>
      <c r="D4" s="14" t="s">
        <v>10</v>
      </c>
      <c r="E4" s="14" t="s">
        <v>11</v>
      </c>
      <c r="F4" s="14" t="s">
        <v>12</v>
      </c>
      <c r="G4" s="15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20" x14ac:dyDescent="0.35">
      <c r="A5" s="16" t="s">
        <v>13</v>
      </c>
      <c r="B5" s="17"/>
      <c r="C5" s="18"/>
      <c r="D5" s="18"/>
      <c r="E5" s="19"/>
      <c r="F5" s="20"/>
      <c r="G5" s="21" t="s">
        <v>14</v>
      </c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20" x14ac:dyDescent="0.35">
      <c r="A6" s="22" t="s">
        <v>15</v>
      </c>
      <c r="B6" s="23">
        <v>1.5</v>
      </c>
      <c r="C6" s="24">
        <v>39805508.639999993</v>
      </c>
      <c r="D6" s="24">
        <f>C6*B6</f>
        <v>59708262.959999993</v>
      </c>
      <c r="E6" s="25">
        <f>(C6/C13)*100</f>
        <v>19.455629517229813</v>
      </c>
      <c r="F6" s="25">
        <f>(D6/D13)*100</f>
        <v>11.368270128855441</v>
      </c>
      <c r="G6" s="26" t="s">
        <v>16</v>
      </c>
      <c r="H6" s="27"/>
      <c r="I6" s="28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20" x14ac:dyDescent="0.35">
      <c r="A7" s="22" t="s">
        <v>17</v>
      </c>
      <c r="B7" s="23">
        <v>1.75</v>
      </c>
      <c r="C7" s="24">
        <v>35928774.140000001</v>
      </c>
      <c r="D7" s="24">
        <f t="shared" ref="D7:D12" si="0">C7*B7</f>
        <v>62875354.745000005</v>
      </c>
      <c r="E7" s="25">
        <f>(C7/C13)*100</f>
        <v>17.560808605611811</v>
      </c>
      <c r="F7" s="25">
        <f>(D7/D13)*100</f>
        <v>11.971274690533601</v>
      </c>
      <c r="G7" s="26" t="s">
        <v>18</v>
      </c>
      <c r="H7" s="29"/>
      <c r="I7" s="28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20" x14ac:dyDescent="0.35">
      <c r="A8" s="22" t="s">
        <v>19</v>
      </c>
      <c r="B8" s="23">
        <v>2.15</v>
      </c>
      <c r="C8" s="24">
        <v>30981619.949999996</v>
      </c>
      <c r="D8" s="24">
        <f t="shared" si="0"/>
        <v>66610482.892499991</v>
      </c>
      <c r="E8" s="25">
        <f>(C8/C13)*100</f>
        <v>15.142801591664728</v>
      </c>
      <c r="F8" s="25">
        <f>(D8/D13)*100</f>
        <v>12.682431633335934</v>
      </c>
      <c r="G8" s="26" t="s">
        <v>20</v>
      </c>
      <c r="H8" s="29"/>
      <c r="I8" s="28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20" x14ac:dyDescent="0.35">
      <c r="A9" s="22" t="s">
        <v>21</v>
      </c>
      <c r="B9" s="23">
        <v>2.5</v>
      </c>
      <c r="C9" s="24">
        <v>25237260.109999999</v>
      </c>
      <c r="D9" s="24">
        <f t="shared" si="0"/>
        <v>63093150.274999999</v>
      </c>
      <c r="E9" s="25">
        <f>(C9/C13)*100</f>
        <v>12.335146553980138</v>
      </c>
      <c r="F9" s="25">
        <f>(D9/D13)*100</f>
        <v>12.012742291417517</v>
      </c>
      <c r="G9" s="26" t="s">
        <v>22</v>
      </c>
      <c r="H9" s="29"/>
      <c r="I9" s="28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20" x14ac:dyDescent="0.35">
      <c r="A10" s="22" t="s">
        <v>23</v>
      </c>
      <c r="B10" s="23">
        <v>2.95</v>
      </c>
      <c r="C10" s="24">
        <v>19599866.609999999</v>
      </c>
      <c r="D10" s="24">
        <f t="shared" si="0"/>
        <v>57819606.499499999</v>
      </c>
      <c r="E10" s="25">
        <f>(C10/C13)*100</f>
        <v>9.5797731615491077</v>
      </c>
      <c r="F10" s="25">
        <f>(D10/D13)*100</f>
        <v>11.00867573171219</v>
      </c>
      <c r="G10" s="26" t="s">
        <v>24</v>
      </c>
      <c r="H10" s="29"/>
      <c r="I10" s="28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20" x14ac:dyDescent="0.3">
      <c r="A11" s="22" t="s">
        <v>25</v>
      </c>
      <c r="B11" s="23">
        <v>3.55</v>
      </c>
      <c r="C11" s="24">
        <v>14746345.329999998</v>
      </c>
      <c r="D11" s="24">
        <f t="shared" si="0"/>
        <v>52349525.92149999</v>
      </c>
      <c r="E11" s="25">
        <f>(C11/C13)*100</f>
        <v>7.207530848765761</v>
      </c>
      <c r="F11" s="25">
        <f>(D11/D13)*100</f>
        <v>9.9671891676336255</v>
      </c>
      <c r="G11" s="26" t="s">
        <v>26</v>
      </c>
      <c r="H11" s="28"/>
      <c r="V11" s="22"/>
    </row>
    <row r="12" spans="1:29" ht="20" x14ac:dyDescent="0.3">
      <c r="A12" s="22" t="s">
        <v>27</v>
      </c>
      <c r="B12" s="23">
        <v>4.25</v>
      </c>
      <c r="C12" s="24">
        <v>38296979.219999999</v>
      </c>
      <c r="D12" s="24">
        <f t="shared" si="0"/>
        <v>162762161.685</v>
      </c>
      <c r="E12" s="25">
        <f>(C12/C13)*100</f>
        <v>18.718309721198651</v>
      </c>
      <c r="F12" s="25">
        <f>(D12/D13)*100</f>
        <v>30.989416356511697</v>
      </c>
      <c r="G12" s="26" t="s">
        <v>28</v>
      </c>
      <c r="H12" s="28"/>
      <c r="V12" s="22"/>
    </row>
    <row r="13" spans="1:29" ht="20" x14ac:dyDescent="0.3">
      <c r="A13" s="30" t="s">
        <v>29</v>
      </c>
      <c r="B13" s="31"/>
      <c r="C13" s="32">
        <f>SUM(C6:C12)</f>
        <v>204596353.99999997</v>
      </c>
      <c r="D13" s="32">
        <f>SUM(D6:D12)</f>
        <v>525218544.97849995</v>
      </c>
      <c r="E13" s="33">
        <f>(C13/C13)*100</f>
        <v>100</v>
      </c>
      <c r="F13" s="33">
        <f>(D13/D13)*100</f>
        <v>100</v>
      </c>
      <c r="G13" s="21" t="s">
        <v>30</v>
      </c>
      <c r="H13" s="28"/>
      <c r="J13" s="34"/>
    </row>
    <row r="14" spans="1:29" ht="20" x14ac:dyDescent="0.3">
      <c r="A14" s="35" t="s">
        <v>31</v>
      </c>
      <c r="B14" s="36"/>
      <c r="C14" s="24"/>
      <c r="D14" s="24"/>
      <c r="E14" s="37"/>
      <c r="F14" s="38"/>
      <c r="G14" s="21" t="s">
        <v>32</v>
      </c>
      <c r="H14" s="28"/>
      <c r="J14" s="34"/>
      <c r="W14" s="14" t="s">
        <v>9</v>
      </c>
      <c r="X14" s="14" t="s">
        <v>10</v>
      </c>
    </row>
    <row r="15" spans="1:29" ht="20" x14ac:dyDescent="0.35">
      <c r="A15" s="22" t="s">
        <v>15</v>
      </c>
      <c r="B15" s="23">
        <v>3.3</v>
      </c>
      <c r="C15" s="24">
        <v>940342.64</v>
      </c>
      <c r="D15" s="24">
        <f>C15*B15</f>
        <v>3103130.7119999998</v>
      </c>
      <c r="E15" s="25">
        <f>(C15/C20)*100</f>
        <v>2.2326460302252804</v>
      </c>
      <c r="F15" s="25">
        <f>(D15/D20)*100</f>
        <v>1.7311938515991183</v>
      </c>
      <c r="G15" s="26" t="s">
        <v>16</v>
      </c>
      <c r="H15" s="28"/>
      <c r="K15" s="39"/>
      <c r="L15" s="39"/>
      <c r="M15" s="39"/>
      <c r="N15" s="39"/>
      <c r="O15" s="39"/>
      <c r="P15" s="39"/>
      <c r="Q15" s="39"/>
      <c r="R15" s="39"/>
      <c r="S15" s="39"/>
      <c r="T15" s="39"/>
      <c r="V15" s="16" t="s">
        <v>13</v>
      </c>
      <c r="W15" s="34">
        <f>C13</f>
        <v>204596353.99999997</v>
      </c>
      <c r="X15" s="34">
        <f>D13</f>
        <v>525218544.97849995</v>
      </c>
    </row>
    <row r="16" spans="1:29" ht="20" x14ac:dyDescent="0.3">
      <c r="A16" s="22" t="s">
        <v>33</v>
      </c>
      <c r="B16" s="23">
        <v>3.35</v>
      </c>
      <c r="C16" s="24">
        <v>1690042.3600000003</v>
      </c>
      <c r="D16" s="24">
        <f>C16*B16</f>
        <v>5661641.9060000014</v>
      </c>
      <c r="E16" s="25">
        <f>(C16/C20)*100</f>
        <v>4.0126505014880163</v>
      </c>
      <c r="F16" s="25">
        <f>(D16/D20)*100</f>
        <v>3.1585519809785945</v>
      </c>
      <c r="G16" s="26" t="s">
        <v>34</v>
      </c>
      <c r="H16" s="28"/>
      <c r="V16" s="35" t="s">
        <v>31</v>
      </c>
      <c r="W16" s="34">
        <f>C20</f>
        <v>42117856</v>
      </c>
      <c r="X16" s="34">
        <f>D20</f>
        <v>179248020.61499998</v>
      </c>
    </row>
    <row r="17" spans="1:24" ht="20" x14ac:dyDescent="0.3">
      <c r="A17" s="22" t="s">
        <v>35</v>
      </c>
      <c r="B17" s="23">
        <v>3.65</v>
      </c>
      <c r="C17" s="24">
        <v>1497845.58</v>
      </c>
      <c r="D17" s="24">
        <f>C17*B17</f>
        <v>5467136.3670000006</v>
      </c>
      <c r="E17" s="25">
        <f>(C17/C20)*100</f>
        <v>3.5563196284255305</v>
      </c>
      <c r="F17" s="25">
        <f>(D17/D20)*100</f>
        <v>3.050040021776673</v>
      </c>
      <c r="G17" s="26" t="s">
        <v>36</v>
      </c>
      <c r="H17" s="28"/>
      <c r="V17" s="35" t="s">
        <v>37</v>
      </c>
      <c r="W17" s="34">
        <f>C29</f>
        <v>123295381</v>
      </c>
      <c r="X17" s="34">
        <f>D29</f>
        <v>557023382.8714999</v>
      </c>
    </row>
    <row r="18" spans="1:24" ht="20" x14ac:dyDescent="0.3">
      <c r="A18" s="22" t="s">
        <v>25</v>
      </c>
      <c r="B18" s="23">
        <v>4</v>
      </c>
      <c r="C18" s="24">
        <v>682168.42</v>
      </c>
      <c r="D18" s="24">
        <f>C18*B18</f>
        <v>2728673.68</v>
      </c>
      <c r="E18" s="25">
        <f>(C18/C20)*100</f>
        <v>1.6196655879159663</v>
      </c>
      <c r="F18" s="25">
        <f>(D18/D20)*100</f>
        <v>1.5222894348500589</v>
      </c>
      <c r="G18" s="26" t="s">
        <v>26</v>
      </c>
      <c r="H18" s="28"/>
      <c r="V18" s="35" t="s">
        <v>38</v>
      </c>
      <c r="W18" s="34">
        <f>C32</f>
        <v>14799455</v>
      </c>
      <c r="X18" s="34">
        <f>D32</f>
        <v>62897683.75</v>
      </c>
    </row>
    <row r="19" spans="1:24" ht="20" x14ac:dyDescent="0.3">
      <c r="A19" s="22" t="s">
        <v>27</v>
      </c>
      <c r="B19" s="23">
        <v>4.3499999999999996</v>
      </c>
      <c r="C19" s="24">
        <v>37307457</v>
      </c>
      <c r="D19" s="24">
        <f>C19*B19</f>
        <v>162287437.94999999</v>
      </c>
      <c r="E19" s="25">
        <f>(C19/C20)*100</f>
        <v>88.578718251945205</v>
      </c>
      <c r="F19" s="25">
        <f>(D19/D20)*100</f>
        <v>90.537924710795565</v>
      </c>
      <c r="G19" s="26" t="s">
        <v>28</v>
      </c>
      <c r="H19" s="28"/>
    </row>
    <row r="20" spans="1:24" ht="20" x14ac:dyDescent="0.3">
      <c r="A20" s="30" t="s">
        <v>29</v>
      </c>
      <c r="B20" s="31"/>
      <c r="C20" s="32">
        <f>SUM(C15:C19)</f>
        <v>42117856</v>
      </c>
      <c r="D20" s="32">
        <f>SUM(D15:D19)</f>
        <v>179248020.61499998</v>
      </c>
      <c r="E20" s="33">
        <f>(C20/C20)*100</f>
        <v>100</v>
      </c>
      <c r="F20" s="33">
        <f>(D20/D20)*100</f>
        <v>100</v>
      </c>
      <c r="G20" s="21" t="s">
        <v>30</v>
      </c>
      <c r="H20" s="28"/>
    </row>
    <row r="21" spans="1:24" ht="20" x14ac:dyDescent="0.3">
      <c r="A21" s="35" t="s">
        <v>37</v>
      </c>
      <c r="B21" s="36"/>
      <c r="C21" s="24"/>
      <c r="D21" s="24"/>
      <c r="E21" s="37"/>
      <c r="F21" s="38"/>
      <c r="G21" s="21" t="s">
        <v>32</v>
      </c>
      <c r="H21" s="28"/>
    </row>
    <row r="22" spans="1:24" ht="20" x14ac:dyDescent="0.3">
      <c r="A22" s="22" t="s">
        <v>15</v>
      </c>
      <c r="B22" s="23">
        <v>3.3</v>
      </c>
      <c r="C22" s="24">
        <v>10305918.85</v>
      </c>
      <c r="D22" s="24">
        <f>C22*B22</f>
        <v>34009532.204999998</v>
      </c>
      <c r="E22" s="25">
        <f>(C22/C29)*100</f>
        <v>8.3587225785854873</v>
      </c>
      <c r="F22" s="25">
        <f>(D22/D29)*100</f>
        <v>6.1055842987556739</v>
      </c>
      <c r="G22" s="26" t="s">
        <v>16</v>
      </c>
      <c r="H22" s="28"/>
    </row>
    <row r="23" spans="1:24" ht="20" x14ac:dyDescent="0.3">
      <c r="A23" s="22" t="s">
        <v>33</v>
      </c>
      <c r="B23" s="23">
        <v>3.35</v>
      </c>
      <c r="C23" s="24">
        <v>16482045.15</v>
      </c>
      <c r="D23" s="24">
        <f t="shared" ref="D23:D28" si="1">C23*B23</f>
        <v>55214851.252500005</v>
      </c>
      <c r="E23" s="25">
        <f>(C23/C29)*100</f>
        <v>13.367933994218323</v>
      </c>
      <c r="F23" s="25">
        <f>(D23/D29)*100</f>
        <v>9.9124835600012062</v>
      </c>
      <c r="G23" s="26" t="s">
        <v>34</v>
      </c>
      <c r="H23" s="28"/>
    </row>
    <row r="24" spans="1:24" ht="20" x14ac:dyDescent="0.3">
      <c r="A24" s="22" t="s">
        <v>35</v>
      </c>
      <c r="B24" s="23">
        <v>3.65</v>
      </c>
      <c r="C24" s="24">
        <v>12783470.980000002</v>
      </c>
      <c r="D24" s="24">
        <f t="shared" si="1"/>
        <v>46659669.077000007</v>
      </c>
      <c r="E24" s="25">
        <f>(C24/C29)*100</f>
        <v>10.368166979426425</v>
      </c>
      <c r="F24" s="25">
        <f>(D24/D29)*100</f>
        <v>8.3766086867782281</v>
      </c>
      <c r="G24" s="26" t="s">
        <v>36</v>
      </c>
      <c r="H24" s="28"/>
    </row>
    <row r="25" spans="1:24" ht="20" x14ac:dyDescent="0.3">
      <c r="A25" s="22" t="s">
        <v>25</v>
      </c>
      <c r="B25" s="23">
        <v>4</v>
      </c>
      <c r="C25" s="24">
        <v>5278300.0200000005</v>
      </c>
      <c r="D25" s="24">
        <f t="shared" si="1"/>
        <v>21113200.080000002</v>
      </c>
      <c r="E25" s="25">
        <f>(C25/C29)*100</f>
        <v>4.2810200813605501</v>
      </c>
      <c r="F25" s="25">
        <f>(D25/D29)*100</f>
        <v>3.7903615412264697</v>
      </c>
      <c r="G25" s="26" t="s">
        <v>39</v>
      </c>
      <c r="H25" s="28"/>
    </row>
    <row r="26" spans="1:24" ht="20" x14ac:dyDescent="0.3">
      <c r="A26" s="22" t="s">
        <v>40</v>
      </c>
      <c r="B26" s="23">
        <v>4.3499999999999996</v>
      </c>
      <c r="C26" s="24">
        <v>45602195</v>
      </c>
      <c r="D26" s="24">
        <f t="shared" si="1"/>
        <v>198369548.24999997</v>
      </c>
      <c r="E26" s="25">
        <f>(C26/C29)*100</f>
        <v>36.986134135876512</v>
      </c>
      <c r="F26" s="25">
        <f>(D26/D29)*100</f>
        <v>35.612427476094297</v>
      </c>
      <c r="G26" s="26" t="s">
        <v>40</v>
      </c>
      <c r="H26" s="28"/>
    </row>
    <row r="27" spans="1:24" ht="20" x14ac:dyDescent="0.3">
      <c r="A27" s="22" t="s">
        <v>41</v>
      </c>
      <c r="B27" s="23">
        <v>5.75</v>
      </c>
      <c r="C27" s="24">
        <v>18613741.269999996</v>
      </c>
      <c r="D27" s="24">
        <f t="shared" si="1"/>
        <v>107029012.30249998</v>
      </c>
      <c r="E27" s="25">
        <f>(C27/C29)*100</f>
        <v>15.096868284141152</v>
      </c>
      <c r="F27" s="25">
        <f>(D27/D29)*100</f>
        <v>19.214455908611395</v>
      </c>
      <c r="G27" s="26" t="s">
        <v>42</v>
      </c>
      <c r="H27" s="28"/>
    </row>
    <row r="28" spans="1:24" ht="20" x14ac:dyDescent="0.3">
      <c r="A28" s="22" t="s">
        <v>43</v>
      </c>
      <c r="B28" s="23">
        <v>6.65</v>
      </c>
      <c r="C28" s="24">
        <v>14229709.73</v>
      </c>
      <c r="D28" s="24">
        <f t="shared" si="1"/>
        <v>94627569.704500005</v>
      </c>
      <c r="E28" s="25">
        <f>(C28/C29)*100</f>
        <v>11.541153946391553</v>
      </c>
      <c r="F28" s="25">
        <f>(D28/D29)*100</f>
        <v>16.988078528532743</v>
      </c>
      <c r="G28" s="26" t="s">
        <v>44</v>
      </c>
      <c r="H28" s="28"/>
    </row>
    <row r="29" spans="1:24" ht="20" x14ac:dyDescent="0.3">
      <c r="A29" s="30" t="s">
        <v>29</v>
      </c>
      <c r="B29" s="31"/>
      <c r="C29" s="32">
        <f>SUM(C22:C28)</f>
        <v>123295381</v>
      </c>
      <c r="D29" s="32">
        <f>SUM(D22:D28)</f>
        <v>557023382.8714999</v>
      </c>
      <c r="E29" s="33">
        <f>(C29/C29)*100</f>
        <v>100</v>
      </c>
      <c r="F29" s="33">
        <f>(D29/D29)*100</f>
        <v>100</v>
      </c>
      <c r="G29" s="21" t="s">
        <v>30</v>
      </c>
      <c r="H29" s="28"/>
    </row>
    <row r="30" spans="1:24" ht="20" x14ac:dyDescent="0.3">
      <c r="A30" s="35" t="s">
        <v>45</v>
      </c>
      <c r="C30" s="24"/>
      <c r="D30" s="24"/>
      <c r="E30" s="40"/>
      <c r="F30" s="41"/>
      <c r="G30" s="21" t="s">
        <v>46</v>
      </c>
      <c r="H30" s="28"/>
      <c r="J30" s="34"/>
    </row>
    <row r="31" spans="1:24" ht="20" x14ac:dyDescent="0.3">
      <c r="A31" s="42"/>
      <c r="B31" s="43">
        <v>4.25</v>
      </c>
      <c r="C31" s="24">
        <v>14799455</v>
      </c>
      <c r="D31" s="44">
        <f>C31*B31</f>
        <v>62897683.75</v>
      </c>
      <c r="E31" s="25">
        <f>(C31/C32)*100</f>
        <v>100</v>
      </c>
      <c r="F31" s="25">
        <f>(D31/D32)*100</f>
        <v>100</v>
      </c>
      <c r="G31" s="45"/>
      <c r="H31" s="28"/>
      <c r="J31" s="34"/>
    </row>
    <row r="32" spans="1:24" ht="20" x14ac:dyDescent="0.3">
      <c r="A32" s="46" t="s">
        <v>29</v>
      </c>
      <c r="B32" s="47"/>
      <c r="C32" s="48">
        <f>SUM(C31)</f>
        <v>14799455</v>
      </c>
      <c r="D32" s="48">
        <f>SUM(D31)</f>
        <v>62897683.75</v>
      </c>
      <c r="E32" s="49">
        <f>(C32/C32)*100</f>
        <v>100</v>
      </c>
      <c r="F32" s="49">
        <f>(D32/D32)*100</f>
        <v>100</v>
      </c>
      <c r="G32" s="50" t="s">
        <v>30</v>
      </c>
    </row>
    <row r="33" spans="1:16" ht="21.75" customHeight="1" x14ac:dyDescent="0.35">
      <c r="A33" s="51" t="s">
        <v>47</v>
      </c>
      <c r="B33" s="52"/>
      <c r="C33" s="52"/>
      <c r="D33" s="52"/>
      <c r="E33" s="53"/>
      <c r="F33" s="53"/>
      <c r="G33" s="54" t="s">
        <v>48</v>
      </c>
      <c r="H33" s="55"/>
      <c r="M33" s="56"/>
      <c r="N33" s="56"/>
      <c r="O33" s="56"/>
      <c r="P33" s="56"/>
    </row>
    <row r="34" spans="1:16" ht="21.75" customHeight="1" x14ac:dyDescent="0.35">
      <c r="A34" s="57"/>
      <c r="B34" s="52"/>
      <c r="C34" s="52"/>
      <c r="D34" s="52"/>
      <c r="E34" s="53"/>
      <c r="F34" s="53"/>
      <c r="G34" s="54"/>
      <c r="H34" s="55"/>
      <c r="M34" s="56"/>
      <c r="N34" s="56"/>
      <c r="O34" s="56"/>
      <c r="P34" s="56"/>
    </row>
    <row r="35" spans="1:16" ht="21.75" customHeight="1" x14ac:dyDescent="0.35">
      <c r="A35" s="57"/>
      <c r="B35" s="52"/>
      <c r="C35" s="52"/>
      <c r="D35" s="52"/>
      <c r="E35" s="53"/>
      <c r="F35" s="53"/>
      <c r="G35" s="58"/>
      <c r="H35" s="55"/>
      <c r="M35" s="56"/>
      <c r="N35" s="56"/>
      <c r="O35" s="56"/>
      <c r="P35" s="56"/>
    </row>
    <row r="36" spans="1:16" ht="21.75" customHeight="1" x14ac:dyDescent="0.35">
      <c r="A36" s="57"/>
      <c r="B36" s="52"/>
      <c r="C36" s="52"/>
      <c r="D36" s="52"/>
      <c r="E36" s="53"/>
      <c r="F36" s="53"/>
      <c r="G36" s="58"/>
      <c r="H36" s="55"/>
      <c r="M36" s="56"/>
      <c r="N36" s="56"/>
      <c r="O36" s="56"/>
      <c r="P36" s="56"/>
    </row>
    <row r="37" spans="1:16" ht="21.75" customHeight="1" x14ac:dyDescent="0.35">
      <c r="A37" s="57"/>
      <c r="B37" s="52"/>
      <c r="C37" s="52"/>
      <c r="D37" s="52"/>
      <c r="E37" s="53"/>
      <c r="F37" s="53"/>
      <c r="G37" s="58"/>
      <c r="H37" s="55"/>
      <c r="M37" s="56"/>
      <c r="N37" s="56"/>
      <c r="O37" s="56"/>
      <c r="P37" s="56"/>
    </row>
    <row r="38" spans="1:16" ht="21.75" customHeight="1" x14ac:dyDescent="0.35">
      <c r="A38" s="57"/>
      <c r="B38" s="52"/>
      <c r="C38" s="52"/>
      <c r="D38" s="52"/>
      <c r="E38" s="53"/>
      <c r="F38" s="53"/>
      <c r="G38" s="58"/>
      <c r="H38" s="55"/>
      <c r="M38" s="56"/>
      <c r="N38" s="56"/>
      <c r="O38" s="56"/>
      <c r="P38" s="56"/>
    </row>
    <row r="39" spans="1:16" ht="21.75" customHeight="1" x14ac:dyDescent="0.35">
      <c r="A39" s="57"/>
      <c r="B39" s="52"/>
      <c r="C39" s="52"/>
      <c r="D39" s="52"/>
      <c r="E39" s="53"/>
      <c r="F39" s="53"/>
      <c r="G39" s="58"/>
      <c r="H39" s="55"/>
      <c r="M39" s="56"/>
      <c r="N39" s="56"/>
      <c r="O39" s="56"/>
      <c r="P39" s="56"/>
    </row>
    <row r="40" spans="1:16" ht="21.75" customHeight="1" x14ac:dyDescent="0.35">
      <c r="A40" s="57"/>
      <c r="B40" s="52"/>
      <c r="C40" s="52"/>
      <c r="D40" s="52"/>
      <c r="E40" s="53"/>
      <c r="F40" s="53"/>
      <c r="G40" s="58"/>
      <c r="H40" s="55"/>
      <c r="M40" s="56"/>
      <c r="N40" s="56"/>
      <c r="O40" s="56"/>
      <c r="P40" s="56"/>
    </row>
    <row r="41" spans="1:16" ht="21.75" customHeight="1" x14ac:dyDescent="0.35">
      <c r="A41" s="57"/>
      <c r="B41" s="52"/>
      <c r="C41" s="52"/>
      <c r="D41" s="52"/>
      <c r="E41" s="53"/>
      <c r="F41" s="53"/>
      <c r="G41" s="58"/>
      <c r="H41" s="55"/>
      <c r="M41" s="56"/>
      <c r="N41" s="56"/>
      <c r="O41" s="56"/>
      <c r="P41" s="56"/>
    </row>
    <row r="42" spans="1:16" ht="21.75" customHeight="1" x14ac:dyDescent="0.35">
      <c r="A42" s="57"/>
      <c r="B42" s="52"/>
      <c r="C42" s="52"/>
      <c r="D42" s="52"/>
      <c r="E42" s="53"/>
      <c r="F42" s="53"/>
      <c r="G42" s="58"/>
      <c r="H42" s="55"/>
      <c r="M42" s="56"/>
      <c r="N42" s="56"/>
      <c r="O42" s="56"/>
      <c r="P42" s="56"/>
    </row>
    <row r="43" spans="1:16" ht="21.75" customHeight="1" x14ac:dyDescent="0.35">
      <c r="A43" s="57"/>
      <c r="B43" s="52"/>
      <c r="C43" s="52"/>
      <c r="D43" s="52"/>
      <c r="E43" s="53"/>
      <c r="F43" s="53"/>
      <c r="G43" s="58"/>
      <c r="H43" s="55"/>
      <c r="M43" s="56"/>
      <c r="N43" s="56"/>
      <c r="O43" s="56"/>
      <c r="P43" s="56"/>
    </row>
    <row r="44" spans="1:16" ht="21.75" customHeight="1" x14ac:dyDescent="0.35">
      <c r="A44" s="57"/>
      <c r="B44" s="52"/>
      <c r="C44" s="52"/>
      <c r="D44" s="52"/>
      <c r="E44" s="53"/>
      <c r="F44" s="53"/>
      <c r="G44" s="58"/>
      <c r="H44" s="55"/>
      <c r="M44" s="56"/>
      <c r="N44" s="56"/>
      <c r="O44" s="56"/>
      <c r="P44" s="56"/>
    </row>
    <row r="45" spans="1:16" ht="21.75" customHeight="1" x14ac:dyDescent="0.35">
      <c r="A45" s="57"/>
      <c r="B45" s="52"/>
      <c r="C45" s="52"/>
      <c r="D45" s="52"/>
      <c r="E45" s="53"/>
      <c r="F45" s="53"/>
      <c r="G45" s="58"/>
      <c r="H45" s="55"/>
      <c r="M45" s="56"/>
      <c r="N45" s="56"/>
      <c r="O45" s="56"/>
      <c r="P45" s="56"/>
    </row>
    <row r="46" spans="1:16" ht="21.75" customHeight="1" x14ac:dyDescent="0.35">
      <c r="A46" s="57"/>
      <c r="B46" s="52"/>
      <c r="C46" s="52"/>
      <c r="D46" s="52"/>
      <c r="E46" s="53"/>
      <c r="F46" s="53"/>
      <c r="G46" s="58"/>
      <c r="H46" s="55"/>
      <c r="M46" s="56"/>
      <c r="N46" s="56"/>
      <c r="O46" s="56"/>
      <c r="P46" s="56"/>
    </row>
    <row r="47" spans="1:16" ht="21.75" customHeight="1" x14ac:dyDescent="0.35">
      <c r="A47" s="57"/>
      <c r="B47" s="52"/>
      <c r="C47" s="52"/>
      <c r="D47" s="52"/>
      <c r="E47" s="53"/>
      <c r="F47" s="53"/>
      <c r="G47" s="58"/>
      <c r="H47" s="55"/>
      <c r="M47" s="56"/>
      <c r="N47" s="56"/>
      <c r="O47" s="56"/>
      <c r="P47" s="56"/>
    </row>
    <row r="48" spans="1:16" ht="21.75" customHeight="1" x14ac:dyDescent="0.35">
      <c r="A48" s="57"/>
      <c r="B48" s="52"/>
      <c r="C48" s="52"/>
      <c r="D48" s="52"/>
      <c r="E48" s="53"/>
      <c r="F48" s="53"/>
      <c r="G48" s="58"/>
      <c r="H48" s="55"/>
      <c r="M48" s="56"/>
      <c r="N48" s="56"/>
      <c r="O48" s="56"/>
      <c r="P48" s="56"/>
    </row>
    <row r="49" spans="1:16" ht="21.75" customHeight="1" x14ac:dyDescent="0.35">
      <c r="A49" s="57"/>
      <c r="B49" s="52"/>
      <c r="C49" s="52"/>
      <c r="D49" s="52"/>
      <c r="E49" s="53"/>
      <c r="F49" s="53"/>
      <c r="G49" s="58"/>
      <c r="H49" s="55"/>
      <c r="M49" s="56"/>
      <c r="N49" s="56"/>
      <c r="O49" s="56"/>
      <c r="P49" s="56"/>
    </row>
    <row r="50" spans="1:16" ht="21.75" customHeight="1" x14ac:dyDescent="0.35">
      <c r="A50" s="57"/>
      <c r="B50" s="52"/>
      <c r="C50" s="52"/>
      <c r="D50" s="52"/>
      <c r="E50" s="53"/>
      <c r="F50" s="53"/>
      <c r="G50" s="58"/>
      <c r="H50" s="55"/>
      <c r="M50" s="56"/>
      <c r="N50" s="56"/>
      <c r="O50" s="56"/>
      <c r="P50" s="56"/>
    </row>
    <row r="51" spans="1:16" ht="21.75" customHeight="1" x14ac:dyDescent="0.35">
      <c r="A51" s="57"/>
      <c r="B51" s="52"/>
      <c r="C51" s="52"/>
      <c r="D51" s="52"/>
      <c r="E51" s="53"/>
      <c r="F51" s="53"/>
      <c r="G51" s="58"/>
      <c r="H51" s="55"/>
      <c r="M51" s="56"/>
      <c r="N51" s="56"/>
      <c r="O51" s="56"/>
      <c r="P51" s="56"/>
    </row>
    <row r="52" spans="1:16" ht="21.75" customHeight="1" x14ac:dyDescent="0.35">
      <c r="A52" s="57"/>
      <c r="B52" s="52"/>
      <c r="C52" s="52"/>
      <c r="D52" s="52"/>
      <c r="E52" s="53"/>
      <c r="F52" s="53"/>
      <c r="G52" s="58"/>
      <c r="H52" s="55"/>
      <c r="M52" s="56"/>
      <c r="N52" s="56"/>
      <c r="O52" s="56"/>
      <c r="P52" s="56"/>
    </row>
    <row r="53" spans="1:16" ht="21.75" customHeight="1" x14ac:dyDescent="0.35">
      <c r="A53" s="57"/>
      <c r="B53" s="52"/>
      <c r="C53" s="52"/>
      <c r="D53" s="52"/>
      <c r="E53" s="53"/>
      <c r="F53" s="53"/>
      <c r="G53" s="58"/>
      <c r="H53" s="55"/>
      <c r="M53" s="56"/>
      <c r="N53" s="56"/>
      <c r="O53" s="56"/>
      <c r="P53" s="56"/>
    </row>
    <row r="54" spans="1:16" ht="21.75" customHeight="1" x14ac:dyDescent="0.35">
      <c r="A54" s="57"/>
      <c r="B54" s="52"/>
      <c r="C54" s="52"/>
      <c r="D54" s="52"/>
      <c r="E54" s="53"/>
      <c r="F54" s="53"/>
      <c r="G54" s="58"/>
      <c r="H54" s="55"/>
      <c r="M54" s="56"/>
      <c r="N54" s="56"/>
      <c r="O54" s="56"/>
      <c r="P54" s="56"/>
    </row>
    <row r="55" spans="1:16" ht="21.75" customHeight="1" x14ac:dyDescent="0.35">
      <c r="A55" s="57"/>
      <c r="B55" s="52"/>
      <c r="C55" s="52"/>
      <c r="D55" s="52"/>
      <c r="E55" s="53"/>
      <c r="F55" s="53"/>
      <c r="G55" s="58"/>
      <c r="H55" s="55"/>
      <c r="M55" s="56"/>
      <c r="N55" s="56"/>
      <c r="O55" s="56"/>
      <c r="P55" s="56"/>
    </row>
    <row r="56" spans="1:16" ht="21.75" customHeight="1" x14ac:dyDescent="0.35">
      <c r="A56" s="57"/>
      <c r="B56" s="52"/>
      <c r="C56" s="52"/>
      <c r="D56" s="52"/>
      <c r="E56" s="53"/>
      <c r="F56" s="53"/>
      <c r="G56" s="58"/>
      <c r="H56" s="55"/>
      <c r="M56" s="56"/>
      <c r="N56" s="56"/>
      <c r="O56" s="56"/>
      <c r="P56" s="56"/>
    </row>
    <row r="57" spans="1:16" ht="21.75" customHeight="1" x14ac:dyDescent="0.35">
      <c r="A57" s="57"/>
      <c r="B57" s="52"/>
      <c r="C57" s="52"/>
      <c r="D57" s="52"/>
      <c r="E57" s="53"/>
      <c r="F57" s="53"/>
      <c r="G57" s="58"/>
      <c r="H57" s="55"/>
      <c r="M57" s="56"/>
      <c r="N57" s="56"/>
      <c r="O57" s="56"/>
      <c r="P57" s="56"/>
    </row>
    <row r="58" spans="1:16" ht="21.75" customHeight="1" x14ac:dyDescent="0.35">
      <c r="A58" s="57"/>
      <c r="B58" s="52"/>
      <c r="C58" s="52"/>
      <c r="D58" s="52"/>
      <c r="E58" s="53"/>
      <c r="F58" s="53"/>
      <c r="G58" s="58"/>
      <c r="H58" s="55"/>
      <c r="M58" s="56"/>
      <c r="N58" s="56"/>
      <c r="O58" s="56"/>
      <c r="P58" s="56"/>
    </row>
    <row r="59" spans="1:16" ht="21.75" customHeight="1" x14ac:dyDescent="0.35">
      <c r="A59" s="57"/>
      <c r="B59" s="52"/>
      <c r="C59" s="52"/>
      <c r="D59" s="52"/>
      <c r="E59" s="53"/>
      <c r="F59" s="53"/>
      <c r="G59" s="58"/>
      <c r="H59" s="55"/>
      <c r="M59" s="56"/>
      <c r="N59" s="56"/>
      <c r="O59" s="56"/>
      <c r="P59" s="56"/>
    </row>
    <row r="60" spans="1:16" ht="21.75" customHeight="1" x14ac:dyDescent="0.35">
      <c r="A60" s="57"/>
      <c r="B60" s="52"/>
      <c r="C60" s="52"/>
      <c r="D60" s="52"/>
      <c r="E60" s="53"/>
      <c r="F60" s="53"/>
      <c r="G60" s="58"/>
      <c r="H60" s="55"/>
      <c r="M60" s="56"/>
      <c r="N60" s="56"/>
      <c r="O60" s="56"/>
      <c r="P60" s="56"/>
    </row>
    <row r="61" spans="1:16" ht="21.75" customHeight="1" x14ac:dyDescent="0.35">
      <c r="A61" s="57"/>
      <c r="B61" s="52"/>
      <c r="C61" s="52"/>
      <c r="D61" s="52"/>
      <c r="E61" s="53"/>
      <c r="F61" s="53"/>
      <c r="G61" s="58"/>
      <c r="H61" s="55"/>
      <c r="M61" s="56"/>
      <c r="N61" s="56"/>
      <c r="O61" s="56"/>
      <c r="P61" s="56"/>
    </row>
    <row r="62" spans="1:16" ht="21.75" customHeight="1" x14ac:dyDescent="0.35">
      <c r="A62" s="57"/>
      <c r="B62" s="52"/>
      <c r="C62" s="52"/>
      <c r="D62" s="52"/>
      <c r="E62" s="53"/>
      <c r="F62" s="53"/>
      <c r="G62" s="58"/>
      <c r="H62" s="55"/>
      <c r="M62" s="56"/>
      <c r="N62" s="56"/>
      <c r="O62" s="56"/>
      <c r="P62" s="56"/>
    </row>
  </sheetData>
  <mergeCells count="4">
    <mergeCell ref="A1:G1"/>
    <mergeCell ref="A2:G2"/>
    <mergeCell ref="A3:A4"/>
    <mergeCell ref="G3:G4"/>
  </mergeCells>
  <pageMargins left="0.7" right="0.7" top="0.75" bottom="0.75" header="0.3" footer="0.3"/>
  <pageSetup scale="51" orientation="portrait" r:id="rId1"/>
  <rowBreaks count="1" manualBreakCount="1">
    <brk id="61" max="7" man="1"/>
  </rowBreaks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12.5</vt:lpstr>
      <vt:lpstr>'12.5'!Print_Area</vt:lpstr>
      <vt:lpstr>'12.5'!Print_Titles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2023-10-23T21:11:53Z</cp:lastPrinted>
  <dcterms:created xsi:type="dcterms:W3CDTF">2019-05-21T05:57:01Z</dcterms:created>
  <dcterms:modified xsi:type="dcterms:W3CDTF">2023-10-23T21:11:59Z</dcterms:modified>
</cp:coreProperties>
</file>