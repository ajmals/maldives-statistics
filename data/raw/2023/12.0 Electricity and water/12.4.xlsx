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004E41EE-C176-42DC-9B90-1B3B67B652AC}" xr6:coauthVersionLast="47" xr6:coauthVersionMax="47" xr10:uidLastSave="{00000000-0000-0000-0000-000000000000}"/>
  <bookViews>
    <workbookView xWindow="-110" yWindow="-110" windowWidth="19420" windowHeight="10300" tabRatio="768" xr2:uid="{00000000-000D-0000-FFFF-FFFF00000000}"/>
  </bookViews>
  <sheets>
    <sheet name="12.4" sheetId="17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'12.4'!$A$1:$P$42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7" l="1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</calcChain>
</file>

<file path=xl/sharedStrings.xml><?xml version="1.0" encoding="utf-8"?>
<sst xmlns="http://schemas.openxmlformats.org/spreadsheetml/2006/main" count="90" uniqueCount="90">
  <si>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</si>
  <si>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</si>
  <si>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</si>
  <si>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</si>
  <si>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</si>
  <si>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</si>
  <si>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</si>
  <si>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</si>
  <si>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</si>
  <si>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</si>
  <si>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</si>
  <si>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</si>
  <si>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</si>
  <si>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</si>
  <si>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</si>
  <si>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</si>
  <si>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</si>
  <si>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</si>
  <si>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</si>
  <si>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</si>
  <si>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</si>
  <si>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</si>
  <si>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</si>
  <si>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</si>
  <si>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</si>
  <si>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</si>
  <si>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</si>
  <si>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</si>
  <si>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</si>
  <si>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</si>
  <si>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</si>
  <si>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</si>
  <si>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</si>
  <si>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</si>
  <si>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</si>
  <si>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</si>
  <si>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</si>
  <si>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</si>
  <si>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</si>
  <si>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</si>
  <si>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</si>
  <si>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</si>
  <si>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</si>
  <si>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</si>
  <si>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</si>
  <si>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</si>
  <si>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</si>
  <si>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</si>
  <si>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</si>
  <si>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</si>
  <si>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</si>
  <si>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</si>
  <si>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</si>
  <si>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</si>
  <si>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</si>
  <si>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</si>
  <si>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</si>
  <si>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</si>
  <si>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</si>
  <si>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</si>
  <si>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</si>
  <si>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</si>
  <si>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</si>
  <si>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</si>
  <si>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</si>
  <si>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</si>
  <si>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</si>
  <si>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</si>
  <si>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</si>
  <si>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</si>
  <si>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</si>
  <si>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</si>
  <si>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</si>
  <si>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</si>
  <si>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</si>
  <si>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</si>
  <si>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</si>
  <si>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</si>
  <si>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</si>
  <si>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</si>
  <si>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</si>
  <si>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</si>
  <si>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</si>
  <si>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</si>
  <si>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</si>
  <si>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</si>
  <si>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Adh.Mahibadhoo</t>
  </si>
  <si>
    <t>(In '000 litres)</t>
  </si>
  <si>
    <t>Table  12.4 :   MONTHLY CONSUMPTION OF LUBRICATION OIL FOR ELECTRICITY GENERATION IN SELECTED LOCALITIES BY PUBLIC SECTOR, 2022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</si>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</sst>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3" fillId="2" borderId="3" xfId="2" applyFont="1" applyFill="1" applyBorder="1" applyAlignment="1">
      <alignment vertical="center"/>
    </xf>
    <xf numFmtId="166" fontId="2" fillId="2" borderId="8" xfId="0" applyNumberFormat="1" applyFont="1" applyFill="1" applyBorder="1" applyAlignment="1">
      <alignment horizontal="right" vertical="center"/>
    </xf>
    <xf numFmtId="0" fontId="15" fillId="2" borderId="8" xfId="0" applyFont="1" applyFill="1" applyBorder="1" applyAlignment="1">
      <alignment horizontal="right" vertical="center"/>
    </xf>
    <xf numFmtId="166" fontId="2" fillId="2" borderId="7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0" fillId="2" borderId="0" xfId="0" applyFill="1" applyAlignment="1">
      <alignment horizont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indent="1"/>
    </xf>
    <xf numFmtId="166" fontId="3" fillId="2" borderId="8" xfId="0" applyNumberFormat="1" applyFont="1" applyFill="1" applyBorder="1" applyAlignment="1">
      <alignment horizontal="right" vertical="center"/>
    </xf>
    <xf numFmtId="166" fontId="3" fillId="2" borderId="7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vertical="center"/>
    </xf>
    <xf numFmtId="0" fontId="13" fillId="2" borderId="8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Alignment="1">
      <alignment vertical="center"/>
    </xf>
    <xf numFmtId="0" fontId="13" fillId="2" borderId="4" xfId="4" applyFont="1" applyFill="1" applyBorder="1" applyAlignment="1">
      <alignment vertical="center"/>
    </xf>
    <xf numFmtId="0" fontId="13" fillId="2" borderId="3" xfId="4" applyFont="1" applyFill="1" applyBorder="1" applyAlignment="1">
      <alignment vertical="center"/>
    </xf>
    <xf numFmtId="0" fontId="14" fillId="2" borderId="3" xfId="4" applyFont="1" applyFill="1" applyBorder="1" applyAlignment="1">
      <alignment vertical="center"/>
    </xf>
    <xf numFmtId="0" fontId="4" fillId="2" borderId="2" xfId="4" applyFont="1" applyFill="1" applyBorder="1" applyAlignment="1">
      <alignment vertical="center"/>
    </xf>
    <xf numFmtId="164" fontId="4" fillId="2" borderId="2" xfId="7" applyFont="1" applyFill="1" applyBorder="1" applyAlignment="1" applyProtection="1">
      <alignment horizontal="right" vertical="center"/>
    </xf>
    <xf numFmtId="0" fontId="6" fillId="2" borderId="1" xfId="4" applyFont="1" applyFill="1" applyBorder="1" applyAlignment="1">
      <alignment vertical="center"/>
    </xf>
    <xf numFmtId="0" fontId="12" fillId="2" borderId="8" xfId="4" applyFont="1" applyFill="1" applyBorder="1" applyAlignment="1">
      <alignment horizontal="center" vertical="center"/>
    </xf>
    <xf numFmtId="0" fontId="12" fillId="2" borderId="9" xfId="4" applyFont="1" applyFill="1" applyBorder="1" applyAlignment="1">
      <alignment horizontal="center" vertical="center"/>
    </xf>
    <xf numFmtId="0" fontId="12" fillId="2" borderId="4" xfId="4" applyFont="1" applyFill="1" applyBorder="1" applyAlignment="1">
      <alignment horizontal="center" vertical="center"/>
    </xf>
    <xf numFmtId="0" fontId="11" fillId="2" borderId="8" xfId="4" applyFont="1" applyFill="1" applyBorder="1" applyAlignment="1">
      <alignment horizontal="center" vertical="center"/>
    </xf>
    <xf numFmtId="0" fontId="11" fillId="2" borderId="9" xfId="4" applyFont="1" applyFill="1" applyBorder="1" applyAlignment="1">
      <alignment horizontal="center" vertical="center"/>
    </xf>
    <xf numFmtId="0" fontId="11" fillId="2" borderId="4" xfId="4" applyFont="1" applyFill="1" applyBorder="1" applyAlignment="1">
      <alignment horizontal="center" vertical="center"/>
    </xf>
    <xf numFmtId="0" fontId="17" fillId="2" borderId="7" xfId="4" applyFont="1" applyFill="1" applyBorder="1" applyAlignment="1">
      <alignment horizontal="center" vertical="center"/>
    </xf>
    <xf numFmtId="0" fontId="17" fillId="2" borderId="10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Y41"/>
  <sheetViews>
    <sheetView tabSelected="1" zoomScaleNormal="100" workbookViewId="0">
      <selection activeCell="U32" sqref="U32"/>
    </sheetView>
  </sheetViews>
  <sheetFormatPr defaultColWidth="9.1796875" defaultRowHeight="14.5" x14ac:dyDescent="0.35"/>
  <cols>
    <col min="1" max="1" width="20.1796875" style="2" customWidth="1"/>
    <col min="2" max="2" width="8.90625" style="17" customWidth="1"/>
    <col min="3" max="3" width="8.7265625" style="18" customWidth="1"/>
    <col min="4" max="14" width="8.7265625" style="12" customWidth="1"/>
    <col min="15" max="15" width="16.81640625" style="12" customWidth="1"/>
    <col min="16" max="16" width="2.453125" style="1" customWidth="1"/>
    <col min="17" max="16384" width="9.1796875" style="1"/>
  </cols>
  <sheetData>
    <row r="1" spans="1:207" x14ac:dyDescent="0.35">
      <c r="A1" s="3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7" s="26" customFormat="1" ht="21.5" x14ac:dyDescent="0.35">
      <c r="A2" s="31" t="s">
        <v>89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23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5"/>
    </row>
    <row r="3" spans="1:207" s="27" customFormat="1" ht="15.5" x14ac:dyDescent="0.35">
      <c r="A3" s="34" t="s">
        <v>88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5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</row>
    <row r="4" spans="1:207" s="27" customFormat="1" ht="15.5" x14ac:dyDescent="0.35">
      <c r="A4" s="37" t="s">
        <v>87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  <c r="P4" s="23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5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</row>
    <row r="5" spans="1:207" ht="15.5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1" t="s">
        <v>0</v>
      </c>
    </row>
    <row r="6" spans="1:207" s="4" customFormat="1" ht="20" x14ac:dyDescent="0.35">
      <c r="A6" s="13" t="s">
        <v>17</v>
      </c>
      <c r="B6" s="5">
        <f>SUM(C6:N6)</f>
        <v>183.74800000000002</v>
      </c>
      <c r="C6" s="15">
        <v>9.0920000000000005</v>
      </c>
      <c r="D6" s="15">
        <v>10.345000000000001</v>
      </c>
      <c r="E6" s="15">
        <v>24.18</v>
      </c>
      <c r="F6" s="15">
        <v>17.972999999999999</v>
      </c>
      <c r="G6" s="15">
        <v>15.05</v>
      </c>
      <c r="H6" s="15">
        <v>21.109000000000002</v>
      </c>
      <c r="I6" s="15">
        <v>10.972</v>
      </c>
      <c r="J6" s="15">
        <v>12.747</v>
      </c>
      <c r="K6" s="15">
        <v>17.867999999999999</v>
      </c>
      <c r="L6" s="15">
        <v>14.003</v>
      </c>
      <c r="M6" s="15">
        <v>17.032</v>
      </c>
      <c r="N6" s="15">
        <v>13.377000000000001</v>
      </c>
      <c r="O6" s="6" t="s">
        <v>18</v>
      </c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207" s="4" customFormat="1" ht="20" x14ac:dyDescent="0.35">
      <c r="A7" s="13" t="s">
        <v>19</v>
      </c>
      <c r="B7" s="5">
        <f>SUM(C7:N7)</f>
        <v>11.928999999999998</v>
      </c>
      <c r="C7" s="15">
        <v>0.13500000000000001</v>
      </c>
      <c r="D7" s="15">
        <v>0.126</v>
      </c>
      <c r="E7" s="15">
        <v>1.1599999999999999</v>
      </c>
      <c r="F7" s="15">
        <v>1.458</v>
      </c>
      <c r="G7" s="15">
        <v>1.2849999999999999</v>
      </c>
      <c r="H7" s="15">
        <v>1.145</v>
      </c>
      <c r="I7" s="15">
        <v>0.91</v>
      </c>
      <c r="J7" s="15">
        <v>1.395</v>
      </c>
      <c r="K7" s="15">
        <v>1.03</v>
      </c>
      <c r="L7" s="15">
        <v>1.115</v>
      </c>
      <c r="M7" s="15">
        <v>1.26</v>
      </c>
      <c r="N7" s="15">
        <v>0.91</v>
      </c>
      <c r="O7" s="6" t="s">
        <v>20</v>
      </c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</row>
    <row r="8" spans="1:207" s="4" customFormat="1" ht="20" x14ac:dyDescent="0.35">
      <c r="A8" s="13" t="s">
        <v>21</v>
      </c>
      <c r="B8" s="5">
        <f>SUM(C8:N8)</f>
        <v>114.95000000000002</v>
      </c>
      <c r="C8" s="15">
        <v>9.1959999999999997</v>
      </c>
      <c r="D8" s="15">
        <v>8.5690000000000008</v>
      </c>
      <c r="E8" s="15">
        <v>9.6140000000000008</v>
      </c>
      <c r="F8" s="15">
        <v>9.1959999999999997</v>
      </c>
      <c r="G8" s="15">
        <v>9.6140000000000008</v>
      </c>
      <c r="H8" s="15">
        <v>9.1959999999999997</v>
      </c>
      <c r="I8" s="15">
        <v>9.4049999999999994</v>
      </c>
      <c r="J8" s="15">
        <v>10.659000000000001</v>
      </c>
      <c r="K8" s="15">
        <v>10.032</v>
      </c>
      <c r="L8" s="15">
        <v>10.032</v>
      </c>
      <c r="M8" s="15">
        <v>9.6140000000000008</v>
      </c>
      <c r="N8" s="15">
        <v>9.8230000000000004</v>
      </c>
      <c r="O8" s="6" t="s">
        <v>22</v>
      </c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</row>
    <row r="9" spans="1:207" s="4" customFormat="1" ht="20" x14ac:dyDescent="0.35">
      <c r="A9" s="13" t="s">
        <v>23</v>
      </c>
      <c r="B9" s="5">
        <f t="shared" ref="B9:B40" si="0">SUM(C9:N9)</f>
        <v>4.447000000000001</v>
      </c>
      <c r="C9" s="15">
        <v>0.34599999999999997</v>
      </c>
      <c r="D9" s="15">
        <v>0.34100000000000003</v>
      </c>
      <c r="E9" s="15">
        <v>0.42599999999999999</v>
      </c>
      <c r="F9" s="15">
        <v>0.46899999999999997</v>
      </c>
      <c r="G9" s="15">
        <v>0.379</v>
      </c>
      <c r="H9" s="15">
        <v>0.39500000000000002</v>
      </c>
      <c r="I9" s="15">
        <v>0.38900000000000001</v>
      </c>
      <c r="J9" s="15">
        <v>0.30099999999999999</v>
      </c>
      <c r="K9" s="15">
        <v>0.39400000000000002</v>
      </c>
      <c r="L9" s="15">
        <v>0.32</v>
      </c>
      <c r="M9" s="15">
        <v>0.42799999999999999</v>
      </c>
      <c r="N9" s="15">
        <v>0.25900000000000001</v>
      </c>
      <c r="O9" s="6" t="s">
        <v>24</v>
      </c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</row>
    <row r="10" spans="1:207" s="4" customFormat="1" ht="20" x14ac:dyDescent="0.35">
      <c r="A10" s="13" t="s">
        <v>25</v>
      </c>
      <c r="B10" s="5">
        <f t="shared" si="0"/>
        <v>1.8140000000000001</v>
      </c>
      <c r="C10" s="15">
        <v>0.13100000000000001</v>
      </c>
      <c r="D10" s="15">
        <v>0.193</v>
      </c>
      <c r="E10" s="15">
        <v>0.17</v>
      </c>
      <c r="F10" s="15">
        <v>0.182</v>
      </c>
      <c r="G10" s="15">
        <v>0.16900000000000001</v>
      </c>
      <c r="H10" s="15">
        <v>0.16800000000000001</v>
      </c>
      <c r="I10" s="15">
        <v>0.128</v>
      </c>
      <c r="J10" s="15">
        <v>9.8000000000000004E-2</v>
      </c>
      <c r="K10" s="15">
        <v>0.21099999999999999</v>
      </c>
      <c r="L10" s="15">
        <v>0.104</v>
      </c>
      <c r="M10" s="15">
        <v>0.13400000000000001</v>
      </c>
      <c r="N10" s="15">
        <v>0.126</v>
      </c>
      <c r="O10" s="6" t="s">
        <v>26</v>
      </c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spans="1:207" s="4" customFormat="1" ht="20" x14ac:dyDescent="0.35">
      <c r="A11" s="13" t="s">
        <v>27</v>
      </c>
      <c r="B11" s="5">
        <f t="shared" si="0"/>
        <v>3.0069999999999997</v>
      </c>
      <c r="C11" s="15">
        <v>0.193</v>
      </c>
      <c r="D11" s="15">
        <v>0.221</v>
      </c>
      <c r="E11" s="15">
        <v>0.34599999999999997</v>
      </c>
      <c r="F11" s="15">
        <v>0.23300000000000001</v>
      </c>
      <c r="G11" s="15">
        <v>0.20100000000000001</v>
      </c>
      <c r="H11" s="15">
        <v>0.19600000000000001</v>
      </c>
      <c r="I11" s="15">
        <v>0.42599999999999999</v>
      </c>
      <c r="J11" s="15">
        <v>0.161</v>
      </c>
      <c r="K11" s="15">
        <v>0.219</v>
      </c>
      <c r="L11" s="15">
        <v>0.29899999999999999</v>
      </c>
      <c r="M11" s="15">
        <v>0.17299999999999999</v>
      </c>
      <c r="N11" s="15">
        <v>0.33900000000000002</v>
      </c>
      <c r="O11" s="6" t="s">
        <v>28</v>
      </c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</row>
    <row r="12" spans="1:207" s="4" customFormat="1" ht="20" x14ac:dyDescent="0.35">
      <c r="A12" s="13" t="s">
        <v>29</v>
      </c>
      <c r="B12" s="5">
        <f t="shared" si="0"/>
        <v>2.8479999999999999</v>
      </c>
      <c r="C12" s="15">
        <v>0.127</v>
      </c>
      <c r="D12" s="15">
        <v>0.13900000000000001</v>
      </c>
      <c r="E12" s="15">
        <v>0.61499999999999999</v>
      </c>
      <c r="F12" s="15">
        <v>0.33</v>
      </c>
      <c r="G12" s="15">
        <v>0.20100000000000001</v>
      </c>
      <c r="H12" s="15">
        <v>0.19900000000000001</v>
      </c>
      <c r="I12" s="15">
        <v>7.5999999999999998E-2</v>
      </c>
      <c r="J12" s="15">
        <v>5.8999999999999997E-2</v>
      </c>
      <c r="K12" s="15">
        <v>0.3</v>
      </c>
      <c r="L12" s="15">
        <v>0.158</v>
      </c>
      <c r="M12" s="15">
        <v>0.35599999999999998</v>
      </c>
      <c r="N12" s="15">
        <v>0.28799999999999998</v>
      </c>
      <c r="O12" s="6" t="s">
        <v>30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</row>
    <row r="13" spans="1:207" s="4" customFormat="1" ht="20" x14ac:dyDescent="0.35">
      <c r="A13" s="13" t="s">
        <v>31</v>
      </c>
      <c r="B13" s="5">
        <f t="shared" si="0"/>
        <v>4.5019999999999998</v>
      </c>
      <c r="C13" s="15">
        <v>0.40500000000000003</v>
      </c>
      <c r="D13" s="15">
        <v>0.43099999999999999</v>
      </c>
      <c r="E13" s="15">
        <v>0.38800000000000001</v>
      </c>
      <c r="F13" s="15">
        <v>0.39</v>
      </c>
      <c r="G13" s="15">
        <v>0.26500000000000001</v>
      </c>
      <c r="H13" s="15">
        <v>0.45900000000000002</v>
      </c>
      <c r="I13" s="15">
        <v>0.33200000000000002</v>
      </c>
      <c r="J13" s="15">
        <v>0.46899999999999997</v>
      </c>
      <c r="K13" s="15">
        <v>0.32</v>
      </c>
      <c r="L13" s="15">
        <v>0.31900000000000001</v>
      </c>
      <c r="M13" s="15">
        <v>0.45300000000000001</v>
      </c>
      <c r="N13" s="15">
        <v>0.27100000000000002</v>
      </c>
      <c r="O13" s="6" t="s">
        <v>32</v>
      </c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</row>
    <row r="14" spans="1:207" s="4" customFormat="1" ht="20" x14ac:dyDescent="0.35">
      <c r="A14" s="13" t="s">
        <v>33</v>
      </c>
      <c r="B14" s="5">
        <f t="shared" si="0"/>
        <v>7.9220000000000006</v>
      </c>
      <c r="C14" s="15">
        <v>0.84199999999999997</v>
      </c>
      <c r="D14" s="15">
        <v>0.68200000000000005</v>
      </c>
      <c r="E14" s="15">
        <v>0.76400000000000001</v>
      </c>
      <c r="F14" s="15">
        <v>0.53500000000000003</v>
      </c>
      <c r="G14" s="15">
        <v>0.67500000000000004</v>
      </c>
      <c r="H14" s="15">
        <v>0.71899999999999997</v>
      </c>
      <c r="I14" s="15">
        <v>0.44600000000000001</v>
      </c>
      <c r="J14" s="15">
        <v>0.501</v>
      </c>
      <c r="K14" s="15">
        <v>0.58299999999999996</v>
      </c>
      <c r="L14" s="15">
        <v>0.92400000000000004</v>
      </c>
      <c r="M14" s="15">
        <v>0.42</v>
      </c>
      <c r="N14" s="15">
        <v>0.83099999999999996</v>
      </c>
      <c r="O14" s="6" t="s">
        <v>34</v>
      </c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</row>
    <row r="15" spans="1:207" s="4" customFormat="1" ht="20" x14ac:dyDescent="0.35">
      <c r="A15" s="13" t="s">
        <v>35</v>
      </c>
      <c r="B15" s="5">
        <f t="shared" si="0"/>
        <v>0.68200000000000016</v>
      </c>
      <c r="C15" s="15">
        <v>5.4999999999999997E-3</v>
      </c>
      <c r="D15" s="15">
        <v>5.5E-2</v>
      </c>
      <c r="E15" s="15">
        <v>9.8000000000000004E-2</v>
      </c>
      <c r="F15" s="15">
        <v>0.104</v>
      </c>
      <c r="G15" s="15">
        <v>0.05</v>
      </c>
      <c r="H15" s="15">
        <v>9.8000000000000004E-2</v>
      </c>
      <c r="I15" s="15">
        <v>4.9500000000000002E-2</v>
      </c>
      <c r="J15" s="15">
        <v>7.4999999999999997E-3</v>
      </c>
      <c r="K15" s="15">
        <v>5.6500000000000002E-2</v>
      </c>
      <c r="L15" s="15">
        <v>5.7000000000000002E-2</v>
      </c>
      <c r="M15" s="15">
        <v>5.0999999999999997E-2</v>
      </c>
      <c r="N15" s="15">
        <v>0.05</v>
      </c>
      <c r="O15" s="6" t="s">
        <v>36</v>
      </c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</row>
    <row r="16" spans="1:207" s="4" customFormat="1" ht="20" x14ac:dyDescent="0.35">
      <c r="A16" s="13" t="s">
        <v>37</v>
      </c>
      <c r="B16" s="5">
        <f t="shared" si="0"/>
        <v>1.6849999999999998</v>
      </c>
      <c r="C16" s="15">
        <v>0.13</v>
      </c>
      <c r="D16" s="15">
        <v>0.16200000000000001</v>
      </c>
      <c r="E16" s="15">
        <v>0.21</v>
      </c>
      <c r="F16" s="15">
        <v>9.5000000000000001E-2</v>
      </c>
      <c r="G16" s="15">
        <v>0.17499999999999999</v>
      </c>
      <c r="H16" s="15">
        <v>0.129</v>
      </c>
      <c r="I16" s="15">
        <v>0.16700000000000001</v>
      </c>
      <c r="J16" s="15">
        <v>0.13</v>
      </c>
      <c r="K16" s="15">
        <v>8.2000000000000003E-2</v>
      </c>
      <c r="L16" s="15">
        <v>0.16200000000000001</v>
      </c>
      <c r="M16" s="15">
        <v>7.9000000000000001E-2</v>
      </c>
      <c r="N16" s="15">
        <v>0.16400000000000001</v>
      </c>
      <c r="O16" s="6" t="s">
        <v>38</v>
      </c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</row>
    <row r="17" spans="1:81" s="4" customFormat="1" ht="20" x14ac:dyDescent="0.35">
      <c r="A17" s="13" t="s">
        <v>39</v>
      </c>
      <c r="B17" s="5">
        <f t="shared" si="0"/>
        <v>14.927000000000001</v>
      </c>
      <c r="C17" s="15">
        <v>1.0840000000000001</v>
      </c>
      <c r="D17" s="15">
        <v>0.54800000000000004</v>
      </c>
      <c r="E17" s="15">
        <v>1.329</v>
      </c>
      <c r="F17" s="15">
        <v>1.2050000000000001</v>
      </c>
      <c r="G17" s="15">
        <v>1.304</v>
      </c>
      <c r="H17" s="15">
        <v>1.4990000000000001</v>
      </c>
      <c r="I17" s="15">
        <v>0.97599999999999998</v>
      </c>
      <c r="J17" s="15">
        <v>1.5649999999999999</v>
      </c>
      <c r="K17" s="15">
        <v>0.91100000000000003</v>
      </c>
      <c r="L17" s="15">
        <v>1.349</v>
      </c>
      <c r="M17" s="15">
        <v>1.47</v>
      </c>
      <c r="N17" s="15">
        <v>1.6870000000000001</v>
      </c>
      <c r="O17" s="6" t="s">
        <v>40</v>
      </c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</row>
    <row r="18" spans="1:81" s="4" customFormat="1" ht="20" x14ac:dyDescent="0.35">
      <c r="A18" s="13" t="s">
        <v>41</v>
      </c>
      <c r="B18" s="5">
        <f t="shared" si="0"/>
        <v>4.0309999999999997</v>
      </c>
      <c r="C18" s="15">
        <v>0.28199999999999997</v>
      </c>
      <c r="D18" s="15">
        <v>0.35899999999999999</v>
      </c>
      <c r="E18" s="15">
        <v>0.501</v>
      </c>
      <c r="F18" s="15">
        <v>0.376</v>
      </c>
      <c r="G18" s="15">
        <v>0.35399999999999998</v>
      </c>
      <c r="H18" s="15">
        <v>0.35099999999999998</v>
      </c>
      <c r="I18" s="15">
        <v>0.36599999999999999</v>
      </c>
      <c r="J18" s="15">
        <v>0.25900000000000001</v>
      </c>
      <c r="K18" s="15">
        <v>0.36199999999999999</v>
      </c>
      <c r="L18" s="15">
        <v>0.24399999999999999</v>
      </c>
      <c r="M18" s="15">
        <v>0.376</v>
      </c>
      <c r="N18" s="15">
        <v>0.20100000000000001</v>
      </c>
      <c r="O18" s="6" t="s">
        <v>42</v>
      </c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</row>
    <row r="19" spans="1:81" s="4" customFormat="1" ht="20" x14ac:dyDescent="0.35">
      <c r="A19" s="13" t="s">
        <v>43</v>
      </c>
      <c r="B19" s="5">
        <f t="shared" si="0"/>
        <v>2.8397000000000001</v>
      </c>
      <c r="C19" s="15">
        <v>0.27800000000000002</v>
      </c>
      <c r="D19" s="15">
        <v>0.24399999999999999</v>
      </c>
      <c r="E19" s="15">
        <v>0.247</v>
      </c>
      <c r="F19" s="15">
        <v>0.2145</v>
      </c>
      <c r="G19" s="15">
        <v>0.127</v>
      </c>
      <c r="H19" s="15">
        <v>0.2515</v>
      </c>
      <c r="I19" s="15">
        <v>0.24</v>
      </c>
      <c r="J19" s="15">
        <v>0.29070000000000001</v>
      </c>
      <c r="K19" s="15">
        <v>0.27900000000000003</v>
      </c>
      <c r="L19" s="15">
        <v>0.186</v>
      </c>
      <c r="M19" s="15">
        <v>0.17349999999999999</v>
      </c>
      <c r="N19" s="15">
        <v>0.3085</v>
      </c>
      <c r="O19" s="6" t="s">
        <v>44</v>
      </c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</row>
    <row r="20" spans="1:81" s="4" customFormat="1" ht="20" x14ac:dyDescent="0.35">
      <c r="A20" s="13" t="s">
        <v>45</v>
      </c>
      <c r="B20" s="5">
        <f t="shared" si="0"/>
        <v>2.03728</v>
      </c>
      <c r="C20" s="15">
        <v>0.17657</v>
      </c>
      <c r="D20" s="15">
        <v>0.14842</v>
      </c>
      <c r="E20" s="15">
        <v>0.18346999999999999</v>
      </c>
      <c r="F20" s="15">
        <v>0.18850999999999998</v>
      </c>
      <c r="G20" s="15">
        <v>0.18777000000000002</v>
      </c>
      <c r="H20" s="15">
        <v>0.1895</v>
      </c>
      <c r="I20" s="15">
        <v>0.15058000000000002</v>
      </c>
      <c r="J20" s="15">
        <v>0.14665999999999998</v>
      </c>
      <c r="K20" s="15">
        <v>0.21674000000000002</v>
      </c>
      <c r="L20" s="15">
        <v>0.18578999999999998</v>
      </c>
      <c r="M20" s="15">
        <v>0.14868999999999999</v>
      </c>
      <c r="N20" s="15">
        <v>0.11458</v>
      </c>
      <c r="O20" s="6" t="s">
        <v>46</v>
      </c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</row>
    <row r="21" spans="1:81" s="4" customFormat="1" ht="20" x14ac:dyDescent="0.35">
      <c r="A21" s="13" t="s">
        <v>47</v>
      </c>
      <c r="B21" s="5">
        <f t="shared" si="0"/>
        <v>1.016</v>
      </c>
      <c r="C21" s="15">
        <v>6.9000000000000006E-2</v>
      </c>
      <c r="D21" s="15">
        <v>5.3999999999999999E-2</v>
      </c>
      <c r="E21" s="15">
        <v>0.121</v>
      </c>
      <c r="F21" s="15">
        <v>9.0999999999999998E-2</v>
      </c>
      <c r="G21" s="15">
        <v>7.8E-2</v>
      </c>
      <c r="H21" s="15">
        <v>6.3E-2</v>
      </c>
      <c r="I21" s="15">
        <v>3.1E-2</v>
      </c>
      <c r="J21" s="15">
        <v>0.13</v>
      </c>
      <c r="K21" s="15">
        <v>7.1999999999999995E-2</v>
      </c>
      <c r="L21" s="15">
        <v>9.6000000000000002E-2</v>
      </c>
      <c r="M21" s="15">
        <v>0.109</v>
      </c>
      <c r="N21" s="15">
        <v>0.10199999999999999</v>
      </c>
      <c r="O21" s="6" t="s">
        <v>48</v>
      </c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</row>
    <row r="22" spans="1:81" s="4" customFormat="1" ht="20" x14ac:dyDescent="0.35">
      <c r="A22" s="13" t="s">
        <v>49</v>
      </c>
      <c r="B22" s="5">
        <f t="shared" si="0"/>
        <v>1.323</v>
      </c>
      <c r="C22" s="15">
        <v>0.107</v>
      </c>
      <c r="D22" s="15">
        <v>0.125</v>
      </c>
      <c r="E22" s="15">
        <v>7.6999999999999999E-2</v>
      </c>
      <c r="F22" s="15">
        <v>0.155</v>
      </c>
      <c r="G22" s="15">
        <v>0.1</v>
      </c>
      <c r="H22" s="15">
        <v>0.1</v>
      </c>
      <c r="I22" s="15">
        <v>0.11700000000000001</v>
      </c>
      <c r="J22" s="15">
        <v>0.10199999999999999</v>
      </c>
      <c r="K22" s="15">
        <v>0.107</v>
      </c>
      <c r="L22" s="15">
        <v>0.14000000000000001</v>
      </c>
      <c r="M22" s="15">
        <v>7.9000000000000001E-2</v>
      </c>
      <c r="N22" s="15">
        <v>0.114</v>
      </c>
      <c r="O22" s="6" t="s">
        <v>50</v>
      </c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</row>
    <row r="23" spans="1:81" s="4" customFormat="1" ht="20" x14ac:dyDescent="0.35">
      <c r="A23" s="13" t="s">
        <v>51</v>
      </c>
      <c r="B23" s="5">
        <f t="shared" si="0"/>
        <v>1.2909999999999999</v>
      </c>
      <c r="C23" s="15">
        <v>0.151</v>
      </c>
      <c r="D23" s="15">
        <v>0.105</v>
      </c>
      <c r="E23" s="15">
        <v>0.14599999999999999</v>
      </c>
      <c r="F23" s="15">
        <v>0.1</v>
      </c>
      <c r="G23" s="15">
        <v>0.121</v>
      </c>
      <c r="H23" s="15">
        <v>8.5000000000000006E-2</v>
      </c>
      <c r="I23" s="15">
        <v>0.10199999999999999</v>
      </c>
      <c r="J23" s="15">
        <v>7.5999999999999998E-2</v>
      </c>
      <c r="K23" s="15">
        <v>9.7000000000000003E-2</v>
      </c>
      <c r="L23" s="15">
        <v>0.14299999999999999</v>
      </c>
      <c r="M23" s="15">
        <v>7.3999999999999996E-2</v>
      </c>
      <c r="N23" s="15">
        <v>9.0999999999999998E-2</v>
      </c>
      <c r="O23" s="6" t="s">
        <v>52</v>
      </c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</row>
    <row r="24" spans="1:81" s="4" customFormat="1" ht="20" x14ac:dyDescent="0.35">
      <c r="A24" s="13" t="s">
        <v>53</v>
      </c>
      <c r="B24" s="5">
        <f t="shared" si="0"/>
        <v>2.0680000000000001</v>
      </c>
      <c r="C24" s="15">
        <v>0.28199999999999997</v>
      </c>
      <c r="D24" s="15">
        <v>0.17799999999999999</v>
      </c>
      <c r="E24" s="15">
        <v>0.20799999999999999</v>
      </c>
      <c r="F24" s="15">
        <v>0.28299999999999997</v>
      </c>
      <c r="G24" s="15">
        <v>0.151</v>
      </c>
      <c r="H24" s="15">
        <v>0.153</v>
      </c>
      <c r="I24" s="15">
        <v>0.08</v>
      </c>
      <c r="J24" s="15">
        <v>0.11600000000000001</v>
      </c>
      <c r="K24" s="15">
        <v>0.184</v>
      </c>
      <c r="L24" s="15">
        <v>0.13</v>
      </c>
      <c r="M24" s="15">
        <v>0.214</v>
      </c>
      <c r="N24" s="15">
        <v>8.8999999999999996E-2</v>
      </c>
      <c r="O24" s="6" t="s">
        <v>54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</row>
    <row r="25" spans="1:81" s="4" customFormat="1" ht="20" x14ac:dyDescent="0.35">
      <c r="A25" s="13" t="s">
        <v>55</v>
      </c>
      <c r="B25" s="5">
        <f t="shared" si="0"/>
        <v>3.64</v>
      </c>
      <c r="C25" s="15">
        <v>0.25</v>
      </c>
      <c r="D25" s="15">
        <v>0.34100000000000003</v>
      </c>
      <c r="E25" s="15">
        <v>0.40300000000000002</v>
      </c>
      <c r="F25" s="15">
        <v>0.26</v>
      </c>
      <c r="G25" s="15">
        <v>0.22800000000000001</v>
      </c>
      <c r="H25" s="15">
        <v>0.24199999999999999</v>
      </c>
      <c r="I25" s="15">
        <v>0.30299999999999999</v>
      </c>
      <c r="J25" s="15">
        <v>0.23899999999999999</v>
      </c>
      <c r="K25" s="15">
        <v>0.33900000000000002</v>
      </c>
      <c r="L25" s="15">
        <v>0.35399999999999998</v>
      </c>
      <c r="M25" s="15">
        <v>0.27700000000000002</v>
      </c>
      <c r="N25" s="15">
        <v>0.40400000000000003</v>
      </c>
      <c r="O25" s="6" t="s">
        <v>56</v>
      </c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</row>
    <row r="26" spans="1:81" s="4" customFormat="1" ht="20" x14ac:dyDescent="0.35">
      <c r="A26" s="13" t="s">
        <v>57</v>
      </c>
      <c r="B26" s="5">
        <f t="shared" si="0"/>
        <v>3.8309999999999995</v>
      </c>
      <c r="C26" s="15">
        <v>0.35499999999999998</v>
      </c>
      <c r="D26" s="15">
        <v>0.40500000000000003</v>
      </c>
      <c r="E26" s="15">
        <v>0.11</v>
      </c>
      <c r="F26" s="15">
        <v>0.42</v>
      </c>
      <c r="G26" s="15">
        <v>0.41</v>
      </c>
      <c r="H26" s="15">
        <v>0.49</v>
      </c>
      <c r="I26" s="15">
        <v>0.255</v>
      </c>
      <c r="J26" s="15">
        <v>0.27500000000000002</v>
      </c>
      <c r="K26" s="15">
        <v>0.26</v>
      </c>
      <c r="L26" s="15">
        <v>0.23599999999999999</v>
      </c>
      <c r="M26" s="15">
        <v>0.35499999999999998</v>
      </c>
      <c r="N26" s="15">
        <v>0.26</v>
      </c>
      <c r="O26" s="6" t="s">
        <v>58</v>
      </c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</row>
    <row r="27" spans="1:81" s="4" customFormat="1" ht="20" x14ac:dyDescent="0.35">
      <c r="A27" s="13" t="s">
        <v>59</v>
      </c>
      <c r="B27" s="5">
        <f t="shared" si="0"/>
        <v>1.575</v>
      </c>
      <c r="C27" s="15">
        <v>0.155</v>
      </c>
      <c r="D27" s="15">
        <v>0.1</v>
      </c>
      <c r="E27" s="15">
        <v>0.128</v>
      </c>
      <c r="F27" s="15">
        <v>0.09</v>
      </c>
      <c r="G27" s="15">
        <v>0.155</v>
      </c>
      <c r="H27" s="15">
        <v>0.14499999999999999</v>
      </c>
      <c r="I27" s="15">
        <v>0.115</v>
      </c>
      <c r="J27" s="15">
        <v>0.152</v>
      </c>
      <c r="K27" s="15">
        <v>0.16500000000000001</v>
      </c>
      <c r="L27" s="15">
        <v>7.4999999999999997E-2</v>
      </c>
      <c r="M27" s="15">
        <v>0.125</v>
      </c>
      <c r="N27" s="15">
        <v>0.17</v>
      </c>
      <c r="O27" s="6" t="s">
        <v>60</v>
      </c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</row>
    <row r="28" spans="1:81" s="4" customFormat="1" ht="20" x14ac:dyDescent="0.35">
      <c r="A28" s="13" t="s">
        <v>61</v>
      </c>
      <c r="B28" s="5">
        <f t="shared" si="0"/>
        <v>0.92499999999999971</v>
      </c>
      <c r="C28" s="15">
        <v>0.06</v>
      </c>
      <c r="D28" s="15">
        <v>6.4000000000000001E-2</v>
      </c>
      <c r="E28" s="15">
        <v>0.09</v>
      </c>
      <c r="F28" s="15">
        <v>5.2999999999999999E-2</v>
      </c>
      <c r="G28" s="15">
        <v>0.106</v>
      </c>
      <c r="H28" s="15">
        <v>8.7999999999999995E-2</v>
      </c>
      <c r="I28" s="15">
        <v>0.06</v>
      </c>
      <c r="J28" s="15">
        <v>7.3999999999999996E-2</v>
      </c>
      <c r="K28" s="15">
        <v>8.1000000000000003E-2</v>
      </c>
      <c r="L28" s="15">
        <v>8.3000000000000004E-2</v>
      </c>
      <c r="M28" s="15">
        <v>9.5000000000000001E-2</v>
      </c>
      <c r="N28" s="15">
        <v>7.0999999999999994E-2</v>
      </c>
      <c r="O28" s="6" t="s">
        <v>62</v>
      </c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</row>
    <row r="29" spans="1:81" s="4" customFormat="1" ht="20" x14ac:dyDescent="0.35">
      <c r="A29" s="13" t="s">
        <v>63</v>
      </c>
      <c r="B29" s="5">
        <f t="shared" si="0"/>
        <v>1.8559999999999999</v>
      </c>
      <c r="C29" s="15">
        <v>6.7000000000000004E-2</v>
      </c>
      <c r="D29" s="15">
        <v>0.20699999999999999</v>
      </c>
      <c r="E29" s="15">
        <v>0.17699999999999999</v>
      </c>
      <c r="F29" s="15">
        <v>0.183</v>
      </c>
      <c r="G29" s="15">
        <v>0.10299999999999999</v>
      </c>
      <c r="H29" s="15">
        <v>0.12</v>
      </c>
      <c r="I29" s="15">
        <v>0.11</v>
      </c>
      <c r="J29" s="15">
        <v>0.108</v>
      </c>
      <c r="K29" s="15">
        <v>0.23400000000000001</v>
      </c>
      <c r="L29" s="15">
        <v>0.13200000000000001</v>
      </c>
      <c r="M29" s="15">
        <v>0.19</v>
      </c>
      <c r="N29" s="15">
        <v>0.22500000000000001</v>
      </c>
      <c r="O29" s="6" t="s">
        <v>64</v>
      </c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</row>
    <row r="30" spans="1:81" s="4" customFormat="1" ht="20" x14ac:dyDescent="0.35">
      <c r="A30" s="13" t="s">
        <v>65</v>
      </c>
      <c r="B30" s="5">
        <f t="shared" si="0"/>
        <v>1.9205000000000001</v>
      </c>
      <c r="C30" s="15">
        <v>0.2205</v>
      </c>
      <c r="D30" s="15">
        <v>0.17799999999999999</v>
      </c>
      <c r="E30" s="15">
        <v>0.17399999999999999</v>
      </c>
      <c r="F30" s="15">
        <v>0.14499999999999999</v>
      </c>
      <c r="G30" s="15">
        <v>0.13100000000000001</v>
      </c>
      <c r="H30" s="15">
        <v>0.193</v>
      </c>
      <c r="I30" s="15">
        <v>0.1105</v>
      </c>
      <c r="J30" s="15">
        <v>0.1515</v>
      </c>
      <c r="K30" s="15">
        <v>0.13225000000000001</v>
      </c>
      <c r="L30" s="15">
        <v>0.16375000000000001</v>
      </c>
      <c r="M30" s="15">
        <v>0.15275</v>
      </c>
      <c r="N30" s="15">
        <v>0.16825000000000001</v>
      </c>
      <c r="O30" s="6" t="s">
        <v>66</v>
      </c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</row>
    <row r="31" spans="1:81" s="4" customFormat="1" ht="20" x14ac:dyDescent="0.35">
      <c r="A31" s="13" t="s">
        <v>86</v>
      </c>
      <c r="B31" s="5">
        <f t="shared" si="0"/>
        <v>7.2759999999999998</v>
      </c>
      <c r="C31" s="15">
        <v>0.54100000000000004</v>
      </c>
      <c r="D31" s="15">
        <v>0.27</v>
      </c>
      <c r="E31" s="15">
        <v>0.56499999999999995</v>
      </c>
      <c r="F31" s="15">
        <v>1.028</v>
      </c>
      <c r="G31" s="15">
        <v>0.66</v>
      </c>
      <c r="H31" s="15">
        <v>0.49399999999999999</v>
      </c>
      <c r="I31" s="15">
        <v>0.69099999999999995</v>
      </c>
      <c r="J31" s="15">
        <v>0.629</v>
      </c>
      <c r="K31" s="15">
        <v>0.66700000000000004</v>
      </c>
      <c r="L31" s="15">
        <v>0.42899999999999999</v>
      </c>
      <c r="M31" s="15">
        <v>0.622</v>
      </c>
      <c r="N31" s="15">
        <v>0.68</v>
      </c>
      <c r="O31" s="6" t="s">
        <v>67</v>
      </c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</row>
    <row r="32" spans="1:81" s="4" customFormat="1" ht="20" x14ac:dyDescent="0.35">
      <c r="A32" s="13" t="s">
        <v>68</v>
      </c>
      <c r="B32" s="5">
        <f t="shared" si="0"/>
        <v>1.1714999999999998</v>
      </c>
      <c r="C32" s="15">
        <v>0.13700000000000001</v>
      </c>
      <c r="D32" s="15">
        <v>0.09</v>
      </c>
      <c r="E32" s="15">
        <v>0.123</v>
      </c>
      <c r="F32" s="15">
        <v>0.114</v>
      </c>
      <c r="G32" s="15">
        <v>0.09</v>
      </c>
      <c r="H32" s="15">
        <v>9.1999999999999998E-2</v>
      </c>
      <c r="I32" s="15">
        <v>0.1145</v>
      </c>
      <c r="J32" s="15">
        <v>5.8999999999999997E-2</v>
      </c>
      <c r="K32" s="15">
        <v>8.5000000000000006E-2</v>
      </c>
      <c r="L32" s="15">
        <v>8.6999999999999994E-2</v>
      </c>
      <c r="M32" s="15">
        <v>0.1195</v>
      </c>
      <c r="N32" s="15">
        <v>6.0499999999999998E-2</v>
      </c>
      <c r="O32" s="6" t="s">
        <v>69</v>
      </c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</row>
    <row r="33" spans="1:81" s="4" customFormat="1" ht="20" x14ac:dyDescent="0.35">
      <c r="A33" s="13" t="s">
        <v>70</v>
      </c>
      <c r="B33" s="5">
        <f t="shared" si="0"/>
        <v>0.47100000000000009</v>
      </c>
      <c r="C33" s="15">
        <v>5.1999999999999998E-2</v>
      </c>
      <c r="D33" s="15">
        <v>4.2999999999999997E-2</v>
      </c>
      <c r="E33" s="15">
        <v>1.4E-2</v>
      </c>
      <c r="F33" s="15">
        <v>5.3999999999999999E-2</v>
      </c>
      <c r="G33" s="15">
        <v>6.3E-2</v>
      </c>
      <c r="H33" s="15">
        <v>2.1000000000000001E-2</v>
      </c>
      <c r="I33" s="15">
        <v>3.4000000000000002E-2</v>
      </c>
      <c r="J33" s="15">
        <v>3.4000000000000002E-2</v>
      </c>
      <c r="K33" s="15">
        <v>3.5999999999999997E-2</v>
      </c>
      <c r="L33" s="15">
        <v>5.8000000000000003E-2</v>
      </c>
      <c r="M33" s="15">
        <v>3.1E-2</v>
      </c>
      <c r="N33" s="15">
        <v>3.1E-2</v>
      </c>
      <c r="O33" s="6" t="s">
        <v>71</v>
      </c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</row>
    <row r="34" spans="1:81" s="4" customFormat="1" ht="20" x14ac:dyDescent="0.35">
      <c r="A34" s="13" t="s">
        <v>72</v>
      </c>
      <c r="B34" s="5">
        <f t="shared" si="0"/>
        <v>0.70799999999999996</v>
      </c>
      <c r="C34" s="15">
        <v>8.5000000000000006E-2</v>
      </c>
      <c r="D34" s="15">
        <v>5.2999999999999999E-2</v>
      </c>
      <c r="E34" s="15">
        <v>0.04</v>
      </c>
      <c r="F34" s="15">
        <v>0.04</v>
      </c>
      <c r="G34" s="15">
        <v>4.4999999999999998E-2</v>
      </c>
      <c r="H34" s="15">
        <v>0.08</v>
      </c>
      <c r="I34" s="15">
        <v>0.05</v>
      </c>
      <c r="J34" s="15">
        <v>7.0000000000000007E-2</v>
      </c>
      <c r="K34" s="15">
        <v>0.05</v>
      </c>
      <c r="L34" s="15">
        <v>0.06</v>
      </c>
      <c r="M34" s="15">
        <v>0.06</v>
      </c>
      <c r="N34" s="15">
        <v>7.4999999999999997E-2</v>
      </c>
      <c r="O34" s="6" t="s">
        <v>73</v>
      </c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</row>
    <row r="35" spans="1:81" s="4" customFormat="1" ht="20" x14ac:dyDescent="0.35">
      <c r="A35" s="13" t="s">
        <v>74</v>
      </c>
      <c r="B35" s="5">
        <f t="shared" si="0"/>
        <v>2.3569999999999998</v>
      </c>
      <c r="C35" s="15">
        <v>0.19800000000000001</v>
      </c>
      <c r="D35" s="15">
        <v>0.16600000000000001</v>
      </c>
      <c r="E35" s="15">
        <v>0.20300000000000001</v>
      </c>
      <c r="F35" s="15">
        <v>0.18099999999999999</v>
      </c>
      <c r="G35" s="15">
        <v>0.23799999999999999</v>
      </c>
      <c r="H35" s="15">
        <v>0.188</v>
      </c>
      <c r="I35" s="15">
        <v>0.24</v>
      </c>
      <c r="J35" s="15">
        <v>0.22500000000000001</v>
      </c>
      <c r="K35" s="15">
        <v>0.214</v>
      </c>
      <c r="L35" s="15">
        <v>0.22800000000000001</v>
      </c>
      <c r="M35" s="15">
        <v>0.19400000000000001</v>
      </c>
      <c r="N35" s="15">
        <v>8.2000000000000003E-2</v>
      </c>
      <c r="O35" s="6" t="s">
        <v>75</v>
      </c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</row>
    <row r="36" spans="1:81" s="4" customFormat="1" ht="20" x14ac:dyDescent="0.35">
      <c r="A36" s="13" t="s">
        <v>76</v>
      </c>
      <c r="B36" s="5">
        <f t="shared" si="0"/>
        <v>1.3645</v>
      </c>
      <c r="C36" s="15">
        <v>0.11700000000000001</v>
      </c>
      <c r="D36" s="15">
        <v>0.11</v>
      </c>
      <c r="E36" s="15">
        <v>9.2499999999999999E-2</v>
      </c>
      <c r="F36" s="15">
        <v>0.14699999999999999</v>
      </c>
      <c r="G36" s="15">
        <v>0.15</v>
      </c>
      <c r="H36" s="15">
        <v>0.124</v>
      </c>
      <c r="I36" s="15">
        <v>8.4500000000000006E-2</v>
      </c>
      <c r="J36" s="15">
        <v>0.1245</v>
      </c>
      <c r="K36" s="15">
        <v>8.3500000000000005E-2</v>
      </c>
      <c r="L36" s="15">
        <v>0.1265</v>
      </c>
      <c r="M36" s="15">
        <v>8.6999999999999994E-2</v>
      </c>
      <c r="N36" s="15">
        <v>0.11799999999999999</v>
      </c>
      <c r="O36" s="6" t="s">
        <v>77</v>
      </c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</row>
    <row r="37" spans="1:81" s="4" customFormat="1" ht="20" x14ac:dyDescent="0.35">
      <c r="A37" s="13" t="s">
        <v>78</v>
      </c>
      <c r="B37" s="5">
        <f t="shared" si="0"/>
        <v>1.3085000000000002</v>
      </c>
      <c r="C37" s="15">
        <v>0.11849999999999999</v>
      </c>
      <c r="D37" s="15">
        <v>0.106</v>
      </c>
      <c r="E37" s="15">
        <v>0.16400000000000001</v>
      </c>
      <c r="F37" s="15">
        <v>0.14050000000000001</v>
      </c>
      <c r="G37" s="15">
        <v>0.13100000000000001</v>
      </c>
      <c r="H37" s="15">
        <v>6.4000000000000001E-2</v>
      </c>
      <c r="I37" s="15">
        <v>9.2499999999999999E-2</v>
      </c>
      <c r="J37" s="15">
        <v>0.1245</v>
      </c>
      <c r="K37" s="15">
        <v>7.0999999999999994E-2</v>
      </c>
      <c r="L37" s="15">
        <v>6.4000000000000001E-2</v>
      </c>
      <c r="M37" s="15">
        <v>0.1245</v>
      </c>
      <c r="N37" s="15">
        <v>0.108</v>
      </c>
      <c r="O37" s="6" t="s">
        <v>79</v>
      </c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</row>
    <row r="38" spans="1:81" s="4" customFormat="1" ht="20" x14ac:dyDescent="0.35">
      <c r="A38" s="13" t="s">
        <v>80</v>
      </c>
      <c r="B38" s="5">
        <f t="shared" si="0"/>
        <v>1.028</v>
      </c>
      <c r="C38" s="15">
        <v>0.11700000000000001</v>
      </c>
      <c r="D38" s="15">
        <v>6.8000000000000005E-2</v>
      </c>
      <c r="E38" s="15">
        <v>9.7000000000000003E-2</v>
      </c>
      <c r="F38" s="15">
        <v>7.6999999999999999E-2</v>
      </c>
      <c r="G38" s="15">
        <v>6.7000000000000004E-2</v>
      </c>
      <c r="H38" s="15">
        <v>6.0999999999999999E-2</v>
      </c>
      <c r="I38" s="15">
        <v>8.6999999999999994E-2</v>
      </c>
      <c r="J38" s="15">
        <v>0.129</v>
      </c>
      <c r="K38" s="15">
        <v>7.0999999999999994E-2</v>
      </c>
      <c r="L38" s="15">
        <v>8.5999999999999993E-2</v>
      </c>
      <c r="M38" s="15">
        <v>0.104</v>
      </c>
      <c r="N38" s="15">
        <v>6.4000000000000001E-2</v>
      </c>
      <c r="O38" s="6" t="s">
        <v>81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</row>
    <row r="39" spans="1:81" s="4" customFormat="1" ht="20" x14ac:dyDescent="0.35">
      <c r="A39" s="13" t="s">
        <v>82</v>
      </c>
      <c r="B39" s="5">
        <f t="shared" si="0"/>
        <v>1.9319999999999997</v>
      </c>
      <c r="C39" s="15">
        <v>0.16900000000000001</v>
      </c>
      <c r="D39" s="15">
        <v>0.16</v>
      </c>
      <c r="E39" s="15">
        <v>0.24</v>
      </c>
      <c r="F39" s="15">
        <v>0.14299999999999999</v>
      </c>
      <c r="G39" s="15">
        <v>0.17100000000000001</v>
      </c>
      <c r="H39" s="15">
        <v>0.16900000000000001</v>
      </c>
      <c r="I39" s="15">
        <v>0.11799999999999999</v>
      </c>
      <c r="J39" s="15">
        <v>0.126</v>
      </c>
      <c r="K39" s="15">
        <v>0.19900000000000001</v>
      </c>
      <c r="L39" s="15">
        <v>0.14599999999999999</v>
      </c>
      <c r="M39" s="15">
        <v>0.13300000000000001</v>
      </c>
      <c r="N39" s="15">
        <v>0.158</v>
      </c>
      <c r="O39" s="6" t="s">
        <v>83</v>
      </c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</row>
    <row r="40" spans="1:81" s="4" customFormat="1" ht="20" x14ac:dyDescent="0.35">
      <c r="A40" s="14" t="s">
        <v>84</v>
      </c>
      <c r="B40" s="7">
        <f t="shared" si="0"/>
        <v>0.33000000000000007</v>
      </c>
      <c r="C40" s="16">
        <v>0.01</v>
      </c>
      <c r="D40" s="16">
        <v>5.3999999999999999E-2</v>
      </c>
      <c r="E40" s="16">
        <v>2.5000000000000001E-2</v>
      </c>
      <c r="F40" s="16">
        <v>2.5000000000000001E-2</v>
      </c>
      <c r="G40" s="16">
        <v>2.1999999999999999E-2</v>
      </c>
      <c r="H40" s="16">
        <v>2.7E-2</v>
      </c>
      <c r="I40" s="16">
        <v>3.5999999999999997E-2</v>
      </c>
      <c r="J40" s="16">
        <v>3.5999999999999997E-2</v>
      </c>
      <c r="K40" s="16">
        <v>2.4E-2</v>
      </c>
      <c r="L40" s="16">
        <v>2.3E-2</v>
      </c>
      <c r="M40" s="16">
        <v>2.5000000000000001E-2</v>
      </c>
      <c r="N40" s="16">
        <v>2.3E-2</v>
      </c>
      <c r="O40" s="22" t="s">
        <v>85</v>
      </c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</row>
    <row r="41" spans="1:81" x14ac:dyDescent="0.35">
      <c r="A41" s="30" t="s">
        <v>1</v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  <c r="O41" s="11" t="s">
        <v>2</v>
      </c>
    </row>
  </sheetData>
  <mergeCells count="3">
    <mergeCell ref="A2:O2"/>
    <mergeCell ref="A3:O3"/>
    <mergeCell ref="A4:O4"/>
  </mergeCells>
  <pageMargins left="0.7" right="0.7" top="0.75" bottom="0.75" header="0.3" footer="0.3"/>
  <pageSetup paperSize="9" scale="57" orientation="portrait" horizontalDpi="4294967295" verticalDpi="4294967295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2023-10-23T21:18:05Z</cp:lastPrinted>
  <dcterms:created xsi:type="dcterms:W3CDTF">2019-05-21T05:57:01Z</dcterms:created>
  <dcterms:modified xsi:type="dcterms:W3CDTF">2023-10-23T21:18:16Z</dcterms:modified>
</cp:coreProperties>
</file>