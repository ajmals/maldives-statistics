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AF75EEC3-9CD4-4473-BD4E-B0F82AD5CEB0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13" sheetId="13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'12.13'!$A$1:$T$23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3" l="1"/>
  <c r="R15" i="13"/>
  <c r="R14" i="13"/>
  <c r="R5" i="13"/>
  <c r="R13" i="13" s="1"/>
  <c r="Q16" i="13"/>
  <c r="Q15" i="13"/>
  <c r="Q14" i="13"/>
  <c r="Q5" i="13"/>
  <c r="R10" i="13" l="1"/>
  <c r="R11" i="13"/>
  <c r="R12" i="13"/>
  <c r="Q10" i="13"/>
  <c r="Q11" i="13"/>
  <c r="Q12" i="13"/>
  <c r="R9" i="13" l="1"/>
  <c r="Q9" i="13"/>
  <c r="P16" i="13" l="1"/>
  <c r="P15" i="13"/>
  <c r="P14" i="13"/>
  <c r="P5" i="13"/>
  <c r="Q13" i="13" s="1"/>
  <c r="P12" i="13" l="1"/>
  <c r="P11" i="13"/>
  <c r="P10" i="13"/>
  <c r="P9" i="13" l="1"/>
  <c r="O16" i="13" l="1"/>
  <c r="O15" i="13"/>
  <c r="O14" i="13"/>
  <c r="O5" i="13"/>
  <c r="O10" i="13" l="1"/>
  <c r="P13" i="13"/>
  <c r="O11" i="13"/>
  <c r="O12" i="13"/>
  <c r="O9" i="13" l="1"/>
  <c r="N16" i="13" l="1"/>
  <c r="M16" i="13"/>
  <c r="L16" i="13"/>
  <c r="K16" i="13"/>
  <c r="J16" i="13"/>
  <c r="I16" i="13"/>
  <c r="H16" i="13"/>
  <c r="G16" i="13"/>
  <c r="F16" i="13"/>
  <c r="E16" i="13"/>
  <c r="D16" i="13"/>
  <c r="N15" i="13"/>
  <c r="M15" i="13"/>
  <c r="L15" i="13"/>
  <c r="K15" i="13"/>
  <c r="J15" i="13"/>
  <c r="I15" i="13"/>
  <c r="H15" i="13"/>
  <c r="G15" i="13"/>
  <c r="F15" i="13"/>
  <c r="E15" i="13"/>
  <c r="D15" i="13"/>
  <c r="N14" i="13"/>
  <c r="M14" i="13"/>
  <c r="L14" i="13"/>
  <c r="K14" i="13"/>
  <c r="J14" i="13"/>
  <c r="I14" i="13"/>
  <c r="H14" i="13"/>
  <c r="G14" i="13"/>
  <c r="F14" i="13"/>
  <c r="E14" i="13"/>
  <c r="D14" i="13"/>
  <c r="L11" i="13"/>
  <c r="N5" i="13"/>
  <c r="M5" i="13"/>
  <c r="M11" i="13" s="1"/>
  <c r="L5" i="13"/>
  <c r="K5" i="13"/>
  <c r="K11" i="13" s="1"/>
  <c r="J5" i="13"/>
  <c r="J12" i="13" s="1"/>
  <c r="I5" i="13"/>
  <c r="H5" i="13"/>
  <c r="H10" i="13" s="1"/>
  <c r="G5" i="13"/>
  <c r="G10" i="13" s="1"/>
  <c r="F5" i="13"/>
  <c r="F10" i="13" s="1"/>
  <c r="E5" i="13"/>
  <c r="E11" i="13" s="1"/>
  <c r="D5" i="13"/>
  <c r="D13" i="13" s="1"/>
  <c r="L13" i="13" l="1"/>
  <c r="D12" i="13"/>
  <c r="N10" i="13"/>
  <c r="O13" i="13"/>
  <c r="D10" i="13"/>
  <c r="J10" i="13"/>
  <c r="J13" i="13"/>
  <c r="K10" i="13"/>
  <c r="E12" i="13"/>
  <c r="F12" i="13"/>
  <c r="G13" i="13"/>
  <c r="L12" i="13"/>
  <c r="L10" i="13"/>
  <c r="L9" i="13" s="1"/>
  <c r="M12" i="13"/>
  <c r="D11" i="13"/>
  <c r="N12" i="13"/>
  <c r="G11" i="13"/>
  <c r="I10" i="13"/>
  <c r="F11" i="13"/>
  <c r="N11" i="13"/>
  <c r="K12" i="13"/>
  <c r="H13" i="13"/>
  <c r="H11" i="13"/>
  <c r="H9" i="13" s="1"/>
  <c r="I11" i="13"/>
  <c r="K13" i="13"/>
  <c r="E10" i="13"/>
  <c r="M10" i="13"/>
  <c r="J11" i="13"/>
  <c r="G12" i="13"/>
  <c r="H12" i="13"/>
  <c r="E13" i="13"/>
  <c r="M13" i="13"/>
  <c r="I13" i="13"/>
  <c r="I12" i="13"/>
  <c r="F13" i="13"/>
  <c r="N13" i="13"/>
  <c r="J9" i="13" l="1"/>
  <c r="F9" i="13"/>
  <c r="K9" i="13"/>
  <c r="G9" i="13"/>
  <c r="D9" i="13"/>
  <c r="E9" i="13"/>
  <c r="N9" i="13"/>
  <c r="M9" i="13"/>
  <c r="I9" i="13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<sst xmlns="http://schemas.openxmlformats.org/spreadsheetml/2006/main" count="30" uniqueCount="18">
  <si>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</si>
  <si>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</si>
  <si>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</si>
  <si>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</si>
  <si>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</si>
  <si>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</si>
  <si>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</si>
  <si>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</si>
  <si>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</si>
  <si>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</si>
  <si>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</si>
  <si>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</si>
  <si>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</si>
  <si>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</si>
  <si>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</si>
  <si>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</si>
  <si>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Table 12.13 : NUMBER OF CUSTOMERS USING WATER IN VILIMALE' BY TYPE, 2010 - 2022</t>
  </si>
  <si>
    <t>ތާވަލު 12.13: ތަނުގެ ގޮތުން ވިލިނގިލީގައި ފެން ބޭނުންކުރާ ފަރާތްތަކުގެ އަދަދު،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</si>
</sst>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sz val="10"/>
      <name val="Garamond"/>
      <family val="1"/>
    </font>
    <font>
      <sz val="10"/>
      <color theme="1"/>
      <name val="A_Faseyha"/>
    </font>
    <font>
      <i/>
      <sz val="11"/>
      <name val="Calibri"/>
      <family val="2"/>
      <scheme val="minor"/>
    </font>
    <font>
      <sz val="11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5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2" applyFill="1"/>
    <xf numFmtId="0" fontId="2" fillId="2" borderId="2" xfId="2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7" fillId="2" borderId="0" xfId="2" applyFont="1" applyFill="1" applyAlignment="1">
      <alignment horizontal="right" vertical="center"/>
    </xf>
    <xf numFmtId="0" fontId="7" fillId="2" borderId="0" xfId="2" applyFont="1" applyFill="1" applyAlignment="1">
      <alignment horizontal="left" vertical="center"/>
    </xf>
    <xf numFmtId="0" fontId="8" fillId="2" borderId="0" xfId="2" applyFont="1" applyFill="1"/>
    <xf numFmtId="3" fontId="7" fillId="2" borderId="0" xfId="2" applyNumberFormat="1" applyFont="1" applyFill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3" fontId="8" fillId="2" borderId="4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0" fontId="9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1" fontId="1" fillId="2" borderId="0" xfId="2" applyNumberFormat="1" applyFill="1"/>
    <xf numFmtId="0" fontId="7" fillId="2" borderId="1" xfId="2" applyFont="1" applyFill="1" applyBorder="1" applyAlignment="1">
      <alignment horizontal="center" vertical="top"/>
    </xf>
    <xf numFmtId="165" fontId="7" fillId="2" borderId="0" xfId="3" applyNumberFormat="1" applyFont="1" applyFill="1" applyAlignment="1">
      <alignment horizontal="right" vertical="center"/>
    </xf>
    <xf numFmtId="0" fontId="10" fillId="2" borderId="0" xfId="2" applyFont="1" applyFill="1"/>
    <xf numFmtId="0" fontId="8" fillId="2" borderId="0" xfId="2" applyFont="1" applyFill="1" applyAlignment="1">
      <alignment vertical="center"/>
    </xf>
    <xf numFmtId="3" fontId="8" fillId="2" borderId="0" xfId="2" applyNumberFormat="1" applyFont="1" applyFill="1" applyAlignment="1">
      <alignment vertical="center"/>
    </xf>
    <xf numFmtId="0" fontId="8" fillId="2" borderId="0" xfId="2" applyFont="1" applyFill="1" applyAlignment="1">
      <alignment horizontal="right" vertical="center"/>
    </xf>
    <xf numFmtId="0" fontId="8" fillId="2" borderId="4" xfId="2" applyFont="1" applyFill="1" applyBorder="1" applyAlignment="1">
      <alignment horizontal="right" vertical="center"/>
    </xf>
    <xf numFmtId="0" fontId="13" fillId="2" borderId="0" xfId="4" applyFont="1" applyFill="1"/>
    <xf numFmtId="0" fontId="14" fillId="2" borderId="0" xfId="4" applyFont="1" applyFill="1" applyAlignment="1">
      <alignment horizontal="right"/>
    </xf>
    <xf numFmtId="0" fontId="12" fillId="2" borderId="0" xfId="4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indent="1"/>
    </xf>
    <xf numFmtId="0" fontId="5" fillId="2" borderId="4" xfId="0" applyFont="1" applyFill="1" applyBorder="1" applyAlignment="1">
      <alignment horizontal="right" vertical="center" indent="1"/>
    </xf>
    <xf numFmtId="0" fontId="5" fillId="2" borderId="3" xfId="0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horizontal="right" vertical="center" indent="1"/>
    </xf>
    <xf numFmtId="0" fontId="8" fillId="2" borderId="0" xfId="2" applyFont="1" applyFill="1" applyAlignment="1">
      <alignment horizontal="left" vertical="center" indent="1"/>
    </xf>
    <xf numFmtId="0" fontId="8" fillId="2" borderId="1" xfId="2" applyFont="1" applyFill="1" applyBorder="1" applyAlignment="1">
      <alignment horizontal="left" vertical="center" indent="1"/>
    </xf>
    <xf numFmtId="3" fontId="4" fillId="2" borderId="0" xfId="2" applyNumberFormat="1" applyFont="1" applyFill="1" applyAlignment="1">
      <alignment vertical="center"/>
    </xf>
    <xf numFmtId="0" fontId="4" fillId="2" borderId="0" xfId="2" applyFont="1" applyFill="1" applyAlignment="1">
      <alignment horizontal="right" vertical="center"/>
    </xf>
    <xf numFmtId="0" fontId="4" fillId="2" borderId="4" xfId="2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top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W23"/>
  <sheetViews>
    <sheetView tabSelected="1" zoomScaleNormal="100" workbookViewId="0">
      <selection activeCell="K7" sqref="K7"/>
    </sheetView>
  </sheetViews>
  <sheetFormatPr defaultColWidth="9.1796875" defaultRowHeight="12.5" x14ac:dyDescent="0.25"/>
  <cols>
    <col min="1" max="1" width="19.54296875" style="1" customWidth="1"/>
    <col min="2" max="4" width="9.26953125" style="1" hidden="1" customWidth="1"/>
    <col min="5" max="5" width="9.453125" style="1" hidden="1" customWidth="1"/>
    <col min="6" max="6" width="9.26953125" style="1" bestFit="1" customWidth="1"/>
    <col min="7" max="7" width="9.81640625" style="1" bestFit="1" customWidth="1"/>
    <col min="8" max="18" width="9.7265625" style="1" bestFit="1" customWidth="1"/>
    <col min="19" max="19" width="33.453125" style="1" customWidth="1"/>
    <col min="20" max="20" width="4.54296875" style="1" customWidth="1"/>
    <col min="21" max="16384" width="9.1796875" style="1"/>
  </cols>
  <sheetData>
    <row r="1" spans="1:23" ht="20" x14ac:dyDescent="0.25">
      <c r="A1" s="35" t="s">
        <v>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12"/>
      <c r="U1" s="12"/>
      <c r="V1" s="12"/>
      <c r="W1" s="12"/>
    </row>
    <row r="2" spans="1:23" s="13" customFormat="1" ht="18.75" customHeight="1" x14ac:dyDescent="0.35">
      <c r="A2" s="36" t="s">
        <v>16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23" s="13" customFormat="1" ht="18.75" customHeight="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23" ht="15.5" x14ac:dyDescent="0.25">
      <c r="A4" s="14" t="s">
        <v>4</v>
      </c>
      <c r="B4" s="2">
        <v>2006</v>
      </c>
      <c r="C4" s="2">
        <v>2007</v>
      </c>
      <c r="D4" s="2">
        <v>2008</v>
      </c>
      <c r="E4" s="2">
        <v>2009</v>
      </c>
      <c r="F4" s="2">
        <v>2010</v>
      </c>
      <c r="G4" s="2">
        <v>2011</v>
      </c>
      <c r="H4" s="2">
        <v>2012</v>
      </c>
      <c r="I4" s="2">
        <v>2013</v>
      </c>
      <c r="J4" s="2">
        <v>2014</v>
      </c>
      <c r="K4" s="2">
        <v>2015</v>
      </c>
      <c r="L4" s="2">
        <v>2016</v>
      </c>
      <c r="M4" s="2">
        <v>2017</v>
      </c>
      <c r="N4" s="2">
        <v>2018</v>
      </c>
      <c r="O4" s="2">
        <v>2019</v>
      </c>
      <c r="P4" s="2">
        <v>2020</v>
      </c>
      <c r="Q4" s="2">
        <v>2021</v>
      </c>
      <c r="R4" s="2">
        <v>2022</v>
      </c>
      <c r="S4" s="3" t="s">
        <v>3</v>
      </c>
    </row>
    <row r="5" spans="1:23" s="18" customFormat="1" ht="20.25" customHeight="1" x14ac:dyDescent="0.3">
      <c r="A5" s="6" t="s">
        <v>13</v>
      </c>
      <c r="B5" s="8">
        <v>902</v>
      </c>
      <c r="C5" s="8">
        <v>979</v>
      </c>
      <c r="D5" s="8">
        <f t="shared" ref="D5:I5" si="0">SUM(D6:D8)</f>
        <v>1040</v>
      </c>
      <c r="E5" s="17">
        <f t="shared" si="0"/>
        <v>1139</v>
      </c>
      <c r="F5" s="8">
        <f>SUM(F6:F8)</f>
        <v>1197</v>
      </c>
      <c r="G5" s="8">
        <f t="shared" si="0"/>
        <v>1300</v>
      </c>
      <c r="H5" s="8">
        <f t="shared" si="0"/>
        <v>1365</v>
      </c>
      <c r="I5" s="8">
        <f t="shared" si="0"/>
        <v>1432</v>
      </c>
      <c r="J5" s="8">
        <f t="shared" ref="J5:R5" si="1">SUM(J6:J8)</f>
        <v>1475</v>
      </c>
      <c r="K5" s="8">
        <f t="shared" si="1"/>
        <v>1547</v>
      </c>
      <c r="L5" s="8">
        <f t="shared" si="1"/>
        <v>1634</v>
      </c>
      <c r="M5" s="8">
        <f t="shared" si="1"/>
        <v>1736</v>
      </c>
      <c r="N5" s="8">
        <f t="shared" si="1"/>
        <v>1786</v>
      </c>
      <c r="O5" s="8">
        <f t="shared" si="1"/>
        <v>1889</v>
      </c>
      <c r="P5" s="8">
        <f t="shared" si="1"/>
        <v>1994</v>
      </c>
      <c r="Q5" s="8">
        <f t="shared" si="1"/>
        <v>2011</v>
      </c>
      <c r="R5" s="8">
        <f t="shared" si="1"/>
        <v>2035</v>
      </c>
      <c r="S5" s="4" t="s">
        <v>15</v>
      </c>
    </row>
    <row r="6" spans="1:23" s="18" customFormat="1" ht="20.25" customHeight="1" x14ac:dyDescent="0.3">
      <c r="A6" s="30" t="s">
        <v>5</v>
      </c>
      <c r="B6" s="9">
        <v>818</v>
      </c>
      <c r="C6" s="19">
        <v>885</v>
      </c>
      <c r="D6" s="20">
        <v>943</v>
      </c>
      <c r="E6" s="20">
        <v>1037</v>
      </c>
      <c r="F6" s="20">
        <v>1103</v>
      </c>
      <c r="G6" s="20">
        <v>1185</v>
      </c>
      <c r="H6" s="20">
        <v>1241</v>
      </c>
      <c r="I6" s="20">
        <v>1297</v>
      </c>
      <c r="J6" s="20">
        <v>1339</v>
      </c>
      <c r="K6" s="20">
        <v>1396</v>
      </c>
      <c r="L6" s="20">
        <v>1470</v>
      </c>
      <c r="M6" s="20">
        <v>1554</v>
      </c>
      <c r="N6" s="20">
        <v>1594</v>
      </c>
      <c r="O6" s="32">
        <v>1689</v>
      </c>
      <c r="P6" s="32">
        <v>1770</v>
      </c>
      <c r="Q6" s="32">
        <v>1785</v>
      </c>
      <c r="R6" s="32">
        <v>1795</v>
      </c>
      <c r="S6" s="26" t="s">
        <v>6</v>
      </c>
    </row>
    <row r="7" spans="1:23" s="18" customFormat="1" ht="20.25" customHeight="1" x14ac:dyDescent="0.3">
      <c r="A7" s="30" t="s">
        <v>7</v>
      </c>
      <c r="B7" s="9">
        <v>62</v>
      </c>
      <c r="C7" s="21">
        <v>65</v>
      </c>
      <c r="D7" s="9">
        <v>66</v>
      </c>
      <c r="E7" s="21">
        <v>68</v>
      </c>
      <c r="F7" s="21">
        <v>57</v>
      </c>
      <c r="G7" s="21">
        <v>73</v>
      </c>
      <c r="H7" s="21">
        <v>72</v>
      </c>
      <c r="I7" s="21">
        <v>70</v>
      </c>
      <c r="J7" s="21">
        <v>68</v>
      </c>
      <c r="K7" s="21">
        <v>69</v>
      </c>
      <c r="L7" s="21">
        <v>69</v>
      </c>
      <c r="M7" s="21">
        <v>69</v>
      </c>
      <c r="N7" s="21">
        <v>68</v>
      </c>
      <c r="O7" s="33">
        <v>64</v>
      </c>
      <c r="P7" s="33">
        <v>80</v>
      </c>
      <c r="Q7" s="33">
        <v>81</v>
      </c>
      <c r="R7" s="33">
        <v>84</v>
      </c>
      <c r="S7" s="26" t="s">
        <v>8</v>
      </c>
    </row>
    <row r="8" spans="1:23" s="18" customFormat="1" ht="20.25" customHeight="1" x14ac:dyDescent="0.3">
      <c r="A8" s="31" t="s">
        <v>9</v>
      </c>
      <c r="B8" s="10">
        <v>22</v>
      </c>
      <c r="C8" s="22">
        <v>29</v>
      </c>
      <c r="D8" s="10">
        <v>31</v>
      </c>
      <c r="E8" s="22">
        <v>34</v>
      </c>
      <c r="F8" s="22">
        <v>37</v>
      </c>
      <c r="G8" s="22">
        <v>42</v>
      </c>
      <c r="H8" s="22">
        <v>52</v>
      </c>
      <c r="I8" s="22">
        <v>65</v>
      </c>
      <c r="J8" s="22">
        <v>68</v>
      </c>
      <c r="K8" s="22">
        <v>82</v>
      </c>
      <c r="L8" s="22">
        <v>95</v>
      </c>
      <c r="M8" s="22">
        <v>113</v>
      </c>
      <c r="N8" s="22">
        <v>124</v>
      </c>
      <c r="O8" s="34">
        <v>136</v>
      </c>
      <c r="P8" s="34">
        <v>144</v>
      </c>
      <c r="Q8" s="34">
        <v>145</v>
      </c>
      <c r="R8" s="34">
        <v>156</v>
      </c>
      <c r="S8" s="27" t="s">
        <v>10</v>
      </c>
    </row>
    <row r="9" spans="1:23" s="18" customFormat="1" ht="20.25" customHeight="1" x14ac:dyDescent="0.3">
      <c r="A9" s="6" t="s">
        <v>14</v>
      </c>
      <c r="B9" s="8">
        <v>100</v>
      </c>
      <c r="C9" s="8">
        <v>100</v>
      </c>
      <c r="D9" s="8">
        <f t="shared" ref="D9:N9" si="2">SUM(D10:D12)</f>
        <v>99.999999999999986</v>
      </c>
      <c r="E9" s="5">
        <f t="shared" si="2"/>
        <v>100</v>
      </c>
      <c r="F9" s="8">
        <f t="shared" si="2"/>
        <v>100</v>
      </c>
      <c r="G9" s="8">
        <f t="shared" si="2"/>
        <v>99.999999999999986</v>
      </c>
      <c r="H9" s="8">
        <f t="shared" si="2"/>
        <v>100</v>
      </c>
      <c r="I9" s="8">
        <f t="shared" si="2"/>
        <v>100.00000000000001</v>
      </c>
      <c r="J9" s="8">
        <f t="shared" si="2"/>
        <v>100</v>
      </c>
      <c r="K9" s="8">
        <f t="shared" si="2"/>
        <v>100</v>
      </c>
      <c r="L9" s="8">
        <f t="shared" si="2"/>
        <v>100</v>
      </c>
      <c r="M9" s="8">
        <f t="shared" si="2"/>
        <v>100</v>
      </c>
      <c r="N9" s="8">
        <f t="shared" si="2"/>
        <v>100.00000000000001</v>
      </c>
      <c r="O9" s="8">
        <f>SUM(O10:O12)</f>
        <v>100</v>
      </c>
      <c r="P9" s="8">
        <f>SUM(P10:P12)</f>
        <v>100</v>
      </c>
      <c r="Q9" s="8">
        <f>SUM(Q10:Q12)</f>
        <v>100</v>
      </c>
      <c r="R9" s="8">
        <f>SUM(R10:R12)</f>
        <v>100</v>
      </c>
      <c r="S9" s="4" t="s">
        <v>0</v>
      </c>
    </row>
    <row r="10" spans="1:23" s="18" customFormat="1" ht="20.25" customHeight="1" x14ac:dyDescent="0.3">
      <c r="A10" s="30" t="s">
        <v>5</v>
      </c>
      <c r="B10" s="9">
        <v>90.687361419068736</v>
      </c>
      <c r="C10" s="9">
        <v>90.398365679264558</v>
      </c>
      <c r="D10" s="9">
        <f t="shared" ref="D10:N10" si="3">D6/D5*100</f>
        <v>90.67307692307692</v>
      </c>
      <c r="E10" s="9">
        <f t="shared" si="3"/>
        <v>91.044776119402982</v>
      </c>
      <c r="F10" s="9">
        <f t="shared" si="3"/>
        <v>92.147034252297416</v>
      </c>
      <c r="G10" s="9">
        <f t="shared" si="3"/>
        <v>91.153846153846146</v>
      </c>
      <c r="H10" s="9">
        <f t="shared" si="3"/>
        <v>90.91575091575092</v>
      </c>
      <c r="I10" s="9">
        <f t="shared" si="3"/>
        <v>90.572625698324032</v>
      </c>
      <c r="J10" s="9">
        <f t="shared" si="3"/>
        <v>90.779661016949149</v>
      </c>
      <c r="K10" s="9">
        <f t="shared" si="3"/>
        <v>90.239172592113775</v>
      </c>
      <c r="L10" s="9">
        <f t="shared" si="3"/>
        <v>89.963280293757649</v>
      </c>
      <c r="M10" s="9">
        <f t="shared" si="3"/>
        <v>89.516129032258064</v>
      </c>
      <c r="N10" s="9">
        <f t="shared" si="3"/>
        <v>89.249720044792838</v>
      </c>
      <c r="O10" s="9">
        <f>O6/O5*100</f>
        <v>89.41238750661725</v>
      </c>
      <c r="P10" s="9">
        <f>P6/P5*100</f>
        <v>88.76629889669006</v>
      </c>
      <c r="Q10" s="9">
        <f>Q6/Q5*100</f>
        <v>88.761810044753858</v>
      </c>
      <c r="R10" s="9">
        <f>R6/R5*100</f>
        <v>88.206388206388212</v>
      </c>
      <c r="S10" s="26" t="s">
        <v>6</v>
      </c>
    </row>
    <row r="11" spans="1:23" s="18" customFormat="1" ht="20.25" customHeight="1" x14ac:dyDescent="0.3">
      <c r="A11" s="30" t="s">
        <v>7</v>
      </c>
      <c r="B11" s="9">
        <v>6.8736141906873618</v>
      </c>
      <c r="C11" s="9">
        <v>6.6394279877425948</v>
      </c>
      <c r="D11" s="9">
        <f t="shared" ref="D11:N11" si="4">D7/D5*100</f>
        <v>6.3461538461538458</v>
      </c>
      <c r="E11" s="9">
        <f t="shared" si="4"/>
        <v>5.9701492537313428</v>
      </c>
      <c r="F11" s="9">
        <f t="shared" si="4"/>
        <v>4.7619047619047619</v>
      </c>
      <c r="G11" s="9">
        <f t="shared" si="4"/>
        <v>5.615384615384615</v>
      </c>
      <c r="H11" s="9">
        <f t="shared" si="4"/>
        <v>5.2747252747252746</v>
      </c>
      <c r="I11" s="9">
        <f t="shared" si="4"/>
        <v>4.8882681564245809</v>
      </c>
      <c r="J11" s="9">
        <f t="shared" si="4"/>
        <v>4.6101694915254239</v>
      </c>
      <c r="K11" s="9">
        <f t="shared" si="4"/>
        <v>4.4602456367162251</v>
      </c>
      <c r="L11" s="9">
        <f t="shared" si="4"/>
        <v>4.222766217870257</v>
      </c>
      <c r="M11" s="9">
        <f t="shared" si="4"/>
        <v>3.9746543778801846</v>
      </c>
      <c r="N11" s="9">
        <f t="shared" si="4"/>
        <v>3.807390817469205</v>
      </c>
      <c r="O11" s="9">
        <f>O7/O5*100</f>
        <v>3.3880359978824779</v>
      </c>
      <c r="P11" s="9">
        <f>P7/P5*100</f>
        <v>4.0120361083249749</v>
      </c>
      <c r="Q11" s="9">
        <f>Q7/Q5*100</f>
        <v>4.0278468423669818</v>
      </c>
      <c r="R11" s="9">
        <f>R7/R5*100</f>
        <v>4.1277641277641273</v>
      </c>
      <c r="S11" s="26" t="s">
        <v>8</v>
      </c>
    </row>
    <row r="12" spans="1:23" s="18" customFormat="1" ht="20.25" customHeight="1" x14ac:dyDescent="0.3">
      <c r="A12" s="31" t="s">
        <v>9</v>
      </c>
      <c r="B12" s="10">
        <v>2.4390243902439024</v>
      </c>
      <c r="C12" s="10">
        <v>2.9622063329928499</v>
      </c>
      <c r="D12" s="10">
        <f t="shared" ref="D12:N12" si="5">D8/D5*100</f>
        <v>2.9807692307692308</v>
      </c>
      <c r="E12" s="10">
        <f t="shared" si="5"/>
        <v>2.9850746268656714</v>
      </c>
      <c r="F12" s="10">
        <f t="shared" si="5"/>
        <v>3.091060985797828</v>
      </c>
      <c r="G12" s="10">
        <f t="shared" si="5"/>
        <v>3.2307692307692308</v>
      </c>
      <c r="H12" s="10">
        <f t="shared" si="5"/>
        <v>3.8095238095238098</v>
      </c>
      <c r="I12" s="10">
        <f t="shared" si="5"/>
        <v>4.539106145251397</v>
      </c>
      <c r="J12" s="10">
        <f t="shared" si="5"/>
        <v>4.6101694915254239</v>
      </c>
      <c r="K12" s="10">
        <f t="shared" si="5"/>
        <v>5.3005817711700063</v>
      </c>
      <c r="L12" s="10">
        <f t="shared" si="5"/>
        <v>5.8139534883720927</v>
      </c>
      <c r="M12" s="10">
        <f t="shared" si="5"/>
        <v>6.5092165898617509</v>
      </c>
      <c r="N12" s="10">
        <f t="shared" si="5"/>
        <v>6.9428891377379625</v>
      </c>
      <c r="O12" s="10">
        <f>O8/O5*100</f>
        <v>7.1995764955002652</v>
      </c>
      <c r="P12" s="10">
        <f>P8/P5*100</f>
        <v>7.2216649949849554</v>
      </c>
      <c r="Q12" s="10">
        <f>Q8/Q5*100</f>
        <v>7.2103431128791637</v>
      </c>
      <c r="R12" s="10">
        <f>R8/R5*100</f>
        <v>7.6658476658476662</v>
      </c>
      <c r="S12" s="28" t="s">
        <v>10</v>
      </c>
    </row>
    <row r="13" spans="1:23" s="18" customFormat="1" ht="20.25" customHeight="1" x14ac:dyDescent="0.3">
      <c r="A13" s="6" t="s">
        <v>1</v>
      </c>
      <c r="B13" s="8">
        <v>9.4660194174757279</v>
      </c>
      <c r="C13" s="8">
        <v>8.536585365853659</v>
      </c>
      <c r="D13" s="9">
        <f t="shared" ref="D13:R16" si="6">(D5-C5)/C5*100</f>
        <v>6.2308478038815114</v>
      </c>
      <c r="E13" s="8">
        <f t="shared" si="6"/>
        <v>9.5192307692307683</v>
      </c>
      <c r="F13" s="8">
        <f t="shared" si="6"/>
        <v>5.0921861281826164</v>
      </c>
      <c r="G13" s="8">
        <f t="shared" si="6"/>
        <v>8.6048454469507103</v>
      </c>
      <c r="H13" s="8">
        <f t="shared" si="6"/>
        <v>5</v>
      </c>
      <c r="I13" s="8">
        <f t="shared" si="6"/>
        <v>4.9084249084249088</v>
      </c>
      <c r="J13" s="8">
        <f t="shared" si="6"/>
        <v>3.0027932960893855</v>
      </c>
      <c r="K13" s="8">
        <f t="shared" si="6"/>
        <v>4.8813559322033901</v>
      </c>
      <c r="L13" s="8">
        <f t="shared" si="6"/>
        <v>5.6237879767291536</v>
      </c>
      <c r="M13" s="8">
        <f t="shared" si="6"/>
        <v>6.2423500611995104</v>
      </c>
      <c r="N13" s="8">
        <f t="shared" si="6"/>
        <v>2.8801843317972349</v>
      </c>
      <c r="O13" s="8">
        <f t="shared" si="6"/>
        <v>5.7670772676371778</v>
      </c>
      <c r="P13" s="8">
        <f t="shared" si="6"/>
        <v>5.5584965590259401</v>
      </c>
      <c r="Q13" s="8">
        <f t="shared" si="6"/>
        <v>0.85255767301905716</v>
      </c>
      <c r="R13" s="8">
        <f t="shared" si="6"/>
        <v>1.1934361014420687</v>
      </c>
      <c r="S13" s="4" t="s">
        <v>2</v>
      </c>
    </row>
    <row r="14" spans="1:23" s="18" customFormat="1" ht="20.25" customHeight="1" x14ac:dyDescent="0.3">
      <c r="A14" s="30" t="s">
        <v>5</v>
      </c>
      <c r="B14" s="9">
        <v>10.242587601078167</v>
      </c>
      <c r="C14" s="9">
        <v>8.1907090464547672</v>
      </c>
      <c r="D14" s="9">
        <f t="shared" si="6"/>
        <v>6.5536723163841808</v>
      </c>
      <c r="E14" s="9">
        <f t="shared" si="6"/>
        <v>9.9681866383881221</v>
      </c>
      <c r="F14" s="9">
        <f t="shared" si="6"/>
        <v>6.3645130183220839</v>
      </c>
      <c r="G14" s="9">
        <f t="shared" si="6"/>
        <v>7.43427017225748</v>
      </c>
      <c r="H14" s="9">
        <f t="shared" si="6"/>
        <v>4.7257383966244726</v>
      </c>
      <c r="I14" s="9">
        <f t="shared" si="6"/>
        <v>4.5124899274778407</v>
      </c>
      <c r="J14" s="9">
        <f t="shared" si="6"/>
        <v>3.2382420971472627</v>
      </c>
      <c r="K14" s="9">
        <f t="shared" si="6"/>
        <v>4.2569081404032856</v>
      </c>
      <c r="L14" s="9">
        <f t="shared" si="6"/>
        <v>5.3008595988538678</v>
      </c>
      <c r="M14" s="9">
        <f t="shared" si="6"/>
        <v>5.7142857142857144</v>
      </c>
      <c r="N14" s="9">
        <f t="shared" si="6"/>
        <v>2.574002574002574</v>
      </c>
      <c r="O14" s="9">
        <f t="shared" si="6"/>
        <v>5.9598494353826847</v>
      </c>
      <c r="P14" s="9">
        <f t="shared" si="6"/>
        <v>4.7957371225577266</v>
      </c>
      <c r="Q14" s="9">
        <f t="shared" si="6"/>
        <v>0.84745762711864403</v>
      </c>
      <c r="R14" s="9">
        <f t="shared" si="6"/>
        <v>0.56022408963585435</v>
      </c>
      <c r="S14" s="26" t="s">
        <v>6</v>
      </c>
    </row>
    <row r="15" spans="1:23" s="18" customFormat="1" ht="20.25" customHeight="1" x14ac:dyDescent="0.3">
      <c r="A15" s="30" t="s">
        <v>7</v>
      </c>
      <c r="B15" s="9">
        <v>3.3333333333333335</v>
      </c>
      <c r="C15" s="9">
        <v>4.838709677419355</v>
      </c>
      <c r="D15" s="9">
        <f t="shared" si="6"/>
        <v>1.5384615384615385</v>
      </c>
      <c r="E15" s="9">
        <f t="shared" si="6"/>
        <v>3.0303030303030303</v>
      </c>
      <c r="F15" s="9">
        <f t="shared" si="6"/>
        <v>-16.176470588235293</v>
      </c>
      <c r="G15" s="9">
        <f t="shared" si="6"/>
        <v>28.07017543859649</v>
      </c>
      <c r="H15" s="9">
        <f t="shared" si="6"/>
        <v>-1.3698630136986301</v>
      </c>
      <c r="I15" s="9">
        <f t="shared" si="6"/>
        <v>-2.7777777777777777</v>
      </c>
      <c r="J15" s="9">
        <f t="shared" si="6"/>
        <v>-2.8571428571428572</v>
      </c>
      <c r="K15" s="9">
        <f t="shared" si="6"/>
        <v>1.4705882352941175</v>
      </c>
      <c r="L15" s="9">
        <f t="shared" si="6"/>
        <v>0</v>
      </c>
      <c r="M15" s="9">
        <f t="shared" si="6"/>
        <v>0</v>
      </c>
      <c r="N15" s="9">
        <f t="shared" si="6"/>
        <v>-1.4492753623188406</v>
      </c>
      <c r="O15" s="9">
        <f t="shared" si="6"/>
        <v>-5.8823529411764701</v>
      </c>
      <c r="P15" s="9">
        <f t="shared" si="6"/>
        <v>25</v>
      </c>
      <c r="Q15" s="9">
        <f t="shared" si="6"/>
        <v>1.25</v>
      </c>
      <c r="R15" s="9">
        <f t="shared" si="6"/>
        <v>3.7037037037037033</v>
      </c>
      <c r="S15" s="26" t="s">
        <v>8</v>
      </c>
    </row>
    <row r="16" spans="1:23" s="18" customFormat="1" ht="20.25" customHeight="1" x14ac:dyDescent="0.3">
      <c r="A16" s="31" t="s">
        <v>9</v>
      </c>
      <c r="B16" s="11">
        <v>0</v>
      </c>
      <c r="C16" s="11">
        <v>31.818181818181817</v>
      </c>
      <c r="D16" s="11">
        <f t="shared" si="6"/>
        <v>6.8965517241379306</v>
      </c>
      <c r="E16" s="11">
        <f t="shared" si="6"/>
        <v>9.67741935483871</v>
      </c>
      <c r="F16" s="11">
        <f t="shared" si="6"/>
        <v>8.8235294117647065</v>
      </c>
      <c r="G16" s="11">
        <f t="shared" si="6"/>
        <v>13.513513513513514</v>
      </c>
      <c r="H16" s="11">
        <f t="shared" si="6"/>
        <v>23.809523809523807</v>
      </c>
      <c r="I16" s="11">
        <f t="shared" si="6"/>
        <v>25</v>
      </c>
      <c r="J16" s="11">
        <f t="shared" si="6"/>
        <v>4.6153846153846159</v>
      </c>
      <c r="K16" s="11">
        <f t="shared" si="6"/>
        <v>20.588235294117645</v>
      </c>
      <c r="L16" s="11">
        <f t="shared" si="6"/>
        <v>15.853658536585366</v>
      </c>
      <c r="M16" s="11">
        <f t="shared" si="6"/>
        <v>18.947368421052634</v>
      </c>
      <c r="N16" s="11">
        <f t="shared" si="6"/>
        <v>9.7345132743362832</v>
      </c>
      <c r="O16" s="11">
        <f t="shared" si="6"/>
        <v>9.67741935483871</v>
      </c>
      <c r="P16" s="11">
        <f t="shared" si="6"/>
        <v>5.8823529411764701</v>
      </c>
      <c r="Q16" s="11">
        <f t="shared" si="6"/>
        <v>0.69444444444444442</v>
      </c>
      <c r="R16" s="11">
        <f t="shared" si="6"/>
        <v>7.5862068965517242</v>
      </c>
      <c r="S16" s="29" t="s">
        <v>10</v>
      </c>
    </row>
    <row r="17" spans="1:19" s="18" customFormat="1" ht="20.25" customHeight="1" x14ac:dyDescent="0.65">
      <c r="A17" s="23" t="s">
        <v>12</v>
      </c>
      <c r="B17" s="7"/>
      <c r="C17" s="7"/>
      <c r="D17" s="7"/>
      <c r="E17" s="7"/>
      <c r="F17" s="7"/>
      <c r="G17" s="7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 t="s">
        <v>11</v>
      </c>
    </row>
    <row r="19" spans="1:19" x14ac:dyDescent="0.25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9" x14ac:dyDescent="0.25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9" x14ac:dyDescent="0.25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9" x14ac:dyDescent="0.25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9" x14ac:dyDescent="0.25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</sheetData>
  <mergeCells count="2">
    <mergeCell ref="A1:S1"/>
    <mergeCell ref="A2:S2"/>
  </mergeCells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2023-10-23T21:37:50Z</cp:lastPrinted>
  <dcterms:created xsi:type="dcterms:W3CDTF">2019-05-21T05:57:01Z</dcterms:created>
  <dcterms:modified xsi:type="dcterms:W3CDTF">2023-10-23T21:37:58Z</dcterms:modified>
</cp:coreProperties>
</file>