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DB9429F6-CB61-49E3-9972-F5AE396B96B5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8" sheetId="8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'12.8'!$A$1:$S$39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8" l="1"/>
  <c r="Q17" i="8"/>
  <c r="Q16" i="8"/>
  <c r="Q5" i="8"/>
  <c r="Q11" i="8" s="1"/>
  <c r="P18" i="8"/>
  <c r="P17" i="8"/>
  <c r="P16" i="8"/>
  <c r="P5" i="8"/>
  <c r="Q15" i="8" l="1"/>
  <c r="Q12" i="8"/>
  <c r="Q10" i="8" s="1"/>
  <c r="Q13" i="8"/>
  <c r="P11" i="8"/>
  <c r="P12" i="8"/>
  <c r="P13" i="8"/>
  <c r="P10" i="8" l="1"/>
  <c r="O18" i="8" l="1"/>
  <c r="O17" i="8"/>
  <c r="O16" i="8"/>
  <c r="O5" i="8"/>
  <c r="P15" i="8" s="1"/>
  <c r="O11" i="8" l="1"/>
  <c r="O12" i="8"/>
  <c r="O13" i="8"/>
  <c r="O10" i="8" l="1"/>
  <c r="N18" i="8" l="1"/>
  <c r="N17" i="8"/>
  <c r="N16" i="8"/>
  <c r="N5" i="8"/>
  <c r="N11" i="8" l="1"/>
  <c r="O15" i="8"/>
  <c r="N12" i="8"/>
  <c r="N13" i="8"/>
  <c r="N10" i="8" l="1"/>
  <c r="M18" i="8" l="1"/>
  <c r="L18" i="8"/>
  <c r="K18" i="8"/>
  <c r="J18" i="8"/>
  <c r="I18" i="8"/>
  <c r="H18" i="8"/>
  <c r="G18" i="8"/>
  <c r="M17" i="8"/>
  <c r="L17" i="8"/>
  <c r="K17" i="8"/>
  <c r="J17" i="8"/>
  <c r="I17" i="8"/>
  <c r="H17" i="8"/>
  <c r="G17" i="8"/>
  <c r="M16" i="8"/>
  <c r="L16" i="8"/>
  <c r="K16" i="8"/>
  <c r="J16" i="8"/>
  <c r="I16" i="8"/>
  <c r="H16" i="8"/>
  <c r="G16" i="8"/>
  <c r="E8" i="8"/>
  <c r="F18" i="8" s="1"/>
  <c r="D8" i="8"/>
  <c r="C8" i="8"/>
  <c r="C18" i="8" s="1"/>
  <c r="E7" i="8"/>
  <c r="D7" i="8"/>
  <c r="C7" i="8"/>
  <c r="E6" i="8"/>
  <c r="D6" i="8"/>
  <c r="C6" i="8"/>
  <c r="C16" i="8" s="1"/>
  <c r="M5" i="8"/>
  <c r="L5" i="8"/>
  <c r="K5" i="8"/>
  <c r="K12" i="8" s="1"/>
  <c r="J5" i="8"/>
  <c r="J12" i="8" s="1"/>
  <c r="I5" i="8"/>
  <c r="I13" i="8" s="1"/>
  <c r="H5" i="8"/>
  <c r="G5" i="8"/>
  <c r="G13" i="8" s="1"/>
  <c r="F5" i="8"/>
  <c r="B5" i="8"/>
  <c r="B12" i="8" s="1"/>
  <c r="G15" i="8" l="1"/>
  <c r="E16" i="8"/>
  <c r="D17" i="8"/>
  <c r="D16" i="8"/>
  <c r="L15" i="8"/>
  <c r="H15" i="8"/>
  <c r="E18" i="8"/>
  <c r="F12" i="8"/>
  <c r="L13" i="8"/>
  <c r="L11" i="8"/>
  <c r="C5" i="8"/>
  <c r="C15" i="8" s="1"/>
  <c r="M12" i="8"/>
  <c r="N15" i="8"/>
  <c r="D18" i="8"/>
  <c r="H12" i="8"/>
  <c r="F16" i="8"/>
  <c r="L12" i="8"/>
  <c r="B13" i="8"/>
  <c r="B11" i="8"/>
  <c r="H13" i="8"/>
  <c r="J11" i="8"/>
  <c r="H11" i="8"/>
  <c r="J13" i="8"/>
  <c r="D5" i="8"/>
  <c r="K11" i="8"/>
  <c r="G12" i="8"/>
  <c r="K13" i="8"/>
  <c r="E5" i="8"/>
  <c r="E13" i="8" s="1"/>
  <c r="I15" i="8"/>
  <c r="C17" i="8"/>
  <c r="M11" i="8"/>
  <c r="I12" i="8"/>
  <c r="M13" i="8"/>
  <c r="J15" i="8"/>
  <c r="F11" i="8"/>
  <c r="F13" i="8"/>
  <c r="K15" i="8"/>
  <c r="E17" i="8"/>
  <c r="G11" i="8"/>
  <c r="F17" i="8"/>
  <c r="M15" i="8"/>
  <c r="I11" i="8"/>
  <c r="C13" i="8" l="1"/>
  <c r="C12" i="8"/>
  <c r="B10" i="8"/>
  <c r="C11" i="8"/>
  <c r="G10" i="8"/>
  <c r="L10" i="8"/>
  <c r="J10" i="8"/>
  <c r="K10" i="8"/>
  <c r="H10" i="8"/>
  <c r="M10" i="8"/>
  <c r="D12" i="8"/>
  <c r="D15" i="8"/>
  <c r="D11" i="8"/>
  <c r="F10" i="8"/>
  <c r="I10" i="8"/>
  <c r="D13" i="8"/>
  <c r="E15" i="8"/>
  <c r="E11" i="8"/>
  <c r="F15" i="8"/>
  <c r="E12" i="8"/>
  <c r="C10" i="8" l="1"/>
  <c r="E10" i="8"/>
  <c r="D10" i="8"/>
</calcChain>
</file>

<file path=xl/sharedStrings.xml><?xml version="1.0" encoding="utf-8"?>
<sst xmlns="http://schemas.openxmlformats.org/spreadsheetml/2006/main" count="36" uniqueCount="22">
  <si>
    <t xml:space="preserve"> % cnutogWviawfiheb</t>
  </si>
  <si>
    <t>% change over previous year</t>
  </si>
  <si>
    <t xml:space="preserve"> % urwvcnim ivurutia eruvcSwrwhwa Iruk</t>
  </si>
  <si>
    <t>cnwt</t>
  </si>
  <si>
    <t>ޖުމްލަ</t>
  </si>
  <si>
    <t>(In '000 metric tons)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</si>
  <si>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</si>
  <si>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</si>
  <si>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</si>
  <si>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</si>
  <si>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</si>
  <si>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</si>
  <si>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</si>
  <si>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</si>
  <si>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</si>
  <si>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</si>
  <si>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</si>
  <si>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</si>
  <si>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 xml:space="preserve">Total </t>
  </si>
  <si>
    <t>`</t>
  </si>
  <si>
    <t xml:space="preserve"> Table 12.8 : BILLED WATER CONSUMPTION IN HULHUMALE', 2010 - 2022</t>
  </si>
  <si>
    <t>2022 - 2010  ,urwvcnim unuverukcnunEb iawgElWmuLuh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</si>
</sst>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9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2"/>
      <color theme="1"/>
      <name val="A_Randhoo"/>
    </font>
    <font>
      <b/>
      <sz val="10"/>
      <name val="Farum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4" fillId="0" borderId="0"/>
    <xf numFmtId="0" fontId="2" fillId="0" borderId="0"/>
    <xf numFmtId="0" fontId="2" fillId="0" borderId="0"/>
    <xf numFmtId="0" fontId="17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2" fillId="2" borderId="0" xfId="3" applyFill="1"/>
    <xf numFmtId="0" fontId="6" fillId="2" borderId="0" xfId="3" applyFont="1" applyFill="1"/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1" fillId="2" borderId="0" xfId="5" applyFont="1" applyFill="1" applyAlignment="1">
      <alignment horizontal="right"/>
    </xf>
    <xf numFmtId="0" fontId="15" fillId="2" borderId="0" xfId="0" applyFont="1" applyFill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4" fillId="2" borderId="1" xfId="3" applyFont="1" applyFill="1" applyBorder="1"/>
    <xf numFmtId="0" fontId="12" fillId="2" borderId="2" xfId="3" applyFont="1" applyFill="1" applyBorder="1" applyAlignment="1">
      <alignment vertical="center"/>
    </xf>
    <xf numFmtId="1" fontId="12" fillId="2" borderId="0" xfId="3" applyNumberFormat="1" applyFont="1" applyFill="1" applyAlignment="1">
      <alignment horizontal="right" vertical="center"/>
    </xf>
    <xf numFmtId="165" fontId="12" fillId="2" borderId="0" xfId="1" applyNumberFormat="1" applyFont="1" applyFill="1" applyBorder="1" applyAlignment="1">
      <alignment horizontal="right" vertical="center"/>
    </xf>
    <xf numFmtId="0" fontId="13" fillId="2" borderId="0" xfId="3" applyFont="1" applyFill="1" applyAlignment="1">
      <alignment horizontal="left" vertical="center"/>
    </xf>
    <xf numFmtId="1" fontId="13" fillId="2" borderId="0" xfId="3" applyNumberFormat="1" applyFont="1" applyFill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0" fontId="13" fillId="2" borderId="3" xfId="3" applyFont="1" applyFill="1" applyBorder="1" applyAlignment="1">
      <alignment horizontal="left" vertical="center"/>
    </xf>
    <xf numFmtId="1" fontId="13" fillId="2" borderId="3" xfId="3" applyNumberFormat="1" applyFont="1" applyFill="1" applyBorder="1" applyAlignment="1">
      <alignment horizontal="right" vertical="center"/>
    </xf>
    <xf numFmtId="165" fontId="13" fillId="2" borderId="3" xfId="1" applyNumberFormat="1" applyFont="1" applyFill="1" applyBorder="1" applyAlignment="1">
      <alignment horizontal="right" vertical="center"/>
    </xf>
    <xf numFmtId="0" fontId="2" fillId="2" borderId="0" xfId="3" applyFill="1" applyAlignment="1">
      <alignment horizontal="right" vertical="center"/>
    </xf>
    <xf numFmtId="0" fontId="12" fillId="2" borderId="0" xfId="3" applyFont="1" applyFill="1" applyAlignment="1">
      <alignment horizontal="right" vertical="center"/>
    </xf>
    <xf numFmtId="1" fontId="13" fillId="2" borderId="0" xfId="3" applyNumberFormat="1" applyFont="1" applyFill="1"/>
    <xf numFmtId="0" fontId="12" fillId="2" borderId="0" xfId="3" applyFont="1" applyFill="1" applyAlignment="1">
      <alignment horizontal="left" vertical="center"/>
    </xf>
    <xf numFmtId="0" fontId="13" fillId="2" borderId="1" xfId="3" applyFont="1" applyFill="1" applyBorder="1" applyAlignment="1">
      <alignment horizontal="left" vertical="center"/>
    </xf>
    <xf numFmtId="1" fontId="13" fillId="2" borderId="1" xfId="3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0" fontId="13" fillId="2" borderId="0" xfId="3" applyFont="1" applyFill="1"/>
    <xf numFmtId="165" fontId="13" fillId="2" borderId="4" xfId="1" applyNumberFormat="1" applyFont="1" applyFill="1" applyBorder="1" applyAlignment="1">
      <alignment horizontal="right" vertical="center"/>
    </xf>
    <xf numFmtId="0" fontId="16" fillId="2" borderId="0" xfId="3" applyFont="1" applyFill="1"/>
    <xf numFmtId="0" fontId="16" fillId="2" borderId="0" xfId="3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2" fillId="2" borderId="0" xfId="3" applyFont="1" applyFill="1" applyAlignment="1">
      <alignment horizontal="center" vertical="center" wrapText="1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2010 - 2022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6547269706811538"/>
          <c:y val="5.072094656905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'12.8'!$E$4:$Q$4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'12.8'!$E$6:$Q$6</c:f>
              <c:numCache>
                <c:formatCode>_(* #,##0_);_(* \(#,##0\);_(* "-"??_);_(@_)</c:formatCode>
                <c:ptCount val="13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  <c:pt idx="9">
                  <c:v>1145.6076799999987</c:v>
                </c:pt>
                <c:pt idx="10">
                  <c:v>1217.7949600000002</c:v>
                </c:pt>
                <c:pt idx="11">
                  <c:v>1578.4848099999986</c:v>
                </c:pt>
                <c:pt idx="12">
                  <c:v>2340.6484100000002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A3B-427A-A7C0-6768D6D95302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'12.8'!$E$4:$Q$4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'12.8'!$E$7:$Q$7</c:f>
              <c:numCache>
                <c:formatCode>_(* #,##0_);_(* \(#,##0\);_(* "-"??_);_(@_)</c:formatCode>
                <c:ptCount val="13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  <c:pt idx="9">
                  <c:v>71.535790000000006</c:v>
                </c:pt>
                <c:pt idx="10">
                  <c:v>85.033379999999994</c:v>
                </c:pt>
                <c:pt idx="11">
                  <c:v>97.860109999999992</c:v>
                </c:pt>
                <c:pt idx="12">
                  <c:v>102.76467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B-427A-A7C0-6768D6D95302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'12.8'!$E$4:$Q$4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'12.8'!$E$8:$Q$8</c:f>
              <c:numCache>
                <c:formatCode>_(* #,##0_);_(* \(#,##0\);_(* "-"??_);_(@_)</c:formatCode>
                <c:ptCount val="13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  <c:pt idx="9">
                  <c:v>450.01436000000001</c:v>
                </c:pt>
                <c:pt idx="10">
                  <c:v>466.7715399999999</c:v>
                </c:pt>
                <c:pt idx="11">
                  <c:v>510.10626999999988</c:v>
                </c:pt>
                <c:pt idx="12">
                  <c:v>707.86244000000011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B-427A-A7C0-6768D6D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463365680"/>
        <c:axId val="463361760"/>
        <c:extLst/>
      </c:barChart>
      <c:catAx>
        <c:axId val="4633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760"/>
        <c:crosses val="autoZero"/>
        <c:auto val="1"/>
        <c:lblAlgn val="ctr"/>
        <c:lblOffset val="100"/>
        <c:noMultiLvlLbl val="0"/>
      </c:catAx>
      <c:valAx>
        <c:axId val="463361760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56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442735627434325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19</xdr:row>
      <xdr:rowOff>180975</xdr:rowOff>
    </xdr:from>
    <xdr:to>
      <xdr:col>17</xdr:col>
      <xdr:colOff>704850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B25"/>
  <sheetViews>
    <sheetView tabSelected="1" zoomScale="91" zoomScaleNormal="91" workbookViewId="0">
      <selection sqref="A1:R1"/>
    </sheetView>
  </sheetViews>
  <sheetFormatPr defaultColWidth="9.1796875" defaultRowHeight="14.5" x14ac:dyDescent="0.35"/>
  <cols>
    <col min="1" max="1" width="22" style="4" customWidth="1"/>
    <col min="2" max="2" width="6.7265625" style="4" hidden="1" customWidth="1"/>
    <col min="3" max="4" width="0" style="4" hidden="1" customWidth="1"/>
    <col min="5" max="11" width="9.26953125" style="4" bestFit="1" customWidth="1"/>
    <col min="12" max="17" width="9.54296875" style="4" bestFit="1" customWidth="1"/>
    <col min="18" max="18" width="32.1796875" style="4" customWidth="1"/>
    <col min="19" max="19" width="7.81640625" style="1" customWidth="1"/>
    <col min="20" max="28" width="7.453125" style="4" customWidth="1"/>
    <col min="29" max="16384" width="9.1796875" style="4"/>
  </cols>
  <sheetData>
    <row r="1" spans="1:28" ht="19" x14ac:dyDescent="0.25">
      <c r="A1" s="36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9"/>
      <c r="T1" s="9"/>
      <c r="U1" s="9"/>
      <c r="V1" s="9"/>
      <c r="W1" s="9"/>
    </row>
    <row r="2" spans="1:28" ht="15.5" x14ac:dyDescent="0.35">
      <c r="A2" s="38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T2" s="2"/>
      <c r="U2" s="2"/>
      <c r="V2" s="2"/>
      <c r="W2" s="2"/>
      <c r="X2" s="2"/>
      <c r="Y2" s="2"/>
      <c r="Z2" s="2"/>
      <c r="AA2" s="2"/>
      <c r="AB2" s="3"/>
    </row>
    <row r="3" spans="1:28" ht="16.5" customHeight="1" x14ac:dyDescent="0.35">
      <c r="B3" s="15"/>
      <c r="C3" s="15"/>
      <c r="D3" s="15"/>
      <c r="E3" s="37" t="s">
        <v>5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T3" s="2"/>
      <c r="U3" s="2"/>
      <c r="V3" s="2"/>
      <c r="W3" s="2"/>
      <c r="X3" s="2"/>
      <c r="Y3" s="2"/>
      <c r="Z3" s="2"/>
      <c r="AA3" s="2"/>
      <c r="AB3" s="3"/>
    </row>
    <row r="4" spans="1:28" ht="19.5" customHeight="1" x14ac:dyDescent="0.35">
      <c r="A4" s="16" t="s">
        <v>6</v>
      </c>
      <c r="B4" s="16">
        <v>2007</v>
      </c>
      <c r="C4" s="16">
        <v>2008</v>
      </c>
      <c r="D4" s="16">
        <v>2009</v>
      </c>
      <c r="E4" s="16">
        <v>2010</v>
      </c>
      <c r="F4" s="16">
        <v>2011</v>
      </c>
      <c r="G4" s="16">
        <v>2012</v>
      </c>
      <c r="H4" s="16">
        <v>2013</v>
      </c>
      <c r="I4" s="16">
        <v>2014</v>
      </c>
      <c r="J4" s="16">
        <v>2015</v>
      </c>
      <c r="K4" s="16">
        <v>2016</v>
      </c>
      <c r="L4" s="16">
        <v>2017</v>
      </c>
      <c r="M4" s="10">
        <v>2018</v>
      </c>
      <c r="N4" s="10">
        <v>2019</v>
      </c>
      <c r="O4" s="10">
        <v>2020</v>
      </c>
      <c r="P4" s="10">
        <v>2021</v>
      </c>
      <c r="Q4" s="10">
        <v>2022</v>
      </c>
      <c r="R4" s="11" t="s">
        <v>3</v>
      </c>
    </row>
    <row r="5" spans="1:28" ht="21.75" customHeight="1" x14ac:dyDescent="0.35">
      <c r="A5" s="7" t="s">
        <v>7</v>
      </c>
      <c r="B5" s="17">
        <f>SUM(B6:B8)</f>
        <v>72.960000000000008</v>
      </c>
      <c r="C5" s="17">
        <f>SUM(C6:C8)</f>
        <v>107.78069000000001</v>
      </c>
      <c r="D5" s="17">
        <f>SUM(D6:D8)</f>
        <v>122.2706</v>
      </c>
      <c r="E5" s="18">
        <f>SUM(E6:E8)</f>
        <v>188.84636</v>
      </c>
      <c r="F5" s="18">
        <f>SUM(F6:F8)</f>
        <v>251.88413</v>
      </c>
      <c r="G5" s="18">
        <f t="shared" ref="G5:M5" si="0">SUM(G6:G8)</f>
        <v>377.17785000000003</v>
      </c>
      <c r="H5" s="18">
        <f t="shared" si="0"/>
        <v>354.32618999999988</v>
      </c>
      <c r="I5" s="18">
        <f t="shared" si="0"/>
        <v>523.57118000000003</v>
      </c>
      <c r="J5" s="18">
        <f t="shared" si="0"/>
        <v>680.81331999999998</v>
      </c>
      <c r="K5" s="18">
        <f t="shared" si="0"/>
        <v>867.75994000000003</v>
      </c>
      <c r="L5" s="18">
        <f t="shared" si="0"/>
        <v>1049.0279700000001</v>
      </c>
      <c r="M5" s="18">
        <f t="shared" si="0"/>
        <v>1412.54</v>
      </c>
      <c r="N5" s="18">
        <f>SUM(N6:N8)</f>
        <v>1667.1578299999987</v>
      </c>
      <c r="O5" s="18">
        <f>SUM(O6:O8)</f>
        <v>1769.5998800000002</v>
      </c>
      <c r="P5" s="18">
        <f>SUM(P6:P8)</f>
        <v>2186.4511899999984</v>
      </c>
      <c r="Q5" s="18">
        <f>SUM(Q6:Q8)</f>
        <v>3151.2755200000001</v>
      </c>
      <c r="R5" s="12" t="s">
        <v>8</v>
      </c>
    </row>
    <row r="6" spans="1:28" ht="21.75" customHeight="1" x14ac:dyDescent="0.35">
      <c r="A6" s="19" t="s">
        <v>9</v>
      </c>
      <c r="B6" s="20">
        <v>50.837000000000003</v>
      </c>
      <c r="C6" s="20">
        <f>67273.08/1000</f>
        <v>67.273080000000007</v>
      </c>
      <c r="D6" s="20">
        <f>97095.04/1000</f>
        <v>97.095039999999997</v>
      </c>
      <c r="E6" s="21">
        <f>158773.64/1000</f>
        <v>158.77364</v>
      </c>
      <c r="F6" s="21">
        <v>184.73041000000001</v>
      </c>
      <c r="G6" s="21">
        <v>240.75651000000002</v>
      </c>
      <c r="H6" s="21">
        <v>285.77676999999994</v>
      </c>
      <c r="I6" s="21">
        <v>424.86273</v>
      </c>
      <c r="J6" s="21">
        <v>525.21663999999998</v>
      </c>
      <c r="K6" s="21">
        <v>644.99778000000003</v>
      </c>
      <c r="L6" s="21">
        <v>769.67976999999996</v>
      </c>
      <c r="M6" s="21">
        <v>997.42200000000003</v>
      </c>
      <c r="N6" s="21">
        <v>1145.6076799999987</v>
      </c>
      <c r="O6" s="21">
        <v>1217.7949600000002</v>
      </c>
      <c r="P6" s="21">
        <v>1578.4848099999986</v>
      </c>
      <c r="Q6" s="21">
        <v>2340.6484100000002</v>
      </c>
      <c r="R6" s="6" t="s">
        <v>10</v>
      </c>
    </row>
    <row r="7" spans="1:28" ht="21.75" customHeight="1" x14ac:dyDescent="0.35">
      <c r="A7" s="19" t="s">
        <v>11</v>
      </c>
      <c r="B7" s="20">
        <v>12.263</v>
      </c>
      <c r="C7" s="20">
        <f>9060.07/1000</f>
        <v>9.0600699999999996</v>
      </c>
      <c r="D7" s="20">
        <f>8291.15/1000</f>
        <v>8.29115</v>
      </c>
      <c r="E7" s="21">
        <f>9923.29/1000</f>
        <v>9.9232900000000015</v>
      </c>
      <c r="F7" s="21">
        <v>14.06274</v>
      </c>
      <c r="G7" s="21">
        <v>8.3097900000000013</v>
      </c>
      <c r="H7" s="21">
        <v>11.965609999999998</v>
      </c>
      <c r="I7" s="21">
        <v>20.232129999999998</v>
      </c>
      <c r="J7" s="21">
        <v>35.181170000000009</v>
      </c>
      <c r="K7" s="21">
        <v>48.41854</v>
      </c>
      <c r="L7" s="21">
        <v>64.825460000000007</v>
      </c>
      <c r="M7" s="21">
        <v>76.388000000000005</v>
      </c>
      <c r="N7" s="21">
        <v>71.535790000000006</v>
      </c>
      <c r="O7" s="21">
        <v>85.033379999999994</v>
      </c>
      <c r="P7" s="21">
        <v>97.860109999999992</v>
      </c>
      <c r="Q7" s="21">
        <v>102.76467</v>
      </c>
      <c r="R7" s="6" t="s">
        <v>12</v>
      </c>
    </row>
    <row r="8" spans="1:28" ht="21.75" customHeight="1" x14ac:dyDescent="0.25">
      <c r="A8" s="22" t="s">
        <v>13</v>
      </c>
      <c r="B8" s="23">
        <v>9.86</v>
      </c>
      <c r="C8" s="23">
        <f>31447.54/1000</f>
        <v>31.44754</v>
      </c>
      <c r="D8" s="23">
        <f>16884.41/1000</f>
        <v>16.884409999999999</v>
      </c>
      <c r="E8" s="24">
        <f>20149.43/1000</f>
        <v>20.149429999999999</v>
      </c>
      <c r="F8" s="24">
        <v>53.090980000000002</v>
      </c>
      <c r="G8" s="24">
        <v>128.11154999999999</v>
      </c>
      <c r="H8" s="24">
        <v>56.58381</v>
      </c>
      <c r="I8" s="24">
        <v>78.476320000000001</v>
      </c>
      <c r="J8" s="24">
        <v>120.41551</v>
      </c>
      <c r="K8" s="24">
        <v>174.34361999999999</v>
      </c>
      <c r="L8" s="24">
        <v>214.52274</v>
      </c>
      <c r="M8" s="24">
        <v>338.73</v>
      </c>
      <c r="N8" s="33">
        <v>450.01436000000001</v>
      </c>
      <c r="O8" s="33">
        <v>466.7715399999999</v>
      </c>
      <c r="P8" s="33">
        <v>510.10626999999988</v>
      </c>
      <c r="Q8" s="33">
        <v>707.86244000000011</v>
      </c>
      <c r="R8" s="13" t="s">
        <v>14</v>
      </c>
      <c r="S8" s="4"/>
    </row>
    <row r="9" spans="1:28" ht="21.75" customHeight="1" x14ac:dyDescent="0.35">
      <c r="A9" s="7" t="s">
        <v>15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12" t="s">
        <v>0</v>
      </c>
      <c r="S9" s="4"/>
      <c r="T9" s="27"/>
      <c r="U9" s="27"/>
      <c r="V9" s="27"/>
      <c r="W9" s="27"/>
      <c r="X9" s="27"/>
      <c r="Y9" s="27"/>
      <c r="Z9" s="27"/>
      <c r="AA9" s="27"/>
      <c r="AB9" s="27"/>
    </row>
    <row r="10" spans="1:28" ht="17.5" x14ac:dyDescent="0.65">
      <c r="A10" s="28" t="s">
        <v>18</v>
      </c>
      <c r="B10" s="17">
        <f t="shared" ref="B10:M10" si="1">SUM(B11:B13)</f>
        <v>100</v>
      </c>
      <c r="C10" s="17">
        <f t="shared" si="1"/>
        <v>100</v>
      </c>
      <c r="D10" s="17">
        <f t="shared" si="1"/>
        <v>100</v>
      </c>
      <c r="E10" s="17">
        <f t="shared" si="1"/>
        <v>100</v>
      </c>
      <c r="F10" s="17">
        <f t="shared" si="1"/>
        <v>100.00000000000001</v>
      </c>
      <c r="G10" s="17">
        <f t="shared" si="1"/>
        <v>100</v>
      </c>
      <c r="H10" s="17">
        <f t="shared" si="1"/>
        <v>100.00000000000003</v>
      </c>
      <c r="I10" s="17">
        <f t="shared" si="1"/>
        <v>100</v>
      </c>
      <c r="J10" s="17">
        <f t="shared" si="1"/>
        <v>100</v>
      </c>
      <c r="K10" s="17">
        <f t="shared" si="1"/>
        <v>100</v>
      </c>
      <c r="L10" s="17">
        <f t="shared" si="1"/>
        <v>99.999999999999986</v>
      </c>
      <c r="M10" s="17">
        <f t="shared" si="1"/>
        <v>99.999999999999986</v>
      </c>
      <c r="N10" s="17">
        <f>SUM(N11:N13)</f>
        <v>100</v>
      </c>
      <c r="O10" s="17">
        <f>SUM(O11:O13)</f>
        <v>100</v>
      </c>
      <c r="P10" s="17">
        <f>SUM(P11:P13)</f>
        <v>100</v>
      </c>
      <c r="Q10" s="17">
        <f>SUM(Q11:Q13)</f>
        <v>100</v>
      </c>
      <c r="R10" s="34" t="s">
        <v>4</v>
      </c>
      <c r="S10" s="4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1.75" customHeight="1" x14ac:dyDescent="0.35">
      <c r="A11" s="19" t="s">
        <v>9</v>
      </c>
      <c r="B11" s="20">
        <f t="shared" ref="B11:M11" si="2">B6/B5*100</f>
        <v>69.677905701754383</v>
      </c>
      <c r="C11" s="20">
        <f t="shared" si="2"/>
        <v>62.416635113395543</v>
      </c>
      <c r="D11" s="20">
        <f t="shared" si="2"/>
        <v>79.409964455887177</v>
      </c>
      <c r="E11" s="20">
        <f t="shared" si="2"/>
        <v>84.075562801422279</v>
      </c>
      <c r="F11" s="20">
        <f t="shared" si="2"/>
        <v>73.339439844820717</v>
      </c>
      <c r="G11" s="20">
        <f t="shared" si="2"/>
        <v>63.831030904916609</v>
      </c>
      <c r="H11" s="20">
        <f t="shared" si="2"/>
        <v>80.653583637156501</v>
      </c>
      <c r="I11" s="20">
        <f t="shared" si="2"/>
        <v>81.147081090292247</v>
      </c>
      <c r="J11" s="20">
        <f t="shared" si="2"/>
        <v>77.145470655597634</v>
      </c>
      <c r="K11" s="20">
        <f>K6/K5*100</f>
        <v>74.329056950935069</v>
      </c>
      <c r="L11" s="20">
        <f t="shared" si="2"/>
        <v>73.370757692952637</v>
      </c>
      <c r="M11" s="20">
        <f t="shared" si="2"/>
        <v>70.611947272289626</v>
      </c>
      <c r="N11" s="20">
        <f>N6/N5*100</f>
        <v>68.716210270265748</v>
      </c>
      <c r="O11" s="20">
        <f>O6/O5*100</f>
        <v>68.817531791423946</v>
      </c>
      <c r="P11" s="20">
        <f>P6/P5*100</f>
        <v>72.193919407823586</v>
      </c>
      <c r="Q11" s="20">
        <f>Q6/Q5*100</f>
        <v>74.276222283477139</v>
      </c>
      <c r="R11" s="6" t="s">
        <v>10</v>
      </c>
      <c r="S11" s="4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1.75" customHeight="1" x14ac:dyDescent="0.35">
      <c r="A12" s="19" t="s">
        <v>11</v>
      </c>
      <c r="B12" s="20">
        <f t="shared" ref="B12:M12" si="3">B7/B5*100</f>
        <v>16.807839912280702</v>
      </c>
      <c r="C12" s="20">
        <f t="shared" si="3"/>
        <v>8.4060233795126003</v>
      </c>
      <c r="D12" s="20">
        <f t="shared" si="3"/>
        <v>6.7809841450029689</v>
      </c>
      <c r="E12" s="20">
        <f t="shared" si="3"/>
        <v>5.2546895794020072</v>
      </c>
      <c r="F12" s="20">
        <f t="shared" si="3"/>
        <v>5.5830194621630191</v>
      </c>
      <c r="G12" s="20">
        <f t="shared" si="3"/>
        <v>2.2031489919145568</v>
      </c>
      <c r="H12" s="20">
        <f t="shared" si="3"/>
        <v>3.3770041102521948</v>
      </c>
      <c r="I12" s="20">
        <f t="shared" si="3"/>
        <v>3.8642558591555778</v>
      </c>
      <c r="J12" s="20">
        <f t="shared" si="3"/>
        <v>5.1675208117256002</v>
      </c>
      <c r="K12" s="20">
        <f t="shared" si="3"/>
        <v>5.5797159753652608</v>
      </c>
      <c r="L12" s="20">
        <f t="shared" si="3"/>
        <v>6.1795740298516542</v>
      </c>
      <c r="M12" s="20">
        <f t="shared" si="3"/>
        <v>5.4078468574341256</v>
      </c>
      <c r="N12" s="20">
        <f>N7/N5*100</f>
        <v>4.290882885395443</v>
      </c>
      <c r="O12" s="20">
        <f>O7/O5*100</f>
        <v>4.8052320166296569</v>
      </c>
      <c r="P12" s="20">
        <f>P7/P5*100</f>
        <v>4.4757509542209384</v>
      </c>
      <c r="Q12" s="20">
        <f>Q7/Q5*100</f>
        <v>3.2610499890533209</v>
      </c>
      <c r="R12" s="6" t="s">
        <v>12</v>
      </c>
      <c r="S12" s="4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1.75" customHeight="1" x14ac:dyDescent="0.35">
      <c r="A13" s="22" t="s">
        <v>13</v>
      </c>
      <c r="B13" s="23">
        <f t="shared" ref="B13:M13" si="4">B8/B5*100</f>
        <v>13.514254385964911</v>
      </c>
      <c r="C13" s="23">
        <f t="shared" si="4"/>
        <v>29.177341507091853</v>
      </c>
      <c r="D13" s="23">
        <f t="shared" si="4"/>
        <v>13.809051399109842</v>
      </c>
      <c r="E13" s="23">
        <f t="shared" si="4"/>
        <v>10.669747619175714</v>
      </c>
      <c r="F13" s="23">
        <f t="shared" si="4"/>
        <v>21.077540693016271</v>
      </c>
      <c r="G13" s="23">
        <f t="shared" si="4"/>
        <v>33.965820103168831</v>
      </c>
      <c r="H13" s="23">
        <f t="shared" si="4"/>
        <v>15.969412252591326</v>
      </c>
      <c r="I13" s="23">
        <f t="shared" si="4"/>
        <v>14.988663050552169</v>
      </c>
      <c r="J13" s="23">
        <f t="shared" si="4"/>
        <v>17.687008532676771</v>
      </c>
      <c r="K13" s="23">
        <f t="shared" si="4"/>
        <v>20.091227073699667</v>
      </c>
      <c r="L13" s="23">
        <f t="shared" si="4"/>
        <v>20.449668277195695</v>
      </c>
      <c r="M13" s="23">
        <f t="shared" si="4"/>
        <v>23.98020587027624</v>
      </c>
      <c r="N13" s="23">
        <f>N8/N5*100</f>
        <v>26.992906844338808</v>
      </c>
      <c r="O13" s="23">
        <f>O8/O5*100</f>
        <v>26.377236191946391</v>
      </c>
      <c r="P13" s="23">
        <f>P8/P5*100</f>
        <v>23.330329637955479</v>
      </c>
      <c r="Q13" s="23">
        <f>Q8/Q5*100</f>
        <v>22.462727727469545</v>
      </c>
      <c r="R13" s="13" t="s">
        <v>14</v>
      </c>
      <c r="S13" s="4"/>
      <c r="T13" s="27"/>
      <c r="U13" s="27"/>
      <c r="V13" s="27" t="s">
        <v>19</v>
      </c>
      <c r="W13" s="27"/>
      <c r="X13" s="27"/>
      <c r="Y13" s="27"/>
      <c r="Z13" s="27"/>
      <c r="AA13" s="27"/>
      <c r="AB13" s="27"/>
    </row>
    <row r="14" spans="1:28" ht="21.75" customHeight="1" x14ac:dyDescent="0.35">
      <c r="A14" s="7" t="s">
        <v>1</v>
      </c>
      <c r="B14" s="20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12" t="s">
        <v>2</v>
      </c>
      <c r="S14" s="4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1.75" customHeight="1" x14ac:dyDescent="0.35">
      <c r="A15" s="28" t="s">
        <v>18</v>
      </c>
      <c r="B15" s="20"/>
      <c r="C15" s="17">
        <f t="shared" ref="C15:Q18" si="5">(C5-B5)/B5*100</f>
        <v>47.725726425438594</v>
      </c>
      <c r="D15" s="17">
        <f t="shared" si="5"/>
        <v>13.443883129714603</v>
      </c>
      <c r="E15" s="17">
        <f t="shared" si="5"/>
        <v>54.449524251946087</v>
      </c>
      <c r="F15" s="17">
        <f t="shared" si="5"/>
        <v>33.380452765941584</v>
      </c>
      <c r="G15" s="17">
        <f t="shared" si="5"/>
        <v>49.742601886033881</v>
      </c>
      <c r="H15" s="17">
        <f t="shared" si="5"/>
        <v>-6.0585901319497291</v>
      </c>
      <c r="I15" s="17">
        <f t="shared" si="5"/>
        <v>47.765306312807468</v>
      </c>
      <c r="J15" s="17">
        <f t="shared" si="5"/>
        <v>30.032619442498714</v>
      </c>
      <c r="K15" s="17">
        <f t="shared" si="5"/>
        <v>27.459307053510656</v>
      </c>
      <c r="L15" s="17">
        <f t="shared" ref="L15:Q16" si="6">(L5-K5)/K5*100</f>
        <v>20.889190851562017</v>
      </c>
      <c r="M15" s="17">
        <f t="shared" si="6"/>
        <v>34.652272427016392</v>
      </c>
      <c r="N15" s="17">
        <f t="shared" si="6"/>
        <v>18.025530604442974</v>
      </c>
      <c r="O15" s="17">
        <f t="shared" si="6"/>
        <v>6.1447121656143109</v>
      </c>
      <c r="P15" s="17">
        <f t="shared" si="6"/>
        <v>23.556246511499431</v>
      </c>
      <c r="Q15" s="17">
        <f t="shared" si="6"/>
        <v>44.127412238276513</v>
      </c>
      <c r="R15" s="35" t="s">
        <v>4</v>
      </c>
      <c r="S15" s="4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1.75" customHeight="1" x14ac:dyDescent="0.35">
      <c r="A16" s="19" t="s">
        <v>9</v>
      </c>
      <c r="B16" s="20"/>
      <c r="C16" s="20">
        <f>(C6-B6)/B6*100</f>
        <v>32.330940063339696</v>
      </c>
      <c r="D16" s="20">
        <f>(D6-C6)/C6*100</f>
        <v>44.329708109098007</v>
      </c>
      <c r="E16" s="20">
        <f t="shared" si="5"/>
        <v>63.523945198436508</v>
      </c>
      <c r="F16" s="20">
        <f>(F6-E6)/E6*100</f>
        <v>16.348286781105482</v>
      </c>
      <c r="G16" s="20">
        <f t="shared" si="5"/>
        <v>30.32857448862914</v>
      </c>
      <c r="H16" s="20">
        <f t="shared" si="5"/>
        <v>18.699498509926034</v>
      </c>
      <c r="I16" s="20">
        <f t="shared" si="5"/>
        <v>48.669442236330156</v>
      </c>
      <c r="J16" s="20">
        <f t="shared" si="5"/>
        <v>23.620313789350263</v>
      </c>
      <c r="K16" s="20">
        <f t="shared" si="5"/>
        <v>22.806044378182698</v>
      </c>
      <c r="L16" s="20">
        <f t="shared" si="6"/>
        <v>19.330607618525434</v>
      </c>
      <c r="M16" s="20">
        <f t="shared" si="6"/>
        <v>29.589218643488586</v>
      </c>
      <c r="N16" s="20">
        <f t="shared" si="6"/>
        <v>14.856869008303274</v>
      </c>
      <c r="O16" s="20">
        <f t="shared" si="6"/>
        <v>6.3012217236533843</v>
      </c>
      <c r="P16" s="20">
        <f t="shared" si="6"/>
        <v>29.618274163328639</v>
      </c>
      <c r="Q16" s="20">
        <f t="shared" si="6"/>
        <v>48.28450645654312</v>
      </c>
      <c r="R16" s="6" t="s">
        <v>10</v>
      </c>
      <c r="S16" s="4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1.75" customHeight="1" x14ac:dyDescent="0.35">
      <c r="A17" s="19" t="s">
        <v>11</v>
      </c>
      <c r="B17" s="20"/>
      <c r="C17" s="20">
        <f>(C7-B7)/B7*100</f>
        <v>-26.118649596346739</v>
      </c>
      <c r="D17" s="20">
        <f t="shared" si="5"/>
        <v>-8.4869101452858491</v>
      </c>
      <c r="E17" s="20">
        <f t="shared" si="5"/>
        <v>19.685327125911382</v>
      </c>
      <c r="F17" s="20">
        <f t="shared" si="5"/>
        <v>41.714491867112599</v>
      </c>
      <c r="G17" s="20">
        <f t="shared" si="5"/>
        <v>-40.909168483524539</v>
      </c>
      <c r="H17" s="20">
        <f t="shared" si="5"/>
        <v>43.994132222354551</v>
      </c>
      <c r="I17" s="20">
        <f t="shared" si="5"/>
        <v>69.085654638585098</v>
      </c>
      <c r="J17" s="20">
        <f t="shared" si="5"/>
        <v>73.887623300166666</v>
      </c>
      <c r="K17" s="20">
        <f t="shared" si="5"/>
        <v>37.626292701464983</v>
      </c>
      <c r="L17" s="20">
        <f t="shared" si="5"/>
        <v>33.885614890494445</v>
      </c>
      <c r="M17" s="20">
        <f t="shared" si="5"/>
        <v>17.836417975283165</v>
      </c>
      <c r="N17" s="20">
        <f t="shared" si="5"/>
        <v>-6.3520579148557355</v>
      </c>
      <c r="O17" s="20">
        <f t="shared" si="5"/>
        <v>18.868303544281805</v>
      </c>
      <c r="P17" s="20">
        <f t="shared" si="5"/>
        <v>15.084346876485444</v>
      </c>
      <c r="Q17" s="20">
        <f t="shared" si="5"/>
        <v>5.0118071602412915</v>
      </c>
      <c r="R17" s="6" t="s">
        <v>12</v>
      </c>
      <c r="S17" s="4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1.75" customHeight="1" x14ac:dyDescent="0.35">
      <c r="A18" s="29" t="s">
        <v>13</v>
      </c>
      <c r="B18" s="30"/>
      <c r="C18" s="30">
        <f>(C8-B8)/B8*100</f>
        <v>218.94056795131846</v>
      </c>
      <c r="D18" s="30">
        <f t="shared" si="5"/>
        <v>-46.30928206149035</v>
      </c>
      <c r="E18" s="30">
        <f t="shared" si="5"/>
        <v>19.3374835128974</v>
      </c>
      <c r="F18" s="30">
        <f>(F8-E8)/E8*100</f>
        <v>163.48626239054906</v>
      </c>
      <c r="G18" s="30">
        <f>(G8-F8)/F8*100</f>
        <v>141.30567942049666</v>
      </c>
      <c r="H18" s="30">
        <f t="shared" si="5"/>
        <v>-55.832389819653258</v>
      </c>
      <c r="I18" s="30">
        <f t="shared" si="5"/>
        <v>38.690413388564679</v>
      </c>
      <c r="J18" s="30">
        <f t="shared" si="5"/>
        <v>53.441840799874406</v>
      </c>
      <c r="K18" s="30">
        <f t="shared" si="5"/>
        <v>44.785019803512014</v>
      </c>
      <c r="L18" s="30">
        <f t="shared" si="5"/>
        <v>23.045936524663198</v>
      </c>
      <c r="M18" s="30">
        <f t="shared" si="5"/>
        <v>57.899344377197501</v>
      </c>
      <c r="N18" s="30">
        <f t="shared" si="5"/>
        <v>32.853411271514183</v>
      </c>
      <c r="O18" s="30">
        <f t="shared" si="5"/>
        <v>3.7236989504068028</v>
      </c>
      <c r="P18" s="30">
        <f t="shared" si="5"/>
        <v>9.2839272077299295</v>
      </c>
      <c r="Q18" s="30">
        <f t="shared" si="5"/>
        <v>38.767641495565279</v>
      </c>
      <c r="R18" s="14" t="s">
        <v>14</v>
      </c>
      <c r="S18" s="4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6" x14ac:dyDescent="0.5">
      <c r="A19" s="31" t="s">
        <v>17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8" t="s">
        <v>16</v>
      </c>
      <c r="S19" s="4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35">
      <c r="A20" s="32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S20" s="4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x14ac:dyDescent="0.35">
      <c r="A21" s="32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4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x14ac:dyDescent="0.35">
      <c r="A22" s="32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4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3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/>
      <c r="T23" s="5"/>
      <c r="U23" s="5"/>
      <c r="V23" s="5"/>
      <c r="W23" s="5"/>
      <c r="X23" s="5"/>
      <c r="Y23" s="5"/>
      <c r="Z23" s="5"/>
      <c r="AA23" s="5"/>
      <c r="AB23" s="5"/>
    </row>
    <row r="24" spans="1:28" ht="12.5" x14ac:dyDescent="0.25">
      <c r="S24" s="4"/>
    </row>
    <row r="25" spans="1:28" ht="12.5" x14ac:dyDescent="0.25">
      <c r="S25" s="4"/>
    </row>
  </sheetData>
  <mergeCells count="3">
    <mergeCell ref="A1:R1"/>
    <mergeCell ref="A2:R2"/>
    <mergeCell ref="E3:R3"/>
  </mergeCells>
  <pageMargins left="0.7" right="0.7" top="0.75" bottom="0.75" header="0.3" footer="0.3"/>
  <pageSetup scale="49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2023-10-23T21:30:09Z</cp:lastPrinted>
  <dcterms:created xsi:type="dcterms:W3CDTF">2019-05-21T05:57:01Z</dcterms:created>
  <dcterms:modified xsi:type="dcterms:W3CDTF">2023-10-23T21:30:15Z</dcterms:modified>
</cp:coreProperties>
</file>