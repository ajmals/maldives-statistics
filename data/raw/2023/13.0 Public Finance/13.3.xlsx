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ublic Finance\"/>
    </mc:Choice>
  </mc:AlternateContent>
  <xr:revisionPtr revIDLastSave="0" documentId="13_ncr:1_{8F8B5C40-43DB-4DC3-A4E8-4E311D308C10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3" sheetId="3" r:id="rId1"/>
  </sheets>
  <externalReferences>
    <externalReference r:id="rId2"/>
    <externalReference r:id="rId3"/>
    <externalReference r:id="rId4"/>
    <externalReference r:id="rId5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'13.3'!$A$1:$U$55</definedName>
    <definedName name="_xlnm.Print_Titles" localSheetId="0">'13.3'!$5:$7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3" l="1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O26" i="3"/>
  <c r="N26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K44" i="3" l="1"/>
  <c r="K24" i="3" s="1"/>
  <c r="H11" i="3" l="1"/>
  <c r="I11" i="3"/>
  <c r="J11" i="3"/>
  <c r="K11" i="3"/>
  <c r="L11" i="3"/>
  <c r="J44" i="3" l="1"/>
  <c r="J24" i="3" s="1"/>
  <c r="J10" i="3" l="1"/>
  <c r="J9" i="3" s="1"/>
  <c r="J8" i="3" s="1"/>
  <c r="K10" i="3"/>
  <c r="K9" i="3" s="1"/>
  <c r="K8" i="3" s="1"/>
  <c r="H44" i="3" l="1"/>
  <c r="H24" i="3" s="1"/>
  <c r="H10" i="3" s="1"/>
  <c r="H9" i="3" s="1"/>
  <c r="L44" i="3" l="1"/>
  <c r="I44" i="3" l="1"/>
  <c r="I24" i="3" s="1"/>
  <c r="I10" i="3" s="1"/>
  <c r="I9" i="3" s="1"/>
  <c r="I8" i="3" s="1"/>
  <c r="G44" i="3" l="1"/>
  <c r="G24" i="3" s="1"/>
  <c r="F44" i="3"/>
  <c r="E44" i="3"/>
  <c r="E24" i="3" s="1"/>
  <c r="D44" i="3"/>
  <c r="D24" i="3" s="1"/>
  <c r="C44" i="3"/>
  <c r="C24" i="3" s="1"/>
  <c r="B44" i="3"/>
  <c r="B24" i="3" s="1"/>
  <c r="G11" i="3"/>
  <c r="F11" i="3"/>
  <c r="E11" i="3"/>
  <c r="D11" i="3"/>
  <c r="C11" i="3"/>
  <c r="B11" i="3"/>
  <c r="B10" i="3" l="1"/>
  <c r="B9" i="3" s="1"/>
  <c r="B8" i="3" s="1"/>
  <c r="C10" i="3"/>
  <c r="C9" i="3" s="1"/>
  <c r="C8" i="3" s="1"/>
  <c r="E10" i="3"/>
  <c r="E9" i="3" s="1"/>
  <c r="E8" i="3" s="1"/>
  <c r="F24" i="3"/>
  <c r="F10" i="3" s="1"/>
  <c r="F9" i="3" s="1"/>
  <c r="F8" i="3" s="1"/>
  <c r="D10" i="3"/>
  <c r="D9" i="3" s="1"/>
  <c r="D8" i="3" s="1"/>
  <c r="G10" i="3"/>
  <c r="G9" i="3" s="1"/>
  <c r="G8" i="3" s="1"/>
  <c r="H8" i="3" l="1"/>
  <c r="L24" i="3"/>
  <c r="L10" i="3" l="1"/>
  <c r="L9" i="3" s="1"/>
  <c r="L8" i="3" s="1"/>
</calcChain>
</file>

<file path=xl/sharedStrings.xml><?xml version="1.0" encoding="utf-8"?>
<sst xmlns="http://schemas.openxmlformats.org/spreadsheetml/2006/main" count="122" uniqueCount="103">
  <si>
    <t>(cniaWyifur cnwailim)</t>
  </si>
  <si>
    <t>(In million MVR)</t>
  </si>
  <si>
    <t>Particulars</t>
  </si>
  <si>
    <t>clIBcfwt</t>
  </si>
  <si>
    <t>Actual</t>
  </si>
  <si>
    <t xml:space="preserve">Approved </t>
  </si>
  <si>
    <t>Total Revenue and grants</t>
  </si>
  <si>
    <t>Current Revenue</t>
  </si>
  <si>
    <t>InwdcmWA cTcnwrwk</t>
  </si>
  <si>
    <t>Wsiawf unubiliawgutog egIhea egurEb iaWaInwdcmWA</t>
  </si>
  <si>
    <t>Total Revenue</t>
  </si>
  <si>
    <t>InwdcmWA</t>
  </si>
  <si>
    <t>Tax Revenue</t>
  </si>
  <si>
    <t xml:space="preserve">              Import duty</t>
  </si>
  <si>
    <t xml:space="preserve">                                                           ITuaiD cTrOpcmia</t>
  </si>
  <si>
    <t xml:space="preserve">              Export duty</t>
  </si>
  <si>
    <t>-</t>
  </si>
  <si>
    <t>އެކްސްޕޯޓް ޑިއުޓީ</t>
  </si>
  <si>
    <t xml:space="preserve">              Tourism Tax</t>
  </si>
  <si>
    <t xml:space="preserve">                                                           csckeT cmwzirUT</t>
  </si>
  <si>
    <t xml:space="preserve">              Bank profit tax</t>
  </si>
  <si>
    <t xml:space="preserve">                                                      csckeT egWdiawf ukcnEb</t>
  </si>
  <si>
    <t xml:space="preserve">              GST on Tourism </t>
  </si>
  <si>
    <t xml:space="preserve">ޓުއަރިޒަމް އިން ނެގޭ  ޓެކްސް        </t>
  </si>
  <si>
    <t xml:space="preserve">              Goods and Services Tax </t>
  </si>
  <si>
    <t xml:space="preserve">މުދަލާއި ޚިދުމަތުން ނެގޭ ޓެކްސް     </t>
  </si>
  <si>
    <t xml:space="preserve">              Airport Service Charge </t>
  </si>
  <si>
    <t>އެއަރޕޯރޓް ސަރވިސް ޗާރޖް</t>
  </si>
  <si>
    <t xml:space="preserve">              Business Profit Tax </t>
  </si>
  <si>
    <t>ބިޒްނަސް ޕްރޮފިޓް ޓެކްސް</t>
  </si>
  <si>
    <t xml:space="preserve">                  Green Tax</t>
  </si>
  <si>
    <t>ގްރީން ޓެކްސް</t>
  </si>
  <si>
    <t xml:space="preserve">   Royalties  4_/</t>
  </si>
  <si>
    <t xml:space="preserve">                                                            4_/ ITclwyOr</t>
  </si>
  <si>
    <t xml:space="preserve">   Income Tax</t>
  </si>
  <si>
    <t xml:space="preserve">              Other  1/</t>
  </si>
  <si>
    <t xml:space="preserve">                                                            1_/ cnehinehea</t>
  </si>
  <si>
    <t>Nontax Revenue</t>
  </si>
  <si>
    <t xml:space="preserve">ޓެކްސްގެ ގޮތުގައި ނުހިމެނޭ އާމްދަނީ </t>
  </si>
  <si>
    <t>State Trading Organisation</t>
  </si>
  <si>
    <t>cnwxEziawnwgOa gcniDErcT cTETcs</t>
  </si>
  <si>
    <t>ދިވެހިރާއްޖޭގެ ގުޅުން ޕްރައިވެޓް ލިމިޓެޑް (ދިރާގު)</t>
  </si>
  <si>
    <t>Maldives Post Limited</t>
  </si>
  <si>
    <t>މޯޅްޑީވްސް ޕޯސްޓް ލިމިޓެޑް</t>
  </si>
  <si>
    <t>Maldives Monetary Authority</t>
  </si>
  <si>
    <t>މޯޅްޑިވްސް މަނިޓަރީ އޮތޯރިޓީ</t>
  </si>
  <si>
    <t>Maldives Industrial Fisheries Corporation</t>
  </si>
  <si>
    <t>މޯލްޑިވްސް އިންޑަސްޓްރިއަލް ފިޝަރީޒް ކޯޕަރޭޝަން</t>
  </si>
  <si>
    <t>Island Aviation Services Limited</t>
  </si>
  <si>
    <t>އައިލަންޑް އޭވިއޭޝަން ސާރވިސަސް ލިމިޓެޑް</t>
  </si>
  <si>
    <t xml:space="preserve">Building Construction and Machanical Workshop/ Public Works Services </t>
  </si>
  <si>
    <t>ބިލްޑީން ކޮންސްޓްރަކްޝަން އެންޑް މެކޭނިކަލް ވޯރކްޝޮޕް</t>
  </si>
  <si>
    <t>Maldives Transport &amp; Contracting Co.</t>
  </si>
  <si>
    <t>މޯލްޑީވްސް ޓްރާންސްޕޯރޓް އެންޑް ކޮންޓްރެކްޓިން ކޯ</t>
  </si>
  <si>
    <t>Maldives Ports Authority/ Maldives Ports Limited</t>
  </si>
  <si>
    <t xml:space="preserve">                                                    ITirOtoa cscTOp cscviDclOm</t>
  </si>
  <si>
    <t>Bank of Maldives</t>
  </si>
  <si>
    <t xml:space="preserve">                                                        cscviDclOm cfoa ckcnEb</t>
  </si>
  <si>
    <t>Maldives Airports Company Ltd</t>
  </si>
  <si>
    <t>މޯލްޑިވްސް އެއަރޕޯރޓްސް ކޮމްޕެނީ ލިމިޓެޑް</t>
  </si>
  <si>
    <t>Hulhumale Development Corperation</t>
  </si>
  <si>
    <t>ހުޅުމާލެ ޑިވެލޮޕްމަންޓް ކޯރޕަރޭޝަން</t>
  </si>
  <si>
    <t>Housing Development Corperation</t>
  </si>
  <si>
    <t>ހައުސިން ޑިވެލޮޕްމަންޓް  ކޯޕަރޭޝަން</t>
  </si>
  <si>
    <t>Government hotels</t>
  </si>
  <si>
    <t>ސަރުކާރުގެ ހޮޓެލްތައް</t>
  </si>
  <si>
    <t xml:space="preserve"> cDeTimil Inepcmok cjErwvcs cDcnea rwTOv cscviDclOm</t>
  </si>
  <si>
    <t xml:space="preserve">Housing Development Finance Corporation </t>
  </si>
  <si>
    <t>ހައުސިން ޑިވެލޮޕްމަންޓް ފައިނޭންސް ކޯޕަރޭޝަން</t>
  </si>
  <si>
    <t xml:space="preserve">Maldives Tourism Development Corporation </t>
  </si>
  <si>
    <t>މޯލްޑިވްސް ޓޫރިޒަމް ޑިވެލޮޕްމަންޓް ކޯޕަރޭޝަން</t>
  </si>
  <si>
    <t>Thilafushi Corperation Limited</t>
  </si>
  <si>
    <t>ތިލަފުށި ކޯޕަރޭޝަން ލިމިޓެޑް</t>
  </si>
  <si>
    <t>Other</t>
  </si>
  <si>
    <t xml:space="preserve">    Lease and rents of Government property</t>
  </si>
  <si>
    <t>iluk egunwtcnwt WkwtctWrWmiA WviawfWvcawrukUd cSwycauk cnurWkurws</t>
  </si>
  <si>
    <t xml:space="preserve">            Resort lease rent</t>
  </si>
  <si>
    <t xml:space="preserve">                         iluk egukwtcTOsir WviawfWvcawrukUd cSwycauk cnurWkurws</t>
  </si>
  <si>
    <t xml:space="preserve">            Lease and rents of other Government property</t>
  </si>
  <si>
    <t xml:space="preserve">           iluk egunwtcnwt cnehinehea iaWkwtctWrWmiA WviawfWvcawrukUd cSwycauk cnurWkurws</t>
  </si>
  <si>
    <t xml:space="preserve">                                                             2_/ cnehinehea</t>
  </si>
  <si>
    <t>Capital Revenue</t>
  </si>
  <si>
    <t xml:space="preserve">                                                             InwdcmWA clwTipek</t>
  </si>
  <si>
    <t>Grants 3_/</t>
  </si>
  <si>
    <t xml:space="preserve">                                                             3_/ IheaegurEb</t>
  </si>
  <si>
    <t>1_/  Includes airport tax, business profit tax, GST, licence fees, company registration fees,remittence tax and stamp duties.</t>
  </si>
  <si>
    <t>.eveaenemih iawgiawbim ITuaiD egcpcmETcs ,IfWkcawd cSwmuruk IrwTcsijwr inufcnuk -If cscnwsiawl 1_/</t>
  </si>
  <si>
    <t>2_/  Includes fines, confiscated properties, penalties and administrative charges. From 2017 onwards; includes Airport Development Fee</t>
  </si>
  <si>
    <t>3_/  Excludes grants for direct expenditure by donors.</t>
  </si>
  <si>
    <t>.eveaevuncaeawfinemihIhea EdiawfcSokudwrwKWdIs ctWrwf EdIhea  3_/</t>
  </si>
  <si>
    <t>4_/ from 2012 royalty is classified as a tax revenue</t>
  </si>
  <si>
    <t xml:space="preserve">   .eveawgutog egInwdcmWa Ebil iawgutog egcsckeT Inwviawfiveleb ITclwyOr cnegiSef cn 2012  4_/</t>
  </si>
  <si>
    <t>IrwRercT cDcnea cscnEnif cfoa IrcTcsinim :ctWrwf ivcaedutWmUluAwm</t>
  </si>
  <si>
    <t>Source:  Ministry of Finance.</t>
  </si>
  <si>
    <t>Dhivehi Rajjeege Gulhun ltd.(Dhiraagu)</t>
  </si>
  <si>
    <t>Maldives Water &amp; Sewerage Company</t>
  </si>
  <si>
    <t xml:space="preserve">Other </t>
  </si>
  <si>
    <r>
      <t xml:space="preserve">  </t>
    </r>
    <r>
      <rPr>
        <sz val="9.5"/>
        <color theme="1"/>
        <rFont val="Faruma"/>
      </rPr>
      <t>އަދި 2017 ވަނަ އަހަރުން ފެށިގެން ނަގަންފެށުނު އެއާޕޯޓް ޑިވެލޮޕްމަންޓް ފީ</t>
    </r>
    <r>
      <rPr>
        <sz val="9.5"/>
        <color theme="1"/>
        <rFont val="A_Faseyha"/>
      </rPr>
      <t>.Wsiawf Egen cnutog IrWdia iaWaITclenep ,itekwt WrukcTEkcsifcnok ,WnwmirUj  2_/</t>
    </r>
  </si>
  <si>
    <t xml:space="preserve">                                              cnehinehea</t>
  </si>
  <si>
    <t>InwdcmWA csckeT</t>
  </si>
  <si>
    <t>Table  13.3:  GOVERNMENT REVENUE, 2013 - 2025</t>
  </si>
  <si>
    <t>2025 - 2013 އާމްދަނީ، egurWkurws  : 13.2 ulwvWt</t>
  </si>
  <si>
    <t>އިންކަމް ޓެކްސް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</si>
</sst>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#,##0.0"/>
    <numFmt numFmtId="167" formatCode="_(* #,##0.0_);_(* \(#,##0.0\);_(* &quot;-&quot;_);_(@_)"/>
    <numFmt numFmtId="168" formatCode="_(* #,##0.0_);_(* \(#,##0.0\);_(* &quot;-&quot;??_);_(@_)"/>
    <numFmt numFmtId="169" formatCode="0.0"/>
    <numFmt numFmtId="171" formatCode="_-* #,##0.00_-;\-* #,##0.00_-;_-* &quot;-&quot;??_-;_-@_-"/>
    <numFmt numFmtId="172" formatCode="#,##0.00\ ;&quot; (&quot;#,##0.00\);&quot; -&quot;#\ ;@\ "/>
    <numFmt numFmtId="179" formatCode="0.00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.5"/>
      <color theme="1"/>
      <name val="Faruma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9.8000000000000007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b/>
      <sz val="9.5"/>
      <color theme="1"/>
      <name val="Faruma"/>
    </font>
    <font>
      <sz val="8.5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b/>
      <sz val="9"/>
      <color theme="1"/>
      <name val="A_Faseyha"/>
    </font>
    <font>
      <b/>
      <sz val="9.5"/>
      <color theme="1"/>
      <name val="A_Faseyha"/>
    </font>
    <font>
      <sz val="9.5"/>
      <color theme="1"/>
      <name val="A_Faseyha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7" fillId="0" borderId="0"/>
    <xf numFmtId="172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69" fontId="29" fillId="0" borderId="0"/>
    <xf numFmtId="4" fontId="3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9" fontId="35" fillId="0" borderId="0"/>
    <xf numFmtId="1" fontId="36" fillId="0" borderId="8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0" fillId="0" borderId="0"/>
    <xf numFmtId="40" fontId="30" fillId="0" borderId="0" applyFont="0" applyFill="0" applyBorder="0" applyAlignment="0" applyProtection="0"/>
    <xf numFmtId="0" fontId="30" fillId="0" borderId="0"/>
    <xf numFmtId="0" fontId="2" fillId="0" borderId="0"/>
    <xf numFmtId="1" fontId="36" fillId="0" borderId="8" applyNumberFormat="0"/>
    <xf numFmtId="0" fontId="1" fillId="0" borderId="0"/>
    <xf numFmtId="0" fontId="30" fillId="0" borderId="0"/>
    <xf numFmtId="0" fontId="7" fillId="0" borderId="0" applyFill="0" applyProtection="0"/>
    <xf numFmtId="1" fontId="36" fillId="0" borderId="8" applyNumberFormat="0"/>
    <xf numFmtId="43" fontId="1" fillId="0" borderId="0" applyFont="0" applyFill="0" applyBorder="0" applyAlignment="0" applyProtection="0"/>
    <xf numFmtId="0" fontId="1" fillId="0" borderId="0"/>
    <xf numFmtId="0" fontId="37" fillId="0" borderId="0"/>
    <xf numFmtId="0" fontId="38" fillId="0" borderId="0"/>
    <xf numFmtId="0" fontId="37" fillId="0" borderId="0"/>
    <xf numFmtId="0" fontId="1" fillId="0" borderId="0"/>
    <xf numFmtId="0" fontId="30" fillId="0" borderId="0"/>
    <xf numFmtId="0" fontId="7" fillId="0" borderId="0" applyFill="0" applyProtection="0"/>
  </cellStyleXfs>
  <cellXfs count="80">
    <xf numFmtId="0" fontId="0" fillId="0" borderId="0" xfId="0"/>
    <xf numFmtId="165" fontId="9" fillId="2" borderId="3" xfId="2" applyNumberFormat="1" applyFont="1" applyFill="1" applyBorder="1" applyAlignment="1">
      <alignment horizontal="center" vertical="center"/>
    </xf>
    <xf numFmtId="165" fontId="10" fillId="2" borderId="3" xfId="2" applyNumberFormat="1" applyFont="1" applyFill="1" applyBorder="1" applyAlignment="1">
      <alignment vertical="center"/>
    </xf>
    <xf numFmtId="165" fontId="11" fillId="2" borderId="0" xfId="2" applyNumberFormat="1" applyFont="1" applyFill="1" applyAlignment="1" applyProtection="1">
      <alignment horizontal="right" vertical="center"/>
      <protection locked="0"/>
    </xf>
    <xf numFmtId="165" fontId="11" fillId="2" borderId="2" xfId="2" applyNumberFormat="1" applyFont="1" applyFill="1" applyBorder="1" applyAlignment="1">
      <alignment horizontal="right" vertical="center"/>
    </xf>
    <xf numFmtId="165" fontId="6" fillId="2" borderId="0" xfId="2" applyNumberFormat="1" applyFont="1" applyFill="1" applyAlignment="1" applyProtection="1">
      <alignment horizontal="right" vertical="center"/>
      <protection locked="0"/>
    </xf>
    <xf numFmtId="165" fontId="6" fillId="2" borderId="1" xfId="2" applyNumberFormat="1" applyFont="1" applyFill="1" applyBorder="1" applyAlignment="1">
      <alignment horizontal="right" vertical="center"/>
    </xf>
    <xf numFmtId="166" fontId="14" fillId="2" borderId="0" xfId="2" applyNumberFormat="1" applyFont="1" applyFill="1" applyAlignment="1">
      <alignment horizontal="right" vertical="center"/>
    </xf>
    <xf numFmtId="165" fontId="17" fillId="2" borderId="0" xfId="2" applyNumberFormat="1" applyFont="1" applyFill="1" applyAlignment="1">
      <alignment vertical="center"/>
    </xf>
    <xf numFmtId="165" fontId="18" fillId="2" borderId="0" xfId="2" applyNumberFormat="1" applyFont="1" applyFill="1" applyAlignment="1">
      <alignment vertical="center"/>
    </xf>
    <xf numFmtId="165" fontId="10" fillId="2" borderId="0" xfId="2" applyNumberFormat="1" applyFont="1" applyFill="1" applyAlignment="1">
      <alignment vertical="center"/>
    </xf>
    <xf numFmtId="165" fontId="19" fillId="2" borderId="0" xfId="2" applyNumberFormat="1" applyFont="1" applyFill="1" applyAlignment="1">
      <alignment vertical="center"/>
    </xf>
    <xf numFmtId="165" fontId="16" fillId="2" borderId="0" xfId="2" applyNumberFormat="1" applyFont="1" applyFill="1" applyAlignment="1">
      <alignment horizontal="left" vertical="center"/>
    </xf>
    <xf numFmtId="165" fontId="11" fillId="2" borderId="0" xfId="2" applyNumberFormat="1" applyFont="1" applyFill="1" applyAlignment="1">
      <alignment vertical="center"/>
    </xf>
    <xf numFmtId="165" fontId="21" fillId="2" borderId="0" xfId="2" applyNumberFormat="1" applyFont="1" applyFill="1" applyAlignment="1">
      <alignment horizontal="left" vertical="center"/>
    </xf>
    <xf numFmtId="168" fontId="22" fillId="2" borderId="0" xfId="1" applyNumberFormat="1" applyFont="1" applyFill="1" applyAlignment="1" applyProtection="1">
      <alignment horizontal="right" vertical="center"/>
    </xf>
    <xf numFmtId="165" fontId="23" fillId="2" borderId="0" xfId="2" applyNumberFormat="1" applyFont="1" applyFill="1" applyAlignment="1">
      <alignment horizontal="left" vertical="center" indent="1"/>
    </xf>
    <xf numFmtId="168" fontId="24" fillId="2" borderId="0" xfId="1" applyNumberFormat="1" applyFont="1" applyFill="1" applyAlignment="1" applyProtection="1">
      <alignment horizontal="right" vertical="center"/>
      <protection locked="0"/>
    </xf>
    <xf numFmtId="41" fontId="20" fillId="2" borderId="0" xfId="3" applyNumberFormat="1" applyFont="1" applyFill="1" applyAlignment="1" applyProtection="1">
      <alignment horizontal="right" vertical="center"/>
      <protection locked="0"/>
    </xf>
    <xf numFmtId="168" fontId="20" fillId="2" borderId="0" xfId="3" applyNumberFormat="1" applyFont="1" applyFill="1" applyAlignment="1" applyProtection="1">
      <alignment horizontal="right" vertical="center"/>
      <protection locked="0"/>
    </xf>
    <xf numFmtId="165" fontId="23" fillId="2" borderId="0" xfId="2" applyNumberFormat="1" applyFont="1" applyFill="1" applyAlignment="1">
      <alignment horizontal="left" vertical="center"/>
    </xf>
    <xf numFmtId="165" fontId="23" fillId="2" borderId="0" xfId="2" applyNumberFormat="1" applyFont="1" applyFill="1" applyAlignment="1">
      <alignment horizontal="left" vertical="center" indent="4"/>
    </xf>
    <xf numFmtId="167" fontId="20" fillId="2" borderId="0" xfId="3" applyNumberFormat="1" applyFont="1" applyFill="1" applyAlignment="1" applyProtection="1">
      <alignment horizontal="right" vertical="center"/>
      <protection locked="0"/>
    </xf>
    <xf numFmtId="165" fontId="10" fillId="2" borderId="0" xfId="2" applyNumberFormat="1" applyFont="1" applyFill="1"/>
    <xf numFmtId="168" fontId="22" fillId="2" borderId="0" xfId="1" applyNumberFormat="1" applyFont="1" applyFill="1" applyAlignment="1" applyProtection="1">
      <alignment horizontal="right"/>
    </xf>
    <xf numFmtId="166" fontId="25" fillId="2" borderId="0" xfId="2" applyNumberFormat="1" applyFont="1" applyFill="1" applyAlignment="1">
      <alignment horizontal="right" vertical="center"/>
    </xf>
    <xf numFmtId="168" fontId="24" fillId="2" borderId="0" xfId="1" applyNumberFormat="1" applyFont="1" applyFill="1" applyAlignment="1">
      <alignment horizontal="right"/>
    </xf>
    <xf numFmtId="165" fontId="14" fillId="2" borderId="0" xfId="2" applyNumberFormat="1" applyFont="1" applyFill="1" applyAlignment="1">
      <alignment vertical="center"/>
    </xf>
    <xf numFmtId="165" fontId="14" fillId="2" borderId="0" xfId="2" applyNumberFormat="1" applyFont="1" applyFill="1" applyAlignment="1">
      <alignment horizontal="right" vertical="center" readingOrder="1"/>
    </xf>
    <xf numFmtId="168" fontId="22" fillId="2" borderId="0" xfId="1" applyNumberFormat="1" applyFont="1" applyFill="1" applyAlignment="1">
      <alignment vertical="center"/>
    </xf>
    <xf numFmtId="168" fontId="22" fillId="2" borderId="0" xfId="1" applyNumberFormat="1" applyFont="1" applyFill="1" applyAlignment="1">
      <alignment horizontal="right"/>
    </xf>
    <xf numFmtId="168" fontId="24" fillId="2" borderId="0" xfId="1" applyNumberFormat="1" applyFont="1" applyFill="1" applyAlignment="1">
      <alignment vertical="center"/>
    </xf>
    <xf numFmtId="168" fontId="22" fillId="2" borderId="0" xfId="1" applyNumberFormat="1" applyFont="1" applyFill="1" applyAlignment="1" applyProtection="1">
      <alignment vertical="center"/>
      <protection locked="0"/>
    </xf>
    <xf numFmtId="165" fontId="21" fillId="2" borderId="2" xfId="2" applyNumberFormat="1" applyFont="1" applyFill="1" applyBorder="1" applyAlignment="1">
      <alignment horizontal="left" vertical="center"/>
    </xf>
    <xf numFmtId="168" fontId="22" fillId="2" borderId="2" xfId="1" applyNumberFormat="1" applyFont="1" applyFill="1" applyBorder="1" applyAlignment="1" applyProtection="1">
      <alignment vertical="center"/>
      <protection locked="0"/>
    </xf>
    <xf numFmtId="37" fontId="13" fillId="2" borderId="0" xfId="2" applyNumberFormat="1" applyFont="1" applyFill="1" applyAlignment="1">
      <alignment vertical="center"/>
    </xf>
    <xf numFmtId="37" fontId="26" fillId="2" borderId="0" xfId="2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165" fontId="11" fillId="2" borderId="0" xfId="2" applyNumberFormat="1" applyFont="1" applyFill="1" applyAlignment="1">
      <alignment horizontal="left" vertical="center"/>
    </xf>
    <xf numFmtId="168" fontId="17" fillId="2" borderId="0" xfId="1" applyNumberFormat="1" applyFont="1" applyFill="1" applyAlignment="1">
      <alignment vertical="center"/>
    </xf>
    <xf numFmtId="168" fontId="18" fillId="2" borderId="0" xfId="1" applyNumberFormat="1" applyFont="1" applyFill="1" applyAlignment="1">
      <alignment vertical="center"/>
    </xf>
    <xf numFmtId="168" fontId="10" fillId="2" borderId="0" xfId="1" applyNumberFormat="1" applyFont="1" applyFill="1" applyAlignment="1">
      <alignment vertical="center"/>
    </xf>
    <xf numFmtId="168" fontId="10" fillId="2" borderId="0" xfId="1" applyNumberFormat="1" applyFont="1" applyFill="1" applyBorder="1" applyAlignment="1">
      <alignment vertical="center"/>
    </xf>
    <xf numFmtId="168" fontId="19" fillId="2" borderId="0" xfId="1" applyNumberFormat="1" applyFont="1" applyFill="1" applyAlignment="1">
      <alignment vertical="center"/>
    </xf>
    <xf numFmtId="168" fontId="10" fillId="2" borderId="0" xfId="1" applyNumberFormat="1" applyFont="1" applyFill="1" applyAlignment="1"/>
    <xf numFmtId="0" fontId="6" fillId="2" borderId="1" xfId="1" applyNumberFormat="1" applyFont="1" applyFill="1" applyBorder="1" applyAlignment="1" applyProtection="1">
      <alignment horizontal="right" vertical="center"/>
    </xf>
    <xf numFmtId="168" fontId="20" fillId="2" borderId="0" xfId="1" applyNumberFormat="1" applyFont="1" applyFill="1" applyAlignment="1" applyProtection="1">
      <alignment horizontal="right" vertical="center"/>
      <protection locked="0"/>
    </xf>
    <xf numFmtId="168" fontId="24" fillId="2" borderId="0" xfId="1" applyNumberFormat="1" applyFont="1" applyFill="1" applyAlignment="1" applyProtection="1">
      <alignment vertical="center"/>
      <protection locked="0"/>
    </xf>
    <xf numFmtId="165" fontId="9" fillId="2" borderId="3" xfId="2" applyNumberFormat="1" applyFont="1" applyFill="1" applyBorder="1" applyAlignment="1">
      <alignment horizontal="right" vertical="center"/>
    </xf>
    <xf numFmtId="165" fontId="32" fillId="2" borderId="0" xfId="2" applyNumberFormat="1" applyFont="1" applyFill="1" applyAlignment="1">
      <alignment horizontal="right" vertical="center"/>
    </xf>
    <xf numFmtId="166" fontId="32" fillId="2" borderId="0" xfId="2" applyNumberFormat="1" applyFont="1" applyFill="1" applyAlignment="1">
      <alignment horizontal="right" vertical="center"/>
    </xf>
    <xf numFmtId="166" fontId="33" fillId="2" borderId="0" xfId="2" applyNumberFormat="1" applyFont="1" applyFill="1" applyAlignment="1">
      <alignment horizontal="right" vertical="center"/>
    </xf>
    <xf numFmtId="165" fontId="33" fillId="2" borderId="0" xfId="2" applyNumberFormat="1" applyFont="1" applyFill="1" applyAlignment="1">
      <alignment horizontal="right" vertical="center"/>
    </xf>
    <xf numFmtId="165" fontId="33" fillId="2" borderId="2" xfId="2" applyNumberFormat="1" applyFont="1" applyFill="1" applyBorder="1" applyAlignment="1">
      <alignment horizontal="right" vertical="center"/>
    </xf>
    <xf numFmtId="165" fontId="33" fillId="2" borderId="0" xfId="2" applyNumberFormat="1" applyFont="1" applyFill="1" applyAlignment="1">
      <alignment horizontal="right" vertical="center" readingOrder="1"/>
    </xf>
    <xf numFmtId="165" fontId="33" fillId="2" borderId="0" xfId="2" applyNumberFormat="1" applyFont="1" applyFill="1" applyAlignment="1">
      <alignment vertical="center"/>
    </xf>
    <xf numFmtId="165" fontId="11" fillId="2" borderId="2" xfId="2" applyNumberFormat="1" applyFont="1" applyFill="1" applyBorder="1" applyAlignment="1">
      <alignment horizontal="left" vertical="center"/>
    </xf>
    <xf numFmtId="168" fontId="22" fillId="2" borderId="4" xfId="1" applyNumberFormat="1" applyFont="1" applyFill="1" applyBorder="1" applyAlignment="1" applyProtection="1">
      <alignment vertical="center"/>
      <protection locked="0"/>
    </xf>
    <xf numFmtId="168" fontId="20" fillId="2" borderId="4" xfId="1" applyNumberFormat="1" applyFont="1" applyFill="1" applyBorder="1" applyAlignment="1" applyProtection="1">
      <alignment horizontal="right" vertical="center"/>
      <protection locked="0"/>
    </xf>
    <xf numFmtId="168" fontId="24" fillId="2" borderId="0" xfId="1" applyNumberFormat="1" applyFont="1" applyFill="1" applyBorder="1" applyAlignment="1" applyProtection="1">
      <alignment horizontal="right" vertical="center"/>
      <protection locked="0"/>
    </xf>
    <xf numFmtId="168" fontId="22" fillId="2" borderId="5" xfId="1" applyNumberFormat="1" applyFont="1" applyFill="1" applyBorder="1" applyAlignment="1" applyProtection="1">
      <alignment vertical="center"/>
      <protection locked="0"/>
    </xf>
    <xf numFmtId="168" fontId="24" fillId="2" borderId="0" xfId="1" applyNumberFormat="1" applyFont="1" applyFill="1" applyBorder="1" applyAlignment="1" applyProtection="1">
      <alignment vertical="center"/>
      <protection locked="0"/>
    </xf>
    <xf numFmtId="168" fontId="20" fillId="2" borderId="0" xfId="1" applyNumberFormat="1" applyFont="1" applyFill="1" applyBorder="1" applyAlignment="1" applyProtection="1">
      <alignment horizontal="right" vertical="center"/>
      <protection locked="0"/>
    </xf>
    <xf numFmtId="168" fontId="22" fillId="2" borderId="4" xfId="1" applyNumberFormat="1" applyFont="1" applyFill="1" applyBorder="1" applyAlignment="1" applyProtection="1">
      <alignment horizontal="right" vertical="center"/>
    </xf>
    <xf numFmtId="168" fontId="22" fillId="2" borderId="4" xfId="1" applyNumberFormat="1" applyFont="1" applyFill="1" applyBorder="1" applyAlignment="1" applyProtection="1">
      <alignment horizontal="right"/>
    </xf>
    <xf numFmtId="168" fontId="22" fillId="2" borderId="0" xfId="1" applyNumberFormat="1" applyFont="1" applyFill="1" applyBorder="1" applyAlignment="1" applyProtection="1">
      <alignment vertical="center"/>
      <protection locked="0"/>
    </xf>
    <xf numFmtId="168" fontId="22" fillId="2" borderId="0" xfId="1" applyNumberFormat="1" applyFont="1" applyFill="1" applyBorder="1" applyAlignment="1" applyProtection="1">
      <alignment horizontal="right" vertical="center"/>
    </xf>
    <xf numFmtId="0" fontId="6" fillId="2" borderId="7" xfId="1" applyNumberFormat="1" applyFont="1" applyFill="1" applyBorder="1" applyAlignment="1" applyProtection="1">
      <alignment horizontal="right" vertical="center"/>
    </xf>
    <xf numFmtId="165" fontId="6" fillId="2" borderId="4" xfId="2" applyNumberFormat="1" applyFont="1" applyFill="1" applyBorder="1" applyAlignment="1" applyProtection="1">
      <alignment horizontal="right" vertical="center"/>
      <protection locked="0"/>
    </xf>
    <xf numFmtId="168" fontId="22" fillId="2" borderId="0" xfId="1" applyNumberFormat="1" applyFont="1" applyFill="1" applyBorder="1" applyAlignment="1" applyProtection="1">
      <alignment horizontal="right"/>
    </xf>
    <xf numFmtId="165" fontId="9" fillId="2" borderId="6" xfId="2" applyNumberFormat="1" applyFont="1" applyFill="1" applyBorder="1" applyAlignment="1">
      <alignment horizontal="center" vertical="center"/>
    </xf>
    <xf numFmtId="168" fontId="24" fillId="2" borderId="4" xfId="1" applyNumberFormat="1" applyFont="1" applyFill="1" applyBorder="1" applyAlignment="1" applyProtection="1">
      <alignment horizontal="right" vertical="center"/>
      <protection locked="0"/>
    </xf>
    <xf numFmtId="168" fontId="24" fillId="2" borderId="4" xfId="1" applyNumberFormat="1" applyFont="1" applyFill="1" applyBorder="1" applyAlignment="1" applyProtection="1">
      <alignment vertical="center"/>
      <protection locked="0"/>
    </xf>
    <xf numFmtId="165" fontId="12" fillId="2" borderId="0" xfId="2" applyNumberFormat="1" applyFont="1" applyFill="1" applyAlignment="1">
      <alignment horizontal="center" vertical="center"/>
    </xf>
    <xf numFmtId="165" fontId="31" fillId="2" borderId="3" xfId="2" applyNumberFormat="1" applyFont="1" applyFill="1" applyBorder="1" applyAlignment="1">
      <alignment horizontal="right" vertical="center"/>
    </xf>
    <xf numFmtId="165" fontId="31" fillId="2" borderId="0" xfId="2" applyNumberFormat="1" applyFont="1" applyFill="1" applyAlignment="1">
      <alignment horizontal="right" vertical="center"/>
    </xf>
    <xf numFmtId="165" fontId="31" fillId="2" borderId="1" xfId="2" applyNumberFormat="1" applyFont="1" applyFill="1" applyBorder="1" applyAlignment="1">
      <alignment horizontal="right" vertical="center"/>
    </xf>
    <xf numFmtId="165" fontId="28" fillId="2" borderId="0" xfId="2" applyNumberFormat="1" applyFont="1" applyFill="1" applyAlignment="1">
      <alignment horizontal="center" vertical="center"/>
    </xf>
    <xf numFmtId="165" fontId="28" fillId="2" borderId="0" xfId="2" applyNumberFormat="1" applyFont="1" applyFill="1" applyAlignment="1">
      <alignment horizontal="center" vertical="center" wrapText="1"/>
    </xf>
    <xf numFmtId="165" fontId="18" fillId="2" borderId="2" xfId="2" applyNumberFormat="1" applyFont="1" applyFill="1" applyBorder="1" applyAlignment="1">
      <alignment horizontal="center" vertical="center"/>
    </xf>
  </cellXfs>
  <cellStyles count="58">
    <cellStyle name="1" xfId="28" xr:uid="{76C201CC-CE73-4C90-9A06-45154FB055B6}"/>
    <cellStyle name="Comma" xfId="1" builtinId="3"/>
    <cellStyle name="Comma 12" xfId="23" xr:uid="{00000000-0005-0000-0000-000001000000}"/>
    <cellStyle name="Comma 2" xfId="7" xr:uid="{00000000-0005-0000-0000-000001000000}"/>
    <cellStyle name="Comma 2 2" xfId="42" xr:uid="{401DC34A-E408-43FB-920C-9F9457BBD147}"/>
    <cellStyle name="Comma 2 2 2 5" xfId="50" xr:uid="{C1998303-8CA9-4025-BBE6-2743187CFDE4}"/>
    <cellStyle name="Comma 3" xfId="8" xr:uid="{00000000-0005-0000-0000-000002000000}"/>
    <cellStyle name="Comma 3 2" xfId="18" xr:uid="{00000000-0005-0000-0000-000003000000}"/>
    <cellStyle name="Comma 3 3" xfId="29" xr:uid="{587BCFD8-56D5-4FBB-8089-D1FA3A44EB34}"/>
    <cellStyle name="Comma 4" xfId="4" xr:uid="{00000000-0005-0000-0000-000004000000}"/>
    <cellStyle name="Comma 4 2" xfId="15" xr:uid="{00000000-0005-0000-0000-000005000000}"/>
    <cellStyle name="Comma 5" xfId="13" xr:uid="{00000000-0005-0000-0000-000006000000}"/>
    <cellStyle name="Comma 6" xfId="10" xr:uid="{00000000-0005-0000-0000-000007000000}"/>
    <cellStyle name="Comma 6 2" xfId="19" xr:uid="{00000000-0005-0000-0000-000008000000}"/>
    <cellStyle name="Comma 7" xfId="17" xr:uid="{00000000-0005-0000-0000-000009000000}"/>
    <cellStyle name="Comma 8" xfId="21" xr:uid="{00000000-0005-0000-0000-000042000000}"/>
    <cellStyle name="Comma_13 Public Finance_done" xfId="3" xr:uid="{00000000-0005-0000-0000-00000A000000}"/>
    <cellStyle name="Excel Built-in Comma" xfId="6" xr:uid="{00000000-0005-0000-0000-00000B000000}"/>
    <cellStyle name="Excel Built-in Normal" xfId="5" xr:uid="{00000000-0005-0000-0000-00000C000000}"/>
    <cellStyle name="Normal" xfId="0" builtinId="0"/>
    <cellStyle name="Normal - Style1" xfId="30" xr:uid="{21F155A8-D425-4D1F-A85A-FD58B1360E62}"/>
    <cellStyle name="Normal 10" xfId="36" xr:uid="{2251A4FB-7386-4678-98C9-A0E23F878238}"/>
    <cellStyle name="Normal 11" xfId="47" xr:uid="{9582D04E-875D-4DE3-908C-3ECA3108442F}"/>
    <cellStyle name="Normal 12" xfId="49" xr:uid="{7BDE0B17-3A1C-4BD7-AEBA-0438F96E5400}"/>
    <cellStyle name="Normal 2" xfId="11" xr:uid="{00000000-0005-0000-0000-00000E000000}"/>
    <cellStyle name="Normal 2 2" xfId="14" xr:uid="{00000000-0005-0000-0000-00000F000000}"/>
    <cellStyle name="Normal 2 2 2" xfId="43" xr:uid="{ECE45599-994F-46DE-A353-173A52965C39}"/>
    <cellStyle name="Normal 2 2 3" xfId="44" xr:uid="{0FB9ECEA-81FF-47B0-A742-A6C8A1BA9786}"/>
    <cellStyle name="Normal 2 2 4" xfId="31" xr:uid="{CA2057B4-D096-4E2A-B8D3-7799F40CDCDF}"/>
    <cellStyle name="Normal 2 3" xfId="46" xr:uid="{5A67DC5E-9F30-4A95-B733-839FDE9B34E7}"/>
    <cellStyle name="Normal 2 3 2" xfId="57" xr:uid="{E5A9AC09-5435-4E9A-A06F-A62114A3F143}"/>
    <cellStyle name="Normal 2 4" xfId="48" xr:uid="{7F956B19-D6FC-4ACB-93F4-A106F7FCAEBA}"/>
    <cellStyle name="Normal 2 5" xfId="52" xr:uid="{AFE3908C-F555-453F-B7F4-C3FC3DEEF335}"/>
    <cellStyle name="Normal 2 6" xfId="24" xr:uid="{37BD0034-645C-4E71-A766-2DE0AEE16E0E}"/>
    <cellStyle name="Normal 3" xfId="12" xr:uid="{00000000-0005-0000-0000-000010000000}"/>
    <cellStyle name="Normal 3 2" xfId="45" xr:uid="{9ACADF21-8D9B-4891-8B3A-D260CB96916C}"/>
    <cellStyle name="Normal 3 2 2" xfId="54" xr:uid="{ABE75BC1-D598-4C3E-A268-C2F3BEC5DED4}"/>
    <cellStyle name="Normal 3 3" xfId="32" xr:uid="{F8308880-5534-464F-A897-838FC621FD98}"/>
    <cellStyle name="Normal 4" xfId="9" xr:uid="{00000000-0005-0000-0000-000011000000}"/>
    <cellStyle name="Normal 4 2" xfId="33" xr:uid="{FD6CE16F-03C2-4F44-B7D5-AEE34D23CAEF}"/>
    <cellStyle name="Normal 4 2 2" xfId="38" xr:uid="{AC3E1205-E5E6-4BEC-BBAC-30D4E3F85F90}"/>
    <cellStyle name="Normal 4 3" xfId="53" xr:uid="{703EEAFC-2F39-496A-A967-016F8A073FE2}"/>
    <cellStyle name="Normal 4 4" xfId="37" xr:uid="{D381B2D1-C641-4605-9377-1453EF5BEF1D}"/>
    <cellStyle name="Normal 5" xfId="20" xr:uid="{00000000-0005-0000-0000-000044000000}"/>
    <cellStyle name="Normal 5 2" xfId="26" xr:uid="{B8478FC9-83F0-40FB-8D3B-7CE8C4ED9CE8}"/>
    <cellStyle name="Normal 5 3" xfId="51" xr:uid="{6845A12F-956A-4FEA-B3F9-F9DFDC1143DC}"/>
    <cellStyle name="Normal 5 4" xfId="34" xr:uid="{1A1BA996-816C-426D-A44E-086452E39853}"/>
    <cellStyle name="Normal 6" xfId="39" xr:uid="{537D1B7F-A8D5-4B47-ACEF-1B56FCDA85A4}"/>
    <cellStyle name="Normal 6 2" xfId="55" xr:uid="{371F882D-7ABA-493A-93C2-DF9245042166}"/>
    <cellStyle name="Normal 7" xfId="40" xr:uid="{A0477F47-C7F1-420C-BA39-0A110B8F4F9A}"/>
    <cellStyle name="Normal 7 2" xfId="56" xr:uid="{20342888-2651-4C3B-809A-910D8CF5EF15}"/>
    <cellStyle name="Normal 8" xfId="41" xr:uid="{02DDA442-E220-4FB8-A535-9AE277C5A1B0}"/>
    <cellStyle name="Normal 9" xfId="27" xr:uid="{9C024FEA-FF16-4D19-8907-509BF0B2C81C}"/>
    <cellStyle name="Normal_13 Public Finance_done" xfId="2" xr:uid="{00000000-0005-0000-0000-000012000000}"/>
    <cellStyle name="Percent 2" xfId="16" xr:uid="{00000000-0005-0000-0000-000015000000}"/>
    <cellStyle name="Percent 2 2" xfId="25" xr:uid="{01D89AF1-CAA9-4D85-826B-6E38F663403B}"/>
    <cellStyle name="Percent 2 3" xfId="35" xr:uid="{D6DF988E-6E24-438E-83F6-6BF240646EE9}"/>
    <cellStyle name="Percent 3" xfId="22" xr:uid="{00000000-0005-0000-0000-000045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oftstorage\Data\Fiscal%20and%20Economic%20Research\Publications\Research%20publications\Budget%20in%20Statistics\Budget%20in%20Statistics%202023\English%20Tables\English%20Tables\IMF%20Tables%202012%20-2024.xlsx" TargetMode="External"/><Relationship Id="rId1" Type="http://schemas.openxmlformats.org/officeDocument/2006/relationships/externalLinkPath" Target="file:///\\moftstorage\Data\Fiscal%20and%20Economic%20Research\Publications\Research%20publications\Budget%20in%20Statistics\Budget%20in%20Statistics%202023\English%20Tables\English%20Tables\IMF%20Tables%202012%20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F"/>
    </sheetNames>
    <sheetDataSet>
      <sheetData sheetId="0">
        <row r="1">
          <cell r="R1">
            <v>2019</v>
          </cell>
          <cell r="S1">
            <v>2020</v>
          </cell>
          <cell r="T1">
            <v>2021</v>
          </cell>
        </row>
        <row r="2">
          <cell r="B2" t="str">
            <v>Particulars</v>
          </cell>
          <cell r="R2" t="str">
            <v>Actual</v>
          </cell>
          <cell r="S2" t="str">
            <v>Actual</v>
          </cell>
          <cell r="T2" t="str">
            <v>Actual</v>
          </cell>
        </row>
        <row r="5">
          <cell r="B5" t="str">
            <v>TABLE 1. SUMMARY OF CENTRAL GOVERNMENT FINANCE, 2017 - 2025</v>
          </cell>
        </row>
        <row r="6">
          <cell r="B6" t="str">
            <v>(In million MVR)</v>
          </cell>
        </row>
        <row r="8">
          <cell r="B8" t="str">
            <v>Particulars</v>
          </cell>
          <cell r="R8">
            <v>2019</v>
          </cell>
          <cell r="S8">
            <v>2020</v>
          </cell>
          <cell r="T8">
            <v>2021</v>
          </cell>
        </row>
        <row r="9">
          <cell r="R9" t="str">
            <v>Actual</v>
          </cell>
          <cell r="S9" t="str">
            <v>Actual</v>
          </cell>
          <cell r="T9" t="str">
            <v>Actual</v>
          </cell>
        </row>
        <row r="12">
          <cell r="B12" t="str">
            <v>Total Revenue &amp; Grants</v>
          </cell>
          <cell r="R12">
            <v>23231.857586999999</v>
          </cell>
          <cell r="S12">
            <v>15221.889824000002</v>
          </cell>
          <cell r="T12">
            <v>21353.432262999999</v>
          </cell>
        </row>
        <row r="13">
          <cell r="B13" t="str">
            <v>Total Revenue</v>
          </cell>
          <cell r="R13">
            <v>22076.971195999999</v>
          </cell>
          <cell r="S13">
            <v>14263.897212000002</v>
          </cell>
          <cell r="T13">
            <v>20321.584273</v>
          </cell>
        </row>
        <row r="14">
          <cell r="B14" t="str">
            <v>Current Revenue</v>
          </cell>
          <cell r="R14">
            <v>22021.574255</v>
          </cell>
          <cell r="S14">
            <v>14248.325280000001</v>
          </cell>
          <cell r="T14">
            <v>20278.271041</v>
          </cell>
        </row>
        <row r="15">
          <cell r="B15" t="str">
            <v>Capital Revenue</v>
          </cell>
          <cell r="R15">
            <v>55.396940999999998</v>
          </cell>
          <cell r="S15">
            <v>15.571932</v>
          </cell>
          <cell r="T15">
            <v>43.313231999999999</v>
          </cell>
        </row>
        <row r="16">
          <cell r="B16" t="str">
            <v xml:space="preserve">Grants </v>
          </cell>
          <cell r="R16">
            <v>1154.886391</v>
          </cell>
          <cell r="S16">
            <v>957.99261200000001</v>
          </cell>
          <cell r="T16">
            <v>1031.84799</v>
          </cell>
        </row>
        <row r="18">
          <cell r="B18" t="str">
            <v>Total Expenditure &amp; Net Lending</v>
          </cell>
          <cell r="R18">
            <v>28919.533213000002</v>
          </cell>
          <cell r="S18">
            <v>28578.251746999995</v>
          </cell>
          <cell r="T18">
            <v>32860.121911999995</v>
          </cell>
        </row>
        <row r="19">
          <cell r="B19" t="str">
            <v>Total Expenditure</v>
          </cell>
          <cell r="R19">
            <v>28994.730041000003</v>
          </cell>
          <cell r="S19">
            <v>28753.534202999996</v>
          </cell>
          <cell r="T19">
            <v>32859.391651999998</v>
          </cell>
        </row>
        <row r="20">
          <cell r="B20" t="str">
            <v>Current expenditure</v>
          </cell>
          <cell r="R20">
            <v>21371.957551</v>
          </cell>
          <cell r="S20">
            <v>20307.427750999996</v>
          </cell>
          <cell r="T20">
            <v>24036.506501</v>
          </cell>
        </row>
        <row r="21">
          <cell r="B21" t="str">
            <v xml:space="preserve">Capital expenditure </v>
          </cell>
          <cell r="R21">
            <v>7622.7724900000012</v>
          </cell>
          <cell r="S21">
            <v>8446.106452</v>
          </cell>
          <cell r="T21">
            <v>8822.8851509999986</v>
          </cell>
        </row>
        <row r="22">
          <cell r="B22" t="str">
            <v>Net lending</v>
          </cell>
          <cell r="R22">
            <v>-75.196827999999996</v>
          </cell>
          <cell r="S22">
            <v>-175.28245600000002</v>
          </cell>
          <cell r="T22">
            <v>0.73026000000000124</v>
          </cell>
        </row>
        <row r="23">
          <cell r="B23" t="str">
            <v>Overall Balance (Surplus/Deficit) /1</v>
          </cell>
          <cell r="R23">
            <v>-5762.8724540000039</v>
          </cell>
          <cell r="S23">
            <v>-13531.644378999994</v>
          </cell>
          <cell r="T23">
            <v>-11505.959389</v>
          </cell>
        </row>
        <row r="24">
          <cell r="B24" t="str">
            <v>Primary Balance (Surplus/Deficit)</v>
          </cell>
          <cell r="R24">
            <v>-4222.0593300000037</v>
          </cell>
          <cell r="S24">
            <v>-11927.785244999994</v>
          </cell>
          <cell r="T24">
            <v>-9401.4938469999997</v>
          </cell>
        </row>
        <row r="25">
          <cell r="B25" t="str">
            <v>Overall Balance excluding grants</v>
          </cell>
          <cell r="R25">
            <v>-6917.7588450000039</v>
          </cell>
          <cell r="S25">
            <v>-14489.636990999994</v>
          </cell>
          <cell r="T25">
            <v>-12537.807378999998</v>
          </cell>
        </row>
        <row r="26">
          <cell r="B26" t="str">
            <v>Current balance</v>
          </cell>
          <cell r="R26">
            <v>649.61670400000003</v>
          </cell>
          <cell r="S26">
            <v>-6059.1024709999947</v>
          </cell>
          <cell r="T26">
            <v>-3758.2354599999999</v>
          </cell>
        </row>
        <row r="29">
          <cell r="B29" t="str">
            <v>Financing</v>
          </cell>
          <cell r="R29">
            <v>5762.9349990000001</v>
          </cell>
          <cell r="S29">
            <v>13531.644378999999</v>
          </cell>
          <cell r="T29">
            <v>11505.959389</v>
          </cell>
        </row>
        <row r="31">
          <cell r="B31" t="str">
            <v>Foreign financing</v>
          </cell>
          <cell r="R31">
            <v>936.13370099999997</v>
          </cell>
          <cell r="S31">
            <v>2504.0601139999999</v>
          </cell>
          <cell r="T31">
            <v>5182.1395119999997</v>
          </cell>
        </row>
        <row r="32">
          <cell r="B32" t="str">
            <v xml:space="preserve">Project Financing </v>
          </cell>
          <cell r="R32">
            <v>1853.161296</v>
          </cell>
          <cell r="S32">
            <v>1107.648598</v>
          </cell>
          <cell r="T32">
            <v>1317.739806</v>
          </cell>
        </row>
        <row r="33">
          <cell r="B33" t="str">
            <v xml:space="preserve">Budget Support Financing </v>
          </cell>
          <cell r="R33" t="str">
            <v>-</v>
          </cell>
          <cell r="S33">
            <v>2021.967142</v>
          </cell>
          <cell r="T33">
            <v>0</v>
          </cell>
        </row>
        <row r="34">
          <cell r="B34" t="str">
            <v xml:space="preserve">Trade Credit Disbursements </v>
          </cell>
          <cell r="R34" t="str">
            <v>-</v>
          </cell>
          <cell r="T34">
            <v>0</v>
          </cell>
        </row>
        <row r="35">
          <cell r="B35" t="str">
            <v xml:space="preserve">Foreign Loan Repayments </v>
          </cell>
          <cell r="R35">
            <v>-987.49569299999996</v>
          </cell>
          <cell r="S35">
            <v>-753.31096500000001</v>
          </cell>
          <cell r="T35">
            <v>-3847.8034980000002</v>
          </cell>
        </row>
        <row r="36">
          <cell r="B36" t="str">
            <v>Green/Blue Bond</v>
          </cell>
          <cell r="R36" t="str">
            <v>-</v>
          </cell>
          <cell r="T36">
            <v>0</v>
          </cell>
        </row>
        <row r="37">
          <cell r="B37" t="str">
            <v>Sukuk/Bond</v>
          </cell>
          <cell r="R37">
            <v>70.468097999999998</v>
          </cell>
          <cell r="S37">
            <v>127.75533900000001</v>
          </cell>
          <cell r="T37">
            <v>7712.2032040000004</v>
          </cell>
        </row>
        <row r="38">
          <cell r="B38" t="str">
            <v>Domestic financing</v>
          </cell>
          <cell r="R38">
            <v>4826.8012980000003</v>
          </cell>
          <cell r="S38">
            <v>11027.584265</v>
          </cell>
          <cell r="T38">
            <v>6323.8198770000008</v>
          </cell>
        </row>
        <row r="39">
          <cell r="B39" t="str">
            <v>Treasury Bills</v>
          </cell>
          <cell r="R39">
            <v>6273.8652000000002</v>
          </cell>
          <cell r="S39">
            <v>11879.489238</v>
          </cell>
          <cell r="T39" t="str">
            <v>-</v>
          </cell>
        </row>
        <row r="40">
          <cell r="B40" t="str">
            <v>Subsidiary Loan repayment</v>
          </cell>
          <cell r="R40">
            <v>84.135863000000001</v>
          </cell>
          <cell r="S40">
            <v>191.42372499999999</v>
          </cell>
          <cell r="T40">
            <v>11.455117</v>
          </cell>
        </row>
        <row r="41">
          <cell r="B41" t="str">
            <v>Treasury Bills and Bonds</v>
          </cell>
          <cell r="R41" t="str">
            <v>-</v>
          </cell>
          <cell r="S41" t="str">
            <v>-</v>
          </cell>
          <cell r="T41">
            <v>7235.6427599999997</v>
          </cell>
        </row>
        <row r="42">
          <cell r="B42" t="str">
            <v>Capital contributions to foreign institutions</v>
          </cell>
          <cell r="R42">
            <v>-8.9390350000000005</v>
          </cell>
          <cell r="S42">
            <v>-9.8662690000000008</v>
          </cell>
          <cell r="T42">
            <v>-12.185377000000001</v>
          </cell>
        </row>
        <row r="43">
          <cell r="B43" t="str">
            <v>Domestic Loans repayments</v>
          </cell>
          <cell r="R43">
            <v>-137.05185299999999</v>
          </cell>
          <cell r="S43">
            <v>-439.81843800000001</v>
          </cell>
          <cell r="T43">
            <v>-199.982303</v>
          </cell>
        </row>
        <row r="44">
          <cell r="B44" t="str">
            <v xml:space="preserve">Treasury Bonds </v>
          </cell>
          <cell r="R44" t="str">
            <v>-</v>
          </cell>
          <cell r="T44" t="str">
            <v>-</v>
          </cell>
        </row>
        <row r="45">
          <cell r="B45" t="str">
            <v>Transfers to sovereign development Fund</v>
          </cell>
          <cell r="R45">
            <v>-1385.208877</v>
          </cell>
          <cell r="S45">
            <v>-393.64399100000003</v>
          </cell>
          <cell r="T45">
            <v>-485.38864899999999</v>
          </cell>
        </row>
        <row r="46">
          <cell r="B46" t="str">
            <v>Transfers from sovereign development fund</v>
          </cell>
          <cell r="R46" t="str">
            <v>-</v>
          </cell>
          <cell r="S46" t="str">
            <v>-</v>
          </cell>
          <cell r="T46" t="str">
            <v>-</v>
          </cell>
        </row>
        <row r="47">
          <cell r="B47" t="str">
            <v>Pending Bills</v>
          </cell>
          <cell r="R47" t="str">
            <v>-</v>
          </cell>
          <cell r="S47" t="str">
            <v>-</v>
          </cell>
          <cell r="T47" t="str">
            <v>-</v>
          </cell>
        </row>
        <row r="48">
          <cell r="B48" t="str">
            <v>Privatisation Receipts</v>
          </cell>
          <cell r="R48" t="str">
            <v>-</v>
          </cell>
          <cell r="S48" t="str">
            <v>-</v>
          </cell>
          <cell r="T48" t="str">
            <v>-</v>
          </cell>
        </row>
        <row r="49">
          <cell r="B49" t="str">
            <v xml:space="preserve">Long term investments </v>
          </cell>
          <cell r="S49">
            <v>-200</v>
          </cell>
          <cell r="T49">
            <v>-225.72167099999999</v>
          </cell>
        </row>
        <row r="50">
          <cell r="B50" t="str">
            <v xml:space="preserve">Total Debt </v>
          </cell>
          <cell r="R50">
            <v>54257.188934999998</v>
          </cell>
          <cell r="S50">
            <v>66562.899999999994</v>
          </cell>
          <cell r="T50">
            <v>79676</v>
          </cell>
        </row>
        <row r="51">
          <cell r="B51" t="str">
            <v>Foreign</v>
          </cell>
          <cell r="R51">
            <v>22030.2</v>
          </cell>
          <cell r="S51">
            <v>24934.6</v>
          </cell>
          <cell r="T51">
            <v>33003.199999999997</v>
          </cell>
        </row>
        <row r="52">
          <cell r="B52" t="str">
            <v xml:space="preserve">Domestic </v>
          </cell>
          <cell r="R52">
            <v>32226.988934999998</v>
          </cell>
          <cell r="S52">
            <v>41628.300000000003</v>
          </cell>
          <cell r="T52">
            <v>46672.800000000003</v>
          </cell>
        </row>
        <row r="55">
          <cell r="B55" t="str">
            <v>Memorandum Items:</v>
          </cell>
        </row>
        <row r="56">
          <cell r="B56" t="str">
            <v xml:space="preserve">Nominal GDP </v>
          </cell>
          <cell r="R56">
            <v>86258.604658655982</v>
          </cell>
          <cell r="S56">
            <v>57568.66772968907</v>
          </cell>
          <cell r="T56">
            <v>83098.3</v>
          </cell>
        </row>
        <row r="57">
          <cell r="B57" t="str">
            <v xml:space="preserve">Deficit as a % of GDP </v>
          </cell>
          <cell r="R57">
            <v>-6.6809247341815245E-2</v>
          </cell>
          <cell r="S57">
            <v>-0.23505224130836558</v>
          </cell>
          <cell r="T57">
            <v>-0.13846203098017648</v>
          </cell>
        </row>
        <row r="58">
          <cell r="B58" t="str">
            <v>1/ From 2013 : Overall Balance (Surplus/Deficit)- As per GFS 2014 (netlending taken to financing)</v>
          </cell>
        </row>
        <row r="59">
          <cell r="B59" t="str">
            <v>*Rebased Nominal GDP (2004-2018) as at Oct 2017</v>
          </cell>
        </row>
        <row r="61">
          <cell r="B61" t="str">
            <v xml:space="preserve">Source: Ministry of Finance </v>
          </cell>
        </row>
        <row r="62">
          <cell r="B62" t="str">
            <v>TABLE 2.  CENTRAL GOVERNMENT REVENUE AND GRANTS, 2017 - 2025</v>
          </cell>
        </row>
        <row r="63">
          <cell r="B63" t="str">
            <v>(In million Rufiyaa)</v>
          </cell>
        </row>
        <row r="65">
          <cell r="B65" t="str">
            <v>Particulars</v>
          </cell>
          <cell r="R65">
            <v>2019</v>
          </cell>
          <cell r="S65">
            <v>2020</v>
          </cell>
          <cell r="T65">
            <v>2021</v>
          </cell>
        </row>
        <row r="66">
          <cell r="R66" t="str">
            <v>Actual</v>
          </cell>
          <cell r="S66" t="str">
            <v>Actual</v>
          </cell>
          <cell r="T66" t="str">
            <v>Actual</v>
          </cell>
        </row>
        <row r="69">
          <cell r="B69" t="str">
            <v>Total Revenue and grants /1</v>
          </cell>
          <cell r="R69">
            <v>23231.857586999999</v>
          </cell>
          <cell r="S69">
            <v>15221.889824000002</v>
          </cell>
          <cell r="T69">
            <v>21353.432262999999</v>
          </cell>
        </row>
        <row r="71">
          <cell r="B71" t="str">
            <v xml:space="preserve">  Total Revenue</v>
          </cell>
          <cell r="R71">
            <v>22076.971195999999</v>
          </cell>
          <cell r="S71">
            <v>14263.897212000002</v>
          </cell>
          <cell r="T71">
            <v>20321.584273</v>
          </cell>
        </row>
        <row r="72">
          <cell r="B72" t="str">
            <v>Current Revenue</v>
          </cell>
          <cell r="R72">
            <v>22021.574255</v>
          </cell>
          <cell r="S72">
            <v>14248.325280000001</v>
          </cell>
          <cell r="T72">
            <v>20278.271041</v>
          </cell>
        </row>
        <row r="73">
          <cell r="B73" t="str">
            <v>Tax revenue</v>
          </cell>
          <cell r="R73">
            <v>16530.522525</v>
          </cell>
          <cell r="S73">
            <v>10959.206985000001</v>
          </cell>
          <cell r="T73">
            <v>14681.611791000001</v>
          </cell>
        </row>
        <row r="74">
          <cell r="B74" t="str">
            <v>Import duty</v>
          </cell>
          <cell r="R74">
            <v>3412.2747420000001</v>
          </cell>
          <cell r="S74">
            <v>2263.6462029999998</v>
          </cell>
          <cell r="T74">
            <v>2843.0302649999999</v>
          </cell>
        </row>
        <row r="75">
          <cell r="B75" t="str">
            <v>Export Duty</v>
          </cell>
          <cell r="R75">
            <v>0</v>
          </cell>
          <cell r="S75">
            <v>0</v>
          </cell>
          <cell r="T75">
            <v>0</v>
          </cell>
        </row>
        <row r="76">
          <cell r="B76" t="str">
            <v>Tourism Tax</v>
          </cell>
          <cell r="R76">
            <v>0</v>
          </cell>
          <cell r="S76">
            <v>0</v>
          </cell>
          <cell r="T76">
            <v>0</v>
          </cell>
        </row>
        <row r="77">
          <cell r="B77" t="str">
            <v>Bank profit tax</v>
          </cell>
          <cell r="R77">
            <v>613.96983899999998</v>
          </cell>
          <cell r="S77">
            <v>953.69964300000004</v>
          </cell>
          <cell r="T77">
            <v>675.07108300000004</v>
          </cell>
        </row>
        <row r="78">
          <cell r="B78" t="str">
            <v xml:space="preserve">GST on Tourism </v>
          </cell>
          <cell r="R78">
            <v>4903.4014909999996</v>
          </cell>
          <cell r="S78">
            <v>2220.15202</v>
          </cell>
          <cell r="T78">
            <v>5247.6728439999997</v>
          </cell>
        </row>
        <row r="79">
          <cell r="B79" t="str">
            <v xml:space="preserve">Goods and Services Tax </v>
          </cell>
          <cell r="R79">
            <v>2844.9094030000001</v>
          </cell>
          <cell r="S79">
            <v>2086.6036899999999</v>
          </cell>
          <cell r="T79">
            <v>2485.6462230000002</v>
          </cell>
        </row>
        <row r="80">
          <cell r="B80" t="str">
            <v xml:space="preserve">Airport Service Charge </v>
          </cell>
          <cell r="R80">
            <v>731.09599100000003</v>
          </cell>
          <cell r="S80">
            <v>283.33959199999998</v>
          </cell>
          <cell r="T80">
            <v>473.42844400000001</v>
          </cell>
        </row>
        <row r="81">
          <cell r="B81" t="str">
            <v xml:space="preserve">Business Profit Tax </v>
          </cell>
          <cell r="R81">
            <v>2898.7429280000001</v>
          </cell>
          <cell r="S81">
            <v>2617.5599299999999</v>
          </cell>
          <cell r="T81">
            <v>1846.9601709999999</v>
          </cell>
        </row>
        <row r="82">
          <cell r="B82" t="str">
            <v>Green Tax /3</v>
          </cell>
          <cell r="R82">
            <v>850.61515499999996</v>
          </cell>
          <cell r="S82">
            <v>351.77424000000002</v>
          </cell>
          <cell r="T82">
            <v>802.11189999999999</v>
          </cell>
        </row>
        <row r="83">
          <cell r="B83" t="str">
            <v>Royalties /2</v>
          </cell>
          <cell r="R83">
            <v>90.232765000000001</v>
          </cell>
          <cell r="S83">
            <v>25.936275999999999</v>
          </cell>
          <cell r="T83">
            <v>79.243127999999999</v>
          </cell>
        </row>
        <row r="84">
          <cell r="B84" t="str">
            <v xml:space="preserve">Income Tax </v>
          </cell>
          <cell r="R84">
            <v>0</v>
          </cell>
          <cell r="S84">
            <v>83.199878999999996</v>
          </cell>
          <cell r="T84">
            <v>217.138767</v>
          </cell>
        </row>
        <row r="85">
          <cell r="B85" t="str">
            <v>Other</v>
          </cell>
          <cell r="R85">
            <v>185.28021100000001</v>
          </cell>
          <cell r="S85">
            <v>73.295512000000002</v>
          </cell>
          <cell r="T85">
            <v>11.308966</v>
          </cell>
        </row>
        <row r="87">
          <cell r="B87" t="str">
            <v xml:space="preserve">  Nontax revenue</v>
          </cell>
          <cell r="R87">
            <v>5491.0517299999992</v>
          </cell>
          <cell r="S87">
            <v>3289.1182950000002</v>
          </cell>
          <cell r="T87">
            <v>5596.6592499999997</v>
          </cell>
        </row>
        <row r="88">
          <cell r="B88" t="str">
            <v>Entrpreneurial &amp; property income</v>
          </cell>
          <cell r="R88">
            <v>2693.158406</v>
          </cell>
          <cell r="S88">
            <v>1562.9497470000001</v>
          </cell>
          <cell r="T88">
            <v>2681.740988</v>
          </cell>
        </row>
        <row r="89">
          <cell r="B89" t="str">
            <v>Net Sales to Public Enterprises</v>
          </cell>
          <cell r="R89">
            <v>773.66139199999998</v>
          </cell>
          <cell r="S89">
            <v>592.27781500000003</v>
          </cell>
          <cell r="T89">
            <v>487.77000000000004</v>
          </cell>
        </row>
        <row r="90">
          <cell r="B90" t="str">
            <v>State Trading Organisation</v>
          </cell>
          <cell r="R90">
            <v>1.6950000000000001</v>
          </cell>
          <cell r="S90">
            <v>0.87</v>
          </cell>
          <cell r="T90">
            <v>0.9</v>
          </cell>
        </row>
        <row r="91">
          <cell r="B91" t="str">
            <v>State Electric Company</v>
          </cell>
          <cell r="R91">
            <v>0</v>
          </cell>
          <cell r="S91">
            <v>0</v>
          </cell>
          <cell r="T91">
            <v>0</v>
          </cell>
        </row>
        <row r="92">
          <cell r="B92" t="str">
            <v>Post and Telecommunications</v>
          </cell>
          <cell r="R92">
            <v>0</v>
          </cell>
        </row>
        <row r="93">
          <cell r="B93" t="str">
            <v>Dhivehi Rajjeege Gulhun ltd.(Dhiraagu)</v>
          </cell>
          <cell r="R93">
            <v>320.813064</v>
          </cell>
          <cell r="S93">
            <v>226.67208600000001</v>
          </cell>
          <cell r="T93">
            <v>253.239228</v>
          </cell>
        </row>
        <row r="94">
          <cell r="B94" t="str">
            <v>Maldives Post Limited</v>
          </cell>
          <cell r="R94">
            <v>0</v>
          </cell>
          <cell r="S94">
            <v>0</v>
          </cell>
          <cell r="T94">
            <v>0</v>
          </cell>
        </row>
        <row r="95">
          <cell r="B95" t="str">
            <v>Maldives Monetary Authority</v>
          </cell>
          <cell r="R95">
            <v>150</v>
          </cell>
          <cell r="S95">
            <v>169.074162</v>
          </cell>
          <cell r="T95">
            <v>20</v>
          </cell>
        </row>
        <row r="96">
          <cell r="B96" t="str">
            <v>Maldives Industrial Fisheries Corporation</v>
          </cell>
          <cell r="R96">
            <v>0</v>
          </cell>
          <cell r="S96">
            <v>0</v>
          </cell>
          <cell r="T96">
            <v>0</v>
          </cell>
        </row>
        <row r="97">
          <cell r="B97" t="str">
            <v>Island Aviation Services Limited</v>
          </cell>
          <cell r="R97">
            <v>0</v>
          </cell>
          <cell r="S97">
            <v>0</v>
          </cell>
          <cell r="T97">
            <v>0</v>
          </cell>
        </row>
        <row r="98">
          <cell r="B98" t="str">
            <v xml:space="preserve">Building Construction and Machanical Workshop/ Public Works Services </v>
          </cell>
          <cell r="R98">
            <v>0</v>
          </cell>
          <cell r="S98">
            <v>0</v>
          </cell>
          <cell r="T98">
            <v>0</v>
          </cell>
        </row>
        <row r="99">
          <cell r="B99" t="str">
            <v>Air Maldives</v>
          </cell>
          <cell r="R99">
            <v>0</v>
          </cell>
          <cell r="T99">
            <v>0</v>
          </cell>
        </row>
        <row r="100">
          <cell r="B100" t="str">
            <v>Maldives Transport &amp; Contracting Co.</v>
          </cell>
          <cell r="R100">
            <v>0</v>
          </cell>
          <cell r="S100">
            <v>0</v>
          </cell>
          <cell r="T100">
            <v>0</v>
          </cell>
        </row>
        <row r="101">
          <cell r="B101" t="str">
            <v>Maldives Ports Authority/ Maldives Ports Limited</v>
          </cell>
          <cell r="R101">
            <v>0</v>
          </cell>
          <cell r="S101">
            <v>0</v>
          </cell>
          <cell r="T101">
            <v>10</v>
          </cell>
        </row>
        <row r="102">
          <cell r="B102" t="str">
            <v>Bank of Maldives</v>
          </cell>
          <cell r="R102">
            <v>75.077951999999996</v>
          </cell>
          <cell r="S102">
            <v>0</v>
          </cell>
          <cell r="T102">
            <v>128.25816800000001</v>
          </cell>
        </row>
        <row r="103">
          <cell r="B103" t="str">
            <v>Maldives Airports Company Ltd</v>
          </cell>
          <cell r="R103">
            <v>75</v>
          </cell>
          <cell r="S103">
            <v>0</v>
          </cell>
          <cell r="T103">
            <v>0</v>
          </cell>
        </row>
        <row r="104">
          <cell r="B104" t="str">
            <v>Hulhumale Development Corperation</v>
          </cell>
        </row>
        <row r="105">
          <cell r="B105" t="str">
            <v>Housing Development Corperation</v>
          </cell>
          <cell r="R105">
            <v>0</v>
          </cell>
          <cell r="S105">
            <v>0</v>
          </cell>
          <cell r="T105">
            <v>0</v>
          </cell>
        </row>
        <row r="106">
          <cell r="B106" t="str">
            <v>Government hotels</v>
          </cell>
          <cell r="R106">
            <v>0</v>
          </cell>
          <cell r="S106">
            <v>0</v>
          </cell>
          <cell r="T106">
            <v>0</v>
          </cell>
        </row>
        <row r="107">
          <cell r="B107" t="str">
            <v>Maldives Inflight Catering Services</v>
          </cell>
          <cell r="R107">
            <v>0</v>
          </cell>
          <cell r="S107">
            <v>0</v>
          </cell>
          <cell r="T107">
            <v>0</v>
          </cell>
        </row>
        <row r="108">
          <cell r="B108" t="str">
            <v>Maldives Water &amp; Sewerage Company</v>
          </cell>
          <cell r="R108">
            <v>100</v>
          </cell>
          <cell r="S108">
            <v>75</v>
          </cell>
          <cell r="T108">
            <v>42</v>
          </cell>
        </row>
        <row r="109">
          <cell r="B109" t="str">
            <v xml:space="preserve">Housing Development Finance Corporation </v>
          </cell>
          <cell r="R109">
            <v>19.523199999999999</v>
          </cell>
          <cell r="S109">
            <v>21.475519999999999</v>
          </cell>
          <cell r="T109">
            <v>0</v>
          </cell>
        </row>
        <row r="110">
          <cell r="B110" t="str">
            <v xml:space="preserve">Maldives Tourism Development Corporation </v>
          </cell>
          <cell r="R110">
            <v>0</v>
          </cell>
          <cell r="S110">
            <v>0</v>
          </cell>
          <cell r="T110">
            <v>15.575104</v>
          </cell>
        </row>
        <row r="111">
          <cell r="B111" t="str">
            <v xml:space="preserve">Maldives National Shipping Limited </v>
          </cell>
          <cell r="R111">
            <v>0</v>
          </cell>
          <cell r="S111">
            <v>0</v>
          </cell>
          <cell r="T111">
            <v>0</v>
          </cell>
        </row>
        <row r="112">
          <cell r="B112" t="str">
            <v>Thilafushi Corperation Limited</v>
          </cell>
          <cell r="R112">
            <v>0</v>
          </cell>
          <cell r="S112">
            <v>0</v>
          </cell>
          <cell r="T112">
            <v>0</v>
          </cell>
        </row>
        <row r="113">
          <cell r="B113" t="str">
            <v>Maldives National Broadcasting Corporation</v>
          </cell>
          <cell r="R113">
            <v>0</v>
          </cell>
          <cell r="S113">
            <v>0</v>
          </cell>
          <cell r="T113">
            <v>0</v>
          </cell>
        </row>
        <row r="114">
          <cell r="B114" t="str">
            <v>Kooddoo fisheries pvt ltd</v>
          </cell>
          <cell r="R114">
            <v>0</v>
          </cell>
          <cell r="S114">
            <v>0</v>
          </cell>
          <cell r="T114">
            <v>0</v>
          </cell>
        </row>
        <row r="115">
          <cell r="B115" t="str">
            <v xml:space="preserve">Gulhifalhu Industrial </v>
          </cell>
          <cell r="R115">
            <v>0</v>
          </cell>
          <cell r="S115">
            <v>0</v>
          </cell>
          <cell r="T115">
            <v>0</v>
          </cell>
        </row>
        <row r="116">
          <cell r="B116" t="str">
            <v xml:space="preserve">Other </v>
          </cell>
          <cell r="R116">
            <v>31.552175999999999</v>
          </cell>
          <cell r="S116">
            <v>99.186047000000002</v>
          </cell>
          <cell r="T116">
            <v>17.797499999999999</v>
          </cell>
        </row>
        <row r="118">
          <cell r="B118" t="str">
            <v>Land &amp; resort rent</v>
          </cell>
          <cell r="R118">
            <v>1759.8326240000001</v>
          </cell>
          <cell r="S118">
            <v>755.376935</v>
          </cell>
          <cell r="T118">
            <v>2160.3369499999999</v>
          </cell>
        </row>
        <row r="119">
          <cell r="B119" t="str">
            <v>Resort lease rent</v>
          </cell>
          <cell r="R119">
            <v>1654.2163660000001</v>
          </cell>
          <cell r="S119">
            <v>700.68398300000001</v>
          </cell>
          <cell r="T119">
            <v>2072.300827</v>
          </cell>
        </row>
        <row r="120">
          <cell r="B120" t="str">
            <v>Land rent</v>
          </cell>
          <cell r="R120">
            <v>105.616258</v>
          </cell>
          <cell r="S120">
            <v>54.692951999999998</v>
          </cell>
          <cell r="T120">
            <v>88.036123000000003</v>
          </cell>
        </row>
        <row r="121">
          <cell r="B121" t="str">
            <v>Royalties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Acquisition cost of SEZ Investments</v>
          </cell>
          <cell r="R122">
            <v>0</v>
          </cell>
          <cell r="S122">
            <v>0</v>
          </cell>
          <cell r="T122">
            <v>0</v>
          </cell>
        </row>
        <row r="123">
          <cell r="B123" t="str">
            <v>Interest</v>
          </cell>
          <cell r="R123">
            <v>159.66439</v>
          </cell>
          <cell r="S123">
            <v>215.294997</v>
          </cell>
          <cell r="T123">
            <v>33.634037999999997</v>
          </cell>
        </row>
        <row r="125">
          <cell r="B125" t="str">
            <v>Administrative fees &amp; charges</v>
          </cell>
          <cell r="R125">
            <v>1481.6744570000001</v>
          </cell>
          <cell r="S125">
            <v>1101.2394850000001</v>
          </cell>
          <cell r="T125">
            <v>1667.306685</v>
          </cell>
        </row>
        <row r="126">
          <cell r="B126" t="str">
            <v>Permit fee</v>
          </cell>
          <cell r="R126">
            <v>884.09122900000011</v>
          </cell>
          <cell r="S126">
            <v>633.06540500000006</v>
          </cell>
          <cell r="T126">
            <v>1029.2209560000001</v>
          </cell>
        </row>
        <row r="127">
          <cell r="B127" t="str">
            <v>Telecommunication Licence Fees</v>
          </cell>
          <cell r="R127">
            <v>230.31901300000001</v>
          </cell>
          <cell r="S127">
            <v>188.27304599999999</v>
          </cell>
          <cell r="T127">
            <v>207.09895499999999</v>
          </cell>
        </row>
        <row r="128">
          <cell r="B128" t="str">
            <v xml:space="preserve">Other govt permit fees </v>
          </cell>
          <cell r="R128">
            <v>653.77221600000007</v>
          </cell>
          <cell r="S128">
            <v>444.79235900000003</v>
          </cell>
          <cell r="T128">
            <v>822.12200100000007</v>
          </cell>
        </row>
        <row r="129">
          <cell r="B129" t="str">
            <v xml:space="preserve">Administrative fees </v>
          </cell>
          <cell r="R129">
            <v>195.99394899999999</v>
          </cell>
          <cell r="S129">
            <v>179.71566000000001</v>
          </cell>
          <cell r="T129">
            <v>532.3130799999999</v>
          </cell>
        </row>
        <row r="130">
          <cell r="B130" t="str">
            <v xml:space="preserve">Airport Landing Charges </v>
          </cell>
          <cell r="R130">
            <v>0.30929000000000001</v>
          </cell>
          <cell r="S130">
            <v>4.2529999999999998E-2</v>
          </cell>
          <cell r="T130">
            <v>4.8049000000000001E-2</v>
          </cell>
        </row>
        <row r="131">
          <cell r="B131" t="str">
            <v>Registration and licence fee</v>
          </cell>
          <cell r="R131">
            <v>183.10278099999999</v>
          </cell>
          <cell r="S131">
            <v>170.203643</v>
          </cell>
          <cell r="T131">
            <v>515.66306299999997</v>
          </cell>
        </row>
        <row r="132">
          <cell r="B132" t="str">
            <v>Exam fees</v>
          </cell>
          <cell r="R132">
            <v>12.581878</v>
          </cell>
          <cell r="S132">
            <v>9.4694870000000009</v>
          </cell>
          <cell r="T132">
            <v>16.601967999999999</v>
          </cell>
        </row>
        <row r="133">
          <cell r="B133" t="str">
            <v>Building rent</v>
          </cell>
          <cell r="R133">
            <v>64.362048999999999</v>
          </cell>
          <cell r="S133">
            <v>37.75658</v>
          </cell>
          <cell r="T133">
            <v>48.297018999999999</v>
          </cell>
        </row>
        <row r="134">
          <cell r="B134" t="str">
            <v xml:space="preserve">Govt.Building rent </v>
          </cell>
          <cell r="R134">
            <v>54.521014999999998</v>
          </cell>
          <cell r="S134">
            <v>34.763609000000002</v>
          </cell>
          <cell r="T134">
            <v>42.901778</v>
          </cell>
        </row>
        <row r="135">
          <cell r="B135" t="str">
            <v>Goifaa Labba</v>
          </cell>
          <cell r="R135">
            <v>9.8410340000000005</v>
          </cell>
          <cell r="S135">
            <v>2.9929709999999998</v>
          </cell>
          <cell r="T135">
            <v>5.3952410000000004</v>
          </cell>
        </row>
        <row r="136">
          <cell r="B136" t="str">
            <v>Non-industrial sales</v>
          </cell>
          <cell r="R136">
            <v>337.22723000000002</v>
          </cell>
          <cell r="S136">
            <v>250.70184</v>
          </cell>
          <cell r="T136">
            <v>57.475630000000002</v>
          </cell>
        </row>
        <row r="137">
          <cell r="B137" t="str">
            <v>Work Permit</v>
          </cell>
          <cell r="R137" t="str">
            <v>-</v>
          </cell>
          <cell r="S137" t="str">
            <v>-</v>
          </cell>
          <cell r="T137" t="str">
            <v>-</v>
          </cell>
        </row>
        <row r="138">
          <cell r="B138" t="str">
            <v>Residential Permit Fee</v>
          </cell>
          <cell r="R138">
            <v>337.22723000000002</v>
          </cell>
          <cell r="S138">
            <v>250.70184</v>
          </cell>
          <cell r="T138">
            <v>57.475630000000002</v>
          </cell>
        </row>
        <row r="139">
          <cell r="B139" t="str">
            <v>Fine &amp; Forfeits</v>
          </cell>
          <cell r="R139">
            <v>235.341049</v>
          </cell>
          <cell r="S139">
            <v>151.51145299999999</v>
          </cell>
          <cell r="T139">
            <v>379.39497999999998</v>
          </cell>
        </row>
        <row r="140">
          <cell r="B140" t="str">
            <v>Other</v>
          </cell>
          <cell r="R140">
            <v>1080.8778179999999</v>
          </cell>
          <cell r="S140">
            <v>473.41760999999997</v>
          </cell>
          <cell r="T140">
            <v>868.21659699999998</v>
          </cell>
        </row>
        <row r="141">
          <cell r="B141" t="str">
            <v xml:space="preserve">Fund </v>
          </cell>
          <cell r="R141">
            <v>0</v>
          </cell>
          <cell r="S141">
            <v>0</v>
          </cell>
          <cell r="T141">
            <v>0</v>
          </cell>
        </row>
        <row r="142">
          <cell r="B142" t="str">
            <v xml:space="preserve">Printed Material </v>
          </cell>
          <cell r="R142">
            <v>0.35372300000000001</v>
          </cell>
          <cell r="S142">
            <v>0.55112399999999995</v>
          </cell>
          <cell r="T142">
            <v>0.56250900000000004</v>
          </cell>
        </row>
        <row r="143">
          <cell r="B143" t="str">
            <v xml:space="preserve">Passport </v>
          </cell>
          <cell r="R143">
            <v>52.233449999999998</v>
          </cell>
          <cell r="S143">
            <v>13.327249999999999</v>
          </cell>
          <cell r="T143">
            <v>24.180499999999999</v>
          </cell>
        </row>
        <row r="144">
          <cell r="B144" t="str">
            <v>Airport Development Fee</v>
          </cell>
          <cell r="R144">
            <v>733.69754499999999</v>
          </cell>
          <cell r="S144">
            <v>285.88828999999998</v>
          </cell>
          <cell r="T144">
            <v>483.01201200000003</v>
          </cell>
        </row>
        <row r="145">
          <cell r="B145" t="str">
            <v>Other</v>
          </cell>
          <cell r="R145">
            <v>294.59309999999999</v>
          </cell>
          <cell r="S145">
            <v>173.650946</v>
          </cell>
          <cell r="T145">
            <v>360.46157599999998</v>
          </cell>
        </row>
        <row r="146">
          <cell r="B146" t="str">
            <v>Capital revenue (sale of assets)</v>
          </cell>
          <cell r="R146">
            <v>55.396940999999998</v>
          </cell>
          <cell r="S146">
            <v>15.571932</v>
          </cell>
          <cell r="T146">
            <v>43.313231999999999</v>
          </cell>
        </row>
        <row r="148">
          <cell r="B148" t="str">
            <v xml:space="preserve">  Grants</v>
          </cell>
          <cell r="R148">
            <v>1154.886391</v>
          </cell>
          <cell r="S148">
            <v>957.99261200000001</v>
          </cell>
          <cell r="T148">
            <v>1031.84799</v>
          </cell>
        </row>
        <row r="149">
          <cell r="B149" t="str">
            <v>Cash grant</v>
          </cell>
          <cell r="R149">
            <v>486.39923199999998</v>
          </cell>
          <cell r="S149">
            <v>607.66711499999997</v>
          </cell>
          <cell r="T149">
            <v>233.51557500000001</v>
          </cell>
        </row>
        <row r="150">
          <cell r="B150" t="str">
            <v>Project grant</v>
          </cell>
          <cell r="R150">
            <v>668.48715900000002</v>
          </cell>
          <cell r="S150">
            <v>350.32549699999998</v>
          </cell>
          <cell r="T150">
            <v>798.33241499999997</v>
          </cell>
        </row>
        <row r="151">
          <cell r="B151" t="str">
            <v>Memorandum item:</v>
          </cell>
        </row>
        <row r="152">
          <cell r="B152" t="str">
            <v>Subsidiary Loan repayment</v>
          </cell>
          <cell r="R152">
            <v>84.135863000000001</v>
          </cell>
          <cell r="S152">
            <v>185.14872500000001</v>
          </cell>
          <cell r="T152">
            <v>11.455117</v>
          </cell>
        </row>
        <row r="154">
          <cell r="B154" t="str">
            <v>1/Total Revenue and Grants is excluding Subsidiary Loan repayments</v>
          </cell>
        </row>
        <row r="155">
          <cell r="B155" t="str">
            <v>2/Royalty : Starting from 2012 Royalty is treated as tax revenue</v>
          </cell>
        </row>
        <row r="156">
          <cell r="B156" t="str">
            <v>3/Green tax introduced starting from Nov 2015 while tourism Tax abolished in nov 2014</v>
          </cell>
        </row>
        <row r="159">
          <cell r="B159" t="str">
            <v xml:space="preserve">Source: Ministry of Finance </v>
          </cell>
        </row>
        <row r="162">
          <cell r="B162" t="str">
            <v>TABLE 3.  ECONOMIC CLASSIFICATION OF CENTRAL GOVERNMENT EXPENDITURE AND NET LENDING, 2017 - 2023</v>
          </cell>
        </row>
        <row r="163">
          <cell r="B163" t="str">
            <v>(In million Rufiyaa)</v>
          </cell>
        </row>
        <row r="165">
          <cell r="B165" t="str">
            <v>Particulars</v>
          </cell>
          <cell r="R165">
            <v>2019</v>
          </cell>
          <cell r="S165">
            <v>2020</v>
          </cell>
          <cell r="T165">
            <v>2021</v>
          </cell>
        </row>
        <row r="166">
          <cell r="R166" t="str">
            <v>Actual</v>
          </cell>
          <cell r="S166" t="str">
            <v>Actual</v>
          </cell>
          <cell r="T166" t="str">
            <v>Actual</v>
          </cell>
        </row>
        <row r="169">
          <cell r="B169" t="str">
            <v>Total expenditure and net lending</v>
          </cell>
          <cell r="R169">
            <v>28919.533213000002</v>
          </cell>
          <cell r="S169">
            <v>28578.251746999995</v>
          </cell>
          <cell r="T169">
            <v>32860.121912000002</v>
          </cell>
        </row>
        <row r="171">
          <cell r="B171" t="str">
            <v xml:space="preserve">  Total expenditure</v>
          </cell>
          <cell r="R171">
            <v>28994.730041000003</v>
          </cell>
          <cell r="S171">
            <v>28753.534202999996</v>
          </cell>
          <cell r="T171">
            <v>32859.391651999998</v>
          </cell>
        </row>
        <row r="173">
          <cell r="B173" t="str">
            <v xml:space="preserve"> Current expenditure</v>
          </cell>
          <cell r="R173">
            <v>21371.957551</v>
          </cell>
          <cell r="S173">
            <v>20307.427750999996</v>
          </cell>
          <cell r="T173">
            <v>24036.506501</v>
          </cell>
        </row>
        <row r="175">
          <cell r="B175" t="str">
            <v xml:space="preserve">  Exp. on goods and services</v>
          </cell>
          <cell r="R175">
            <v>17571.448314999998</v>
          </cell>
          <cell r="S175">
            <v>16352.795786999999</v>
          </cell>
          <cell r="T175">
            <v>19656.080924000002</v>
          </cell>
        </row>
        <row r="176">
          <cell r="B176" t="str">
            <v xml:space="preserve">   Salaries and wages</v>
          </cell>
          <cell r="R176">
            <v>4642.9005079999997</v>
          </cell>
          <cell r="S176">
            <v>4378.0286720000004</v>
          </cell>
          <cell r="T176">
            <v>4625.5208700000003</v>
          </cell>
        </row>
        <row r="177">
          <cell r="B177" t="str">
            <v xml:space="preserve">   Other allowances</v>
          </cell>
          <cell r="R177">
            <v>3651.3357940000001</v>
          </cell>
          <cell r="S177">
            <v>3827.8172509999999</v>
          </cell>
          <cell r="T177">
            <v>4055.9407670000001</v>
          </cell>
        </row>
        <row r="178">
          <cell r="B178" t="str">
            <v xml:space="preserve">   Other benefits and gratuities</v>
          </cell>
          <cell r="R178">
            <v>562.29166699999996</v>
          </cell>
          <cell r="S178">
            <v>457.41981700000002</v>
          </cell>
          <cell r="T178">
            <v>488.91921200000002</v>
          </cell>
        </row>
        <row r="179">
          <cell r="B179" t="str">
            <v xml:space="preserve">   Travel expenses</v>
          </cell>
          <cell r="R179">
            <v>231.34787800000001</v>
          </cell>
          <cell r="S179">
            <v>140.66699499999999</v>
          </cell>
          <cell r="T179">
            <v>183.19715600000001</v>
          </cell>
        </row>
        <row r="180">
          <cell r="B180" t="str">
            <v xml:space="preserve">   Training expenses</v>
          </cell>
          <cell r="R180">
            <v>564.17856800000004</v>
          </cell>
          <cell r="S180">
            <v>459.089472</v>
          </cell>
          <cell r="T180">
            <v>567.38149399999998</v>
          </cell>
        </row>
        <row r="181">
          <cell r="B181" t="str">
            <v xml:space="preserve">   Supplies and requisites</v>
          </cell>
          <cell r="R181">
            <v>1611.093746</v>
          </cell>
          <cell r="S181">
            <v>1765.3339420000002</v>
          </cell>
          <cell r="T181">
            <v>2219.245375</v>
          </cell>
        </row>
        <row r="182">
          <cell r="B182" t="str">
            <v xml:space="preserve">   Repairs and maintenance</v>
          </cell>
          <cell r="R182">
            <v>408.40059400000001</v>
          </cell>
          <cell r="S182">
            <v>215.138003</v>
          </cell>
          <cell r="T182">
            <v>310.319277</v>
          </cell>
        </row>
        <row r="183">
          <cell r="B183" t="str">
            <v xml:space="preserve">   Transportation, communication and utilities</v>
          </cell>
          <cell r="R183">
            <v>1930.5490769999999</v>
          </cell>
          <cell r="S183">
            <v>1620.3218979999999</v>
          </cell>
          <cell r="T183">
            <v>2258.5490450000002</v>
          </cell>
        </row>
        <row r="185">
          <cell r="B185" t="str">
            <v xml:space="preserve">   Subscriptions and membership fees to international organizations</v>
          </cell>
          <cell r="R185">
            <v>32.095553000000002</v>
          </cell>
          <cell r="S185">
            <v>37.033743999999999</v>
          </cell>
          <cell r="T185">
            <v>40.659855</v>
          </cell>
        </row>
        <row r="186">
          <cell r="B186" t="str">
            <v xml:space="preserve">   Social welfare contributions</v>
          </cell>
          <cell r="R186">
            <v>3937.2549300000001</v>
          </cell>
          <cell r="S186">
            <v>3451.9459929999998</v>
          </cell>
          <cell r="T186">
            <v>4906.3478729999997</v>
          </cell>
        </row>
        <row r="188">
          <cell r="B188" t="str">
            <v xml:space="preserve">  Interest payments </v>
          </cell>
          <cell r="R188">
            <v>1540.813124</v>
          </cell>
          <cell r="S188">
            <v>1603.859134</v>
          </cell>
          <cell r="T188">
            <v>2104.4655419999999</v>
          </cell>
        </row>
        <row r="190">
          <cell r="B190" t="str">
            <v xml:space="preserve">  Subsidies and transfers</v>
          </cell>
          <cell r="R190">
            <v>2259.6961120000001</v>
          </cell>
          <cell r="S190">
            <v>2350.7728299999999</v>
          </cell>
          <cell r="T190">
            <v>2275.9600350000001</v>
          </cell>
        </row>
        <row r="191">
          <cell r="B191" t="str">
            <v xml:space="preserve">   Food, Electricity,Water,Fisheries &amp; Agriculture</v>
          </cell>
          <cell r="R191">
            <v>1281.228648</v>
          </cell>
          <cell r="S191">
            <v>1245.1299489999999</v>
          </cell>
          <cell r="T191">
            <v>1115.0258650000001</v>
          </cell>
        </row>
        <row r="192">
          <cell r="B192" t="str">
            <v xml:space="preserve">   Pensions</v>
          </cell>
          <cell r="R192">
            <v>978.46746399999995</v>
          </cell>
          <cell r="S192">
            <v>1105.642881</v>
          </cell>
          <cell r="T192">
            <v>1160.93417</v>
          </cell>
        </row>
        <row r="194">
          <cell r="B194" t="str">
            <v xml:space="preserve">   Capital expenditure and net lending</v>
          </cell>
          <cell r="R194">
            <v>7547.5756620000011</v>
          </cell>
          <cell r="S194">
            <v>8270.8239959999992</v>
          </cell>
          <cell r="T194">
            <v>8823.6154109999989</v>
          </cell>
        </row>
        <row r="196">
          <cell r="B196" t="str">
            <v xml:space="preserve">  Development expenditure</v>
          </cell>
          <cell r="R196">
            <v>7622.7724900000012</v>
          </cell>
          <cell r="S196">
            <v>8446.106452</v>
          </cell>
          <cell r="T196">
            <v>8822.8851509999986</v>
          </cell>
        </row>
        <row r="197">
          <cell r="B197" t="str">
            <v xml:space="preserve">   Foreign Loan -financed</v>
          </cell>
          <cell r="R197">
            <v>1913.8057229999999</v>
          </cell>
          <cell r="S197">
            <v>746.94163500000002</v>
          </cell>
          <cell r="T197">
            <v>1286.1246679999999</v>
          </cell>
        </row>
        <row r="198">
          <cell r="B198" t="str">
            <v xml:space="preserve">   Domestic Loan-financed</v>
          </cell>
          <cell r="R198">
            <v>0</v>
          </cell>
          <cell r="S198">
            <v>0</v>
          </cell>
          <cell r="T198">
            <v>0</v>
          </cell>
        </row>
        <row r="199">
          <cell r="B199" t="str">
            <v xml:space="preserve">   Grant Financed</v>
          </cell>
          <cell r="R199">
            <v>142.126135</v>
          </cell>
          <cell r="S199">
            <v>404.85657200000003</v>
          </cell>
          <cell r="T199">
            <v>300.89814799999999</v>
          </cell>
        </row>
        <row r="200">
          <cell r="B200" t="str">
            <v xml:space="preserve">   Domestic PSIP</v>
          </cell>
          <cell r="R200">
            <v>2192.9490989999999</v>
          </cell>
          <cell r="S200">
            <v>4411.885843</v>
          </cell>
          <cell r="T200">
            <v>3712.2465790000001</v>
          </cell>
        </row>
        <row r="201">
          <cell r="B201" t="str">
            <v xml:space="preserve">   Others</v>
          </cell>
          <cell r="R201">
            <v>3373.8915330000013</v>
          </cell>
          <cell r="S201">
            <v>2882.4224019999992</v>
          </cell>
          <cell r="T201">
            <v>3523.6157559999988</v>
          </cell>
        </row>
        <row r="203">
          <cell r="B203" t="str">
            <v>Net lending  3/</v>
          </cell>
          <cell r="R203">
            <v>-75.196827999999996</v>
          </cell>
          <cell r="S203">
            <v>-175.28245600000002</v>
          </cell>
          <cell r="T203">
            <v>0.73026000000000124</v>
          </cell>
        </row>
        <row r="205">
          <cell r="B205" t="str">
            <v>Memorandum item:</v>
          </cell>
        </row>
        <row r="206">
          <cell r="B206" t="str">
            <v>Total Capital Expenditure</v>
          </cell>
          <cell r="R206">
            <v>8756.2590710000004</v>
          </cell>
          <cell r="S206">
            <v>9849.1021239999991</v>
          </cell>
          <cell r="T206">
            <v>13108.578</v>
          </cell>
        </row>
        <row r="207">
          <cell r="B207" t="str">
            <v>Domestic Loan Capital</v>
          </cell>
          <cell r="R207">
            <v>0</v>
          </cell>
        </row>
        <row r="208">
          <cell r="B208" t="str">
            <v>Project Loan Capital</v>
          </cell>
          <cell r="R208">
            <v>1913.8057229999999</v>
          </cell>
          <cell r="S208">
            <v>746.94163500000002</v>
          </cell>
          <cell r="T208">
            <v>1286.1246679999999</v>
          </cell>
        </row>
        <row r="209">
          <cell r="B209" t="str">
            <v>Project Grant Capital</v>
          </cell>
          <cell r="R209">
            <v>142.126135</v>
          </cell>
          <cell r="S209">
            <v>404.85657200000003</v>
          </cell>
          <cell r="T209">
            <v>300.89814799999999</v>
          </cell>
        </row>
        <row r="210">
          <cell r="B210" t="str">
            <v>Domestic PSIP</v>
          </cell>
          <cell r="R210">
            <v>2192.9490989999999</v>
          </cell>
          <cell r="S210">
            <v>4411.885843</v>
          </cell>
          <cell r="T210">
            <v>3712.2465790000001</v>
          </cell>
        </row>
        <row r="211">
          <cell r="B211" t="str">
            <v>Regular budget capital + Trust fund Capital + Cash grant Capital</v>
          </cell>
          <cell r="R211">
            <v>4507.378114000001</v>
          </cell>
          <cell r="S211">
            <v>4285.4180739999993</v>
          </cell>
          <cell r="T211">
            <v>7809.3086049999984</v>
          </cell>
        </row>
        <row r="212">
          <cell r="B212" t="str">
            <v xml:space="preserve">Loan repayment </v>
          </cell>
          <cell r="R212">
            <v>1124.547546</v>
          </cell>
          <cell r="S212">
            <v>1193.1294029999999</v>
          </cell>
          <cell r="T212">
            <v>4047.785801</v>
          </cell>
        </row>
        <row r="213">
          <cell r="B213" t="str">
            <v>Loan Account</v>
          </cell>
        </row>
        <row r="214">
          <cell r="B214" t="str">
            <v>Capital contributions to foreign institutions 2/</v>
          </cell>
          <cell r="R214">
            <v>8.9390350000000005</v>
          </cell>
          <cell r="S214">
            <v>9.8662690000000008</v>
          </cell>
          <cell r="T214">
            <v>12.185377000000001</v>
          </cell>
        </row>
        <row r="215">
          <cell r="B215" t="str">
            <v>Transfers to sovereign development Fund</v>
          </cell>
          <cell r="R215">
            <v>0</v>
          </cell>
          <cell r="S215">
            <v>0</v>
          </cell>
        </row>
        <row r="216">
          <cell r="B216" t="str">
            <v xml:space="preserve">Long term Investments </v>
          </cell>
          <cell r="S216">
            <v>200</v>
          </cell>
          <cell r="T216">
            <v>225.72167099999999</v>
          </cell>
        </row>
        <row r="217">
          <cell r="B217" t="str">
            <v>Other</v>
          </cell>
          <cell r="R217">
            <v>3373.8915330000013</v>
          </cell>
          <cell r="S217">
            <v>2882.4224019999992</v>
          </cell>
          <cell r="T217">
            <v>3523.6157559999988</v>
          </cell>
        </row>
        <row r="218">
          <cell r="B218" t="str">
            <v>Govt Budget TOTAL</v>
          </cell>
          <cell r="R218">
            <v>30128.216622000004</v>
          </cell>
          <cell r="S218">
            <v>30156.529874999993</v>
          </cell>
          <cell r="T218">
            <v>37145.084500999998</v>
          </cell>
        </row>
        <row r="220">
          <cell r="B220" t="str">
            <v xml:space="preserve">   2/ Includes IMF quota, 1999  11.2</v>
          </cell>
        </row>
        <row r="221">
          <cell r="B221" t="str">
            <v xml:space="preserve">   3/ Net lending is not included in the regular budget</v>
          </cell>
        </row>
        <row r="222">
          <cell r="B222" t="str">
            <v xml:space="preserve">   Source: Ministry of Finance </v>
          </cell>
        </row>
        <row r="224">
          <cell r="B224" t="str">
            <v>TABLE 4.  FUNCTIONAL CLASSIFICATION OF CENTRAL GOVERNMENT EXPENDITURE, 2004 - 2018</v>
          </cell>
        </row>
        <row r="225">
          <cell r="B225" t="str">
            <v>(In million Rufiyaa)</v>
          </cell>
        </row>
        <row r="228">
          <cell r="B228" t="str">
            <v>Particulars</v>
          </cell>
        </row>
        <row r="232">
          <cell r="B232" t="str">
            <v>Expenditure and net lending</v>
          </cell>
        </row>
        <row r="234">
          <cell r="B234" t="str">
            <v xml:space="preserve">   Expenditure /1</v>
          </cell>
        </row>
        <row r="236">
          <cell r="B236" t="str">
            <v>Public services</v>
          </cell>
        </row>
        <row r="237">
          <cell r="B237" t="str">
            <v>General administration /2</v>
          </cell>
        </row>
        <row r="238">
          <cell r="B238" t="str">
            <v>Defence</v>
          </cell>
        </row>
        <row r="239">
          <cell r="B239" t="str">
            <v>Military Defence</v>
          </cell>
        </row>
        <row r="240">
          <cell r="B240" t="str">
            <v>Civil Defence</v>
          </cell>
        </row>
        <row r="241">
          <cell r="B241" t="str">
            <v>Public order and internal security</v>
          </cell>
        </row>
        <row r="242">
          <cell r="B242" t="str">
            <v>Environmental Protection</v>
          </cell>
        </row>
        <row r="244">
          <cell r="B244" t="str">
            <v>Social Services</v>
          </cell>
        </row>
        <row r="245">
          <cell r="B245" t="str">
            <v>Education</v>
          </cell>
        </row>
        <row r="246">
          <cell r="B246" t="str">
            <v>Health</v>
          </cell>
        </row>
        <row r="247">
          <cell r="B247" t="str">
            <v>Social Security and welfare</v>
          </cell>
        </row>
        <row r="248">
          <cell r="B248" t="str">
            <v>Community programs</v>
          </cell>
        </row>
        <row r="249">
          <cell r="B249" t="str">
            <v>Religion, Culture and Entertainment</v>
          </cell>
        </row>
        <row r="251">
          <cell r="B251" t="str">
            <v xml:space="preserve"> Economic services</v>
          </cell>
        </row>
        <row r="252">
          <cell r="B252" t="str">
            <v xml:space="preserve"> Fisheries and agriculture</v>
          </cell>
        </row>
        <row r="253">
          <cell r="B253" t="str">
            <v xml:space="preserve"> Transportation</v>
          </cell>
        </row>
        <row r="254">
          <cell r="B254" t="str">
            <v xml:space="preserve"> Communication</v>
          </cell>
        </row>
        <row r="255">
          <cell r="B255" t="str">
            <v xml:space="preserve"> Tourism</v>
          </cell>
        </row>
        <row r="256">
          <cell r="B256" t="str">
            <v xml:space="preserve"> Trade and industries</v>
          </cell>
        </row>
        <row r="257">
          <cell r="B257" t="str">
            <v xml:space="preserve"> Electricity</v>
          </cell>
        </row>
        <row r="259">
          <cell r="B259" t="str">
            <v xml:space="preserve"> Interest on public debt</v>
          </cell>
        </row>
        <row r="261">
          <cell r="B261" t="str">
            <v xml:space="preserve">   Net lending</v>
          </cell>
        </row>
        <row r="263">
          <cell r="B263" t="str">
            <v>Memorandum item:</v>
          </cell>
        </row>
        <row r="264">
          <cell r="B264" t="str">
            <v>1/ Total expenditure excluding Loan repayment and Capital contribition to foreign institutions</v>
          </cell>
        </row>
        <row r="265">
          <cell r="B265" t="str">
            <v>2/ General administration : excluding  Capital contribition to foreign institutions</v>
          </cell>
        </row>
        <row r="269">
          <cell r="B269" t="str">
            <v>TABLE 5.  FUNCTIONAL CLASSIFICATION OF CENTRAL GOVERNMENT CURRENT EXPENDITURE, 2004 - 2018</v>
          </cell>
        </row>
        <row r="270">
          <cell r="B270" t="str">
            <v>(In million Rufiyaa)</v>
          </cell>
        </row>
        <row r="272">
          <cell r="B272" t="str">
            <v>Particulars</v>
          </cell>
        </row>
        <row r="276">
          <cell r="B276" t="str">
            <v>Current expenditure</v>
          </cell>
        </row>
        <row r="278">
          <cell r="B278" t="str">
            <v>Public services</v>
          </cell>
        </row>
        <row r="279">
          <cell r="B279" t="str">
            <v>General administration /1</v>
          </cell>
        </row>
        <row r="280">
          <cell r="B280" t="str">
            <v>Defence</v>
          </cell>
        </row>
        <row r="281">
          <cell r="B281" t="str">
            <v>Military Defence</v>
          </cell>
        </row>
        <row r="282">
          <cell r="B282" t="str">
            <v>Civil Defence</v>
          </cell>
        </row>
        <row r="283">
          <cell r="B283" t="str">
            <v>Public order and internal security</v>
          </cell>
        </row>
        <row r="284">
          <cell r="B284" t="str">
            <v>Environmental Protection</v>
          </cell>
        </row>
        <row r="286">
          <cell r="B286" t="str">
            <v>Social Services</v>
          </cell>
        </row>
        <row r="287">
          <cell r="B287" t="str">
            <v>Education</v>
          </cell>
        </row>
        <row r="288">
          <cell r="B288" t="str">
            <v>Health</v>
          </cell>
        </row>
        <row r="289">
          <cell r="B289" t="str">
            <v>Social security &amp; welfare</v>
          </cell>
        </row>
        <row r="290">
          <cell r="B290" t="str">
            <v>Community programs</v>
          </cell>
        </row>
        <row r="291">
          <cell r="B291" t="str">
            <v>Religion, Culture and Entertainment</v>
          </cell>
        </row>
        <row r="293">
          <cell r="B293" t="str">
            <v>Economic services</v>
          </cell>
        </row>
        <row r="294">
          <cell r="B294" t="str">
            <v>Fisheries and Agriculture</v>
          </cell>
        </row>
        <row r="295">
          <cell r="B295" t="str">
            <v>Transportation</v>
          </cell>
        </row>
        <row r="296">
          <cell r="B296" t="str">
            <v>Communication</v>
          </cell>
        </row>
        <row r="297">
          <cell r="B297" t="str">
            <v>Tourism</v>
          </cell>
        </row>
        <row r="298">
          <cell r="B298" t="str">
            <v>Trade and industries</v>
          </cell>
        </row>
        <row r="299">
          <cell r="B299" t="str">
            <v>Electricity</v>
          </cell>
        </row>
        <row r="301">
          <cell r="B301" t="str">
            <v>Interest on public debt</v>
          </cell>
        </row>
        <row r="303">
          <cell r="B303" t="str">
            <v>Memorandum item:</v>
          </cell>
        </row>
        <row r="304">
          <cell r="B304" t="str">
            <v>Capital contributions to foreign institutions</v>
          </cell>
        </row>
        <row r="305">
          <cell r="B305" t="str">
            <v>1/ General administration : excluding  Capital contribution to foreign institutions</v>
          </cell>
        </row>
        <row r="306">
          <cell r="B306" t="str">
            <v xml:space="preserve">   Source: Ministry of Finance and Treasury</v>
          </cell>
        </row>
        <row r="308">
          <cell r="B308" t="str">
            <v>TABLE 6.  FUNCTIONAL CLASSIFICATION OF CENTRAL GOVERNMENT CAPITAL EXPENDITURE, 2004 - 2018</v>
          </cell>
        </row>
        <row r="309">
          <cell r="B309" t="str">
            <v>(In million Rufiyaa)</v>
          </cell>
        </row>
        <row r="311">
          <cell r="B311" t="str">
            <v>Particulars</v>
          </cell>
        </row>
        <row r="315">
          <cell r="B315" t="str">
            <v>Capital expenditure and net lending /1</v>
          </cell>
        </row>
        <row r="317">
          <cell r="B317" t="str">
            <v>Capital expenditure</v>
          </cell>
        </row>
        <row r="319">
          <cell r="B319" t="str">
            <v>Public services</v>
          </cell>
        </row>
        <row r="320">
          <cell r="B320" t="str">
            <v>General administration</v>
          </cell>
        </row>
        <row r="321">
          <cell r="B321" t="str">
            <v>Defence</v>
          </cell>
        </row>
        <row r="322">
          <cell r="B322" t="str">
            <v>Military Defence</v>
          </cell>
        </row>
        <row r="323">
          <cell r="B323" t="str">
            <v>Civil Defence</v>
          </cell>
        </row>
        <row r="324">
          <cell r="B324" t="str">
            <v>Public order and internal security</v>
          </cell>
        </row>
        <row r="325">
          <cell r="B325" t="str">
            <v>Environmental Protection</v>
          </cell>
        </row>
        <row r="327">
          <cell r="B327" t="str">
            <v>Social Services</v>
          </cell>
        </row>
        <row r="328">
          <cell r="B328" t="str">
            <v>Education</v>
          </cell>
        </row>
        <row r="329">
          <cell r="B329" t="str">
            <v>Health</v>
          </cell>
        </row>
        <row r="330">
          <cell r="B330" t="str">
            <v>Welfare services</v>
          </cell>
        </row>
        <row r="331">
          <cell r="B331" t="str">
            <v>Community programs</v>
          </cell>
        </row>
        <row r="332">
          <cell r="B332" t="str">
            <v>Religion, Culture and Entertainment</v>
          </cell>
        </row>
        <row r="334">
          <cell r="B334" t="str">
            <v>Economic services</v>
          </cell>
        </row>
        <row r="335">
          <cell r="B335" t="str">
            <v>Fisheries and agriculture</v>
          </cell>
        </row>
        <row r="336">
          <cell r="B336" t="str">
            <v>Transportation</v>
          </cell>
        </row>
        <row r="337">
          <cell r="B337" t="str">
            <v>Communication</v>
          </cell>
        </row>
        <row r="338">
          <cell r="B338" t="str">
            <v>Tourism</v>
          </cell>
        </row>
        <row r="339">
          <cell r="B339" t="str">
            <v>Trade and industries</v>
          </cell>
        </row>
        <row r="340">
          <cell r="B340" t="str">
            <v>Electricity</v>
          </cell>
        </row>
        <row r="342">
          <cell r="B342" t="str">
            <v>Net lending</v>
          </cell>
        </row>
        <row r="344">
          <cell r="B344" t="str">
            <v>Memorandum item:</v>
          </cell>
        </row>
        <row r="345">
          <cell r="B345" t="str">
            <v xml:space="preserve">Subsidiary Loan Repayment </v>
          </cell>
        </row>
        <row r="346">
          <cell r="B346" t="str">
            <v>Loans Amortisation</v>
          </cell>
        </row>
        <row r="347">
          <cell r="B347" t="str">
            <v>Foreign Loans disbursements</v>
          </cell>
        </row>
        <row r="348">
          <cell r="B348" t="str">
            <v>Excluding Capital Contribution to public enterprises  /1</v>
          </cell>
        </row>
        <row r="349">
          <cell r="B349" t="str">
            <v>TABLE 6.  FUNCTIONAL CLASSIFICATION OF CENTRAL GOVERNMENT CAPITAL EXPENDITURE, 2017 - 2023</v>
          </cell>
        </row>
        <row r="350">
          <cell r="B350" t="str">
            <v>(In million Rufiyaa)</v>
          </cell>
        </row>
        <row r="352">
          <cell r="B352" t="str">
            <v>Particulars</v>
          </cell>
          <cell r="R352">
            <v>2019</v>
          </cell>
          <cell r="S352">
            <v>2020</v>
          </cell>
          <cell r="T352">
            <v>2021</v>
          </cell>
        </row>
        <row r="353">
          <cell r="R353" t="str">
            <v>Actual</v>
          </cell>
          <cell r="S353" t="str">
            <v>Actual</v>
          </cell>
          <cell r="T353" t="str">
            <v>Actual</v>
          </cell>
        </row>
        <row r="356">
          <cell r="B356" t="str">
            <v>Total Budget</v>
          </cell>
          <cell r="R356">
            <v>38397.830906999996</v>
          </cell>
          <cell r="S356">
            <v>30156.529875</v>
          </cell>
          <cell r="T356">
            <v>37145.040009000004</v>
          </cell>
        </row>
        <row r="359">
          <cell r="B359" t="str">
            <v>General Public Services</v>
          </cell>
          <cell r="R359">
            <v>3992.863233</v>
          </cell>
          <cell r="S359">
            <v>3969.8059190000004</v>
          </cell>
          <cell r="T359">
            <v>7596.9595920000002</v>
          </cell>
        </row>
        <row r="360">
          <cell r="B360" t="str">
            <v>Executive and legislative organs, finnancial and fiscal affairs, external affairs</v>
          </cell>
          <cell r="R360">
            <v>1141.5590560000001</v>
          </cell>
          <cell r="S360">
            <v>1040.382261</v>
          </cell>
          <cell r="T360">
            <v>1233.3546409999999</v>
          </cell>
        </row>
        <row r="361">
          <cell r="B361" t="str">
            <v>General Services</v>
          </cell>
          <cell r="R361">
            <v>185.94350700000001</v>
          </cell>
          <cell r="S361">
            <v>132.43512100000001</v>
          </cell>
          <cell r="T361">
            <v>197.896366</v>
          </cell>
        </row>
        <row r="362">
          <cell r="B362" t="str">
            <v>Public Debt Transactions</v>
          </cell>
          <cell r="R362">
            <v>2665.36067</v>
          </cell>
          <cell r="S362">
            <v>2796.9885370000002</v>
          </cell>
          <cell r="T362">
            <v>6165.7085850000003</v>
          </cell>
        </row>
        <row r="363">
          <cell r="B363" t="str">
            <v>General Public Services</v>
          </cell>
          <cell r="R363">
            <v>0</v>
          </cell>
          <cell r="S363">
            <v>0</v>
          </cell>
          <cell r="T363">
            <v>0</v>
          </cell>
        </row>
        <row r="365">
          <cell r="B365" t="str">
            <v>Defense</v>
          </cell>
          <cell r="R365">
            <v>3041.7876770000003</v>
          </cell>
          <cell r="S365">
            <v>2913.4222030000001</v>
          </cell>
          <cell r="T365">
            <v>3450.6397360000001</v>
          </cell>
        </row>
        <row r="366">
          <cell r="B366" t="str">
            <v>Military Defense</v>
          </cell>
          <cell r="R366">
            <v>1240.5796780000001</v>
          </cell>
          <cell r="S366">
            <v>1230.5847100000001</v>
          </cell>
          <cell r="T366">
            <v>1508.0573360000001</v>
          </cell>
        </row>
        <row r="367">
          <cell r="B367" t="str">
            <v>Civil Defense</v>
          </cell>
          <cell r="R367">
            <v>133.28257199999999</v>
          </cell>
          <cell r="S367">
            <v>136.52090999999999</v>
          </cell>
          <cell r="T367">
            <v>192.480729</v>
          </cell>
        </row>
        <row r="368">
          <cell r="B368" t="str">
            <v>Police Services</v>
          </cell>
          <cell r="R368">
            <v>1667.2821610000001</v>
          </cell>
          <cell r="S368">
            <v>1546.278542</v>
          </cell>
          <cell r="T368">
            <v>1750.1016709999999</v>
          </cell>
        </row>
        <row r="369">
          <cell r="B369" t="str">
            <v>Fire Protection</v>
          </cell>
          <cell r="R369">
            <v>0.643266</v>
          </cell>
          <cell r="S369">
            <v>3.8040999999999998E-2</v>
          </cell>
          <cell r="T369">
            <v>0</v>
          </cell>
        </row>
        <row r="371">
          <cell r="B371" t="str">
            <v>Public Order &amp; Safety</v>
          </cell>
          <cell r="R371">
            <v>1067.1613849999999</v>
          </cell>
          <cell r="S371">
            <v>992.23046499999998</v>
          </cell>
          <cell r="T371">
            <v>1031.1600990000002</v>
          </cell>
        </row>
        <row r="372">
          <cell r="B372" t="str">
            <v>Law Courts</v>
          </cell>
          <cell r="R372">
            <v>683.62068899999997</v>
          </cell>
          <cell r="S372">
            <v>610.83011999999997</v>
          </cell>
          <cell r="T372">
            <v>695.82306300000005</v>
          </cell>
        </row>
        <row r="373">
          <cell r="B373" t="str">
            <v>Prisons</v>
          </cell>
          <cell r="R373">
            <v>383.54069600000003</v>
          </cell>
          <cell r="S373">
            <v>381.40034500000002</v>
          </cell>
          <cell r="T373">
            <v>335.33703600000001</v>
          </cell>
        </row>
        <row r="374">
          <cell r="B374" t="str">
            <v>R&amp;D Public order and safety</v>
          </cell>
          <cell r="R374">
            <v>0</v>
          </cell>
          <cell r="S374">
            <v>0</v>
          </cell>
          <cell r="T374">
            <v>0</v>
          </cell>
        </row>
        <row r="376">
          <cell r="B376" t="str">
            <v>Economic Affairs</v>
          </cell>
          <cell r="R376">
            <v>6981.6133119999995</v>
          </cell>
          <cell r="S376">
            <v>8818.4528550000014</v>
          </cell>
          <cell r="T376">
            <v>8625.8845950000014</v>
          </cell>
        </row>
        <row r="377">
          <cell r="B377" t="str">
            <v>General Economic, Commercial &amp; Labor Affairs</v>
          </cell>
          <cell r="R377">
            <v>4781.6196449999998</v>
          </cell>
          <cell r="S377">
            <v>5614.6532040000002</v>
          </cell>
          <cell r="T377">
            <v>4494.2845390000002</v>
          </cell>
        </row>
        <row r="378">
          <cell r="B378" t="str">
            <v>Agriculture, Forestry, Fishing &amp; Hunting</v>
          </cell>
          <cell r="R378">
            <v>110.131569</v>
          </cell>
          <cell r="S378">
            <v>104.192311</v>
          </cell>
          <cell r="T378">
            <v>122.11198400000001</v>
          </cell>
        </row>
        <row r="379">
          <cell r="B379" t="str">
            <v>Fuel &amp; Energy</v>
          </cell>
          <cell r="R379">
            <v>12.482464</v>
          </cell>
          <cell r="S379">
            <v>687.39852399999995</v>
          </cell>
          <cell r="T379">
            <v>1273.7126270000001</v>
          </cell>
        </row>
        <row r="380">
          <cell r="B380" t="str">
            <v>Transport</v>
          </cell>
          <cell r="R380">
            <v>1982.2813619999999</v>
          </cell>
          <cell r="S380">
            <v>1946.5782750000001</v>
          </cell>
          <cell r="T380">
            <v>2324.0758900000001</v>
          </cell>
        </row>
        <row r="381">
          <cell r="B381" t="str">
            <v>Communication</v>
          </cell>
          <cell r="R381">
            <v>95.098271999999994</v>
          </cell>
          <cell r="S381">
            <v>42.924933000000003</v>
          </cell>
          <cell r="T381">
            <v>73.612099999999998</v>
          </cell>
        </row>
        <row r="382">
          <cell r="B382" t="str">
            <v>Mining, manufacturing and construction</v>
          </cell>
          <cell r="R382">
            <v>0</v>
          </cell>
          <cell r="S382">
            <v>0</v>
          </cell>
          <cell r="T382">
            <v>0</v>
          </cell>
        </row>
        <row r="383">
          <cell r="B383" t="str">
            <v>Other industries</v>
          </cell>
          <cell r="R383">
            <v>0</v>
          </cell>
          <cell r="S383">
            <v>422.70560799999998</v>
          </cell>
          <cell r="T383">
            <v>338.08745499999998</v>
          </cell>
        </row>
        <row r="385">
          <cell r="B385" t="str">
            <v>Environmental Protection</v>
          </cell>
          <cell r="R385">
            <v>990.79414400000007</v>
          </cell>
          <cell r="S385">
            <v>609.854603</v>
          </cell>
          <cell r="T385">
            <v>1510.1625630000001</v>
          </cell>
        </row>
        <row r="386">
          <cell r="B386" t="str">
            <v>Waste Management</v>
          </cell>
          <cell r="R386">
            <v>118.820092</v>
          </cell>
          <cell r="S386">
            <v>69.965046999999998</v>
          </cell>
          <cell r="T386">
            <v>282.44101999999998</v>
          </cell>
        </row>
        <row r="387">
          <cell r="B387" t="str">
            <v>Waste Water Management</v>
          </cell>
          <cell r="R387">
            <v>770.03924800000004</v>
          </cell>
          <cell r="S387">
            <v>440.62055099999998</v>
          </cell>
          <cell r="T387">
            <v>1011.549197</v>
          </cell>
        </row>
        <row r="388">
          <cell r="B388" t="str">
            <v>Pollution abatement</v>
          </cell>
          <cell r="R388">
            <v>6.1961250000000003</v>
          </cell>
          <cell r="S388">
            <v>7.3988800000000001</v>
          </cell>
          <cell r="T388">
            <v>13.070107</v>
          </cell>
        </row>
        <row r="389">
          <cell r="B389" t="str">
            <v>Protection of Biodiversity &amp; Landscape</v>
          </cell>
          <cell r="R389">
            <v>14.096016000000001</v>
          </cell>
          <cell r="S389">
            <v>14.296253999999999</v>
          </cell>
          <cell r="T389">
            <v>55.668039999999998</v>
          </cell>
        </row>
        <row r="390">
          <cell r="B390" t="str">
            <v>R&amp;D Environmental Protection</v>
          </cell>
          <cell r="R390">
            <v>0</v>
          </cell>
          <cell r="S390">
            <v>3.1108980000000002</v>
          </cell>
          <cell r="T390">
            <v>0</v>
          </cell>
        </row>
        <row r="391">
          <cell r="B391" t="str">
            <v>Environmental Protection N.E.C</v>
          </cell>
          <cell r="R391">
            <v>81.642662999999999</v>
          </cell>
          <cell r="S391">
            <v>74.462973000000005</v>
          </cell>
          <cell r="T391">
            <v>147.43419900000001</v>
          </cell>
        </row>
        <row r="393">
          <cell r="B393" t="str">
            <v>Housing &amp; Community Amenities</v>
          </cell>
          <cell r="R393">
            <v>1887.3108520000001</v>
          </cell>
          <cell r="S393">
            <v>1265.2917989999999</v>
          </cell>
          <cell r="T393">
            <v>1934.720748</v>
          </cell>
        </row>
        <row r="394">
          <cell r="B394" t="str">
            <v>Housing Development</v>
          </cell>
          <cell r="R394">
            <v>629.56576399999994</v>
          </cell>
          <cell r="S394">
            <v>143.74127799999999</v>
          </cell>
          <cell r="T394">
            <v>343.95407999999998</v>
          </cell>
        </row>
        <row r="395">
          <cell r="B395" t="str">
            <v>Community Development</v>
          </cell>
          <cell r="R395">
            <v>1157.9586420000001</v>
          </cell>
          <cell r="S395">
            <v>1054.4929790000001</v>
          </cell>
          <cell r="T395">
            <v>1474.206015</v>
          </cell>
        </row>
        <row r="396">
          <cell r="B396" t="str">
            <v>Water Supply</v>
          </cell>
          <cell r="R396">
            <v>96.513990000000007</v>
          </cell>
          <cell r="S396">
            <v>60.262577</v>
          </cell>
          <cell r="T396">
            <v>116.560653</v>
          </cell>
        </row>
        <row r="397">
          <cell r="B397" t="str">
            <v>Street Lighting</v>
          </cell>
          <cell r="R397">
            <v>0.40478799999999998</v>
          </cell>
          <cell r="S397">
            <v>0.48230000000000001</v>
          </cell>
          <cell r="T397">
            <v>0</v>
          </cell>
        </row>
        <row r="398">
          <cell r="B398" t="str">
            <v>Housing &amp; Community Amenities N.E.C</v>
          </cell>
          <cell r="R398">
            <v>2.8676680000000001</v>
          </cell>
          <cell r="S398">
            <v>6.312665</v>
          </cell>
          <cell r="T398">
            <v>0</v>
          </cell>
        </row>
        <row r="400">
          <cell r="B400" t="str">
            <v>Health</v>
          </cell>
          <cell r="R400">
            <v>3372.266901</v>
          </cell>
          <cell r="S400">
            <v>4305.3634600000005</v>
          </cell>
          <cell r="T400">
            <v>4752.2948119999992</v>
          </cell>
        </row>
        <row r="401">
          <cell r="B401" t="str">
            <v>Hospital Services</v>
          </cell>
          <cell r="R401">
            <v>2894.912186</v>
          </cell>
          <cell r="S401">
            <v>3008.184659</v>
          </cell>
          <cell r="T401">
            <v>3565.0637219999999</v>
          </cell>
        </row>
        <row r="402">
          <cell r="B402" t="str">
            <v>Public Health Services</v>
          </cell>
          <cell r="R402">
            <v>477.354715</v>
          </cell>
          <cell r="S402">
            <v>1297.178801</v>
          </cell>
          <cell r="T402">
            <v>1187.18309</v>
          </cell>
        </row>
        <row r="403">
          <cell r="B403" t="str">
            <v xml:space="preserve">Medical products,appliances and equipment </v>
          </cell>
          <cell r="R403">
            <v>0</v>
          </cell>
          <cell r="S403">
            <v>0</v>
          </cell>
          <cell r="T403">
            <v>0</v>
          </cell>
        </row>
        <row r="404">
          <cell r="B404" t="str">
            <v>R&amp;D Health</v>
          </cell>
          <cell r="R404">
            <v>0</v>
          </cell>
          <cell r="S404">
            <v>0</v>
          </cell>
          <cell r="T404">
            <v>0</v>
          </cell>
        </row>
        <row r="405">
          <cell r="B405" t="str">
            <v>Health N.E.C</v>
          </cell>
          <cell r="R405">
            <v>0</v>
          </cell>
          <cell r="S405">
            <v>0</v>
          </cell>
          <cell r="T405">
            <v>4.8000000000000001E-2</v>
          </cell>
        </row>
        <row r="407">
          <cell r="B407" t="str">
            <v>Recreation, Culture &amp; Religion</v>
          </cell>
          <cell r="R407">
            <v>711.07721500000002</v>
          </cell>
          <cell r="S407">
            <v>603.32233500000007</v>
          </cell>
          <cell r="T407">
            <v>731.78876600000001</v>
          </cell>
        </row>
        <row r="408">
          <cell r="B408" t="str">
            <v>Recreational &amp; Sporting Services</v>
          </cell>
          <cell r="R408">
            <v>274.23984799999999</v>
          </cell>
          <cell r="S408">
            <v>320.28760199999999</v>
          </cell>
          <cell r="T408">
            <v>407.79199299999999</v>
          </cell>
        </row>
        <row r="409">
          <cell r="B409" t="str">
            <v>Cultural Services</v>
          </cell>
          <cell r="R409">
            <v>39.435155999999999</v>
          </cell>
          <cell r="S409">
            <v>32.850611000000001</v>
          </cell>
          <cell r="T409">
            <v>37.860256999999997</v>
          </cell>
        </row>
        <row r="410">
          <cell r="B410" t="str">
            <v>Broadcasting &amp; Publishing Services</v>
          </cell>
          <cell r="R410">
            <v>7.4430009999999998</v>
          </cell>
          <cell r="S410">
            <v>6.2254310000000004</v>
          </cell>
          <cell r="T410">
            <v>6.9238770000000001</v>
          </cell>
        </row>
        <row r="411">
          <cell r="B411" t="str">
            <v>Religious &amp; Other Community Services</v>
          </cell>
          <cell r="R411">
            <v>389.95920999999998</v>
          </cell>
          <cell r="S411">
            <v>243.95869099999999</v>
          </cell>
          <cell r="T411">
            <v>279.21263900000002</v>
          </cell>
        </row>
        <row r="413">
          <cell r="B413" t="str">
            <v>Education</v>
          </cell>
          <cell r="R413">
            <v>3632.2430530000001</v>
          </cell>
          <cell r="S413">
            <v>3288.7698529999998</v>
          </cell>
          <cell r="T413">
            <v>3726.7389219999995</v>
          </cell>
        </row>
        <row r="414">
          <cell r="B414" t="str">
            <v>Pre-primary and primary education</v>
          </cell>
          <cell r="R414">
            <v>0</v>
          </cell>
          <cell r="S414">
            <v>0</v>
          </cell>
          <cell r="T414">
            <v>0</v>
          </cell>
        </row>
        <row r="415">
          <cell r="B415" t="str">
            <v>Secondary education</v>
          </cell>
          <cell r="R415">
            <v>0</v>
          </cell>
          <cell r="S415">
            <v>0</v>
          </cell>
          <cell r="T415">
            <v>0</v>
          </cell>
        </row>
        <row r="416">
          <cell r="B416" t="str">
            <v>Postsecondary nontertiary education</v>
          </cell>
          <cell r="R416">
            <v>0</v>
          </cell>
          <cell r="S416">
            <v>0</v>
          </cell>
          <cell r="T416">
            <v>0</v>
          </cell>
        </row>
        <row r="417">
          <cell r="B417" t="str">
            <v>Tertiary Education</v>
          </cell>
          <cell r="R417">
            <v>2872.2459840000001</v>
          </cell>
          <cell r="S417">
            <v>694.42240400000003</v>
          </cell>
          <cell r="T417">
            <v>812.56436099999996</v>
          </cell>
        </row>
        <row r="418">
          <cell r="B418" t="str">
            <v>Education N.E.C</v>
          </cell>
          <cell r="R418">
            <v>759.99706900000001</v>
          </cell>
          <cell r="S418">
            <v>2594.3474489999999</v>
          </cell>
          <cell r="T418">
            <v>2914.1745609999998</v>
          </cell>
        </row>
        <row r="420">
          <cell r="B420" t="str">
            <v>Social Protection</v>
          </cell>
          <cell r="R420">
            <v>12720.713134999996</v>
          </cell>
          <cell r="S420">
            <v>3390.0163830000001</v>
          </cell>
          <cell r="T420">
            <v>3784.6901760000001</v>
          </cell>
        </row>
        <row r="421">
          <cell r="B421" t="str">
            <v>Sickness &amp; Disability</v>
          </cell>
          <cell r="R421">
            <v>1616.641539</v>
          </cell>
          <cell r="S421">
            <v>1551.7629420000001</v>
          </cell>
          <cell r="T421">
            <v>2004.660394</v>
          </cell>
        </row>
        <row r="422">
          <cell r="B422" t="str">
            <v>Old Age</v>
          </cell>
          <cell r="R422">
            <v>1301.3348040000001</v>
          </cell>
          <cell r="S422">
            <v>1332.7633109999999</v>
          </cell>
          <cell r="T422">
            <v>1413.399408</v>
          </cell>
        </row>
        <row r="423">
          <cell r="B423" t="str">
            <v>Survivors</v>
          </cell>
          <cell r="R423">
            <v>51.2395</v>
          </cell>
          <cell r="S423">
            <v>0</v>
          </cell>
          <cell r="T423">
            <v>0</v>
          </cell>
        </row>
        <row r="424">
          <cell r="B424" t="str">
            <v>Family &amp; Children</v>
          </cell>
          <cell r="R424">
            <v>109.122118</v>
          </cell>
          <cell r="S424">
            <v>168.80600000000001</v>
          </cell>
          <cell r="T424">
            <v>239.17688999999999</v>
          </cell>
        </row>
        <row r="425">
          <cell r="B425" t="str">
            <v>Social Protection N.E.C</v>
          </cell>
          <cell r="R425">
            <v>1372.7608889999999</v>
          </cell>
          <cell r="S425">
            <v>0</v>
          </cell>
          <cell r="T425">
            <v>21.932936000000002</v>
          </cell>
        </row>
        <row r="426">
          <cell r="B426" t="str">
            <v xml:space="preserve">Medical products,appliances and equipment </v>
          </cell>
          <cell r="R426">
            <v>0</v>
          </cell>
          <cell r="S426">
            <v>336.68412999999998</v>
          </cell>
          <cell r="T426">
            <v>105.52054800000001</v>
          </cell>
        </row>
        <row r="428">
          <cell r="B428" t="str">
            <v xml:space="preserve">   Source: Ministry of Finance </v>
          </cell>
        </row>
        <row r="430">
          <cell r="B430" t="str">
            <v>TABLE 7.  FOREIGN GRANTS BY PRINCIPAL DONORS, 2017 - 2023</v>
          </cell>
        </row>
        <row r="431">
          <cell r="B431" t="str">
            <v>(In million Rufiyaa)</v>
          </cell>
        </row>
        <row r="433">
          <cell r="B433" t="str">
            <v>Particulars</v>
          </cell>
          <cell r="R433">
            <v>2019</v>
          </cell>
          <cell r="S433">
            <v>2020</v>
          </cell>
          <cell r="T433">
            <v>2021</v>
          </cell>
        </row>
        <row r="434">
          <cell r="R434" t="str">
            <v>Approved</v>
          </cell>
          <cell r="S434" t="str">
            <v>Actual</v>
          </cell>
          <cell r="T434" t="str">
            <v>Actual</v>
          </cell>
        </row>
        <row r="437">
          <cell r="B437" t="str">
            <v>Total grants</v>
          </cell>
          <cell r="R437">
            <v>1222.9733159999998</v>
          </cell>
          <cell r="S437">
            <v>972.46533199999999</v>
          </cell>
          <cell r="T437">
            <v>959.34219900000005</v>
          </cell>
        </row>
        <row r="438">
          <cell r="B438" t="str">
            <v xml:space="preserve">  Current</v>
          </cell>
          <cell r="R438">
            <v>486.39923199999998</v>
          </cell>
          <cell r="S438">
            <v>607.66711499999997</v>
          </cell>
          <cell r="T438">
            <v>233.51557500000001</v>
          </cell>
        </row>
        <row r="439">
          <cell r="B439" t="str">
            <v xml:space="preserve">  Capital</v>
          </cell>
          <cell r="R439">
            <v>668.48715900000002</v>
          </cell>
          <cell r="S439">
            <v>350.32549699999998</v>
          </cell>
          <cell r="T439">
            <v>798.33241499999997</v>
          </cell>
        </row>
        <row r="441">
          <cell r="B441" t="str">
            <v>Bilateral</v>
          </cell>
          <cell r="R441">
            <v>945.49483699999996</v>
          </cell>
          <cell r="S441">
            <v>222.26806099999999</v>
          </cell>
          <cell r="T441">
            <v>788.30936200000008</v>
          </cell>
        </row>
        <row r="442">
          <cell r="B442" t="str">
            <v>America</v>
          </cell>
          <cell r="R442">
            <v>0</v>
          </cell>
          <cell r="S442">
            <v>0</v>
          </cell>
          <cell r="T442">
            <v>3.4226679999999998</v>
          </cell>
        </row>
        <row r="443">
          <cell r="B443" t="str">
            <v>Australia</v>
          </cell>
          <cell r="R443">
            <v>5.3983000000000003E-2</v>
          </cell>
          <cell r="S443">
            <v>9.0206999999999996E-2</v>
          </cell>
          <cell r="T443">
            <v>0</v>
          </cell>
        </row>
        <row r="444">
          <cell r="B444" t="str">
            <v>Abu Dhabi</v>
          </cell>
          <cell r="R444">
            <v>0</v>
          </cell>
          <cell r="S444">
            <v>187.669004</v>
          </cell>
          <cell r="T444">
            <v>0</v>
          </cell>
        </row>
        <row r="445">
          <cell r="B445" t="str">
            <v xml:space="preserve">Bangladesh </v>
          </cell>
          <cell r="R445">
            <v>0</v>
          </cell>
          <cell r="S445">
            <v>0</v>
          </cell>
          <cell r="T445">
            <v>0</v>
          </cell>
        </row>
        <row r="446">
          <cell r="B446" t="str">
            <v>Brunei</v>
          </cell>
          <cell r="R446">
            <v>0</v>
          </cell>
          <cell r="S446">
            <v>0</v>
          </cell>
          <cell r="T446">
            <v>0</v>
          </cell>
        </row>
        <row r="447">
          <cell r="B447" t="str">
            <v>Canada</v>
          </cell>
          <cell r="R447">
            <v>0</v>
          </cell>
          <cell r="S447">
            <v>1.14293</v>
          </cell>
          <cell r="T447">
            <v>0</v>
          </cell>
        </row>
        <row r="448">
          <cell r="B448" t="str">
            <v>China</v>
          </cell>
          <cell r="R448">
            <v>6.191738</v>
          </cell>
          <cell r="S448">
            <v>0</v>
          </cell>
          <cell r="T448">
            <v>8.4000000000000005E-2</v>
          </cell>
        </row>
        <row r="449">
          <cell r="B449" t="str">
            <v>Denmark</v>
          </cell>
          <cell r="R449">
            <v>0</v>
          </cell>
          <cell r="S449">
            <v>0</v>
          </cell>
          <cell r="T449">
            <v>0</v>
          </cell>
        </row>
        <row r="450">
          <cell r="B450" t="str">
            <v>Finland</v>
          </cell>
          <cell r="R450">
            <v>0</v>
          </cell>
          <cell r="S450">
            <v>0</v>
          </cell>
          <cell r="T450">
            <v>0</v>
          </cell>
        </row>
        <row r="451">
          <cell r="B451" t="str">
            <v>France</v>
          </cell>
          <cell r="R451">
            <v>0</v>
          </cell>
          <cell r="S451">
            <v>0</v>
          </cell>
          <cell r="T451">
            <v>0</v>
          </cell>
        </row>
        <row r="452">
          <cell r="B452" t="str">
            <v>Germany</v>
          </cell>
          <cell r="R452">
            <v>0</v>
          </cell>
          <cell r="S452">
            <v>0</v>
          </cell>
          <cell r="T452">
            <v>0</v>
          </cell>
        </row>
        <row r="453">
          <cell r="B453" t="str">
            <v>India</v>
          </cell>
          <cell r="R453">
            <v>876.38620600000002</v>
          </cell>
          <cell r="S453">
            <v>22.020198000000001</v>
          </cell>
          <cell r="T453">
            <v>400.12307900000002</v>
          </cell>
        </row>
        <row r="454">
          <cell r="B454" t="str">
            <v>Italy</v>
          </cell>
          <cell r="R454">
            <v>13.555638999999999</v>
          </cell>
          <cell r="S454">
            <v>3.3311760000000001</v>
          </cell>
          <cell r="T454">
            <v>0</v>
          </cell>
        </row>
        <row r="455">
          <cell r="B455" t="str">
            <v>Japan</v>
          </cell>
          <cell r="R455">
            <v>1.461114</v>
          </cell>
          <cell r="S455">
            <v>2.8492250000000001</v>
          </cell>
          <cell r="T455">
            <v>365.33536900000001</v>
          </cell>
        </row>
        <row r="456">
          <cell r="B456" t="str">
            <v>Kuwait</v>
          </cell>
          <cell r="R456">
            <v>0</v>
          </cell>
          <cell r="S456">
            <v>0</v>
          </cell>
          <cell r="T456">
            <v>0</v>
          </cell>
        </row>
        <row r="457">
          <cell r="B457" t="str">
            <v>Kuwait Fund</v>
          </cell>
          <cell r="R457">
            <v>0</v>
          </cell>
          <cell r="S457">
            <v>0</v>
          </cell>
          <cell r="T457">
            <v>0</v>
          </cell>
        </row>
        <row r="458">
          <cell r="B458" t="str">
            <v>Libya</v>
          </cell>
          <cell r="R458">
            <v>0</v>
          </cell>
          <cell r="S458">
            <v>0</v>
          </cell>
          <cell r="T458">
            <v>0</v>
          </cell>
        </row>
        <row r="459">
          <cell r="B459" t="str">
            <v>Netherlands</v>
          </cell>
          <cell r="R459">
            <v>0</v>
          </cell>
          <cell r="S459">
            <v>0</v>
          </cell>
          <cell r="T459">
            <v>1.474437</v>
          </cell>
        </row>
        <row r="460">
          <cell r="B460" t="str">
            <v>New Zealand</v>
          </cell>
          <cell r="R460">
            <v>0</v>
          </cell>
          <cell r="S460">
            <v>0</v>
          </cell>
          <cell r="T460">
            <v>0</v>
          </cell>
        </row>
        <row r="461">
          <cell r="B461" t="str">
            <v>Norway</v>
          </cell>
          <cell r="R461">
            <v>0.117229</v>
          </cell>
          <cell r="S461">
            <v>0</v>
          </cell>
          <cell r="T461">
            <v>0</v>
          </cell>
        </row>
        <row r="462">
          <cell r="B462" t="str">
            <v>Oman</v>
          </cell>
          <cell r="R462">
            <v>0</v>
          </cell>
          <cell r="S462">
            <v>0</v>
          </cell>
          <cell r="T462">
            <v>0</v>
          </cell>
        </row>
        <row r="463">
          <cell r="B463" t="str">
            <v>Pakistan</v>
          </cell>
          <cell r="R463">
            <v>0</v>
          </cell>
          <cell r="S463">
            <v>0.27418799999999999</v>
          </cell>
          <cell r="T463">
            <v>5.6802739999999998</v>
          </cell>
        </row>
        <row r="464">
          <cell r="B464" t="str">
            <v>Qatar</v>
          </cell>
          <cell r="R464">
            <v>0</v>
          </cell>
          <cell r="S464">
            <v>0</v>
          </cell>
          <cell r="T464">
            <v>0</v>
          </cell>
        </row>
        <row r="465">
          <cell r="B465" t="str">
            <v>Saudi Arabia</v>
          </cell>
          <cell r="R465">
            <v>47.728928000000003</v>
          </cell>
          <cell r="S465">
            <v>0</v>
          </cell>
          <cell r="T465">
            <v>4.2532399999999999</v>
          </cell>
        </row>
        <row r="466">
          <cell r="B466" t="str">
            <v>Saudi Fund</v>
          </cell>
          <cell r="R466">
            <v>0</v>
          </cell>
          <cell r="S466">
            <v>0</v>
          </cell>
          <cell r="T466">
            <v>0</v>
          </cell>
        </row>
        <row r="467">
          <cell r="B467" t="str">
            <v>South Korea</v>
          </cell>
          <cell r="R467">
            <v>0</v>
          </cell>
          <cell r="S467">
            <v>0</v>
          </cell>
          <cell r="T467">
            <v>0</v>
          </cell>
        </row>
        <row r="468">
          <cell r="B468" t="str">
            <v>Sri lanka</v>
          </cell>
          <cell r="R468">
            <v>0</v>
          </cell>
          <cell r="S468">
            <v>0</v>
          </cell>
          <cell r="T468">
            <v>0</v>
          </cell>
        </row>
        <row r="469">
          <cell r="B469" t="str">
            <v>Sweden</v>
          </cell>
          <cell r="R469">
            <v>0</v>
          </cell>
          <cell r="S469">
            <v>0</v>
          </cell>
          <cell r="T469">
            <v>0</v>
          </cell>
        </row>
        <row r="470">
          <cell r="B470" t="str">
            <v>Thailand</v>
          </cell>
          <cell r="R470">
            <v>0</v>
          </cell>
          <cell r="S470">
            <v>0</v>
          </cell>
          <cell r="T470">
            <v>0</v>
          </cell>
        </row>
        <row r="471">
          <cell r="B471" t="str">
            <v xml:space="preserve">Turkey </v>
          </cell>
          <cell r="R471">
            <v>0</v>
          </cell>
          <cell r="S471">
            <v>0</v>
          </cell>
          <cell r="T471">
            <v>0</v>
          </cell>
        </row>
        <row r="472">
          <cell r="B472" t="str">
            <v>United Kingdom</v>
          </cell>
          <cell r="R472">
            <v>0</v>
          </cell>
          <cell r="S472">
            <v>0</v>
          </cell>
          <cell r="T472">
            <v>0</v>
          </cell>
        </row>
        <row r="473">
          <cell r="B473" t="str">
            <v>United Arab Emirates</v>
          </cell>
          <cell r="R473">
            <v>0</v>
          </cell>
          <cell r="S473">
            <v>0</v>
          </cell>
          <cell r="T473">
            <v>0</v>
          </cell>
        </row>
        <row r="474">
          <cell r="B474" t="str">
            <v>Vietnam</v>
          </cell>
          <cell r="R474">
            <v>0</v>
          </cell>
          <cell r="S474">
            <v>0</v>
          </cell>
          <cell r="T474">
            <v>7.9362950000000003</v>
          </cell>
        </row>
        <row r="475">
          <cell r="B475" t="str">
            <v>Government Sectors</v>
          </cell>
          <cell r="R475">
            <v>0</v>
          </cell>
          <cell r="S475">
            <v>4.891133</v>
          </cell>
          <cell r="T475">
            <v>0</v>
          </cell>
        </row>
        <row r="476">
          <cell r="B476" t="str">
            <v>Other</v>
          </cell>
          <cell r="R476">
            <v>0</v>
          </cell>
          <cell r="S476">
            <v>0</v>
          </cell>
          <cell r="T476">
            <v>0</v>
          </cell>
        </row>
        <row r="479">
          <cell r="B479" t="str">
            <v>Multilateral</v>
          </cell>
          <cell r="R479">
            <v>277.47847899999994</v>
          </cell>
          <cell r="S479">
            <v>750.197271</v>
          </cell>
          <cell r="T479">
            <v>171.032837</v>
          </cell>
        </row>
        <row r="480">
          <cell r="B480" t="str">
            <v>AGFUND</v>
          </cell>
          <cell r="R480">
            <v>0</v>
          </cell>
          <cell r="S480">
            <v>0</v>
          </cell>
          <cell r="T480">
            <v>0</v>
          </cell>
        </row>
        <row r="481">
          <cell r="B481" t="str">
            <v>ADB</v>
          </cell>
          <cell r="R481">
            <v>8.8921949999999992</v>
          </cell>
          <cell r="S481">
            <v>407.23163</v>
          </cell>
          <cell r="T481">
            <v>94.645206999999999</v>
          </cell>
        </row>
        <row r="482">
          <cell r="B482" t="str">
            <v>ASDB</v>
          </cell>
          <cell r="R482">
            <v>0</v>
          </cell>
          <cell r="S482">
            <v>0</v>
          </cell>
          <cell r="T482">
            <v>0</v>
          </cell>
        </row>
        <row r="483">
          <cell r="B483" t="str">
            <v>AFPPD</v>
          </cell>
          <cell r="R483">
            <v>0</v>
          </cell>
          <cell r="S483">
            <v>0</v>
          </cell>
          <cell r="T483">
            <v>0</v>
          </cell>
        </row>
        <row r="484">
          <cell r="B484" t="str">
            <v xml:space="preserve">Asia Pacific Forum </v>
          </cell>
          <cell r="R484">
            <v>5.7300000000000005E-4</v>
          </cell>
          <cell r="S484">
            <v>0</v>
          </cell>
          <cell r="T484">
            <v>2.2033000000000001E-2</v>
          </cell>
        </row>
        <row r="485">
          <cell r="B485" t="str">
            <v xml:space="preserve">Common Wealth </v>
          </cell>
          <cell r="R485">
            <v>0</v>
          </cell>
          <cell r="S485">
            <v>0</v>
          </cell>
          <cell r="T485">
            <v>0</v>
          </cell>
        </row>
        <row r="486">
          <cell r="B486" t="str">
            <v>Caritas Italiana</v>
          </cell>
          <cell r="R486">
            <v>0</v>
          </cell>
          <cell r="S486">
            <v>0</v>
          </cell>
          <cell r="T486">
            <v>0</v>
          </cell>
        </row>
        <row r="487">
          <cell r="B487" t="str">
            <v>European Union</v>
          </cell>
          <cell r="R487">
            <v>0</v>
          </cell>
          <cell r="S487">
            <v>0.451013</v>
          </cell>
          <cell r="T487">
            <v>0</v>
          </cell>
        </row>
        <row r="488">
          <cell r="B488" t="str">
            <v>EEC</v>
          </cell>
          <cell r="R488">
            <v>0</v>
          </cell>
          <cell r="S488">
            <v>0</v>
          </cell>
          <cell r="T488">
            <v>0</v>
          </cell>
        </row>
        <row r="489">
          <cell r="B489" t="str">
            <v>FAO</v>
          </cell>
          <cell r="R489">
            <v>9.7059000000000006E-2</v>
          </cell>
          <cell r="S489">
            <v>1.6556999999999999E-2</v>
          </cell>
          <cell r="T489">
            <v>0</v>
          </cell>
        </row>
        <row r="490">
          <cell r="B490" t="str">
            <v>FBO</v>
          </cell>
          <cell r="R490">
            <v>0</v>
          </cell>
          <cell r="S490">
            <v>0</v>
          </cell>
          <cell r="T490">
            <v>0</v>
          </cell>
        </row>
        <row r="491">
          <cell r="B491" t="str">
            <v xml:space="preserve">FIDA </v>
          </cell>
          <cell r="R491">
            <v>0</v>
          </cell>
          <cell r="S491">
            <v>0</v>
          </cell>
          <cell r="T491">
            <v>0</v>
          </cell>
        </row>
        <row r="492">
          <cell r="B492" t="str">
            <v>Fund Raising Activities</v>
          </cell>
          <cell r="R492">
            <v>52.355212000000002</v>
          </cell>
          <cell r="S492">
            <v>0</v>
          </cell>
          <cell r="T492">
            <v>0</v>
          </cell>
        </row>
        <row r="493">
          <cell r="B493" t="str">
            <v>GEF</v>
          </cell>
          <cell r="R493">
            <v>0.99475000000000002</v>
          </cell>
          <cell r="S493">
            <v>0.84277100000000005</v>
          </cell>
          <cell r="T493">
            <v>0.92100000000000004</v>
          </cell>
        </row>
        <row r="494">
          <cell r="B494" t="str">
            <v>Green Climate Fund</v>
          </cell>
          <cell r="R494">
            <v>0</v>
          </cell>
          <cell r="S494">
            <v>0</v>
          </cell>
          <cell r="T494">
            <v>0</v>
          </cell>
        </row>
        <row r="495">
          <cell r="B495" t="str">
            <v>Global Fund</v>
          </cell>
          <cell r="R495">
            <v>0</v>
          </cell>
          <cell r="S495">
            <v>0</v>
          </cell>
          <cell r="T495">
            <v>0</v>
          </cell>
        </row>
        <row r="496">
          <cell r="B496" t="str">
            <v>IDA</v>
          </cell>
          <cell r="R496">
            <v>0</v>
          </cell>
          <cell r="S496">
            <v>0</v>
          </cell>
          <cell r="T496">
            <v>0</v>
          </cell>
        </row>
        <row r="497">
          <cell r="B497" t="str">
            <v>IDB</v>
          </cell>
          <cell r="R497">
            <v>0</v>
          </cell>
          <cell r="S497">
            <v>3.4716999999999998</v>
          </cell>
          <cell r="T497">
            <v>0</v>
          </cell>
        </row>
        <row r="498">
          <cell r="B498" t="str">
            <v>Tsunami Assistance</v>
          </cell>
          <cell r="R498">
            <v>0</v>
          </cell>
          <cell r="S498">
            <v>0</v>
          </cell>
          <cell r="T498">
            <v>0</v>
          </cell>
        </row>
        <row r="499">
          <cell r="B499" t="str">
            <v>IFAD</v>
          </cell>
          <cell r="R499">
            <v>6.1701969999999999</v>
          </cell>
          <cell r="S499">
            <v>2.7705799999999998</v>
          </cell>
          <cell r="T499">
            <v>4.4660840000000004</v>
          </cell>
        </row>
        <row r="500">
          <cell r="B500" t="str">
            <v>IMF</v>
          </cell>
          <cell r="R500">
            <v>0</v>
          </cell>
          <cell r="S500">
            <v>0</v>
          </cell>
          <cell r="T500">
            <v>0</v>
          </cell>
        </row>
        <row r="501">
          <cell r="B501" t="str">
            <v>Interpol</v>
          </cell>
          <cell r="R501">
            <v>0</v>
          </cell>
          <cell r="S501">
            <v>0</v>
          </cell>
          <cell r="T501">
            <v>0</v>
          </cell>
        </row>
        <row r="502">
          <cell r="B502" t="str">
            <v>IPU</v>
          </cell>
          <cell r="R502">
            <v>0</v>
          </cell>
          <cell r="S502">
            <v>0</v>
          </cell>
          <cell r="T502">
            <v>0</v>
          </cell>
        </row>
        <row r="503">
          <cell r="B503" t="str">
            <v xml:space="preserve">ISESCO </v>
          </cell>
          <cell r="R503">
            <v>0</v>
          </cell>
          <cell r="S503">
            <v>0</v>
          </cell>
          <cell r="T503">
            <v>0</v>
          </cell>
        </row>
        <row r="504">
          <cell r="B504" t="str">
            <v>IUTL</v>
          </cell>
          <cell r="R504">
            <v>0.22950000000000001</v>
          </cell>
          <cell r="S504">
            <v>0</v>
          </cell>
          <cell r="T504">
            <v>0</v>
          </cell>
        </row>
        <row r="505">
          <cell r="B505" t="str">
            <v>LBO</v>
          </cell>
          <cell r="R505">
            <v>2.8501629999999998</v>
          </cell>
          <cell r="S505">
            <v>1.6</v>
          </cell>
          <cell r="T505">
            <v>0.17385</v>
          </cell>
        </row>
        <row r="506">
          <cell r="B506" t="str">
            <v>NGO</v>
          </cell>
          <cell r="R506">
            <v>4.5930470000000003</v>
          </cell>
          <cell r="S506">
            <v>0.35114899999999999</v>
          </cell>
          <cell r="T506">
            <v>1.645905</v>
          </cell>
        </row>
        <row r="507">
          <cell r="B507" t="str">
            <v>OECD</v>
          </cell>
          <cell r="R507">
            <v>0.155581</v>
          </cell>
          <cell r="S507">
            <v>6.1080000000000002E-2</v>
          </cell>
          <cell r="T507">
            <v>0</v>
          </cell>
        </row>
        <row r="508">
          <cell r="B508" t="str">
            <v>OFID</v>
          </cell>
          <cell r="R508">
            <v>28.032544999999999</v>
          </cell>
          <cell r="S508">
            <v>2.8524159999999998</v>
          </cell>
          <cell r="T508">
            <v>0</v>
          </cell>
        </row>
        <row r="509">
          <cell r="B509" t="str">
            <v>PRC</v>
          </cell>
          <cell r="R509">
            <v>0</v>
          </cell>
          <cell r="S509">
            <v>0</v>
          </cell>
          <cell r="T509">
            <v>0</v>
          </cell>
        </row>
        <row r="510">
          <cell r="B510" t="str">
            <v>SAARC</v>
          </cell>
          <cell r="R510">
            <v>0</v>
          </cell>
          <cell r="S510">
            <v>0.78871599999999997</v>
          </cell>
          <cell r="T510">
            <v>1.981168</v>
          </cell>
        </row>
        <row r="511">
          <cell r="B511" t="str">
            <v>SDF</v>
          </cell>
          <cell r="R511">
            <v>0</v>
          </cell>
          <cell r="S511">
            <v>0</v>
          </cell>
          <cell r="T511">
            <v>0</v>
          </cell>
        </row>
        <row r="512">
          <cell r="B512" t="str">
            <v>Saudi Prince</v>
          </cell>
          <cell r="R512">
            <v>0</v>
          </cell>
          <cell r="S512">
            <v>0</v>
          </cell>
          <cell r="T512">
            <v>0</v>
          </cell>
        </row>
        <row r="513">
          <cell r="B513" t="str">
            <v>UNFCCC</v>
          </cell>
          <cell r="R513">
            <v>27.102900999999999</v>
          </cell>
          <cell r="S513">
            <v>15.848889</v>
          </cell>
          <cell r="T513">
            <v>0</v>
          </cell>
        </row>
        <row r="514">
          <cell r="B514" t="str">
            <v>UNDP</v>
          </cell>
          <cell r="R514">
            <v>0.42534</v>
          </cell>
          <cell r="S514">
            <v>1.434644</v>
          </cell>
          <cell r="T514">
            <v>2.9606400000000002</v>
          </cell>
        </row>
        <row r="515">
          <cell r="B515" t="str">
            <v>UNEP</v>
          </cell>
          <cell r="R515">
            <v>21.082436000000001</v>
          </cell>
          <cell r="S515">
            <v>18.605819</v>
          </cell>
          <cell r="T515">
            <v>14.935411</v>
          </cell>
        </row>
        <row r="516">
          <cell r="B516" t="str">
            <v>British Council</v>
          </cell>
          <cell r="R516">
            <v>0</v>
          </cell>
          <cell r="S516">
            <v>0</v>
          </cell>
          <cell r="T516">
            <v>0</v>
          </cell>
        </row>
        <row r="517">
          <cell r="B517" t="str">
            <v>Asian Football Federation</v>
          </cell>
          <cell r="R517">
            <v>0</v>
          </cell>
          <cell r="S517">
            <v>0</v>
          </cell>
          <cell r="T517">
            <v>0</v>
          </cell>
        </row>
        <row r="518">
          <cell r="B518" t="str">
            <v>UNESCAP</v>
          </cell>
          <cell r="R518">
            <v>0.16895499999999999</v>
          </cell>
          <cell r="S518">
            <v>4.6109999999999998E-2</v>
          </cell>
          <cell r="T518">
            <v>0</v>
          </cell>
        </row>
        <row r="519">
          <cell r="B519" t="str">
            <v>UNESCO</v>
          </cell>
          <cell r="R519">
            <v>0.55852500000000005</v>
          </cell>
          <cell r="S519">
            <v>0.14352300000000001</v>
          </cell>
          <cell r="T519">
            <v>15.493703999999999</v>
          </cell>
        </row>
        <row r="520">
          <cell r="B520" t="str">
            <v>UNES</v>
          </cell>
          <cell r="R520">
            <v>0</v>
          </cell>
          <cell r="S520">
            <v>0</v>
          </cell>
          <cell r="T520">
            <v>0</v>
          </cell>
        </row>
        <row r="521">
          <cell r="B521" t="str">
            <v>UNFPA</v>
          </cell>
          <cell r="R521">
            <v>0</v>
          </cell>
          <cell r="S521">
            <v>0</v>
          </cell>
          <cell r="T521">
            <v>0</v>
          </cell>
        </row>
        <row r="522">
          <cell r="B522" t="str">
            <v>UNICEF</v>
          </cell>
          <cell r="R522">
            <v>11.588421</v>
          </cell>
          <cell r="S522">
            <v>8.2850629999999992</v>
          </cell>
          <cell r="T522">
            <v>0.30704599999999999</v>
          </cell>
        </row>
        <row r="523">
          <cell r="B523" t="str">
            <v>UNIDO</v>
          </cell>
          <cell r="R523">
            <v>1.2675650000000001</v>
          </cell>
          <cell r="S523">
            <v>0.869838</v>
          </cell>
          <cell r="T523">
            <v>0.63797800000000005</v>
          </cell>
        </row>
        <row r="524">
          <cell r="B524" t="str">
            <v>UNITAR</v>
          </cell>
          <cell r="R524">
            <v>0</v>
          </cell>
          <cell r="S524">
            <v>1.5894999999999999E-2</v>
          </cell>
          <cell r="T524">
            <v>0</v>
          </cell>
        </row>
        <row r="525">
          <cell r="B525" t="str">
            <v>UNODC</v>
          </cell>
          <cell r="R525">
            <v>0</v>
          </cell>
          <cell r="S525">
            <v>0</v>
          </cell>
          <cell r="T525">
            <v>0.62949500000000003</v>
          </cell>
        </row>
        <row r="526">
          <cell r="B526" t="str">
            <v>UNOP</v>
          </cell>
          <cell r="R526">
            <v>0</v>
          </cell>
          <cell r="S526">
            <v>0</v>
          </cell>
          <cell r="T526">
            <v>0</v>
          </cell>
        </row>
        <row r="527">
          <cell r="B527" t="str">
            <v>UNOPS</v>
          </cell>
          <cell r="R527">
            <v>0.94438299999999997</v>
          </cell>
          <cell r="S527">
            <v>7.4040999999999996E-2</v>
          </cell>
          <cell r="T527">
            <v>0</v>
          </cell>
        </row>
        <row r="528">
          <cell r="B528" t="str">
            <v>UNSD</v>
          </cell>
          <cell r="R528">
            <v>0</v>
          </cell>
          <cell r="S528">
            <v>0</v>
          </cell>
          <cell r="T528">
            <v>0</v>
          </cell>
        </row>
        <row r="529">
          <cell r="B529" t="str">
            <v>USAID</v>
          </cell>
          <cell r="R529">
            <v>0</v>
          </cell>
          <cell r="S529">
            <v>0</v>
          </cell>
          <cell r="T529">
            <v>0</v>
          </cell>
        </row>
        <row r="530">
          <cell r="B530" t="str">
            <v>WHO</v>
          </cell>
          <cell r="R530">
            <v>5.6626120000000002</v>
          </cell>
          <cell r="S530">
            <v>0.104475</v>
          </cell>
          <cell r="T530">
            <v>10.980123000000001</v>
          </cell>
        </row>
        <row r="531">
          <cell r="B531" t="str">
            <v>WORLD BANK</v>
          </cell>
          <cell r="R531">
            <v>91.191186999999999</v>
          </cell>
          <cell r="S531">
            <v>271.67566799999997</v>
          </cell>
          <cell r="T531">
            <v>10.51238</v>
          </cell>
        </row>
        <row r="532">
          <cell r="B532" t="str">
            <v>WTO</v>
          </cell>
          <cell r="R532">
            <v>1.2387E-2</v>
          </cell>
          <cell r="S532">
            <v>0</v>
          </cell>
          <cell r="T532">
            <v>0</v>
          </cell>
        </row>
        <row r="533">
          <cell r="B533" t="str">
            <v>Other</v>
          </cell>
          <cell r="R533">
            <v>13.102945</v>
          </cell>
          <cell r="S533">
            <v>12.655694</v>
          </cell>
          <cell r="T533">
            <v>10.720813</v>
          </cell>
        </row>
        <row r="535">
          <cell r="B535" t="str">
            <v xml:space="preserve">   1/  Includes grants in-kind but excludes direct expenditure by donors.</v>
          </cell>
        </row>
        <row r="536">
          <cell r="B536" t="str">
            <v xml:space="preserve">   Source: Ministry of Finance </v>
          </cell>
        </row>
        <row r="538">
          <cell r="B538" t="str">
            <v>Table 8.  Expenditure on Major Projects Financed by Foreign Loans, 2017 - 2023</v>
          </cell>
        </row>
        <row r="539">
          <cell r="B539" t="str">
            <v>(In million Rufiyaa)</v>
          </cell>
        </row>
        <row r="541">
          <cell r="B541" t="str">
            <v>Particulars</v>
          </cell>
          <cell r="R541">
            <v>2019</v>
          </cell>
          <cell r="S541">
            <v>2020</v>
          </cell>
          <cell r="T541">
            <v>2021</v>
          </cell>
        </row>
        <row r="542">
          <cell r="R542" t="str">
            <v>Actual</v>
          </cell>
          <cell r="S542" t="str">
            <v>Actual</v>
          </cell>
          <cell r="T542" t="str">
            <v>Actual</v>
          </cell>
        </row>
        <row r="545">
          <cell r="B545" t="str">
            <v>Total spending</v>
          </cell>
          <cell r="R545">
            <v>1913.8057230000002</v>
          </cell>
          <cell r="S545">
            <v>851.27468299999998</v>
          </cell>
          <cell r="T545">
            <v>1344.2048609999999</v>
          </cell>
        </row>
        <row r="547">
          <cell r="B547" t="str">
            <v xml:space="preserve">     Projects</v>
          </cell>
          <cell r="R547">
            <v>1913.8057230000002</v>
          </cell>
          <cell r="S547">
            <v>851.27468299999998</v>
          </cell>
          <cell r="T547">
            <v>1344.2048609999999</v>
          </cell>
        </row>
        <row r="549">
          <cell r="B549" t="str">
            <v>Saudhi Fund</v>
          </cell>
        </row>
        <row r="550">
          <cell r="B550" t="str">
            <v>Reconstruction and Development of Ga. Atoll</v>
          </cell>
          <cell r="R550" t="str">
            <v>-</v>
          </cell>
          <cell r="S550">
            <v>0</v>
          </cell>
          <cell r="T550">
            <v>0</v>
          </cell>
        </row>
        <row r="551">
          <cell r="B551" t="str">
            <v>Reconstruction of fishing Harbours In Maldives</v>
          </cell>
          <cell r="R551" t="str">
            <v>-</v>
          </cell>
          <cell r="S551">
            <v>0</v>
          </cell>
          <cell r="T551">
            <v>0</v>
          </cell>
        </row>
        <row r="552">
          <cell r="B552" t="str">
            <v>Construction of S.Hithadhoo Hospital</v>
          </cell>
          <cell r="R552" t="str">
            <v>-</v>
          </cell>
          <cell r="S552">
            <v>0</v>
          </cell>
          <cell r="T552">
            <v>0</v>
          </cell>
        </row>
        <row r="553">
          <cell r="B553" t="str">
            <v xml:space="preserve">Terminal Development Project at Velana International Airport </v>
          </cell>
          <cell r="R553">
            <v>39.428172000000004</v>
          </cell>
          <cell r="S553">
            <v>162.699277</v>
          </cell>
          <cell r="T553">
            <v>0</v>
          </cell>
        </row>
        <row r="554">
          <cell r="B554" t="str">
            <v>Hulhumale' Island Development Project</v>
          </cell>
          <cell r="R554">
            <v>167.882869</v>
          </cell>
          <cell r="S554">
            <v>106.696883</v>
          </cell>
          <cell r="T554">
            <v>90.912526</v>
          </cell>
        </row>
        <row r="555">
          <cell r="B555" t="str">
            <v>I-Heaven Project</v>
          </cell>
          <cell r="R555" t="str">
            <v>-</v>
          </cell>
          <cell r="S555">
            <v>0</v>
          </cell>
          <cell r="T555">
            <v>0</v>
          </cell>
        </row>
        <row r="556">
          <cell r="B556" t="str">
            <v>S.Hithadhoo Regional Hospital Project</v>
          </cell>
          <cell r="R556">
            <v>35.520724000000001</v>
          </cell>
          <cell r="S556">
            <v>48.954270000000001</v>
          </cell>
          <cell r="T556">
            <v>0</v>
          </cell>
        </row>
        <row r="557">
          <cell r="B557" t="str">
            <v>Affordable Housing Project</v>
          </cell>
          <cell r="R557">
            <v>0</v>
          </cell>
          <cell r="S557">
            <v>0</v>
          </cell>
          <cell r="T557">
            <v>58.080193000000001</v>
          </cell>
        </row>
        <row r="558">
          <cell r="B558" t="str">
            <v>Fisheries Sector Devlopment Project</v>
          </cell>
          <cell r="R558">
            <v>0</v>
          </cell>
          <cell r="S558">
            <v>0</v>
          </cell>
          <cell r="T558">
            <v>22.940982999999999</v>
          </cell>
        </row>
        <row r="559">
          <cell r="B559" t="str">
            <v>Dev. of New Tertiary Hospital - L.Gan</v>
          </cell>
          <cell r="R559">
            <v>0</v>
          </cell>
          <cell r="S559">
            <v>0</v>
          </cell>
          <cell r="T559">
            <v>0</v>
          </cell>
        </row>
        <row r="560">
          <cell r="B560" t="str">
            <v>Abu Dhabi Fund</v>
          </cell>
        </row>
        <row r="561">
          <cell r="B561" t="str">
            <v>Housing and Infrastructure project in Tsunami affected areas</v>
          </cell>
          <cell r="R561" t="str">
            <v>-</v>
          </cell>
          <cell r="S561">
            <v>0</v>
          </cell>
          <cell r="T561">
            <v>0</v>
          </cell>
        </row>
        <row r="562">
          <cell r="B562" t="str">
            <v>Small Scale Waste-to-Energy Project - Zone 7</v>
          </cell>
          <cell r="R562">
            <v>34.838484000000001</v>
          </cell>
          <cell r="S562">
            <v>0</v>
          </cell>
          <cell r="T562">
            <v>0</v>
          </cell>
        </row>
        <row r="563">
          <cell r="B563" t="str">
            <v>Expansion and Upgrading of Ibrahim Nasir International Airport Development Project</v>
          </cell>
          <cell r="R563" t="str">
            <v>-</v>
          </cell>
          <cell r="S563">
            <v>0</v>
          </cell>
          <cell r="T563">
            <v>0</v>
          </cell>
        </row>
        <row r="564">
          <cell r="B564" t="str">
            <v xml:space="preserve">Terminal Development Project at Velana International Airport </v>
          </cell>
          <cell r="R564">
            <v>43.711471000000003</v>
          </cell>
          <cell r="S564">
            <v>54.219940999999999</v>
          </cell>
          <cell r="T564">
            <v>16.216663</v>
          </cell>
        </row>
        <row r="565">
          <cell r="B565" t="str">
            <v>Greater Male' Connectivity Project (Male'-Thilafushi Bridge)</v>
          </cell>
          <cell r="R565" t="str">
            <v>-</v>
          </cell>
          <cell r="S565">
            <v>0</v>
          </cell>
          <cell r="T565">
            <v>0</v>
          </cell>
        </row>
        <row r="566">
          <cell r="B566" t="str">
            <v>Addu City Regional Waste Management Facility</v>
          </cell>
          <cell r="R566" t="str">
            <v>-</v>
          </cell>
          <cell r="S566">
            <v>0</v>
          </cell>
          <cell r="T566">
            <v>0</v>
          </cell>
        </row>
        <row r="567">
          <cell r="B567" t="str">
            <v>Small Scale Waste-to-Energy Project</v>
          </cell>
          <cell r="R567" t="str">
            <v>-</v>
          </cell>
          <cell r="S567">
            <v>2.684037</v>
          </cell>
          <cell r="T567">
            <v>0</v>
          </cell>
        </row>
        <row r="568">
          <cell r="B568" t="str">
            <v>Small Scale Waste-to-Energy Project - Phase 2</v>
          </cell>
          <cell r="R568" t="str">
            <v>-</v>
          </cell>
          <cell r="S568">
            <v>0</v>
          </cell>
          <cell r="T568">
            <v>0</v>
          </cell>
        </row>
        <row r="569">
          <cell r="B569" t="str">
            <v xml:space="preserve">Arena converting waste to energy </v>
          </cell>
          <cell r="R569" t="str">
            <v>-</v>
          </cell>
          <cell r="S569">
            <v>0</v>
          </cell>
          <cell r="T569">
            <v>0</v>
          </cell>
        </row>
        <row r="570">
          <cell r="B570" t="str">
            <v>Kuwait Fund</v>
          </cell>
        </row>
        <row r="571">
          <cell r="B571" t="str">
            <v>Rehabilitation of Tsunami Damage Utilities Project</v>
          </cell>
          <cell r="R571" t="str">
            <v>-</v>
          </cell>
          <cell r="S571">
            <v>0</v>
          </cell>
          <cell r="T571">
            <v>0</v>
          </cell>
        </row>
        <row r="572">
          <cell r="B572" t="str">
            <v xml:space="preserve">Water Supply and Sewerage in Gn.Fuwammulah </v>
          </cell>
          <cell r="R572">
            <v>15.022303000000001</v>
          </cell>
          <cell r="S572">
            <v>0</v>
          </cell>
          <cell r="T572">
            <v>0</v>
          </cell>
        </row>
        <row r="573">
          <cell r="B573" t="str">
            <v>Coastal Protection in Gn.Fuwammulah</v>
          </cell>
          <cell r="R573" t="str">
            <v>-</v>
          </cell>
          <cell r="S573">
            <v>0</v>
          </cell>
          <cell r="T573">
            <v>0</v>
          </cell>
        </row>
        <row r="574">
          <cell r="B574" t="str">
            <v>Maldives Port Development</v>
          </cell>
          <cell r="R574" t="str">
            <v>-</v>
          </cell>
          <cell r="S574">
            <v>0</v>
          </cell>
          <cell r="T574">
            <v>0</v>
          </cell>
        </row>
        <row r="575">
          <cell r="B575" t="str">
            <v>Regional Port Project</v>
          </cell>
          <cell r="R575" t="str">
            <v>-</v>
          </cell>
          <cell r="S575">
            <v>0</v>
          </cell>
          <cell r="T575">
            <v>0</v>
          </cell>
        </row>
        <row r="576">
          <cell r="B576" t="str">
            <v>Expansion and Upgrading of Ibrahim Nasir International Airport Development Project</v>
          </cell>
          <cell r="R576" t="str">
            <v>-</v>
          </cell>
          <cell r="S576">
            <v>0</v>
          </cell>
          <cell r="T576">
            <v>0</v>
          </cell>
        </row>
        <row r="577">
          <cell r="B577" t="str">
            <v xml:space="preserve">Terminal Development Project at Velana International Airport </v>
          </cell>
          <cell r="R577">
            <v>140.253118</v>
          </cell>
          <cell r="S577">
            <v>132.047945</v>
          </cell>
          <cell r="T577">
            <v>33.160178000000002</v>
          </cell>
        </row>
        <row r="578">
          <cell r="B578" t="str">
            <v>Fuvamulak Water &amp; Sewerage system</v>
          </cell>
          <cell r="R578" t="str">
            <v>-</v>
          </cell>
          <cell r="S578">
            <v>0</v>
          </cell>
          <cell r="T578">
            <v>2.8405100000000001</v>
          </cell>
        </row>
        <row r="579">
          <cell r="B579" t="str">
            <v>Hospital New Building - AA.Rasdhoo</v>
          </cell>
          <cell r="R579" t="str">
            <v>-</v>
          </cell>
          <cell r="S579">
            <v>0</v>
          </cell>
          <cell r="T579">
            <v>0</v>
          </cell>
        </row>
        <row r="580">
          <cell r="B580" t="str">
            <v>Hospital New Building - ADh.Maamingili</v>
          </cell>
          <cell r="R580" t="str">
            <v>-</v>
          </cell>
          <cell r="S580">
            <v>0</v>
          </cell>
          <cell r="T580">
            <v>0</v>
          </cell>
        </row>
        <row r="581">
          <cell r="B581" t="str">
            <v>Hospital New Building - Fuvahmulah</v>
          </cell>
          <cell r="R581" t="str">
            <v>-</v>
          </cell>
          <cell r="S581">
            <v>0</v>
          </cell>
          <cell r="T581">
            <v>0</v>
          </cell>
        </row>
        <row r="582">
          <cell r="B582" t="str">
            <v>Hospital New Building - HDh.Hanimaadhoo</v>
          </cell>
          <cell r="R582" t="str">
            <v>-</v>
          </cell>
          <cell r="S582">
            <v>0</v>
          </cell>
          <cell r="T582">
            <v>0</v>
          </cell>
        </row>
        <row r="583">
          <cell r="B583" t="str">
            <v>Hospital New Building - K.Thulusdhoo</v>
          </cell>
          <cell r="R583" t="str">
            <v>-</v>
          </cell>
          <cell r="S583">
            <v>0</v>
          </cell>
          <cell r="T583">
            <v>0</v>
          </cell>
        </row>
        <row r="584">
          <cell r="B584" t="str">
            <v>Hospital New Building - N.Velidhoo</v>
          </cell>
          <cell r="R584" t="str">
            <v>-</v>
          </cell>
          <cell r="S584">
            <v>0</v>
          </cell>
          <cell r="T584">
            <v>0</v>
          </cell>
        </row>
        <row r="585">
          <cell r="B585" t="str">
            <v>Hospital New Building - Sh.Milandhoo</v>
          </cell>
          <cell r="R585" t="str">
            <v>-</v>
          </cell>
          <cell r="S585">
            <v>0</v>
          </cell>
          <cell r="T585">
            <v>0</v>
          </cell>
        </row>
        <row r="586">
          <cell r="B586" t="str">
            <v>Hospital New Building - TH.Vilufushi</v>
          </cell>
          <cell r="R586" t="str">
            <v>-</v>
          </cell>
          <cell r="S586">
            <v>0</v>
          </cell>
          <cell r="T586">
            <v>0</v>
          </cell>
        </row>
        <row r="587">
          <cell r="B587" t="str">
            <v>Hospital New Building - V.Felidhoo</v>
          </cell>
          <cell r="R587" t="str">
            <v>-</v>
          </cell>
          <cell r="S587">
            <v>0</v>
          </cell>
          <cell r="T587">
            <v>0</v>
          </cell>
        </row>
        <row r="588">
          <cell r="B588" t="str">
            <v>Regional Hospital New Building - GDh.Thinadhoo</v>
          </cell>
          <cell r="R588" t="str">
            <v>-</v>
          </cell>
          <cell r="S588">
            <v>0</v>
          </cell>
          <cell r="T588">
            <v>0</v>
          </cell>
        </row>
        <row r="589">
          <cell r="B589" t="str">
            <v>Tertiary Hospital New Building - HDh.Kulhudhuffushi</v>
          </cell>
          <cell r="R589" t="str">
            <v>-</v>
          </cell>
          <cell r="S589">
            <v>0</v>
          </cell>
          <cell r="T589">
            <v>0</v>
          </cell>
        </row>
        <row r="590">
          <cell r="B590" t="str">
            <v>Japan</v>
          </cell>
        </row>
        <row r="591">
          <cell r="B591" t="str">
            <v>Post Tsunami Recovery and Reconstruction</v>
          </cell>
          <cell r="R591" t="str">
            <v>-</v>
          </cell>
          <cell r="S591">
            <v>0</v>
          </cell>
          <cell r="T591">
            <v>0</v>
          </cell>
        </row>
        <row r="592">
          <cell r="B592" t="str">
            <v>Airport Upgrading</v>
          </cell>
          <cell r="R592" t="str">
            <v>-</v>
          </cell>
          <cell r="S592">
            <v>0</v>
          </cell>
          <cell r="T592">
            <v>0</v>
          </cell>
        </row>
        <row r="593">
          <cell r="B593" t="str">
            <v>French Develoment Agency  (AFD)</v>
          </cell>
        </row>
        <row r="594">
          <cell r="B594" t="str">
            <v>Rehabilitation of Harbors and Creation of Sewerage network</v>
          </cell>
          <cell r="R594" t="str">
            <v>-</v>
          </cell>
          <cell r="S594" t="str">
            <v>-</v>
          </cell>
          <cell r="T594">
            <v>0</v>
          </cell>
        </row>
        <row r="595">
          <cell r="B595" t="str">
            <v>International Development Association (IDA)</v>
          </cell>
        </row>
        <row r="596">
          <cell r="B596" t="str">
            <v>Integrated Human Development Project</v>
          </cell>
          <cell r="R596" t="str">
            <v>-</v>
          </cell>
          <cell r="S596">
            <v>0</v>
          </cell>
          <cell r="T596">
            <v>0</v>
          </cell>
        </row>
        <row r="597">
          <cell r="B597" t="str">
            <v xml:space="preserve">Mobile phone banking </v>
          </cell>
          <cell r="R597" t="str">
            <v>-</v>
          </cell>
          <cell r="S597">
            <v>0</v>
          </cell>
          <cell r="T597">
            <v>0</v>
          </cell>
        </row>
        <row r="598">
          <cell r="B598" t="str">
            <v>Maldives Environment Management Project</v>
          </cell>
          <cell r="R598" t="str">
            <v>-</v>
          </cell>
          <cell r="S598">
            <v>0</v>
          </cell>
          <cell r="T598">
            <v>0</v>
          </cell>
        </row>
        <row r="599">
          <cell r="B599" t="str">
            <v>Pension and Social Protection Administration Project</v>
          </cell>
          <cell r="R599" t="str">
            <v>-</v>
          </cell>
          <cell r="S599">
            <v>0</v>
          </cell>
          <cell r="T599">
            <v>0</v>
          </cell>
        </row>
        <row r="600">
          <cell r="B600" t="str">
            <v>Post Tsunami Recovery and Reconstruction</v>
          </cell>
          <cell r="R600" t="str">
            <v>-</v>
          </cell>
          <cell r="S600">
            <v>0</v>
          </cell>
          <cell r="T600">
            <v>0</v>
          </cell>
        </row>
        <row r="601">
          <cell r="B601" t="str">
            <v>Third Education Training Project</v>
          </cell>
          <cell r="R601" t="str">
            <v>-</v>
          </cell>
          <cell r="S601">
            <v>0</v>
          </cell>
          <cell r="T601">
            <v>0</v>
          </cell>
        </row>
        <row r="602">
          <cell r="B602" t="str">
            <v>Maldives Urban Development and Resilience Project</v>
          </cell>
          <cell r="R602">
            <v>0.416047</v>
          </cell>
          <cell r="S602">
            <v>2.7649680000000001</v>
          </cell>
          <cell r="T602">
            <v>0</v>
          </cell>
        </row>
        <row r="603">
          <cell r="B603" t="str">
            <v>AREISE Project</v>
          </cell>
          <cell r="S603">
            <v>0</v>
          </cell>
          <cell r="T603">
            <v>0</v>
          </cell>
        </row>
        <row r="604">
          <cell r="B604" t="str">
            <v>International Fund for Agriculture Development (IFAD)</v>
          </cell>
        </row>
        <row r="605">
          <cell r="B605" t="str">
            <v>Post Tsunami Agriculture and Fisheries Rehabilitation Project</v>
          </cell>
          <cell r="R605" t="str">
            <v>-</v>
          </cell>
          <cell r="S605">
            <v>0</v>
          </cell>
          <cell r="T605">
            <v>0</v>
          </cell>
        </row>
        <row r="606">
          <cell r="B606" t="str">
            <v>Post Tsunami Agriculture and Fisheries Rehabilitation Project</v>
          </cell>
          <cell r="R606" t="str">
            <v>-</v>
          </cell>
          <cell r="S606">
            <v>0</v>
          </cell>
          <cell r="T606">
            <v>0</v>
          </cell>
        </row>
        <row r="607">
          <cell r="B607" t="str">
            <v xml:space="preserve">Fisheries and Agriculture Diversification Project </v>
          </cell>
          <cell r="R607" t="str">
            <v>-</v>
          </cell>
          <cell r="S607">
            <v>0</v>
          </cell>
          <cell r="T607">
            <v>0</v>
          </cell>
        </row>
        <row r="608">
          <cell r="B608" t="str">
            <v>Mariculture Enterprises Development Project</v>
          </cell>
          <cell r="R608" t="str">
            <v>-</v>
          </cell>
          <cell r="S608">
            <v>0</v>
          </cell>
          <cell r="T608">
            <v>0</v>
          </cell>
        </row>
        <row r="609">
          <cell r="B609" t="str">
            <v>Maldives Agribusiness Project</v>
          </cell>
          <cell r="S609">
            <v>0</v>
          </cell>
          <cell r="T609">
            <v>0</v>
          </cell>
        </row>
        <row r="610">
          <cell r="B610" t="str">
            <v>Islamic Development Bank (IDB)</v>
          </cell>
        </row>
        <row r="611">
          <cell r="B611" t="str">
            <v>Development of water supply and sewerage</v>
          </cell>
          <cell r="R611" t="str">
            <v>-</v>
          </cell>
          <cell r="S611">
            <v>0</v>
          </cell>
          <cell r="T611">
            <v>0</v>
          </cell>
        </row>
        <row r="612">
          <cell r="B612" t="str">
            <v>Micro Finance Loan to BML</v>
          </cell>
          <cell r="R612" t="str">
            <v>-</v>
          </cell>
          <cell r="S612">
            <v>0</v>
          </cell>
          <cell r="T612">
            <v>0</v>
          </cell>
        </row>
        <row r="613">
          <cell r="B613" t="str">
            <v>Construction of Basic housing in Tsunami affected islands</v>
          </cell>
          <cell r="R613" t="str">
            <v>-</v>
          </cell>
          <cell r="S613">
            <v>0</v>
          </cell>
          <cell r="T613">
            <v>0</v>
          </cell>
        </row>
        <row r="614">
          <cell r="B614" t="str">
            <v>Construction of Harbours for Tsunami Victims</v>
          </cell>
          <cell r="R614" t="str">
            <v>-</v>
          </cell>
          <cell r="S614">
            <v>0</v>
          </cell>
          <cell r="T614">
            <v>0</v>
          </cell>
        </row>
        <row r="615">
          <cell r="B615" t="str">
            <v>Quarantine facility</v>
          </cell>
          <cell r="R615" t="str">
            <v>-</v>
          </cell>
          <cell r="S615">
            <v>0</v>
          </cell>
          <cell r="T615">
            <v>0</v>
          </cell>
        </row>
        <row r="616">
          <cell r="B616" t="str">
            <v xml:space="preserve">SME Co-Finance </v>
          </cell>
          <cell r="R616" t="str">
            <v>-</v>
          </cell>
          <cell r="S616">
            <v>0</v>
          </cell>
          <cell r="T616">
            <v>0</v>
          </cell>
        </row>
        <row r="617">
          <cell r="B617" t="str">
            <v>Development of Harbour Infrastructure in 10 Islands</v>
          </cell>
          <cell r="R617" t="str">
            <v>-</v>
          </cell>
          <cell r="S617">
            <v>0</v>
          </cell>
          <cell r="T617">
            <v>0</v>
          </cell>
        </row>
        <row r="618">
          <cell r="B618" t="str">
            <v>Five Island Sewerage Project</v>
          </cell>
          <cell r="R618" t="str">
            <v>-</v>
          </cell>
          <cell r="S618">
            <v>0</v>
          </cell>
          <cell r="T618">
            <v>0</v>
          </cell>
        </row>
        <row r="619">
          <cell r="B619" t="str">
            <v>Provisional</v>
          </cell>
          <cell r="R619" t="str">
            <v>-</v>
          </cell>
          <cell r="S619">
            <v>0</v>
          </cell>
          <cell r="T619">
            <v>0</v>
          </cell>
        </row>
        <row r="620">
          <cell r="B620" t="str">
            <v>Trade Finance Loan</v>
          </cell>
          <cell r="R620" t="str">
            <v>-</v>
          </cell>
          <cell r="S620">
            <v>0</v>
          </cell>
          <cell r="T620">
            <v>0</v>
          </cell>
        </row>
        <row r="621">
          <cell r="B621" t="str">
            <v>Trade Finance Loan 2</v>
          </cell>
          <cell r="R621" t="str">
            <v>-</v>
          </cell>
          <cell r="S621">
            <v>0</v>
          </cell>
          <cell r="T621">
            <v>0</v>
          </cell>
        </row>
        <row r="622">
          <cell r="B622" t="str">
            <v>Technical Assistance Loan</v>
          </cell>
          <cell r="R622" t="str">
            <v>-</v>
          </cell>
          <cell r="S622">
            <v>0</v>
          </cell>
          <cell r="T622">
            <v>0</v>
          </cell>
        </row>
        <row r="623">
          <cell r="B623" t="str">
            <v>Health and Education Project</v>
          </cell>
          <cell r="R623" t="str">
            <v>-</v>
          </cell>
          <cell r="S623">
            <v>0</v>
          </cell>
          <cell r="T623">
            <v>0</v>
          </cell>
        </row>
        <row r="624">
          <cell r="B624" t="str">
            <v>Health and Education Project Phase 2</v>
          </cell>
          <cell r="R624" t="str">
            <v>-</v>
          </cell>
          <cell r="S624">
            <v>0</v>
          </cell>
          <cell r="T624">
            <v>0</v>
          </cell>
        </row>
        <row r="625">
          <cell r="B625" t="str">
            <v>Reconstruction of Harbours (Consessional )</v>
          </cell>
          <cell r="R625" t="str">
            <v>-</v>
          </cell>
          <cell r="S625">
            <v>0</v>
          </cell>
          <cell r="T625">
            <v>0</v>
          </cell>
        </row>
        <row r="626">
          <cell r="B626" t="str">
            <v>Reconstruction of Harbours (Istisna)</v>
          </cell>
          <cell r="R626" t="str">
            <v>-</v>
          </cell>
          <cell r="S626">
            <v>0</v>
          </cell>
          <cell r="T626">
            <v>0</v>
          </cell>
        </row>
        <row r="627">
          <cell r="B627" t="str">
            <v>Sanitation in 5 islands</v>
          </cell>
          <cell r="R627">
            <v>7.1999999999999995E-2</v>
          </cell>
          <cell r="S627">
            <v>0.108</v>
          </cell>
          <cell r="T627">
            <v>5.1851019999999997</v>
          </cell>
        </row>
        <row r="628">
          <cell r="B628" t="str">
            <v>Sanitation in 5 islands (Istisna)</v>
          </cell>
          <cell r="R628" t="str">
            <v>-</v>
          </cell>
          <cell r="S628">
            <v>0</v>
          </cell>
          <cell r="T628">
            <v>0</v>
          </cell>
        </row>
        <row r="629">
          <cell r="B629" t="str">
            <v>Sanitation in 5 islands (Concessional )</v>
          </cell>
          <cell r="R629">
            <v>49.201828999999996</v>
          </cell>
          <cell r="S629">
            <v>0</v>
          </cell>
          <cell r="T629">
            <v>0</v>
          </cell>
        </row>
        <row r="630">
          <cell r="B630" t="str">
            <v>Preparing Outer island for sustainable energy (POISED)</v>
          </cell>
          <cell r="R630" t="str">
            <v>-</v>
          </cell>
          <cell r="S630">
            <v>0</v>
          </cell>
          <cell r="T630">
            <v>0</v>
          </cell>
        </row>
        <row r="631">
          <cell r="B631" t="str">
            <v>Reconstruction of Harbours Phase II (additional financing)</v>
          </cell>
          <cell r="R631" t="str">
            <v>-</v>
          </cell>
          <cell r="S631">
            <v>0</v>
          </cell>
          <cell r="T631">
            <v>0</v>
          </cell>
        </row>
        <row r="632">
          <cell r="B632" t="str">
            <v>Micro Small &amp; Meduim Enterprises Development Project</v>
          </cell>
          <cell r="R632" t="str">
            <v>-</v>
          </cell>
          <cell r="S632">
            <v>0</v>
          </cell>
          <cell r="T632">
            <v>0</v>
          </cell>
        </row>
        <row r="633">
          <cell r="B633" t="str">
            <v>Micro Enterprises Development Project</v>
          </cell>
          <cell r="R633" t="str">
            <v>-</v>
          </cell>
          <cell r="S633">
            <v>0</v>
          </cell>
          <cell r="T633">
            <v>0</v>
          </cell>
        </row>
        <row r="634">
          <cell r="B634" t="str">
            <v>Greater Male' Environmental Improvement &amp; Waste Management Project</v>
          </cell>
          <cell r="R634" t="str">
            <v>-</v>
          </cell>
          <cell r="S634">
            <v>0</v>
          </cell>
          <cell r="T634">
            <v>0</v>
          </cell>
        </row>
        <row r="635">
          <cell r="B635" t="str">
            <v>Desalination Plant-Hinmfushi Jail</v>
          </cell>
          <cell r="R635" t="str">
            <v>-</v>
          </cell>
          <cell r="S635">
            <v>6.6037980000000003</v>
          </cell>
          <cell r="T635">
            <v>0</v>
          </cell>
        </row>
        <row r="636">
          <cell r="B636" t="str">
            <v>Asian Development Bank (ADB)</v>
          </cell>
        </row>
        <row r="637">
          <cell r="B637" t="str">
            <v>Information Technology Development Project</v>
          </cell>
          <cell r="R637" t="str">
            <v>-</v>
          </cell>
          <cell r="S637">
            <v>0</v>
          </cell>
          <cell r="T637">
            <v>0</v>
          </cell>
        </row>
        <row r="638">
          <cell r="B638" t="str">
            <v>Outer Island Electrification</v>
          </cell>
          <cell r="R638" t="str">
            <v>-</v>
          </cell>
          <cell r="S638">
            <v>0</v>
          </cell>
          <cell r="T638">
            <v>0</v>
          </cell>
        </row>
        <row r="639">
          <cell r="B639" t="str">
            <v>Employment Skills Training Project</v>
          </cell>
          <cell r="R639" t="str">
            <v>-</v>
          </cell>
          <cell r="S639">
            <v>0</v>
          </cell>
          <cell r="T639">
            <v>0</v>
          </cell>
        </row>
        <row r="640">
          <cell r="B640" t="str">
            <v>Regional Development Project Phase 2</v>
          </cell>
          <cell r="R640" t="str">
            <v>-</v>
          </cell>
          <cell r="S640">
            <v>0</v>
          </cell>
          <cell r="T640">
            <v>0</v>
          </cell>
        </row>
        <row r="641">
          <cell r="B641" t="str">
            <v>Domestic Maritime transport Project</v>
          </cell>
          <cell r="R641" t="str">
            <v>-</v>
          </cell>
          <cell r="S641">
            <v>0</v>
          </cell>
          <cell r="T641">
            <v>0</v>
          </cell>
        </row>
        <row r="642">
          <cell r="B642" t="str">
            <v>Private Sector Development Porject</v>
          </cell>
          <cell r="R642" t="str">
            <v>-</v>
          </cell>
          <cell r="S642">
            <v>0</v>
          </cell>
          <cell r="T642">
            <v>0</v>
          </cell>
        </row>
        <row r="643">
          <cell r="B643" t="str">
            <v>Capacity Development for Economic Recovery</v>
          </cell>
          <cell r="R643" t="str">
            <v>-</v>
          </cell>
          <cell r="S643">
            <v>0</v>
          </cell>
          <cell r="T643">
            <v>0</v>
          </cell>
        </row>
        <row r="644">
          <cell r="B644" t="str">
            <v>Micro Small &amp; Medium Enterprises dev project</v>
          </cell>
          <cell r="R644" t="str">
            <v>-</v>
          </cell>
          <cell r="S644">
            <v>0</v>
          </cell>
          <cell r="T644">
            <v>0</v>
          </cell>
        </row>
        <row r="645">
          <cell r="B645" t="str">
            <v>Renewable Energy Program</v>
          </cell>
          <cell r="R645" t="str">
            <v>-</v>
          </cell>
          <cell r="S645">
            <v>0</v>
          </cell>
          <cell r="T645">
            <v>0</v>
          </cell>
        </row>
        <row r="646">
          <cell r="B646" t="str">
            <v>Transport Sector Project</v>
          </cell>
          <cell r="R646" t="str">
            <v>-</v>
          </cell>
          <cell r="S646">
            <v>0</v>
          </cell>
          <cell r="T646">
            <v>0</v>
          </cell>
        </row>
        <row r="647">
          <cell r="B647" t="str">
            <v>Post Secondary Education Development Project</v>
          </cell>
          <cell r="R647" t="str">
            <v>-</v>
          </cell>
          <cell r="S647">
            <v>0</v>
          </cell>
          <cell r="T647">
            <v>0</v>
          </cell>
        </row>
        <row r="648">
          <cell r="B648" t="str">
            <v>Strengthening TIVET and Higher education</v>
          </cell>
          <cell r="R648" t="str">
            <v>-</v>
          </cell>
          <cell r="S648">
            <v>0</v>
          </cell>
          <cell r="T648">
            <v>0</v>
          </cell>
        </row>
        <row r="649">
          <cell r="B649" t="str">
            <v>Hdh.Kulhudufushi Harbour Expansion Project</v>
          </cell>
          <cell r="R649" t="str">
            <v>-</v>
          </cell>
          <cell r="S649">
            <v>0</v>
          </cell>
          <cell r="T649">
            <v>0</v>
          </cell>
        </row>
        <row r="650">
          <cell r="B650" t="str">
            <v>L.Gan - Fonadhoo Connectivity Project</v>
          </cell>
          <cell r="R650" t="str">
            <v>-</v>
          </cell>
          <cell r="S650">
            <v>0</v>
          </cell>
          <cell r="T650">
            <v>0</v>
          </cell>
        </row>
        <row r="651">
          <cell r="B651" t="str">
            <v>Greater Male Waste To Energy Project</v>
          </cell>
          <cell r="R651" t="str">
            <v>-</v>
          </cell>
          <cell r="S651">
            <v>0</v>
          </cell>
          <cell r="T651">
            <v>0</v>
          </cell>
        </row>
        <row r="652">
          <cell r="B652" t="str">
            <v>SASEC National Single Window Project</v>
          </cell>
          <cell r="R652" t="str">
            <v>-</v>
          </cell>
          <cell r="S652">
            <v>0</v>
          </cell>
          <cell r="T652">
            <v>0</v>
          </cell>
        </row>
        <row r="653">
          <cell r="B653" t="str">
            <v>Preparing Outer island for Sustainable Energy (POISED)</v>
          </cell>
          <cell r="R653" t="str">
            <v>-</v>
          </cell>
          <cell r="S653">
            <v>0</v>
          </cell>
          <cell r="T653">
            <v>0</v>
          </cell>
        </row>
        <row r="654">
          <cell r="B654" t="str">
            <v>OPEC Fund For International Development (OFID)</v>
          </cell>
        </row>
        <row r="655">
          <cell r="B655" t="str">
            <v>Construction of Harbours for Tsunami Victims</v>
          </cell>
          <cell r="R655" t="str">
            <v>-</v>
          </cell>
          <cell r="S655">
            <v>0</v>
          </cell>
          <cell r="T655">
            <v>0</v>
          </cell>
        </row>
        <row r="656">
          <cell r="B656" t="str">
            <v xml:space="preserve">Contraction of S.Hithadhoo Hospital </v>
          </cell>
          <cell r="R656">
            <v>26.770658000000001</v>
          </cell>
          <cell r="S656">
            <v>0</v>
          </cell>
          <cell r="T656">
            <v>0</v>
          </cell>
        </row>
        <row r="657">
          <cell r="B657" t="str">
            <v>Outer Island Water Supply and Sewerage</v>
          </cell>
          <cell r="R657">
            <v>42.026724999999999</v>
          </cell>
          <cell r="S657">
            <v>0</v>
          </cell>
          <cell r="T657">
            <v>82.182007999999996</v>
          </cell>
        </row>
        <row r="658">
          <cell r="B658" t="str">
            <v>Outer Islands Harbour, Water and Sewerage Facilities Project</v>
          </cell>
          <cell r="R658" t="str">
            <v>-</v>
          </cell>
          <cell r="S658">
            <v>0</v>
          </cell>
          <cell r="T658">
            <v>0</v>
          </cell>
        </row>
        <row r="659">
          <cell r="B659" t="str">
            <v>Establishment of a regional Solid waste management in Upper North Region</v>
          </cell>
          <cell r="R659" t="str">
            <v>-</v>
          </cell>
          <cell r="S659">
            <v>0</v>
          </cell>
          <cell r="T659">
            <v>0</v>
          </cell>
        </row>
        <row r="660">
          <cell r="B660" t="str">
            <v>Provision of water supply &amp; sewerage project</v>
          </cell>
          <cell r="R660" t="str">
            <v>-</v>
          </cell>
          <cell r="S660">
            <v>0</v>
          </cell>
          <cell r="T660">
            <v>26.524978999999998</v>
          </cell>
        </row>
        <row r="661">
          <cell r="B661" t="str">
            <v>Development of  GDh atoll</v>
          </cell>
          <cell r="R661" t="str">
            <v>-</v>
          </cell>
          <cell r="S661">
            <v>0</v>
          </cell>
          <cell r="T661">
            <v>0</v>
          </cell>
        </row>
        <row r="662">
          <cell r="B662" t="str">
            <v>Provision of water supply &amp; waste management project (Phase II)</v>
          </cell>
          <cell r="R662">
            <v>180.009007</v>
          </cell>
          <cell r="S662">
            <v>0</v>
          </cell>
          <cell r="T662">
            <v>27.869011</v>
          </cell>
        </row>
        <row r="663">
          <cell r="B663" t="str">
            <v xml:space="preserve">Provision of water supply, sanitation &amp; waste management project </v>
          </cell>
          <cell r="R663" t="str">
            <v>-</v>
          </cell>
          <cell r="S663">
            <v>0</v>
          </cell>
          <cell r="T663">
            <v>0</v>
          </cell>
        </row>
        <row r="664">
          <cell r="B664" t="str">
            <v>Gdh.Thinadhoo Township Development Project</v>
          </cell>
          <cell r="R664" t="str">
            <v>-</v>
          </cell>
          <cell r="S664">
            <v>0</v>
          </cell>
          <cell r="T664">
            <v>0</v>
          </cell>
        </row>
        <row r="665">
          <cell r="B665" t="str">
            <v xml:space="preserve">Terminal Development Project at Velana International Airport </v>
          </cell>
          <cell r="R665">
            <v>102.888037</v>
          </cell>
          <cell r="S665">
            <v>135.106323</v>
          </cell>
          <cell r="T665">
            <v>17.357728999999999</v>
          </cell>
        </row>
        <row r="666">
          <cell r="B666" t="str">
            <v>Construction of Harbours</v>
          </cell>
          <cell r="R666" t="str">
            <v>-</v>
          </cell>
          <cell r="S666">
            <v>0</v>
          </cell>
          <cell r="T666">
            <v>0</v>
          </cell>
        </row>
        <row r="667">
          <cell r="B667" t="str">
            <v>Establishment of Sewarage systems</v>
          </cell>
          <cell r="R667" t="str">
            <v>-</v>
          </cell>
          <cell r="S667">
            <v>0</v>
          </cell>
          <cell r="T667">
            <v>0</v>
          </cell>
        </row>
        <row r="668">
          <cell r="B668" t="str">
            <v>Developing Regional Hospital - S.Hithadhoo</v>
          </cell>
          <cell r="R668" t="str">
            <v>-</v>
          </cell>
          <cell r="S668">
            <v>20.243748</v>
          </cell>
          <cell r="T668">
            <v>0</v>
          </cell>
        </row>
        <row r="669">
          <cell r="B669" t="str">
            <v>Provision of water supply, sanitation &amp; waste management project (Phase II)</v>
          </cell>
          <cell r="R669" t="str">
            <v>-</v>
          </cell>
          <cell r="S669">
            <v>55.066505999999997</v>
          </cell>
          <cell r="T669">
            <v>0</v>
          </cell>
        </row>
        <row r="670">
          <cell r="B670" t="str">
            <v>Outer Island Harbour, Water Supply &amp; Sewerage - OFID Phase 3</v>
          </cell>
          <cell r="R670" t="str">
            <v>-</v>
          </cell>
          <cell r="S670">
            <v>0</v>
          </cell>
          <cell r="T670">
            <v>0</v>
          </cell>
        </row>
        <row r="671">
          <cell r="B671" t="str">
            <v>Danish Commercial Loan (DANIDA)</v>
          </cell>
        </row>
        <row r="672">
          <cell r="B672" t="str">
            <v>Fourth Power Generation Project</v>
          </cell>
          <cell r="R672" t="str">
            <v>-</v>
          </cell>
          <cell r="S672">
            <v>0</v>
          </cell>
          <cell r="T672">
            <v>0</v>
          </cell>
        </row>
        <row r="673">
          <cell r="B673" t="str">
            <v>Fourth Power Generation Project-Phase2</v>
          </cell>
          <cell r="R673" t="str">
            <v>-</v>
          </cell>
          <cell r="S673">
            <v>0</v>
          </cell>
          <cell r="T673">
            <v>0</v>
          </cell>
        </row>
        <row r="674">
          <cell r="B674" t="str">
            <v xml:space="preserve">Fourth Power Supplementary Loan </v>
          </cell>
          <cell r="R674" t="str">
            <v>-</v>
          </cell>
          <cell r="S674">
            <v>0</v>
          </cell>
          <cell r="T674">
            <v>0</v>
          </cell>
        </row>
        <row r="675">
          <cell r="B675" t="str">
            <v>ING Bank / Netherland</v>
          </cell>
        </row>
        <row r="676">
          <cell r="B676" t="str">
            <v>Dredging &amp; Reclamation Project (4 islands)</v>
          </cell>
          <cell r="R676" t="str">
            <v>-</v>
          </cell>
          <cell r="S676">
            <v>0</v>
          </cell>
          <cell r="T676">
            <v>0</v>
          </cell>
        </row>
        <row r="677">
          <cell r="B677" t="str">
            <v>Ga. Villingili Reclamation Project</v>
          </cell>
          <cell r="R677" t="str">
            <v>-</v>
          </cell>
          <cell r="S677">
            <v>0</v>
          </cell>
          <cell r="T677">
            <v>0</v>
          </cell>
        </row>
        <row r="678">
          <cell r="B678" t="str">
            <v>Land Reclamation Project</v>
          </cell>
          <cell r="R678" t="str">
            <v>-</v>
          </cell>
          <cell r="S678">
            <v>0</v>
          </cell>
          <cell r="T678">
            <v>0</v>
          </cell>
        </row>
        <row r="679">
          <cell r="B679" t="str">
            <v>Land Reclamation - K.Gulhifalhu</v>
          </cell>
          <cell r="R679" t="str">
            <v>-</v>
          </cell>
          <cell r="S679">
            <v>0</v>
          </cell>
          <cell r="T679">
            <v>0</v>
          </cell>
        </row>
        <row r="680">
          <cell r="B680" t="str">
            <v>EXIM Bank / China</v>
          </cell>
        </row>
        <row r="681">
          <cell r="B681" t="str">
            <v>1000 Housing Units in Hulumale'</v>
          </cell>
          <cell r="R681" t="str">
            <v>-</v>
          </cell>
          <cell r="S681">
            <v>0</v>
          </cell>
          <cell r="T681">
            <v>0</v>
          </cell>
        </row>
        <row r="682">
          <cell r="B682" t="str">
            <v>Development of 1500 Housing Units in Maldives (Phase II)</v>
          </cell>
          <cell r="R682">
            <v>135.414344</v>
          </cell>
          <cell r="S682">
            <v>0</v>
          </cell>
          <cell r="T682">
            <v>0</v>
          </cell>
        </row>
        <row r="683">
          <cell r="B683" t="str">
            <v>Velana International Airport Development Project (Runway &amp; Taxiway)</v>
          </cell>
          <cell r="R683">
            <v>781.45422699999995</v>
          </cell>
          <cell r="S683">
            <v>0</v>
          </cell>
          <cell r="T683">
            <v>0</v>
          </cell>
        </row>
        <row r="684">
          <cell r="B684" t="str">
            <v>Male-Hulhule Bridge Project</v>
          </cell>
          <cell r="R684">
            <v>51.255000000000003</v>
          </cell>
          <cell r="S684">
            <v>0</v>
          </cell>
          <cell r="T684">
            <v>0</v>
          </cell>
        </row>
        <row r="685">
          <cell r="B685" t="str">
            <v>SMART Maldives</v>
          </cell>
          <cell r="R685">
            <v>0</v>
          </cell>
          <cell r="S685">
            <v>0</v>
          </cell>
          <cell r="T685">
            <v>0</v>
          </cell>
        </row>
        <row r="686">
          <cell r="B686" t="str">
            <v xml:space="preserve">Other Concessional loan </v>
          </cell>
          <cell r="R686">
            <v>0</v>
          </cell>
          <cell r="S686">
            <v>0</v>
          </cell>
          <cell r="T686">
            <v>0</v>
          </cell>
        </row>
        <row r="687">
          <cell r="B687" t="str">
            <v>EXIM Bank / India</v>
          </cell>
        </row>
        <row r="688">
          <cell r="B688" t="str">
            <v>Construction of 485 Housing Units in Maldives (Phase III)</v>
          </cell>
          <cell r="R688" t="str">
            <v>-</v>
          </cell>
          <cell r="S688">
            <v>0</v>
          </cell>
          <cell r="T688">
            <v>0</v>
          </cell>
        </row>
        <row r="689">
          <cell r="B689" t="str">
            <v>Standby Credit Facility</v>
          </cell>
          <cell r="R689" t="str">
            <v>-</v>
          </cell>
          <cell r="S689">
            <v>0</v>
          </cell>
          <cell r="T689">
            <v>0</v>
          </cell>
        </row>
        <row r="690">
          <cell r="B690" t="str">
            <v>Hulhumale' Badminton Court Complex</v>
          </cell>
          <cell r="R690" t="str">
            <v>-</v>
          </cell>
          <cell r="S690">
            <v>0</v>
          </cell>
          <cell r="T690">
            <v>0</v>
          </cell>
        </row>
        <row r="691">
          <cell r="B691" t="str">
            <v xml:space="preserve">Establishment of Synthetic Track - Kulhudhuffushi </v>
          </cell>
          <cell r="R691" t="str">
            <v>-</v>
          </cell>
          <cell r="S691">
            <v>0</v>
          </cell>
          <cell r="T691">
            <v>0</v>
          </cell>
        </row>
        <row r="692">
          <cell r="B692" t="str">
            <v>Development of National Netball Centre</v>
          </cell>
          <cell r="R692" t="str">
            <v>-</v>
          </cell>
          <cell r="S692">
            <v>0</v>
          </cell>
          <cell r="T692">
            <v>0</v>
          </cell>
        </row>
        <row r="693">
          <cell r="B693" t="str">
            <v>Development of National Basketball Centre</v>
          </cell>
          <cell r="R693" t="str">
            <v>-</v>
          </cell>
          <cell r="S693">
            <v>0</v>
          </cell>
          <cell r="T693">
            <v>0</v>
          </cell>
        </row>
        <row r="694">
          <cell r="B694" t="str">
            <v>Development of National Table Tennis Centre</v>
          </cell>
          <cell r="R694" t="str">
            <v>-</v>
          </cell>
          <cell r="S694">
            <v>0</v>
          </cell>
          <cell r="T694">
            <v>0</v>
          </cell>
        </row>
        <row r="695">
          <cell r="B695" t="str">
            <v>Development of National Stadium</v>
          </cell>
          <cell r="R695" t="str">
            <v>-</v>
          </cell>
          <cell r="S695">
            <v>0</v>
          </cell>
          <cell r="T695">
            <v>0</v>
          </cell>
        </row>
        <row r="696">
          <cell r="B696" t="str">
            <v>Establishment of Synthetic Track - Fuvamulak</v>
          </cell>
          <cell r="R696" t="str">
            <v>-</v>
          </cell>
          <cell r="S696">
            <v>0</v>
          </cell>
          <cell r="T696">
            <v>0</v>
          </cell>
        </row>
        <row r="697">
          <cell r="B697" t="str">
            <v>Establishment of Swimming Pool - Fuvamulak</v>
          </cell>
          <cell r="R697" t="str">
            <v>-</v>
          </cell>
          <cell r="S697">
            <v>0</v>
          </cell>
          <cell r="T697">
            <v>0</v>
          </cell>
        </row>
        <row r="698">
          <cell r="B698" t="str">
            <v>Establishment of Synthetic Track - GDh. Thinadhoo</v>
          </cell>
          <cell r="R698" t="str">
            <v>-</v>
          </cell>
          <cell r="S698">
            <v>0</v>
          </cell>
          <cell r="T698">
            <v>0</v>
          </cell>
        </row>
        <row r="699">
          <cell r="B699" t="str">
            <v>Establishment of Synthetic Track - S.Hithadhoo</v>
          </cell>
          <cell r="R699" t="str">
            <v>-</v>
          </cell>
          <cell r="S699">
            <v>0</v>
          </cell>
          <cell r="T699">
            <v>0</v>
          </cell>
        </row>
        <row r="700">
          <cell r="B700" t="str">
            <v>Upgrading Roads - Male'</v>
          </cell>
          <cell r="R700" t="str">
            <v>-</v>
          </cell>
          <cell r="S700">
            <v>0</v>
          </cell>
          <cell r="T700">
            <v>0</v>
          </cell>
        </row>
        <row r="701">
          <cell r="B701" t="str">
            <v>Upgrading of Airport - HDh.Hanimaadhoo</v>
          </cell>
          <cell r="R701" t="str">
            <v>-</v>
          </cell>
          <cell r="S701">
            <v>0</v>
          </cell>
          <cell r="T701">
            <v>0</v>
          </cell>
        </row>
        <row r="702">
          <cell r="B702" t="str">
            <v>Developing Roads - Lh.Hinnavaru</v>
          </cell>
          <cell r="R702" t="str">
            <v>-</v>
          </cell>
          <cell r="S702">
            <v>0</v>
          </cell>
          <cell r="T702">
            <v>0</v>
          </cell>
        </row>
        <row r="703">
          <cell r="B703" t="str">
            <v>Construction of Cancer Hospital - L.Gan</v>
          </cell>
          <cell r="R703" t="str">
            <v>-</v>
          </cell>
          <cell r="S703">
            <v>0</v>
          </cell>
          <cell r="T703">
            <v>0</v>
          </cell>
        </row>
        <row r="704">
          <cell r="B704" t="str">
            <v>Developing Roads Phase II - GA.Villingili</v>
          </cell>
          <cell r="R704" t="str">
            <v>-</v>
          </cell>
          <cell r="S704">
            <v>0</v>
          </cell>
          <cell r="T704">
            <v>0</v>
          </cell>
        </row>
        <row r="705">
          <cell r="B705" t="str">
            <v>Upgrading of Airport - S.Gan</v>
          </cell>
          <cell r="R705" t="str">
            <v>-</v>
          </cell>
          <cell r="S705">
            <v>0</v>
          </cell>
          <cell r="T705">
            <v>0</v>
          </cell>
        </row>
        <row r="706">
          <cell r="B706" t="str">
            <v>Building Cricket Stadium - Hulhumale'</v>
          </cell>
          <cell r="R706" t="str">
            <v>-</v>
          </cell>
          <cell r="S706">
            <v>0</v>
          </cell>
          <cell r="T706">
            <v>0</v>
          </cell>
        </row>
        <row r="707">
          <cell r="B707" t="str">
            <v>Provision of Water Supply &amp; Sewerage Project at 34 islands</v>
          </cell>
          <cell r="R707" t="str">
            <v>-</v>
          </cell>
          <cell r="S707">
            <v>1.6268899999999999</v>
          </cell>
          <cell r="T707">
            <v>367.65664600000002</v>
          </cell>
        </row>
        <row r="708">
          <cell r="B708" t="str">
            <v>Maldives International Port Development  - K.Gulhifalhu</v>
          </cell>
          <cell r="R708" t="str">
            <v>-</v>
          </cell>
          <cell r="S708">
            <v>0</v>
          </cell>
          <cell r="T708">
            <v>0</v>
          </cell>
        </row>
        <row r="709">
          <cell r="B709" t="str">
            <v>Addu City Development Project - Land Reclamation</v>
          </cell>
          <cell r="R709" t="str">
            <v>-</v>
          </cell>
          <cell r="S709">
            <v>0</v>
          </cell>
          <cell r="T709">
            <v>0</v>
          </cell>
        </row>
        <row r="710">
          <cell r="B710" t="str">
            <v>Addu City Development Project - Developing Roads</v>
          </cell>
          <cell r="R710" t="str">
            <v>-</v>
          </cell>
          <cell r="S710">
            <v>0</v>
          </cell>
          <cell r="T710">
            <v>0</v>
          </cell>
        </row>
        <row r="711">
          <cell r="B711" t="str">
            <v>Developing Roads - HA.Hoarafushi</v>
          </cell>
          <cell r="R711" t="str">
            <v>-</v>
          </cell>
          <cell r="S711">
            <v>0</v>
          </cell>
          <cell r="T711">
            <v>0</v>
          </cell>
        </row>
        <row r="712">
          <cell r="B712" t="str">
            <v>Developing Roads - N.Velidhoo</v>
          </cell>
          <cell r="R712" t="str">
            <v>-</v>
          </cell>
          <cell r="S712">
            <v>0</v>
          </cell>
          <cell r="T712">
            <v>0</v>
          </cell>
        </row>
        <row r="713">
          <cell r="B713" t="str">
            <v>Greater Male Connectivity Project (Male - Thilafushi Bridge)</v>
          </cell>
          <cell r="R713" t="str">
            <v>-</v>
          </cell>
          <cell r="S713">
            <v>0</v>
          </cell>
          <cell r="T713">
            <v>0</v>
          </cell>
        </row>
        <row r="714">
          <cell r="B714" t="str">
            <v>Developing Roads - GDh.Thinadhoo</v>
          </cell>
          <cell r="R714" t="str">
            <v>-</v>
          </cell>
          <cell r="S714">
            <v>0</v>
          </cell>
          <cell r="T714">
            <v>0</v>
          </cell>
        </row>
        <row r="715">
          <cell r="B715" t="str">
            <v>Expansion of MIFCO Facility - Kooddoo &amp; Kaduohgiri</v>
          </cell>
          <cell r="R715" t="str">
            <v>-</v>
          </cell>
          <cell r="S715">
            <v>0</v>
          </cell>
          <cell r="T715">
            <v>0</v>
          </cell>
        </row>
        <row r="716">
          <cell r="B716" t="str">
            <v>Establishment of Police Stations</v>
          </cell>
          <cell r="R716">
            <v>0</v>
          </cell>
          <cell r="S716">
            <v>0</v>
          </cell>
          <cell r="T716">
            <v>0</v>
          </cell>
        </row>
        <row r="717">
          <cell r="B717" t="str">
            <v>Hospital New Building - R.Alifushi</v>
          </cell>
          <cell r="R717">
            <v>0</v>
          </cell>
          <cell r="S717">
            <v>0</v>
          </cell>
          <cell r="T717">
            <v>0</v>
          </cell>
        </row>
        <row r="718">
          <cell r="B718" t="str">
            <v>Devel. Of Youth Centre - Hdh.Kumundhoo</v>
          </cell>
          <cell r="R718">
            <v>0</v>
          </cell>
          <cell r="S718">
            <v>0</v>
          </cell>
          <cell r="T718">
            <v>0</v>
          </cell>
        </row>
        <row r="719">
          <cell r="B719" t="str">
            <v>Devel. Of Youth Centre - Th.Kandoodhoo</v>
          </cell>
          <cell r="R719">
            <v>0</v>
          </cell>
          <cell r="S719">
            <v>0</v>
          </cell>
          <cell r="T719">
            <v>0</v>
          </cell>
        </row>
        <row r="720">
          <cell r="B720" t="str">
            <v>Dev. Of National Volley Court - Male City</v>
          </cell>
          <cell r="R720">
            <v>0</v>
          </cell>
          <cell r="S720">
            <v>0</v>
          </cell>
          <cell r="T720">
            <v>0</v>
          </cell>
        </row>
        <row r="721">
          <cell r="B721" t="str">
            <v>Estab. Of Indoor Complex - Hdh.Kulhudhuffushi</v>
          </cell>
          <cell r="R721">
            <v>0</v>
          </cell>
          <cell r="S721">
            <v>0</v>
          </cell>
          <cell r="T721">
            <v>0</v>
          </cell>
        </row>
        <row r="722">
          <cell r="B722" t="str">
            <v>Addu City Development Project - Land Reclamation and Shore Protection</v>
          </cell>
          <cell r="R722">
            <v>0</v>
          </cell>
          <cell r="S722">
            <v>0</v>
          </cell>
          <cell r="T722">
            <v>0</v>
          </cell>
        </row>
        <row r="723">
          <cell r="B723" t="str">
            <v>European Investment Bank (EIB)</v>
          </cell>
        </row>
        <row r="724">
          <cell r="B724" t="str">
            <v>Preparing Outer Island for Sustainable Energy (POISED)</v>
          </cell>
          <cell r="R724" t="str">
            <v>-</v>
          </cell>
          <cell r="S724">
            <v>0</v>
          </cell>
        </row>
        <row r="725">
          <cell r="B725" t="str">
            <v>Development Bank/ China</v>
          </cell>
        </row>
        <row r="726">
          <cell r="B726" t="str">
            <v>Development of 1500 Housing Units in Maldives</v>
          </cell>
          <cell r="R726" t="str">
            <v>-</v>
          </cell>
          <cell r="S726">
            <v>0</v>
          </cell>
          <cell r="T726">
            <v>0</v>
          </cell>
        </row>
        <row r="727">
          <cell r="B727" t="str">
            <v>Arabic Fund</v>
          </cell>
        </row>
        <row r="728">
          <cell r="B728" t="str">
            <v>Ibrahim Nasir International Airport Development Project (terminal)</v>
          </cell>
          <cell r="R728" t="str">
            <v>-</v>
          </cell>
          <cell r="S728">
            <v>0</v>
          </cell>
          <cell r="T728">
            <v>0</v>
          </cell>
        </row>
        <row r="729">
          <cell r="B729" t="str">
            <v>Islamic Corporation for the Development of the Private Sector (I.C.D)</v>
          </cell>
        </row>
        <row r="730">
          <cell r="B730" t="str">
            <v>Construction of National Dignostics Service Center</v>
          </cell>
          <cell r="R730" t="str">
            <v>-</v>
          </cell>
          <cell r="S730">
            <v>0</v>
          </cell>
          <cell r="T730">
            <v>0</v>
          </cell>
        </row>
        <row r="731">
          <cell r="B731" t="str">
            <v>EXIM Bank / Thailand</v>
          </cell>
        </row>
        <row r="732">
          <cell r="B732" t="str">
            <v>Airport Upgrading</v>
          </cell>
          <cell r="R732" t="str">
            <v>-</v>
          </cell>
          <cell r="S732">
            <v>0</v>
          </cell>
          <cell r="T732">
            <v>0</v>
          </cell>
        </row>
        <row r="733">
          <cell r="B733" t="str">
            <v>Bank of Ceylon</v>
          </cell>
        </row>
        <row r="734">
          <cell r="B734" t="str">
            <v>Velaanaage Office building</v>
          </cell>
          <cell r="R734" t="str">
            <v>-</v>
          </cell>
          <cell r="S734">
            <v>0</v>
          </cell>
          <cell r="T734">
            <v>0</v>
          </cell>
        </row>
        <row r="735">
          <cell r="B735" t="str">
            <v xml:space="preserve">Procurement of construction equipment </v>
          </cell>
          <cell r="R735" t="str">
            <v>-</v>
          </cell>
          <cell r="S735">
            <v>0</v>
          </cell>
          <cell r="T735">
            <v>0</v>
          </cell>
        </row>
        <row r="736">
          <cell r="B736" t="str">
            <v xml:space="preserve">Coastal Surveillance Vessel </v>
          </cell>
          <cell r="R736" t="str">
            <v>-</v>
          </cell>
          <cell r="S736">
            <v>0</v>
          </cell>
          <cell r="T736">
            <v>0</v>
          </cell>
        </row>
        <row r="737">
          <cell r="B737" t="str">
            <v xml:space="preserve">Other Concessional loan </v>
          </cell>
          <cell r="R737" t="str">
            <v>-</v>
          </cell>
          <cell r="S737">
            <v>0</v>
          </cell>
          <cell r="T737">
            <v>0</v>
          </cell>
        </row>
        <row r="738">
          <cell r="B738" t="str">
            <v>India</v>
          </cell>
        </row>
        <row r="739">
          <cell r="B739" t="str">
            <v>Standby Credit Facilities</v>
          </cell>
          <cell r="R739" t="str">
            <v>-</v>
          </cell>
          <cell r="S739">
            <v>0</v>
          </cell>
          <cell r="T739">
            <v>0</v>
          </cell>
        </row>
        <row r="740">
          <cell r="B740" t="str">
            <v>Police 9 story Building</v>
          </cell>
          <cell r="R740" t="str">
            <v>-</v>
          </cell>
          <cell r="S740">
            <v>0</v>
          </cell>
          <cell r="T740">
            <v>0</v>
          </cell>
        </row>
        <row r="741">
          <cell r="B741" t="str">
            <v>MNDF 9 story Building</v>
          </cell>
          <cell r="R741" t="str">
            <v>-</v>
          </cell>
          <cell r="S741">
            <v>0</v>
          </cell>
          <cell r="T741">
            <v>0</v>
          </cell>
        </row>
        <row r="742">
          <cell r="B742" t="str">
            <v xml:space="preserve">Hulhumale' Project </v>
          </cell>
          <cell r="R742" t="str">
            <v>-</v>
          </cell>
          <cell r="S742">
            <v>0</v>
          </cell>
          <cell r="T742">
            <v>0</v>
          </cell>
        </row>
        <row r="743">
          <cell r="B743" t="str">
            <v>Asian Infrastructure Investment Bank (AIIB)</v>
          </cell>
        </row>
        <row r="744">
          <cell r="B744" t="str">
            <v>Greater Male Waste To Energy Project</v>
          </cell>
          <cell r="R744" t="str">
            <v>-</v>
          </cell>
          <cell r="S744">
            <v>0</v>
          </cell>
          <cell r="T744">
            <v>0</v>
          </cell>
        </row>
        <row r="745">
          <cell r="B745" t="str">
            <v xml:space="preserve">Accelerating Renewable Energy Integration &amp; Sustainable Energy Project </v>
          </cell>
          <cell r="R745" t="str">
            <v>-</v>
          </cell>
          <cell r="S745">
            <v>0</v>
          </cell>
          <cell r="T745">
            <v>0</v>
          </cell>
        </row>
        <row r="746">
          <cell r="B746" t="str">
            <v>World Bank</v>
          </cell>
        </row>
        <row r="747">
          <cell r="B747" t="str">
            <v>Public Finance Management Starengthening Project</v>
          </cell>
          <cell r="R747" t="str">
            <v>-</v>
          </cell>
          <cell r="S747">
            <v>0</v>
          </cell>
          <cell r="T747">
            <v>0</v>
          </cell>
        </row>
        <row r="748">
          <cell r="B748" t="str">
            <v>Maldives Urban Development and Resilience Project</v>
          </cell>
          <cell r="R748" t="str">
            <v>-</v>
          </cell>
          <cell r="S748">
            <v>0</v>
          </cell>
          <cell r="T748">
            <v>0</v>
          </cell>
        </row>
        <row r="749">
          <cell r="B749" t="str">
            <v>Enhancing Employability and Resilience for youth in Maldives</v>
          </cell>
          <cell r="R749" t="str">
            <v>-</v>
          </cell>
          <cell r="S749">
            <v>0</v>
          </cell>
          <cell r="T749">
            <v>0</v>
          </cell>
        </row>
        <row r="750">
          <cell r="B750" t="str">
            <v>Micro Enterprises Development Project</v>
          </cell>
          <cell r="R750" t="str">
            <v>-</v>
          </cell>
          <cell r="S750">
            <v>0</v>
          </cell>
          <cell r="T750">
            <v>0</v>
          </cell>
        </row>
        <row r="751">
          <cell r="B751" t="str">
            <v>Deutsche Bank</v>
          </cell>
        </row>
        <row r="752">
          <cell r="B752" t="str">
            <v>Health Centre New Building - GDh.Gahdhoo</v>
          </cell>
          <cell r="R752" t="str">
            <v>-</v>
          </cell>
          <cell r="S752">
            <v>0</v>
          </cell>
          <cell r="T752">
            <v>0</v>
          </cell>
        </row>
        <row r="753">
          <cell r="B753" t="str">
            <v>Tertiary Hospital Building - L.Gan</v>
          </cell>
          <cell r="R753" t="str">
            <v>-</v>
          </cell>
          <cell r="S753">
            <v>0</v>
          </cell>
          <cell r="T753">
            <v>0</v>
          </cell>
        </row>
        <row r="754">
          <cell r="B754" t="str">
            <v>Development of New Tertiary Hospital - L.Gan</v>
          </cell>
          <cell r="R754" t="str">
            <v>-</v>
          </cell>
          <cell r="S754">
            <v>0</v>
          </cell>
          <cell r="T754">
            <v>0</v>
          </cell>
        </row>
        <row r="755">
          <cell r="B755" t="str">
            <v>New Hospital Building - GDh.Gahdhoo</v>
          </cell>
          <cell r="S755">
            <v>0</v>
          </cell>
          <cell r="T755">
            <v>0</v>
          </cell>
        </row>
        <row r="756">
          <cell r="B756" t="str">
            <v>Other</v>
          </cell>
        </row>
        <row r="757">
          <cell r="B757" t="str">
            <v>Airports</v>
          </cell>
          <cell r="R757" t="str">
            <v>-</v>
          </cell>
          <cell r="S757">
            <v>0</v>
          </cell>
          <cell r="T757">
            <v>0</v>
          </cell>
        </row>
        <row r="758">
          <cell r="B758" t="str">
            <v>Tsunami Projects</v>
          </cell>
          <cell r="R758" t="str">
            <v>-</v>
          </cell>
          <cell r="S758">
            <v>0</v>
          </cell>
          <cell r="T758">
            <v>0</v>
          </cell>
        </row>
        <row r="759">
          <cell r="B759" t="str">
            <v>Surveillance Radar Communication System</v>
          </cell>
          <cell r="R759" t="str">
            <v>-</v>
          </cell>
          <cell r="S759">
            <v>0</v>
          </cell>
          <cell r="T759">
            <v>0</v>
          </cell>
        </row>
        <row r="760">
          <cell r="B760" t="str">
            <v xml:space="preserve">Procurement of communication equipment </v>
          </cell>
          <cell r="R760" t="str">
            <v>-</v>
          </cell>
          <cell r="S760">
            <v>0</v>
          </cell>
          <cell r="T760">
            <v>0</v>
          </cell>
        </row>
        <row r="761">
          <cell r="B761" t="str">
            <v>Faculty of Health Science Project</v>
          </cell>
          <cell r="R761" t="str">
            <v>-</v>
          </cell>
          <cell r="S761">
            <v>0</v>
          </cell>
          <cell r="T761">
            <v>0</v>
          </cell>
        </row>
        <row r="762">
          <cell r="B762" t="str">
            <v>Electricity</v>
          </cell>
          <cell r="R762" t="str">
            <v>-</v>
          </cell>
          <cell r="S762">
            <v>0</v>
          </cell>
          <cell r="T762">
            <v>0</v>
          </cell>
        </row>
        <row r="763">
          <cell r="B763" t="str">
            <v>Regional Development Project</v>
          </cell>
          <cell r="R763" t="str">
            <v>-</v>
          </cell>
          <cell r="S763">
            <v>0</v>
          </cell>
          <cell r="T763">
            <v>0</v>
          </cell>
        </row>
        <row r="764">
          <cell r="B764" t="str">
            <v>Development Banking</v>
          </cell>
          <cell r="R764" t="str">
            <v>-</v>
          </cell>
          <cell r="S764">
            <v>0</v>
          </cell>
          <cell r="T764">
            <v>0</v>
          </cell>
        </row>
        <row r="765">
          <cell r="B765" t="str">
            <v>S. Atolls Development Project</v>
          </cell>
          <cell r="R765" t="str">
            <v>-</v>
          </cell>
          <cell r="S765">
            <v>0</v>
          </cell>
          <cell r="T765">
            <v>0</v>
          </cell>
        </row>
        <row r="766">
          <cell r="B766" t="str">
            <v>Hulhu Male' Project</v>
          </cell>
          <cell r="R766" t="str">
            <v>-</v>
          </cell>
          <cell r="S766">
            <v>0</v>
          </cell>
          <cell r="T766">
            <v>0</v>
          </cell>
        </row>
        <row r="767">
          <cell r="B767" t="str">
            <v>Villingili Harbour Project</v>
          </cell>
          <cell r="R767" t="str">
            <v>-</v>
          </cell>
          <cell r="S767">
            <v>0</v>
          </cell>
          <cell r="T767">
            <v>0</v>
          </cell>
        </row>
        <row r="768">
          <cell r="B768" t="str">
            <v>Gan Airport Upgrading Project</v>
          </cell>
          <cell r="R768" t="str">
            <v>-</v>
          </cell>
          <cell r="S768">
            <v>0</v>
          </cell>
          <cell r="T768">
            <v>0</v>
          </cell>
        </row>
        <row r="769">
          <cell r="B769" t="str">
            <v>Gan - Hithadhoo Link Road</v>
          </cell>
          <cell r="R769" t="str">
            <v>-</v>
          </cell>
          <cell r="S769">
            <v>0</v>
          </cell>
          <cell r="T769">
            <v>0</v>
          </cell>
        </row>
        <row r="770">
          <cell r="B770" t="str">
            <v xml:space="preserve">3rd Generator Set </v>
          </cell>
          <cell r="R770" t="str">
            <v>-</v>
          </cell>
          <cell r="S770">
            <v>0</v>
          </cell>
          <cell r="T770">
            <v>0</v>
          </cell>
        </row>
        <row r="771">
          <cell r="B771" t="str">
            <v>Projects to be carried under Male-Hulhumale' project</v>
          </cell>
          <cell r="R771" t="str">
            <v>-</v>
          </cell>
          <cell r="S771">
            <v>0</v>
          </cell>
          <cell r="T771">
            <v>0</v>
          </cell>
        </row>
        <row r="772">
          <cell r="B772" t="str">
            <v xml:space="preserve">600 Housing Units in Urban centres across Maldives and in Land Reclaimed Islands </v>
          </cell>
          <cell r="R772" t="str">
            <v>-</v>
          </cell>
          <cell r="S772">
            <v>0</v>
          </cell>
          <cell r="T772">
            <v>0</v>
          </cell>
        </row>
        <row r="773">
          <cell r="B773" t="str">
            <v xml:space="preserve">10 Storey Trade Facilitation Centre in M.Feeroz Lodge </v>
          </cell>
          <cell r="R773" t="str">
            <v>-</v>
          </cell>
          <cell r="S773">
            <v>0</v>
          </cell>
          <cell r="T773">
            <v>0</v>
          </cell>
        </row>
        <row r="774">
          <cell r="B774" t="str">
            <v>Purchase of major medical equipments &amp; accessoriesfor I.G.M.H 25 storey building</v>
          </cell>
          <cell r="R774" t="str">
            <v>-</v>
          </cell>
          <cell r="S774">
            <v>0</v>
          </cell>
          <cell r="T774">
            <v>0</v>
          </cell>
        </row>
        <row r="775">
          <cell r="B775" t="str">
            <v>Terminal Development at Velana International Airport -  Additional Financing</v>
          </cell>
          <cell r="R775" t="str">
            <v>-</v>
          </cell>
          <cell r="S775">
            <v>0</v>
          </cell>
          <cell r="T775">
            <v>0</v>
          </cell>
        </row>
        <row r="776">
          <cell r="B776" t="str">
            <v>Male' Water Crisis Management Project</v>
          </cell>
          <cell r="R776" t="str">
            <v>-</v>
          </cell>
          <cell r="S776">
            <v>0</v>
          </cell>
          <cell r="T776">
            <v>0</v>
          </cell>
        </row>
        <row r="777">
          <cell r="B777" t="str">
            <v>Sana Building (7 storey Waqf Building)</v>
          </cell>
          <cell r="R777" t="str">
            <v>-</v>
          </cell>
          <cell r="S777">
            <v>0</v>
          </cell>
          <cell r="T777">
            <v>0</v>
          </cell>
        </row>
        <row r="778">
          <cell r="B778" t="str">
            <v xml:space="preserve">Construction of Dharumavantha Hospital 
</v>
          </cell>
          <cell r="R778" t="str">
            <v>-</v>
          </cell>
          <cell r="S778">
            <v>59.121913999999997</v>
          </cell>
          <cell r="T778">
            <v>0</v>
          </cell>
        </row>
        <row r="779">
          <cell r="B779" t="str">
            <v>Dharumavantha Hospital major medical equipment &amp; accessories</v>
          </cell>
          <cell r="R779">
            <v>67.640708000000004</v>
          </cell>
          <cell r="S779">
            <v>63.330182999999998</v>
          </cell>
          <cell r="T779">
            <v>0</v>
          </cell>
        </row>
        <row r="780">
          <cell r="B780" t="str">
            <v>SIFCO/POLCO Housing</v>
          </cell>
          <cell r="R780" t="str">
            <v>-</v>
          </cell>
          <cell r="S780">
            <v>0</v>
          </cell>
          <cell r="T780">
            <v>0</v>
          </cell>
        </row>
        <row r="781">
          <cell r="B781" t="str">
            <v>12 classrooms for HA. Baarah school</v>
          </cell>
          <cell r="R781" t="str">
            <v>-</v>
          </cell>
          <cell r="S781">
            <v>0</v>
          </cell>
          <cell r="T781">
            <v>0</v>
          </cell>
        </row>
        <row r="782">
          <cell r="B782" t="str">
            <v>HA Kelaa Sheikh Ibrahim School Hall</v>
          </cell>
          <cell r="R782" t="str">
            <v>-</v>
          </cell>
          <cell r="S782">
            <v>0</v>
          </cell>
          <cell r="T782">
            <v>0</v>
          </cell>
        </row>
        <row r="783">
          <cell r="B783" t="str">
            <v>Addu City Development Project</v>
          </cell>
          <cell r="R783" t="str">
            <v>-</v>
          </cell>
          <cell r="S783">
            <v>0</v>
          </cell>
          <cell r="T783">
            <v>0</v>
          </cell>
        </row>
        <row r="784">
          <cell r="B784" t="str">
            <v>Port Development Project - K. Gulhifalhu</v>
          </cell>
          <cell r="R784" t="str">
            <v>-</v>
          </cell>
          <cell r="S784">
            <v>0</v>
          </cell>
          <cell r="T784">
            <v>0</v>
          </cell>
        </row>
        <row r="785">
          <cell r="B785" t="str">
            <v>34 islands water and sewerage project</v>
          </cell>
          <cell r="R785" t="str">
            <v>-</v>
          </cell>
          <cell r="S785">
            <v>0</v>
          </cell>
          <cell r="T785">
            <v>0</v>
          </cell>
        </row>
        <row r="786">
          <cell r="B786" t="str">
            <v>Expansion of MIFCO service in Kooddoo and Kandu-oiy-giri</v>
          </cell>
          <cell r="R786" t="str">
            <v>-</v>
          </cell>
          <cell r="S786">
            <v>0</v>
          </cell>
          <cell r="T786">
            <v>0</v>
          </cell>
        </row>
        <row r="787">
          <cell r="B787" t="str">
            <v>Construction of 485 Housing Units in Maldives</v>
          </cell>
          <cell r="R787" t="str">
            <v>-</v>
          </cell>
          <cell r="S787">
            <v>0</v>
          </cell>
          <cell r="T787">
            <v>0</v>
          </cell>
        </row>
        <row r="788">
          <cell r="B788" t="str">
            <v xml:space="preserve">Accelerating Renewable Energy Integration &amp; Sustainable Energy Project </v>
          </cell>
          <cell r="R788" t="str">
            <v>-</v>
          </cell>
          <cell r="S788">
            <v>0</v>
          </cell>
          <cell r="T788">
            <v>0</v>
          </cell>
        </row>
        <row r="789">
          <cell r="B789" t="str">
            <v>Velana International Airport Development (Runway)</v>
          </cell>
          <cell r="R789" t="str">
            <v>-</v>
          </cell>
          <cell r="S789">
            <v>206.52477999999999</v>
          </cell>
          <cell r="T789">
            <v>593.27833299999998</v>
          </cell>
        </row>
        <row r="791">
          <cell r="B791" t="str">
            <v xml:space="preserve">   Source: Ministry of Finance</v>
          </cell>
        </row>
        <row r="792">
          <cell r="B792" t="str">
            <v>TABLE 9. FOREIGN LOANS BY LENDING AGENCY, 2017 - 2023</v>
          </cell>
        </row>
        <row r="793">
          <cell r="B793" t="str">
            <v>(In million Rufiyaa)</v>
          </cell>
        </row>
        <row r="795">
          <cell r="B795" t="str">
            <v>Particulars</v>
          </cell>
          <cell r="R795">
            <v>2019</v>
          </cell>
          <cell r="S795">
            <v>2020</v>
          </cell>
          <cell r="T795">
            <v>2021</v>
          </cell>
        </row>
        <row r="796">
          <cell r="R796" t="str">
            <v>Actual</v>
          </cell>
          <cell r="S796" t="str">
            <v>Actual</v>
          </cell>
          <cell r="T796" t="str">
            <v>Actual</v>
          </cell>
        </row>
        <row r="799">
          <cell r="B799" t="str">
            <v>Total disbursements</v>
          </cell>
          <cell r="R799">
            <v>8197.4945939999998</v>
          </cell>
          <cell r="S799">
            <v>15136.860316999999</v>
          </cell>
          <cell r="T799">
            <v>16265.58577</v>
          </cell>
        </row>
        <row r="801">
          <cell r="B801" t="str">
            <v>Bilateral</v>
          </cell>
          <cell r="R801">
            <v>476.65714099999997</v>
          </cell>
          <cell r="S801">
            <v>891.31096200000002</v>
          </cell>
          <cell r="T801">
            <v>166.07086000000001</v>
          </cell>
        </row>
        <row r="802">
          <cell r="B802" t="str">
            <v>Saudi Arabia</v>
          </cell>
          <cell r="R802">
            <v>242.83176499999999</v>
          </cell>
          <cell r="S802">
            <v>318.35043000000002</v>
          </cell>
          <cell r="T802">
            <v>113.853509</v>
          </cell>
        </row>
        <row r="803">
          <cell r="B803" t="str">
            <v>Kuwait Fund</v>
          </cell>
          <cell r="R803">
            <v>155.27542099999999</v>
          </cell>
          <cell r="S803">
            <v>132.047945</v>
          </cell>
          <cell r="T803">
            <v>36.000687999999997</v>
          </cell>
        </row>
        <row r="804">
          <cell r="B804" t="str">
            <v>Japan</v>
          </cell>
          <cell r="R804" t="str">
            <v>-</v>
          </cell>
          <cell r="S804" t="str">
            <v>-</v>
          </cell>
          <cell r="T804" t="str">
            <v>-</v>
          </cell>
        </row>
        <row r="805">
          <cell r="B805" t="str">
            <v>Abu Dhabi Fund</v>
          </cell>
          <cell r="R805">
            <v>78.549955000000011</v>
          </cell>
          <cell r="S805">
            <v>440.91258699999997</v>
          </cell>
          <cell r="T805">
            <v>16.216663</v>
          </cell>
        </row>
        <row r="806">
          <cell r="B806" t="str">
            <v>Arabic Fund</v>
          </cell>
          <cell r="R806" t="str">
            <v>-</v>
          </cell>
          <cell r="S806" t="str">
            <v>-</v>
          </cell>
          <cell r="T806" t="str">
            <v>-</v>
          </cell>
        </row>
        <row r="807">
          <cell r="B807" t="str">
            <v xml:space="preserve">India </v>
          </cell>
          <cell r="R807" t="str">
            <v>-</v>
          </cell>
          <cell r="S807" t="str">
            <v>-</v>
          </cell>
          <cell r="T807" t="str">
            <v>-</v>
          </cell>
        </row>
        <row r="808">
          <cell r="B808" t="str">
            <v xml:space="preserve">Other </v>
          </cell>
          <cell r="S808" t="str">
            <v>-</v>
          </cell>
          <cell r="T808" t="str">
            <v>-</v>
          </cell>
        </row>
        <row r="810">
          <cell r="B810" t="str">
            <v>Multilateral</v>
          </cell>
          <cell r="R810">
            <v>7720.8374530000001</v>
          </cell>
          <cell r="S810">
            <v>14245.549354999999</v>
          </cell>
          <cell r="T810">
            <v>16099.51491</v>
          </cell>
        </row>
        <row r="811">
          <cell r="B811" t="str">
            <v>OPEC Fund (OFID)</v>
          </cell>
          <cell r="R811">
            <v>351.69442700000002</v>
          </cell>
          <cell r="S811">
            <v>210.41657699999999</v>
          </cell>
          <cell r="T811">
            <v>154.254785</v>
          </cell>
        </row>
        <row r="812">
          <cell r="B812" t="str">
            <v>IDA</v>
          </cell>
          <cell r="R812" t="str">
            <v>-</v>
          </cell>
          <cell r="S812">
            <v>0</v>
          </cell>
          <cell r="T812" t="str">
            <v>-</v>
          </cell>
        </row>
        <row r="813">
          <cell r="B813" t="str">
            <v>ADB</v>
          </cell>
          <cell r="R813">
            <v>4.1766999999999999E-2</v>
          </cell>
          <cell r="S813">
            <v>2.0692840000000001</v>
          </cell>
          <cell r="T813">
            <v>2.3419349999999999</v>
          </cell>
        </row>
        <row r="814">
          <cell r="B814" t="str">
            <v>IDB</v>
          </cell>
          <cell r="R814">
            <v>56.228343000000002</v>
          </cell>
          <cell r="S814">
            <v>136.857215</v>
          </cell>
          <cell r="T814">
            <v>5.1851019999999997</v>
          </cell>
        </row>
        <row r="815">
          <cell r="B815" t="str">
            <v>IFAD</v>
          </cell>
          <cell r="R815" t="str">
            <v>-</v>
          </cell>
          <cell r="S815">
            <v>306.58080999999999</v>
          </cell>
          <cell r="T815">
            <v>0.121479</v>
          </cell>
        </row>
        <row r="816">
          <cell r="B816" t="str">
            <v>IMF</v>
          </cell>
          <cell r="S816">
            <v>443.86770300000001</v>
          </cell>
          <cell r="T816" t="str">
            <v>-</v>
          </cell>
        </row>
        <row r="817">
          <cell r="B817" t="str">
            <v>JICA</v>
          </cell>
          <cell r="S817">
            <v>728.67186000000004</v>
          </cell>
          <cell r="T817" t="str">
            <v>-</v>
          </cell>
        </row>
        <row r="818">
          <cell r="B818" t="str">
            <v>Bank of Ceylon</v>
          </cell>
          <cell r="R818" t="str">
            <v>-</v>
          </cell>
          <cell r="S818">
            <v>0</v>
          </cell>
          <cell r="T818" t="str">
            <v>-</v>
          </cell>
        </row>
        <row r="819">
          <cell r="B819" t="str">
            <v>ING Bank (Netherland)</v>
          </cell>
          <cell r="R819" t="str">
            <v>-</v>
          </cell>
          <cell r="S819">
            <v>0</v>
          </cell>
          <cell r="T819" t="str">
            <v>-</v>
          </cell>
        </row>
        <row r="820">
          <cell r="B820" t="str">
            <v>Exim Bank - China</v>
          </cell>
          <cell r="R820">
            <v>968.12357099999997</v>
          </cell>
          <cell r="S820">
            <v>0</v>
          </cell>
          <cell r="T820" t="str">
            <v>-</v>
          </cell>
        </row>
        <row r="821">
          <cell r="B821" t="str">
            <v>Exim Bank - India</v>
          </cell>
          <cell r="R821" t="str">
            <v>-</v>
          </cell>
          <cell r="S821">
            <v>1.6268899999999999</v>
          </cell>
          <cell r="T821">
            <v>367.65664600000002</v>
          </cell>
        </row>
        <row r="822">
          <cell r="B822" t="str">
            <v>Exim Bank Thailand</v>
          </cell>
          <cell r="R822" t="str">
            <v>-</v>
          </cell>
          <cell r="S822">
            <v>0</v>
          </cell>
          <cell r="T822" t="str">
            <v>-</v>
          </cell>
        </row>
        <row r="823">
          <cell r="B823" t="str">
            <v>European Investment Bank (EIB)</v>
          </cell>
          <cell r="R823" t="str">
            <v>-</v>
          </cell>
          <cell r="S823">
            <v>0</v>
          </cell>
          <cell r="T823" t="str">
            <v>-</v>
          </cell>
        </row>
        <row r="824">
          <cell r="B824" t="str">
            <v>French Development Agency (AFD)</v>
          </cell>
          <cell r="R824" t="str">
            <v>-</v>
          </cell>
          <cell r="S824">
            <v>0</v>
          </cell>
          <cell r="T824" t="str">
            <v>-</v>
          </cell>
        </row>
        <row r="825">
          <cell r="B825" t="str">
            <v>DANIDA</v>
          </cell>
          <cell r="R825" t="str">
            <v>-</v>
          </cell>
          <cell r="S825">
            <v>0</v>
          </cell>
          <cell r="T825" t="str">
            <v>-</v>
          </cell>
        </row>
        <row r="826">
          <cell r="B826" t="str">
            <v>State Bank of India</v>
          </cell>
          <cell r="R826" t="str">
            <v>-</v>
          </cell>
          <cell r="S826">
            <v>0</v>
          </cell>
          <cell r="T826" t="str">
            <v>-</v>
          </cell>
        </row>
        <row r="827">
          <cell r="B827" t="str">
            <v>DDB</v>
          </cell>
          <cell r="R827" t="str">
            <v>-</v>
          </cell>
          <cell r="S827">
            <v>0</v>
          </cell>
          <cell r="T827" t="str">
            <v>-</v>
          </cell>
        </row>
        <row r="828">
          <cell r="B828" t="str">
            <v>Rabo Bank</v>
          </cell>
          <cell r="R828" t="str">
            <v>-</v>
          </cell>
          <cell r="S828">
            <v>0</v>
          </cell>
          <cell r="T828" t="str">
            <v>-</v>
          </cell>
        </row>
        <row r="829">
          <cell r="B829" t="str">
            <v>EU Investment Bank</v>
          </cell>
          <cell r="R829" t="str">
            <v>-</v>
          </cell>
          <cell r="S829">
            <v>0</v>
          </cell>
          <cell r="T829" t="str">
            <v>-</v>
          </cell>
        </row>
        <row r="830">
          <cell r="B830" t="str">
            <v>Uni Bank</v>
          </cell>
          <cell r="R830" t="str">
            <v>-</v>
          </cell>
          <cell r="S830">
            <v>0</v>
          </cell>
          <cell r="T830" t="str">
            <v>-</v>
          </cell>
        </row>
        <row r="831">
          <cell r="B831" t="str">
            <v>HSBC london</v>
          </cell>
          <cell r="R831" t="str">
            <v>-</v>
          </cell>
          <cell r="S831">
            <v>0</v>
          </cell>
          <cell r="T831" t="str">
            <v>-</v>
          </cell>
        </row>
        <row r="832">
          <cell r="B832" t="str">
            <v>DEG</v>
          </cell>
          <cell r="R832" t="str">
            <v>-</v>
          </cell>
          <cell r="S832">
            <v>0</v>
          </cell>
          <cell r="T832" t="str">
            <v>-</v>
          </cell>
        </row>
        <row r="833">
          <cell r="B833" t="str">
            <v>Society General Italy</v>
          </cell>
          <cell r="R833" t="str">
            <v>-</v>
          </cell>
          <cell r="S833">
            <v>0</v>
          </cell>
          <cell r="T833" t="str">
            <v>-</v>
          </cell>
        </row>
        <row r="834">
          <cell r="B834" t="str">
            <v>SBI</v>
          </cell>
          <cell r="R834" t="str">
            <v>-</v>
          </cell>
          <cell r="S834">
            <v>0</v>
          </cell>
          <cell r="T834" t="str">
            <v>-</v>
          </cell>
        </row>
        <row r="835">
          <cell r="B835" t="str">
            <v>ICD</v>
          </cell>
          <cell r="R835" t="str">
            <v>-</v>
          </cell>
          <cell r="S835">
            <v>0</v>
          </cell>
          <cell r="T835" t="str">
            <v>-</v>
          </cell>
        </row>
        <row r="836">
          <cell r="B836" t="str">
            <v>AIIB</v>
          </cell>
          <cell r="R836" t="str">
            <v>-</v>
          </cell>
          <cell r="S836">
            <v>16.31711</v>
          </cell>
          <cell r="T836">
            <v>7.0104889999999997</v>
          </cell>
        </row>
        <row r="837">
          <cell r="B837" t="str">
            <v>World Bank</v>
          </cell>
          <cell r="R837">
            <v>0.416047</v>
          </cell>
          <cell r="S837">
            <v>185.37254899999999</v>
          </cell>
          <cell r="T837">
            <v>21.820177000000001</v>
          </cell>
        </row>
        <row r="838">
          <cell r="B838" t="str">
            <v>Deutsche Bank</v>
          </cell>
          <cell r="R838" t="str">
            <v>-</v>
          </cell>
          <cell r="S838">
            <v>0</v>
          </cell>
          <cell r="T838">
            <v>0</v>
          </cell>
        </row>
        <row r="839">
          <cell r="B839" t="str">
            <v>Clean technology Fund</v>
          </cell>
          <cell r="R839" t="str">
            <v>-</v>
          </cell>
          <cell r="S839">
            <v>0</v>
          </cell>
          <cell r="T839">
            <v>0</v>
          </cell>
        </row>
        <row r="840">
          <cell r="B840" t="str">
            <v>CDP</v>
          </cell>
          <cell r="R840" t="str">
            <v>-</v>
          </cell>
          <cell r="S840">
            <v>0</v>
          </cell>
          <cell r="T840">
            <v>0</v>
          </cell>
        </row>
        <row r="841">
          <cell r="B841" t="str">
            <v>Foreign Bond</v>
          </cell>
          <cell r="R841">
            <v>70.468097999999998</v>
          </cell>
          <cell r="S841">
            <v>127.75533900000001</v>
          </cell>
          <cell r="T841">
            <v>7712.2032040000004</v>
          </cell>
        </row>
        <row r="842">
          <cell r="B842" t="str">
            <v>Domestic Sources</v>
          </cell>
          <cell r="R842" t="str">
            <v>-</v>
          </cell>
          <cell r="S842">
            <v>11879.489238</v>
          </cell>
          <cell r="T842">
            <v>7235.6427599999997</v>
          </cell>
        </row>
        <row r="843">
          <cell r="B843" t="str">
            <v>Others</v>
          </cell>
          <cell r="R843">
            <v>6273.8652000000002</v>
          </cell>
          <cell r="S843">
            <v>206.52477999999999</v>
          </cell>
          <cell r="T843">
            <v>593.27833299999998</v>
          </cell>
        </row>
        <row r="845">
          <cell r="B845" t="str">
            <v xml:space="preserve">   Source: Ministry of Finance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Y56"/>
  <sheetViews>
    <sheetView tabSelected="1" zoomScale="95" zoomScaleNormal="95" zoomScaleSheetLayoutView="102" workbookViewId="0">
      <pane xSplit="6" topLeftCell="J1" activePane="topRight" state="frozen"/>
      <selection pane="topRight" activeCell="K59" sqref="K59"/>
    </sheetView>
  </sheetViews>
  <sheetFormatPr defaultColWidth="13.28515625" defaultRowHeight="12.75"/>
  <cols>
    <col min="1" max="1" width="55.42578125" style="8" customWidth="1"/>
    <col min="2" max="6" width="9.140625" style="8" hidden="1" customWidth="1"/>
    <col min="7" max="19" width="12.28515625" style="8" customWidth="1"/>
    <col min="20" max="20" width="52.5703125" style="8" customWidth="1"/>
    <col min="21" max="21" width="1.28515625" style="39" customWidth="1"/>
    <col min="22" max="25" width="13.28515625" style="39"/>
    <col min="26" max="16384" width="13.28515625" style="8"/>
  </cols>
  <sheetData>
    <row r="1" spans="1:25" ht="18.75">
      <c r="A1" s="77" t="s">
        <v>101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5" ht="15">
      <c r="A2" s="73" t="s">
        <v>100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</row>
    <row r="3" spans="1:25" s="9" customFormat="1" ht="18.7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40"/>
      <c r="V3" s="40"/>
      <c r="W3" s="40"/>
      <c r="X3" s="40"/>
      <c r="Y3" s="40"/>
    </row>
    <row r="4" spans="1:25" s="9" customFormat="1">
      <c r="A4" s="79" t="s">
        <v>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40"/>
      <c r="V4" s="40"/>
      <c r="W4" s="40"/>
      <c r="X4" s="40"/>
      <c r="Y4" s="40"/>
    </row>
    <row r="5" spans="1:25" s="10" customFormat="1" ht="15">
      <c r="A5" s="2"/>
      <c r="B5" s="48"/>
      <c r="C5" s="2"/>
      <c r="D5" s="4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0"/>
      <c r="R5" s="1"/>
      <c r="S5" s="1"/>
      <c r="T5" s="74" t="s">
        <v>3</v>
      </c>
      <c r="U5" s="41"/>
      <c r="V5" s="41"/>
      <c r="W5" s="41"/>
      <c r="X5" s="41"/>
      <c r="Y5" s="41"/>
    </row>
    <row r="6" spans="1:25" s="10" customFormat="1">
      <c r="A6" s="38" t="s">
        <v>2</v>
      </c>
      <c r="B6" s="3"/>
      <c r="C6" s="13"/>
      <c r="E6" s="3"/>
      <c r="F6" s="3" t="s">
        <v>4</v>
      </c>
      <c r="G6" s="3" t="s">
        <v>4</v>
      </c>
      <c r="H6" s="3" t="s">
        <v>4</v>
      </c>
      <c r="I6" s="5" t="s">
        <v>4</v>
      </c>
      <c r="J6" s="5" t="s">
        <v>4</v>
      </c>
      <c r="K6" s="5" t="s">
        <v>4</v>
      </c>
      <c r="L6" s="5" t="s">
        <v>4</v>
      </c>
      <c r="M6" s="5" t="s">
        <v>4</v>
      </c>
      <c r="N6" s="5" t="s">
        <v>4</v>
      </c>
      <c r="O6" s="5" t="s">
        <v>4</v>
      </c>
      <c r="P6" s="5" t="s">
        <v>5</v>
      </c>
      <c r="Q6" s="68" t="s">
        <v>5</v>
      </c>
      <c r="R6" s="5" t="s">
        <v>5</v>
      </c>
      <c r="S6" s="5" t="s">
        <v>5</v>
      </c>
      <c r="T6" s="75"/>
      <c r="U6" s="41"/>
      <c r="V6" s="41"/>
      <c r="W6" s="41"/>
      <c r="X6" s="41"/>
      <c r="Y6" s="41"/>
    </row>
    <row r="7" spans="1:25" s="10" customFormat="1">
      <c r="A7" s="56"/>
      <c r="B7" s="4">
        <v>2008</v>
      </c>
      <c r="C7" s="4">
        <v>2009</v>
      </c>
      <c r="D7" s="4">
        <v>2010</v>
      </c>
      <c r="E7" s="4">
        <v>2011</v>
      </c>
      <c r="F7" s="4">
        <v>2012</v>
      </c>
      <c r="G7" s="4">
        <v>2013</v>
      </c>
      <c r="H7" s="4">
        <v>2014</v>
      </c>
      <c r="I7" s="6">
        <v>2015</v>
      </c>
      <c r="J7" s="45">
        <v>2016</v>
      </c>
      <c r="K7" s="45">
        <v>2017</v>
      </c>
      <c r="L7" s="45">
        <v>2018</v>
      </c>
      <c r="M7" s="45">
        <v>2019</v>
      </c>
      <c r="N7" s="45">
        <v>2020</v>
      </c>
      <c r="O7" s="45">
        <v>2021</v>
      </c>
      <c r="P7" s="45">
        <v>2022</v>
      </c>
      <c r="Q7" s="67">
        <v>2023</v>
      </c>
      <c r="R7" s="45">
        <v>2024</v>
      </c>
      <c r="S7" s="45">
        <v>2025</v>
      </c>
      <c r="T7" s="76"/>
      <c r="U7" s="42"/>
      <c r="V7" s="42"/>
      <c r="W7" s="42"/>
      <c r="X7" s="42"/>
      <c r="Y7" s="42"/>
    </row>
    <row r="8" spans="1:25" s="10" customFormat="1" ht="21.75" customHeight="1">
      <c r="A8" s="14" t="s">
        <v>6</v>
      </c>
      <c r="B8" s="15">
        <f t="shared" ref="B8:L8" si="0">SUM(B9,B49)</f>
        <v>7456.54</v>
      </c>
      <c r="C8" s="15">
        <f t="shared" si="0"/>
        <v>5734.8352960000002</v>
      </c>
      <c r="D8" s="15">
        <f t="shared" si="0"/>
        <v>6546.9287702799966</v>
      </c>
      <c r="E8" s="15">
        <f t="shared" si="0"/>
        <v>9904.5614829999995</v>
      </c>
      <c r="F8" s="15">
        <f t="shared" si="0"/>
        <v>10138.11294952</v>
      </c>
      <c r="G8" s="15">
        <f t="shared" si="0"/>
        <v>11900.748051729997</v>
      </c>
      <c r="H8" s="15">
        <f t="shared" si="0"/>
        <v>15164.227912</v>
      </c>
      <c r="I8" s="15">
        <f t="shared" si="0"/>
        <v>17306.201467370003</v>
      </c>
      <c r="J8" s="15">
        <f t="shared" si="0"/>
        <v>18578.088404259994</v>
      </c>
      <c r="K8" s="15">
        <f t="shared" si="0"/>
        <v>20258.636295000004</v>
      </c>
      <c r="L8" s="15">
        <f t="shared" si="0"/>
        <v>22222.967435000002</v>
      </c>
      <c r="M8" s="15">
        <v>23231.857586999999</v>
      </c>
      <c r="N8" s="15">
        <v>15221.889824000002</v>
      </c>
      <c r="O8" s="15">
        <v>21353.432262999999</v>
      </c>
      <c r="P8" s="66">
        <v>26361.093764000001</v>
      </c>
      <c r="Q8" s="63">
        <v>32098.303043</v>
      </c>
      <c r="R8" s="66">
        <v>34449.261321999991</v>
      </c>
      <c r="S8" s="66">
        <v>35254.895855999996</v>
      </c>
      <c r="T8" s="49" t="s">
        <v>9</v>
      </c>
      <c r="U8" s="41"/>
      <c r="V8" s="41"/>
      <c r="W8" s="41"/>
      <c r="X8" s="41"/>
      <c r="Y8" s="41"/>
    </row>
    <row r="9" spans="1:25" s="10" customFormat="1" ht="21.75" customHeight="1">
      <c r="A9" s="14" t="s">
        <v>10</v>
      </c>
      <c r="B9" s="15">
        <f t="shared" ref="B9:L9" si="1">SUM(B10,B48)</f>
        <v>6939.54</v>
      </c>
      <c r="C9" s="15">
        <f t="shared" si="1"/>
        <v>5313.319469</v>
      </c>
      <c r="D9" s="15">
        <f t="shared" si="1"/>
        <v>6392.3855347199969</v>
      </c>
      <c r="E9" s="15">
        <f t="shared" si="1"/>
        <v>9172.1262260000003</v>
      </c>
      <c r="F9" s="15">
        <f t="shared" si="1"/>
        <v>9771.4430765199995</v>
      </c>
      <c r="G9" s="15">
        <f t="shared" si="1"/>
        <v>11783.092824199997</v>
      </c>
      <c r="H9" s="15">
        <f t="shared" si="1"/>
        <v>14998.954087</v>
      </c>
      <c r="I9" s="15">
        <f t="shared" si="1"/>
        <v>16669.260271000003</v>
      </c>
      <c r="J9" s="15">
        <f t="shared" si="1"/>
        <v>18324.962636339995</v>
      </c>
      <c r="K9" s="15">
        <f t="shared" si="1"/>
        <v>19914.872814000002</v>
      </c>
      <c r="L9" s="15">
        <f t="shared" si="1"/>
        <v>21403.159912000003</v>
      </c>
      <c r="M9" s="15">
        <v>22076.971195999999</v>
      </c>
      <c r="N9" s="15">
        <v>14263.897212000002</v>
      </c>
      <c r="O9" s="15">
        <v>20321.584273</v>
      </c>
      <c r="P9" s="66">
        <v>25768.838785</v>
      </c>
      <c r="Q9" s="63">
        <v>29636.155456</v>
      </c>
      <c r="R9" s="66">
        <v>31985.458556999994</v>
      </c>
      <c r="S9" s="66">
        <v>34849.996308999995</v>
      </c>
      <c r="T9" s="50" t="s">
        <v>11</v>
      </c>
      <c r="U9" s="41"/>
      <c r="V9" s="41"/>
      <c r="W9" s="41"/>
      <c r="X9" s="41"/>
      <c r="Y9" s="41"/>
    </row>
    <row r="10" spans="1:25" s="10" customFormat="1" ht="21.75" customHeight="1">
      <c r="A10" s="14" t="s">
        <v>7</v>
      </c>
      <c r="B10" s="15">
        <f t="shared" ref="B10:L10" si="2">SUM(B11,B24)</f>
        <v>6897.24</v>
      </c>
      <c r="C10" s="15">
        <f t="shared" si="2"/>
        <v>5299.4316959999996</v>
      </c>
      <c r="D10" s="15">
        <f t="shared" si="2"/>
        <v>6343.0314386499977</v>
      </c>
      <c r="E10" s="15">
        <f t="shared" si="2"/>
        <v>8637.6616890000005</v>
      </c>
      <c r="F10" s="15">
        <f t="shared" si="2"/>
        <v>9723.3702617999988</v>
      </c>
      <c r="G10" s="15">
        <f t="shared" si="2"/>
        <v>11514.974798199997</v>
      </c>
      <c r="H10" s="15">
        <f t="shared" si="2"/>
        <v>14874.843471</v>
      </c>
      <c r="I10" s="15">
        <f t="shared" si="2"/>
        <v>16548.977957000003</v>
      </c>
      <c r="J10" s="15">
        <f t="shared" si="2"/>
        <v>17455.601598019995</v>
      </c>
      <c r="K10" s="15">
        <f t="shared" si="2"/>
        <v>19337.288926000001</v>
      </c>
      <c r="L10" s="15">
        <f t="shared" si="2"/>
        <v>21037.005152000002</v>
      </c>
      <c r="M10" s="15">
        <v>22021.574255</v>
      </c>
      <c r="N10" s="15">
        <v>14248.325280000001</v>
      </c>
      <c r="O10" s="15">
        <v>20278.271041</v>
      </c>
      <c r="P10" s="66">
        <v>25594.358755000001</v>
      </c>
      <c r="Q10" s="63">
        <v>29617.667689000002</v>
      </c>
      <c r="R10" s="66">
        <v>31966.963922999996</v>
      </c>
      <c r="S10" s="66">
        <v>34831.376408999997</v>
      </c>
      <c r="T10" s="50" t="s">
        <v>8</v>
      </c>
      <c r="U10" s="41"/>
      <c r="V10" s="41"/>
      <c r="W10" s="41"/>
      <c r="X10" s="41"/>
      <c r="Y10" s="41"/>
    </row>
    <row r="11" spans="1:25" s="11" customFormat="1" ht="21.75" customHeight="1">
      <c r="A11" s="14" t="s">
        <v>12</v>
      </c>
      <c r="B11" s="15">
        <f t="shared" ref="B11:L11" si="3">SUM(B12:B23)</f>
        <v>3366.8</v>
      </c>
      <c r="C11" s="15">
        <f t="shared" si="3"/>
        <v>2731.9902730000003</v>
      </c>
      <c r="D11" s="15">
        <f t="shared" si="3"/>
        <v>2931.0472653899988</v>
      </c>
      <c r="E11" s="15">
        <f t="shared" si="3"/>
        <v>4892.9547389999998</v>
      </c>
      <c r="F11" s="15">
        <f t="shared" si="3"/>
        <v>6880.0618489999988</v>
      </c>
      <c r="G11" s="15">
        <f t="shared" si="3"/>
        <v>8872.8437029999986</v>
      </c>
      <c r="H11" s="15">
        <f t="shared" si="3"/>
        <v>10837.855577</v>
      </c>
      <c r="I11" s="15">
        <f t="shared" si="3"/>
        <v>12270.646260000001</v>
      </c>
      <c r="J11" s="15">
        <f t="shared" si="3"/>
        <v>13293.027889009998</v>
      </c>
      <c r="K11" s="15">
        <f t="shared" si="3"/>
        <v>14742.425677000001</v>
      </c>
      <c r="L11" s="15">
        <f t="shared" si="3"/>
        <v>15833.907292</v>
      </c>
      <c r="M11" s="15">
        <v>16530.522525</v>
      </c>
      <c r="N11" s="15">
        <v>10959.206985000001</v>
      </c>
      <c r="O11" s="15">
        <v>14681.611791000001</v>
      </c>
      <c r="P11" s="66">
        <v>18979.685887000003</v>
      </c>
      <c r="Q11" s="63">
        <v>23539.876054</v>
      </c>
      <c r="R11" s="66">
        <v>25500.863219999996</v>
      </c>
      <c r="S11" s="66">
        <v>27814.864358999999</v>
      </c>
      <c r="T11" s="50" t="s">
        <v>99</v>
      </c>
      <c r="U11" s="43"/>
      <c r="V11" s="43"/>
      <c r="W11" s="43"/>
      <c r="X11" s="43"/>
      <c r="Y11" s="43"/>
    </row>
    <row r="12" spans="1:25" s="11" customFormat="1" ht="18" customHeight="1">
      <c r="A12" s="16" t="s">
        <v>13</v>
      </c>
      <c r="B12" s="17">
        <v>2448.8000000000002</v>
      </c>
      <c r="C12" s="17">
        <v>1848.7620629999999</v>
      </c>
      <c r="D12" s="17">
        <v>2055.8138285199989</v>
      </c>
      <c r="E12" s="17">
        <v>2586.5219179999999</v>
      </c>
      <c r="F12" s="17">
        <v>1369.0409910000001</v>
      </c>
      <c r="G12" s="17">
        <v>1575.877761</v>
      </c>
      <c r="H12" s="17">
        <v>1975.2379679999999</v>
      </c>
      <c r="I12" s="17">
        <v>2346.4173430000001</v>
      </c>
      <c r="J12" s="17">
        <v>2487.3604338699997</v>
      </c>
      <c r="K12" s="17">
        <v>2799.421425</v>
      </c>
      <c r="L12" s="17">
        <v>3148.8461160000002</v>
      </c>
      <c r="M12" s="17">
        <v>3412.2747420000001</v>
      </c>
      <c r="N12" s="17">
        <v>2263.6462029999998</v>
      </c>
      <c r="O12" s="17">
        <v>2843.0302649999999</v>
      </c>
      <c r="P12" s="59">
        <v>3423.809667</v>
      </c>
      <c r="Q12" s="71">
        <v>3789.6620229999999</v>
      </c>
      <c r="R12" s="59">
        <v>4087.9028020000001</v>
      </c>
      <c r="S12" s="59">
        <v>4402.4957119999999</v>
      </c>
      <c r="T12" s="51" t="s">
        <v>14</v>
      </c>
      <c r="U12" s="43"/>
      <c r="V12" s="43"/>
      <c r="W12" s="43"/>
      <c r="X12" s="43"/>
      <c r="Y12" s="43"/>
    </row>
    <row r="13" spans="1:25" s="11" customFormat="1" ht="18" customHeight="1">
      <c r="A13" s="16" t="s">
        <v>15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7" t="s">
        <v>16</v>
      </c>
      <c r="H13" s="17" t="s">
        <v>16</v>
      </c>
      <c r="I13" s="17" t="s">
        <v>16</v>
      </c>
      <c r="J13" s="17" t="s">
        <v>16</v>
      </c>
      <c r="K13" s="17" t="s">
        <v>16</v>
      </c>
      <c r="L13" s="17" t="s">
        <v>16</v>
      </c>
      <c r="M13" s="17">
        <v>0</v>
      </c>
      <c r="N13" s="17">
        <v>0</v>
      </c>
      <c r="O13" s="17">
        <v>0</v>
      </c>
      <c r="P13" s="59">
        <v>0</v>
      </c>
      <c r="Q13" s="71">
        <v>0</v>
      </c>
      <c r="R13" s="59">
        <v>0</v>
      </c>
      <c r="S13" s="59">
        <v>0</v>
      </c>
      <c r="T13" s="7" t="s">
        <v>17</v>
      </c>
      <c r="U13" s="43"/>
      <c r="V13" s="43"/>
      <c r="W13" s="43"/>
      <c r="X13" s="43"/>
      <c r="Y13" s="43"/>
    </row>
    <row r="14" spans="1:25" s="11" customFormat="1" ht="18" customHeight="1">
      <c r="A14" s="16" t="s">
        <v>18</v>
      </c>
      <c r="B14" s="17">
        <v>566.6</v>
      </c>
      <c r="C14" s="17">
        <v>531.41379099999995</v>
      </c>
      <c r="D14" s="17">
        <v>597.28680473999998</v>
      </c>
      <c r="E14" s="17">
        <v>750.80410500000005</v>
      </c>
      <c r="F14" s="17">
        <v>804.72110199999997</v>
      </c>
      <c r="G14" s="17">
        <v>861.64270799999997</v>
      </c>
      <c r="H14" s="17">
        <v>804.82832599999995</v>
      </c>
      <c r="I14" s="17">
        <v>0.64350200000000002</v>
      </c>
      <c r="J14" s="17">
        <v>0.15296662</v>
      </c>
      <c r="K14" s="17">
        <v>3.0720000000000001E-3</v>
      </c>
      <c r="L14" s="17">
        <v>3.5609999999999999E-3</v>
      </c>
      <c r="M14" s="17">
        <v>0</v>
      </c>
      <c r="N14" s="17">
        <v>0</v>
      </c>
      <c r="O14" s="17">
        <v>0</v>
      </c>
      <c r="P14" s="59">
        <v>0</v>
      </c>
      <c r="Q14" s="71">
        <v>0</v>
      </c>
      <c r="R14" s="59">
        <v>0</v>
      </c>
      <c r="S14" s="59">
        <v>0</v>
      </c>
      <c r="T14" s="51" t="s">
        <v>19</v>
      </c>
      <c r="U14" s="43"/>
      <c r="V14" s="43"/>
      <c r="W14" s="43"/>
      <c r="X14" s="43"/>
      <c r="Y14" s="43"/>
    </row>
    <row r="15" spans="1:25" s="11" customFormat="1" ht="18" customHeight="1">
      <c r="A15" s="16" t="s">
        <v>20</v>
      </c>
      <c r="B15" s="17">
        <v>240.8</v>
      </c>
      <c r="C15" s="17">
        <v>245.71401800000001</v>
      </c>
      <c r="D15" s="17">
        <v>203.32941162</v>
      </c>
      <c r="E15" s="17">
        <v>229.856989</v>
      </c>
      <c r="F15" s="17">
        <v>313.15251699999999</v>
      </c>
      <c r="G15" s="17">
        <v>355.03669400000001</v>
      </c>
      <c r="H15" s="17">
        <v>482.38556</v>
      </c>
      <c r="I15" s="17">
        <v>512.72516800000005</v>
      </c>
      <c r="J15" s="17">
        <v>491.6696116</v>
      </c>
      <c r="K15" s="17">
        <v>649.89482699999996</v>
      </c>
      <c r="L15" s="17">
        <v>564.10207700000001</v>
      </c>
      <c r="M15" s="17">
        <v>613.96983899999998</v>
      </c>
      <c r="N15" s="17">
        <v>953.69964300000004</v>
      </c>
      <c r="O15" s="17">
        <v>675.07108300000004</v>
      </c>
      <c r="P15" s="59">
        <v>901.25995699999999</v>
      </c>
      <c r="Q15" s="71">
        <v>903.333395</v>
      </c>
      <c r="R15" s="59">
        <v>953.51041999999995</v>
      </c>
      <c r="S15" s="59">
        <v>996.725234</v>
      </c>
      <c r="T15" s="51" t="s">
        <v>21</v>
      </c>
      <c r="U15" s="43"/>
      <c r="V15" s="43"/>
      <c r="W15" s="43"/>
      <c r="X15" s="43"/>
      <c r="Y15" s="43"/>
    </row>
    <row r="16" spans="1:25" s="11" customFormat="1" ht="18" customHeight="1">
      <c r="A16" s="16" t="s">
        <v>22</v>
      </c>
      <c r="B16" s="18">
        <v>0</v>
      </c>
      <c r="C16" s="18">
        <v>0</v>
      </c>
      <c r="D16" s="18">
        <v>0</v>
      </c>
      <c r="E16" s="17">
        <v>665.32438500000001</v>
      </c>
      <c r="F16" s="17">
        <v>1553.5654959999999</v>
      </c>
      <c r="G16" s="17">
        <v>2154.68813</v>
      </c>
      <c r="H16" s="17">
        <v>3001.8213529999998</v>
      </c>
      <c r="I16" s="17">
        <v>4150.3114690000002</v>
      </c>
      <c r="J16" s="17">
        <v>3920.6999466000007</v>
      </c>
      <c r="K16" s="17">
        <v>4198.5125120000002</v>
      </c>
      <c r="L16" s="17">
        <v>4783.3383210000002</v>
      </c>
      <c r="M16" s="17">
        <v>4903.4014909999996</v>
      </c>
      <c r="N16" s="17">
        <v>2220.15202</v>
      </c>
      <c r="O16" s="17">
        <v>5247.6728439999997</v>
      </c>
      <c r="P16" s="59">
        <v>6411.3830889999999</v>
      </c>
      <c r="Q16" s="71">
        <v>9095.9800869999999</v>
      </c>
      <c r="R16" s="59">
        <v>10054.715894000001</v>
      </c>
      <c r="S16" s="59">
        <v>11280.599674999999</v>
      </c>
      <c r="T16" s="7" t="s">
        <v>23</v>
      </c>
      <c r="U16" s="43"/>
      <c r="V16" s="43"/>
      <c r="W16" s="43"/>
      <c r="X16" s="43"/>
      <c r="Y16" s="43"/>
    </row>
    <row r="17" spans="1:25" s="11" customFormat="1" ht="18" customHeight="1">
      <c r="A17" s="16" t="s">
        <v>24</v>
      </c>
      <c r="B17" s="18">
        <v>0</v>
      </c>
      <c r="C17" s="18">
        <v>0</v>
      </c>
      <c r="D17" s="18">
        <v>0</v>
      </c>
      <c r="E17" s="17">
        <v>242.984275</v>
      </c>
      <c r="F17" s="17">
        <v>1005.650731</v>
      </c>
      <c r="G17" s="17">
        <v>1538.4096460000001</v>
      </c>
      <c r="H17" s="17">
        <v>1512.8577889999999</v>
      </c>
      <c r="I17" s="17">
        <v>1904.154755</v>
      </c>
      <c r="J17" s="17">
        <v>2328.10044896</v>
      </c>
      <c r="K17" s="17">
        <v>2683.0182340000001</v>
      </c>
      <c r="L17" s="17">
        <v>2906.0735089999998</v>
      </c>
      <c r="M17" s="17">
        <v>2844.9094030000001</v>
      </c>
      <c r="N17" s="17">
        <v>2086.6036899999999</v>
      </c>
      <c r="O17" s="17">
        <v>2485.6462230000002</v>
      </c>
      <c r="P17" s="59">
        <v>3070.80962</v>
      </c>
      <c r="Q17" s="71">
        <v>4203.0233790000002</v>
      </c>
      <c r="R17" s="59">
        <v>4560.3016879999996</v>
      </c>
      <c r="S17" s="59">
        <v>4820.2388860000001</v>
      </c>
      <c r="T17" s="7" t="s">
        <v>25</v>
      </c>
      <c r="U17" s="43"/>
      <c r="V17" s="43"/>
      <c r="W17" s="43"/>
      <c r="X17" s="43"/>
      <c r="Y17" s="43"/>
    </row>
    <row r="18" spans="1:25" s="11" customFormat="1" ht="18" customHeight="1">
      <c r="A18" s="16" t="s">
        <v>26</v>
      </c>
      <c r="B18" s="18">
        <v>0</v>
      </c>
      <c r="C18" s="17">
        <v>1.6042050000000001</v>
      </c>
      <c r="D18" s="17">
        <v>35.501533500000001</v>
      </c>
      <c r="E18" s="17">
        <v>337.49470400000001</v>
      </c>
      <c r="F18" s="17">
        <v>299.92006099999998</v>
      </c>
      <c r="G18" s="17">
        <v>350.25651399999998</v>
      </c>
      <c r="H18" s="17">
        <v>431.97786300000001</v>
      </c>
      <c r="I18" s="17">
        <v>496.70397500000001</v>
      </c>
      <c r="J18" s="17">
        <v>537.50240712999914</v>
      </c>
      <c r="K18" s="17">
        <v>706.19776899999999</v>
      </c>
      <c r="L18" s="17">
        <v>644.818039</v>
      </c>
      <c r="M18" s="17">
        <v>731.09599100000003</v>
      </c>
      <c r="N18" s="17">
        <v>283.33959199999998</v>
      </c>
      <c r="O18" s="17">
        <v>473.42844400000001</v>
      </c>
      <c r="P18" s="59">
        <v>768.56663300000002</v>
      </c>
      <c r="Q18" s="71">
        <v>870.59079499999996</v>
      </c>
      <c r="R18" s="59">
        <v>943.95498399999997</v>
      </c>
      <c r="S18" s="59">
        <v>1081.3111469999999</v>
      </c>
      <c r="T18" s="7" t="s">
        <v>27</v>
      </c>
      <c r="U18" s="43"/>
      <c r="V18" s="43"/>
      <c r="W18" s="43"/>
      <c r="X18" s="43"/>
      <c r="Y18" s="43"/>
    </row>
    <row r="19" spans="1:25" s="11" customFormat="1" ht="18" customHeight="1">
      <c r="A19" s="16" t="s">
        <v>28</v>
      </c>
      <c r="B19" s="18">
        <v>0</v>
      </c>
      <c r="C19" s="18">
        <v>0</v>
      </c>
      <c r="D19" s="18">
        <v>0</v>
      </c>
      <c r="E19" s="17">
        <v>34.870806000000002</v>
      </c>
      <c r="F19" s="17">
        <v>1401.2985719999999</v>
      </c>
      <c r="G19" s="17">
        <v>1880.9622440000001</v>
      </c>
      <c r="H19" s="17">
        <v>2471.3657050000002</v>
      </c>
      <c r="I19" s="17">
        <v>2673.6295089999999</v>
      </c>
      <c r="J19" s="17">
        <v>2747.9680953399993</v>
      </c>
      <c r="K19" s="17">
        <v>2677.0735960000002</v>
      </c>
      <c r="L19" s="17">
        <v>2710.441777</v>
      </c>
      <c r="M19" s="17">
        <v>2898.7429280000001</v>
      </c>
      <c r="N19" s="17">
        <v>2617.5599299999999</v>
      </c>
      <c r="O19" s="17">
        <v>1846.9601709999999</v>
      </c>
      <c r="P19" s="59">
        <v>2995.8806840000002</v>
      </c>
      <c r="Q19" s="71">
        <v>3176.2779529999998</v>
      </c>
      <c r="R19" s="59">
        <v>3300.2619890000001</v>
      </c>
      <c r="S19" s="59">
        <v>3453.058121</v>
      </c>
      <c r="T19" s="7" t="s">
        <v>29</v>
      </c>
      <c r="U19" s="43"/>
      <c r="V19" s="43"/>
      <c r="W19" s="43"/>
      <c r="X19" s="43"/>
      <c r="Y19" s="43"/>
    </row>
    <row r="20" spans="1:25" s="11" customFormat="1" ht="18" customHeight="1">
      <c r="A20" s="20" t="s">
        <v>30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9">
        <v>0</v>
      </c>
      <c r="I20" s="19">
        <v>36.715299999999999</v>
      </c>
      <c r="J20" s="46">
        <v>623.07052577000002</v>
      </c>
      <c r="K20" s="17">
        <v>696.18541600000003</v>
      </c>
      <c r="L20" s="17">
        <v>810.52581799999996</v>
      </c>
      <c r="M20" s="17">
        <v>850.61515499999996</v>
      </c>
      <c r="N20" s="17">
        <v>351.77424000000002</v>
      </c>
      <c r="O20" s="17">
        <v>802.11189999999999</v>
      </c>
      <c r="P20" s="59">
        <v>987.19922699999995</v>
      </c>
      <c r="Q20" s="71">
        <v>1040.6065249999999</v>
      </c>
      <c r="R20" s="59">
        <v>1105.6010980000001</v>
      </c>
      <c r="S20" s="59">
        <v>1247.8401369999999</v>
      </c>
      <c r="T20" s="7" t="s">
        <v>31</v>
      </c>
      <c r="U20" s="43"/>
      <c r="V20" s="43"/>
      <c r="W20" s="43"/>
      <c r="X20" s="43"/>
      <c r="Y20" s="43"/>
    </row>
    <row r="21" spans="1:25" s="11" customFormat="1" ht="18" customHeight="1">
      <c r="A21" s="21" t="s">
        <v>32</v>
      </c>
      <c r="B21" s="18">
        <v>0</v>
      </c>
      <c r="C21" s="18">
        <v>0</v>
      </c>
      <c r="D21" s="18">
        <v>0</v>
      </c>
      <c r="E21" s="18">
        <v>0</v>
      </c>
      <c r="F21" s="22">
        <v>76.585507000000007</v>
      </c>
      <c r="G21" s="22">
        <v>101.369692</v>
      </c>
      <c r="H21" s="19">
        <v>89.108745999999996</v>
      </c>
      <c r="I21" s="19">
        <v>78.572284999999994</v>
      </c>
      <c r="J21" s="46">
        <v>74.137837039999923</v>
      </c>
      <c r="K21" s="17">
        <v>77.076858999999999</v>
      </c>
      <c r="L21" s="17">
        <v>76.455186999999995</v>
      </c>
      <c r="M21" s="17">
        <v>90.232765000000001</v>
      </c>
      <c r="N21" s="17">
        <v>25.936275999999999</v>
      </c>
      <c r="O21" s="17">
        <v>79.243127999999999</v>
      </c>
      <c r="P21" s="59">
        <v>117.12197399999999</v>
      </c>
      <c r="Q21" s="71">
        <v>124.03877900000001</v>
      </c>
      <c r="R21" s="59">
        <v>133.59450899999999</v>
      </c>
      <c r="S21" s="59">
        <v>142.32558</v>
      </c>
      <c r="T21" s="51" t="s">
        <v>33</v>
      </c>
      <c r="U21" s="43"/>
      <c r="V21" s="43"/>
      <c r="W21" s="43"/>
      <c r="X21" s="43"/>
      <c r="Y21" s="43"/>
    </row>
    <row r="22" spans="1:25" s="11" customFormat="1" ht="18" customHeight="1">
      <c r="A22" s="21" t="s">
        <v>34</v>
      </c>
      <c r="B22" s="18"/>
      <c r="C22" s="18"/>
      <c r="D22" s="18"/>
      <c r="E22" s="18"/>
      <c r="F22" s="22"/>
      <c r="G22" s="22">
        <v>0</v>
      </c>
      <c r="H22" s="22">
        <v>0</v>
      </c>
      <c r="I22" s="22">
        <v>0</v>
      </c>
      <c r="J22" s="22">
        <v>0</v>
      </c>
      <c r="K22" s="17" t="s">
        <v>16</v>
      </c>
      <c r="L22" s="17">
        <v>0</v>
      </c>
      <c r="M22" s="17">
        <v>0</v>
      </c>
      <c r="N22" s="17">
        <v>83.199878999999996</v>
      </c>
      <c r="O22" s="17">
        <v>217.138767</v>
      </c>
      <c r="P22" s="59">
        <v>298.42362100000003</v>
      </c>
      <c r="Q22" s="71">
        <v>333.06341800000001</v>
      </c>
      <c r="R22" s="59">
        <v>356.11708599999997</v>
      </c>
      <c r="S22" s="59">
        <v>385.51066700000001</v>
      </c>
      <c r="T22" s="7" t="s">
        <v>102</v>
      </c>
      <c r="U22" s="43"/>
      <c r="V22" s="43"/>
      <c r="W22" s="43"/>
      <c r="X22" s="43"/>
      <c r="Y22" s="43"/>
    </row>
    <row r="23" spans="1:25" s="23" customFormat="1" ht="18" customHeight="1">
      <c r="A23" s="16" t="s">
        <v>35</v>
      </c>
      <c r="B23" s="17">
        <v>110.60000000000001</v>
      </c>
      <c r="C23" s="17">
        <v>104.496196</v>
      </c>
      <c r="D23" s="17">
        <v>39.115687010000002</v>
      </c>
      <c r="E23" s="17">
        <v>45.097557000000002</v>
      </c>
      <c r="F23" s="17">
        <v>56.126871999999999</v>
      </c>
      <c r="G23" s="17">
        <v>54.600313999999997</v>
      </c>
      <c r="H23" s="17">
        <v>68.272266999999999</v>
      </c>
      <c r="I23" s="17">
        <v>70.772953999999999</v>
      </c>
      <c r="J23" s="17">
        <v>82.36561607999991</v>
      </c>
      <c r="K23" s="17">
        <v>255.041967</v>
      </c>
      <c r="L23" s="17">
        <v>189.302887</v>
      </c>
      <c r="M23" s="17">
        <v>185.28021100000001</v>
      </c>
      <c r="N23" s="17">
        <v>73.295512000000002</v>
      </c>
      <c r="O23" s="17">
        <v>11.308966</v>
      </c>
      <c r="P23" s="59">
        <v>5.2314150000000001</v>
      </c>
      <c r="Q23" s="71">
        <v>3.2997000000000001</v>
      </c>
      <c r="R23" s="59">
        <v>4.9027500000000002</v>
      </c>
      <c r="S23" s="59">
        <v>4.7591999999999999</v>
      </c>
      <c r="T23" s="51" t="s">
        <v>36</v>
      </c>
      <c r="U23" s="44"/>
      <c r="V23" s="44"/>
      <c r="W23" s="44"/>
      <c r="X23" s="44"/>
      <c r="Y23" s="44"/>
    </row>
    <row r="24" spans="1:25" s="10" customFormat="1" ht="18" customHeight="1">
      <c r="A24" s="14" t="s">
        <v>37</v>
      </c>
      <c r="B24" s="24">
        <f t="shared" ref="B24:L24" si="4">SUM(B25:B44,B47)</f>
        <v>3530.4399999999996</v>
      </c>
      <c r="C24" s="24">
        <f t="shared" si="4"/>
        <v>2567.4414229999993</v>
      </c>
      <c r="D24" s="24">
        <f t="shared" si="4"/>
        <v>3411.9841732599989</v>
      </c>
      <c r="E24" s="24">
        <f t="shared" si="4"/>
        <v>3744.7069500000007</v>
      </c>
      <c r="F24" s="24">
        <f t="shared" si="4"/>
        <v>2843.3084128</v>
      </c>
      <c r="G24" s="24">
        <f t="shared" si="4"/>
        <v>2642.1310951999994</v>
      </c>
      <c r="H24" s="24">
        <f t="shared" si="4"/>
        <v>4036.9878939999999</v>
      </c>
      <c r="I24" s="24">
        <f t="shared" si="4"/>
        <v>4278.3316970000014</v>
      </c>
      <c r="J24" s="24">
        <f t="shared" si="4"/>
        <v>4162.5737090099956</v>
      </c>
      <c r="K24" s="24">
        <f t="shared" si="4"/>
        <v>4594.863249</v>
      </c>
      <c r="L24" s="24">
        <f t="shared" si="4"/>
        <v>5203.0978600000008</v>
      </c>
      <c r="M24" s="24">
        <v>5491.0517299999992</v>
      </c>
      <c r="N24" s="24">
        <v>3289.1182950000002</v>
      </c>
      <c r="O24" s="24">
        <v>5596.6592499999997</v>
      </c>
      <c r="P24" s="69">
        <v>6614.6728679999997</v>
      </c>
      <c r="Q24" s="64">
        <v>6077.7916350000005</v>
      </c>
      <c r="R24" s="69">
        <v>6466.1007030000001</v>
      </c>
      <c r="S24" s="69">
        <v>7016.5120500000003</v>
      </c>
      <c r="T24" s="25" t="s">
        <v>38</v>
      </c>
      <c r="U24" s="41"/>
      <c r="V24" s="41"/>
      <c r="W24" s="41"/>
      <c r="X24" s="41"/>
      <c r="Y24" s="41"/>
    </row>
    <row r="25" spans="1:25" s="11" customFormat="1" ht="18" customHeight="1">
      <c r="A25" s="16" t="s">
        <v>39</v>
      </c>
      <c r="B25" s="17">
        <v>2.5</v>
      </c>
      <c r="C25" s="17">
        <v>137.9</v>
      </c>
      <c r="D25" s="17">
        <v>106.88384000000001</v>
      </c>
      <c r="E25" s="18">
        <v>0</v>
      </c>
      <c r="F25" s="18">
        <v>0</v>
      </c>
      <c r="G25" s="18">
        <v>0</v>
      </c>
      <c r="H25" s="19">
        <v>0</v>
      </c>
      <c r="I25" s="19" t="s">
        <v>16</v>
      </c>
      <c r="J25" s="46">
        <v>0</v>
      </c>
      <c r="K25" s="46">
        <v>0.76500000000000001</v>
      </c>
      <c r="L25" s="46">
        <v>0</v>
      </c>
      <c r="M25" s="46">
        <v>1.6950000000000001</v>
      </c>
      <c r="N25" s="46">
        <v>0.87</v>
      </c>
      <c r="O25" s="46">
        <v>0.9</v>
      </c>
      <c r="P25" s="62">
        <v>0</v>
      </c>
      <c r="Q25" s="58">
        <v>0</v>
      </c>
      <c r="R25" s="62">
        <v>59.791485000000002</v>
      </c>
      <c r="S25" s="62">
        <v>59.791485000000002</v>
      </c>
      <c r="T25" s="51" t="s">
        <v>40</v>
      </c>
      <c r="U25" s="43"/>
      <c r="V25" s="43"/>
      <c r="W25" s="43"/>
      <c r="X25" s="43"/>
      <c r="Y25" s="43"/>
    </row>
    <row r="26" spans="1:25" s="11" customFormat="1" ht="18" customHeight="1">
      <c r="A26" s="16" t="s">
        <v>94</v>
      </c>
      <c r="B26" s="26">
        <v>392.5</v>
      </c>
      <c r="C26" s="26">
        <v>192.02865</v>
      </c>
      <c r="D26" s="26">
        <v>505.718143</v>
      </c>
      <c r="E26" s="26">
        <v>487.06551999999999</v>
      </c>
      <c r="F26" s="26">
        <v>254.47890200000001</v>
      </c>
      <c r="G26" s="26">
        <v>156.94454099999999</v>
      </c>
      <c r="H26" s="26">
        <v>325.00863500000003</v>
      </c>
      <c r="I26" s="26">
        <v>303.72263400000003</v>
      </c>
      <c r="J26" s="26">
        <v>337.08129150000002</v>
      </c>
      <c r="K26" s="26">
        <v>458.16811200000001</v>
      </c>
      <c r="L26" s="46">
        <v>375.500722</v>
      </c>
      <c r="M26" s="46">
        <f>INDEX([4]IMF!$R:$R,MATCH($A26,[4]IMF!$B:$B,0))</f>
        <v>320.813064</v>
      </c>
      <c r="N26" s="46">
        <f>INDEX([4]IMF!$S:$S,MATCH($A26,[4]IMF!$B:$B,0))</f>
        <v>226.67208600000001</v>
      </c>
      <c r="O26" s="46">
        <f>INDEX([4]IMF!$T:$T,MATCH($A26,[4]IMF!$B:$B,0))</f>
        <v>253.239228</v>
      </c>
      <c r="P26" s="62">
        <v>245.25713099999999</v>
      </c>
      <c r="Q26" s="58">
        <v>250</v>
      </c>
      <c r="R26" s="62">
        <v>287.5</v>
      </c>
      <c r="S26" s="62">
        <v>330.625</v>
      </c>
      <c r="T26" s="27" t="s">
        <v>41</v>
      </c>
      <c r="U26" s="43"/>
      <c r="V26" s="43"/>
      <c r="W26" s="43"/>
      <c r="X26" s="43"/>
      <c r="Y26" s="43"/>
    </row>
    <row r="27" spans="1:25" s="11" customFormat="1" ht="18" customHeight="1">
      <c r="A27" s="16" t="s">
        <v>42</v>
      </c>
      <c r="B27" s="26">
        <v>4.3</v>
      </c>
      <c r="C27" s="26">
        <v>0.93521100000000001</v>
      </c>
      <c r="D27" s="18">
        <v>0</v>
      </c>
      <c r="E27" s="18">
        <v>0</v>
      </c>
      <c r="F27" s="26">
        <v>0</v>
      </c>
      <c r="G27" s="18">
        <v>0</v>
      </c>
      <c r="H27" s="26">
        <v>0</v>
      </c>
      <c r="I27" s="26">
        <v>0.185081</v>
      </c>
      <c r="J27" s="26">
        <v>1.37016128</v>
      </c>
      <c r="K27" s="26">
        <v>24.504308999999999</v>
      </c>
      <c r="L27" s="46">
        <v>0</v>
      </c>
      <c r="M27" s="46">
        <f>INDEX([4]IMF!$R:$R,MATCH(A27,[4]IMF!$B:$B,0))</f>
        <v>0</v>
      </c>
      <c r="N27" s="46">
        <f>INDEX([4]IMF!$S:$S,MATCH($A27,[4]IMF!$B:$B,0))</f>
        <v>0</v>
      </c>
      <c r="O27" s="46">
        <f>INDEX([4]IMF!$T:$T,MATCH($A27,[4]IMF!$B:$B,0))</f>
        <v>0</v>
      </c>
      <c r="P27" s="62">
        <v>0</v>
      </c>
      <c r="Q27" s="58">
        <v>0</v>
      </c>
      <c r="R27" s="62">
        <v>0</v>
      </c>
      <c r="S27" s="62">
        <v>0</v>
      </c>
      <c r="T27" s="27" t="s">
        <v>43</v>
      </c>
      <c r="U27" s="43"/>
      <c r="V27" s="43"/>
      <c r="W27" s="43"/>
      <c r="X27" s="43"/>
      <c r="Y27" s="43"/>
    </row>
    <row r="28" spans="1:25" s="11" customFormat="1" ht="18" customHeight="1">
      <c r="A28" s="16" t="s">
        <v>44</v>
      </c>
      <c r="B28" s="26">
        <v>237.89999999999998</v>
      </c>
      <c r="C28" s="26">
        <v>146.74612099999999</v>
      </c>
      <c r="D28" s="26">
        <v>304.89391938999898</v>
      </c>
      <c r="E28" s="26">
        <v>132.57864000000001</v>
      </c>
      <c r="F28" s="26">
        <v>205.310123</v>
      </c>
      <c r="G28" s="26">
        <v>188.03864400000001</v>
      </c>
      <c r="H28" s="26">
        <v>266.40812199999999</v>
      </c>
      <c r="I28" s="26">
        <v>24.317045</v>
      </c>
      <c r="J28" s="26">
        <v>82.029877819999896</v>
      </c>
      <c r="K28" s="26">
        <v>67.189931000000001</v>
      </c>
      <c r="L28" s="46">
        <v>93.740700000000004</v>
      </c>
      <c r="M28" s="46">
        <f>INDEX([4]IMF!$R:$R,MATCH(A28,[4]IMF!$B:$B,0))</f>
        <v>150</v>
      </c>
      <c r="N28" s="46">
        <f>INDEX([4]IMF!$S:$S,MATCH($A28,[4]IMF!$B:$B,0))</f>
        <v>169.074162</v>
      </c>
      <c r="O28" s="46">
        <f>INDEX([4]IMF!$T:$T,MATCH($A28,[4]IMF!$B:$B,0))</f>
        <v>20</v>
      </c>
      <c r="P28" s="62">
        <v>0</v>
      </c>
      <c r="Q28" s="58">
        <v>30</v>
      </c>
      <c r="R28" s="62">
        <v>0</v>
      </c>
      <c r="S28" s="62">
        <v>0</v>
      </c>
      <c r="T28" s="27" t="s">
        <v>45</v>
      </c>
      <c r="U28" s="43"/>
      <c r="V28" s="43"/>
      <c r="W28" s="43"/>
      <c r="X28" s="43"/>
      <c r="Y28" s="43"/>
    </row>
    <row r="29" spans="1:25" s="11" customFormat="1" ht="18" customHeight="1">
      <c r="A29" s="16" t="s">
        <v>46</v>
      </c>
      <c r="B29" s="26">
        <v>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9">
        <v>0</v>
      </c>
      <c r="I29" s="19">
        <v>0</v>
      </c>
      <c r="J29" s="46">
        <v>0</v>
      </c>
      <c r="K29" s="46">
        <v>0</v>
      </c>
      <c r="L29" s="46">
        <v>0</v>
      </c>
      <c r="M29" s="46">
        <f>INDEX([4]IMF!$R:$R,MATCH(A29,[4]IMF!$B:$B,0))</f>
        <v>0</v>
      </c>
      <c r="N29" s="46">
        <f>INDEX([4]IMF!$S:$S,MATCH($A29,[4]IMF!$B:$B,0))</f>
        <v>0</v>
      </c>
      <c r="O29" s="46">
        <f>INDEX([4]IMF!$T:$T,MATCH($A29,[4]IMF!$B:$B,0))</f>
        <v>0</v>
      </c>
      <c r="P29" s="62">
        <v>0</v>
      </c>
      <c r="Q29" s="58">
        <v>0</v>
      </c>
      <c r="R29" s="62">
        <v>0</v>
      </c>
      <c r="S29" s="62">
        <v>0</v>
      </c>
      <c r="T29" s="27" t="s">
        <v>47</v>
      </c>
      <c r="U29" s="43"/>
      <c r="V29" s="43"/>
      <c r="W29" s="43"/>
      <c r="X29" s="43"/>
      <c r="Y29" s="43"/>
    </row>
    <row r="30" spans="1:25" s="11" customFormat="1" ht="18" customHeight="1">
      <c r="A30" s="16" t="s">
        <v>48</v>
      </c>
      <c r="B30" s="26">
        <v>7.98</v>
      </c>
      <c r="C30" s="26">
        <v>8.7629000000000001</v>
      </c>
      <c r="D30" s="26">
        <v>3.43828829</v>
      </c>
      <c r="E30" s="26">
        <v>2.6666660000000002</v>
      </c>
      <c r="F30" s="26">
        <v>9.0000009999999993</v>
      </c>
      <c r="G30" s="18">
        <v>0</v>
      </c>
      <c r="H30" s="26">
        <v>0</v>
      </c>
      <c r="I30" s="26">
        <v>0</v>
      </c>
      <c r="J30" s="26">
        <v>10</v>
      </c>
      <c r="K30" s="26">
        <v>0</v>
      </c>
      <c r="L30" s="46">
        <v>27.564230999999999</v>
      </c>
      <c r="M30" s="46">
        <f>INDEX([4]IMF!$R:$R,MATCH(A30,[4]IMF!$B:$B,0))</f>
        <v>0</v>
      </c>
      <c r="N30" s="46">
        <f>INDEX([4]IMF!$S:$S,MATCH($A30,[4]IMF!$B:$B,0))</f>
        <v>0</v>
      </c>
      <c r="O30" s="46">
        <f>INDEX([4]IMF!$T:$T,MATCH($A30,[4]IMF!$B:$B,0))</f>
        <v>0</v>
      </c>
      <c r="P30" s="62">
        <v>0</v>
      </c>
      <c r="Q30" s="58">
        <v>0</v>
      </c>
      <c r="R30" s="62">
        <v>17.035308000000001</v>
      </c>
      <c r="S30" s="62">
        <v>16.181277000000001</v>
      </c>
      <c r="T30" s="27" t="s">
        <v>49</v>
      </c>
      <c r="U30" s="43"/>
      <c r="V30" s="43"/>
      <c r="W30" s="43"/>
      <c r="X30" s="43"/>
      <c r="Y30" s="43"/>
    </row>
    <row r="31" spans="1:25" s="11" customFormat="1" ht="18" customHeight="1">
      <c r="A31" s="16" t="s">
        <v>50</v>
      </c>
      <c r="B31" s="26">
        <v>1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9">
        <v>0</v>
      </c>
      <c r="I31" s="19">
        <v>0</v>
      </c>
      <c r="J31" s="46">
        <v>0</v>
      </c>
      <c r="K31" s="46">
        <v>0</v>
      </c>
      <c r="L31" s="46">
        <v>0</v>
      </c>
      <c r="M31" s="46">
        <f>INDEX([4]IMF!$R:$R,MATCH(A31,[4]IMF!$B:$B,0))</f>
        <v>0</v>
      </c>
      <c r="N31" s="46">
        <f>INDEX([4]IMF!$S:$S,MATCH($A31,[4]IMF!$B:$B,0))</f>
        <v>0</v>
      </c>
      <c r="O31" s="46">
        <f>INDEX([4]IMF!$T:$T,MATCH($A31,[4]IMF!$B:$B,0))</f>
        <v>0</v>
      </c>
      <c r="P31" s="62">
        <v>0</v>
      </c>
      <c r="Q31" s="58">
        <v>0</v>
      </c>
      <c r="R31" s="62">
        <v>0</v>
      </c>
      <c r="S31" s="62">
        <v>0</v>
      </c>
      <c r="T31" s="27" t="s">
        <v>51</v>
      </c>
      <c r="U31" s="43"/>
      <c r="V31" s="43"/>
      <c r="W31" s="43"/>
      <c r="X31" s="43"/>
      <c r="Y31" s="43"/>
    </row>
    <row r="32" spans="1:25" s="11" customFormat="1" ht="18" customHeight="1">
      <c r="A32" s="16" t="s">
        <v>52</v>
      </c>
      <c r="B32" s="18">
        <v>0</v>
      </c>
      <c r="C32" s="26">
        <v>10.016769999999999</v>
      </c>
      <c r="D32" s="18">
        <v>0</v>
      </c>
      <c r="E32" s="18">
        <v>0</v>
      </c>
      <c r="F32" s="18">
        <v>0</v>
      </c>
      <c r="G32" s="18">
        <v>0</v>
      </c>
      <c r="H32" s="19">
        <v>0</v>
      </c>
      <c r="I32" s="19">
        <v>0</v>
      </c>
      <c r="J32" s="46">
        <v>0</v>
      </c>
      <c r="K32" s="46">
        <v>23.443383000000001</v>
      </c>
      <c r="L32" s="46">
        <v>0</v>
      </c>
      <c r="M32" s="46">
        <f>INDEX([4]IMF!$R:$R,MATCH(A32,[4]IMF!$B:$B,0))</f>
        <v>0</v>
      </c>
      <c r="N32" s="46">
        <f>INDEX([4]IMF!$S:$S,MATCH($A32,[4]IMF!$B:$B,0))</f>
        <v>0</v>
      </c>
      <c r="O32" s="46">
        <f>INDEX([4]IMF!$T:$T,MATCH($A32,[4]IMF!$B:$B,0))</f>
        <v>0</v>
      </c>
      <c r="P32" s="62">
        <v>20.640938999999999</v>
      </c>
      <c r="Q32" s="58">
        <v>20.641439999999999</v>
      </c>
      <c r="R32" s="62">
        <v>20.641439999999999</v>
      </c>
      <c r="S32" s="62">
        <v>20.641439999999999</v>
      </c>
      <c r="T32" s="27" t="s">
        <v>53</v>
      </c>
      <c r="U32" s="43"/>
      <c r="V32" s="43"/>
      <c r="W32" s="43"/>
      <c r="X32" s="43"/>
      <c r="Y32" s="43"/>
    </row>
    <row r="33" spans="1:25" s="11" customFormat="1" ht="18" customHeight="1">
      <c r="A33" s="16" t="s">
        <v>54</v>
      </c>
      <c r="B33" s="26">
        <v>60</v>
      </c>
      <c r="C33" s="26">
        <v>60</v>
      </c>
      <c r="D33" s="26">
        <v>36.166326929999997</v>
      </c>
      <c r="E33" s="26">
        <v>40</v>
      </c>
      <c r="F33" s="26">
        <v>39.405994</v>
      </c>
      <c r="G33" s="26">
        <v>76.2</v>
      </c>
      <c r="H33" s="26">
        <v>33.799999999999997</v>
      </c>
      <c r="I33" s="26">
        <v>60</v>
      </c>
      <c r="J33" s="26">
        <v>60</v>
      </c>
      <c r="K33" s="26">
        <v>55.2</v>
      </c>
      <c r="L33" s="46">
        <v>0</v>
      </c>
      <c r="M33" s="46">
        <f>INDEX([4]IMF!$R:$R,MATCH(A33,[4]IMF!$B:$B,0))</f>
        <v>0</v>
      </c>
      <c r="N33" s="46">
        <f>INDEX([4]IMF!$S:$S,MATCH($A33,[4]IMF!$B:$B,0))</f>
        <v>0</v>
      </c>
      <c r="O33" s="46">
        <f>INDEX([4]IMF!$T:$T,MATCH($A33,[4]IMF!$B:$B,0))</f>
        <v>10</v>
      </c>
      <c r="P33" s="62">
        <v>29.711597000000001</v>
      </c>
      <c r="Q33" s="58">
        <v>60</v>
      </c>
      <c r="R33" s="62">
        <v>100</v>
      </c>
      <c r="S33" s="62">
        <v>350</v>
      </c>
      <c r="T33" s="51" t="s">
        <v>55</v>
      </c>
      <c r="U33" s="43"/>
      <c r="V33" s="43"/>
      <c r="W33" s="43"/>
      <c r="X33" s="43"/>
      <c r="Y33" s="43"/>
    </row>
    <row r="34" spans="1:25" s="11" customFormat="1" ht="18" customHeight="1">
      <c r="A34" s="16" t="s">
        <v>56</v>
      </c>
      <c r="B34" s="26">
        <v>27.4</v>
      </c>
      <c r="C34" s="26">
        <v>24.702947999999999</v>
      </c>
      <c r="D34" s="18">
        <v>0</v>
      </c>
      <c r="E34" s="18">
        <v>0</v>
      </c>
      <c r="F34" s="18">
        <v>0</v>
      </c>
      <c r="G34" s="22">
        <v>3.837278</v>
      </c>
      <c r="H34" s="19">
        <v>17.862296000000001</v>
      </c>
      <c r="I34" s="19">
        <v>50.051968000000002</v>
      </c>
      <c r="J34" s="46">
        <v>53.180216000000001</v>
      </c>
      <c r="K34" s="46">
        <v>62.564959999999999</v>
      </c>
      <c r="L34" s="46">
        <v>68.821455999999998</v>
      </c>
      <c r="M34" s="46">
        <f>INDEX([4]IMF!$R:$R,MATCH(A34,[4]IMF!$B:$B,0))</f>
        <v>75.077951999999996</v>
      </c>
      <c r="N34" s="46">
        <f>INDEX([4]IMF!$S:$S,MATCH($A34,[4]IMF!$B:$B,0))</f>
        <v>0</v>
      </c>
      <c r="O34" s="46">
        <f>INDEX([4]IMF!$T:$T,MATCH($A34,[4]IMF!$B:$B,0))</f>
        <v>128.25816800000001</v>
      </c>
      <c r="P34" s="62">
        <v>0</v>
      </c>
      <c r="Q34" s="58">
        <v>75</v>
      </c>
      <c r="R34" s="62">
        <v>78.75</v>
      </c>
      <c r="S34" s="62">
        <v>82.6875</v>
      </c>
      <c r="T34" s="51" t="s">
        <v>57</v>
      </c>
      <c r="U34" s="43"/>
      <c r="V34" s="43"/>
      <c r="W34" s="43"/>
      <c r="X34" s="43"/>
      <c r="Y34" s="43"/>
    </row>
    <row r="35" spans="1:25" s="11" customFormat="1" ht="18" customHeight="1">
      <c r="A35" s="16" t="s">
        <v>58</v>
      </c>
      <c r="B35" s="26">
        <v>171.5</v>
      </c>
      <c r="C35" s="26">
        <v>65.525085000000004</v>
      </c>
      <c r="D35" s="26">
        <v>62.790163999999997</v>
      </c>
      <c r="E35" s="26">
        <v>244.34785600000001</v>
      </c>
      <c r="F35" s="18">
        <v>0</v>
      </c>
      <c r="G35" s="18">
        <v>0</v>
      </c>
      <c r="H35" s="19">
        <v>120</v>
      </c>
      <c r="I35" s="19">
        <v>0</v>
      </c>
      <c r="J35" s="46">
        <v>0</v>
      </c>
      <c r="K35" s="46">
        <v>0</v>
      </c>
      <c r="L35" s="46">
        <v>0</v>
      </c>
      <c r="M35" s="46">
        <f>INDEX([4]IMF!$R:$R,MATCH(A35,[4]IMF!$B:$B,0))</f>
        <v>75</v>
      </c>
      <c r="N35" s="46">
        <f>INDEX([4]IMF!$S:$S,MATCH($A35,[4]IMF!$B:$B,0))</f>
        <v>0</v>
      </c>
      <c r="O35" s="46">
        <f>INDEX([4]IMF!$T:$T,MATCH($A35,[4]IMF!$B:$B,0))</f>
        <v>0</v>
      </c>
      <c r="P35" s="62">
        <v>200</v>
      </c>
      <c r="Q35" s="58">
        <v>537.50870899999995</v>
      </c>
      <c r="R35" s="62">
        <v>645.55121899999995</v>
      </c>
      <c r="S35" s="62">
        <v>702.30094999999994</v>
      </c>
      <c r="T35" s="7" t="s">
        <v>59</v>
      </c>
      <c r="U35" s="43"/>
      <c r="V35" s="43"/>
      <c r="W35" s="43"/>
      <c r="X35" s="43"/>
      <c r="Y35" s="43"/>
    </row>
    <row r="36" spans="1:25" s="11" customFormat="1" ht="18" customHeight="1">
      <c r="A36" s="16" t="s">
        <v>60</v>
      </c>
      <c r="B36" s="18">
        <v>0</v>
      </c>
      <c r="C36" s="18">
        <v>0</v>
      </c>
      <c r="D36" s="26">
        <v>6.63</v>
      </c>
      <c r="E36" s="18">
        <v>0</v>
      </c>
      <c r="F36" s="18">
        <v>0</v>
      </c>
      <c r="G36" s="18">
        <v>0</v>
      </c>
      <c r="H36" s="19">
        <v>0</v>
      </c>
      <c r="I36" s="19">
        <v>0</v>
      </c>
      <c r="J36" s="46">
        <v>0</v>
      </c>
      <c r="K36" s="46">
        <v>0</v>
      </c>
      <c r="L36" s="46">
        <v>0</v>
      </c>
      <c r="M36" s="46">
        <f>INDEX([4]IMF!$R:$R,MATCH(A36,[4]IMF!$B:$B,0))</f>
        <v>0</v>
      </c>
      <c r="N36" s="46">
        <f>INDEX([4]IMF!$S:$S,MATCH($A36,[4]IMF!$B:$B,0))</f>
        <v>0</v>
      </c>
      <c r="O36" s="46">
        <f>INDEX([4]IMF!$T:$T,MATCH($A36,[4]IMF!$B:$B,0))</f>
        <v>0</v>
      </c>
      <c r="P36" s="62">
        <v>0</v>
      </c>
      <c r="Q36" s="58">
        <v>0</v>
      </c>
      <c r="R36" s="62">
        <v>0</v>
      </c>
      <c r="S36" s="62">
        <v>0</v>
      </c>
      <c r="T36" s="7" t="s">
        <v>61</v>
      </c>
      <c r="U36" s="43"/>
      <c r="V36" s="43"/>
      <c r="W36" s="43"/>
      <c r="X36" s="43"/>
      <c r="Y36" s="43"/>
    </row>
    <row r="37" spans="1:25" s="11" customFormat="1" ht="18" customHeight="1">
      <c r="A37" s="16" t="s">
        <v>62</v>
      </c>
      <c r="B37" s="18">
        <v>0</v>
      </c>
      <c r="C37" s="18">
        <v>0</v>
      </c>
      <c r="D37" s="18">
        <v>0</v>
      </c>
      <c r="E37" s="18">
        <v>0</v>
      </c>
      <c r="F37" s="26">
        <v>11.05</v>
      </c>
      <c r="G37" s="18">
        <v>0</v>
      </c>
      <c r="H37" s="26">
        <v>11.05</v>
      </c>
      <c r="I37" s="26">
        <v>0</v>
      </c>
      <c r="J37" s="26">
        <v>0</v>
      </c>
      <c r="K37" s="26">
        <v>0</v>
      </c>
      <c r="L37" s="46">
        <v>0</v>
      </c>
      <c r="M37" s="46">
        <f>INDEX([4]IMF!$R:$R,MATCH(A37,[4]IMF!$B:$B,0))</f>
        <v>0</v>
      </c>
      <c r="N37" s="46">
        <f>INDEX([4]IMF!$S:$S,MATCH($A37,[4]IMF!$B:$B,0))</f>
        <v>0</v>
      </c>
      <c r="O37" s="46">
        <f>INDEX([4]IMF!$T:$T,MATCH($A37,[4]IMF!$B:$B,0))</f>
        <v>0</v>
      </c>
      <c r="P37" s="62">
        <v>0</v>
      </c>
      <c r="Q37" s="58">
        <v>0</v>
      </c>
      <c r="R37" s="62">
        <v>0</v>
      </c>
      <c r="S37" s="62">
        <v>0</v>
      </c>
      <c r="T37" s="28" t="s">
        <v>63</v>
      </c>
      <c r="U37" s="43"/>
      <c r="V37" s="43"/>
      <c r="W37" s="43"/>
      <c r="X37" s="43"/>
      <c r="Y37" s="43"/>
    </row>
    <row r="38" spans="1:25" s="11" customFormat="1" ht="18" customHeight="1">
      <c r="A38" s="16" t="s">
        <v>64</v>
      </c>
      <c r="B38" s="26">
        <v>5.5</v>
      </c>
      <c r="C38" s="18">
        <v>0</v>
      </c>
      <c r="D38" s="18">
        <v>0</v>
      </c>
      <c r="E38" s="18">
        <v>0</v>
      </c>
      <c r="F38" s="26">
        <v>0</v>
      </c>
      <c r="G38" s="18">
        <v>0</v>
      </c>
      <c r="H38" s="18">
        <v>0</v>
      </c>
      <c r="I38" s="26">
        <v>0</v>
      </c>
      <c r="J38" s="26">
        <v>0</v>
      </c>
      <c r="K38" s="26">
        <v>0</v>
      </c>
      <c r="L38" s="46">
        <v>0</v>
      </c>
      <c r="M38" s="46">
        <f>INDEX([4]IMF!$R:$R,MATCH(A38,[4]IMF!$B:$B,0))</f>
        <v>0</v>
      </c>
      <c r="N38" s="46">
        <f>INDEX([4]IMF!$S:$S,MATCH($A38,[4]IMF!$B:$B,0))</f>
        <v>0</v>
      </c>
      <c r="O38" s="46">
        <f>INDEX([4]IMF!$T:$T,MATCH($A38,[4]IMF!$B:$B,0))</f>
        <v>0</v>
      </c>
      <c r="P38" s="62">
        <v>0</v>
      </c>
      <c r="Q38" s="58">
        <v>0</v>
      </c>
      <c r="R38" s="62">
        <v>0</v>
      </c>
      <c r="S38" s="62">
        <v>0</v>
      </c>
      <c r="T38" s="7" t="s">
        <v>65</v>
      </c>
      <c r="U38" s="43"/>
      <c r="V38" s="43"/>
      <c r="W38" s="43"/>
      <c r="X38" s="43"/>
      <c r="Y38" s="43"/>
    </row>
    <row r="39" spans="1:25" s="11" customFormat="1" ht="18" customHeight="1">
      <c r="A39" s="16" t="s">
        <v>95</v>
      </c>
      <c r="B39" s="26">
        <v>54.5</v>
      </c>
      <c r="C39" s="26">
        <v>16.276667</v>
      </c>
      <c r="D39" s="26">
        <v>41.804403549999897</v>
      </c>
      <c r="E39" s="26">
        <v>52.75</v>
      </c>
      <c r="F39" s="26">
        <v>95.199361999999994</v>
      </c>
      <c r="G39" s="26">
        <v>43.042678000000002</v>
      </c>
      <c r="H39" s="26">
        <v>0</v>
      </c>
      <c r="I39" s="26">
        <v>30.877223999999998</v>
      </c>
      <c r="J39" s="26">
        <v>57.542190240000004</v>
      </c>
      <c r="K39" s="26">
        <v>0</v>
      </c>
      <c r="L39" s="46">
        <v>0</v>
      </c>
      <c r="M39" s="46">
        <f>INDEX([4]IMF!$R:$R,MATCH(A39,[4]IMF!$B:$B,0))</f>
        <v>100</v>
      </c>
      <c r="N39" s="46">
        <f>INDEX([4]IMF!$S:$S,MATCH($A39,[4]IMF!$B:$B,0))</f>
        <v>75</v>
      </c>
      <c r="O39" s="46">
        <f>INDEX([4]IMF!$T:$T,MATCH($A39,[4]IMF!$B:$B,0))</f>
        <v>42</v>
      </c>
      <c r="P39" s="62">
        <v>50</v>
      </c>
      <c r="Q39" s="58">
        <v>100</v>
      </c>
      <c r="R39" s="62">
        <v>105</v>
      </c>
      <c r="S39" s="62">
        <v>110.25</v>
      </c>
      <c r="T39" s="51" t="s">
        <v>66</v>
      </c>
      <c r="U39" s="43"/>
      <c r="V39" s="43"/>
      <c r="W39" s="43"/>
      <c r="X39" s="43"/>
      <c r="Y39" s="43"/>
    </row>
    <row r="40" spans="1:25" s="11" customFormat="1" ht="18" customHeight="1">
      <c r="A40" s="16" t="s">
        <v>67</v>
      </c>
      <c r="B40" s="18">
        <v>0</v>
      </c>
      <c r="C40" s="18">
        <v>0</v>
      </c>
      <c r="D40" s="18">
        <v>0</v>
      </c>
      <c r="E40" s="26">
        <v>14.306495999999999</v>
      </c>
      <c r="F40" s="26">
        <v>18.859279999999998</v>
      </c>
      <c r="G40" s="26">
        <v>7.8092800000000002</v>
      </c>
      <c r="H40" s="26">
        <v>7.8092800000000002</v>
      </c>
      <c r="I40" s="26">
        <v>19.523199999999999</v>
      </c>
      <c r="J40" s="26">
        <v>26.666239999999998</v>
      </c>
      <c r="K40" s="26">
        <v>15.61856</v>
      </c>
      <c r="L40" s="46">
        <v>20.780415999999999</v>
      </c>
      <c r="M40" s="46">
        <f>INDEX([4]IMF!$R:$R,MATCH(A40,[4]IMF!$B:$B,0))</f>
        <v>19.523199999999999</v>
      </c>
      <c r="N40" s="46">
        <f>INDEX([4]IMF!$S:$S,MATCH($A40,[4]IMF!$B:$B,0))</f>
        <v>21.475519999999999</v>
      </c>
      <c r="O40" s="46">
        <f>INDEX([4]IMF!$T:$T,MATCH($A40,[4]IMF!$B:$B,0))</f>
        <v>0</v>
      </c>
      <c r="P40" s="62">
        <v>29.284800000000001</v>
      </c>
      <c r="Q40" s="58">
        <v>30.749040000000001</v>
      </c>
      <c r="R40" s="62">
        <v>32.286492000000003</v>
      </c>
      <c r="S40" s="62">
        <v>33.900817000000004</v>
      </c>
      <c r="T40" s="27" t="s">
        <v>68</v>
      </c>
      <c r="U40" s="43"/>
      <c r="V40" s="43"/>
      <c r="W40" s="43"/>
      <c r="X40" s="43"/>
      <c r="Y40" s="43"/>
    </row>
    <row r="41" spans="1:25" s="11" customFormat="1" ht="18" customHeight="1">
      <c r="A41" s="16" t="s">
        <v>69</v>
      </c>
      <c r="B41" s="26">
        <v>47.6</v>
      </c>
      <c r="C41" s="26">
        <v>13.870419999999999</v>
      </c>
      <c r="D41" s="26">
        <v>12</v>
      </c>
      <c r="E41" s="18">
        <v>0</v>
      </c>
      <c r="F41" s="26">
        <v>0</v>
      </c>
      <c r="G41" s="18">
        <v>0</v>
      </c>
      <c r="H41" s="18">
        <v>0</v>
      </c>
      <c r="I41" s="18">
        <v>0</v>
      </c>
      <c r="J41" s="46">
        <v>0</v>
      </c>
      <c r="K41" s="46">
        <v>0</v>
      </c>
      <c r="L41" s="46">
        <v>0</v>
      </c>
      <c r="M41" s="46">
        <f>INDEX([4]IMF!$R:$R,MATCH(A41,[4]IMF!$B:$B,0))</f>
        <v>0</v>
      </c>
      <c r="N41" s="46">
        <f>INDEX([4]IMF!$S:$S,MATCH($A41,[4]IMF!$B:$B,0))</f>
        <v>0</v>
      </c>
      <c r="O41" s="46">
        <f>INDEX([4]IMF!$T:$T,MATCH($A41,[4]IMF!$B:$B,0))</f>
        <v>15.575104</v>
      </c>
      <c r="P41" s="62">
        <v>0</v>
      </c>
      <c r="Q41" s="58">
        <v>9.3954459999999997</v>
      </c>
      <c r="R41" s="62">
        <v>9.8652180000000005</v>
      </c>
      <c r="S41" s="62">
        <v>10.358479000000001</v>
      </c>
      <c r="T41" s="7" t="s">
        <v>70</v>
      </c>
      <c r="U41" s="43"/>
      <c r="V41" s="43"/>
      <c r="W41" s="43"/>
      <c r="X41" s="43"/>
      <c r="Y41" s="43"/>
    </row>
    <row r="42" spans="1:25" s="11" customFormat="1" ht="18" customHeight="1">
      <c r="A42" s="16" t="s">
        <v>71</v>
      </c>
      <c r="B42" s="18">
        <v>0</v>
      </c>
      <c r="C42" s="18">
        <v>0</v>
      </c>
      <c r="D42" s="18">
        <v>0</v>
      </c>
      <c r="E42" s="18">
        <v>0</v>
      </c>
      <c r="F42" s="26">
        <v>0</v>
      </c>
      <c r="G42" s="18">
        <v>0</v>
      </c>
      <c r="H42" s="18">
        <v>0</v>
      </c>
      <c r="I42" s="18">
        <v>0</v>
      </c>
      <c r="J42" s="46">
        <v>0</v>
      </c>
      <c r="K42" s="46">
        <v>0</v>
      </c>
      <c r="L42" s="46">
        <v>272.83352100000002</v>
      </c>
      <c r="M42" s="46">
        <f>INDEX([4]IMF!$R:$R,MATCH(A42,[4]IMF!$B:$B,0))</f>
        <v>0</v>
      </c>
      <c r="N42" s="46">
        <f>INDEX([4]IMF!$S:$S,MATCH($A42,[4]IMF!$B:$B,0))</f>
        <v>0</v>
      </c>
      <c r="O42" s="46">
        <f>INDEX([4]IMF!$T:$T,MATCH($A42,[4]IMF!$B:$B,0))</f>
        <v>0</v>
      </c>
      <c r="P42" s="62">
        <v>0</v>
      </c>
      <c r="Q42" s="58">
        <v>0</v>
      </c>
      <c r="R42" s="62">
        <v>0</v>
      </c>
      <c r="S42" s="62">
        <v>0</v>
      </c>
      <c r="T42" s="28" t="s">
        <v>72</v>
      </c>
      <c r="U42" s="43"/>
      <c r="V42" s="43"/>
      <c r="W42" s="43"/>
      <c r="X42" s="43"/>
      <c r="Y42" s="43"/>
    </row>
    <row r="43" spans="1:25" s="11" customFormat="1" ht="18" customHeight="1">
      <c r="A43" s="16" t="s">
        <v>73</v>
      </c>
      <c r="B43" s="18"/>
      <c r="C43" s="18"/>
      <c r="D43" s="18"/>
      <c r="E43" s="18"/>
      <c r="F43" s="26"/>
      <c r="G43" s="18"/>
      <c r="H43" s="18"/>
      <c r="I43" s="18"/>
      <c r="J43" s="46"/>
      <c r="K43" s="46"/>
      <c r="L43" s="46"/>
      <c r="M43" s="46">
        <f>INDEX([4]IMF!$R:$R,MATCH(A43,[4]IMF!$B:$B,0))</f>
        <v>185.28021100000001</v>
      </c>
      <c r="N43" s="46">
        <f>INDEX([4]IMF!$S:$S,MATCH($A43,[4]IMF!$B:$B,0))</f>
        <v>73.295512000000002</v>
      </c>
      <c r="O43" s="46">
        <f>INDEX([4]IMF!$T:$T,MATCH($A43,[4]IMF!$B:$B,0))</f>
        <v>11.308966</v>
      </c>
      <c r="P43" s="62">
        <v>5.2314150000000001</v>
      </c>
      <c r="Q43" s="58">
        <v>3.2997000000000001</v>
      </c>
      <c r="R43" s="62">
        <v>4.9027500000000002</v>
      </c>
      <c r="S43" s="62">
        <v>4.7591999999999999</v>
      </c>
      <c r="T43" s="52" t="s">
        <v>98</v>
      </c>
      <c r="U43" s="43"/>
      <c r="V43" s="43"/>
      <c r="W43" s="43"/>
      <c r="X43" s="43"/>
      <c r="Y43" s="43"/>
    </row>
    <row r="44" spans="1:25" s="11" customFormat="1" ht="18" customHeight="1">
      <c r="A44" s="20" t="s">
        <v>74</v>
      </c>
      <c r="B44" s="29">
        <f t="shared" ref="B44:L44" si="5">SUM(B45:B46)</f>
        <v>1517.2</v>
      </c>
      <c r="C44" s="29">
        <f t="shared" si="5"/>
        <v>995.66539599999999</v>
      </c>
      <c r="D44" s="29">
        <f t="shared" si="5"/>
        <v>1218.15239903</v>
      </c>
      <c r="E44" s="29">
        <f>SUM(E45:E46)</f>
        <v>1258.555134</v>
      </c>
      <c r="F44" s="30">
        <f t="shared" si="5"/>
        <v>1131.3926084999998</v>
      </c>
      <c r="G44" s="26">
        <f t="shared" si="5"/>
        <v>1209.1183469999999</v>
      </c>
      <c r="H44" s="26">
        <f>SUM(H45:H46)</f>
        <v>1641.4926660000001</v>
      </c>
      <c r="I44" s="26">
        <f t="shared" si="5"/>
        <v>1336.944409</v>
      </c>
      <c r="J44" s="26">
        <f>SUM(J45:J46)</f>
        <v>1494.81354106</v>
      </c>
      <c r="K44" s="26">
        <f>SUM(K45:K46)</f>
        <v>1614.012074</v>
      </c>
      <c r="L44" s="26">
        <f t="shared" si="5"/>
        <v>1640.0619220000001</v>
      </c>
      <c r="M44" s="46">
        <v>1759.8326240000001</v>
      </c>
      <c r="N44" s="46">
        <v>755.376935</v>
      </c>
      <c r="O44" s="46">
        <v>2160.3369499999999</v>
      </c>
      <c r="P44" s="62">
        <v>2114.4827760000003</v>
      </c>
      <c r="Q44" s="58">
        <v>1793.77702</v>
      </c>
      <c r="R44" s="62">
        <v>1803.1304750000002</v>
      </c>
      <c r="S44" s="62">
        <v>1797.113638</v>
      </c>
      <c r="T44" s="51" t="s">
        <v>75</v>
      </c>
      <c r="U44" s="43"/>
      <c r="V44" s="43"/>
      <c r="W44" s="43"/>
      <c r="X44" s="43"/>
      <c r="Y44" s="43"/>
    </row>
    <row r="45" spans="1:25" s="11" customFormat="1" ht="18" customHeight="1">
      <c r="A45" s="20" t="s">
        <v>76</v>
      </c>
      <c r="B45" s="31">
        <v>1403.2</v>
      </c>
      <c r="C45" s="31">
        <v>898.39401799999996</v>
      </c>
      <c r="D45" s="31">
        <v>1106.32749016</v>
      </c>
      <c r="E45" s="31">
        <v>1152.1696119999999</v>
      </c>
      <c r="F45" s="26">
        <v>1031.2231979999999</v>
      </c>
      <c r="G45" s="26">
        <v>1106.3326259999999</v>
      </c>
      <c r="H45" s="26">
        <v>1534.5484730000001</v>
      </c>
      <c r="I45" s="26">
        <v>1247.016365</v>
      </c>
      <c r="J45" s="26">
        <v>1357.4135410599999</v>
      </c>
      <c r="K45" s="26">
        <v>1488.6055819999999</v>
      </c>
      <c r="L45" s="26">
        <v>1525.985637</v>
      </c>
      <c r="M45" s="46">
        <v>1654.2163660000001</v>
      </c>
      <c r="N45" s="47">
        <v>700.68398300000001</v>
      </c>
      <c r="O45" s="47">
        <v>2072.300827</v>
      </c>
      <c r="P45" s="61">
        <v>2029.2061590000001</v>
      </c>
      <c r="Q45" s="72">
        <v>1738.4898780000001</v>
      </c>
      <c r="R45" s="61">
        <v>1750.0520180000001</v>
      </c>
      <c r="S45" s="61">
        <v>1752.0783260000001</v>
      </c>
      <c r="T45" s="52" t="s">
        <v>77</v>
      </c>
      <c r="U45" s="43"/>
      <c r="V45" s="43"/>
      <c r="W45" s="43"/>
      <c r="X45" s="43"/>
      <c r="Y45" s="43"/>
    </row>
    <row r="46" spans="1:25" s="11" customFormat="1" ht="18" customHeight="1">
      <c r="A46" s="20" t="s">
        <v>78</v>
      </c>
      <c r="B46" s="31">
        <v>114</v>
      </c>
      <c r="C46" s="31">
        <v>97.271377999999999</v>
      </c>
      <c r="D46" s="31">
        <v>111.82490887</v>
      </c>
      <c r="E46" s="31">
        <v>106.38552200000001</v>
      </c>
      <c r="F46" s="26">
        <v>100.1694105</v>
      </c>
      <c r="G46" s="26">
        <v>102.785721</v>
      </c>
      <c r="H46" s="26">
        <v>106.944193</v>
      </c>
      <c r="I46" s="26">
        <v>89.928044</v>
      </c>
      <c r="J46" s="26">
        <v>137.4</v>
      </c>
      <c r="K46" s="26">
        <v>125.406492</v>
      </c>
      <c r="L46" s="26">
        <v>114.076285</v>
      </c>
      <c r="M46" s="46">
        <v>105.616258</v>
      </c>
      <c r="N46" s="46">
        <v>54.692951999999998</v>
      </c>
      <c r="O46" s="46">
        <v>88.036123000000003</v>
      </c>
      <c r="P46" s="62">
        <v>85.276617000000002</v>
      </c>
      <c r="Q46" s="58">
        <v>55.287142000000003</v>
      </c>
      <c r="R46" s="62">
        <v>53.078457</v>
      </c>
      <c r="S46" s="62">
        <v>45.035311999999998</v>
      </c>
      <c r="T46" s="52" t="s">
        <v>79</v>
      </c>
      <c r="U46" s="43"/>
      <c r="V46" s="43"/>
      <c r="W46" s="43"/>
      <c r="X46" s="43"/>
      <c r="Y46" s="43"/>
    </row>
    <row r="47" spans="1:25" s="11" customFormat="1" ht="18" customHeight="1">
      <c r="A47" s="20" t="s">
        <v>96</v>
      </c>
      <c r="B47" s="31">
        <v>998.55999999999926</v>
      </c>
      <c r="C47" s="31">
        <v>895.01125499999932</v>
      </c>
      <c r="D47" s="31">
        <v>1113.5066890700002</v>
      </c>
      <c r="E47" s="31">
        <v>1512.4366380000008</v>
      </c>
      <c r="F47" s="26">
        <v>1078.6121423</v>
      </c>
      <c r="G47" s="26">
        <v>957.14032719999977</v>
      </c>
      <c r="H47" s="26">
        <v>1613.5568949999999</v>
      </c>
      <c r="I47" s="26">
        <v>2452.7101360000015</v>
      </c>
      <c r="J47" s="47">
        <v>2039.8901911099961</v>
      </c>
      <c r="K47" s="47">
        <v>2273.3969200000001</v>
      </c>
      <c r="L47" s="47">
        <v>2703.7948920000008</v>
      </c>
      <c r="M47" s="46">
        <v>1080.8778179999999</v>
      </c>
      <c r="N47" s="47">
        <v>473.41760999999997</v>
      </c>
      <c r="O47" s="47">
        <v>868.21659699999998</v>
      </c>
      <c r="P47" s="61">
        <v>1011.051902</v>
      </c>
      <c r="Q47" s="72">
        <v>1059.8532869999999</v>
      </c>
      <c r="R47" s="61">
        <v>1140.5008089999999</v>
      </c>
      <c r="S47" s="61">
        <v>1285.494293</v>
      </c>
      <c r="T47" s="52" t="s">
        <v>80</v>
      </c>
      <c r="U47" s="43"/>
      <c r="V47" s="43"/>
      <c r="W47" s="43"/>
      <c r="X47" s="43"/>
      <c r="Y47" s="43"/>
    </row>
    <row r="48" spans="1:25" s="11" customFormat="1" ht="18" customHeight="1">
      <c r="A48" s="14" t="s">
        <v>81</v>
      </c>
      <c r="B48" s="32">
        <v>42.3</v>
      </c>
      <c r="C48" s="32">
        <v>13.887772999999999</v>
      </c>
      <c r="D48" s="32">
        <v>49.354096069998995</v>
      </c>
      <c r="E48" s="32">
        <v>534.46453699999995</v>
      </c>
      <c r="F48" s="32">
        <v>48.072814719999997</v>
      </c>
      <c r="G48" s="32">
        <v>268.11802599999999</v>
      </c>
      <c r="H48" s="32">
        <v>124.11061599999999</v>
      </c>
      <c r="I48" s="32">
        <v>120.282314</v>
      </c>
      <c r="J48" s="32">
        <v>869.36103832000015</v>
      </c>
      <c r="K48" s="32">
        <v>577.583888</v>
      </c>
      <c r="L48" s="32">
        <v>366.15476000000001</v>
      </c>
      <c r="M48" s="32">
        <v>55.396940999999998</v>
      </c>
      <c r="N48" s="32">
        <v>15.571932</v>
      </c>
      <c r="O48" s="32">
        <v>43.313231999999999</v>
      </c>
      <c r="P48" s="65">
        <v>174.48003</v>
      </c>
      <c r="Q48" s="57">
        <v>18.487767000000002</v>
      </c>
      <c r="R48" s="65">
        <v>18.494634000000001</v>
      </c>
      <c r="S48" s="65">
        <v>18.619900000000001</v>
      </c>
      <c r="T48" s="52" t="s">
        <v>82</v>
      </c>
      <c r="U48" s="43"/>
      <c r="V48" s="43"/>
      <c r="W48" s="43"/>
      <c r="X48" s="43"/>
      <c r="Y48" s="43"/>
    </row>
    <row r="49" spans="1:25" s="11" customFormat="1" ht="18" customHeight="1">
      <c r="A49" s="33" t="s">
        <v>83</v>
      </c>
      <c r="B49" s="34">
        <v>517</v>
      </c>
      <c r="C49" s="34">
        <v>421.515827</v>
      </c>
      <c r="D49" s="34">
        <v>154.54323556</v>
      </c>
      <c r="E49" s="34">
        <v>732.43525699999998</v>
      </c>
      <c r="F49" s="34">
        <v>366.669873</v>
      </c>
      <c r="G49" s="34">
        <v>117.65522752999999</v>
      </c>
      <c r="H49" s="34">
        <v>165.27382499999999</v>
      </c>
      <c r="I49" s="34">
        <v>636.94119636999983</v>
      </c>
      <c r="J49" s="34">
        <v>253.12576791999993</v>
      </c>
      <c r="K49" s="34">
        <v>343.76348099999996</v>
      </c>
      <c r="L49" s="34">
        <v>819.80752300000006</v>
      </c>
      <c r="M49" s="34">
        <v>1154.886391</v>
      </c>
      <c r="N49" s="34">
        <v>957.99261200000001</v>
      </c>
      <c r="O49" s="34">
        <v>1031.84799</v>
      </c>
      <c r="P49" s="34">
        <v>592.25497899999993</v>
      </c>
      <c r="Q49" s="60">
        <v>2462.1475869999999</v>
      </c>
      <c r="R49" s="34">
        <v>2463.8027649999999</v>
      </c>
      <c r="S49" s="34">
        <v>404.89954699999998</v>
      </c>
      <c r="T49" s="53" t="s">
        <v>84</v>
      </c>
      <c r="U49" s="43"/>
      <c r="V49" s="43"/>
      <c r="W49" s="43"/>
      <c r="X49" s="43"/>
      <c r="Y49" s="43"/>
    </row>
    <row r="50" spans="1:25" s="11" customFormat="1" ht="15.75">
      <c r="A50" s="12" t="s">
        <v>85</v>
      </c>
      <c r="B50" s="35"/>
      <c r="C50" s="35"/>
      <c r="D50" s="35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52" t="s">
        <v>86</v>
      </c>
      <c r="U50" s="43"/>
      <c r="V50" s="43"/>
      <c r="W50" s="43"/>
      <c r="X50" s="43"/>
      <c r="Y50" s="43"/>
    </row>
    <row r="51" spans="1:25" s="11" customFormat="1" ht="18.75">
      <c r="A51" s="12" t="s">
        <v>87</v>
      </c>
      <c r="B51" s="35"/>
      <c r="C51" s="35"/>
      <c r="D51" s="35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54" t="s">
        <v>97</v>
      </c>
      <c r="U51" s="43"/>
      <c r="V51" s="43"/>
      <c r="W51" s="43"/>
      <c r="X51" s="43"/>
      <c r="Y51" s="43"/>
    </row>
    <row r="52" spans="1:25" s="11" customFormat="1" ht="15.75">
      <c r="A52" s="12" t="s">
        <v>88</v>
      </c>
      <c r="B52" s="35"/>
      <c r="C52" s="35"/>
      <c r="D52" s="35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52" t="s">
        <v>89</v>
      </c>
      <c r="U52" s="43"/>
      <c r="V52" s="43"/>
      <c r="W52" s="43"/>
      <c r="X52" s="43"/>
      <c r="Y52" s="43"/>
    </row>
    <row r="53" spans="1:25" s="11" customFormat="1" ht="15.75">
      <c r="A53" s="12" t="s">
        <v>90</v>
      </c>
      <c r="B53" s="35"/>
      <c r="C53" s="35"/>
      <c r="D53" s="35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52" t="s">
        <v>91</v>
      </c>
      <c r="U53" s="43"/>
      <c r="V53" s="43"/>
      <c r="W53" s="43"/>
      <c r="X53" s="43"/>
      <c r="Y53" s="43"/>
    </row>
    <row r="54" spans="1:25" ht="15.75">
      <c r="A54" s="12" t="s">
        <v>93</v>
      </c>
      <c r="T54" s="52" t="s">
        <v>92</v>
      </c>
    </row>
    <row r="55" spans="1:25" s="11" customFormat="1" ht="15.75">
      <c r="A55" s="37"/>
      <c r="T55" s="55"/>
      <c r="U55" s="43"/>
      <c r="V55" s="43"/>
      <c r="W55" s="43"/>
      <c r="X55" s="43"/>
      <c r="Y55" s="43"/>
    </row>
    <row r="56" spans="1:25" s="11" customFormat="1" ht="15" customHeight="1">
      <c r="A56" s="37"/>
      <c r="U56" s="43"/>
      <c r="V56" s="43"/>
      <c r="W56" s="43"/>
      <c r="X56" s="43"/>
      <c r="Y56" s="43"/>
    </row>
  </sheetData>
  <mergeCells count="5">
    <mergeCell ref="A1:T1"/>
    <mergeCell ref="A2:T2"/>
    <mergeCell ref="A3:T3"/>
    <mergeCell ref="A4:T4"/>
    <mergeCell ref="T5:T7"/>
  </mergeCells>
  <pageMargins left="0.17" right="0.16" top="0.41" bottom="0.36" header="0.3" footer="0.3"/>
  <pageSetup paperSize="9" scale="53" orientation="landscape" horizontalDpi="4294967295" verticalDpi="4294967295" r:id="rId1"/>
  <customProperties>
    <customPr name="EpmWorksheetKeyString_GUID" r:id="rId2"/>
  </customProperties>
  <ignoredErrors>
    <ignoredError sqref="M26:O43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13.3</vt:lpstr>
      <vt:lpstr>'13.3'!Print_Area</vt:lpstr>
      <vt:lpstr>'13.3'!Print_Titles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2023-04-24T05:30:12Z</cp:lastPrinted>
  <dcterms:created xsi:type="dcterms:W3CDTF">2014-03-06T08:38:12Z</dcterms:created>
  <dcterms:modified xsi:type="dcterms:W3CDTF">2023-04-24T05:30:20Z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