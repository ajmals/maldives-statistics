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ublic Finance\"/>
    </mc:Choice>
  </mc:AlternateContent>
  <xr:revisionPtr revIDLastSave="0" documentId="13_ncr:1_{0773A80C-81BD-4ED4-96B8-F73538279EB4}" xr6:coauthVersionLast="47" xr6:coauthVersionMax="47" xr10:uidLastSave="{00000000-0000-0000-0000-000000000000}"/>
  <bookViews>
    <workbookView xWindow="-120" yWindow="-120" windowWidth="29040" windowHeight="15840" tabRatio="738" xr2:uid="{00000000-000D-0000-FFFF-FFFF00000000}"/>
  </bookViews>
  <sheets>
    <sheet name="13.2" sheetId="2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'13.2'!$A$1:$U$34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4" i="2" l="1"/>
  <c r="T26" i="2"/>
  <c r="T9" i="2" l="1"/>
  <c r="T10" i="2"/>
  <c r="T12" i="2"/>
  <c r="T15" i="2"/>
  <c r="T16" i="2"/>
  <c r="T18" i="2"/>
  <c r="T19" i="2"/>
  <c r="T28" i="2"/>
  <c r="G22" i="2" l="1"/>
  <c r="H22" i="2"/>
  <c r="I22" i="2"/>
  <c r="J22" i="2"/>
  <c r="K22" i="2"/>
  <c r="L22" i="2"/>
  <c r="M22" i="2"/>
  <c r="M21" i="2" s="1"/>
  <c r="N22" i="2"/>
  <c r="N21" i="2" s="1"/>
  <c r="O22" i="2"/>
  <c r="O21" i="2" s="1"/>
  <c r="P22" i="2"/>
  <c r="Q22" i="2"/>
  <c r="Q21" i="2" s="1"/>
  <c r="R22" i="2"/>
  <c r="R21" i="2" s="1"/>
  <c r="S22" i="2"/>
  <c r="S21" i="2" s="1"/>
  <c r="F21" i="2"/>
  <c r="M8" i="2"/>
  <c r="N8" i="2"/>
  <c r="O8" i="2"/>
  <c r="P8" i="2"/>
  <c r="Q8" i="2"/>
  <c r="R8" i="2"/>
  <c r="S8" i="2"/>
  <c r="G14" i="2"/>
  <c r="G13" i="2" s="1"/>
  <c r="H14" i="2"/>
  <c r="H13" i="2" s="1"/>
  <c r="I14" i="2"/>
  <c r="I13" i="2" s="1"/>
  <c r="J14" i="2"/>
  <c r="J13" i="2" s="1"/>
  <c r="K14" i="2"/>
  <c r="K13" i="2" s="1"/>
  <c r="L14" i="2"/>
  <c r="L13" i="2" s="1"/>
  <c r="M14" i="2"/>
  <c r="M13" i="2" s="1"/>
  <c r="N14" i="2"/>
  <c r="N13" i="2" s="1"/>
  <c r="O14" i="2"/>
  <c r="O13" i="2" s="1"/>
  <c r="P14" i="2"/>
  <c r="Q14" i="2"/>
  <c r="Q13" i="2" s="1"/>
  <c r="R14" i="2"/>
  <c r="R13" i="2" s="1"/>
  <c r="S14" i="2"/>
  <c r="S13" i="2" s="1"/>
  <c r="P13" i="2" l="1"/>
  <c r="T13" i="2" s="1"/>
  <c r="T14" i="2"/>
  <c r="T8" i="2"/>
  <c r="P21" i="2"/>
  <c r="T21" i="2" s="1"/>
  <c r="T22" i="2"/>
  <c r="L21" i="2"/>
  <c r="K21" i="2"/>
  <c r="L9" i="2" l="1"/>
  <c r="L8" i="2" s="1"/>
  <c r="K9" i="2" l="1"/>
  <c r="K8" i="2" s="1"/>
  <c r="J9" i="2"/>
  <c r="J8" i="2" s="1"/>
  <c r="J21" i="2" l="1"/>
  <c r="H9" i="2" l="1"/>
  <c r="H8" i="2" s="1"/>
  <c r="G21" i="2" l="1"/>
  <c r="H21" i="2"/>
  <c r="I21" i="2"/>
  <c r="I9" i="2"/>
  <c r="I8" i="2" s="1"/>
  <c r="H18" i="2" l="1"/>
  <c r="I18" i="2"/>
  <c r="D22" i="2" l="1"/>
  <c r="D21" i="2" s="1"/>
  <c r="E22" i="2"/>
  <c r="E21" i="2" s="1"/>
  <c r="C22" i="2"/>
  <c r="C21" i="2" s="1"/>
  <c r="B22" i="2"/>
  <c r="B21" i="2" s="1"/>
  <c r="B18" i="2"/>
  <c r="F14" i="2"/>
  <c r="D14" i="2"/>
  <c r="C14" i="2"/>
  <c r="C13" i="2" s="1"/>
  <c r="B14" i="2"/>
  <c r="G9" i="2"/>
  <c r="G8" i="2" s="1"/>
  <c r="F9" i="2"/>
  <c r="F8" i="2" s="1"/>
  <c r="D9" i="2"/>
  <c r="C9" i="2"/>
  <c r="B9" i="2"/>
  <c r="G18" i="2" l="1"/>
  <c r="F13" i="2"/>
  <c r="C8" i="2"/>
  <c r="C18" i="2" s="1"/>
  <c r="F18" i="2" l="1"/>
</calcChain>
</file>

<file path=xl/sharedStrings.xml><?xml version="1.0" encoding="utf-8"?>
<sst xmlns="http://schemas.openxmlformats.org/spreadsheetml/2006/main" count="104" uniqueCount="68">
  <si>
    <t>(cniaWyifur cnwailim)</t>
  </si>
  <si>
    <t>(In million MVR)</t>
  </si>
  <si>
    <t>Particulars</t>
  </si>
  <si>
    <t>clIBcfwt</t>
  </si>
  <si>
    <t>Actual</t>
  </si>
  <si>
    <t>Revised</t>
  </si>
  <si>
    <t xml:space="preserve">Approved </t>
  </si>
  <si>
    <t>(urwvcnimivurutia)</t>
  </si>
  <si>
    <t>Actuals</t>
  </si>
  <si>
    <t>Percentage Change</t>
  </si>
  <si>
    <t>Total Revenue and grants</t>
  </si>
  <si>
    <t>Wsiawf unubil iawgutogegIhea egurEb iaWaInwdcmWa</t>
  </si>
  <si>
    <t>Total  Revenue</t>
  </si>
  <si>
    <t>InwdcmWa</t>
  </si>
  <si>
    <t>Current Revenue</t>
  </si>
  <si>
    <t>InwdcmWA cTcnwrwk</t>
  </si>
  <si>
    <t xml:space="preserve">Capital Revenue </t>
  </si>
  <si>
    <t>InwdcmWA clwTipek</t>
  </si>
  <si>
    <r>
      <t xml:space="preserve">Grants  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</si>
  <si>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t>1_/ unubil iawgutogegIhea egurEb</t>
  </si>
  <si>
    <t>Expenditure and net lending</t>
  </si>
  <si>
    <t>IkWbufWs egInwrwdEverukUd iaWdwrwK</t>
  </si>
  <si>
    <t>Total Expenditure</t>
  </si>
  <si>
    <t>udwrwK</t>
  </si>
  <si>
    <t>Current expenditure</t>
  </si>
  <si>
    <t>udwrwK Wditenivua</t>
  </si>
  <si>
    <t xml:space="preserve">Capital expenditure </t>
  </si>
  <si>
    <t xml:space="preserve">udwrwK ivinwncnuhimed    </t>
  </si>
  <si>
    <t>Net lending</t>
  </si>
  <si>
    <t>IkWbufWs egInwrwd EverukUd</t>
  </si>
  <si>
    <r>
      <t xml:space="preserve">Overall Balance </t>
    </r>
    <r>
      <rPr>
        <b/>
        <sz val="10"/>
        <color theme="1"/>
        <rFont val="Calibri"/>
        <family val="2"/>
      </rPr>
      <t xml:space="preserve"> </t>
    </r>
    <r>
      <rPr>
        <b/>
        <vertAlign val="superscript"/>
        <sz val="10"/>
        <color theme="1"/>
        <rFont val="Calibri"/>
        <family val="2"/>
      </rPr>
      <t>2_/</t>
    </r>
  </si>
  <si>
    <r>
      <t>އޯވަރޯލް ބެލެންސް</t>
    </r>
    <r>
      <rPr>
        <b/>
        <sz val="11"/>
        <color theme="1"/>
        <rFont val="A_Faseyha"/>
      </rPr>
      <t xml:space="preserve"> </t>
    </r>
    <r>
      <rPr>
        <b/>
        <vertAlign val="superscript"/>
        <sz val="11"/>
        <color theme="1"/>
        <rFont val="A_Faseyha"/>
      </rPr>
      <t>/- 2</t>
    </r>
  </si>
  <si>
    <r>
      <t xml:space="preserve">Primary Balance </t>
    </r>
    <r>
      <rPr>
        <b/>
        <vertAlign val="superscript"/>
        <sz val="10"/>
        <color theme="1"/>
        <rFont val="Calibri"/>
        <family val="2"/>
        <scheme val="minor"/>
      </rPr>
      <t>3_/</t>
    </r>
  </si>
  <si>
    <r>
      <t xml:space="preserve">ޕްރައިމަރީ ބެލެންސް </t>
    </r>
    <r>
      <rPr>
        <b/>
        <vertAlign val="superscript"/>
        <sz val="9"/>
        <color theme="1"/>
        <rFont val="A_Faseyha"/>
      </rPr>
      <t xml:space="preserve"> /- 3</t>
    </r>
  </si>
  <si>
    <t>Financing</t>
  </si>
  <si>
    <t xml:space="preserve"> ctogunuscaejwmwh udwrwK ivurutia eruvcSwaInwdcmWa egcTejwb iLum</t>
  </si>
  <si>
    <t>Foreign (net)</t>
  </si>
  <si>
    <t>IkWbufWs egWsiawf unubilcnurEb</t>
  </si>
  <si>
    <t>Disbursements</t>
  </si>
  <si>
    <t>unuverukudwrwK cnunOl</t>
  </si>
  <si>
    <t>Repayments  (-)</t>
  </si>
  <si>
    <t>(-) cSwmukcaedWrubwa cnunOl</t>
  </si>
  <si>
    <t>1_/  Excludes grants for direct expenditure by donors.</t>
  </si>
  <si>
    <t>.eveaevun caeawfinemih udwrwK Wruk WdIs ctWrwf EdIhea 1_/</t>
  </si>
  <si>
    <t>2_/  Overall Balance including Grants (Starting from 2012, Overall balance is calculated excluding net lending)</t>
  </si>
  <si>
    <t>/-2 އޯވަރޯލް ބެލެންސްގެ ގޮތުގައި ހިމެނިފައިވަނީ މުޅިބަޖެޓް އާމްދަނީ އަށް ވުރެޚަރަދު އިތުރުވި މިންވަރު (ޖުމްލަ އާމްދަނީއާއި ހިލޭ އެހީ ހިމަނައިގެން)</t>
  </si>
  <si>
    <t>3_/  Primary Balance is excluding Loan repayment</t>
  </si>
  <si>
    <t>/-3 ޕްރައިމަރީ ބެލެންސްގެ ގޮތުގައި ހިމެނިފައިވަނީ މުޅިބަޖެޓް އާމްދަނީ އަށް ވުރެޚަރަދު އިތުރުވި މިންވަރު (ލޯން ހިދުމަތުގެ ޚަރަދު އުނިކުރުމަށްފަހު)</t>
  </si>
  <si>
    <t>.everwvcnim Wviawfigencnia Ea.cmea.cmea Inediawkcawd iawgcaetoguDnwgiawm 4_/</t>
  </si>
  <si>
    <r>
      <rPr>
        <sz val="9"/>
        <color theme="1"/>
        <rFont val="A_Faseyha"/>
      </rPr>
      <t>iawfiverukuhWlcsia</t>
    </r>
    <r>
      <rPr>
        <sz val="7"/>
        <color theme="1"/>
        <rFont val="A_Faseyha"/>
      </rPr>
      <t xml:space="preserve"> </t>
    </r>
    <r>
      <rPr>
        <sz val="9"/>
        <color theme="1"/>
        <rFont val="A_Faseyha"/>
      </rPr>
      <t>5</t>
    </r>
    <r>
      <rPr>
        <sz val="7"/>
        <color theme="1"/>
        <rFont val="A_Faseyha"/>
      </rPr>
      <t>_/</t>
    </r>
  </si>
  <si>
    <t>-</t>
  </si>
  <si>
    <t>Green/ Blue Bond</t>
  </si>
  <si>
    <r>
      <t xml:space="preserve">Sukuk/ Bond </t>
    </r>
    <r>
      <rPr>
        <vertAlign val="superscript"/>
        <sz val="10"/>
        <color theme="1"/>
        <rFont val="Calibri"/>
        <family val="2"/>
        <scheme val="minor"/>
      </rPr>
      <t>4_/</t>
    </r>
  </si>
  <si>
    <r>
      <t xml:space="preserve">Domestic </t>
    </r>
    <r>
      <rPr>
        <b/>
        <vertAlign val="superscript"/>
        <sz val="10"/>
        <color theme="1"/>
        <rFont val="Calibri"/>
        <family val="2"/>
        <scheme val="minor"/>
      </rPr>
      <t>5_/</t>
    </r>
  </si>
  <si>
    <t>5_/  Domestic Financing primarily reflects borrowings from MMA</t>
  </si>
  <si>
    <t>4_/  Data Updated</t>
  </si>
  <si>
    <t>Source:  Ministry of Finance.</t>
  </si>
  <si>
    <t>ގްރީން / ބްލޫ ބޮންޑް</t>
  </si>
  <si>
    <t xml:space="preserve">Budget Support </t>
  </si>
  <si>
    <t>cscnEnif cfoa IrcTcsinim :ctWrwfivcaed utWmUluAwm</t>
  </si>
  <si>
    <t>2022-2021</t>
  </si>
  <si>
    <t>(*)</t>
  </si>
  <si>
    <t xml:space="preserve">(*) - Indicates if the percentage change is greater than 100. </t>
  </si>
  <si>
    <t xml:space="preserve">Table  13.2 :   SUMMARY OF CENTRAL GOVERNMENT FINANCE, 2012 - 2025
</t>
  </si>
  <si>
    <t>2025- 2012 ,WsWluK egutogWviawfihebutwycailWm egurWkurws  : 13.2 ulwvWt</t>
  </si>
  <si>
    <t>ބަޖެޓް ސަޕޯޓް</t>
  </si>
  <si>
    <r>
      <rPr>
        <vertAlign val="superscript"/>
        <sz val="9"/>
        <color theme="1"/>
        <rFont val="A_Faseyha"/>
      </rPr>
      <t>5_/ c</t>
    </r>
    <r>
      <rPr>
        <sz val="9"/>
        <color theme="1"/>
        <rFont val="A_Faseyha"/>
      </rPr>
      <t>niaejcaWr</t>
    </r>
  </si>
  <si>
    <r>
      <t>ސުކޫކް/ބޮންޑް /_</t>
    </r>
    <r>
      <rPr>
        <sz val="8"/>
        <color theme="1"/>
        <rFont val="Faruma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</si>
</sst>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#,##0.0"/>
    <numFmt numFmtId="168" formatCode="_(* #,##0.0_);_(* \(#,##0.0\);_(* &quot;-&quot;??_);_(@_)"/>
    <numFmt numFmtId="169" formatCode="0.0"/>
    <numFmt numFmtId="171" formatCode="_-* #,##0.00_-;\-* #,##0.00_-;_-* &quot;-&quot;??_-;_-@_-"/>
    <numFmt numFmtId="172" formatCode="#,##0.00\ ;&quot; (&quot;#,##0.00\);&quot; -&quot;#\ ;@\ "/>
    <numFmt numFmtId="179" formatCode="0.00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_Randhoo"/>
    </font>
    <font>
      <b/>
      <sz val="10"/>
      <color theme="1"/>
      <name val="Calibri"/>
      <family val="2"/>
    </font>
    <font>
      <sz val="9"/>
      <color theme="1"/>
      <name val="Arial"/>
      <family val="2"/>
    </font>
    <font>
      <i/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b/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b/>
      <sz val="11"/>
      <color theme="1"/>
      <name val="A_Faseyha"/>
    </font>
    <font>
      <b/>
      <sz val="9"/>
      <color theme="1"/>
      <name val="A_Faseyha"/>
    </font>
    <font>
      <sz val="9"/>
      <color theme="1"/>
      <name val="A_Faseyha"/>
    </font>
    <font>
      <b/>
      <vertAlign val="superscript"/>
      <sz val="11"/>
      <color theme="1"/>
      <name val="A_Faseyha"/>
    </font>
    <font>
      <b/>
      <vertAlign val="superscript"/>
      <sz val="9"/>
      <color theme="1"/>
      <name val="A_Faseyha"/>
    </font>
    <font>
      <vertAlign val="superscript"/>
      <sz val="9"/>
      <color theme="1"/>
      <name val="A_Faseyha"/>
    </font>
    <font>
      <sz val="7"/>
      <color theme="1"/>
      <name val="A_Faseyha"/>
    </font>
    <font>
      <vertAlign val="superscript"/>
      <sz val="10"/>
      <color theme="1"/>
      <name val="Calibri"/>
      <family val="2"/>
      <scheme val="minor"/>
    </font>
    <font>
      <b/>
      <sz val="11"/>
      <color rgb="FFFF0000"/>
      <name val="Roboto Condensed"/>
    </font>
    <font>
      <sz val="12"/>
      <color theme="1"/>
      <name val="Century Gothic"/>
      <family val="2"/>
    </font>
    <font>
      <b/>
      <sz val="8"/>
      <color theme="1"/>
      <name val="A_Haleem Rasmee"/>
      <family val="2"/>
      <charset val="2"/>
    </font>
    <font>
      <b/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i/>
      <sz val="10"/>
      <name val="Cambria"/>
      <family val="2"/>
      <scheme val="major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8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  <border>
      <left style="hair">
        <color indexed="64"/>
      </left>
      <right/>
      <top/>
      <bottom style="thin">
        <color theme="1" tint="4.9989318521683403E-2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  <xf numFmtId="171" fontId="1" fillId="0" borderId="0" applyFont="0" applyFill="0" applyBorder="0" applyAlignment="0" applyProtection="0"/>
    <xf numFmtId="0" fontId="7" fillId="0" borderId="0"/>
    <xf numFmtId="172" fontId="7" fillId="0" borderId="0"/>
    <xf numFmtId="0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21" fillId="0" borderId="0" applyNumberFormat="0" applyFill="0" applyBorder="0" applyAlignment="0" applyProtection="0"/>
    <xf numFmtId="169" fontId="25" fillId="0" borderId="0"/>
    <xf numFmtId="4" fontId="2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9" fontId="39" fillId="0" borderId="0"/>
    <xf numFmtId="1" fontId="40" fillId="0" borderId="15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6" fillId="0" borderId="0"/>
    <xf numFmtId="40" fontId="26" fillId="0" borderId="0" applyFont="0" applyFill="0" applyBorder="0" applyAlignment="0" applyProtection="0"/>
    <xf numFmtId="0" fontId="26" fillId="0" borderId="0"/>
    <xf numFmtId="0" fontId="2" fillId="0" borderId="0"/>
    <xf numFmtId="0" fontId="2" fillId="0" borderId="0"/>
    <xf numFmtId="1" fontId="40" fillId="0" borderId="15" applyNumberFormat="0"/>
    <xf numFmtId="0" fontId="1" fillId="0" borderId="0"/>
    <xf numFmtId="0" fontId="26" fillId="0" borderId="0"/>
    <xf numFmtId="0" fontId="7" fillId="0" borderId="0" applyFill="0" applyProtection="0"/>
    <xf numFmtId="1" fontId="40" fillId="0" borderId="15" applyNumberFormat="0"/>
    <xf numFmtId="43" fontId="1" fillId="0" borderId="0" applyFont="0" applyFill="0" applyBorder="0" applyAlignment="0" applyProtection="0"/>
    <xf numFmtId="0" fontId="1" fillId="0" borderId="0"/>
    <xf numFmtId="0" fontId="42" fillId="0" borderId="0"/>
    <xf numFmtId="0" fontId="43" fillId="0" borderId="0"/>
    <xf numFmtId="0" fontId="42" fillId="0" borderId="0"/>
    <xf numFmtId="0" fontId="1" fillId="0" borderId="0"/>
    <xf numFmtId="0" fontId="26" fillId="0" borderId="0"/>
    <xf numFmtId="0" fontId="7" fillId="0" borderId="0" applyFill="0" applyProtection="0"/>
  </cellStyleXfs>
  <cellXfs count="76">
    <xf numFmtId="0" fontId="0" fillId="0" borderId="0" xfId="0"/>
    <xf numFmtId="166" fontId="6" fillId="2" borderId="0" xfId="2" applyNumberFormat="1" applyFont="1" applyFill="1" applyAlignment="1" applyProtection="1">
      <alignment horizontal="right" vertical="center"/>
      <protection locked="0"/>
    </xf>
    <xf numFmtId="165" fontId="6" fillId="2" borderId="0" xfId="2" applyNumberFormat="1" applyFont="1" applyFill="1" applyAlignment="1" applyProtection="1">
      <alignment horizontal="right" vertical="center"/>
      <protection locked="0"/>
    </xf>
    <xf numFmtId="165" fontId="6" fillId="2" borderId="1" xfId="2" applyNumberFormat="1" applyFont="1" applyFill="1" applyBorder="1" applyAlignment="1">
      <alignment horizontal="right" vertical="center"/>
    </xf>
    <xf numFmtId="165" fontId="15" fillId="2" borderId="0" xfId="2" applyNumberFormat="1" applyFont="1" applyFill="1" applyAlignment="1">
      <alignment vertical="center"/>
    </xf>
    <xf numFmtId="165" fontId="16" fillId="2" borderId="0" xfId="2" applyNumberFormat="1" applyFont="1" applyFill="1" applyAlignment="1">
      <alignment vertical="center"/>
    </xf>
    <xf numFmtId="165" fontId="6" fillId="2" borderId="3" xfId="2" applyNumberFormat="1" applyFont="1" applyFill="1" applyBorder="1" applyAlignment="1">
      <alignment vertical="center"/>
    </xf>
    <xf numFmtId="165" fontId="6" fillId="2" borderId="3" xfId="2" applyNumberFormat="1" applyFont="1" applyFill="1" applyBorder="1" applyAlignment="1">
      <alignment horizontal="center" vertical="center"/>
    </xf>
    <xf numFmtId="165" fontId="17" fillId="2" borderId="3" xfId="2" applyNumberFormat="1" applyFont="1" applyFill="1" applyBorder="1" applyAlignment="1">
      <alignment horizontal="right" vertical="center"/>
    </xf>
    <xf numFmtId="165" fontId="6" fillId="2" borderId="2" xfId="2" applyNumberFormat="1" applyFont="1" applyFill="1" applyBorder="1" applyAlignment="1">
      <alignment horizontal="right" vertical="center"/>
    </xf>
    <xf numFmtId="166" fontId="6" fillId="2" borderId="0" xfId="2" applyNumberFormat="1" applyFont="1" applyFill="1" applyAlignment="1">
      <alignment horizontal="right" vertical="center"/>
    </xf>
    <xf numFmtId="165" fontId="6" fillId="2" borderId="0" xfId="2" applyNumberFormat="1" applyFont="1" applyFill="1" applyAlignment="1">
      <alignment horizontal="left" vertical="center"/>
    </xf>
    <xf numFmtId="165" fontId="11" fillId="2" borderId="0" xfId="2" applyNumberFormat="1" applyFont="1" applyFill="1" applyAlignment="1">
      <alignment horizontal="left" vertical="center" indent="1"/>
    </xf>
    <xf numFmtId="166" fontId="11" fillId="2" borderId="0" xfId="2" applyNumberFormat="1" applyFont="1" applyFill="1" applyAlignment="1">
      <alignment horizontal="right" vertical="center"/>
    </xf>
    <xf numFmtId="165" fontId="6" fillId="2" borderId="0" xfId="2" applyNumberFormat="1" applyFont="1" applyFill="1" applyAlignment="1">
      <alignment vertical="center"/>
    </xf>
    <xf numFmtId="165" fontId="9" fillId="2" borderId="0" xfId="2" applyNumberFormat="1" applyFont="1" applyFill="1" applyAlignment="1">
      <alignment vertical="center"/>
    </xf>
    <xf numFmtId="165" fontId="19" fillId="2" borderId="0" xfId="2" applyNumberFormat="1" applyFont="1" applyFill="1" applyAlignment="1">
      <alignment vertical="center"/>
    </xf>
    <xf numFmtId="166" fontId="6" fillId="2" borderId="0" xfId="2" applyNumberFormat="1" applyFont="1" applyFill="1" applyAlignment="1">
      <alignment vertical="center"/>
    </xf>
    <xf numFmtId="166" fontId="11" fillId="2" borderId="0" xfId="2" applyNumberFormat="1" applyFont="1" applyFill="1" applyAlignment="1">
      <alignment vertical="center"/>
    </xf>
    <xf numFmtId="165" fontId="6" fillId="2" borderId="2" xfId="2" applyNumberFormat="1" applyFont="1" applyFill="1" applyBorder="1" applyAlignment="1">
      <alignment vertical="center"/>
    </xf>
    <xf numFmtId="166" fontId="6" fillId="2" borderId="2" xfId="2" applyNumberFormat="1" applyFont="1" applyFill="1" applyBorder="1" applyAlignment="1" applyProtection="1">
      <alignment horizontal="right" vertical="center"/>
      <protection locked="0"/>
    </xf>
    <xf numFmtId="165" fontId="14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center" vertical="center"/>
    </xf>
    <xf numFmtId="165" fontId="12" fillId="2" borderId="0" xfId="2" applyNumberFormat="1" applyFont="1" applyFill="1" applyAlignment="1">
      <alignment vertical="center"/>
    </xf>
    <xf numFmtId="166" fontId="19" fillId="2" borderId="0" xfId="2" applyNumberFormat="1" applyFont="1" applyFill="1" applyAlignment="1">
      <alignment horizontal="center" vertical="center"/>
    </xf>
    <xf numFmtId="165" fontId="11" fillId="2" borderId="0" xfId="2" applyNumberFormat="1" applyFont="1" applyFill="1" applyAlignment="1">
      <alignment vertical="center"/>
    </xf>
    <xf numFmtId="165" fontId="15" fillId="2" borderId="0" xfId="2" applyNumberFormat="1" applyFont="1" applyFill="1" applyAlignment="1">
      <alignment horizontal="center" vertical="center"/>
    </xf>
    <xf numFmtId="165" fontId="20" fillId="2" borderId="0" xfId="2" applyNumberFormat="1" applyFont="1" applyFill="1" applyAlignment="1">
      <alignment horizontal="left" vertical="center"/>
    </xf>
    <xf numFmtId="168" fontId="15" fillId="2" borderId="0" xfId="1" applyNumberFormat="1" applyFont="1" applyFill="1" applyAlignment="1">
      <alignment vertical="center"/>
    </xf>
    <xf numFmtId="166" fontId="13" fillId="2" borderId="0" xfId="2" applyNumberFormat="1" applyFont="1" applyFill="1" applyAlignment="1">
      <alignment horizontal="right" vertical="center" readingOrder="2"/>
    </xf>
    <xf numFmtId="166" fontId="28" fillId="2" borderId="0" xfId="2" applyNumberFormat="1" applyFont="1" applyFill="1" applyAlignment="1">
      <alignment horizontal="right" vertical="center"/>
    </xf>
    <xf numFmtId="166" fontId="29" fillId="2" borderId="0" xfId="2" applyNumberFormat="1" applyFont="1" applyFill="1" applyAlignment="1">
      <alignment horizontal="right" vertical="center" indent="1"/>
    </xf>
    <xf numFmtId="166" fontId="28" fillId="2" borderId="0" xfId="2" applyNumberFormat="1" applyFont="1" applyFill="1" applyAlignment="1">
      <alignment horizontal="right" vertical="center" wrapText="1"/>
    </xf>
    <xf numFmtId="166" fontId="29" fillId="2" borderId="2" xfId="2" applyNumberFormat="1" applyFont="1" applyFill="1" applyBorder="1" applyAlignment="1">
      <alignment horizontal="right" vertical="center" indent="1"/>
    </xf>
    <xf numFmtId="166" fontId="29" fillId="2" borderId="0" xfId="2" applyNumberFormat="1" applyFont="1" applyFill="1" applyAlignment="1">
      <alignment horizontal="right" vertical="center"/>
    </xf>
    <xf numFmtId="165" fontId="33" fillId="2" borderId="0" xfId="2" applyNumberFormat="1" applyFont="1" applyFill="1" applyAlignment="1">
      <alignment horizontal="right" vertical="center"/>
    </xf>
    <xf numFmtId="166" fontId="6" fillId="2" borderId="5" xfId="2" applyNumberFormat="1" applyFont="1" applyFill="1" applyBorder="1" applyAlignment="1">
      <alignment horizontal="right" vertical="center" indent="4"/>
    </xf>
    <xf numFmtId="165" fontId="28" fillId="2" borderId="0" xfId="2" applyNumberFormat="1" applyFont="1" applyFill="1" applyAlignment="1">
      <alignment horizontal="right" vertical="center"/>
    </xf>
    <xf numFmtId="0" fontId="10" fillId="2" borderId="7" xfId="3" applyFont="1" applyFill="1" applyBorder="1" applyAlignment="1">
      <alignment horizontal="center"/>
    </xf>
    <xf numFmtId="165" fontId="6" fillId="2" borderId="13" xfId="2" applyNumberFormat="1" applyFont="1" applyFill="1" applyBorder="1" applyAlignment="1">
      <alignment horizontal="center" vertical="center"/>
    </xf>
    <xf numFmtId="166" fontId="6" fillId="2" borderId="4" xfId="2" applyNumberFormat="1" applyFont="1" applyFill="1" applyBorder="1" applyAlignment="1">
      <alignment horizontal="right" vertical="center" indent="4"/>
    </xf>
    <xf numFmtId="166" fontId="13" fillId="2" borderId="0" xfId="2" applyNumberFormat="1" applyFont="1" applyFill="1" applyAlignment="1">
      <alignment horizontal="right" vertical="center" indent="1"/>
    </xf>
    <xf numFmtId="168" fontId="35" fillId="2" borderId="0" xfId="1" applyNumberFormat="1" applyFont="1" applyFill="1" applyAlignment="1">
      <alignment horizontal="center" vertical="center"/>
    </xf>
    <xf numFmtId="168" fontId="15" fillId="2" borderId="0" xfId="1" applyNumberFormat="1" applyFont="1" applyFill="1" applyAlignment="1">
      <alignment horizontal="center" vertical="center"/>
    </xf>
    <xf numFmtId="165" fontId="17" fillId="2" borderId="6" xfId="2" applyNumberFormat="1" applyFont="1" applyFill="1" applyBorder="1" applyAlignment="1">
      <alignment horizontal="right" vertical="center"/>
    </xf>
    <xf numFmtId="165" fontId="17" fillId="2" borderId="10" xfId="2" applyNumberFormat="1" applyFont="1" applyFill="1" applyBorder="1" applyAlignment="1">
      <alignment horizontal="right" vertical="center"/>
    </xf>
    <xf numFmtId="165" fontId="6" fillId="2" borderId="7" xfId="2" applyNumberFormat="1" applyFont="1" applyFill="1" applyBorder="1" applyAlignment="1" applyProtection="1">
      <alignment horizontal="right" vertical="center"/>
      <protection locked="0"/>
    </xf>
    <xf numFmtId="165" fontId="6" fillId="2" borderId="14" xfId="2" applyNumberFormat="1" applyFont="1" applyFill="1" applyBorder="1" applyAlignment="1" applyProtection="1">
      <alignment horizontal="right" vertical="center"/>
      <protection locked="0"/>
    </xf>
    <xf numFmtId="165" fontId="6" fillId="2" borderId="13" xfId="2" applyNumberFormat="1" applyFont="1" applyFill="1" applyBorder="1" applyAlignment="1">
      <alignment horizontal="right" vertical="center"/>
    </xf>
    <xf numFmtId="165" fontId="6" fillId="2" borderId="12" xfId="2" applyNumberFormat="1" applyFont="1" applyFill="1" applyBorder="1" applyAlignment="1">
      <alignment horizontal="right" vertical="center"/>
    </xf>
    <xf numFmtId="166" fontId="6" fillId="2" borderId="4" xfId="2" applyNumberFormat="1" applyFont="1" applyFill="1" applyBorder="1" applyAlignment="1">
      <alignment horizontal="right" vertical="center"/>
    </xf>
    <xf numFmtId="166" fontId="6" fillId="2" borderId="8" xfId="2" applyNumberFormat="1" applyFont="1" applyFill="1" applyBorder="1" applyAlignment="1">
      <alignment horizontal="right" vertical="center"/>
    </xf>
    <xf numFmtId="166" fontId="11" fillId="2" borderId="4" xfId="2" applyNumberFormat="1" applyFont="1" applyFill="1" applyBorder="1" applyAlignment="1">
      <alignment horizontal="right" vertical="center"/>
    </xf>
    <xf numFmtId="166" fontId="11" fillId="2" borderId="8" xfId="2" applyNumberFormat="1" applyFont="1" applyFill="1" applyBorder="1" applyAlignment="1">
      <alignment horizontal="right" vertical="center"/>
    </xf>
    <xf numFmtId="166" fontId="6" fillId="2" borderId="4" xfId="2" applyNumberFormat="1" applyFont="1" applyFill="1" applyBorder="1" applyAlignment="1" applyProtection="1">
      <alignment horizontal="right" vertical="center"/>
      <protection locked="0"/>
    </xf>
    <xf numFmtId="166" fontId="6" fillId="2" borderId="8" xfId="2" applyNumberFormat="1" applyFont="1" applyFill="1" applyBorder="1" applyAlignment="1" applyProtection="1">
      <alignment horizontal="right" vertical="center"/>
      <protection locked="0"/>
    </xf>
    <xf numFmtId="165" fontId="6" fillId="2" borderId="11" xfId="2" applyNumberFormat="1" applyFont="1" applyFill="1" applyBorder="1" applyAlignment="1" applyProtection="1">
      <alignment horizontal="right" vertical="center"/>
      <protection locked="0"/>
    </xf>
    <xf numFmtId="166" fontId="6" fillId="2" borderId="5" xfId="2" applyNumberFormat="1" applyFont="1" applyFill="1" applyBorder="1" applyAlignment="1" applyProtection="1">
      <alignment horizontal="right" vertical="center"/>
      <protection locked="0"/>
    </xf>
    <xf numFmtId="166" fontId="6" fillId="2" borderId="9" xfId="2" applyNumberFormat="1" applyFont="1" applyFill="1" applyBorder="1" applyAlignment="1" applyProtection="1">
      <alignment horizontal="right" vertical="center"/>
      <protection locked="0"/>
    </xf>
    <xf numFmtId="165" fontId="6" fillId="2" borderId="8" xfId="2" applyNumberFormat="1" applyFont="1" applyFill="1" applyBorder="1" applyAlignment="1" applyProtection="1">
      <alignment horizontal="right" vertical="center"/>
      <protection locked="0"/>
    </xf>
    <xf numFmtId="165" fontId="37" fillId="2" borderId="6" xfId="2" applyNumberFormat="1" applyFont="1" applyFill="1" applyBorder="1" applyAlignment="1">
      <alignment horizontal="center" vertical="center"/>
    </xf>
    <xf numFmtId="165" fontId="6" fillId="2" borderId="9" xfId="2" applyNumberFormat="1" applyFont="1" applyFill="1" applyBorder="1" applyAlignment="1">
      <alignment horizontal="right" vertical="center"/>
    </xf>
    <xf numFmtId="166" fontId="11" fillId="2" borderId="4" xfId="2" applyNumberFormat="1" applyFont="1" applyFill="1" applyBorder="1" applyAlignment="1">
      <alignment horizontal="right" vertical="center" indent="4"/>
    </xf>
    <xf numFmtId="0" fontId="41" fillId="2" borderId="0" xfId="44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165" fontId="6" fillId="2" borderId="0" xfId="2" applyNumberFormat="1" applyFont="1" applyFill="1" applyAlignment="1">
      <alignment horizontal="left" vertical="center"/>
    </xf>
    <xf numFmtId="165" fontId="6" fillId="2" borderId="1" xfId="2" applyNumberFormat="1" applyFont="1" applyFill="1" applyBorder="1" applyAlignment="1">
      <alignment horizontal="left" vertical="center"/>
    </xf>
    <xf numFmtId="165" fontId="6" fillId="2" borderId="3" xfId="2" applyNumberFormat="1" applyFont="1" applyFill="1" applyBorder="1" applyAlignment="1">
      <alignment horizontal="left" vertical="center"/>
    </xf>
    <xf numFmtId="165" fontId="28" fillId="2" borderId="3" xfId="2" applyNumberFormat="1" applyFont="1" applyFill="1" applyBorder="1" applyAlignment="1">
      <alignment horizontal="right" vertical="center"/>
    </xf>
    <xf numFmtId="165" fontId="28" fillId="2" borderId="0" xfId="2" applyNumberFormat="1" applyFont="1" applyFill="1" applyAlignment="1">
      <alignment horizontal="right" vertical="center"/>
    </xf>
    <xf numFmtId="165" fontId="28" fillId="2" borderId="1" xfId="2" applyNumberFormat="1" applyFont="1" applyFill="1" applyBorder="1" applyAlignment="1">
      <alignment horizontal="right" vertical="center"/>
    </xf>
    <xf numFmtId="165" fontId="24" fillId="2" borderId="0" xfId="2" applyNumberFormat="1" applyFont="1" applyFill="1" applyAlignment="1">
      <alignment horizontal="center" vertical="center"/>
    </xf>
    <xf numFmtId="165" fontId="6" fillId="2" borderId="0" xfId="2" applyNumberFormat="1" applyFont="1" applyFill="1" applyAlignment="1">
      <alignment horizontal="center" vertical="center" wrapText="1"/>
    </xf>
    <xf numFmtId="165" fontId="6" fillId="2" borderId="0" xfId="2" applyNumberFormat="1" applyFont="1" applyFill="1" applyAlignment="1">
      <alignment horizontal="center" vertical="center"/>
    </xf>
    <xf numFmtId="165" fontId="28" fillId="2" borderId="0" xfId="2" applyNumberFormat="1" applyFont="1" applyFill="1" applyAlignment="1">
      <alignment horizontal="center" vertical="center" wrapText="1"/>
    </xf>
  </cellXfs>
  <cellStyles count="59">
    <cellStyle name="1" xfId="28" xr:uid="{76C201CC-CE73-4C90-9A06-45154FB055B6}"/>
    <cellStyle name="Comma" xfId="1" builtinId="3"/>
    <cellStyle name="Comma 12" xfId="23" xr:uid="{00000000-0005-0000-0000-000001000000}"/>
    <cellStyle name="Comma 2" xfId="7" xr:uid="{00000000-0005-0000-0000-000001000000}"/>
    <cellStyle name="Comma 2 2" xfId="42" xr:uid="{401DC34A-E408-43FB-920C-9F9457BBD147}"/>
    <cellStyle name="Comma 2 2 2 5" xfId="51" xr:uid="{C1998303-8CA9-4025-BBE6-2743187CFDE4}"/>
    <cellStyle name="Comma 3" xfId="8" xr:uid="{00000000-0005-0000-0000-000002000000}"/>
    <cellStyle name="Comma 3 2" xfId="18" xr:uid="{00000000-0005-0000-0000-000003000000}"/>
    <cellStyle name="Comma 3 3" xfId="29" xr:uid="{587BCFD8-56D5-4FBB-8089-D1FA3A44EB34}"/>
    <cellStyle name="Comma 4" xfId="4" xr:uid="{00000000-0005-0000-0000-000004000000}"/>
    <cellStyle name="Comma 4 2" xfId="15" xr:uid="{00000000-0005-0000-0000-000005000000}"/>
    <cellStyle name="Comma 5" xfId="13" xr:uid="{00000000-0005-0000-0000-000006000000}"/>
    <cellStyle name="Comma 6" xfId="10" xr:uid="{00000000-0005-0000-0000-000007000000}"/>
    <cellStyle name="Comma 6 2" xfId="19" xr:uid="{00000000-0005-0000-0000-000008000000}"/>
    <cellStyle name="Comma 7" xfId="17" xr:uid="{00000000-0005-0000-0000-000009000000}"/>
    <cellStyle name="Comma 8" xfId="21" xr:uid="{00000000-0005-0000-0000-000042000000}"/>
    <cellStyle name="Excel Built-in Comma" xfId="6" xr:uid="{00000000-0005-0000-0000-00000B000000}"/>
    <cellStyle name="Excel Built-in Normal" xfId="5" xr:uid="{00000000-0005-0000-0000-00000C000000}"/>
    <cellStyle name="Normal" xfId="0" builtinId="0"/>
    <cellStyle name="Normal - Style1" xfId="30" xr:uid="{21F155A8-D425-4D1F-A85A-FD58B1360E62}"/>
    <cellStyle name="Normal 10" xfId="36" xr:uid="{2251A4FB-7386-4678-98C9-A0E23F878238}"/>
    <cellStyle name="Normal 11" xfId="48" xr:uid="{9582D04E-875D-4DE3-908C-3ECA3108442F}"/>
    <cellStyle name="Normal 12" xfId="50" xr:uid="{7BDE0B17-3A1C-4BD7-AEBA-0438F96E5400}"/>
    <cellStyle name="Normal 2" xfId="11" xr:uid="{00000000-0005-0000-0000-00000E000000}"/>
    <cellStyle name="Normal 2 2" xfId="14" xr:uid="{00000000-0005-0000-0000-00000F000000}"/>
    <cellStyle name="Normal 2 2 2" xfId="43" xr:uid="{ECE45599-994F-46DE-A353-173A52965C39}"/>
    <cellStyle name="Normal 2 2 3" xfId="45" xr:uid="{0FB9ECEA-81FF-47B0-A742-A6C8A1BA9786}"/>
    <cellStyle name="Normal 2 2 4" xfId="31" xr:uid="{CA2057B4-D096-4E2A-B8D3-7799F40CDCDF}"/>
    <cellStyle name="Normal 2 3" xfId="47" xr:uid="{5A67DC5E-9F30-4A95-B733-839FDE9B34E7}"/>
    <cellStyle name="Normal 2 3 2" xfId="58" xr:uid="{E5A9AC09-5435-4E9A-A06F-A62114A3F143}"/>
    <cellStyle name="Normal 2 4" xfId="49" xr:uid="{7F956B19-D6FC-4ACB-93F4-A106F7FCAEBA}"/>
    <cellStyle name="Normal 2 5" xfId="53" xr:uid="{AFE3908C-F555-453F-B7F4-C3FC3DEEF335}"/>
    <cellStyle name="Normal 2 6" xfId="24" xr:uid="{37BD0034-645C-4E71-A766-2DE0AEE16E0E}"/>
    <cellStyle name="Normal 3" xfId="12" xr:uid="{00000000-0005-0000-0000-000010000000}"/>
    <cellStyle name="Normal 3 2" xfId="46" xr:uid="{9ACADF21-8D9B-4891-8B3A-D260CB96916C}"/>
    <cellStyle name="Normal 3 2 2" xfId="55" xr:uid="{ABE75BC1-D598-4C3E-A268-C2F3BEC5DED4}"/>
    <cellStyle name="Normal 3 3" xfId="32" xr:uid="{F8308880-5534-464F-A897-838FC621FD98}"/>
    <cellStyle name="Normal 4" xfId="9" xr:uid="{00000000-0005-0000-0000-000011000000}"/>
    <cellStyle name="Normal 4 2" xfId="33" xr:uid="{FD6CE16F-03C2-4F44-B7D5-AEE34D23CAEF}"/>
    <cellStyle name="Normal 4 2 2" xfId="38" xr:uid="{AC3E1205-E5E6-4BEC-BBAC-30D4E3F85F90}"/>
    <cellStyle name="Normal 4 3" xfId="54" xr:uid="{703EEAFC-2F39-496A-A967-016F8A073FE2}"/>
    <cellStyle name="Normal 4 4" xfId="37" xr:uid="{D381B2D1-C641-4605-9377-1453EF5BEF1D}"/>
    <cellStyle name="Normal 5" xfId="20" xr:uid="{00000000-0005-0000-0000-000044000000}"/>
    <cellStyle name="Normal 5 2" xfId="26" xr:uid="{B8478FC9-83F0-40FB-8D3B-7CE8C4ED9CE8}"/>
    <cellStyle name="Normal 5 3" xfId="52" xr:uid="{6845A12F-956A-4FEA-B3F9-F9DFDC1143DC}"/>
    <cellStyle name="Normal 5 4" xfId="34" xr:uid="{1A1BA996-816C-426D-A44E-086452E39853}"/>
    <cellStyle name="Normal 6" xfId="39" xr:uid="{537D1B7F-A8D5-4B47-ACEF-1B56FCDA85A4}"/>
    <cellStyle name="Normal 6 2" xfId="56" xr:uid="{371F882D-7ABA-493A-93C2-DF9245042166}"/>
    <cellStyle name="Normal 7" xfId="40" xr:uid="{A0477F47-C7F1-420C-BA39-0A110B8F4F9A}"/>
    <cellStyle name="Normal 7 2" xfId="57" xr:uid="{20342888-2651-4C3B-809A-910D8CF5EF15}"/>
    <cellStyle name="Normal 8" xfId="41" xr:uid="{02DDA442-E220-4FB8-A535-9AE277C5A1B0}"/>
    <cellStyle name="Normal 9" xfId="27" xr:uid="{9C024FEA-FF16-4D19-8907-509BF0B2C81C}"/>
    <cellStyle name="Normal_13 Public Finance_done" xfId="2" xr:uid="{00000000-0005-0000-0000-000012000000}"/>
    <cellStyle name="Normal_Quick data" xfId="44" xr:uid="{1E46A910-68F5-4632-8962-5BA930C5C547}"/>
    <cellStyle name="Normal_X-5 (Electricity)" xfId="3" xr:uid="{00000000-0005-0000-0000-000013000000}"/>
    <cellStyle name="Percent 2" xfId="16" xr:uid="{00000000-0005-0000-0000-000015000000}"/>
    <cellStyle name="Percent 2 2" xfId="25" xr:uid="{01D89AF1-CAA9-4D85-826B-6E38F663403B}"/>
    <cellStyle name="Percent 2 3" xfId="35" xr:uid="{D6DF988E-6E24-438E-83F6-6BF240646EE9}"/>
    <cellStyle name="Percent 3" xfId="22" xr:uid="{00000000-0005-0000-0000-000045000000}"/>
  </cellStyles>
  <dxfs count="0"/>
  <tableStyles count="0" defaultTableStyle="TableStyleMedium9" defaultPivotStyle="PivotStyleLight16"/>
  <colors>
    <mruColors>
      <color rgb="FFEBF1DE"/>
      <color rgb="FFFBC99F"/>
      <color rgb="FFF5EADF"/>
      <color rgb="FFFDEADA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U38"/>
  <sheetViews>
    <sheetView tabSelected="1" zoomScale="98" zoomScaleNormal="98" zoomScaleSheetLayoutView="80" workbookViewId="0">
      <pane xSplit="5" topLeftCell="F1" activePane="topRight" state="frozen"/>
      <selection pane="topRight" activeCell="A2" sqref="A2:U2"/>
    </sheetView>
  </sheetViews>
  <sheetFormatPr defaultRowHeight="12.75"/>
  <cols>
    <col min="1" max="1" width="26.7109375" style="4" customWidth="1"/>
    <col min="2" max="4" width="8.42578125" style="26" hidden="1" customWidth="1"/>
    <col min="5" max="5" width="8.42578125" style="4" hidden="1" customWidth="1"/>
    <col min="6" max="19" width="11.5703125" style="4" customWidth="1"/>
    <col min="20" max="20" width="16.140625" style="26" customWidth="1"/>
    <col min="21" max="21" width="42.28515625" style="4" customWidth="1"/>
    <col min="22" max="16384" width="9.140625" style="4"/>
  </cols>
  <sheetData>
    <row r="1" spans="1:21" ht="18.75">
      <c r="A1" s="72" t="s">
        <v>64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</row>
    <row r="2" spans="1:21" s="26" customFormat="1" ht="27" customHeight="1">
      <c r="A2" s="73" t="s">
        <v>63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</row>
    <row r="3" spans="1:21" ht="14.25">
      <c r="A3" s="75" t="s">
        <v>0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21" s="5" customFormat="1">
      <c r="A4" s="74" t="s">
        <v>1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</row>
    <row r="5" spans="1:21" s="5" customFormat="1" ht="13.5">
      <c r="A5" s="68" t="s">
        <v>2</v>
      </c>
      <c r="B5" s="6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45"/>
      <c r="Q5" s="44"/>
      <c r="R5" s="8"/>
      <c r="S5" s="45"/>
      <c r="T5" s="60" t="s">
        <v>7</v>
      </c>
      <c r="U5" s="69" t="s">
        <v>3</v>
      </c>
    </row>
    <row r="6" spans="1:21" s="5" customFormat="1" ht="13.5" customHeight="1">
      <c r="A6" s="66"/>
      <c r="B6" s="2"/>
      <c r="C6" s="2"/>
      <c r="D6" s="2"/>
      <c r="E6" s="2"/>
      <c r="F6" s="2" t="s">
        <v>8</v>
      </c>
      <c r="G6" s="2" t="s">
        <v>8</v>
      </c>
      <c r="H6" s="2" t="s">
        <v>4</v>
      </c>
      <c r="I6" s="2" t="s">
        <v>4</v>
      </c>
      <c r="J6" s="2" t="s">
        <v>4</v>
      </c>
      <c r="K6" s="2" t="s">
        <v>4</v>
      </c>
      <c r="L6" s="2" t="s">
        <v>4</v>
      </c>
      <c r="M6" s="2" t="s">
        <v>4</v>
      </c>
      <c r="N6" s="2" t="s">
        <v>4</v>
      </c>
      <c r="O6" s="2" t="s">
        <v>4</v>
      </c>
      <c r="P6" s="59" t="s">
        <v>5</v>
      </c>
      <c r="Q6" s="46" t="s">
        <v>6</v>
      </c>
      <c r="R6" s="47" t="s">
        <v>6</v>
      </c>
      <c r="S6" s="56" t="s">
        <v>6</v>
      </c>
      <c r="T6" s="38" t="s">
        <v>9</v>
      </c>
      <c r="U6" s="70"/>
    </row>
    <row r="7" spans="1:21" s="5" customFormat="1" ht="15.75" customHeight="1">
      <c r="A7" s="67"/>
      <c r="B7" s="9">
        <v>2008</v>
      </c>
      <c r="C7" s="3">
        <v>2009</v>
      </c>
      <c r="D7" s="3">
        <v>2010</v>
      </c>
      <c r="E7" s="3">
        <v>2011</v>
      </c>
      <c r="F7" s="3">
        <v>2012</v>
      </c>
      <c r="G7" s="3">
        <v>2013</v>
      </c>
      <c r="H7" s="3">
        <v>2014</v>
      </c>
      <c r="I7" s="3">
        <v>2015</v>
      </c>
      <c r="J7" s="3">
        <v>2016</v>
      </c>
      <c r="K7" s="3">
        <v>2017</v>
      </c>
      <c r="L7" s="3">
        <v>2018</v>
      </c>
      <c r="M7" s="3">
        <v>2019</v>
      </c>
      <c r="N7" s="3">
        <v>2020</v>
      </c>
      <c r="O7" s="3">
        <v>2021</v>
      </c>
      <c r="P7" s="61">
        <v>2022</v>
      </c>
      <c r="Q7" s="48">
        <v>2023</v>
      </c>
      <c r="R7" s="3">
        <v>2024</v>
      </c>
      <c r="S7" s="49">
        <v>2025</v>
      </c>
      <c r="T7" s="39" t="s">
        <v>60</v>
      </c>
      <c r="U7" s="71"/>
    </row>
    <row r="8" spans="1:21" ht="21" customHeight="1">
      <c r="A8" s="11" t="s">
        <v>10</v>
      </c>
      <c r="B8" s="10">
        <v>7456.54</v>
      </c>
      <c r="C8" s="10">
        <f>+C9+C12</f>
        <v>5734.8352960000002</v>
      </c>
      <c r="D8" s="10">
        <v>6546.9287702799966</v>
      </c>
      <c r="E8" s="10">
        <v>9904.5614829999995</v>
      </c>
      <c r="F8" s="10">
        <f>F9+F12</f>
        <v>10138.11294952</v>
      </c>
      <c r="G8" s="10">
        <f t="shared" ref="G8:S8" si="0">G9+G12</f>
        <v>11900.748051730001</v>
      </c>
      <c r="H8" s="10">
        <f t="shared" si="0"/>
        <v>15164.227912</v>
      </c>
      <c r="I8" s="10">
        <f t="shared" si="0"/>
        <v>17306.201467370003</v>
      </c>
      <c r="J8" s="10">
        <f t="shared" si="0"/>
        <v>18578.118781009995</v>
      </c>
      <c r="K8" s="10">
        <f t="shared" si="0"/>
        <v>20258.636295000004</v>
      </c>
      <c r="L8" s="10">
        <f t="shared" si="0"/>
        <v>22222.967435000002</v>
      </c>
      <c r="M8" s="10">
        <f t="shared" si="0"/>
        <v>23231.857586999999</v>
      </c>
      <c r="N8" s="10">
        <f t="shared" si="0"/>
        <v>15221.889824000002</v>
      </c>
      <c r="O8" s="10">
        <f t="shared" si="0"/>
        <v>21353.432262999999</v>
      </c>
      <c r="P8" s="51">
        <f t="shared" si="0"/>
        <v>26361.093764000001</v>
      </c>
      <c r="Q8" s="50">
        <f t="shared" si="0"/>
        <v>32098.303043</v>
      </c>
      <c r="R8" s="10">
        <f t="shared" si="0"/>
        <v>34449.261321999991</v>
      </c>
      <c r="S8" s="51">
        <f t="shared" si="0"/>
        <v>35254.895855999996</v>
      </c>
      <c r="T8" s="40">
        <f>+((P8/O8)-1)*100</f>
        <v>23.451318922986395</v>
      </c>
      <c r="U8" s="37" t="s">
        <v>11</v>
      </c>
    </row>
    <row r="9" spans="1:21" ht="21" customHeight="1">
      <c r="A9" s="11" t="s">
        <v>12</v>
      </c>
      <c r="B9" s="10">
        <f>SUM(B10:B11)</f>
        <v>6939.54</v>
      </c>
      <c r="C9" s="10">
        <f>SUM(C10:C11)</f>
        <v>5313.319469</v>
      </c>
      <c r="D9" s="10">
        <f>SUM(D10:D11)</f>
        <v>6392.3855347199969</v>
      </c>
      <c r="E9" s="10">
        <v>9172.1262260000003</v>
      </c>
      <c r="F9" s="10">
        <f t="shared" ref="F9:K9" si="1">SUM(F10:F11)</f>
        <v>9771.4430765199995</v>
      </c>
      <c r="G9" s="10">
        <f t="shared" si="1"/>
        <v>11783.092824200001</v>
      </c>
      <c r="H9" s="10">
        <f t="shared" si="1"/>
        <v>14998.954087</v>
      </c>
      <c r="I9" s="10">
        <f t="shared" si="1"/>
        <v>16669.260271000003</v>
      </c>
      <c r="J9" s="10">
        <f t="shared" si="1"/>
        <v>18324.993013089996</v>
      </c>
      <c r="K9" s="10">
        <f t="shared" si="1"/>
        <v>19914.872814000002</v>
      </c>
      <c r="L9" s="10">
        <f>SUM(L10:L11)</f>
        <v>21403.159912000003</v>
      </c>
      <c r="M9" s="10">
        <v>22076.971195999999</v>
      </c>
      <c r="N9" s="10">
        <v>14263.897212000002</v>
      </c>
      <c r="O9" s="10">
        <v>20321.584273</v>
      </c>
      <c r="P9" s="51">
        <v>25768.838785</v>
      </c>
      <c r="Q9" s="50">
        <v>29636.155456</v>
      </c>
      <c r="R9" s="10">
        <v>31985.458556999994</v>
      </c>
      <c r="S9" s="51">
        <v>34849.996308999995</v>
      </c>
      <c r="T9" s="40">
        <f t="shared" ref="T9:T28" si="2">+((P9/O9)-1)*100</f>
        <v>26.805264977482189</v>
      </c>
      <c r="U9" s="30" t="s">
        <v>13</v>
      </c>
    </row>
    <row r="10" spans="1:21" ht="21" customHeight="1">
      <c r="A10" s="12" t="s">
        <v>14</v>
      </c>
      <c r="B10" s="13">
        <v>6897.24</v>
      </c>
      <c r="C10" s="13">
        <v>5299.4316959999996</v>
      </c>
      <c r="D10" s="13">
        <v>6343.0314386499977</v>
      </c>
      <c r="E10" s="13">
        <v>8637.6616890000005</v>
      </c>
      <c r="F10" s="13">
        <v>9723.3702617999988</v>
      </c>
      <c r="G10" s="13">
        <v>11514.974798200001</v>
      </c>
      <c r="H10" s="13">
        <v>14874.843471</v>
      </c>
      <c r="I10" s="13">
        <v>16548.977957000003</v>
      </c>
      <c r="J10" s="13">
        <v>17455.631974769996</v>
      </c>
      <c r="K10" s="13">
        <v>19337.288926000001</v>
      </c>
      <c r="L10" s="13">
        <v>21037.005152000002</v>
      </c>
      <c r="M10" s="13">
        <v>22021.574255</v>
      </c>
      <c r="N10" s="13">
        <v>14248.325279999999</v>
      </c>
      <c r="O10" s="13">
        <v>20278.271041</v>
      </c>
      <c r="P10" s="53">
        <v>25594.358755000001</v>
      </c>
      <c r="Q10" s="52">
        <v>29617.667689000002</v>
      </c>
      <c r="R10" s="13">
        <v>31966.963922999996</v>
      </c>
      <c r="S10" s="53">
        <v>34831.376408999997</v>
      </c>
      <c r="T10" s="62">
        <f t="shared" si="2"/>
        <v>26.215685268490454</v>
      </c>
      <c r="U10" s="31" t="s">
        <v>15</v>
      </c>
    </row>
    <row r="11" spans="1:21" ht="21" customHeight="1">
      <c r="A11" s="12" t="s">
        <v>16</v>
      </c>
      <c r="B11" s="13">
        <v>42.3</v>
      </c>
      <c r="C11" s="13">
        <v>13.887772999999999</v>
      </c>
      <c r="D11" s="13">
        <v>49.354096069998995</v>
      </c>
      <c r="E11" s="13">
        <v>534.46453699999995</v>
      </c>
      <c r="F11" s="13">
        <v>48.072814719999997</v>
      </c>
      <c r="G11" s="13">
        <v>268.11802599999999</v>
      </c>
      <c r="H11" s="13">
        <v>124.11061599999999</v>
      </c>
      <c r="I11" s="13">
        <v>120.282314</v>
      </c>
      <c r="J11" s="13">
        <v>869.36103832000015</v>
      </c>
      <c r="K11" s="13">
        <v>577.583888</v>
      </c>
      <c r="L11" s="13">
        <v>366.15476000000001</v>
      </c>
      <c r="M11" s="13">
        <v>55.396940999999998</v>
      </c>
      <c r="N11" s="13">
        <v>15.571932</v>
      </c>
      <c r="O11" s="13">
        <v>43.313231999999999</v>
      </c>
      <c r="P11" s="53">
        <v>174.48003</v>
      </c>
      <c r="Q11" s="52">
        <v>18.487767000000002</v>
      </c>
      <c r="R11" s="13">
        <v>18.494634000000001</v>
      </c>
      <c r="S11" s="53">
        <v>18.619900000000001</v>
      </c>
      <c r="T11" s="64" t="s">
        <v>61</v>
      </c>
      <c r="U11" s="31" t="s">
        <v>17</v>
      </c>
    </row>
    <row r="12" spans="1:21" s="5" customFormat="1" ht="21" customHeight="1">
      <c r="A12" s="14" t="s">
        <v>18</v>
      </c>
      <c r="B12" s="10">
        <v>517</v>
      </c>
      <c r="C12" s="10">
        <v>421.515827</v>
      </c>
      <c r="D12" s="10">
        <v>154.54323556</v>
      </c>
      <c r="E12" s="10">
        <v>732.43525699999998</v>
      </c>
      <c r="F12" s="10">
        <v>366.669873</v>
      </c>
      <c r="G12" s="10">
        <v>117.65522753</v>
      </c>
      <c r="H12" s="10">
        <v>165.27382499999999</v>
      </c>
      <c r="I12" s="10">
        <v>636.94119636999983</v>
      </c>
      <c r="J12" s="10">
        <v>253.12576791999993</v>
      </c>
      <c r="K12" s="10">
        <v>343.76348099999996</v>
      </c>
      <c r="L12" s="10">
        <v>819.80752300000006</v>
      </c>
      <c r="M12" s="10">
        <v>1154.886391</v>
      </c>
      <c r="N12" s="10">
        <v>957.99261200000001</v>
      </c>
      <c r="O12" s="10">
        <v>1031.84799</v>
      </c>
      <c r="P12" s="51">
        <v>592.25497899999993</v>
      </c>
      <c r="Q12" s="50">
        <v>2462.1475869999999</v>
      </c>
      <c r="R12" s="10">
        <v>2463.8027649999999</v>
      </c>
      <c r="S12" s="51">
        <v>404.89954699999998</v>
      </c>
      <c r="T12" s="40">
        <f t="shared" si="2"/>
        <v>-42.602497195347546</v>
      </c>
      <c r="U12" s="30" t="s">
        <v>19</v>
      </c>
    </row>
    <row r="13" spans="1:21" ht="21" customHeight="1">
      <c r="A13" s="14" t="s">
        <v>20</v>
      </c>
      <c r="B13" s="10">
        <v>10176.000000000002</v>
      </c>
      <c r="C13" s="10">
        <f>+C14+C17</f>
        <v>10953.434156000003</v>
      </c>
      <c r="D13" s="10">
        <v>10815.062102899999</v>
      </c>
      <c r="E13" s="10">
        <v>12264.726665999999</v>
      </c>
      <c r="F13" s="10">
        <f>F14+F17</f>
        <v>13110.002924999999</v>
      </c>
      <c r="G13" s="10">
        <f t="shared" ref="G13:S13" si="3">G14+G17</f>
        <v>13530.771002489999</v>
      </c>
      <c r="H13" s="10">
        <f t="shared" si="3"/>
        <v>16417.211596000001</v>
      </c>
      <c r="I13" s="10">
        <f t="shared" si="3"/>
        <v>21336.878134909999</v>
      </c>
      <c r="J13" s="10">
        <f t="shared" si="3"/>
        <v>25262.973192969996</v>
      </c>
      <c r="K13" s="10">
        <f t="shared" si="3"/>
        <v>22420.18677</v>
      </c>
      <c r="L13" s="10">
        <f t="shared" si="3"/>
        <v>26418.667526999998</v>
      </c>
      <c r="M13" s="10">
        <f t="shared" si="3"/>
        <v>28919.533213000002</v>
      </c>
      <c r="N13" s="10">
        <f t="shared" si="3"/>
        <v>28578.251746999995</v>
      </c>
      <c r="O13" s="10">
        <f t="shared" si="3"/>
        <v>32860.121911999995</v>
      </c>
      <c r="P13" s="51">
        <f t="shared" si="3"/>
        <v>39716.769733000001</v>
      </c>
      <c r="Q13" s="50">
        <f t="shared" si="3"/>
        <v>40465.085200999994</v>
      </c>
      <c r="R13" s="10">
        <f t="shared" si="3"/>
        <v>43898.588502999992</v>
      </c>
      <c r="S13" s="51">
        <f t="shared" si="3"/>
        <v>40266.847272000006</v>
      </c>
      <c r="T13" s="40">
        <f t="shared" si="2"/>
        <v>20.866166715273415</v>
      </c>
      <c r="U13" s="30" t="s">
        <v>21</v>
      </c>
    </row>
    <row r="14" spans="1:21" ht="21" customHeight="1">
      <c r="A14" s="14" t="s">
        <v>22</v>
      </c>
      <c r="B14" s="10">
        <f>SUM(B15:B16)</f>
        <v>10342.400000000001</v>
      </c>
      <c r="C14" s="10">
        <f>SUM(C15:C16)</f>
        <v>11104.270489000002</v>
      </c>
      <c r="D14" s="10">
        <f>SUM(D15:D16)</f>
        <v>10996.362102899999</v>
      </c>
      <c r="E14" s="10">
        <v>12663.726665999999</v>
      </c>
      <c r="F14" s="10">
        <f>SUM(F15:F16)</f>
        <v>13200.234560999999</v>
      </c>
      <c r="G14" s="10">
        <f t="shared" ref="G14:S14" si="4">SUM(G15:G16)</f>
        <v>13666.256009489998</v>
      </c>
      <c r="H14" s="10">
        <f t="shared" si="4"/>
        <v>16539.373646</v>
      </c>
      <c r="I14" s="10">
        <f t="shared" si="4"/>
        <v>21440.896380909999</v>
      </c>
      <c r="J14" s="10">
        <f t="shared" si="4"/>
        <v>25306.509388119997</v>
      </c>
      <c r="K14" s="10">
        <f t="shared" si="4"/>
        <v>22497.557322000001</v>
      </c>
      <c r="L14" s="10">
        <f t="shared" si="4"/>
        <v>26522.292830999999</v>
      </c>
      <c r="M14" s="10">
        <f t="shared" si="4"/>
        <v>28994.730041000003</v>
      </c>
      <c r="N14" s="10">
        <f t="shared" si="4"/>
        <v>28753.534202999996</v>
      </c>
      <c r="O14" s="10">
        <f t="shared" si="4"/>
        <v>32859.391651999998</v>
      </c>
      <c r="P14" s="51">
        <f t="shared" si="4"/>
        <v>39992.198915000001</v>
      </c>
      <c r="Q14" s="50">
        <f t="shared" si="4"/>
        <v>40718.281799999997</v>
      </c>
      <c r="R14" s="10">
        <f t="shared" si="4"/>
        <v>44224.414381999995</v>
      </c>
      <c r="S14" s="51">
        <f t="shared" si="4"/>
        <v>40594.644675000003</v>
      </c>
      <c r="T14" s="40">
        <f t="shared" si="2"/>
        <v>21.70705817849754</v>
      </c>
      <c r="U14" s="30" t="s">
        <v>23</v>
      </c>
    </row>
    <row r="15" spans="1:21" ht="21" customHeight="1">
      <c r="A15" s="12" t="s">
        <v>24</v>
      </c>
      <c r="B15" s="13">
        <v>7463.2000000000007</v>
      </c>
      <c r="C15" s="13">
        <v>8764.9308290000008</v>
      </c>
      <c r="D15" s="13">
        <v>8428.0733739999996</v>
      </c>
      <c r="E15" s="13">
        <v>9075.7434510000003</v>
      </c>
      <c r="F15" s="13">
        <v>10316.485255</v>
      </c>
      <c r="G15" s="13">
        <v>11573.214585849999</v>
      </c>
      <c r="H15" s="13">
        <v>13959.968519999999</v>
      </c>
      <c r="I15" s="13">
        <v>16733.74419112</v>
      </c>
      <c r="J15" s="13">
        <v>16141.004692499997</v>
      </c>
      <c r="K15" s="13">
        <v>14955.176706</v>
      </c>
      <c r="L15" s="13">
        <v>18268.036271999998</v>
      </c>
      <c r="M15" s="13">
        <v>21371.957551</v>
      </c>
      <c r="N15" s="13">
        <v>20307.427750999996</v>
      </c>
      <c r="O15" s="13">
        <v>24036.506501</v>
      </c>
      <c r="P15" s="53">
        <v>27894.520924999997</v>
      </c>
      <c r="Q15" s="52">
        <v>28636.819510999998</v>
      </c>
      <c r="R15" s="13">
        <v>30663.150013999999</v>
      </c>
      <c r="S15" s="53">
        <v>32316.459127000006</v>
      </c>
      <c r="T15" s="62">
        <f t="shared" si="2"/>
        <v>16.050645395742059</v>
      </c>
      <c r="U15" s="31" t="s">
        <v>25</v>
      </c>
    </row>
    <row r="16" spans="1:21" s="15" customFormat="1" ht="21" customHeight="1">
      <c r="A16" s="12" t="s">
        <v>26</v>
      </c>
      <c r="B16" s="13">
        <v>2879.2</v>
      </c>
      <c r="C16" s="13">
        <v>2339.3396600000005</v>
      </c>
      <c r="D16" s="13">
        <v>2568.2887288999996</v>
      </c>
      <c r="E16" s="13">
        <v>3587.9832149999993</v>
      </c>
      <c r="F16" s="13">
        <v>2883.7493059999997</v>
      </c>
      <c r="G16" s="13">
        <v>2093.0414236399993</v>
      </c>
      <c r="H16" s="13">
        <v>2579.4051260000006</v>
      </c>
      <c r="I16" s="13">
        <v>4707.1521897899993</v>
      </c>
      <c r="J16" s="13">
        <v>9165.5046956200003</v>
      </c>
      <c r="K16" s="13">
        <v>7542.3806160000004</v>
      </c>
      <c r="L16" s="13">
        <v>8254.2565589999995</v>
      </c>
      <c r="M16" s="13">
        <v>7622.7724900000012</v>
      </c>
      <c r="N16" s="13">
        <v>8446.106452</v>
      </c>
      <c r="O16" s="13">
        <v>8822.8851509999986</v>
      </c>
      <c r="P16" s="53">
        <v>12097.67799</v>
      </c>
      <c r="Q16" s="52">
        <v>12081.462288999997</v>
      </c>
      <c r="R16" s="13">
        <v>13561.264367999998</v>
      </c>
      <c r="S16" s="53">
        <v>8278.1855479999995</v>
      </c>
      <c r="T16" s="62">
        <f t="shared" si="2"/>
        <v>37.117028987154299</v>
      </c>
      <c r="U16" s="31" t="s">
        <v>27</v>
      </c>
    </row>
    <row r="17" spans="1:21" s="15" customFormat="1" ht="21" customHeight="1">
      <c r="A17" s="14" t="s">
        <v>28</v>
      </c>
      <c r="B17" s="1">
        <v>-166.4</v>
      </c>
      <c r="C17" s="1">
        <v>-150.836333</v>
      </c>
      <c r="D17" s="1">
        <v>-181.3</v>
      </c>
      <c r="E17" s="1">
        <v>-399</v>
      </c>
      <c r="F17" s="1">
        <v>-90.231635999999995</v>
      </c>
      <c r="G17" s="1">
        <v>-135.485007</v>
      </c>
      <c r="H17" s="1">
        <v>-122.16204999999999</v>
      </c>
      <c r="I17" s="1">
        <v>-104.018246</v>
      </c>
      <c r="J17" s="1">
        <v>-43.536195150000012</v>
      </c>
      <c r="K17" s="1">
        <v>-77.370552000000004</v>
      </c>
      <c r="L17" s="1">
        <v>-103.625304</v>
      </c>
      <c r="M17" s="1">
        <v>-75.196827999999996</v>
      </c>
      <c r="N17" s="1">
        <v>-175.28245600000002</v>
      </c>
      <c r="O17" s="1">
        <v>0.73026000000000124</v>
      </c>
      <c r="P17" s="55">
        <v>-275.42918200000003</v>
      </c>
      <c r="Q17" s="54">
        <v>-253.19659899999999</v>
      </c>
      <c r="R17" s="1">
        <v>-325.82587899999999</v>
      </c>
      <c r="S17" s="55">
        <v>-327.79740300000003</v>
      </c>
      <c r="T17" s="65" t="s">
        <v>61</v>
      </c>
      <c r="U17" s="30" t="s">
        <v>29</v>
      </c>
    </row>
    <row r="18" spans="1:21" s="16" customFormat="1" ht="26.25" customHeight="1">
      <c r="A18" s="14" t="s">
        <v>30</v>
      </c>
      <c r="B18" s="10">
        <f>+B8-B13</f>
        <v>-2719.4600000000019</v>
      </c>
      <c r="C18" s="10">
        <f>+C8-C13</f>
        <v>-5218.5988600000028</v>
      </c>
      <c r="D18" s="10">
        <v>-4268.1333326200029</v>
      </c>
      <c r="E18" s="10">
        <v>-2360.1651829999992</v>
      </c>
      <c r="F18" s="10">
        <f>F8-F13</f>
        <v>-2971.8899754799986</v>
      </c>
      <c r="G18" s="10">
        <f>G8-G14</f>
        <v>-1765.5079577599972</v>
      </c>
      <c r="H18" s="10">
        <f>H8-H14</f>
        <v>-1375.1457339999997</v>
      </c>
      <c r="I18" s="10">
        <f>I8-I14</f>
        <v>-4134.6949135399955</v>
      </c>
      <c r="J18" s="10">
        <v>-6728.3906071100027</v>
      </c>
      <c r="K18" s="10">
        <v>-2238.9210269999967</v>
      </c>
      <c r="L18" s="10">
        <v>-4299.3253959999965</v>
      </c>
      <c r="M18" s="10">
        <v>-5762.8724540000039</v>
      </c>
      <c r="N18" s="10">
        <v>-13531.644378999994</v>
      </c>
      <c r="O18" s="10">
        <v>-11505.959389</v>
      </c>
      <c r="P18" s="51">
        <v>-13631.105151</v>
      </c>
      <c r="Q18" s="50">
        <v>-8619.9787569999971</v>
      </c>
      <c r="R18" s="10">
        <v>-9775.1530600000042</v>
      </c>
      <c r="S18" s="51">
        <v>-5339.7488190000076</v>
      </c>
      <c r="T18" s="40">
        <f t="shared" si="2"/>
        <v>18.469957090511691</v>
      </c>
      <c r="U18" s="32" t="s">
        <v>31</v>
      </c>
    </row>
    <row r="19" spans="1:21" s="16" customFormat="1" ht="26.25" customHeight="1">
      <c r="A19" s="14" t="s">
        <v>32</v>
      </c>
      <c r="B19" s="10">
        <v>-2439.4600000000019</v>
      </c>
      <c r="C19" s="10">
        <v>-4600.7200820000025</v>
      </c>
      <c r="D19" s="10">
        <v>-3592.3513126200028</v>
      </c>
      <c r="E19" s="10">
        <v>-1634.3804499999992</v>
      </c>
      <c r="F19" s="10">
        <v>-1864.8087464799987</v>
      </c>
      <c r="G19" s="10">
        <v>-808.78176075999909</v>
      </c>
      <c r="H19" s="10">
        <v>-396.79836499999976</v>
      </c>
      <c r="I19" s="10">
        <v>-2787.0450525399956</v>
      </c>
      <c r="J19" s="10">
        <v>-5546.1014912900027</v>
      </c>
      <c r="K19" s="10">
        <v>-1141.9743679999967</v>
      </c>
      <c r="L19" s="10">
        <v>-2859.0684689999966</v>
      </c>
      <c r="M19" s="10">
        <v>-4222.0593300000037</v>
      </c>
      <c r="N19" s="10">
        <v>-11927.785244999994</v>
      </c>
      <c r="O19" s="10">
        <v>-9401.4938469999997</v>
      </c>
      <c r="P19" s="51">
        <v>-10396.662358</v>
      </c>
      <c r="Q19" s="50">
        <v>-5183.1304199999977</v>
      </c>
      <c r="R19" s="10">
        <v>-5946.884095000004</v>
      </c>
      <c r="S19" s="51">
        <v>-1258.3249060000076</v>
      </c>
      <c r="T19" s="40">
        <f t="shared" si="2"/>
        <v>10.585216851655499</v>
      </c>
      <c r="U19" s="32" t="s">
        <v>33</v>
      </c>
    </row>
    <row r="20" spans="1:21" ht="12.75" customHeight="1">
      <c r="A20" s="1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55"/>
      <c r="Q20" s="54"/>
      <c r="R20" s="1"/>
      <c r="S20" s="55"/>
      <c r="T20" s="40"/>
      <c r="U20" s="30"/>
    </row>
    <row r="21" spans="1:21" s="16" customFormat="1" ht="21" customHeight="1">
      <c r="A21" s="14" t="s">
        <v>34</v>
      </c>
      <c r="B21" s="17">
        <f t="shared" ref="B21:J21" si="5">+B22+B28</f>
        <v>2719.4</v>
      </c>
      <c r="C21" s="17">
        <f t="shared" si="5"/>
        <v>5218.5418559999998</v>
      </c>
      <c r="D21" s="17">
        <f t="shared" si="5"/>
        <v>4268.1000000000004</v>
      </c>
      <c r="E21" s="17">
        <f t="shared" si="5"/>
        <v>2360.0889139999999</v>
      </c>
      <c r="F21" s="17">
        <f>+F22+F28</f>
        <v>2971.889975</v>
      </c>
      <c r="G21" s="10">
        <f t="shared" si="5"/>
        <v>1765.5079579999997</v>
      </c>
      <c r="H21" s="10">
        <f t="shared" si="5"/>
        <v>1375.1457340000004</v>
      </c>
      <c r="I21" s="10">
        <f t="shared" si="5"/>
        <v>4134.694913360001</v>
      </c>
      <c r="J21" s="10">
        <f t="shared" si="5"/>
        <v>6728.4460148500111</v>
      </c>
      <c r="K21" s="10">
        <f>SUM(K22,K28)</f>
        <v>2238.8918629999998</v>
      </c>
      <c r="L21" s="10">
        <f t="shared" ref="L21:S21" si="6">SUM(L22,L28)</f>
        <v>4299.8753960000004</v>
      </c>
      <c r="M21" s="10">
        <f t="shared" si="6"/>
        <v>5762.9349990000001</v>
      </c>
      <c r="N21" s="10">
        <f t="shared" si="6"/>
        <v>13531.644378999999</v>
      </c>
      <c r="O21" s="10">
        <f t="shared" si="6"/>
        <v>11505.959389000001</v>
      </c>
      <c r="P21" s="51">
        <f t="shared" si="6"/>
        <v>13631.105151</v>
      </c>
      <c r="Q21" s="50">
        <f t="shared" si="6"/>
        <v>8619.9787570000008</v>
      </c>
      <c r="R21" s="10">
        <f t="shared" si="6"/>
        <v>9775.1530599999987</v>
      </c>
      <c r="S21" s="51">
        <f t="shared" si="6"/>
        <v>5339.7488190000004</v>
      </c>
      <c r="T21" s="40">
        <f t="shared" si="2"/>
        <v>18.46995709051167</v>
      </c>
      <c r="U21" s="30" t="s">
        <v>35</v>
      </c>
    </row>
    <row r="22" spans="1:21" s="16" customFormat="1" ht="21" customHeight="1">
      <c r="A22" s="14" t="s">
        <v>36</v>
      </c>
      <c r="B22" s="1">
        <f>SUM(B23:B26)</f>
        <v>747.69999999999993</v>
      </c>
      <c r="C22" s="1">
        <f>SUM(C23:C26)</f>
        <v>1006.141856</v>
      </c>
      <c r="D22" s="1">
        <f>SUM(D23:D26)</f>
        <v>1228.3000000000002</v>
      </c>
      <c r="E22" s="1">
        <f>SUM(E23:E26)</f>
        <v>967.96693600000003</v>
      </c>
      <c r="F22" s="1">
        <v>772.15054499999997</v>
      </c>
      <c r="G22" s="1">
        <f t="shared" ref="G22:S22" si="7">SUM(G23:G27)</f>
        <v>472.55445400000008</v>
      </c>
      <c r="H22" s="1">
        <f t="shared" si="7"/>
        <v>-370.60431499999999</v>
      </c>
      <c r="I22" s="1">
        <f t="shared" si="7"/>
        <v>-297.77568000000008</v>
      </c>
      <c r="J22" s="1">
        <f t="shared" si="7"/>
        <v>1931.9270714199997</v>
      </c>
      <c r="K22" s="1">
        <f t="shared" si="7"/>
        <v>3041.7776670000003</v>
      </c>
      <c r="L22" s="1">
        <f t="shared" si="7"/>
        <v>5712.7696960000003</v>
      </c>
      <c r="M22" s="1">
        <f t="shared" si="7"/>
        <v>936.13370100000009</v>
      </c>
      <c r="N22" s="1">
        <f t="shared" si="7"/>
        <v>2504.0601139999999</v>
      </c>
      <c r="O22" s="1">
        <f t="shared" si="7"/>
        <v>5182.1395120000007</v>
      </c>
      <c r="P22" s="55">
        <f t="shared" si="7"/>
        <v>2504.4696019999997</v>
      </c>
      <c r="Q22" s="54">
        <f t="shared" si="7"/>
        <v>4683.1703530000004</v>
      </c>
      <c r="R22" s="1">
        <f t="shared" si="7"/>
        <v>3576.828602</v>
      </c>
      <c r="S22" s="55">
        <f t="shared" si="7"/>
        <v>-903.89233299999978</v>
      </c>
      <c r="T22" s="40">
        <f t="shared" si="2"/>
        <v>-51.671127413676629</v>
      </c>
      <c r="U22" s="31" t="s">
        <v>37</v>
      </c>
    </row>
    <row r="23" spans="1:21" s="16" customFormat="1" ht="21" customHeight="1">
      <c r="A23" s="12" t="s">
        <v>38</v>
      </c>
      <c r="B23" s="18">
        <v>1137.5999999999999</v>
      </c>
      <c r="C23" s="18">
        <v>1416.341856</v>
      </c>
      <c r="D23" s="18">
        <v>1817.7</v>
      </c>
      <c r="E23" s="18">
        <v>1884.5</v>
      </c>
      <c r="F23" s="13" t="s">
        <v>50</v>
      </c>
      <c r="G23" s="13">
        <v>1187.19235</v>
      </c>
      <c r="H23" s="13">
        <v>188.39416600000001</v>
      </c>
      <c r="I23" s="13">
        <v>648.39113899999995</v>
      </c>
      <c r="J23" s="13">
        <v>2987.2736873199997</v>
      </c>
      <c r="K23" s="13">
        <v>1562.315793</v>
      </c>
      <c r="L23" s="13">
        <v>3563.0462699999998</v>
      </c>
      <c r="M23" s="13">
        <v>1853.161296</v>
      </c>
      <c r="N23" s="13">
        <v>1107.648598</v>
      </c>
      <c r="O23" s="13">
        <v>1317.739806</v>
      </c>
      <c r="P23" s="53">
        <v>3403.0392809999998</v>
      </c>
      <c r="Q23" s="52">
        <v>4132.1153530000001</v>
      </c>
      <c r="R23" s="13">
        <v>4716.3446020000001</v>
      </c>
      <c r="S23" s="53">
        <v>2458.4316669999998</v>
      </c>
      <c r="T23" s="64" t="s">
        <v>61</v>
      </c>
      <c r="U23" s="31" t="s">
        <v>39</v>
      </c>
    </row>
    <row r="24" spans="1:21" s="16" customFormat="1" ht="21" customHeight="1">
      <c r="A24" s="12" t="s">
        <v>52</v>
      </c>
      <c r="B24" s="18"/>
      <c r="C24" s="18"/>
      <c r="D24" s="18"/>
      <c r="E24" s="18"/>
      <c r="F24" s="13" t="s">
        <v>50</v>
      </c>
      <c r="G24" s="13" t="s">
        <v>50</v>
      </c>
      <c r="H24" s="13" t="s">
        <v>50</v>
      </c>
      <c r="I24" s="13" t="s">
        <v>50</v>
      </c>
      <c r="J24" s="13" t="s">
        <v>50</v>
      </c>
      <c r="K24" s="13">
        <v>2528.2932420000002</v>
      </c>
      <c r="L24" s="13">
        <v>3255.9710530000002</v>
      </c>
      <c r="M24" s="13">
        <v>70.468097999999998</v>
      </c>
      <c r="N24" s="13">
        <v>127.75533900000001</v>
      </c>
      <c r="O24" s="13">
        <v>7712.2032040000004</v>
      </c>
      <c r="P24" s="53">
        <v>0</v>
      </c>
      <c r="Q24" s="52">
        <v>771</v>
      </c>
      <c r="R24" s="13">
        <v>771</v>
      </c>
      <c r="S24" s="53">
        <v>771</v>
      </c>
      <c r="T24" s="62">
        <f t="shared" si="2"/>
        <v>-100</v>
      </c>
      <c r="U24" s="41" t="s">
        <v>67</v>
      </c>
    </row>
    <row r="25" spans="1:21" s="16" customFormat="1" ht="21" customHeight="1">
      <c r="A25" s="12" t="s">
        <v>51</v>
      </c>
      <c r="B25" s="18"/>
      <c r="C25" s="18"/>
      <c r="D25" s="18"/>
      <c r="E25" s="18"/>
      <c r="F25" s="13" t="s">
        <v>50</v>
      </c>
      <c r="G25" s="13" t="s">
        <v>50</v>
      </c>
      <c r="H25" s="13" t="s">
        <v>50</v>
      </c>
      <c r="I25" s="13" t="s">
        <v>50</v>
      </c>
      <c r="J25" s="13" t="s">
        <v>50</v>
      </c>
      <c r="K25" s="13" t="s">
        <v>50</v>
      </c>
      <c r="L25" s="13" t="s">
        <v>50</v>
      </c>
      <c r="M25" s="13" t="s">
        <v>50</v>
      </c>
      <c r="N25" s="13" t="s">
        <v>50</v>
      </c>
      <c r="O25" s="13">
        <v>0</v>
      </c>
      <c r="P25" s="53">
        <v>0</v>
      </c>
      <c r="Q25" s="52">
        <v>0</v>
      </c>
      <c r="R25" s="13">
        <v>0</v>
      </c>
      <c r="S25" s="53">
        <v>0</v>
      </c>
      <c r="T25" s="64" t="s">
        <v>61</v>
      </c>
      <c r="U25" s="41" t="s">
        <v>57</v>
      </c>
    </row>
    <row r="26" spans="1:21" s="16" customFormat="1" ht="21" customHeight="1">
      <c r="A26" s="12" t="s">
        <v>40</v>
      </c>
      <c r="B26" s="18">
        <v>-389.9</v>
      </c>
      <c r="C26" s="18">
        <v>-410.2</v>
      </c>
      <c r="D26" s="18">
        <v>-589.4</v>
      </c>
      <c r="E26" s="18">
        <v>-916.53306399999997</v>
      </c>
      <c r="F26" s="13" t="s">
        <v>50</v>
      </c>
      <c r="G26" s="13">
        <v>-714.63789599999996</v>
      </c>
      <c r="H26" s="13">
        <v>-1012.346481</v>
      </c>
      <c r="I26" s="13">
        <v>-946.16681900000003</v>
      </c>
      <c r="J26" s="13">
        <v>-1055.3466159</v>
      </c>
      <c r="K26" s="13">
        <v>-1048.8313680000001</v>
      </c>
      <c r="L26" s="13">
        <v>-1106.247627</v>
      </c>
      <c r="M26" s="13">
        <v>-987.49569299999996</v>
      </c>
      <c r="N26" s="13">
        <v>-753.31096500000001</v>
      </c>
      <c r="O26" s="13">
        <v>-3847.8034980000002</v>
      </c>
      <c r="P26" s="53">
        <v>-2440.5696790000002</v>
      </c>
      <c r="Q26" s="52">
        <v>-1761.9449999999999</v>
      </c>
      <c r="R26" s="13">
        <v>-1910.5160000000001</v>
      </c>
      <c r="S26" s="53">
        <v>-4133.3239999999996</v>
      </c>
      <c r="T26" s="62">
        <f t="shared" si="2"/>
        <v>-36.572393047915462</v>
      </c>
      <c r="U26" s="31" t="s">
        <v>41</v>
      </c>
    </row>
    <row r="27" spans="1:21" s="16" customFormat="1" ht="21" customHeight="1">
      <c r="A27" s="12" t="s">
        <v>58</v>
      </c>
      <c r="B27" s="18"/>
      <c r="C27" s="18"/>
      <c r="D27" s="18"/>
      <c r="E27" s="18"/>
      <c r="F27" s="13" t="s">
        <v>50</v>
      </c>
      <c r="G27" s="13" t="s">
        <v>50</v>
      </c>
      <c r="H27" s="13">
        <v>453.34800000000001</v>
      </c>
      <c r="I27" s="13" t="s">
        <v>50</v>
      </c>
      <c r="J27" s="13" t="s">
        <v>50</v>
      </c>
      <c r="K27" s="13" t="s">
        <v>50</v>
      </c>
      <c r="L27" s="13" t="s">
        <v>50</v>
      </c>
      <c r="M27" s="13" t="s">
        <v>50</v>
      </c>
      <c r="N27" s="13">
        <v>2021.967142</v>
      </c>
      <c r="O27" s="13">
        <v>0</v>
      </c>
      <c r="P27" s="53">
        <v>1542</v>
      </c>
      <c r="Q27" s="52">
        <v>1542</v>
      </c>
      <c r="R27" s="13">
        <v>0</v>
      </c>
      <c r="S27" s="53">
        <v>0</v>
      </c>
      <c r="T27" s="64" t="s">
        <v>61</v>
      </c>
      <c r="U27" s="41" t="s">
        <v>65</v>
      </c>
    </row>
    <row r="28" spans="1:21" s="16" customFormat="1" ht="21" customHeight="1">
      <c r="A28" s="19" t="s">
        <v>53</v>
      </c>
      <c r="B28" s="20">
        <v>1971.7</v>
      </c>
      <c r="C28" s="20">
        <v>4212.3999999999996</v>
      </c>
      <c r="D28" s="20">
        <v>3039.8</v>
      </c>
      <c r="E28" s="20">
        <v>1392.1219779999999</v>
      </c>
      <c r="F28" s="20">
        <v>2199.7394300000001</v>
      </c>
      <c r="G28" s="20">
        <v>1292.9535039999996</v>
      </c>
      <c r="H28" s="20">
        <v>1745.7500490000004</v>
      </c>
      <c r="I28" s="20">
        <v>4432.4705933600007</v>
      </c>
      <c r="J28" s="20">
        <v>4796.5189434300109</v>
      </c>
      <c r="K28" s="20">
        <v>-802.88580400000023</v>
      </c>
      <c r="L28" s="20">
        <v>-1412.8942999999999</v>
      </c>
      <c r="M28" s="20">
        <v>4826.8012980000003</v>
      </c>
      <c r="N28" s="20">
        <v>11027.584265</v>
      </c>
      <c r="O28" s="20">
        <v>6323.8198770000008</v>
      </c>
      <c r="P28" s="58">
        <v>11126.635549000001</v>
      </c>
      <c r="Q28" s="57">
        <v>3936.8084039999999</v>
      </c>
      <c r="R28" s="20">
        <v>6198.3244579999991</v>
      </c>
      <c r="S28" s="58">
        <v>6243.6411520000001</v>
      </c>
      <c r="T28" s="36">
        <f t="shared" si="2"/>
        <v>75.948015051283207</v>
      </c>
      <c r="U28" s="33" t="s">
        <v>66</v>
      </c>
    </row>
    <row r="29" spans="1:21" s="16" customFormat="1" ht="14.25">
      <c r="A29" s="21" t="s">
        <v>42</v>
      </c>
      <c r="B29" s="22"/>
      <c r="C29" s="22"/>
      <c r="D29" s="2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4"/>
      <c r="U29" s="34" t="s">
        <v>43</v>
      </c>
    </row>
    <row r="30" spans="1:21" s="16" customFormat="1" ht="17.25">
      <c r="A30" s="21" t="s">
        <v>44</v>
      </c>
      <c r="B30" s="22"/>
      <c r="C30" s="22"/>
      <c r="D30" s="2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4"/>
      <c r="U30" s="29" t="s">
        <v>45</v>
      </c>
    </row>
    <row r="31" spans="1:21" s="16" customFormat="1" ht="17.25">
      <c r="A31" s="21" t="s">
        <v>46</v>
      </c>
      <c r="B31" s="22"/>
      <c r="C31" s="22"/>
      <c r="D31" s="2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4"/>
      <c r="U31" s="29" t="s">
        <v>47</v>
      </c>
    </row>
    <row r="32" spans="1:21" s="16" customFormat="1" ht="16.5" customHeight="1">
      <c r="A32" s="21" t="s">
        <v>55</v>
      </c>
      <c r="B32" s="22"/>
      <c r="C32" s="22"/>
      <c r="D32" s="2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4"/>
      <c r="U32" s="34" t="s">
        <v>48</v>
      </c>
    </row>
    <row r="33" spans="1:21" s="16" customFormat="1" ht="14.25">
      <c r="A33" s="27" t="s">
        <v>54</v>
      </c>
      <c r="B33" s="23"/>
      <c r="C33" s="23"/>
      <c r="U33" s="35" t="s">
        <v>49</v>
      </c>
    </row>
    <row r="34" spans="1:21" ht="14.25">
      <c r="A34" s="63" t="s">
        <v>62</v>
      </c>
      <c r="B34" s="22"/>
      <c r="C34" s="22"/>
      <c r="D34" s="22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4"/>
      <c r="U34" s="34" t="s">
        <v>59</v>
      </c>
    </row>
    <row r="35" spans="1:21" ht="15">
      <c r="A35" s="21" t="s">
        <v>56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28"/>
    </row>
    <row r="36" spans="1:21"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43"/>
      <c r="U36" s="28"/>
    </row>
    <row r="37" spans="1:21"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43"/>
      <c r="U37" s="28"/>
    </row>
    <row r="38" spans="1:21"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43"/>
      <c r="U38" s="28"/>
    </row>
  </sheetData>
  <mergeCells count="6">
    <mergeCell ref="A5:A7"/>
    <mergeCell ref="U5:U7"/>
    <mergeCell ref="A1:U1"/>
    <mergeCell ref="A2:U2"/>
    <mergeCell ref="A3:U3"/>
    <mergeCell ref="A4:U4"/>
  </mergeCells>
  <pageMargins left="0.17" right="0.16" top="0.75" bottom="0.75" header="0.3" footer="0.3"/>
  <pageSetup paperSize="9" scale="58" orientation="landscape" horizontalDpi="4294967295" verticalDpi="4294967295" r:id="rId1"/>
  <customProperties>
    <customPr name="EpmWorksheetKeyString_GUID" r:id="rId2"/>
  </customProperties>
  <ignoredErrors>
    <ignoredError sqref="F9:T9 F14:T14" formulaRange="1"/>
    <ignoredError sqref="G22:M22" unlockedFormula="1"/>
    <ignoredError sqref="N22:T22" formulaRange="1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http://schemas.microsoft.com/office/2006/documentManagement/types"/>
    <ds:schemaRef ds:uri="1916c6aa-fa20-4fca-8349-5fbeea1bc48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13.2</vt:lpstr>
      <vt:lpstr>'13.2'!Print_Area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2023-04-24T05:23:52Z</cp:lastPrinted>
  <dcterms:created xsi:type="dcterms:W3CDTF">2014-03-06T08:38:12Z</dcterms:created>
  <dcterms:modified xsi:type="dcterms:W3CDTF">2023-04-24T05:24:22Z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