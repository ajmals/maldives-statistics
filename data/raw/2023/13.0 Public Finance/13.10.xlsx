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ublic Finance\"/>
    </mc:Choice>
  </mc:AlternateContent>
  <xr:revisionPtr revIDLastSave="0" documentId="13_ncr:1_{25473DD7-DD36-437E-BDDF-EE654CCFB4D8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10" sheetId="36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'13.10'!$A$1:$K$29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36" l="1"/>
  <c r="H14" i="36"/>
  <c r="G14" i="36"/>
  <c r="F14" i="36"/>
  <c r="E14" i="36"/>
  <c r="D14" i="36"/>
  <c r="C14" i="36"/>
  <c r="B14" i="36"/>
  <c r="I11" i="36"/>
  <c r="H11" i="36"/>
  <c r="G11" i="36"/>
  <c r="F11" i="36"/>
  <c r="E11" i="36"/>
  <c r="D11" i="36"/>
  <c r="C11" i="36"/>
  <c r="B11" i="36"/>
</calcChain>
</file>

<file path=xl/sharedStrings.xml><?xml version="1.0" encoding="utf-8"?>
<sst xmlns="http://schemas.openxmlformats.org/spreadsheetml/2006/main" count="42" uniqueCount="42">
  <si>
    <t>(މިލިޔަން ރުފިޔާއިން)</t>
  </si>
  <si>
    <t>(In millions of Rufiyaa)</t>
  </si>
  <si>
    <t>Particular</t>
  </si>
  <si>
    <t>ތަފްސީލު</t>
  </si>
  <si>
    <r>
      <t xml:space="preserve">Debt outstanding disbursement. (DOD) </t>
    </r>
    <r>
      <rPr>
        <vertAlign val="superscript"/>
        <sz val="10"/>
        <rFont val="Calibri"/>
        <family val="2"/>
        <scheme val="minor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</si>
  <si>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</si>
  <si>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  <scheme val="minor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</si>
  <si>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</si>
  <si>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  <scheme val="minor"/>
      </rPr>
      <t>3_/</t>
    </r>
  </si>
  <si>
    <t xml:space="preserve">3_/ ikcaed Wrubwa clwpiscnircpegunOl  </t>
  </si>
  <si>
    <r>
      <t xml:space="preserve">Interest payments (INT) </t>
    </r>
    <r>
      <rPr>
        <vertAlign val="superscript"/>
        <sz val="10"/>
        <rFont val="Calibri"/>
        <family val="2"/>
        <scheme val="minor"/>
      </rPr>
      <t>4_/</t>
    </r>
  </si>
  <si>
    <t xml:space="preserve">4_/ ugwa egutwmudiK egunOl  </t>
  </si>
  <si>
    <r>
      <t xml:space="preserve">Total debt service (TDS) </t>
    </r>
    <r>
      <rPr>
        <vertAlign val="superscript"/>
        <sz val="10"/>
        <rFont val="Calibri"/>
        <family val="2"/>
        <scheme val="minor"/>
      </rPr>
      <t>5_/</t>
    </r>
  </si>
  <si>
    <t xml:space="preserve">5_/ utWfwtegumuruk ctwmcdiK egunOl iaWdwdwA unugen cniaeretegunOl  </t>
  </si>
  <si>
    <t>Selected ratios</t>
  </si>
  <si>
    <t>ctwbcsin caeawb WviawfivelWvoh</t>
  </si>
  <si>
    <t>Gross Domestic Product (GDP)</t>
  </si>
  <si>
    <t>ޤައުމީ އުފެއްދުންތެރިކަމުގެ މިންގަނޑު (ޖީ.ޑީ.ޕީ)</t>
  </si>
  <si>
    <t>DOD as a percentage of GDP</t>
  </si>
  <si>
    <t xml:space="preserve"> Ip.ID.Ij / ID .Oa .ID  </t>
  </si>
  <si>
    <t>INT / Exports of goods and services (XGS)</t>
  </si>
  <si>
    <t xml:space="preserve">(csckea .Ij .csckea) ctwmcdiK iaWlwdum Everuk cTOpcsckea  /IT .cnea .iawa  </t>
  </si>
  <si>
    <t>TDS / XGS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</si>
  <si>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</si>
  <si>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</si>
  <si>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</si>
  <si>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</si>
  <si>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</si>
  <si>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</si>
  <si>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</si>
  <si>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</si>
  <si>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</si>
  <si>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Interest on  loans (M &amp; L / T)</t>
  </si>
  <si>
    <t xml:space="preserve">(iawgutwdcaumugid idwa udem ) ugwa egutwmcdiH WkcawdcSwnOl 4_/ </t>
  </si>
  <si>
    <t>5_/ Sum of Principal repayments and interest</t>
  </si>
  <si>
    <t xml:space="preserve">uhwfcSwmurukinua urwvikcaed cSwgwa egutwmudiK iaWmurukWdwaunOl cnudwdwa unugen cniaeretegunOl 5_/  </t>
  </si>
  <si>
    <t xml:space="preserve"> cscnEnif cfoa IrcTcsinim :ctWrwf ivcaedutWmUluAwm    </t>
  </si>
  <si>
    <t>Additonal Notes:</t>
  </si>
  <si>
    <t>1/ Data Source: Ministry of Finance</t>
  </si>
  <si>
    <t>2/ Difference in historical data due to reconciliations</t>
  </si>
  <si>
    <t>ތާވަލު 13.10: ސަރުކާރުން ގެރެންޓީކޮށްދީފައިވާ ބޭރުގެ ދަރަނި ތާވަލު، 2015 - 2022</t>
  </si>
  <si>
    <t>Table 13.10 : SUMMARY OF PUBLICLY GUARANTEED EXTERNAL DEBT, 2015 - 2022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</si>
</sst>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9" formatCode="0.0"/>
    <numFmt numFmtId="171" formatCode="_-* #,##0.00_-;\-* #,##0.00_-;_-* &quot;-&quot;??_-;_-@_-"/>
    <numFmt numFmtId="172" formatCode="#,##0.00\ ;&quot; (&quot;#,##0.00\);&quot; -&quot;#\ ;@\ "/>
    <numFmt numFmtId="178" formatCode="_(* #,##0_);_(* \(#,##0\);_(* &quot;-&quot;??_);_(@_)"/>
    <numFmt numFmtId="179" formatCode="0.00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A_Randhoo"/>
    </font>
    <font>
      <sz val="10"/>
      <color theme="1"/>
      <name val="A_Randhoo"/>
    </font>
    <font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10"/>
      <name val="Courier"/>
    </font>
    <font>
      <sz val="10"/>
      <name val="Helv"/>
    </font>
    <font>
      <b/>
      <sz val="10"/>
      <color theme="1"/>
      <name val="A_Faseyha"/>
    </font>
    <font>
      <sz val="10"/>
      <color theme="1"/>
      <name val="A_Faseyha"/>
    </font>
    <font>
      <sz val="12"/>
      <color theme="1"/>
      <name val="Century Gothic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Arial"/>
      <family val="2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name val="A_Faseyha"/>
    </font>
    <font>
      <sz val="1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9.5"/>
      <name val="Calibri"/>
      <family val="2"/>
      <scheme val="minor"/>
    </font>
    <font>
      <sz val="9.5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Faruma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1" tint="0.34998626667073579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1" fontId="1" fillId="0" borderId="0" applyFont="0" applyFill="0" applyBorder="0" applyAlignment="0" applyProtection="0"/>
    <xf numFmtId="0" fontId="6" fillId="0" borderId="0"/>
    <xf numFmtId="172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9" fontId="18" fillId="0" borderId="0"/>
    <xf numFmtId="4" fontId="1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9" fontId="37" fillId="0" borderId="0"/>
    <xf numFmtId="1" fontId="38" fillId="0" borderId="3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9" fillId="0" borderId="0"/>
    <xf numFmtId="40" fontId="19" fillId="0" borderId="0" applyFont="0" applyFill="0" applyBorder="0" applyAlignment="0" applyProtection="0"/>
    <xf numFmtId="0" fontId="19" fillId="0" borderId="0"/>
    <xf numFmtId="0" fontId="2" fillId="0" borderId="0"/>
    <xf numFmtId="1" fontId="38" fillId="0" borderId="3" applyNumberFormat="0"/>
    <xf numFmtId="0" fontId="1" fillId="0" borderId="0"/>
    <xf numFmtId="0" fontId="19" fillId="0" borderId="0"/>
    <xf numFmtId="0" fontId="6" fillId="0" borderId="0" applyFill="0" applyProtection="0"/>
    <xf numFmtId="1" fontId="38" fillId="0" borderId="3" applyNumberFormat="0"/>
    <xf numFmtId="43" fontId="1" fillId="0" borderId="0" applyFont="0" applyFill="0" applyBorder="0" applyAlignment="0" applyProtection="0"/>
    <xf numFmtId="0" fontId="1" fillId="0" borderId="0"/>
    <xf numFmtId="0" fontId="39" fillId="0" borderId="0"/>
    <xf numFmtId="0" fontId="40" fillId="0" borderId="0"/>
    <xf numFmtId="0" fontId="39" fillId="0" borderId="0"/>
    <xf numFmtId="0" fontId="1" fillId="0" borderId="0"/>
    <xf numFmtId="0" fontId="19" fillId="0" borderId="0"/>
    <xf numFmtId="0" fontId="6" fillId="0" borderId="0" applyFill="0" applyProtection="0"/>
  </cellStyleXfs>
  <cellXfs count="57">
    <xf numFmtId="0" fontId="0" fillId="0" borderId="0" xfId="0"/>
    <xf numFmtId="165" fontId="14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Alignment="1">
      <alignment horizontal="right" vertical="center"/>
    </xf>
    <xf numFmtId="165" fontId="20" fillId="2" borderId="0" xfId="2" applyNumberFormat="1" applyFont="1" applyFill="1" applyAlignment="1">
      <alignment horizontal="right" vertical="center"/>
    </xf>
    <xf numFmtId="165" fontId="21" fillId="2" borderId="0" xfId="2" applyNumberFormat="1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/>
    <xf numFmtId="0" fontId="25" fillId="2" borderId="0" xfId="24" applyFont="1" applyFill="1"/>
    <xf numFmtId="0" fontId="8" fillId="2" borderId="0" xfId="24" applyFont="1" applyFill="1" applyAlignment="1">
      <alignment vertical="center"/>
    </xf>
    <xf numFmtId="165" fontId="8" fillId="2" borderId="0" xfId="2" applyNumberFormat="1" applyFont="1" applyFill="1" applyAlignment="1">
      <alignment horizontal="right"/>
    </xf>
    <xf numFmtId="165" fontId="8" fillId="2" borderId="0" xfId="2" applyNumberFormat="1" applyFont="1" applyFill="1" applyAlignment="1">
      <alignment horizontal="right" wrapText="1"/>
    </xf>
    <xf numFmtId="0" fontId="10" fillId="2" borderId="0" xfId="24" applyFont="1" applyFill="1" applyAlignment="1">
      <alignment vertical="center"/>
    </xf>
    <xf numFmtId="0" fontId="8" fillId="2" borderId="1" xfId="24" applyFont="1" applyFill="1" applyBorder="1" applyAlignment="1">
      <alignment vertical="center"/>
    </xf>
    <xf numFmtId="0" fontId="8" fillId="2" borderId="1" xfId="24" applyFont="1" applyFill="1" applyBorder="1" applyAlignment="1">
      <alignment horizontal="right" vertical="center"/>
    </xf>
    <xf numFmtId="0" fontId="26" fillId="2" borderId="1" xfId="24" applyFont="1" applyFill="1" applyBorder="1" applyAlignment="1">
      <alignment horizontal="right" vertical="center"/>
    </xf>
    <xf numFmtId="0" fontId="10" fillId="2" borderId="1" xfId="24" applyFont="1" applyFill="1" applyBorder="1" applyAlignment="1">
      <alignment vertical="center"/>
    </xf>
    <xf numFmtId="0" fontId="27" fillId="2" borderId="0" xfId="24" applyFont="1" applyFill="1" applyAlignment="1">
      <alignment vertical="center"/>
    </xf>
    <xf numFmtId="165" fontId="29" fillId="2" borderId="0" xfId="2" applyNumberFormat="1" applyFont="1" applyFill="1" applyAlignment="1">
      <alignment horizontal="right" vertical="center"/>
    </xf>
    <xf numFmtId="0" fontId="30" fillId="2" borderId="0" xfId="0" applyFont="1" applyFill="1"/>
    <xf numFmtId="165" fontId="29" fillId="2" borderId="0" xfId="2" applyNumberFormat="1" applyFont="1" applyFill="1" applyAlignment="1">
      <alignment horizontal="right"/>
    </xf>
    <xf numFmtId="0" fontId="27" fillId="2" borderId="2" xfId="24" applyFont="1" applyFill="1" applyBorder="1" applyAlignment="1">
      <alignment vertical="center"/>
    </xf>
    <xf numFmtId="165" fontId="29" fillId="2" borderId="2" xfId="2" applyNumberFormat="1" applyFont="1" applyFill="1" applyBorder="1" applyAlignment="1">
      <alignment horizontal="right" vertical="center"/>
    </xf>
    <xf numFmtId="0" fontId="31" fillId="2" borderId="0" xfId="24" applyFont="1" applyFill="1"/>
    <xf numFmtId="169" fontId="15" fillId="2" borderId="0" xfId="24" applyNumberFormat="1" applyFont="1" applyFill="1" applyAlignment="1">
      <alignment horizontal="right" vertical="center"/>
    </xf>
    <xf numFmtId="169" fontId="32" fillId="2" borderId="0" xfId="24" applyNumberFormat="1" applyFont="1" applyFill="1" applyAlignment="1">
      <alignment horizontal="right" vertical="center"/>
    </xf>
    <xf numFmtId="0" fontId="9" fillId="2" borderId="0" xfId="24" applyFont="1" applyFill="1"/>
    <xf numFmtId="165" fontId="12" fillId="2" borderId="0" xfId="2" applyNumberFormat="1" applyFont="1" applyFill="1" applyAlignment="1">
      <alignment horizontal="right" vertical="center" indent="1"/>
    </xf>
    <xf numFmtId="0" fontId="9" fillId="2" borderId="1" xfId="24" applyFont="1" applyFill="1" applyBorder="1"/>
    <xf numFmtId="9" fontId="32" fillId="2" borderId="1" xfId="11" applyFont="1" applyFill="1" applyBorder="1" applyAlignment="1">
      <alignment horizontal="right" vertical="center"/>
    </xf>
    <xf numFmtId="169" fontId="32" fillId="2" borderId="0" xfId="11" applyNumberFormat="1" applyFont="1" applyFill="1" applyAlignment="1">
      <alignment horizontal="right" vertical="center"/>
    </xf>
    <xf numFmtId="169" fontId="33" fillId="2" borderId="0" xfId="11" applyNumberFormat="1" applyFont="1" applyFill="1" applyAlignment="1">
      <alignment horizontal="right" vertical="center"/>
    </xf>
    <xf numFmtId="169" fontId="33" fillId="2" borderId="0" xfId="11" applyNumberFormat="1" applyFont="1" applyFill="1" applyBorder="1" applyAlignment="1">
      <alignment horizontal="right" vertical="center"/>
    </xf>
    <xf numFmtId="10" fontId="32" fillId="2" borderId="0" xfId="11" applyNumberFormat="1" applyFont="1" applyFill="1" applyBorder="1" applyAlignment="1">
      <alignment horizontal="right" vertical="center"/>
    </xf>
    <xf numFmtId="10" fontId="33" fillId="2" borderId="0" xfId="11" applyNumberFormat="1" applyFont="1" applyFill="1" applyBorder="1" applyAlignment="1">
      <alignment horizontal="right" vertical="center"/>
    </xf>
    <xf numFmtId="2" fontId="32" fillId="2" borderId="0" xfId="11" applyNumberFormat="1" applyFont="1" applyFill="1" applyBorder="1" applyAlignment="1">
      <alignment horizontal="right" vertical="center"/>
    </xf>
    <xf numFmtId="169" fontId="32" fillId="2" borderId="0" xfId="11" applyNumberFormat="1" applyFont="1" applyFill="1" applyBorder="1" applyAlignment="1">
      <alignment horizontal="right" vertical="center"/>
    </xf>
    <xf numFmtId="10" fontId="32" fillId="2" borderId="1" xfId="11" applyNumberFormat="1" applyFont="1" applyFill="1" applyBorder="1" applyAlignment="1">
      <alignment horizontal="right" vertical="center"/>
    </xf>
    <xf numFmtId="10" fontId="33" fillId="2" borderId="1" xfId="11" applyNumberFormat="1" applyFont="1" applyFill="1" applyBorder="1" applyAlignment="1">
      <alignment horizontal="right" vertical="center"/>
    </xf>
    <xf numFmtId="165" fontId="14" fillId="2" borderId="1" xfId="2" applyNumberFormat="1" applyFont="1" applyFill="1" applyBorder="1" applyAlignment="1">
      <alignment horizontal="right" vertical="center"/>
    </xf>
    <xf numFmtId="2" fontId="15" fillId="2" borderId="0" xfId="11" applyNumberFormat="1" applyFont="1" applyFill="1" applyBorder="1" applyAlignment="1">
      <alignment horizontal="right" vertical="center"/>
    </xf>
    <xf numFmtId="169" fontId="15" fillId="2" borderId="0" xfId="11" applyNumberFormat="1" applyFont="1" applyFill="1" applyBorder="1" applyAlignment="1">
      <alignment horizontal="right" vertical="center"/>
    </xf>
    <xf numFmtId="0" fontId="11" fillId="2" borderId="0" xfId="24" applyFont="1" applyFill="1" applyAlignment="1">
      <alignment horizontal="left"/>
    </xf>
    <xf numFmtId="0" fontId="11" fillId="2" borderId="0" xfId="24" applyFont="1" applyFill="1"/>
    <xf numFmtId="0" fontId="34" fillId="2" borderId="0" xfId="24" applyFont="1" applyFill="1"/>
    <xf numFmtId="0" fontId="35" fillId="2" borderId="0" xfId="24" applyFont="1" applyFill="1" applyAlignment="1">
      <alignment horizontal="left" vertical="center"/>
    </xf>
    <xf numFmtId="0" fontId="17" fillId="2" borderId="0" xfId="24" applyFont="1" applyFill="1"/>
    <xf numFmtId="178" fontId="27" fillId="2" borderId="0" xfId="1" applyNumberFormat="1" applyFont="1" applyFill="1" applyAlignment="1">
      <alignment horizontal="right" vertical="center"/>
    </xf>
    <xf numFmtId="178" fontId="27" fillId="2" borderId="0" xfId="1" applyNumberFormat="1" applyFont="1" applyFill="1" applyBorder="1" applyAlignment="1">
      <alignment horizontal="right" vertical="center"/>
    </xf>
    <xf numFmtId="178" fontId="27" fillId="2" borderId="2" xfId="1" applyNumberFormat="1" applyFont="1" applyFill="1" applyBorder="1" applyAlignment="1">
      <alignment horizontal="right" vertical="center"/>
    </xf>
    <xf numFmtId="178" fontId="15" fillId="2" borderId="0" xfId="1" applyNumberFormat="1" applyFont="1" applyFill="1" applyBorder="1" applyAlignment="1">
      <alignment horizontal="right" vertical="center"/>
    </xf>
    <xf numFmtId="178" fontId="32" fillId="2" borderId="0" xfId="1" applyNumberFormat="1" applyFont="1" applyFill="1" applyBorder="1" applyAlignment="1">
      <alignment horizontal="right" vertical="center"/>
    </xf>
    <xf numFmtId="0" fontId="21" fillId="2" borderId="1" xfId="2" applyFont="1" applyFill="1" applyBorder="1" applyAlignment="1">
      <alignment horizontal="right" vertical="center"/>
    </xf>
    <xf numFmtId="0" fontId="21" fillId="2" borderId="0" xfId="0" applyFont="1" applyFill="1"/>
    <xf numFmtId="0" fontId="23" fillId="2" borderId="0" xfId="24" applyFont="1" applyFill="1" applyAlignment="1">
      <alignment horizontal="center"/>
    </xf>
    <xf numFmtId="165" fontId="10" fillId="2" borderId="0" xfId="2" applyNumberFormat="1" applyFont="1" applyFill="1" applyAlignment="1">
      <alignment horizontal="center" vertical="center" wrapText="1"/>
    </xf>
    <xf numFmtId="0" fontId="36" fillId="2" borderId="0" xfId="0" applyFont="1" applyFill="1" applyAlignment="1">
      <alignment horizontal="center"/>
    </xf>
    <xf numFmtId="0" fontId="24" fillId="2" borderId="1" xfId="24" applyFont="1" applyFill="1" applyBorder="1" applyAlignment="1">
      <alignment horizontal="center"/>
    </xf>
  </cellXfs>
  <cellStyles count="59">
    <cellStyle name="1" xfId="29" xr:uid="{76C201CC-CE73-4C90-9A06-45154FB055B6}"/>
    <cellStyle name="Comma" xfId="1" builtinId="3"/>
    <cellStyle name="Comma 12" xfId="23" xr:uid="{00000000-0005-0000-0000-000001000000}"/>
    <cellStyle name="Comma 2" xfId="6" xr:uid="{00000000-0005-0000-0000-000001000000}"/>
    <cellStyle name="Comma 2 2" xfId="43" xr:uid="{401DC34A-E408-43FB-920C-9F9457BBD147}"/>
    <cellStyle name="Comma 2 2 2 5" xfId="51" xr:uid="{C1998303-8CA9-4025-BBE6-2743187CFDE4}"/>
    <cellStyle name="Comma 3" xfId="7" xr:uid="{00000000-0005-0000-0000-000002000000}"/>
    <cellStyle name="Comma 3 2" xfId="18" xr:uid="{00000000-0005-0000-0000-000003000000}"/>
    <cellStyle name="Comma 3 3" xfId="30" xr:uid="{587BCFD8-56D5-4FBB-8089-D1FA3A44EB34}"/>
    <cellStyle name="Comma 4" xfId="3" xr:uid="{00000000-0005-0000-0000-000004000000}"/>
    <cellStyle name="Comma 4 2" xfId="15" xr:uid="{00000000-0005-0000-0000-000005000000}"/>
    <cellStyle name="Comma 5" xfId="13" xr:uid="{00000000-0005-0000-0000-000006000000}"/>
    <cellStyle name="Comma 6" xfId="9" xr:uid="{00000000-0005-0000-0000-000007000000}"/>
    <cellStyle name="Comma 6 2" xfId="19" xr:uid="{00000000-0005-0000-0000-000008000000}"/>
    <cellStyle name="Comma 7" xfId="17" xr:uid="{00000000-0005-0000-0000-000009000000}"/>
    <cellStyle name="Comma 8" xfId="21" xr:uid="{00000000-0005-0000-0000-000042000000}"/>
    <cellStyle name="Excel Built-in Comma" xfId="5" xr:uid="{00000000-0005-0000-0000-00000B000000}"/>
    <cellStyle name="Excel Built-in Normal" xfId="4" xr:uid="{00000000-0005-0000-0000-00000C000000}"/>
    <cellStyle name="Normal" xfId="0" builtinId="0"/>
    <cellStyle name="Normal - Style1" xfId="31" xr:uid="{21F155A8-D425-4D1F-A85A-FD58B1360E62}"/>
    <cellStyle name="Normal 10" xfId="37" xr:uid="{2251A4FB-7386-4678-98C9-A0E23F878238}"/>
    <cellStyle name="Normal 11" xfId="48" xr:uid="{9582D04E-875D-4DE3-908C-3ECA3108442F}"/>
    <cellStyle name="Normal 12" xfId="50" xr:uid="{7BDE0B17-3A1C-4BD7-AEBA-0438F96E5400}"/>
    <cellStyle name="Normal 2" xfId="10" xr:uid="{00000000-0005-0000-0000-00000E000000}"/>
    <cellStyle name="Normal 2 2" xfId="14" xr:uid="{00000000-0005-0000-0000-00000F000000}"/>
    <cellStyle name="Normal 2 2 2" xfId="44" xr:uid="{ECE45599-994F-46DE-A353-173A52965C39}"/>
    <cellStyle name="Normal 2 2 3" xfId="45" xr:uid="{0FB9ECEA-81FF-47B0-A742-A6C8A1BA9786}"/>
    <cellStyle name="Normal 2 2 4" xfId="32" xr:uid="{CA2057B4-D096-4E2A-B8D3-7799F40CDCDF}"/>
    <cellStyle name="Normal 2 3" xfId="47" xr:uid="{5A67DC5E-9F30-4A95-B733-839FDE9B34E7}"/>
    <cellStyle name="Normal 2 3 2" xfId="58" xr:uid="{E5A9AC09-5435-4E9A-A06F-A62114A3F143}"/>
    <cellStyle name="Normal 2 4" xfId="49" xr:uid="{7F956B19-D6FC-4ACB-93F4-A106F7FCAEBA}"/>
    <cellStyle name="Normal 2 5" xfId="53" xr:uid="{AFE3908C-F555-453F-B7F4-C3FC3DEEF335}"/>
    <cellStyle name="Normal 2 6" xfId="25" xr:uid="{37BD0034-645C-4E71-A766-2DE0AEE16E0E}"/>
    <cellStyle name="Normal 3" xfId="12" xr:uid="{00000000-0005-0000-0000-000010000000}"/>
    <cellStyle name="Normal 3 2" xfId="46" xr:uid="{9ACADF21-8D9B-4891-8B3A-D260CB96916C}"/>
    <cellStyle name="Normal 3 2 2" xfId="55" xr:uid="{ABE75BC1-D598-4C3E-A268-C2F3BEC5DED4}"/>
    <cellStyle name="Normal 3 3" xfId="33" xr:uid="{F8308880-5534-464F-A897-838FC621FD98}"/>
    <cellStyle name="Normal 4" xfId="8" xr:uid="{00000000-0005-0000-0000-000011000000}"/>
    <cellStyle name="Normal 4 2" xfId="34" xr:uid="{FD6CE16F-03C2-4F44-B7D5-AEE34D23CAEF}"/>
    <cellStyle name="Normal 4 2 2" xfId="39" xr:uid="{AC3E1205-E5E6-4BEC-BBAC-30D4E3F85F90}"/>
    <cellStyle name="Normal 4 3" xfId="54" xr:uid="{703EEAFC-2F39-496A-A967-016F8A073FE2}"/>
    <cellStyle name="Normal 4 4" xfId="38" xr:uid="{D381B2D1-C641-4605-9377-1453EF5BEF1D}"/>
    <cellStyle name="Normal 5" xfId="20" xr:uid="{00000000-0005-0000-0000-000044000000}"/>
    <cellStyle name="Normal 5 2" xfId="27" xr:uid="{B8478FC9-83F0-40FB-8D3B-7CE8C4ED9CE8}"/>
    <cellStyle name="Normal 5 3" xfId="52" xr:uid="{6845A12F-956A-4FEA-B3F9-F9DFDC1143DC}"/>
    <cellStyle name="Normal 5 4" xfId="35" xr:uid="{1A1BA996-816C-426D-A44E-086452E39853}"/>
    <cellStyle name="Normal 6" xfId="40" xr:uid="{537D1B7F-A8D5-4B47-ACEF-1B56FCDA85A4}"/>
    <cellStyle name="Normal 6 2" xfId="56" xr:uid="{371F882D-7ABA-493A-93C2-DF9245042166}"/>
    <cellStyle name="Normal 7" xfId="41" xr:uid="{A0477F47-C7F1-420C-BA39-0A110B8F4F9A}"/>
    <cellStyle name="Normal 7 2" xfId="57" xr:uid="{20342888-2651-4C3B-809A-910D8CF5EF15}"/>
    <cellStyle name="Normal 8" xfId="42" xr:uid="{02DDA442-E220-4FB8-A535-9AE277C5A1B0}"/>
    <cellStyle name="Normal 9" xfId="28" xr:uid="{9C024FEA-FF16-4D19-8907-509BF0B2C81C}"/>
    <cellStyle name="Normal_13 Public Finance_done" xfId="2" xr:uid="{00000000-0005-0000-0000-000012000000}"/>
    <cellStyle name="Normal_EXDT-MPHRE (1)" xfId="24" xr:uid="{DC9BC7E5-CF74-4380-A33B-573C298AD1A1}"/>
    <cellStyle name="Percent" xfId="11" builtinId="5"/>
    <cellStyle name="Percent 2" xfId="16" xr:uid="{00000000-0005-0000-0000-000015000000}"/>
    <cellStyle name="Percent 2 2" xfId="26" xr:uid="{01D89AF1-CAA9-4D85-826B-6E38F663403B}"/>
    <cellStyle name="Percent 2 3" xfId="36" xr:uid="{D6DF988E-6E24-438E-83F6-6BF240646EE9}"/>
    <cellStyle name="Percent 3" xfId="22" xr:uid="{00000000-0005-0000-0000-000045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ACD4-9376-4334-BECD-40E1D574434C}">
  <sheetPr>
    <tabColor rgb="FF92D050"/>
  </sheetPr>
  <dimension ref="A1:L35"/>
  <sheetViews>
    <sheetView tabSelected="1" zoomScaleNormal="100" workbookViewId="0">
      <selection activeCell="L20" sqref="L20"/>
    </sheetView>
  </sheetViews>
  <sheetFormatPr defaultColWidth="24.7109375" defaultRowHeight="15"/>
  <cols>
    <col min="1" max="1" width="38" style="5" customWidth="1"/>
    <col min="2" max="5" width="10.5703125" style="5" customWidth="1"/>
    <col min="6" max="6" width="10" style="5" bestFit="1" customWidth="1"/>
    <col min="7" max="9" width="10.5703125" style="5" customWidth="1"/>
    <col min="10" max="10" width="66.85546875" style="5" customWidth="1"/>
    <col min="11" max="11" width="8.28515625" style="5" customWidth="1"/>
    <col min="12" max="16384" width="24.7109375" style="5"/>
  </cols>
  <sheetData>
    <row r="1" spans="1:12" ht="21">
      <c r="A1" s="55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6"/>
      <c r="L1" s="6"/>
    </row>
    <row r="2" spans="1:12">
      <c r="A2" s="53" t="s">
        <v>41</v>
      </c>
      <c r="B2" s="53"/>
      <c r="C2" s="53"/>
      <c r="D2" s="53"/>
      <c r="E2" s="53"/>
      <c r="F2" s="53"/>
      <c r="G2" s="53"/>
      <c r="H2" s="53"/>
      <c r="I2" s="53"/>
      <c r="J2" s="53"/>
      <c r="K2" s="6"/>
      <c r="L2" s="6"/>
    </row>
    <row r="3" spans="1:12" ht="17.2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6"/>
      <c r="L3" s="6"/>
    </row>
    <row r="4" spans="1:12">
      <c r="A4" s="56" t="s">
        <v>1</v>
      </c>
      <c r="B4" s="56"/>
      <c r="C4" s="56"/>
      <c r="D4" s="56"/>
      <c r="E4" s="56"/>
      <c r="F4" s="56"/>
      <c r="G4" s="56"/>
      <c r="H4" s="56"/>
      <c r="I4" s="56"/>
      <c r="J4" s="56"/>
      <c r="K4" s="7"/>
      <c r="L4" s="7"/>
    </row>
    <row r="5" spans="1:12" ht="17.25">
      <c r="A5" s="8"/>
      <c r="B5" s="9"/>
      <c r="C5" s="10"/>
      <c r="D5" s="9"/>
      <c r="E5" s="9"/>
      <c r="F5" s="9"/>
      <c r="G5" s="9"/>
      <c r="H5" s="9"/>
      <c r="I5" s="9"/>
      <c r="J5" s="11"/>
      <c r="K5" s="7"/>
      <c r="L5" s="7"/>
    </row>
    <row r="6" spans="1:12" ht="17.25">
      <c r="A6" s="12" t="s">
        <v>2</v>
      </c>
      <c r="B6" s="13">
        <v>2015</v>
      </c>
      <c r="C6" s="13">
        <v>2016</v>
      </c>
      <c r="D6" s="13">
        <v>2017</v>
      </c>
      <c r="E6" s="13">
        <v>2018</v>
      </c>
      <c r="F6" s="13">
        <v>2019</v>
      </c>
      <c r="G6" s="14">
        <v>2020</v>
      </c>
      <c r="H6" s="13">
        <v>2021</v>
      </c>
      <c r="I6" s="13">
        <v>2022</v>
      </c>
      <c r="J6" s="15" t="s">
        <v>3</v>
      </c>
      <c r="K6" s="6"/>
      <c r="L6" s="6"/>
    </row>
    <row r="7" spans="1:12" ht="15.75">
      <c r="A7" s="16" t="s">
        <v>4</v>
      </c>
      <c r="B7" s="46">
        <v>439.1</v>
      </c>
      <c r="C7" s="46">
        <v>2117.1</v>
      </c>
      <c r="D7" s="46">
        <v>778.2</v>
      </c>
      <c r="E7" s="46">
        <v>10348.4</v>
      </c>
      <c r="F7" s="46">
        <v>12728.3</v>
      </c>
      <c r="G7" s="47">
        <v>19078.5</v>
      </c>
      <c r="H7" s="47">
        <v>13486.6</v>
      </c>
      <c r="I7" s="47">
        <v>15683.5</v>
      </c>
      <c r="J7" s="17" t="s">
        <v>5</v>
      </c>
      <c r="K7" s="18"/>
      <c r="L7" s="18"/>
    </row>
    <row r="8" spans="1:12" ht="17.25">
      <c r="A8" s="16" t="s">
        <v>6</v>
      </c>
      <c r="B8" s="46">
        <v>110.3</v>
      </c>
      <c r="C8" s="46">
        <v>1842.5</v>
      </c>
      <c r="D8" s="46">
        <v>713.5</v>
      </c>
      <c r="E8" s="46">
        <v>12270</v>
      </c>
      <c r="F8" s="46">
        <v>7864.2</v>
      </c>
      <c r="G8" s="47">
        <v>10548.6</v>
      </c>
      <c r="H8" s="47">
        <v>3589.5</v>
      </c>
      <c r="I8" s="47">
        <v>4036</v>
      </c>
      <c r="J8" s="17" t="s">
        <v>7</v>
      </c>
      <c r="K8" s="18"/>
      <c r="L8" s="19"/>
    </row>
    <row r="9" spans="1:12" ht="15.75">
      <c r="A9" s="16" t="s">
        <v>8</v>
      </c>
      <c r="B9" s="46">
        <v>260.2</v>
      </c>
      <c r="C9" s="46">
        <v>163.30000000000001</v>
      </c>
      <c r="D9" s="46">
        <v>2057.1</v>
      </c>
      <c r="E9" s="46">
        <v>2706.1</v>
      </c>
      <c r="F9" s="46">
        <v>5465.6</v>
      </c>
      <c r="G9" s="47">
        <v>4229</v>
      </c>
      <c r="H9" s="47">
        <v>9152.5</v>
      </c>
      <c r="I9" s="47">
        <v>1846.5</v>
      </c>
      <c r="J9" s="17" t="s">
        <v>9</v>
      </c>
      <c r="K9" s="18"/>
      <c r="L9" s="18"/>
    </row>
    <row r="10" spans="1:12" ht="15.75">
      <c r="A10" s="16" t="s">
        <v>10</v>
      </c>
      <c r="B10" s="46">
        <v>26</v>
      </c>
      <c r="C10" s="46">
        <v>33.799999999999997</v>
      </c>
      <c r="D10" s="46">
        <v>46</v>
      </c>
      <c r="E10" s="46">
        <v>248.2</v>
      </c>
      <c r="F10" s="46">
        <v>555.5</v>
      </c>
      <c r="G10" s="47">
        <v>596.79999999999995</v>
      </c>
      <c r="H10" s="47">
        <v>300.10000000000002</v>
      </c>
      <c r="I10" s="47">
        <v>505</v>
      </c>
      <c r="J10" s="17" t="s">
        <v>11</v>
      </c>
      <c r="K10" s="18"/>
      <c r="L10" s="18"/>
    </row>
    <row r="11" spans="1:12" ht="15.75">
      <c r="A11" s="20" t="s">
        <v>12</v>
      </c>
      <c r="B11" s="48">
        <f>B10+B9</f>
        <v>286.2</v>
      </c>
      <c r="C11" s="48">
        <f>C9+C10</f>
        <v>197.10000000000002</v>
      </c>
      <c r="D11" s="48">
        <f t="shared" ref="D11:I11" si="0">D9+D10</f>
        <v>2103.1</v>
      </c>
      <c r="E11" s="48">
        <f t="shared" si="0"/>
        <v>2954.2999999999997</v>
      </c>
      <c r="F11" s="48">
        <f t="shared" si="0"/>
        <v>6021.1</v>
      </c>
      <c r="G11" s="48">
        <f t="shared" si="0"/>
        <v>4825.8</v>
      </c>
      <c r="H11" s="48">
        <f t="shared" si="0"/>
        <v>9452.6</v>
      </c>
      <c r="I11" s="48">
        <f t="shared" si="0"/>
        <v>2351.5</v>
      </c>
      <c r="J11" s="21" t="s">
        <v>13</v>
      </c>
      <c r="K11" s="18"/>
      <c r="L11" s="18"/>
    </row>
    <row r="12" spans="1:12" ht="15.75">
      <c r="A12" s="22" t="s">
        <v>14</v>
      </c>
      <c r="B12" s="23"/>
      <c r="C12" s="23"/>
      <c r="D12" s="23"/>
      <c r="E12" s="23"/>
      <c r="F12" s="23"/>
      <c r="G12" s="23"/>
      <c r="H12" s="24"/>
      <c r="I12" s="24"/>
      <c r="J12" s="3" t="s">
        <v>15</v>
      </c>
      <c r="K12" s="6"/>
      <c r="L12" s="6"/>
    </row>
    <row r="13" spans="1:12" ht="18.75">
      <c r="A13" s="25" t="s">
        <v>16</v>
      </c>
      <c r="B13" s="49">
        <v>63147</v>
      </c>
      <c r="C13" s="49">
        <v>67300</v>
      </c>
      <c r="D13" s="49">
        <v>73153</v>
      </c>
      <c r="E13" s="49">
        <v>81586</v>
      </c>
      <c r="F13" s="49">
        <v>86284</v>
      </c>
      <c r="G13" s="49">
        <v>57623</v>
      </c>
      <c r="H13" s="50">
        <v>83098</v>
      </c>
      <c r="I13" s="50">
        <v>95241</v>
      </c>
      <c r="J13" s="26" t="s">
        <v>17</v>
      </c>
      <c r="K13" s="6"/>
      <c r="L13" s="6"/>
    </row>
    <row r="14" spans="1:12" ht="15.75">
      <c r="A14" s="27" t="s">
        <v>18</v>
      </c>
      <c r="B14" s="28">
        <f t="shared" ref="B14:I14" si="1">B7/B13</f>
        <v>6.9536161654552078E-3</v>
      </c>
      <c r="C14" s="28">
        <f t="shared" si="1"/>
        <v>3.1457652303120358E-2</v>
      </c>
      <c r="D14" s="28">
        <f t="shared" si="1"/>
        <v>1.0637977936653316E-2</v>
      </c>
      <c r="E14" s="28">
        <f t="shared" si="1"/>
        <v>0.12684038928247493</v>
      </c>
      <c r="F14" s="28">
        <f t="shared" si="1"/>
        <v>0.14751634138426589</v>
      </c>
      <c r="G14" s="28">
        <f t="shared" si="1"/>
        <v>0.33109175155753778</v>
      </c>
      <c r="H14" s="28">
        <f t="shared" si="1"/>
        <v>0.16229752821969243</v>
      </c>
      <c r="I14" s="28">
        <f t="shared" si="1"/>
        <v>0.16467172751231088</v>
      </c>
      <c r="J14" s="51" t="s">
        <v>19</v>
      </c>
      <c r="K14" s="6"/>
      <c r="L14" s="6"/>
    </row>
    <row r="15" spans="1:12" ht="15.75" hidden="1">
      <c r="A15" s="25"/>
      <c r="B15" s="29"/>
      <c r="C15" s="29"/>
      <c r="D15" s="29"/>
      <c r="E15" s="30"/>
      <c r="F15" s="31"/>
      <c r="G15" s="31"/>
      <c r="H15" s="31"/>
      <c r="I15" s="31"/>
      <c r="J15" s="1"/>
      <c r="K15" s="6"/>
      <c r="L15" s="6"/>
    </row>
    <row r="16" spans="1:12" ht="15.75" hidden="1">
      <c r="A16" s="25" t="s">
        <v>20</v>
      </c>
      <c r="B16" s="32"/>
      <c r="C16" s="32"/>
      <c r="D16" s="32"/>
      <c r="E16" s="33"/>
      <c r="F16" s="33"/>
      <c r="G16" s="33"/>
      <c r="H16" s="33"/>
      <c r="I16" s="33"/>
      <c r="J16" s="1" t="s">
        <v>21</v>
      </c>
    </row>
    <row r="17" spans="1:10" ht="15.75" hidden="1">
      <c r="A17" s="25"/>
      <c r="B17" s="34"/>
      <c r="C17" s="35"/>
      <c r="D17" s="35"/>
      <c r="E17" s="31"/>
      <c r="F17" s="31"/>
      <c r="G17" s="31"/>
      <c r="H17" s="31"/>
      <c r="I17" s="31"/>
      <c r="J17" s="1"/>
    </row>
    <row r="18" spans="1:10" ht="15.75" hidden="1">
      <c r="A18" s="27" t="s">
        <v>22</v>
      </c>
      <c r="B18" s="36"/>
      <c r="C18" s="36"/>
      <c r="D18" s="36"/>
      <c r="E18" s="37"/>
      <c r="F18" s="37"/>
      <c r="G18" s="37"/>
      <c r="H18" s="37"/>
      <c r="I18" s="37"/>
      <c r="J18" s="38" t="s">
        <v>23</v>
      </c>
    </row>
    <row r="19" spans="1:10" ht="15.75">
      <c r="A19" s="25" t="s">
        <v>24</v>
      </c>
      <c r="B19" s="39"/>
      <c r="C19" s="40"/>
      <c r="D19" s="40"/>
      <c r="E19" s="40"/>
      <c r="F19" s="40"/>
      <c r="G19" s="40"/>
      <c r="H19" s="40"/>
      <c r="I19" s="40"/>
      <c r="J19" s="4" t="s">
        <v>25</v>
      </c>
    </row>
    <row r="20" spans="1:10" ht="15.75">
      <c r="A20" s="41" t="s">
        <v>26</v>
      </c>
      <c r="B20" s="42"/>
      <c r="C20" s="42"/>
      <c r="D20" s="42"/>
      <c r="E20" s="42"/>
      <c r="F20" s="42"/>
      <c r="G20" s="42"/>
      <c r="H20" s="42"/>
      <c r="I20" s="42"/>
      <c r="J20" s="4" t="s">
        <v>27</v>
      </c>
    </row>
    <row r="21" spans="1:10" ht="15.75">
      <c r="A21" s="41" t="s">
        <v>28</v>
      </c>
      <c r="B21" s="42"/>
      <c r="C21" s="42"/>
      <c r="D21" s="42"/>
      <c r="E21" s="42"/>
      <c r="F21" s="42"/>
      <c r="G21" s="42"/>
      <c r="H21" s="42"/>
      <c r="I21" s="42"/>
      <c r="J21" s="4" t="s">
        <v>29</v>
      </c>
    </row>
    <row r="22" spans="1:10" ht="15.75">
      <c r="A22" s="41" t="s">
        <v>30</v>
      </c>
      <c r="B22" s="42"/>
      <c r="C22" s="42"/>
      <c r="D22" s="42"/>
      <c r="E22" s="42"/>
      <c r="F22" s="42"/>
      <c r="G22" s="42"/>
      <c r="H22" s="42"/>
      <c r="I22" s="42"/>
      <c r="J22" s="4" t="s">
        <v>31</v>
      </c>
    </row>
    <row r="23" spans="1:10" ht="15.75">
      <c r="A23" s="41" t="s">
        <v>32</v>
      </c>
      <c r="B23" s="42"/>
      <c r="C23" s="42"/>
      <c r="D23" s="42"/>
      <c r="E23" s="42"/>
      <c r="F23" s="42"/>
      <c r="G23" s="42"/>
      <c r="H23" s="42"/>
      <c r="I23" s="42"/>
      <c r="J23" s="4" t="s">
        <v>33</v>
      </c>
    </row>
    <row r="24" spans="1:10" ht="15.75">
      <c r="A24" s="41" t="s">
        <v>34</v>
      </c>
      <c r="B24" s="6"/>
      <c r="C24" s="6"/>
      <c r="D24" s="6"/>
      <c r="E24" s="6"/>
      <c r="F24" s="6"/>
      <c r="G24" s="6"/>
      <c r="H24" s="6"/>
      <c r="I24" s="6"/>
      <c r="J24" s="4" t="s">
        <v>35</v>
      </c>
    </row>
    <row r="25" spans="1:10" ht="15.75">
      <c r="B25" s="6"/>
      <c r="C25" s="6"/>
      <c r="D25" s="6"/>
      <c r="E25" s="6"/>
      <c r="F25" s="6"/>
      <c r="G25" s="6"/>
      <c r="H25" s="6"/>
      <c r="I25" s="6"/>
      <c r="J25" s="4" t="s">
        <v>36</v>
      </c>
    </row>
    <row r="26" spans="1:10" ht="17.25">
      <c r="A26" s="43" t="s">
        <v>37</v>
      </c>
      <c r="B26" s="6"/>
      <c r="C26" s="6"/>
      <c r="D26" s="6"/>
      <c r="E26" s="6"/>
      <c r="F26" s="6"/>
      <c r="G26" s="6"/>
      <c r="H26" s="6"/>
      <c r="I26" s="6"/>
      <c r="J26" s="52"/>
    </row>
    <row r="27" spans="1:10">
      <c r="A27" s="44" t="s">
        <v>38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44" t="s">
        <v>39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45"/>
      <c r="B29" s="6"/>
      <c r="C29" s="6"/>
      <c r="D29" s="6"/>
      <c r="E29" s="6"/>
      <c r="F29" s="6"/>
      <c r="G29" s="6"/>
      <c r="H29" s="6"/>
      <c r="I29" s="6"/>
      <c r="J29" s="6"/>
    </row>
    <row r="35" spans="10:10">
      <c r="J35" s="2"/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scale="40" orientation="portrait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13.10</vt:lpstr>
      <vt:lpstr>'13.10'!Print_Area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2023-04-24T05:48:06Z</cp:lastPrinted>
  <dcterms:created xsi:type="dcterms:W3CDTF">2014-03-06T08:38:12Z</dcterms:created>
  <dcterms:modified xsi:type="dcterms:W3CDTF">2023-04-24T05:48:12Z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