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BE12B3FF-AEDC-40B1-BFE7-B8592770C018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3" sheetId="13" r:id="rId1"/>
  </sheets>
  <definedNames>
    <definedName name="_xlnm.Print_Area" localSheetId="0">'8.13'!$A$1:$S$62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4" i="13" l="1"/>
  <c r="AN45" i="13"/>
  <c r="AN46" i="13"/>
  <c r="AN47" i="13"/>
  <c r="AN48" i="13"/>
  <c r="AN49" i="13"/>
  <c r="AN50" i="13"/>
  <c r="AN51" i="13"/>
  <c r="AN52" i="13"/>
  <c r="AN53" i="13"/>
  <c r="AN54" i="13"/>
  <c r="AO43" i="13"/>
  <c r="AR43" i="13" s="1"/>
  <c r="AM44" i="13"/>
  <c r="AM45" i="13"/>
  <c r="AM46" i="13"/>
  <c r="AM47" i="13"/>
  <c r="AM48" i="13"/>
  <c r="AM49" i="13"/>
  <c r="AM50" i="13"/>
  <c r="AM51" i="13"/>
  <c r="AM52" i="13"/>
  <c r="AM53" i="13"/>
  <c r="AM54" i="13"/>
  <c r="AN43" i="13"/>
  <c r="AM43" i="13"/>
  <c r="AQ43" i="13" l="1"/>
  <c r="P8" i="13"/>
  <c r="N10" i="13"/>
  <c r="N11" i="13"/>
  <c r="N12" i="13"/>
  <c r="N13" i="13"/>
  <c r="N14" i="13"/>
  <c r="N15" i="13"/>
  <c r="N16" i="13"/>
  <c r="N17" i="13"/>
  <c r="N18" i="13"/>
  <c r="N19" i="13"/>
  <c r="N20" i="13"/>
  <c r="N9" i="13"/>
  <c r="O8" i="13" l="1"/>
  <c r="N8" i="13" s="1"/>
  <c r="L8" i="13"/>
  <c r="K8" i="13" l="1"/>
  <c r="J8" i="13"/>
  <c r="I8" i="13" s="1"/>
  <c r="G8" i="13"/>
  <c r="AO49" i="13" l="1"/>
  <c r="AQ49" i="13" s="1"/>
  <c r="AO53" i="13"/>
  <c r="AO50" i="13" l="1"/>
  <c r="AQ50" i="13" s="1"/>
  <c r="AO48" i="13"/>
  <c r="AO46" i="13"/>
  <c r="AQ46" i="13" s="1"/>
  <c r="AO47" i="13"/>
  <c r="AQ47" i="13" s="1"/>
  <c r="AO45" i="13"/>
  <c r="AQ45" i="13" s="1"/>
  <c r="AO52" i="13"/>
  <c r="AQ52" i="13" s="1"/>
  <c r="AO44" i="13"/>
  <c r="AQ44" i="13" s="1"/>
  <c r="AO51" i="13"/>
  <c r="AQ51" i="13" s="1"/>
  <c r="B20" i="13" l="1"/>
  <c r="B8" i="13" s="1"/>
  <c r="F20" i="13"/>
  <c r="E20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19" i="13"/>
  <c r="D18" i="13"/>
  <c r="D17" i="13"/>
  <c r="D16" i="13"/>
  <c r="D15" i="13"/>
  <c r="D14" i="13"/>
  <c r="D13" i="13"/>
  <c r="D12" i="13"/>
  <c r="D11" i="13"/>
  <c r="D10" i="13"/>
  <c r="D9" i="13"/>
  <c r="F8" i="13" l="1"/>
  <c r="E8" i="13"/>
  <c r="D8" i="13" s="1"/>
  <c r="D20" i="13"/>
  <c r="AO54" i="13" l="1"/>
  <c r="AQ54" i="13" s="1"/>
  <c r="AR44" i="13" l="1"/>
  <c r="AR45" i="13"/>
  <c r="AR46" i="13"/>
  <c r="AR47" i="13"/>
  <c r="AR49" i="13"/>
  <c r="AR50" i="13"/>
  <c r="AR51" i="13"/>
  <c r="AR52" i="13"/>
  <c r="AR54" i="13"/>
</calcChain>
</file>

<file path=xl/sharedStrings.xml><?xml version="1.0" encoding="utf-8"?>
<sst xmlns="http://schemas.openxmlformats.org/spreadsheetml/2006/main" count="113" uniqueCount="65">
  <si>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</si>
  <si>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</si>
  <si>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</si>
  <si>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</si>
  <si>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</si>
  <si>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</si>
  <si>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</si>
  <si>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</si>
  <si>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</si>
  <si>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</si>
  <si>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</si>
  <si>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</si>
  <si>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</si>
  <si>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</si>
  <si>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</si>
  <si>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</si>
  <si>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</si>
  <si>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</si>
  <si>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</si>
  <si>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</si>
  <si>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</si>
  <si>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</si>
  <si>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</si>
  <si>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</si>
  <si>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</si>
  <si>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</si>
  <si>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</si>
  <si>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</si>
  <si>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</si>
  <si>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</si>
  <si>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</si>
  <si>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</si>
  <si>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</si>
  <si>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</si>
  <si>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</si>
  <si>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</si>
  <si>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</si>
  <si>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</si>
  <si>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</si>
  <si>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</si>
  <si>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</si>
  <si>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</si>
  <si>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</si>
  <si>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</si>
  <si>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</si>
  <si>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</si>
  <si>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</si>
  <si>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</si>
  <si>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</si>
  <si>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</si>
  <si>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</si>
  <si>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</si>
  <si>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</si>
  <si>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</si>
  <si>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</si>
  <si>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</si>
  <si>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</si>
  <si>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</si>
  <si>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</si>
  <si>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</si>
  <si>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</si>
  <si>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</si>
  <si>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</si>
  <si>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2020 - 2022</t>
  </si>
  <si>
    <t xml:space="preserve">2022 - 2020  ،ތާވަލު 8.13: ހުށަހެޅިފައިވާ މައްސަލަތަކުގެ ތެރެއިން ހައްޔަރުކުރެވުނު މީހުންގެ އަދަދު އަދި ޖިންސް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</si>
</sst>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0"/>
    <numFmt numFmtId="168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/>
    <xf numFmtId="0" fontId="24" fillId="0" borderId="30" applyNumberFormat="0" applyFill="0" applyAlignment="0" applyProtection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8" fontId="27" fillId="0" borderId="0"/>
    <xf numFmtId="1" fontId="28" fillId="0" borderId="31" applyNumberFormat="0"/>
    <xf numFmtId="0" fontId="23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6" fillId="0" borderId="0"/>
    <xf numFmtId="40" fontId="26" fillId="0" borderId="0" applyFont="0" applyFill="0" applyBorder="0" applyAlignment="0" applyProtection="0"/>
    <xf numFmtId="0" fontId="26" fillId="0" borderId="0"/>
    <xf numFmtId="0" fontId="23" fillId="0" borderId="0"/>
    <xf numFmtId="1" fontId="28" fillId="0" borderId="31" applyNumberFormat="0"/>
    <xf numFmtId="0" fontId="1" fillId="0" borderId="0"/>
    <xf numFmtId="0" fontId="26" fillId="0" borderId="0"/>
    <xf numFmtId="0" fontId="11" fillId="0" borderId="0" applyFill="0" applyProtection="0"/>
    <xf numFmtId="1" fontId="28" fillId="0" borderId="31" applyNumberFormat="0"/>
    <xf numFmtId="43" fontId="1" fillId="0" borderId="0" applyFont="0" applyFill="0" applyBorder="0" applyAlignment="0" applyProtection="0"/>
    <xf numFmtId="0" fontId="1" fillId="0" borderId="0"/>
    <xf numFmtId="0" fontId="29" fillId="0" borderId="0"/>
    <xf numFmtId="0" fontId="30" fillId="0" borderId="0"/>
    <xf numFmtId="0" fontId="29" fillId="0" borderId="0"/>
    <xf numFmtId="0" fontId="1" fillId="0" borderId="0"/>
    <xf numFmtId="0" fontId="26" fillId="0" borderId="0"/>
    <xf numFmtId="0" fontId="11" fillId="0" borderId="0" applyFill="0" applyProtection="0"/>
    <xf numFmtId="1" fontId="28" fillId="0" borderId="31" applyNumberFormat="0"/>
    <xf numFmtId="0" fontId="1" fillId="0" borderId="0"/>
    <xf numFmtId="0" fontId="23" fillId="0" borderId="0"/>
    <xf numFmtId="0" fontId="29" fillId="0" borderId="0"/>
    <xf numFmtId="0" fontId="30" fillId="0" borderId="0"/>
    <xf numFmtId="0" fontId="23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6" fillId="0" borderId="0" applyFont="0" applyFill="0" applyBorder="0" applyAlignment="0" applyProtection="0"/>
    <xf numFmtId="0" fontId="1" fillId="0" borderId="0"/>
    <xf numFmtId="0" fontId="31" fillId="0" borderId="0" applyBorder="0"/>
    <xf numFmtId="0" fontId="1" fillId="0" borderId="0"/>
    <xf numFmtId="40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1" fillId="0" borderId="0" applyBorder="0"/>
    <xf numFmtId="0" fontId="1" fillId="0" borderId="0"/>
    <xf numFmtId="0" fontId="1" fillId="0" borderId="0"/>
    <xf numFmtId="1" fontId="28" fillId="0" borderId="31" applyNumberFormat="0"/>
    <xf numFmtId="1" fontId="28" fillId="0" borderId="31" applyNumberFormat="0"/>
    <xf numFmtId="1" fontId="28" fillId="0" borderId="31" applyNumberFormat="0"/>
    <xf numFmtId="1" fontId="28" fillId="0" borderId="31" applyNumberFormat="0"/>
  </cellStyleXfs>
  <cellXfs count="97">
    <xf numFmtId="0" fontId="0" fillId="0" borderId="0" xfId="0"/>
    <xf numFmtId="164" fontId="9" fillId="2" borderId="0" xfId="0" applyNumberFormat="1" applyFont="1" applyFill="1" applyAlignment="1">
      <alignment horizontal="left" vertical="center" indent="2"/>
    </xf>
    <xf numFmtId="164" fontId="4" fillId="2" borderId="0" xfId="0" applyNumberFormat="1" applyFont="1" applyFill="1" applyAlignment="1">
      <alignment horizontal="right" vertical="center" indent="2"/>
    </xf>
    <xf numFmtId="164" fontId="9" fillId="2" borderId="1" xfId="0" applyNumberFormat="1" applyFont="1" applyFill="1" applyBorder="1" applyAlignment="1">
      <alignment horizontal="left" vertical="center" indent="2"/>
    </xf>
    <xf numFmtId="164" fontId="4" fillId="2" borderId="1" xfId="0" applyNumberFormat="1" applyFont="1" applyFill="1" applyBorder="1" applyAlignment="1">
      <alignment horizontal="right" vertical="center" indent="2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0" fillId="2" borderId="0" xfId="0" applyFont="1" applyFill="1"/>
    <xf numFmtId="0" fontId="7" fillId="2" borderId="0" xfId="0" applyFont="1" applyFill="1"/>
    <xf numFmtId="0" fontId="5" fillId="2" borderId="10" xfId="0" applyFont="1" applyFill="1" applyBorder="1"/>
    <xf numFmtId="0" fontId="5" fillId="2" borderId="14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right" vertical="center" wrapText="1"/>
    </xf>
    <xf numFmtId="0" fontId="10" fillId="2" borderId="0" xfId="0" applyFont="1" applyFill="1"/>
    <xf numFmtId="0" fontId="15" fillId="2" borderId="4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right" vertical="center" wrapText="1"/>
    </xf>
    <xf numFmtId="165" fontId="3" fillId="2" borderId="7" xfId="1" applyNumberFormat="1" applyFont="1" applyFill="1" applyBorder="1" applyAlignment="1">
      <alignment horizontal="right" vertical="center"/>
    </xf>
    <xf numFmtId="165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4" fillId="2" borderId="5" xfId="0" applyFont="1" applyFill="1" applyBorder="1" applyAlignment="1">
      <alignment vertical="center"/>
    </xf>
    <xf numFmtId="167" fontId="10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65" fontId="6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5" fontId="6" fillId="2" borderId="7" xfId="1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 vertical="center" wrapText="1"/>
    </xf>
    <xf numFmtId="167" fontId="5" fillId="2" borderId="0" xfId="0" applyNumberFormat="1" applyFont="1" applyFill="1" applyAlignment="1">
      <alignment vertical="center"/>
    </xf>
    <xf numFmtId="165" fontId="16" fillId="2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3" fontId="6" fillId="2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top"/>
    </xf>
    <xf numFmtId="0" fontId="5" fillId="2" borderId="9" xfId="0" applyFont="1" applyFill="1" applyBorder="1"/>
    <xf numFmtId="164" fontId="9" fillId="2" borderId="0" xfId="0" applyNumberFormat="1" applyFont="1" applyFill="1" applyAlignment="1">
      <alignment horizontal="left" vertical="center" wrapText="1" indent="2"/>
    </xf>
    <xf numFmtId="3" fontId="6" fillId="2" borderId="24" xfId="1" applyNumberFormat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5" xfId="0" applyFont="1" applyFill="1" applyBorder="1"/>
    <xf numFmtId="0" fontId="13" fillId="2" borderId="5" xfId="0" applyFont="1" applyFill="1" applyBorder="1" applyAlignment="1">
      <alignment vertical="top"/>
    </xf>
    <xf numFmtId="0" fontId="5" fillId="2" borderId="13" xfId="0" applyFont="1" applyFill="1" applyBorder="1"/>
    <xf numFmtId="0" fontId="5" fillId="2" borderId="14" xfId="0" applyFont="1" applyFill="1" applyBorder="1"/>
    <xf numFmtId="0" fontId="10" fillId="2" borderId="27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right" vertical="center" wrapText="1"/>
    </xf>
    <xf numFmtId="165" fontId="6" fillId="2" borderId="26" xfId="1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5" fillId="2" borderId="27" xfId="0" applyFont="1" applyFill="1" applyBorder="1"/>
    <xf numFmtId="0" fontId="5" fillId="2" borderId="2" xfId="0" applyFont="1" applyFill="1" applyBorder="1"/>
    <xf numFmtId="0" fontId="5" fillId="2" borderId="27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9" xfId="0" applyFill="1" applyBorder="1"/>
    <xf numFmtId="0" fontId="0" fillId="2" borderId="11" xfId="0" applyFill="1" applyBorder="1"/>
    <xf numFmtId="1" fontId="5" fillId="2" borderId="0" xfId="0" applyNumberFormat="1" applyFont="1" applyFill="1" applyAlignment="1">
      <alignment horizontal="right" indent="1"/>
    </xf>
    <xf numFmtId="3" fontId="2" fillId="2" borderId="6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3" fontId="5" fillId="2" borderId="0" xfId="0" applyNumberFormat="1" applyFont="1" applyFill="1"/>
    <xf numFmtId="3" fontId="1" fillId="2" borderId="6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3" fontId="6" fillId="2" borderId="1" xfId="1" applyNumberFormat="1" applyFont="1" applyFill="1" applyBorder="1" applyAlignment="1">
      <alignment horizontal="right" vertical="center"/>
    </xf>
    <xf numFmtId="165" fontId="16" fillId="2" borderId="1" xfId="1" applyNumberFormat="1" applyFont="1" applyFill="1" applyBorder="1" applyAlignment="1">
      <alignment horizontal="right" vertical="center"/>
    </xf>
    <xf numFmtId="3" fontId="6" fillId="2" borderId="4" xfId="1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right" vertical="center" wrapText="1"/>
    </xf>
    <xf numFmtId="0" fontId="8" fillId="2" borderId="27" xfId="0" applyFont="1" applyFill="1" applyBorder="1" applyAlignment="1">
      <alignment vertical="center"/>
    </xf>
    <xf numFmtId="165" fontId="6" fillId="2" borderId="4" xfId="1" applyNumberFormat="1" applyFont="1" applyFill="1" applyBorder="1" applyAlignment="1">
      <alignment horizontal="right" vertical="center"/>
    </xf>
    <xf numFmtId="3" fontId="1" fillId="2" borderId="1" xfId="1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164" fontId="25" fillId="2" borderId="8" xfId="0" applyNumberFormat="1" applyFont="1" applyFill="1" applyBorder="1" applyAlignment="1">
      <alignment horizontal="right" vertical="center"/>
    </xf>
    <xf numFmtId="0" fontId="10" fillId="2" borderId="18" xfId="0" applyFont="1" applyFill="1" applyBorder="1" applyAlignment="1">
      <alignment horizontal="left" vertical="center" wrapText="1"/>
    </xf>
    <xf numFmtId="0" fontId="10" fillId="2" borderId="23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right" vertical="center"/>
    </xf>
    <xf numFmtId="0" fontId="15" fillId="2" borderId="23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21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0" fontId="10" fillId="2" borderId="17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2022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25889657663512516"/>
          <c:y val="3.706598741481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'8.13'!$AQ$42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'8.13'!$AL$43:$AL$53</c15:sqref>
                  </c15:fullRef>
                </c:ext>
              </c:extLst>
              <c:f>('8.13'!$AL$43:$AL$47,'8.13'!$AL$49:$AL$52)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'8.13'!$AQ$43:$AQ$53</c15:sqref>
                  </c15:fullRef>
                </c:ext>
              </c:extLst>
              <c:f>('8.13'!$AQ$43:$AQ$47,'8.13'!$AQ$49:$AQ$52)</c:f>
              <c:numCache>
                <c:formatCode>0</c:formatCode>
                <c:ptCount val="9"/>
                <c:pt idx="0">
                  <c:v>98.492462311557787</c:v>
                </c:pt>
                <c:pt idx="1">
                  <c:v>99.516908212560381</c:v>
                </c:pt>
                <c:pt idx="2">
                  <c:v>94.029850746268664</c:v>
                </c:pt>
                <c:pt idx="3">
                  <c:v>96.698113207547166</c:v>
                </c:pt>
                <c:pt idx="4">
                  <c:v>92.800000000000011</c:v>
                </c:pt>
                <c:pt idx="5">
                  <c:v>90.909090909090907</c:v>
                </c:pt>
                <c:pt idx="6">
                  <c:v>83.333333333333343</c:v>
                </c:pt>
                <c:pt idx="7">
                  <c:v>95.918367346938766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4F78-83CD-571957C46433}"/>
            </c:ext>
          </c:extLst>
        </c:ser>
        <c:ser>
          <c:idx val="1"/>
          <c:order val="1"/>
          <c:tx>
            <c:strRef>
              <c:f>'8.13'!$AR$42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'8.13'!$AL$43:$AL$53</c15:sqref>
                  </c15:fullRef>
                </c:ext>
              </c:extLst>
              <c:f>('8.13'!$AL$43:$AL$47,'8.13'!$AL$49:$AL$52)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'8.13'!$AR$43:$AR$53</c15:sqref>
                  </c15:fullRef>
                </c:ext>
              </c:extLst>
              <c:f>('8.13'!$AR$43:$AR$47,'8.13'!$AR$49:$AR$52)</c:f>
              <c:numCache>
                <c:formatCode>0</c:formatCode>
                <c:ptCount val="9"/>
                <c:pt idx="0">
                  <c:v>1.5075376884422109</c:v>
                </c:pt>
                <c:pt idx="1">
                  <c:v>0.48309178743961351</c:v>
                </c:pt>
                <c:pt idx="2">
                  <c:v>5.9701492537313428</c:v>
                </c:pt>
                <c:pt idx="3">
                  <c:v>3.3018867924528301</c:v>
                </c:pt>
                <c:pt idx="4">
                  <c:v>7.1999999999999993</c:v>
                </c:pt>
                <c:pt idx="5">
                  <c:v>9.0909090909090917</c:v>
                </c:pt>
                <c:pt idx="6">
                  <c:v>16.666666666666664</c:v>
                </c:pt>
                <c:pt idx="7">
                  <c:v>4.0816326530612246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7-4F78-83CD-571957C4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57824"/>
        <c:axId val="132159360"/>
      </c:barChart>
      <c:catAx>
        <c:axId val="1321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9360"/>
        <c:crosses val="autoZero"/>
        <c:auto val="1"/>
        <c:lblAlgn val="ctr"/>
        <c:lblOffset val="100"/>
        <c:noMultiLvlLbl val="0"/>
      </c:catAx>
      <c:valAx>
        <c:axId val="132159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78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8836789411351873"/>
          <c:w val="0.21202311283725028"/>
          <c:h val="9.2065641722958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1573055</xdr:colOff>
      <xdr:row>34</xdr:row>
      <xdr:rowOff>129581</xdr:rowOff>
    </xdr:from>
    <xdr:to>
      <xdr:col>16</xdr:col>
      <xdr:colOff>1114299</xdr:colOff>
      <xdr:row>55</xdr:row>
      <xdr:rowOff>104908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</sheetPr>
  <dimension ref="A1:AU545"/>
  <sheetViews>
    <sheetView tabSelected="1" zoomScale="80" zoomScaleNormal="80" zoomScaleSheetLayoutView="33" workbookViewId="0">
      <selection activeCell="U37" sqref="U37"/>
    </sheetView>
  </sheetViews>
  <sheetFormatPr defaultColWidth="9.140625" defaultRowHeight="12.75"/>
  <cols>
    <col min="1" max="1" width="28.42578125" style="11" customWidth="1"/>
    <col min="2" max="2" width="15.85546875" style="11" customWidth="1"/>
    <col min="3" max="3" width="2" style="11" customWidth="1"/>
    <col min="4" max="6" width="12.28515625" style="11" customWidth="1"/>
    <col min="7" max="7" width="15.85546875" style="11" customWidth="1"/>
    <col min="8" max="8" width="2" style="11" customWidth="1"/>
    <col min="9" max="11" width="12.28515625" style="11" customWidth="1"/>
    <col min="12" max="12" width="15.85546875" style="11" customWidth="1"/>
    <col min="13" max="13" width="2" style="11" customWidth="1"/>
    <col min="14" max="15" width="12.28515625" style="11" customWidth="1"/>
    <col min="16" max="16" width="14.140625" style="11" customWidth="1"/>
    <col min="17" max="17" width="27.140625" style="59" customWidth="1"/>
    <col min="18" max="18" width="2" style="11" customWidth="1"/>
    <col min="19" max="42" width="9.140625" style="11"/>
    <col min="43" max="44" width="14.140625" style="11" bestFit="1" customWidth="1"/>
    <col min="45" max="16384" width="9.140625" style="11"/>
  </cols>
  <sheetData>
    <row r="1" spans="1:47" s="7" customFormat="1" ht="24.75" customHeight="1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8"/>
    </row>
    <row r="2" spans="1:47" s="8" customFormat="1" ht="14.25" customHeight="1">
      <c r="A2" s="79" t="s">
        <v>63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47">
      <c r="A3" s="4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47" s="12" customFormat="1" ht="19.5" customHeight="1">
      <c r="A4" s="74" t="s">
        <v>51</v>
      </c>
      <c r="B4" s="87">
        <v>2020</v>
      </c>
      <c r="C4" s="81"/>
      <c r="D4" s="81"/>
      <c r="E4" s="81"/>
      <c r="F4" s="82"/>
      <c r="G4" s="81">
        <v>2021</v>
      </c>
      <c r="H4" s="81"/>
      <c r="I4" s="81"/>
      <c r="J4" s="81"/>
      <c r="K4" s="81"/>
      <c r="L4" s="87">
        <v>2022</v>
      </c>
      <c r="M4" s="81"/>
      <c r="N4" s="81"/>
      <c r="O4" s="81"/>
      <c r="P4" s="94"/>
      <c r="Q4" s="83" t="s">
        <v>52</v>
      </c>
      <c r="R4" s="96"/>
    </row>
    <row r="5" spans="1:47" s="12" customFormat="1" ht="19.5" customHeight="1">
      <c r="A5" s="75"/>
      <c r="B5" s="88" t="s">
        <v>53</v>
      </c>
      <c r="C5" s="60"/>
      <c r="D5" s="90" t="s">
        <v>54</v>
      </c>
      <c r="E5" s="90"/>
      <c r="F5" s="91"/>
      <c r="G5" s="92" t="s">
        <v>53</v>
      </c>
      <c r="H5" s="60"/>
      <c r="I5" s="90" t="s">
        <v>54</v>
      </c>
      <c r="J5" s="90"/>
      <c r="K5" s="90"/>
      <c r="L5" s="88" t="s">
        <v>53</v>
      </c>
      <c r="M5" s="60"/>
      <c r="N5" s="90" t="s">
        <v>54</v>
      </c>
      <c r="O5" s="90"/>
      <c r="P5" s="95"/>
      <c r="Q5" s="84"/>
      <c r="R5" s="96"/>
    </row>
    <row r="6" spans="1:47" s="14" customFormat="1" ht="13.5" customHeight="1">
      <c r="A6" s="75"/>
      <c r="B6" s="89"/>
      <c r="C6" s="61"/>
      <c r="D6" s="61" t="s">
        <v>55</v>
      </c>
      <c r="E6" s="61" t="s">
        <v>56</v>
      </c>
      <c r="F6" s="13" t="s">
        <v>57</v>
      </c>
      <c r="G6" s="93"/>
      <c r="H6" s="61"/>
      <c r="I6" s="61" t="s">
        <v>55</v>
      </c>
      <c r="J6" s="61" t="s">
        <v>56</v>
      </c>
      <c r="K6" s="61" t="s">
        <v>57</v>
      </c>
      <c r="L6" s="89"/>
      <c r="M6" s="61"/>
      <c r="N6" s="61" t="s">
        <v>55</v>
      </c>
      <c r="O6" s="61" t="s">
        <v>56</v>
      </c>
      <c r="P6" s="61" t="s">
        <v>57</v>
      </c>
      <c r="Q6" s="85"/>
      <c r="R6" s="96"/>
    </row>
    <row r="7" spans="1:47" s="14" customFormat="1" ht="31.5" customHeight="1">
      <c r="A7" s="76"/>
      <c r="B7" s="15" t="s">
        <v>58</v>
      </c>
      <c r="C7" s="16"/>
      <c r="D7" s="17" t="s">
        <v>59</v>
      </c>
      <c r="E7" s="17" t="s">
        <v>60</v>
      </c>
      <c r="F7" s="47" t="s">
        <v>61</v>
      </c>
      <c r="G7" s="16" t="s">
        <v>58</v>
      </c>
      <c r="H7" s="16"/>
      <c r="I7" s="17" t="s">
        <v>59</v>
      </c>
      <c r="J7" s="17" t="s">
        <v>60</v>
      </c>
      <c r="K7" s="17" t="s">
        <v>61</v>
      </c>
      <c r="L7" s="15" t="s">
        <v>58</v>
      </c>
      <c r="M7" s="16"/>
      <c r="N7" s="17" t="s">
        <v>59</v>
      </c>
      <c r="O7" s="17" t="s">
        <v>60</v>
      </c>
      <c r="P7" s="17" t="s">
        <v>61</v>
      </c>
      <c r="Q7" s="86"/>
      <c r="R7" s="96"/>
    </row>
    <row r="8" spans="1:47" s="6" customFormat="1" ht="21.75" customHeight="1">
      <c r="A8" s="43" t="s">
        <v>1</v>
      </c>
      <c r="B8" s="18">
        <f>SUM(B9:B20)</f>
        <v>12787</v>
      </c>
      <c r="C8" s="19"/>
      <c r="D8" s="20">
        <f>SUM(E8:F8)</f>
        <v>3819</v>
      </c>
      <c r="E8" s="20">
        <f>SUM(E9:E20)</f>
        <v>3758</v>
      </c>
      <c r="F8" s="58">
        <f>SUM(F9:F20)</f>
        <v>61</v>
      </c>
      <c r="G8" s="19">
        <f>SUM(G9:G20)</f>
        <v>14143</v>
      </c>
      <c r="H8" s="19"/>
      <c r="I8" s="20">
        <f>SUM(J8:K8)</f>
        <v>2941</v>
      </c>
      <c r="J8" s="20">
        <f>SUM(J9:J20)</f>
        <v>2885</v>
      </c>
      <c r="K8" s="20">
        <f>SUM(K9:K20)</f>
        <v>56</v>
      </c>
      <c r="L8" s="18">
        <f>SUM(L9:L20)</f>
        <v>13543</v>
      </c>
      <c r="M8" s="19"/>
      <c r="N8" s="20">
        <f>SUM(O8:P8)</f>
        <v>2646</v>
      </c>
      <c r="O8" s="20">
        <f>SUM(O9:O20)</f>
        <v>2580</v>
      </c>
      <c r="P8" s="20">
        <f>SUM(P9:P20)</f>
        <v>66</v>
      </c>
      <c r="Q8" s="21" t="s">
        <v>49</v>
      </c>
      <c r="R8" s="22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pans="1:47" s="24" customFormat="1" ht="19.5" customHeight="1">
      <c r="A9" s="44" t="s">
        <v>6</v>
      </c>
      <c r="B9" s="28">
        <v>661</v>
      </c>
      <c r="C9" s="25"/>
      <c r="D9" s="26">
        <f>SUM(E9:F9)</f>
        <v>324</v>
      </c>
      <c r="E9" s="27">
        <v>321</v>
      </c>
      <c r="F9" s="63">
        <v>3</v>
      </c>
      <c r="G9" s="28">
        <v>610</v>
      </c>
      <c r="H9" s="25"/>
      <c r="I9" s="26">
        <v>240</v>
      </c>
      <c r="J9" s="27">
        <v>233</v>
      </c>
      <c r="K9" s="27">
        <v>7</v>
      </c>
      <c r="L9" s="28">
        <v>3982</v>
      </c>
      <c r="M9" s="25"/>
      <c r="N9" s="26">
        <f>O9+P9</f>
        <v>199</v>
      </c>
      <c r="O9" s="27">
        <v>196</v>
      </c>
      <c r="P9" s="27">
        <v>3</v>
      </c>
      <c r="Q9" s="29" t="s">
        <v>11</v>
      </c>
      <c r="R9" s="30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pans="1:47" s="24" customFormat="1" ht="19.5" customHeight="1">
      <c r="A10" s="44" t="s">
        <v>0</v>
      </c>
      <c r="B10" s="28">
        <v>3581</v>
      </c>
      <c r="C10" s="25"/>
      <c r="D10" s="26">
        <f t="shared" ref="D10:D19" si="0">SUM(E10:F10)</f>
        <v>770</v>
      </c>
      <c r="E10" s="27">
        <v>768</v>
      </c>
      <c r="F10" s="63">
        <v>2</v>
      </c>
      <c r="G10" s="28">
        <v>4662</v>
      </c>
      <c r="H10" s="25"/>
      <c r="I10" s="26">
        <v>962</v>
      </c>
      <c r="J10" s="27">
        <v>952</v>
      </c>
      <c r="K10" s="27">
        <v>10</v>
      </c>
      <c r="L10" s="28">
        <v>1618</v>
      </c>
      <c r="M10" s="25"/>
      <c r="N10" s="26">
        <f t="shared" ref="N10:N20" si="1">O10+P10</f>
        <v>828</v>
      </c>
      <c r="O10" s="27">
        <v>824</v>
      </c>
      <c r="P10" s="27">
        <v>4</v>
      </c>
      <c r="Q10" s="29" t="s">
        <v>3</v>
      </c>
      <c r="R10" s="30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spans="1:47" s="24" customFormat="1" ht="19.5" customHeight="1">
      <c r="A11" s="44" t="s">
        <v>10</v>
      </c>
      <c r="B11" s="28">
        <v>348</v>
      </c>
      <c r="C11" s="25"/>
      <c r="D11" s="26">
        <f t="shared" si="0"/>
        <v>100</v>
      </c>
      <c r="E11" s="27">
        <v>95</v>
      </c>
      <c r="F11" s="27">
        <v>5</v>
      </c>
      <c r="G11" s="28">
        <v>377</v>
      </c>
      <c r="H11" s="25"/>
      <c r="I11" s="26">
        <v>106</v>
      </c>
      <c r="J11" s="27">
        <v>102</v>
      </c>
      <c r="K11" s="27">
        <v>4</v>
      </c>
      <c r="L11" s="28">
        <v>1429</v>
      </c>
      <c r="M11" s="25"/>
      <c r="N11" s="26">
        <f t="shared" si="1"/>
        <v>67</v>
      </c>
      <c r="O11" s="27">
        <v>63</v>
      </c>
      <c r="P11" s="27">
        <v>4</v>
      </c>
      <c r="Q11" s="29" t="s">
        <v>16</v>
      </c>
      <c r="R11" s="30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s="24" customFormat="1" ht="19.5" customHeight="1">
      <c r="A12" s="44" t="s">
        <v>4</v>
      </c>
      <c r="B12" s="28">
        <v>1425</v>
      </c>
      <c r="C12" s="25"/>
      <c r="D12" s="26">
        <f t="shared" si="0"/>
        <v>1219</v>
      </c>
      <c r="E12" s="27">
        <v>1195</v>
      </c>
      <c r="F12" s="27">
        <v>24</v>
      </c>
      <c r="G12" s="28">
        <v>1440</v>
      </c>
      <c r="H12" s="25"/>
      <c r="I12" s="26">
        <v>1119</v>
      </c>
      <c r="J12" s="27">
        <v>1099</v>
      </c>
      <c r="K12" s="27">
        <v>20</v>
      </c>
      <c r="L12" s="28">
        <v>1412</v>
      </c>
      <c r="M12" s="25"/>
      <c r="N12" s="26">
        <f t="shared" si="1"/>
        <v>1060</v>
      </c>
      <c r="O12" s="27">
        <v>1025</v>
      </c>
      <c r="P12" s="27">
        <v>35</v>
      </c>
      <c r="Q12" s="29" t="s">
        <v>8</v>
      </c>
      <c r="R12" s="30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s="24" customFormat="1" ht="19.5" customHeight="1">
      <c r="A13" s="44" t="s">
        <v>14</v>
      </c>
      <c r="B13" s="28">
        <v>490</v>
      </c>
      <c r="C13" s="25"/>
      <c r="D13" s="26">
        <f t="shared" si="0"/>
        <v>202</v>
      </c>
      <c r="E13" s="27">
        <v>190</v>
      </c>
      <c r="F13" s="27">
        <v>12</v>
      </c>
      <c r="G13" s="28">
        <v>342</v>
      </c>
      <c r="H13" s="25"/>
      <c r="I13" s="26">
        <v>88</v>
      </c>
      <c r="J13" s="27">
        <v>84</v>
      </c>
      <c r="K13" s="27">
        <v>4</v>
      </c>
      <c r="L13" s="28">
        <v>521</v>
      </c>
      <c r="M13" s="25"/>
      <c r="N13" s="26">
        <f t="shared" si="1"/>
        <v>125</v>
      </c>
      <c r="O13" s="27">
        <v>116</v>
      </c>
      <c r="P13" s="27">
        <v>9</v>
      </c>
      <c r="Q13" s="29" t="s">
        <v>62</v>
      </c>
      <c r="R13" s="30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</row>
    <row r="14" spans="1:47" s="24" customFormat="1" ht="19.5" customHeight="1">
      <c r="A14" s="44" t="s">
        <v>2</v>
      </c>
      <c r="B14" s="28">
        <v>1390</v>
      </c>
      <c r="C14" s="25"/>
      <c r="D14" s="26">
        <f t="shared" si="0"/>
        <v>1</v>
      </c>
      <c r="E14" s="27">
        <v>1</v>
      </c>
      <c r="F14" s="27">
        <v>0</v>
      </c>
      <c r="G14" s="28">
        <v>1553</v>
      </c>
      <c r="H14" s="25"/>
      <c r="I14" s="26">
        <v>0</v>
      </c>
      <c r="J14" s="27">
        <v>0</v>
      </c>
      <c r="K14" s="27">
        <v>0</v>
      </c>
      <c r="L14" s="28">
        <v>482</v>
      </c>
      <c r="M14" s="25"/>
      <c r="N14" s="26">
        <f t="shared" si="1"/>
        <v>1</v>
      </c>
      <c r="O14" s="27">
        <v>1</v>
      </c>
      <c r="P14" s="27">
        <v>0</v>
      </c>
      <c r="Q14" s="29" t="s">
        <v>5</v>
      </c>
      <c r="R14" s="30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</row>
    <row r="15" spans="1:47" s="24" customFormat="1" ht="19.5" customHeight="1">
      <c r="A15" s="44" t="s">
        <v>18</v>
      </c>
      <c r="B15" s="28">
        <v>245</v>
      </c>
      <c r="C15" s="25"/>
      <c r="D15" s="26">
        <f t="shared" si="0"/>
        <v>24</v>
      </c>
      <c r="E15" s="27">
        <v>24</v>
      </c>
      <c r="F15" s="27">
        <v>0</v>
      </c>
      <c r="G15" s="28">
        <v>267</v>
      </c>
      <c r="H15" s="25"/>
      <c r="I15" s="26">
        <v>24</v>
      </c>
      <c r="J15" s="27">
        <v>24</v>
      </c>
      <c r="K15" s="27">
        <v>0</v>
      </c>
      <c r="L15" s="28">
        <v>372</v>
      </c>
      <c r="M15" s="25"/>
      <c r="N15" s="26">
        <f t="shared" si="1"/>
        <v>11</v>
      </c>
      <c r="O15" s="27">
        <v>10</v>
      </c>
      <c r="P15" s="27">
        <v>1</v>
      </c>
      <c r="Q15" s="29" t="s">
        <v>21</v>
      </c>
      <c r="R15" s="30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</row>
    <row r="16" spans="1:47" s="24" customFormat="1" ht="19.5" customHeight="1">
      <c r="A16" s="45" t="s">
        <v>20</v>
      </c>
      <c r="B16" s="28">
        <v>108</v>
      </c>
      <c r="C16" s="25"/>
      <c r="D16" s="26">
        <f t="shared" si="0"/>
        <v>3</v>
      </c>
      <c r="E16" s="27">
        <v>3</v>
      </c>
      <c r="F16" s="27">
        <v>0</v>
      </c>
      <c r="G16" s="28">
        <v>150</v>
      </c>
      <c r="H16" s="25"/>
      <c r="I16" s="26">
        <v>5</v>
      </c>
      <c r="J16" s="27">
        <v>5</v>
      </c>
      <c r="K16" s="27">
        <v>0</v>
      </c>
      <c r="L16" s="28">
        <v>334</v>
      </c>
      <c r="M16" s="25"/>
      <c r="N16" s="26">
        <f t="shared" si="1"/>
        <v>6</v>
      </c>
      <c r="O16" s="27">
        <v>5</v>
      </c>
      <c r="P16" s="27">
        <v>1</v>
      </c>
      <c r="Q16" s="29" t="s">
        <v>50</v>
      </c>
      <c r="R16" s="30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</row>
    <row r="17" spans="1:47" s="24" customFormat="1" ht="19.5" customHeight="1">
      <c r="A17" s="44" t="s">
        <v>12</v>
      </c>
      <c r="B17" s="28">
        <v>395</v>
      </c>
      <c r="C17" s="25"/>
      <c r="D17" s="26">
        <f t="shared" si="0"/>
        <v>59</v>
      </c>
      <c r="E17" s="27">
        <v>59</v>
      </c>
      <c r="F17" s="27">
        <v>0</v>
      </c>
      <c r="G17" s="28">
        <v>503</v>
      </c>
      <c r="H17" s="25"/>
      <c r="I17" s="26">
        <v>51</v>
      </c>
      <c r="J17" s="27">
        <v>50</v>
      </c>
      <c r="K17" s="27">
        <v>1</v>
      </c>
      <c r="L17" s="28">
        <v>914</v>
      </c>
      <c r="M17" s="25"/>
      <c r="N17" s="26">
        <f t="shared" si="1"/>
        <v>49</v>
      </c>
      <c r="O17" s="27">
        <v>47</v>
      </c>
      <c r="P17" s="27">
        <v>2</v>
      </c>
      <c r="Q17" s="29" t="s">
        <v>13</v>
      </c>
      <c r="R17" s="30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</row>
    <row r="18" spans="1:47" s="24" customFormat="1" ht="19.5" customHeight="1">
      <c r="A18" s="44" t="s">
        <v>17</v>
      </c>
      <c r="B18" s="28">
        <v>609</v>
      </c>
      <c r="C18" s="25"/>
      <c r="D18" s="26">
        <f t="shared" si="0"/>
        <v>31</v>
      </c>
      <c r="E18" s="27">
        <v>30</v>
      </c>
      <c r="F18" s="27">
        <v>1</v>
      </c>
      <c r="G18" s="28">
        <v>987</v>
      </c>
      <c r="H18" s="25"/>
      <c r="I18" s="26">
        <v>29</v>
      </c>
      <c r="J18" s="27">
        <v>28</v>
      </c>
      <c r="K18" s="27">
        <v>1</v>
      </c>
      <c r="L18" s="28">
        <v>228</v>
      </c>
      <c r="M18" s="25"/>
      <c r="N18" s="26">
        <f t="shared" si="1"/>
        <v>17</v>
      </c>
      <c r="O18" s="27">
        <v>17</v>
      </c>
      <c r="P18" s="27">
        <v>0</v>
      </c>
      <c r="Q18" s="29" t="s">
        <v>19</v>
      </c>
      <c r="R18" s="30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</row>
    <row r="19" spans="1:47" s="24" customFormat="1" ht="19.5" customHeight="1">
      <c r="A19" s="46" t="s">
        <v>27</v>
      </c>
      <c r="B19" s="28">
        <v>744</v>
      </c>
      <c r="C19" s="31"/>
      <c r="D19" s="26">
        <f t="shared" si="0"/>
        <v>0</v>
      </c>
      <c r="E19" s="27">
        <v>0</v>
      </c>
      <c r="F19" s="27">
        <v>0</v>
      </c>
      <c r="G19" s="28">
        <v>974</v>
      </c>
      <c r="H19" s="31"/>
      <c r="I19" s="26">
        <v>1</v>
      </c>
      <c r="J19" s="27">
        <v>1</v>
      </c>
      <c r="K19" s="27">
        <v>0</v>
      </c>
      <c r="L19" s="28">
        <v>116</v>
      </c>
      <c r="M19" s="31"/>
      <c r="N19" s="26">
        <f t="shared" si="1"/>
        <v>2</v>
      </c>
      <c r="O19" s="27">
        <v>2</v>
      </c>
      <c r="P19" s="27">
        <v>0</v>
      </c>
      <c r="Q19" s="29" t="s">
        <v>9</v>
      </c>
      <c r="R19" s="30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</row>
    <row r="20" spans="1:47" s="24" customFormat="1" ht="19.5" customHeight="1">
      <c r="A20" s="64" t="s">
        <v>7</v>
      </c>
      <c r="B20" s="67">
        <f>SUM(B21:B33)</f>
        <v>2791</v>
      </c>
      <c r="C20" s="66"/>
      <c r="D20" s="65">
        <f>SUM(E20:F20)</f>
        <v>1086</v>
      </c>
      <c r="E20" s="65">
        <f>SUM(E21:E33)</f>
        <v>1072</v>
      </c>
      <c r="F20" s="65">
        <f>SUM(F21:F33)</f>
        <v>14</v>
      </c>
      <c r="G20" s="70">
        <v>2278</v>
      </c>
      <c r="H20" s="66"/>
      <c r="I20" s="71">
        <v>316</v>
      </c>
      <c r="J20" s="72">
        <v>307</v>
      </c>
      <c r="K20" s="72">
        <v>9</v>
      </c>
      <c r="L20" s="70">
        <v>2135</v>
      </c>
      <c r="M20" s="66"/>
      <c r="N20" s="71">
        <f t="shared" si="1"/>
        <v>281</v>
      </c>
      <c r="O20" s="72">
        <v>274</v>
      </c>
      <c r="P20" s="72">
        <v>7</v>
      </c>
      <c r="Q20" s="68" t="s">
        <v>24</v>
      </c>
      <c r="R20" s="30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</row>
    <row r="21" spans="1:47" s="34" customFormat="1" ht="19.5" hidden="1" customHeight="1">
      <c r="A21" s="1" t="s">
        <v>25</v>
      </c>
      <c r="B21" s="28">
        <v>24</v>
      </c>
      <c r="C21" s="54"/>
      <c r="D21" s="33">
        <f t="shared" ref="D21:D33" si="2">SUM(E21:F21)</f>
        <v>4</v>
      </c>
      <c r="E21" s="49">
        <v>4</v>
      </c>
      <c r="F21" s="49">
        <v>0</v>
      </c>
      <c r="G21" s="28"/>
      <c r="H21" s="54"/>
      <c r="I21" s="33"/>
      <c r="J21" s="49"/>
      <c r="K21" s="49"/>
      <c r="L21" s="28"/>
      <c r="M21" s="54"/>
      <c r="N21" s="33"/>
      <c r="O21" s="49"/>
      <c r="P21" s="49"/>
      <c r="Q21" s="2" t="s">
        <v>26</v>
      </c>
    </row>
    <row r="22" spans="1:47" ht="19.5" hidden="1" customHeight="1">
      <c r="A22" s="1" t="s">
        <v>28</v>
      </c>
      <c r="B22" s="28">
        <v>63</v>
      </c>
      <c r="C22" s="55"/>
      <c r="D22" s="33">
        <f t="shared" si="2"/>
        <v>7</v>
      </c>
      <c r="E22" s="49">
        <v>7</v>
      </c>
      <c r="F22" s="49">
        <v>0</v>
      </c>
      <c r="G22" s="28"/>
      <c r="H22" s="55"/>
      <c r="I22" s="33"/>
      <c r="J22" s="49"/>
      <c r="K22" s="49"/>
      <c r="L22" s="28"/>
      <c r="M22" s="55"/>
      <c r="N22" s="33"/>
      <c r="O22" s="49"/>
      <c r="P22" s="49"/>
      <c r="Q22" s="2" t="s">
        <v>29</v>
      </c>
    </row>
    <row r="23" spans="1:47" ht="19.5" hidden="1" customHeight="1">
      <c r="A23" s="1" t="s">
        <v>31</v>
      </c>
      <c r="B23" s="28">
        <v>40</v>
      </c>
      <c r="C23" s="55"/>
      <c r="D23" s="33">
        <f t="shared" si="2"/>
        <v>0</v>
      </c>
      <c r="E23" s="49">
        <v>0</v>
      </c>
      <c r="F23" s="49">
        <v>0</v>
      </c>
      <c r="G23" s="28"/>
      <c r="H23" s="55"/>
      <c r="I23" s="33"/>
      <c r="J23" s="49"/>
      <c r="K23" s="49"/>
      <c r="L23" s="28"/>
      <c r="M23" s="55"/>
      <c r="N23" s="33"/>
      <c r="O23" s="49"/>
      <c r="P23" s="49"/>
      <c r="Q23" s="2" t="s">
        <v>32</v>
      </c>
    </row>
    <row r="24" spans="1:47" ht="19.5" hidden="1" customHeight="1">
      <c r="A24" s="1" t="s">
        <v>33</v>
      </c>
      <c r="B24" s="28">
        <v>74</v>
      </c>
      <c r="C24" s="55"/>
      <c r="D24" s="33">
        <f t="shared" si="2"/>
        <v>4</v>
      </c>
      <c r="E24" s="49">
        <v>2</v>
      </c>
      <c r="F24" s="49">
        <v>2</v>
      </c>
      <c r="G24" s="28"/>
      <c r="H24" s="55"/>
      <c r="I24" s="33"/>
      <c r="J24" s="49"/>
      <c r="K24" s="49"/>
      <c r="L24" s="28"/>
      <c r="M24" s="55"/>
      <c r="N24" s="33"/>
      <c r="O24" s="49"/>
      <c r="P24" s="49"/>
      <c r="Q24" s="2" t="s">
        <v>34</v>
      </c>
    </row>
    <row r="25" spans="1:47" ht="19.5" hidden="1" customHeight="1">
      <c r="A25" s="1" t="s">
        <v>23</v>
      </c>
      <c r="B25" s="28">
        <v>112</v>
      </c>
      <c r="C25" s="55"/>
      <c r="D25" s="33">
        <f t="shared" si="2"/>
        <v>1</v>
      </c>
      <c r="E25" s="49">
        <v>1</v>
      </c>
      <c r="F25" s="49">
        <v>0</v>
      </c>
      <c r="G25" s="28"/>
      <c r="H25" s="55"/>
      <c r="I25" s="33"/>
      <c r="J25" s="49"/>
      <c r="K25" s="49"/>
      <c r="L25" s="28"/>
      <c r="M25" s="55"/>
      <c r="N25" s="33"/>
      <c r="O25" s="49"/>
      <c r="P25" s="49"/>
      <c r="Q25" s="2" t="s">
        <v>35</v>
      </c>
    </row>
    <row r="26" spans="1:47" ht="19.5" hidden="1" customHeight="1">
      <c r="A26" s="1" t="s">
        <v>22</v>
      </c>
      <c r="B26" s="28">
        <v>153</v>
      </c>
      <c r="C26" s="55"/>
      <c r="D26" s="33">
        <f t="shared" si="2"/>
        <v>7</v>
      </c>
      <c r="E26" s="49">
        <v>7</v>
      </c>
      <c r="F26" s="49">
        <v>0</v>
      </c>
      <c r="G26" s="28"/>
      <c r="H26" s="55"/>
      <c r="I26" s="33"/>
      <c r="J26" s="49"/>
      <c r="K26" s="49"/>
      <c r="L26" s="28"/>
      <c r="M26" s="55"/>
      <c r="N26" s="33"/>
      <c r="O26" s="49"/>
      <c r="P26" s="49"/>
      <c r="Q26" s="2" t="s">
        <v>36</v>
      </c>
    </row>
    <row r="27" spans="1:47" ht="19.5" hidden="1" customHeight="1">
      <c r="A27" s="1" t="s">
        <v>30</v>
      </c>
      <c r="B27" s="28">
        <v>121</v>
      </c>
      <c r="C27" s="55"/>
      <c r="D27" s="33">
        <f t="shared" si="2"/>
        <v>48</v>
      </c>
      <c r="E27" s="49">
        <v>47</v>
      </c>
      <c r="F27" s="49">
        <v>1</v>
      </c>
      <c r="G27" s="28"/>
      <c r="H27" s="55"/>
      <c r="I27" s="33"/>
      <c r="J27" s="49"/>
      <c r="K27" s="49"/>
      <c r="L27" s="28"/>
      <c r="M27" s="55"/>
      <c r="N27" s="33"/>
      <c r="O27" s="49"/>
      <c r="P27" s="49"/>
      <c r="Q27" s="2" t="s">
        <v>37</v>
      </c>
    </row>
    <row r="28" spans="1:47" ht="19.5" hidden="1" customHeight="1">
      <c r="A28" s="1" t="s">
        <v>38</v>
      </c>
      <c r="B28" s="28">
        <v>104</v>
      </c>
      <c r="C28" s="55"/>
      <c r="D28" s="33">
        <f t="shared" si="2"/>
        <v>5</v>
      </c>
      <c r="E28" s="49">
        <v>5</v>
      </c>
      <c r="F28" s="49">
        <v>0</v>
      </c>
      <c r="G28" s="28"/>
      <c r="H28" s="55"/>
      <c r="I28" s="33"/>
      <c r="J28" s="49"/>
      <c r="K28" s="49"/>
      <c r="L28" s="28"/>
      <c r="M28" s="55"/>
      <c r="N28" s="33"/>
      <c r="O28" s="49"/>
      <c r="P28" s="49"/>
      <c r="Q28" s="2" t="s">
        <v>39</v>
      </c>
    </row>
    <row r="29" spans="1:47" ht="19.5" hidden="1" customHeight="1">
      <c r="A29" s="1" t="s">
        <v>40</v>
      </c>
      <c r="B29" s="28">
        <v>56</v>
      </c>
      <c r="C29" s="55"/>
      <c r="D29" s="33">
        <f t="shared" si="2"/>
        <v>6</v>
      </c>
      <c r="E29" s="49">
        <v>6</v>
      </c>
      <c r="F29" s="49">
        <v>0</v>
      </c>
      <c r="G29" s="28"/>
      <c r="H29" s="55"/>
      <c r="I29" s="33"/>
      <c r="J29" s="49"/>
      <c r="K29" s="49"/>
      <c r="L29" s="28"/>
      <c r="M29" s="55"/>
      <c r="N29" s="33"/>
      <c r="O29" s="49"/>
      <c r="P29" s="49"/>
      <c r="Q29" s="2" t="s">
        <v>41</v>
      </c>
    </row>
    <row r="30" spans="1:47" ht="19.5" hidden="1" customHeight="1">
      <c r="A30" s="1" t="s">
        <v>15</v>
      </c>
      <c r="B30" s="28">
        <v>623</v>
      </c>
      <c r="C30" s="55"/>
      <c r="D30" s="33">
        <f t="shared" si="2"/>
        <v>79</v>
      </c>
      <c r="E30" s="49">
        <v>79</v>
      </c>
      <c r="F30" s="49">
        <v>0</v>
      </c>
      <c r="G30" s="28"/>
      <c r="H30" s="55"/>
      <c r="I30" s="33"/>
      <c r="J30" s="49"/>
      <c r="K30" s="49"/>
      <c r="L30" s="28"/>
      <c r="M30" s="55"/>
      <c r="N30" s="33"/>
      <c r="O30" s="49"/>
      <c r="P30" s="49"/>
      <c r="Q30" s="2" t="s">
        <v>42</v>
      </c>
    </row>
    <row r="31" spans="1:47" ht="27" hidden="1" customHeight="1">
      <c r="A31" s="36" t="s">
        <v>43</v>
      </c>
      <c r="B31" s="28">
        <v>8</v>
      </c>
      <c r="C31" s="55"/>
      <c r="D31" s="33">
        <f t="shared" si="2"/>
        <v>1</v>
      </c>
      <c r="E31" s="49">
        <v>1</v>
      </c>
      <c r="F31" s="49">
        <v>0</v>
      </c>
      <c r="G31" s="28"/>
      <c r="H31" s="55"/>
      <c r="I31" s="33"/>
      <c r="J31" s="49"/>
      <c r="K31" s="49"/>
      <c r="L31" s="28"/>
      <c r="M31" s="55"/>
      <c r="N31" s="33"/>
      <c r="O31" s="49"/>
      <c r="P31" s="49"/>
      <c r="Q31" s="2" t="s">
        <v>44</v>
      </c>
    </row>
    <row r="32" spans="1:47" ht="19.5" hidden="1" customHeight="1">
      <c r="A32" s="1" t="s">
        <v>45</v>
      </c>
      <c r="B32" s="28">
        <v>17</v>
      </c>
      <c r="C32" s="55"/>
      <c r="D32" s="33">
        <f t="shared" si="2"/>
        <v>7</v>
      </c>
      <c r="E32" s="49">
        <v>6</v>
      </c>
      <c r="F32" s="49">
        <v>1</v>
      </c>
      <c r="G32" s="28"/>
      <c r="H32" s="55"/>
      <c r="I32" s="33"/>
      <c r="J32" s="49"/>
      <c r="K32" s="49"/>
      <c r="L32" s="28"/>
      <c r="M32" s="55"/>
      <c r="N32" s="33"/>
      <c r="O32" s="49"/>
      <c r="P32" s="49"/>
      <c r="Q32" s="2" t="s">
        <v>46</v>
      </c>
    </row>
    <row r="33" spans="1:44" ht="19.5" hidden="1" customHeight="1">
      <c r="A33" s="3" t="s">
        <v>7</v>
      </c>
      <c r="B33" s="48">
        <v>1396</v>
      </c>
      <c r="C33" s="56"/>
      <c r="D33" s="37">
        <f t="shared" si="2"/>
        <v>917</v>
      </c>
      <c r="E33" s="50">
        <v>907</v>
      </c>
      <c r="F33" s="50">
        <v>10</v>
      </c>
      <c r="G33" s="48"/>
      <c r="H33" s="56"/>
      <c r="I33" s="37"/>
      <c r="J33" s="50"/>
      <c r="K33" s="50"/>
      <c r="L33" s="48"/>
      <c r="M33" s="56"/>
      <c r="N33" s="37"/>
      <c r="O33" s="50"/>
      <c r="P33" s="50"/>
      <c r="Q33" s="4" t="s">
        <v>24</v>
      </c>
    </row>
    <row r="34" spans="1:44" ht="27" customHeight="1">
      <c r="A34" s="69" t="s">
        <v>47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73" t="s">
        <v>48</v>
      </c>
    </row>
    <row r="35" spans="1:44" ht="12.75" customHeight="1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spans="1:44" ht="12.75" customHeight="1">
      <c r="A36" s="41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8"/>
    </row>
    <row r="37" spans="1:44" ht="12.75" customHeight="1">
      <c r="A37" s="41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8"/>
    </row>
    <row r="38" spans="1:44" ht="12.75" customHeight="1">
      <c r="A38" s="41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 spans="1:44" ht="12.75" customHeight="1">
      <c r="A39" s="41"/>
      <c r="B39" s="9"/>
      <c r="C39" s="35"/>
      <c r="D39" s="35"/>
      <c r="E39" s="35"/>
      <c r="F39" s="35"/>
      <c r="G39" s="9"/>
      <c r="H39" s="35"/>
      <c r="I39" s="35"/>
      <c r="J39" s="35"/>
      <c r="K39" s="35"/>
      <c r="L39" s="9"/>
      <c r="M39" s="35"/>
      <c r="N39" s="35"/>
      <c r="O39" s="35"/>
      <c r="P39" s="35"/>
      <c r="Q39" s="38"/>
    </row>
    <row r="40" spans="1:44" ht="12.75" customHeight="1">
      <c r="A40" s="41"/>
      <c r="C40" s="39"/>
      <c r="D40" s="35"/>
      <c r="E40" s="35"/>
      <c r="F40" s="35"/>
      <c r="H40" s="39"/>
      <c r="I40" s="35"/>
      <c r="J40" s="35"/>
      <c r="K40" s="35"/>
      <c r="M40" s="39"/>
      <c r="N40" s="35"/>
      <c r="O40" s="35"/>
      <c r="P40" s="35"/>
      <c r="Q40" s="38"/>
    </row>
    <row r="41" spans="1:44" ht="12.75" customHeight="1"/>
    <row r="42" spans="1:44" ht="12.75" customHeight="1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AM42" s="61" t="s">
        <v>56</v>
      </c>
      <c r="AN42" s="61" t="s">
        <v>57</v>
      </c>
      <c r="AQ42" s="5" t="s">
        <v>56</v>
      </c>
      <c r="AR42" s="5" t="s">
        <v>57</v>
      </c>
    </row>
    <row r="43" spans="1:44" ht="12.75" customHeight="1">
      <c r="A43" s="41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8"/>
      <c r="AL43" s="44" t="s">
        <v>6</v>
      </c>
      <c r="AM43" s="62">
        <f>O9</f>
        <v>196</v>
      </c>
      <c r="AN43" s="62">
        <f>P9</f>
        <v>3</v>
      </c>
      <c r="AO43" s="62">
        <f>SUM(AM43:AN43)</f>
        <v>199</v>
      </c>
      <c r="AP43" s="11" t="s">
        <v>6</v>
      </c>
      <c r="AQ43" s="57">
        <f>AM43/AO43*100</f>
        <v>98.492462311557787</v>
      </c>
      <c r="AR43" s="57">
        <f>AN43/AO43*100</f>
        <v>1.5075376884422109</v>
      </c>
    </row>
    <row r="44" spans="1:44">
      <c r="A44" s="41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8"/>
      <c r="AL44" s="44" t="s">
        <v>0</v>
      </c>
      <c r="AM44" s="62">
        <f>O10</f>
        <v>824</v>
      </c>
      <c r="AN44" s="62">
        <f>P10</f>
        <v>4</v>
      </c>
      <c r="AO44" s="62">
        <f t="shared" ref="AO44:AO54" si="3">SUM(AM44:AN44)</f>
        <v>828</v>
      </c>
      <c r="AP44" s="11" t="s">
        <v>0</v>
      </c>
      <c r="AQ44" s="57">
        <f t="shared" ref="AQ44:AQ54" si="4">AM44/AO44*100</f>
        <v>99.516908212560381</v>
      </c>
      <c r="AR44" s="57">
        <f t="shared" ref="AR44:AR54" si="5">AN44/AO44*100</f>
        <v>0.48309178743961351</v>
      </c>
    </row>
    <row r="45" spans="1:44">
      <c r="A45" s="41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8"/>
      <c r="AL45" s="44" t="s">
        <v>10</v>
      </c>
      <c r="AM45" s="62">
        <f t="shared" ref="AM45" si="6">O11</f>
        <v>63</v>
      </c>
      <c r="AN45" s="62">
        <f>P11</f>
        <v>4</v>
      </c>
      <c r="AO45" s="62">
        <f t="shared" si="3"/>
        <v>67</v>
      </c>
      <c r="AP45" s="11" t="s">
        <v>10</v>
      </c>
      <c r="AQ45" s="57">
        <f t="shared" si="4"/>
        <v>94.029850746268664</v>
      </c>
      <c r="AR45" s="57">
        <f t="shared" si="5"/>
        <v>5.9701492537313428</v>
      </c>
    </row>
    <row r="46" spans="1:44">
      <c r="A46" s="41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8"/>
      <c r="AL46" s="44" t="s">
        <v>4</v>
      </c>
      <c r="AM46" s="62">
        <f t="shared" ref="AM46" si="7">O12</f>
        <v>1025</v>
      </c>
      <c r="AN46" s="62">
        <f>P12</f>
        <v>35</v>
      </c>
      <c r="AO46" s="62">
        <f t="shared" si="3"/>
        <v>1060</v>
      </c>
      <c r="AP46" s="11" t="s">
        <v>4</v>
      </c>
      <c r="AQ46" s="57">
        <f t="shared" si="4"/>
        <v>96.698113207547166</v>
      </c>
      <c r="AR46" s="57">
        <f t="shared" si="5"/>
        <v>3.3018867924528301</v>
      </c>
    </row>
    <row r="47" spans="1:44">
      <c r="A47" s="41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8"/>
      <c r="AL47" s="44" t="s">
        <v>14</v>
      </c>
      <c r="AM47" s="62">
        <f t="shared" ref="AM47" si="8">O13</f>
        <v>116</v>
      </c>
      <c r="AN47" s="62">
        <f>P13</f>
        <v>9</v>
      </c>
      <c r="AO47" s="62">
        <f t="shared" si="3"/>
        <v>125</v>
      </c>
      <c r="AP47" s="11" t="s">
        <v>14</v>
      </c>
      <c r="AQ47" s="57">
        <f t="shared" si="4"/>
        <v>92.800000000000011</v>
      </c>
      <c r="AR47" s="57">
        <f t="shared" si="5"/>
        <v>7.1999999999999993</v>
      </c>
    </row>
    <row r="48" spans="1:44">
      <c r="A48" s="41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8"/>
      <c r="AL48" s="44" t="s">
        <v>2</v>
      </c>
      <c r="AM48" s="62">
        <f t="shared" ref="AM48" si="9">O14</f>
        <v>1</v>
      </c>
      <c r="AN48" s="62">
        <f>P14</f>
        <v>0</v>
      </c>
      <c r="AO48" s="62">
        <f t="shared" si="3"/>
        <v>1</v>
      </c>
      <c r="AP48" s="11" t="s">
        <v>2</v>
      </c>
      <c r="AQ48" s="57">
        <v>0</v>
      </c>
      <c r="AR48" s="57">
        <v>0</v>
      </c>
    </row>
    <row r="49" spans="1:44">
      <c r="A49" s="41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8"/>
      <c r="AL49" s="44" t="s">
        <v>18</v>
      </c>
      <c r="AM49" s="62">
        <f t="shared" ref="AM49" si="10">O15</f>
        <v>10</v>
      </c>
      <c r="AN49" s="62">
        <f>P15</f>
        <v>1</v>
      </c>
      <c r="AO49" s="62">
        <f t="shared" si="3"/>
        <v>11</v>
      </c>
      <c r="AP49" s="11" t="s">
        <v>18</v>
      </c>
      <c r="AQ49" s="57">
        <f t="shared" si="4"/>
        <v>90.909090909090907</v>
      </c>
      <c r="AR49" s="57">
        <f t="shared" si="5"/>
        <v>9.0909090909090917</v>
      </c>
    </row>
    <row r="50" spans="1:44" ht="18" customHeight="1">
      <c r="A50" s="41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8"/>
      <c r="AL50" s="45" t="s">
        <v>20</v>
      </c>
      <c r="AM50" s="62">
        <f t="shared" ref="AM50" si="11">O16</f>
        <v>5</v>
      </c>
      <c r="AN50" s="62">
        <f>P16</f>
        <v>1</v>
      </c>
      <c r="AO50" s="62">
        <f t="shared" si="3"/>
        <v>6</v>
      </c>
      <c r="AP50" s="11" t="s">
        <v>20</v>
      </c>
      <c r="AQ50" s="57">
        <f t="shared" si="4"/>
        <v>83.333333333333343</v>
      </c>
      <c r="AR50" s="57">
        <f t="shared" si="5"/>
        <v>16.666666666666664</v>
      </c>
    </row>
    <row r="51" spans="1:44">
      <c r="A51" s="41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8"/>
      <c r="AL51" s="44" t="s">
        <v>12</v>
      </c>
      <c r="AM51" s="62">
        <f t="shared" ref="AM51" si="12">O17</f>
        <v>47</v>
      </c>
      <c r="AN51" s="62">
        <f>P17</f>
        <v>2</v>
      </c>
      <c r="AO51" s="62">
        <f t="shared" si="3"/>
        <v>49</v>
      </c>
      <c r="AP51" s="11" t="s">
        <v>12</v>
      </c>
      <c r="AQ51" s="57">
        <f t="shared" si="4"/>
        <v>95.918367346938766</v>
      </c>
      <c r="AR51" s="57">
        <f t="shared" si="5"/>
        <v>4.0816326530612246</v>
      </c>
    </row>
    <row r="52" spans="1:44">
      <c r="A52" s="41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8"/>
      <c r="AL52" s="44" t="s">
        <v>17</v>
      </c>
      <c r="AM52" s="62">
        <f t="shared" ref="AM52" si="13">O18</f>
        <v>17</v>
      </c>
      <c r="AN52" s="62">
        <f>P18</f>
        <v>0</v>
      </c>
      <c r="AO52" s="62">
        <f t="shared" si="3"/>
        <v>17</v>
      </c>
      <c r="AP52" s="11" t="s">
        <v>17</v>
      </c>
      <c r="AQ52" s="57">
        <f t="shared" si="4"/>
        <v>100</v>
      </c>
      <c r="AR52" s="57">
        <f t="shared" si="5"/>
        <v>0</v>
      </c>
    </row>
    <row r="53" spans="1:44">
      <c r="A53" s="41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8"/>
      <c r="AL53" s="46" t="s">
        <v>27</v>
      </c>
      <c r="AM53" s="62">
        <f t="shared" ref="AM53" si="14">O19</f>
        <v>2</v>
      </c>
      <c r="AN53" s="62">
        <f>P19</f>
        <v>0</v>
      </c>
      <c r="AO53" s="62">
        <f t="shared" si="3"/>
        <v>2</v>
      </c>
      <c r="AP53" s="11" t="s">
        <v>27</v>
      </c>
      <c r="AQ53" s="57">
        <v>0</v>
      </c>
      <c r="AR53" s="57">
        <v>0</v>
      </c>
    </row>
    <row r="54" spans="1:44">
      <c r="A54" s="41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8"/>
      <c r="AL54" s="64" t="s">
        <v>7</v>
      </c>
      <c r="AM54" s="62">
        <f t="shared" ref="AM54" si="15">O20</f>
        <v>274</v>
      </c>
      <c r="AN54" s="62">
        <f>P20</f>
        <v>7</v>
      </c>
      <c r="AO54" s="62">
        <f t="shared" si="3"/>
        <v>281</v>
      </c>
      <c r="AP54" s="11" t="s">
        <v>7</v>
      </c>
      <c r="AQ54" s="57">
        <f t="shared" si="4"/>
        <v>97.508896797153028</v>
      </c>
      <c r="AR54" s="57">
        <f t="shared" si="5"/>
        <v>2.4911032028469751</v>
      </c>
    </row>
    <row r="55" spans="1:44">
      <c r="A55" s="41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8"/>
    </row>
    <row r="56" spans="1:44">
      <c r="A56" s="41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8"/>
    </row>
    <row r="57" spans="1:44">
      <c r="A57" s="41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8"/>
    </row>
    <row r="58" spans="1:44">
      <c r="A58" s="4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</row>
    <row r="60" spans="1:44" ht="15">
      <c r="F60" s="32"/>
      <c r="K60" s="32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4" spans="1:44" ht="12.75" customHeight="1"/>
    <row r="77" ht="12.75" customHeight="1"/>
    <row r="542" spans="1:17">
      <c r="A542" s="5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3"/>
    </row>
    <row r="543" spans="1:17">
      <c r="A543" s="41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8"/>
    </row>
    <row r="544" spans="1:17">
      <c r="A544" s="41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8"/>
    </row>
    <row r="545" spans="1:17">
      <c r="A545" s="41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8"/>
    </row>
  </sheetData>
  <mergeCells count="14">
    <mergeCell ref="R4:R7"/>
    <mergeCell ref="A4:A7"/>
    <mergeCell ref="A1:Q1"/>
    <mergeCell ref="A2:Q2"/>
    <mergeCell ref="Q4:Q7"/>
    <mergeCell ref="B4:F4"/>
    <mergeCell ref="B5:B6"/>
    <mergeCell ref="D5:F5"/>
    <mergeCell ref="G4:K4"/>
    <mergeCell ref="G5:G6"/>
    <mergeCell ref="I5:K5"/>
    <mergeCell ref="L4:P4"/>
    <mergeCell ref="L5:L6"/>
    <mergeCell ref="N5:P5"/>
  </mergeCells>
  <pageMargins left="0.7" right="0.7" top="0.75" bottom="0.75" header="0.3" footer="0.3"/>
  <pageSetup paperSize="9" scale="3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8.13</vt:lpstr>
      <vt:lpstr>'8.13'!Print_Area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2023-10-16T08:56:42Z</cp:lastPrinted>
  <dcterms:created xsi:type="dcterms:W3CDTF">2019-06-30T04:22:49Z</dcterms:created>
  <dcterms:modified xsi:type="dcterms:W3CDTF">2023-10-16T08:57:46Z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