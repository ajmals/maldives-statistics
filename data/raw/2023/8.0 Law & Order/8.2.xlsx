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E5283DBB-F129-4465-A44D-5D1D76A5ACC1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8.2" sheetId="2" r:id="rId1"/>
  </sheets>
  <definedNames>
    <definedName name="_xlnm.Print_Area" localSheetId="0">'8.2'!$A$1:$R$49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2" l="1"/>
  <c r="O8" i="2"/>
  <c r="P8" i="2" l="1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M7" i="2"/>
  <c r="L7" i="2"/>
  <c r="K7" i="2" l="1"/>
  <c r="O20" i="2" l="1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H30" i="2"/>
  <c r="H29" i="2"/>
  <c r="H28" i="2"/>
  <c r="H27" i="2"/>
  <c r="H26" i="2"/>
  <c r="H25" i="2"/>
  <c r="H24" i="2"/>
  <c r="H23" i="2"/>
  <c r="H22" i="2"/>
  <c r="H21" i="2"/>
  <c r="H20" i="2"/>
  <c r="J7" i="2"/>
  <c r="P7" i="2" s="1"/>
  <c r="I7" i="2"/>
  <c r="O7" i="2" s="1"/>
  <c r="H19" i="2"/>
  <c r="N19" i="2" s="1"/>
  <c r="H18" i="2"/>
  <c r="N18" i="2" s="1"/>
  <c r="H17" i="2"/>
  <c r="N17" i="2" s="1"/>
  <c r="H16" i="2"/>
  <c r="N16" i="2" s="1"/>
  <c r="H15" i="2"/>
  <c r="N15" i="2" s="1"/>
  <c r="H14" i="2"/>
  <c r="N14" i="2" s="1"/>
  <c r="H13" i="2"/>
  <c r="N13" i="2" s="1"/>
  <c r="H12" i="2"/>
  <c r="N12" i="2" s="1"/>
  <c r="H11" i="2"/>
  <c r="N11" i="2" s="1"/>
  <c r="H10" i="2"/>
  <c r="N10" i="2" s="1"/>
  <c r="H9" i="2"/>
  <c r="N9" i="2" s="1"/>
  <c r="H8" i="2"/>
  <c r="H7" i="2" l="1"/>
  <c r="N7" i="2" s="1"/>
  <c r="G19" i="2" l="1"/>
  <c r="G7" i="2" s="1"/>
  <c r="F19" i="2"/>
  <c r="E30" i="2"/>
  <c r="N30" i="2" s="1"/>
  <c r="E29" i="2"/>
  <c r="N29" i="2" s="1"/>
  <c r="E28" i="2"/>
  <c r="N28" i="2" s="1"/>
  <c r="E27" i="2"/>
  <c r="N27" i="2" s="1"/>
  <c r="E26" i="2"/>
  <c r="N26" i="2" s="1"/>
  <c r="E25" i="2"/>
  <c r="N25" i="2" s="1"/>
  <c r="E24" i="2"/>
  <c r="N24" i="2" s="1"/>
  <c r="E23" i="2"/>
  <c r="N23" i="2" s="1"/>
  <c r="E22" i="2"/>
  <c r="N22" i="2" s="1"/>
  <c r="E21" i="2"/>
  <c r="N21" i="2" s="1"/>
  <c r="E20" i="2"/>
  <c r="N20" i="2" s="1"/>
  <c r="E18" i="2"/>
  <c r="E17" i="2"/>
  <c r="E16" i="2"/>
  <c r="E15" i="2"/>
  <c r="E14" i="2"/>
  <c r="E13" i="2"/>
  <c r="E12" i="2"/>
  <c r="E11" i="2"/>
  <c r="E10" i="2"/>
  <c r="E9" i="2"/>
  <c r="E8" i="2"/>
  <c r="F7" i="2" l="1"/>
  <c r="E19" i="2"/>
  <c r="E7" i="2" l="1"/>
  <c r="B30" i="2" l="1"/>
  <c r="B29" i="2"/>
  <c r="B28" i="2"/>
  <c r="B27" i="2"/>
  <c r="B26" i="2"/>
  <c r="B25" i="2"/>
  <c r="B24" i="2"/>
  <c r="B23" i="2"/>
  <c r="B22" i="2"/>
  <c r="B21" i="2"/>
  <c r="B20" i="2"/>
  <c r="B18" i="2"/>
  <c r="B17" i="2"/>
  <c r="B16" i="2"/>
  <c r="B15" i="2"/>
  <c r="B14" i="2"/>
  <c r="B13" i="2"/>
  <c r="B12" i="2"/>
  <c r="B11" i="2"/>
  <c r="B10" i="2"/>
  <c r="B9" i="2"/>
  <c r="B8" i="2"/>
  <c r="D7" i="2"/>
  <c r="B19" i="2" l="1"/>
  <c r="C7" i="2"/>
  <c r="B7" i="2" l="1"/>
</calcChain>
</file>

<file path=xl/sharedStrings.xml><?xml version="1.0" encoding="utf-8"?>
<sst xmlns="http://schemas.openxmlformats.org/spreadsheetml/2006/main" count="86" uniqueCount="60">
  <si>
    <t>ހުށަހެޅިފައިވާ މައްސަލަތައް</t>
  </si>
  <si>
    <t>Theft</t>
  </si>
  <si>
    <t>Total</t>
  </si>
  <si>
    <t>wlcmuj</t>
  </si>
  <si>
    <t>ވައްކަން</t>
  </si>
  <si>
    <t>Drugs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</si>
  <si>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</si>
  <si>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</si>
  <si>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</si>
  <si>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</si>
  <si>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</si>
  <si>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</si>
  <si>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</si>
  <si>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</si>
  <si>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ފޭރުން</t>
  </si>
  <si>
    <t>Traffic Accidents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</si>
  <si>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</si>
  <si>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</si>
  <si>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</si>
  <si>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</si>
  <si>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</si>
  <si>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</si>
  <si>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</si>
  <si>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ވަގުފައިސާ އަދި ފޯރޖްކުރުން</t>
  </si>
  <si>
    <t>އެހެނިހެން</t>
  </si>
  <si>
    <t>Arson</t>
  </si>
  <si>
    <t>ހުޅުޖެހުން</t>
  </si>
  <si>
    <t>Lost items</t>
  </si>
  <si>
    <t>އަމިއްލައަށް މަރުވާން އުޅުން</t>
  </si>
  <si>
    <t>Source: Maldives Police Service</t>
  </si>
  <si>
    <t>csivrws csilop cscviDclOm :Ivcaed utWmUluAwm</t>
  </si>
  <si>
    <t>Type of case</t>
  </si>
  <si>
    <t>ކުރީ އަހަރާއި  އަޅާ ބަލާއިރު އިތުރުވި މިންވަރު</t>
  </si>
  <si>
    <t>ރާއްޖެ</t>
  </si>
  <si>
    <t>މާލެ</t>
  </si>
  <si>
    <t>އަތޮޅުތައް</t>
  </si>
  <si>
    <t>Republic</t>
  </si>
  <si>
    <t>Male'</t>
  </si>
  <si>
    <t>Atolls</t>
  </si>
  <si>
    <t>ޓްރެފިކް އެކްސިޑެންޓްސް</t>
  </si>
  <si>
    <t>Threatening</t>
  </si>
  <si>
    <t xml:space="preserve">  ބިރުދެއްކުން</t>
  </si>
  <si>
    <t>Fire incidents</t>
  </si>
  <si>
    <t xml:space="preserve">  އަލިފާނުގެ ހާދިސާ</t>
  </si>
  <si>
    <t>Environmental offences</t>
  </si>
  <si>
    <t>ތިމާވެއްޓާއި ގުޅުންހުރި މައްސަލަތައް</t>
  </si>
  <si>
    <t>Illegal immigration</t>
  </si>
  <si>
    <t>ރާއްޖެއަށް ނުވަތަ ރާއްޖޭގެ ސަރަހައްދަކަށް ޤަވާއިދާއި ހިލާފަށް ވަނުން</t>
  </si>
  <si>
    <t>Obstruction of Justice</t>
  </si>
  <si>
    <t>ފުލުހުންގެ ވާޖިބަށް ހުރަސް އެޅުން</t>
  </si>
  <si>
    <t>Illegally entering households</t>
  </si>
  <si>
    <t>ޤަވާއިދާއި ޚިލާފަށް ގޯތިގެދޮރަށް ވަނުން</t>
  </si>
  <si>
    <t>Sudden death</t>
  </si>
  <si>
    <t>ކުއްލި މަރު</t>
  </si>
  <si>
    <t>Attempt to suicide</t>
  </si>
  <si>
    <t>Unlawful posession of weapons</t>
  </si>
  <si>
    <t>ހަތިޔާރު ގެންގުޅުން</t>
  </si>
  <si>
    <t>% change over 2021</t>
  </si>
  <si>
    <t>TABLE 8.2  : NUMBER OF  LOGGED CASES BY  LOCALITY &amp; TYPE OF CASES, 2019 - 2022</t>
  </si>
  <si>
    <t>ތާވަލު 8.2: މާލެ އަދި އަތޮޅުތަކުން ހުށަހެޅިފައިވާ މައްސަލަތަކުގެ ޢަދަދު އަދި ބާވަތް، 2019- 2022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</si>
</sst>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  <numFmt numFmtId="172" formatCode="0.00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Faruma"/>
      <family val="3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i/>
      <sz val="10"/>
      <name val="Calibri"/>
      <family val="2"/>
      <scheme val="minor"/>
    </font>
    <font>
      <sz val="9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b/>
      <sz val="10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9">
    <xf numFmtId="0" fontId="0" fillId="0" borderId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167" fontId="21" fillId="0" borderId="0"/>
    <xf numFmtId="0" fontId="26" fillId="0" borderId="14" applyNumberFormat="0" applyFill="0" applyAlignment="0" applyProtection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172" fontId="30" fillId="0" borderId="0"/>
    <xf numFmtId="1" fontId="31" fillId="0" borderId="21" applyNumberFormat="0"/>
    <xf numFmtId="0" fontId="25" fillId="0" borderId="0"/>
    <xf numFmtId="0" fontId="1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29" fillId="0" borderId="0"/>
    <xf numFmtId="40" fontId="29" fillId="0" borderId="0" applyFont="0" applyFill="0" applyBorder="0" applyAlignment="0" applyProtection="0"/>
    <xf numFmtId="0" fontId="29" fillId="0" borderId="0"/>
    <xf numFmtId="0" fontId="25" fillId="0" borderId="0"/>
    <xf numFmtId="1" fontId="31" fillId="0" borderId="21" applyNumberFormat="0"/>
    <xf numFmtId="0" fontId="1" fillId="0" borderId="0"/>
    <xf numFmtId="0" fontId="29" fillId="0" borderId="0"/>
    <xf numFmtId="0" fontId="20" fillId="0" borderId="0" applyFill="0" applyProtection="0"/>
    <xf numFmtId="1" fontId="31" fillId="0" borderId="21" applyNumberFormat="0"/>
    <xf numFmtId="43" fontId="1" fillId="0" borderId="0" applyFont="0" applyFill="0" applyBorder="0" applyAlignment="0" applyProtection="0"/>
    <xf numFmtId="0" fontId="1" fillId="0" borderId="0"/>
    <xf numFmtId="0" fontId="32" fillId="0" borderId="0"/>
    <xf numFmtId="0" fontId="33" fillId="0" borderId="0"/>
    <xf numFmtId="0" fontId="32" fillId="0" borderId="0"/>
    <xf numFmtId="0" fontId="1" fillId="0" borderId="0"/>
    <xf numFmtId="0" fontId="29" fillId="0" borderId="0"/>
    <xf numFmtId="0" fontId="20" fillId="0" borderId="0" applyFill="0" applyProtection="0"/>
    <xf numFmtId="1" fontId="31" fillId="0" borderId="21" applyNumberFormat="0"/>
    <xf numFmtId="0" fontId="1" fillId="0" borderId="0"/>
    <xf numFmtId="0" fontId="25" fillId="0" borderId="0"/>
    <xf numFmtId="0" fontId="32" fillId="0" borderId="0"/>
    <xf numFmtId="0" fontId="33" fillId="0" borderId="0"/>
    <xf numFmtId="0" fontId="25" fillId="0" borderId="0"/>
    <xf numFmtId="0" fontId="32" fillId="0" borderId="0"/>
    <xf numFmtId="0" fontId="34" fillId="0" borderId="0"/>
    <xf numFmtId="0" fontId="32" fillId="0" borderId="0"/>
    <xf numFmtId="0" fontId="3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29" fillId="0" borderId="0" applyFont="0" applyFill="0" applyBorder="0" applyAlignment="0" applyProtection="0"/>
    <xf numFmtId="0" fontId="1" fillId="0" borderId="0"/>
    <xf numFmtId="0" fontId="34" fillId="0" borderId="0" applyBorder="0"/>
    <xf numFmtId="0" fontId="1" fillId="0" borderId="0"/>
    <xf numFmtId="40" fontId="2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4" fillId="0" borderId="0" applyBorder="0"/>
    <xf numFmtId="0" fontId="1" fillId="0" borderId="0"/>
    <xf numFmtId="0" fontId="1" fillId="0" borderId="0"/>
    <xf numFmtId="1" fontId="31" fillId="0" borderId="21" applyNumberFormat="0"/>
    <xf numFmtId="1" fontId="31" fillId="0" borderId="21" applyNumberFormat="0"/>
    <xf numFmtId="1" fontId="31" fillId="0" borderId="21" applyNumberFormat="0"/>
    <xf numFmtId="1" fontId="31" fillId="0" borderId="21" applyNumberFormat="0"/>
  </cellStyleXfs>
  <cellXfs count="70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3" fillId="2" borderId="0" xfId="0" applyNumberFormat="1" applyFont="1" applyFill="1" applyAlignment="1">
      <alignment vertical="center"/>
    </xf>
    <xf numFmtId="164" fontId="11" fillId="2" borderId="0" xfId="0" applyNumberFormat="1" applyFont="1" applyFill="1" applyAlignment="1">
      <alignment vertical="center"/>
    </xf>
    <xf numFmtId="164" fontId="8" fillId="2" borderId="0" xfId="0" applyNumberFormat="1" applyFont="1" applyFill="1" applyAlignment="1">
      <alignment horizontal="right" vertical="center"/>
    </xf>
    <xf numFmtId="167" fontId="16" fillId="2" borderId="0" xfId="1" applyNumberFormat="1" applyFont="1" applyFill="1" applyBorder="1" applyAlignment="1">
      <alignment horizontal="right"/>
    </xf>
    <xf numFmtId="164" fontId="19" fillId="2" borderId="3" xfId="0" applyNumberFormat="1" applyFont="1" applyFill="1" applyBorder="1" applyAlignment="1">
      <alignment horizontal="right" vertical="center" wrapText="1"/>
    </xf>
    <xf numFmtId="164" fontId="19" fillId="2" borderId="6" xfId="0" applyNumberFormat="1" applyFont="1" applyFill="1" applyBorder="1" applyAlignment="1">
      <alignment horizontal="right" vertical="center" wrapText="1"/>
    </xf>
    <xf numFmtId="164" fontId="19" fillId="2" borderId="7" xfId="0" applyNumberFormat="1" applyFont="1" applyFill="1" applyBorder="1" applyAlignment="1">
      <alignment horizontal="right" vertical="center" wrapText="1"/>
    </xf>
    <xf numFmtId="164" fontId="3" fillId="2" borderId="8" xfId="0" applyNumberFormat="1" applyFont="1" applyFill="1" applyBorder="1" applyAlignment="1">
      <alignment horizontal="right" vertical="center" wrapText="1"/>
    </xf>
    <xf numFmtId="164" fontId="3" fillId="2" borderId="9" xfId="0" applyNumberFormat="1" applyFont="1" applyFill="1" applyBorder="1" applyAlignment="1">
      <alignment horizontal="right" vertical="center" wrapText="1"/>
    </xf>
    <xf numFmtId="166" fontId="3" fillId="2" borderId="0" xfId="2" applyFont="1" applyFill="1" applyBorder="1" applyAlignment="1">
      <alignment horizontal="center" vertical="center"/>
    </xf>
    <xf numFmtId="166" fontId="3" fillId="2" borderId="7" xfId="2" applyFont="1" applyFill="1" applyBorder="1" applyAlignment="1">
      <alignment horizontal="center" vertical="center"/>
    </xf>
    <xf numFmtId="164" fontId="22" fillId="2" borderId="0" xfId="0" applyNumberFormat="1" applyFont="1" applyFill="1"/>
    <xf numFmtId="166" fontId="4" fillId="2" borderId="0" xfId="2" applyFont="1" applyFill="1" applyBorder="1" applyAlignment="1">
      <alignment horizontal="center" vertical="center"/>
    </xf>
    <xf numFmtId="166" fontId="12" fillId="2" borderId="0" xfId="2" applyFont="1" applyFill="1" applyBorder="1" applyAlignment="1">
      <alignment horizontal="center" vertical="center"/>
    </xf>
    <xf numFmtId="166" fontId="11" fillId="2" borderId="0" xfId="2" applyFont="1" applyFill="1" applyBorder="1" applyAlignment="1">
      <alignment horizontal="center" vertical="center"/>
    </xf>
    <xf numFmtId="166" fontId="11" fillId="2" borderId="11" xfId="2" applyFont="1" applyFill="1" applyBorder="1" applyAlignment="1">
      <alignment horizontal="center" vertical="center"/>
    </xf>
    <xf numFmtId="164" fontId="14" fillId="2" borderId="0" xfId="0" applyNumberFormat="1" applyFont="1" applyFill="1" applyAlignment="1">
      <alignment horizontal="left" vertical="center" indent="1"/>
    </xf>
    <xf numFmtId="164" fontId="8" fillId="2" borderId="0" xfId="0" applyNumberFormat="1" applyFont="1" applyFill="1" applyAlignment="1">
      <alignment horizontal="right" vertical="center" indent="1"/>
    </xf>
    <xf numFmtId="164" fontId="8" fillId="2" borderId="0" xfId="0" applyNumberFormat="1" applyFont="1" applyFill="1" applyAlignment="1">
      <alignment horizontal="right" vertical="center" wrapText="1"/>
    </xf>
    <xf numFmtId="164" fontId="23" fillId="2" borderId="4" xfId="0" applyNumberFormat="1" applyFont="1" applyFill="1" applyBorder="1" applyAlignment="1">
      <alignment horizontal="left" vertical="center" indent="1"/>
    </xf>
    <xf numFmtId="166" fontId="11" fillId="2" borderId="4" xfId="2" applyFont="1" applyFill="1" applyBorder="1" applyAlignment="1">
      <alignment horizontal="center" vertical="center"/>
    </xf>
    <xf numFmtId="166" fontId="11" fillId="2" borderId="8" xfId="2" applyFont="1" applyFill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right" vertical="center" indent="1"/>
    </xf>
    <xf numFmtId="164" fontId="15" fillId="2" borderId="0" xfId="0" applyNumberFormat="1" applyFont="1" applyFill="1"/>
    <xf numFmtId="164" fontId="17" fillId="2" borderId="5" xfId="0" applyNumberFormat="1" applyFont="1" applyFill="1" applyBorder="1" applyAlignment="1">
      <alignment vertical="center"/>
    </xf>
    <xf numFmtId="164" fontId="11" fillId="2" borderId="0" xfId="0" applyNumberFormat="1" applyFont="1" applyFill="1"/>
    <xf numFmtId="164" fontId="12" fillId="2" borderId="0" xfId="0" applyNumberFormat="1" applyFont="1" applyFill="1"/>
    <xf numFmtId="164" fontId="24" fillId="2" borderId="0" xfId="0" applyNumberFormat="1" applyFont="1" applyFill="1" applyAlignment="1">
      <alignment horizontal="right" vertical="center"/>
    </xf>
    <xf numFmtId="164" fontId="9" fillId="2" borderId="0" xfId="0" applyNumberFormat="1" applyFont="1" applyFill="1" applyAlignment="1">
      <alignment vertical="center"/>
    </xf>
    <xf numFmtId="3" fontId="3" fillId="2" borderId="12" xfId="2" applyNumberFormat="1" applyFont="1" applyFill="1" applyBorder="1" applyAlignment="1">
      <alignment horizontal="right" vertical="center"/>
    </xf>
    <xf numFmtId="3" fontId="11" fillId="2" borderId="0" xfId="2" applyNumberFormat="1" applyFont="1" applyFill="1" applyBorder="1" applyAlignment="1">
      <alignment horizontal="right" vertical="center"/>
    </xf>
    <xf numFmtId="3" fontId="3" fillId="2" borderId="9" xfId="2" applyNumberFormat="1" applyFont="1" applyFill="1" applyBorder="1" applyAlignment="1">
      <alignment horizontal="right" vertical="center"/>
    </xf>
    <xf numFmtId="164" fontId="11" fillId="2" borderId="4" xfId="0" applyNumberFormat="1" applyFont="1" applyFill="1" applyBorder="1" applyAlignment="1">
      <alignment vertical="center"/>
    </xf>
    <xf numFmtId="164" fontId="8" fillId="2" borderId="4" xfId="0" applyNumberFormat="1" applyFont="1" applyFill="1" applyBorder="1" applyAlignment="1">
      <alignment horizontal="right" vertical="center"/>
    </xf>
    <xf numFmtId="165" fontId="13" fillId="2" borderId="0" xfId="3" applyNumberFormat="1" applyFont="1" applyFill="1" applyBorder="1" applyAlignment="1" applyProtection="1">
      <alignment horizontal="right" vertical="center"/>
      <protection locked="0"/>
    </xf>
    <xf numFmtId="165" fontId="13" fillId="2" borderId="4" xfId="3" applyNumberFormat="1" applyFont="1" applyFill="1" applyBorder="1" applyAlignment="1" applyProtection="1">
      <alignment horizontal="right" vertical="center"/>
      <protection locked="0"/>
    </xf>
    <xf numFmtId="164" fontId="27" fillId="2" borderId="13" xfId="0" applyNumberFormat="1" applyFont="1" applyFill="1" applyBorder="1" applyAlignment="1">
      <alignment horizontal="right"/>
    </xf>
    <xf numFmtId="164" fontId="28" fillId="2" borderId="10" xfId="0" applyNumberFormat="1" applyFont="1" applyFill="1" applyBorder="1" applyAlignment="1">
      <alignment horizontal="right" vertical="center"/>
    </xf>
    <xf numFmtId="164" fontId="3" fillId="2" borderId="4" xfId="0" applyNumberFormat="1" applyFont="1" applyFill="1" applyBorder="1" applyAlignment="1">
      <alignment horizontal="right" vertical="center" wrapText="1"/>
    </xf>
    <xf numFmtId="164" fontId="19" fillId="2" borderId="16" xfId="0" applyNumberFormat="1" applyFont="1" applyFill="1" applyBorder="1" applyAlignment="1">
      <alignment horizontal="right" vertical="center" wrapText="1"/>
    </xf>
    <xf numFmtId="166" fontId="3" fillId="2" borderId="11" xfId="2" applyFont="1" applyFill="1" applyBorder="1" applyAlignment="1">
      <alignment horizontal="center" vertical="center"/>
    </xf>
    <xf numFmtId="165" fontId="13" fillId="2" borderId="9" xfId="3" applyNumberFormat="1" applyFont="1" applyFill="1" applyBorder="1" applyAlignment="1" applyProtection="1">
      <alignment horizontal="right" vertical="center"/>
      <protection locked="0"/>
    </xf>
    <xf numFmtId="165" fontId="10" fillId="2" borderId="19" xfId="3" applyNumberFormat="1" applyFont="1" applyFill="1" applyBorder="1" applyAlignment="1" applyProtection="1">
      <alignment horizontal="right" vertical="center"/>
      <protection locked="0"/>
    </xf>
    <xf numFmtId="165" fontId="10" fillId="2" borderId="18" xfId="3" applyNumberFormat="1" applyFont="1" applyFill="1" applyBorder="1" applyAlignment="1" applyProtection="1">
      <alignment horizontal="right" vertical="center"/>
      <protection locked="0"/>
    </xf>
    <xf numFmtId="165" fontId="10" fillId="2" borderId="12" xfId="3" applyNumberFormat="1" applyFont="1" applyFill="1" applyBorder="1" applyAlignment="1" applyProtection="1">
      <alignment horizontal="right" vertical="center"/>
      <protection locked="0"/>
    </xf>
    <xf numFmtId="165" fontId="10" fillId="2" borderId="9" xfId="3" applyNumberFormat="1" applyFont="1" applyFill="1" applyBorder="1" applyAlignment="1" applyProtection="1">
      <alignment horizontal="right" vertical="center"/>
      <protection locked="0"/>
    </xf>
    <xf numFmtId="164" fontId="6" fillId="2" borderId="3" xfId="0" applyNumberFormat="1" applyFont="1" applyFill="1" applyBorder="1" applyAlignment="1">
      <alignment horizontal="right" vertical="center" wrapText="1"/>
    </xf>
    <xf numFmtId="164" fontId="2" fillId="2" borderId="2" xfId="0" applyNumberFormat="1" applyFont="1" applyFill="1" applyBorder="1" applyAlignment="1">
      <alignment horizontal="center" vertical="top"/>
    </xf>
    <xf numFmtId="164" fontId="2" fillId="2" borderId="15" xfId="0" applyNumberFormat="1" applyFont="1" applyFill="1" applyBorder="1" applyAlignment="1">
      <alignment horizontal="center" vertical="top"/>
    </xf>
    <xf numFmtId="164" fontId="2" fillId="2" borderId="17" xfId="0" applyNumberFormat="1" applyFont="1" applyFill="1" applyBorder="1" applyAlignment="1">
      <alignment horizontal="center" vertical="top"/>
    </xf>
    <xf numFmtId="164" fontId="2" fillId="2" borderId="20" xfId="0" applyNumberFormat="1" applyFont="1" applyFill="1" applyBorder="1" applyAlignment="1">
      <alignment horizontal="center" vertical="top"/>
    </xf>
    <xf numFmtId="164" fontId="3" fillId="2" borderId="3" xfId="0" applyNumberFormat="1" applyFont="1" applyFill="1" applyBorder="1" applyAlignment="1">
      <alignment horizontal="left" vertical="center" wrapText="1"/>
    </xf>
    <xf numFmtId="164" fontId="3" fillId="2" borderId="4" xfId="0" applyNumberFormat="1" applyFont="1" applyFill="1" applyBorder="1" applyAlignment="1">
      <alignment horizontal="left" vertical="center" wrapText="1"/>
    </xf>
    <xf numFmtId="164" fontId="6" fillId="2" borderId="0" xfId="0" applyNumberFormat="1" applyFont="1" applyFill="1" applyAlignment="1">
      <alignment horizontal="right" vertical="center" wrapText="1"/>
    </xf>
    <xf numFmtId="164" fontId="6" fillId="2" borderId="4" xfId="0" applyNumberFormat="1" applyFont="1" applyFill="1" applyBorder="1" applyAlignment="1">
      <alignment horizontal="right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64" fontId="18" fillId="2" borderId="1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left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8" xfId="0" applyNumberFormat="1" applyFont="1" applyFill="1" applyBorder="1" applyAlignment="1">
      <alignment horizontal="center" vertical="center" wrapText="1"/>
    </xf>
    <xf numFmtId="164" fontId="5" fillId="2" borderId="16" xfId="0" applyNumberFormat="1" applyFont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3" fillId="2" borderId="16" xfId="0" applyNumberFormat="1" applyFont="1" applyFill="1" applyBorder="1" applyAlignment="1">
      <alignment horizontal="center" vertical="center" wrapText="1"/>
    </xf>
  </cellXfs>
  <cellStyles count="69">
    <cellStyle name="1" xfId="7" xr:uid="{00000000-0005-0000-0000-000000000000}"/>
    <cellStyle name="Comma" xfId="1" builtinId="3"/>
    <cellStyle name="Comma 2" xfId="2" xr:uid="{00000000-0005-0000-0000-000002000000}"/>
    <cellStyle name="Comma 2 2" xfId="51" xr:uid="{9A84C4CD-F55D-4D7F-A24D-2331BEF12D2F}"/>
    <cellStyle name="Comma 2 2 2 5" xfId="32" xr:uid="{72CAE074-9478-48BE-827F-7C347CA8E33E}"/>
    <cellStyle name="Comma 2 3" xfId="58" xr:uid="{48917DD4-5850-420F-B56E-6D1242EC9C7D}"/>
    <cellStyle name="Comma 2 4" xfId="24" xr:uid="{25E79544-726A-40BC-9B88-F4040A358A37}"/>
    <cellStyle name="Comma 3" xfId="11" xr:uid="{B8EE6C01-62F8-4757-AEA0-A8E2BB20DD32}"/>
    <cellStyle name="Comma 3 2" xfId="54" xr:uid="{32AB1500-45AA-4601-AE5B-CC2189D86C97}"/>
    <cellStyle name="Heading 1 2" xfId="5" xr:uid="{00000000-0005-0000-0000-000003000000}"/>
    <cellStyle name="Normal" xfId="0" builtinId="0"/>
    <cellStyle name="Normal - Style1" xfId="12" xr:uid="{643D6BAF-51F0-40E9-A034-4148317B748D}"/>
    <cellStyle name="Normal 10" xfId="18" xr:uid="{53C320C8-74A4-4753-953E-745E7CA03BF9}"/>
    <cellStyle name="Normal 11" xfId="29" xr:uid="{C334F9A6-404A-429F-AAC8-A64A5D797F6B}"/>
    <cellStyle name="Normal 12" xfId="31" xr:uid="{AD19A09E-E36B-4581-9623-F54EE49DE1A7}"/>
    <cellStyle name="Normal 13" xfId="40" xr:uid="{8F3E15E1-866E-4642-A160-6EC78A16082E}"/>
    <cellStyle name="Normal 14" xfId="65" xr:uid="{38102293-679E-4BC4-8C21-B50A9352FE0D}"/>
    <cellStyle name="Normal 15" xfId="66" xr:uid="{DDD174B3-A44D-4519-9D5A-E09E51F6BD36}"/>
    <cellStyle name="Normal 16" xfId="67" xr:uid="{2B037F2C-6E53-4DFC-BCEF-4BAE4D22C99F}"/>
    <cellStyle name="Normal 17" xfId="68" xr:uid="{862E1F38-3D0E-4A33-9EDA-CE90F84B8E45}"/>
    <cellStyle name="Normal 2" xfId="6" xr:uid="{00000000-0005-0000-0000-000006000000}"/>
    <cellStyle name="Normal 2 2" xfId="13" xr:uid="{E1B4ADD7-AF9F-4C31-814B-2F7CCD24FB28}"/>
    <cellStyle name="Normal 2 2 2" xfId="25" xr:uid="{86D4674A-12DC-467D-8791-E9A1C7FC3D5C}"/>
    <cellStyle name="Normal 2 2 2 2" xfId="49" xr:uid="{E5E93CD8-FF9A-48B1-ADA9-AB3C731E6334}"/>
    <cellStyle name="Normal 2 2 3" xfId="26" xr:uid="{A9406696-2B5F-40B4-B07A-9A75502DB3A9}"/>
    <cellStyle name="Normal 2 2 3 2" xfId="47" xr:uid="{F69FCC6A-DC9B-4565-AD31-066A6C2F5064}"/>
    <cellStyle name="Normal 2 2 4" xfId="43" xr:uid="{6F0840CA-9553-405D-ACE5-D01A72852DAD}"/>
    <cellStyle name="Normal 2 3" xfId="28" xr:uid="{E13F57EA-1139-4D18-983A-599F278AD76F}"/>
    <cellStyle name="Normal 2 3 2" xfId="39" xr:uid="{0043EE02-D5BD-4812-AD16-BFACC7EF42A8}"/>
    <cellStyle name="Normal 2 3 3" xfId="42" xr:uid="{0A8706C9-91EC-4327-A8A0-F2E5BA34A857}"/>
    <cellStyle name="Normal 2 4" xfId="30" xr:uid="{20B2D89D-D384-47E8-A9EE-FCD14F76982F}"/>
    <cellStyle name="Normal 2 4 2" xfId="50" xr:uid="{3F0CEA5C-059B-43A9-859D-A965B48327F7}"/>
    <cellStyle name="Normal 2 5" xfId="34" xr:uid="{CE7AC479-92A4-4367-8F5E-D56B9C5A1031}"/>
    <cellStyle name="Normal 3" xfId="4" xr:uid="{00000000-0005-0000-0000-000007000000}"/>
    <cellStyle name="Normal 3 2" xfId="27" xr:uid="{D8C0391F-9AA5-43CD-9EDF-E1CEE95293DA}"/>
    <cellStyle name="Normal 3 2 2" xfId="36" xr:uid="{519BA7B2-00D0-4BC8-9FC5-2049B7FF832F}"/>
    <cellStyle name="Normal 3 2 2 2" xfId="61" xr:uid="{FFD9FBF6-074E-4300-A11B-1E9E248674A4}"/>
    <cellStyle name="Normal 3 3" xfId="45" xr:uid="{96442A53-EA32-4F89-842D-FC2B3500B36F}"/>
    <cellStyle name="Normal 3 3 2" xfId="64" xr:uid="{FC90F908-F2F6-489E-BDC8-B211A625F9C1}"/>
    <cellStyle name="Normal 3 4" xfId="55" xr:uid="{8D94B436-169A-4EF4-AF1F-BD2D38E48701}"/>
    <cellStyle name="Normal 3 5" xfId="59" xr:uid="{20B92D94-623A-4A41-B83E-988C78EE9919}"/>
    <cellStyle name="Normal 3 6" xfId="14" xr:uid="{2260A489-F0D9-40BA-A22E-29EA47F1B2F4}"/>
    <cellStyle name="Normal 4" xfId="19" xr:uid="{D3B53A52-2AD8-4381-AB54-845A42EF1FF2}"/>
    <cellStyle name="Normal 4 2" xfId="15" xr:uid="{861AA663-ADE1-4537-934E-8307E5FD8F74}"/>
    <cellStyle name="Normal 4 2 2" xfId="20" xr:uid="{E8677BA3-8211-444C-BEC4-9A07A188675B}"/>
    <cellStyle name="Normal 4 2 3" xfId="44" xr:uid="{A1A62C66-066C-4E8B-898C-FFCDC593C940}"/>
    <cellStyle name="Normal 4 3" xfId="35" xr:uid="{41EDC26E-37D1-45EB-B40D-C33CA90D2064}"/>
    <cellStyle name="Normal 4 3 2" xfId="52" xr:uid="{F0BD437D-A11C-4FCC-8D12-ECC542C171DB}"/>
    <cellStyle name="Normal 4 4" xfId="57" xr:uid="{644A2FD9-99FD-44AF-AD6A-7DA7696F10CB}"/>
    <cellStyle name="Normal 5" xfId="16" xr:uid="{497704D6-52EF-4ABE-A3CD-97569A2A33A7}"/>
    <cellStyle name="Normal 5 2" xfId="9" xr:uid="{00CB0B8C-510E-4BED-8B9B-553F22BD15C7}"/>
    <cellStyle name="Normal 5 2 2" xfId="60" xr:uid="{C310ED55-448A-4742-B398-B242C3A89A52}"/>
    <cellStyle name="Normal 5 3" xfId="33" xr:uid="{B6E770DA-49EF-4C68-912F-2AD9E34AB464}"/>
    <cellStyle name="Normal 5 4" xfId="46" xr:uid="{439C9414-9BA2-497D-BF7E-0C5A82DE1171}"/>
    <cellStyle name="Normal 6" xfId="21" xr:uid="{FF1D5E57-8C3F-43A7-8100-05F86404E24E}"/>
    <cellStyle name="Normal 6 2" xfId="37" xr:uid="{BF19C48D-9054-4CB1-8B26-C788F7386A5B}"/>
    <cellStyle name="Normal 6 2 2" xfId="62" xr:uid="{8DCBD4A4-A7DB-4626-B9AE-A2DBD111A1EA}"/>
    <cellStyle name="Normal 6 3" xfId="48" xr:uid="{EF61BC19-A02A-4B29-B5E5-F8ADBFFE6AF9}"/>
    <cellStyle name="Normal 7" xfId="22" xr:uid="{5E137597-5161-4D95-90E4-F6DC879E5B22}"/>
    <cellStyle name="Normal 7 2" xfId="38" xr:uid="{AF7B1DEB-2498-4714-A82C-DA80CF2C533D}"/>
    <cellStyle name="Normal 7 2 2" xfId="53" xr:uid="{72B3ACED-6426-4333-A31F-F7A584556C09}"/>
    <cellStyle name="Normal 7 3" xfId="63" xr:uid="{479EC22B-EFA4-4A4A-859B-B213AB646001}"/>
    <cellStyle name="Normal 7 4" xfId="41" xr:uid="{2E7F84E1-ECE1-404D-A212-C39658E7599D}"/>
    <cellStyle name="Normal 8" xfId="23" xr:uid="{CEB51C94-2E45-4D5B-9F0F-359FEE19D53C}"/>
    <cellStyle name="Normal 8 2" xfId="56" xr:uid="{286B7DE3-B5D9-42D4-91CA-A0F00AB06695}"/>
    <cellStyle name="Normal 9" xfId="10" xr:uid="{585AC317-7540-4658-AB5A-C34FB49F1152}"/>
    <cellStyle name="Percent 2" xfId="3" xr:uid="{00000000-0005-0000-0000-00000E000000}"/>
    <cellStyle name="Percent 2 2" xfId="8" xr:uid="{67C19ACC-B2FB-4E73-ACA6-0EF4958B92CE}"/>
    <cellStyle name="Percent 2 3" xfId="17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804846501609"/>
          <c:y val="0.1784770735971532"/>
          <c:w val="0.8621060795347083"/>
          <c:h val="0.521512249891598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'8.2'!$L$6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'8.2'!$L$8:$L$19</c:f>
              <c:numCache>
                <c:formatCode>_-* #,##0_-;\-* #,##0_-;_-* "-"??_-;_-@_-</c:formatCode>
                <c:ptCount val="12"/>
                <c:pt idx="0">
                  <c:v>3030</c:v>
                </c:pt>
                <c:pt idx="1">
                  <c:v>1469</c:v>
                </c:pt>
                <c:pt idx="2">
                  <c:v>784</c:v>
                </c:pt>
                <c:pt idx="3">
                  <c:v>962</c:v>
                </c:pt>
                <c:pt idx="4">
                  <c:v>265</c:v>
                </c:pt>
                <c:pt idx="5">
                  <c:v>346</c:v>
                </c:pt>
                <c:pt idx="6">
                  <c:v>345</c:v>
                </c:pt>
                <c:pt idx="7">
                  <c:v>146</c:v>
                </c:pt>
                <c:pt idx="8">
                  <c:v>627</c:v>
                </c:pt>
                <c:pt idx="9">
                  <c:v>132</c:v>
                </c:pt>
                <c:pt idx="10">
                  <c:v>101</c:v>
                </c:pt>
                <c:pt idx="11">
                  <c:v>1271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C-4970-B6B5-D76371007392}"/>
            </c:ext>
          </c:extLst>
        </c:ser>
        <c:ser>
          <c:idx val="1"/>
          <c:order val="1"/>
          <c:tx>
            <c:strRef>
              <c:f>'8.2'!$M$6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'8.2'!$M$8:$M$19</c:f>
              <c:numCache>
                <c:formatCode>_-* #,##0_-;\-* #,##0_-;_-* "-"??_-;_-@_-</c:formatCode>
                <c:ptCount val="12"/>
                <c:pt idx="0">
                  <c:v>952</c:v>
                </c:pt>
                <c:pt idx="1">
                  <c:v>149</c:v>
                </c:pt>
                <c:pt idx="2">
                  <c:v>645</c:v>
                </c:pt>
                <c:pt idx="3">
                  <c:v>450</c:v>
                </c:pt>
                <c:pt idx="4">
                  <c:v>256</c:v>
                </c:pt>
                <c:pt idx="5">
                  <c:v>136</c:v>
                </c:pt>
                <c:pt idx="6">
                  <c:v>27</c:v>
                </c:pt>
                <c:pt idx="7">
                  <c:v>188</c:v>
                </c:pt>
                <c:pt idx="8">
                  <c:v>287</c:v>
                </c:pt>
                <c:pt idx="9">
                  <c:v>96</c:v>
                </c:pt>
                <c:pt idx="10">
                  <c:v>15</c:v>
                </c:pt>
                <c:pt idx="11">
                  <c:v>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8C-4970-B6B5-D76371007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axId val="403490688"/>
        <c:axId val="403492224"/>
      </c:barChart>
      <c:catAx>
        <c:axId val="403490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403492224"/>
        <c:crosses val="autoZero"/>
        <c:auto val="1"/>
        <c:lblAlgn val="ctr"/>
        <c:lblOffset val="100"/>
        <c:noMultiLvlLbl val="0"/>
      </c:catAx>
      <c:valAx>
        <c:axId val="4034922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  <a:r>
                  <a:rPr lang="en-US" baseline="0"/>
                  <a:t> of cases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9.8808255778023608E-3"/>
              <c:y val="0.25301070299482753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349068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0513524056367918"/>
          <c:y val="0.2454842030394257"/>
          <c:w val="0.18600515524547906"/>
          <c:h val="0.10312697613318542"/>
        </c:manualLayout>
      </c:layout>
      <c:overlay val="0"/>
      <c:txPr>
        <a:bodyPr/>
        <a:lstStyle/>
        <a:p>
          <a:pPr>
            <a:defRPr sz="1050" b="0"/>
          </a:pPr>
          <a:endParaRPr lang="en-US"/>
        </a:p>
      </c:txPr>
    </c:legend>
    <c:plotVisOnly val="1"/>
    <c:dispBlanksAs val="gap"/>
    <c:showDLblsOverMax val="0"/>
  </c:chart>
  <c:spPr>
    <a:noFill/>
    <a:ln>
      <a:solidFill>
        <a:schemeClr val="bg1">
          <a:lumMod val="75000"/>
        </a:schemeClr>
      </a:solidFill>
    </a:ln>
  </c:spPr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40029912908872"/>
          <c:y val="0.18141358627834758"/>
          <c:w val="0.38882937296076686"/>
          <c:h val="0.7924713536842497"/>
        </c:manualLayout>
      </c:layout>
      <c:pieChart>
        <c:varyColors val="1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explosion val="3"/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4345-484B-B3B6-938A03CAB3B2}"/>
              </c:ext>
            </c:extLst>
          </c:dPt>
          <c:dLbls>
            <c:dLbl>
              <c:idx val="0"/>
              <c:layout>
                <c:manualLayout>
                  <c:x val="-0.13528571855865729"/>
                  <c:y val="-0.1452468784893981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050"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45-484B-B3B6-938A03CAB3B2}"/>
                </c:ext>
              </c:extLst>
            </c:dLbl>
            <c:dLbl>
              <c:idx val="1"/>
              <c:layout>
                <c:manualLayout>
                  <c:x val="9.8923836235387155E-2"/>
                  <c:y val="0.15668576902776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45-484B-B3B6-938A03CAB3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'8.2'!$L$6:$M$6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'8.2'!$L$7:$M$7</c:f>
              <c:numCache>
                <c:formatCode>_-* #,##0_-;\-* #,##0_-;_-* "-"??_-;_-@_-</c:formatCode>
                <c:ptCount val="2"/>
                <c:pt idx="0">
                  <c:v>9478</c:v>
                </c:pt>
                <c:pt idx="1">
                  <c:v>4065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33-4BA7-AE15-317750693BE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188408</xdr:colOff>
      <xdr:row>31</xdr:row>
      <xdr:rowOff>141441</xdr:rowOff>
    </xdr:from>
    <xdr:to>
      <xdr:col>8</xdr:col>
      <xdr:colOff>157005</xdr:colOff>
      <xdr:row>48</xdr:row>
      <xdr:rowOff>12396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251208</xdr:colOff>
      <xdr:row>31</xdr:row>
      <xdr:rowOff>183128</xdr:rowOff>
    </xdr:from>
    <xdr:to>
      <xdr:col>16</xdr:col>
      <xdr:colOff>2244245</xdr:colOff>
      <xdr:row>48</xdr:row>
      <xdr:rowOff>26095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397749</xdr:colOff>
      <xdr:row>32</xdr:row>
      <xdr:rowOff>54736</xdr:rowOff>
    </xdr:from>
    <xdr:to>
      <xdr:col>8</xdr:col>
      <xdr:colOff>94204</xdr:colOff>
      <xdr:row>33</xdr:row>
      <xdr:rowOff>151270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97749" y="4911439"/>
          <a:ext cx="5725466" cy="284941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8.3: Number of logged cases for Male' and Atolls by type, 2022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pPr algn="ctr"/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9</xdr:col>
      <xdr:colOff>523631</xdr:colOff>
      <xdr:row>32</xdr:row>
      <xdr:rowOff>88220</xdr:rowOff>
    </xdr:from>
    <xdr:to>
      <xdr:col>16</xdr:col>
      <xdr:colOff>2021285</xdr:colOff>
      <xdr:row>34</xdr:row>
      <xdr:rowOff>96642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7159730" y="4944923"/>
          <a:ext cx="5799604" cy="3852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8.4: Percentage share of logged cases for Male' and Atolls, 2022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2D050"/>
  </sheetPr>
  <dimension ref="A1:Z41"/>
  <sheetViews>
    <sheetView tabSelected="1" zoomScale="87" zoomScaleNormal="87" zoomScaleSheetLayoutView="91" workbookViewId="0">
      <selection activeCell="X10" sqref="X10"/>
    </sheetView>
  </sheetViews>
  <sheetFormatPr defaultColWidth="9.140625" defaultRowHeight="15"/>
  <cols>
    <col min="1" max="1" width="26.7109375" style="1" customWidth="1"/>
    <col min="2" max="13" width="9.140625" style="1" customWidth="1"/>
    <col min="14" max="15" width="9.42578125" style="1" customWidth="1"/>
    <col min="16" max="16" width="9.28515625" style="1" customWidth="1"/>
    <col min="17" max="17" width="35.140625" style="1" customWidth="1"/>
    <col min="18" max="18" width="10.7109375" style="1" customWidth="1"/>
    <col min="19" max="16384" width="9.140625" style="1"/>
  </cols>
  <sheetData>
    <row r="1" spans="1:26" ht="21">
      <c r="A1" s="59" t="s">
        <v>59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26" ht="21.75" customHeight="1">
      <c r="A2" s="50" t="s">
        <v>58</v>
      </c>
      <c r="B2" s="51"/>
      <c r="C2" s="51"/>
      <c r="D2" s="51"/>
      <c r="E2" s="51"/>
      <c r="F2" s="51"/>
      <c r="G2" s="51"/>
      <c r="H2" s="52"/>
      <c r="I2" s="52"/>
      <c r="J2" s="52"/>
      <c r="K2" s="53"/>
      <c r="L2" s="53"/>
      <c r="M2" s="53"/>
      <c r="N2" s="50"/>
      <c r="O2" s="50"/>
      <c r="P2" s="50"/>
      <c r="Q2" s="50"/>
    </row>
    <row r="3" spans="1:26" ht="17.25" customHeight="1">
      <c r="A3" s="54" t="s">
        <v>31</v>
      </c>
      <c r="B3" s="61">
        <v>2019</v>
      </c>
      <c r="C3" s="62"/>
      <c r="D3" s="63"/>
      <c r="E3" s="61">
        <v>2020</v>
      </c>
      <c r="F3" s="69"/>
      <c r="G3" s="63"/>
      <c r="H3" s="61">
        <v>2021</v>
      </c>
      <c r="I3" s="69"/>
      <c r="J3" s="63"/>
      <c r="K3" s="61">
        <v>2022</v>
      </c>
      <c r="L3" s="69"/>
      <c r="M3" s="63"/>
      <c r="N3" s="67" t="s">
        <v>32</v>
      </c>
      <c r="O3" s="68"/>
      <c r="P3" s="68"/>
      <c r="Q3" s="49" t="s">
        <v>0</v>
      </c>
    </row>
    <row r="4" spans="1:26" ht="16.5" customHeight="1">
      <c r="A4" s="60"/>
      <c r="B4" s="64"/>
      <c r="C4" s="65"/>
      <c r="D4" s="66"/>
      <c r="E4" s="64"/>
      <c r="F4" s="65"/>
      <c r="G4" s="66"/>
      <c r="H4" s="64"/>
      <c r="I4" s="65"/>
      <c r="J4" s="66"/>
      <c r="K4" s="64"/>
      <c r="L4" s="65"/>
      <c r="M4" s="66"/>
      <c r="N4" s="58" t="s">
        <v>57</v>
      </c>
      <c r="O4" s="58"/>
      <c r="P4" s="58"/>
      <c r="Q4" s="56"/>
      <c r="T4" s="2"/>
      <c r="U4" s="2"/>
      <c r="V4" s="2"/>
      <c r="W4" s="2"/>
      <c r="X4" s="2"/>
    </row>
    <row r="5" spans="1:26" ht="18.75">
      <c r="A5" s="60"/>
      <c r="B5" s="9" t="s">
        <v>33</v>
      </c>
      <c r="C5" s="7" t="s">
        <v>34</v>
      </c>
      <c r="D5" s="8" t="s">
        <v>35</v>
      </c>
      <c r="E5" s="9" t="s">
        <v>33</v>
      </c>
      <c r="F5" s="42" t="s">
        <v>34</v>
      </c>
      <c r="G5" s="8" t="s">
        <v>35</v>
      </c>
      <c r="H5" s="9" t="s">
        <v>33</v>
      </c>
      <c r="I5" s="42" t="s">
        <v>34</v>
      </c>
      <c r="J5" s="8" t="s">
        <v>35</v>
      </c>
      <c r="K5" s="9" t="s">
        <v>33</v>
      </c>
      <c r="L5" s="42" t="s">
        <v>34</v>
      </c>
      <c r="M5" s="8" t="s">
        <v>35</v>
      </c>
      <c r="N5" s="42" t="s">
        <v>33</v>
      </c>
      <c r="O5" s="7" t="s">
        <v>34</v>
      </c>
      <c r="P5" s="7" t="s">
        <v>35</v>
      </c>
      <c r="Q5" s="56"/>
      <c r="T5" s="2"/>
      <c r="U5" s="2"/>
      <c r="V5" s="2"/>
      <c r="W5" s="2"/>
      <c r="X5" s="2"/>
    </row>
    <row r="6" spans="1:26" ht="13.5" customHeight="1">
      <c r="A6" s="55"/>
      <c r="B6" s="11" t="s">
        <v>36</v>
      </c>
      <c r="C6" s="41" t="s">
        <v>37</v>
      </c>
      <c r="D6" s="10" t="s">
        <v>38</v>
      </c>
      <c r="E6" s="11" t="s">
        <v>36</v>
      </c>
      <c r="F6" s="41" t="s">
        <v>37</v>
      </c>
      <c r="G6" s="10" t="s">
        <v>38</v>
      </c>
      <c r="H6" s="11" t="s">
        <v>36</v>
      </c>
      <c r="I6" s="41" t="s">
        <v>37</v>
      </c>
      <c r="J6" s="10" t="s">
        <v>38</v>
      </c>
      <c r="K6" s="11" t="s">
        <v>36</v>
      </c>
      <c r="L6" s="41" t="s">
        <v>37</v>
      </c>
      <c r="M6" s="10" t="s">
        <v>38</v>
      </c>
      <c r="N6" s="41" t="s">
        <v>36</v>
      </c>
      <c r="O6" s="41" t="s">
        <v>37</v>
      </c>
      <c r="P6" s="41" t="s">
        <v>38</v>
      </c>
      <c r="Q6" s="57"/>
      <c r="T6" s="2"/>
      <c r="U6" s="2"/>
      <c r="V6" s="2"/>
      <c r="W6" s="2"/>
      <c r="X6" s="2"/>
    </row>
    <row r="7" spans="1:26" s="14" customFormat="1" ht="15.75">
      <c r="A7" s="3" t="s">
        <v>2</v>
      </c>
      <c r="B7" s="13">
        <f t="shared" ref="B7:J7" si="0">SUM(B8:B19)</f>
        <v>16480</v>
      </c>
      <c r="C7" s="12">
        <f t="shared" si="0"/>
        <v>11459</v>
      </c>
      <c r="D7" s="12">
        <f t="shared" si="0"/>
        <v>5021</v>
      </c>
      <c r="E7" s="13">
        <f t="shared" si="0"/>
        <v>12787</v>
      </c>
      <c r="F7" s="12">
        <f t="shared" si="0"/>
        <v>7852</v>
      </c>
      <c r="G7" s="43">
        <f t="shared" si="0"/>
        <v>4935</v>
      </c>
      <c r="H7" s="13">
        <f t="shared" si="0"/>
        <v>14143</v>
      </c>
      <c r="I7" s="12">
        <f t="shared" si="0"/>
        <v>10188</v>
      </c>
      <c r="J7" s="43">
        <f t="shared" si="0"/>
        <v>3955</v>
      </c>
      <c r="K7" s="13">
        <f>SUM(K8:K19)</f>
        <v>13543</v>
      </c>
      <c r="L7" s="12">
        <f>SUM(L8:L19)</f>
        <v>9478</v>
      </c>
      <c r="M7" s="43">
        <f>SUM(M8:M19)</f>
        <v>4065</v>
      </c>
      <c r="N7" s="45">
        <f>(K7-H7)/H7*100</f>
        <v>-4.2423813900869689</v>
      </c>
      <c r="O7" s="46">
        <f>(L7-I7)/I7*100</f>
        <v>-6.9689831173930115</v>
      </c>
      <c r="P7" s="46">
        <f>(M7-J7)/J7*100</f>
        <v>2.781289506953224</v>
      </c>
      <c r="Q7" s="40" t="s">
        <v>3</v>
      </c>
      <c r="S7" s="15"/>
      <c r="T7" s="16"/>
      <c r="U7" s="15"/>
      <c r="V7" s="16"/>
      <c r="W7" s="16"/>
      <c r="X7" s="3"/>
      <c r="Y7" s="3"/>
      <c r="Z7" s="3"/>
    </row>
    <row r="8" spans="1:26" ht="18.75">
      <c r="A8" s="31" t="s">
        <v>1</v>
      </c>
      <c r="B8" s="32">
        <f>SUM(C8:D8)</f>
        <v>4554</v>
      </c>
      <c r="C8" s="17">
        <v>3289</v>
      </c>
      <c r="D8" s="18">
        <v>1265</v>
      </c>
      <c r="E8" s="32">
        <f>SUM(F8:G8)</f>
        <v>3581</v>
      </c>
      <c r="F8" s="17">
        <v>2341</v>
      </c>
      <c r="G8" s="18">
        <v>1240</v>
      </c>
      <c r="H8" s="32">
        <f>SUM(I8:J8)</f>
        <v>4662</v>
      </c>
      <c r="I8" s="17">
        <v>3841</v>
      </c>
      <c r="J8" s="18">
        <v>821</v>
      </c>
      <c r="K8" s="32">
        <f>SUM(L8:M8)</f>
        <v>3982</v>
      </c>
      <c r="L8" s="17">
        <v>3030</v>
      </c>
      <c r="M8" s="18">
        <v>952</v>
      </c>
      <c r="N8" s="47">
        <f>(K8-H8)/H8*100</f>
        <v>-14.586014586014587</v>
      </c>
      <c r="O8" s="37">
        <f>(L8-I8)/I8*100</f>
        <v>-21.114293152824786</v>
      </c>
      <c r="P8" s="37">
        <f t="shared" ref="P8:P19" si="1">(M8-J8)/J8*100</f>
        <v>15.956151035322778</v>
      </c>
      <c r="Q8" s="5" t="s">
        <v>4</v>
      </c>
      <c r="R8" s="4"/>
      <c r="S8" s="15"/>
      <c r="T8" s="16"/>
      <c r="U8" s="15"/>
      <c r="V8" s="16"/>
      <c r="W8" s="16"/>
      <c r="X8" s="3"/>
      <c r="Y8" s="3"/>
      <c r="Z8" s="3"/>
    </row>
    <row r="9" spans="1:26" ht="18.75">
      <c r="A9" s="31" t="s">
        <v>15</v>
      </c>
      <c r="B9" s="32">
        <f t="shared" ref="B9:B18" si="2">SUM(C9:D9)</f>
        <v>2324</v>
      </c>
      <c r="C9" s="17">
        <v>2132</v>
      </c>
      <c r="D9" s="18">
        <v>192</v>
      </c>
      <c r="E9" s="32">
        <f t="shared" ref="E9:E18" si="3">SUM(F9:G9)</f>
        <v>1390</v>
      </c>
      <c r="F9" s="17">
        <v>1269</v>
      </c>
      <c r="G9" s="18">
        <v>121</v>
      </c>
      <c r="H9" s="32">
        <f t="shared" ref="H9:H18" si="4">SUM(I9:J9)</f>
        <v>1553</v>
      </c>
      <c r="I9" s="17">
        <v>1426</v>
      </c>
      <c r="J9" s="18">
        <v>127</v>
      </c>
      <c r="K9" s="32">
        <f t="shared" ref="K9:K18" si="5">SUM(L9:M9)</f>
        <v>1618</v>
      </c>
      <c r="L9" s="17">
        <v>1469</v>
      </c>
      <c r="M9" s="18">
        <v>149</v>
      </c>
      <c r="N9" s="47">
        <f t="shared" ref="N8:N19" si="6">(K9-H9)/H9*100</f>
        <v>4.1854475209272382</v>
      </c>
      <c r="O9" s="37">
        <f t="shared" ref="O9:O19" si="7">(L9-I9)/I9*100</f>
        <v>3.0154277699859748</v>
      </c>
      <c r="P9" s="37">
        <f t="shared" si="1"/>
        <v>17.322834645669293</v>
      </c>
      <c r="Q9" s="5" t="s">
        <v>39</v>
      </c>
      <c r="R9" s="4"/>
      <c r="S9" s="15"/>
      <c r="T9" s="16"/>
      <c r="U9" s="15"/>
      <c r="V9" s="16"/>
      <c r="W9" s="16"/>
      <c r="X9" s="3"/>
      <c r="Y9" s="3"/>
      <c r="Z9" s="3"/>
    </row>
    <row r="10" spans="1:26" ht="18.75">
      <c r="A10" s="31" t="s">
        <v>5</v>
      </c>
      <c r="B10" s="32">
        <f t="shared" si="2"/>
        <v>2188</v>
      </c>
      <c r="C10" s="17">
        <v>1102</v>
      </c>
      <c r="D10" s="18">
        <v>1086</v>
      </c>
      <c r="E10" s="32">
        <f t="shared" si="3"/>
        <v>1425</v>
      </c>
      <c r="F10" s="17">
        <v>482</v>
      </c>
      <c r="G10" s="18">
        <v>943</v>
      </c>
      <c r="H10" s="32">
        <f t="shared" si="4"/>
        <v>1440</v>
      </c>
      <c r="I10" s="17">
        <v>864</v>
      </c>
      <c r="J10" s="18">
        <v>576</v>
      </c>
      <c r="K10" s="32">
        <f t="shared" si="5"/>
        <v>1429</v>
      </c>
      <c r="L10" s="17">
        <v>784</v>
      </c>
      <c r="M10" s="18">
        <v>645</v>
      </c>
      <c r="N10" s="47">
        <f t="shared" si="6"/>
        <v>-0.76388888888888884</v>
      </c>
      <c r="O10" s="37">
        <f t="shared" si="7"/>
        <v>-9.2592592592592595</v>
      </c>
      <c r="P10" s="37">
        <f t="shared" si="1"/>
        <v>11.979166666666668</v>
      </c>
      <c r="Q10" s="5" t="s">
        <v>8</v>
      </c>
      <c r="R10" s="4"/>
      <c r="S10" s="15"/>
      <c r="T10" s="16"/>
      <c r="U10" s="15"/>
      <c r="V10" s="16"/>
      <c r="W10" s="16"/>
      <c r="X10" s="3"/>
      <c r="Y10" s="3"/>
      <c r="Z10" s="3"/>
    </row>
    <row r="11" spans="1:26" ht="18.75">
      <c r="A11" s="31" t="s">
        <v>27</v>
      </c>
      <c r="B11" s="32">
        <f t="shared" si="2"/>
        <v>1814</v>
      </c>
      <c r="C11" s="17">
        <v>1412</v>
      </c>
      <c r="D11" s="18">
        <v>402</v>
      </c>
      <c r="E11" s="32">
        <f t="shared" si="3"/>
        <v>744</v>
      </c>
      <c r="F11" s="17">
        <v>544</v>
      </c>
      <c r="G11" s="18">
        <v>200</v>
      </c>
      <c r="H11" s="32">
        <f t="shared" si="4"/>
        <v>974</v>
      </c>
      <c r="I11" s="17">
        <v>722</v>
      </c>
      <c r="J11" s="18">
        <v>252</v>
      </c>
      <c r="K11" s="32">
        <f t="shared" si="5"/>
        <v>1412</v>
      </c>
      <c r="L11" s="17">
        <v>962</v>
      </c>
      <c r="M11" s="18">
        <v>450</v>
      </c>
      <c r="N11" s="47">
        <f t="shared" si="6"/>
        <v>44.969199178644764</v>
      </c>
      <c r="O11" s="37">
        <f t="shared" si="7"/>
        <v>33.2409972299169</v>
      </c>
      <c r="P11" s="37">
        <f t="shared" si="1"/>
        <v>78.571428571428569</v>
      </c>
      <c r="Q11" s="5" t="s">
        <v>9</v>
      </c>
      <c r="R11" s="4"/>
      <c r="S11" s="15"/>
      <c r="T11" s="16"/>
      <c r="U11" s="15"/>
      <c r="V11" s="16"/>
      <c r="W11" s="16"/>
      <c r="X11" s="3"/>
      <c r="Y11" s="3"/>
      <c r="Z11" s="3"/>
    </row>
    <row r="12" spans="1:26" ht="18.75">
      <c r="A12" s="31" t="s">
        <v>6</v>
      </c>
      <c r="B12" s="32">
        <f t="shared" si="2"/>
        <v>631</v>
      </c>
      <c r="C12" s="17">
        <v>294</v>
      </c>
      <c r="D12" s="18">
        <v>337</v>
      </c>
      <c r="E12" s="32">
        <f t="shared" si="3"/>
        <v>661</v>
      </c>
      <c r="F12" s="17">
        <v>272</v>
      </c>
      <c r="G12" s="18">
        <v>389</v>
      </c>
      <c r="H12" s="32">
        <f t="shared" si="4"/>
        <v>610</v>
      </c>
      <c r="I12" s="17">
        <v>312</v>
      </c>
      <c r="J12" s="18">
        <v>298</v>
      </c>
      <c r="K12" s="32">
        <f t="shared" si="5"/>
        <v>521</v>
      </c>
      <c r="L12" s="17">
        <v>265</v>
      </c>
      <c r="M12" s="18">
        <v>256</v>
      </c>
      <c r="N12" s="47">
        <f t="shared" si="6"/>
        <v>-14.590163934426229</v>
      </c>
      <c r="O12" s="37">
        <f t="shared" si="7"/>
        <v>-15.064102564102564</v>
      </c>
      <c r="P12" s="37">
        <f t="shared" si="1"/>
        <v>-14.093959731543624</v>
      </c>
      <c r="Q12" s="5" t="s">
        <v>11</v>
      </c>
      <c r="R12" s="4"/>
      <c r="S12" s="15"/>
      <c r="T12" s="16"/>
      <c r="U12" s="15"/>
      <c r="V12" s="16"/>
      <c r="W12" s="16"/>
      <c r="X12" s="3"/>
      <c r="Y12" s="3"/>
      <c r="Z12" s="3"/>
    </row>
    <row r="13" spans="1:26" ht="18.75">
      <c r="A13" s="31" t="s">
        <v>12</v>
      </c>
      <c r="B13" s="32">
        <f t="shared" si="2"/>
        <v>467</v>
      </c>
      <c r="C13" s="17">
        <v>305</v>
      </c>
      <c r="D13" s="18">
        <v>162</v>
      </c>
      <c r="E13" s="32">
        <f t="shared" si="3"/>
        <v>395</v>
      </c>
      <c r="F13" s="17">
        <v>214</v>
      </c>
      <c r="G13" s="18">
        <v>181</v>
      </c>
      <c r="H13" s="32">
        <f t="shared" si="4"/>
        <v>503</v>
      </c>
      <c r="I13" s="17">
        <v>327</v>
      </c>
      <c r="J13" s="18">
        <v>176</v>
      </c>
      <c r="K13" s="32">
        <f t="shared" si="5"/>
        <v>482</v>
      </c>
      <c r="L13" s="17">
        <v>346</v>
      </c>
      <c r="M13" s="18">
        <v>136</v>
      </c>
      <c r="N13" s="47">
        <f t="shared" si="6"/>
        <v>-4.1749502982107352</v>
      </c>
      <c r="O13" s="37">
        <f t="shared" si="7"/>
        <v>5.81039755351682</v>
      </c>
      <c r="P13" s="37">
        <f t="shared" si="1"/>
        <v>-22.727272727272727</v>
      </c>
      <c r="Q13" s="5" t="s">
        <v>13</v>
      </c>
      <c r="R13" s="4"/>
      <c r="S13" s="15"/>
      <c r="T13" s="16"/>
      <c r="U13" s="15"/>
      <c r="V13" s="16"/>
      <c r="W13" s="16"/>
      <c r="X13" s="3"/>
      <c r="Y13" s="3"/>
      <c r="Z13" s="3"/>
    </row>
    <row r="14" spans="1:26" ht="18.75">
      <c r="A14" s="31" t="s">
        <v>10</v>
      </c>
      <c r="B14" s="32">
        <f t="shared" si="2"/>
        <v>483</v>
      </c>
      <c r="C14" s="17">
        <v>436</v>
      </c>
      <c r="D14" s="18">
        <v>47</v>
      </c>
      <c r="E14" s="32">
        <f t="shared" si="3"/>
        <v>348</v>
      </c>
      <c r="F14" s="17">
        <v>302</v>
      </c>
      <c r="G14" s="18">
        <v>46</v>
      </c>
      <c r="H14" s="32">
        <f t="shared" si="4"/>
        <v>377</v>
      </c>
      <c r="I14" s="17">
        <v>345</v>
      </c>
      <c r="J14" s="18">
        <v>32</v>
      </c>
      <c r="K14" s="32">
        <f t="shared" si="5"/>
        <v>372</v>
      </c>
      <c r="L14" s="17">
        <v>345</v>
      </c>
      <c r="M14" s="18">
        <v>27</v>
      </c>
      <c r="N14" s="47">
        <f t="shared" si="6"/>
        <v>-1.3262599469496021</v>
      </c>
      <c r="O14" s="37">
        <f t="shared" si="7"/>
        <v>0</v>
      </c>
      <c r="P14" s="37">
        <f t="shared" si="1"/>
        <v>-15.625</v>
      </c>
      <c r="Q14" s="5" t="s">
        <v>14</v>
      </c>
      <c r="R14" s="4"/>
      <c r="S14" s="15"/>
      <c r="T14" s="16"/>
      <c r="U14" s="15"/>
      <c r="V14" s="16"/>
      <c r="W14" s="16"/>
      <c r="X14" s="3"/>
      <c r="Y14" s="3"/>
      <c r="Z14" s="3"/>
    </row>
    <row r="15" spans="1:26" ht="18.75">
      <c r="A15" s="4" t="s">
        <v>17</v>
      </c>
      <c r="B15" s="32">
        <f t="shared" si="2"/>
        <v>405</v>
      </c>
      <c r="C15" s="17">
        <v>144</v>
      </c>
      <c r="D15" s="18">
        <v>261</v>
      </c>
      <c r="E15" s="32">
        <f t="shared" si="3"/>
        <v>490</v>
      </c>
      <c r="F15" s="17">
        <v>177</v>
      </c>
      <c r="G15" s="18">
        <v>313</v>
      </c>
      <c r="H15" s="32">
        <f t="shared" si="4"/>
        <v>342</v>
      </c>
      <c r="I15" s="17">
        <v>116</v>
      </c>
      <c r="J15" s="18">
        <v>226</v>
      </c>
      <c r="K15" s="32">
        <f t="shared" si="5"/>
        <v>334</v>
      </c>
      <c r="L15" s="17">
        <v>146</v>
      </c>
      <c r="M15" s="18">
        <v>188</v>
      </c>
      <c r="N15" s="47">
        <f t="shared" si="6"/>
        <v>-2.3391812865497075</v>
      </c>
      <c r="O15" s="37">
        <f t="shared" si="7"/>
        <v>25.862068965517242</v>
      </c>
      <c r="P15" s="37">
        <f t="shared" si="1"/>
        <v>-16.814159292035399</v>
      </c>
      <c r="Q15" s="5" t="s">
        <v>18</v>
      </c>
      <c r="R15" s="4"/>
      <c r="S15" s="15"/>
      <c r="T15" s="16"/>
      <c r="U15" s="15"/>
      <c r="V15" s="16"/>
      <c r="W15" s="16"/>
      <c r="X15" s="3"/>
      <c r="Y15" s="3"/>
      <c r="Z15" s="3"/>
    </row>
    <row r="16" spans="1:26" ht="18.75">
      <c r="A16" s="4" t="s">
        <v>16</v>
      </c>
      <c r="B16" s="32">
        <f t="shared" si="2"/>
        <v>494</v>
      </c>
      <c r="C16" s="17">
        <v>380</v>
      </c>
      <c r="D16" s="18">
        <v>114</v>
      </c>
      <c r="E16" s="32">
        <f t="shared" si="3"/>
        <v>609</v>
      </c>
      <c r="F16" s="17">
        <v>470</v>
      </c>
      <c r="G16" s="18">
        <v>139</v>
      </c>
      <c r="H16" s="32">
        <f t="shared" si="4"/>
        <v>987</v>
      </c>
      <c r="I16" s="17">
        <v>703</v>
      </c>
      <c r="J16" s="18">
        <v>284</v>
      </c>
      <c r="K16" s="32">
        <f t="shared" si="5"/>
        <v>914</v>
      </c>
      <c r="L16" s="17">
        <v>627</v>
      </c>
      <c r="M16" s="18">
        <v>287</v>
      </c>
      <c r="N16" s="47">
        <f t="shared" si="6"/>
        <v>-7.3961499493414395</v>
      </c>
      <c r="O16" s="37">
        <f t="shared" si="7"/>
        <v>-10.810810810810811</v>
      </c>
      <c r="P16" s="37">
        <f t="shared" si="1"/>
        <v>1.056338028169014</v>
      </c>
      <c r="Q16" s="5" t="s">
        <v>20</v>
      </c>
      <c r="R16" s="4"/>
      <c r="S16" s="15"/>
      <c r="T16" s="16"/>
      <c r="U16" s="15"/>
      <c r="V16" s="16"/>
      <c r="W16" s="16"/>
      <c r="X16" s="3"/>
      <c r="Y16" s="3"/>
      <c r="Z16" s="3"/>
    </row>
    <row r="17" spans="1:26" ht="18.75">
      <c r="A17" s="4" t="s">
        <v>19</v>
      </c>
      <c r="B17" s="32">
        <f t="shared" si="2"/>
        <v>219</v>
      </c>
      <c r="C17" s="17">
        <v>120</v>
      </c>
      <c r="D17" s="18">
        <v>99</v>
      </c>
      <c r="E17" s="32">
        <f t="shared" si="3"/>
        <v>245</v>
      </c>
      <c r="F17" s="17">
        <v>118</v>
      </c>
      <c r="G17" s="18">
        <v>127</v>
      </c>
      <c r="H17" s="32">
        <f t="shared" si="4"/>
        <v>267</v>
      </c>
      <c r="I17" s="17">
        <v>139</v>
      </c>
      <c r="J17" s="18">
        <v>128</v>
      </c>
      <c r="K17" s="32">
        <f t="shared" si="5"/>
        <v>228</v>
      </c>
      <c r="L17" s="17">
        <v>132</v>
      </c>
      <c r="M17" s="18">
        <v>96</v>
      </c>
      <c r="N17" s="47">
        <f t="shared" si="6"/>
        <v>-14.606741573033707</v>
      </c>
      <c r="O17" s="37">
        <f t="shared" si="7"/>
        <v>-5.0359712230215825</v>
      </c>
      <c r="P17" s="37">
        <f t="shared" si="1"/>
        <v>-25</v>
      </c>
      <c r="Q17" s="5" t="s">
        <v>22</v>
      </c>
      <c r="R17" s="4"/>
      <c r="S17" s="15"/>
      <c r="T17" s="16"/>
      <c r="U17" s="15"/>
      <c r="V17" s="16"/>
      <c r="W17" s="16"/>
      <c r="X17" s="3"/>
      <c r="Y17" s="3"/>
      <c r="Z17" s="3"/>
    </row>
    <row r="18" spans="1:26" ht="18.75">
      <c r="A18" s="4" t="s">
        <v>21</v>
      </c>
      <c r="B18" s="32">
        <f t="shared" si="2"/>
        <v>86</v>
      </c>
      <c r="C18" s="17">
        <v>79</v>
      </c>
      <c r="D18" s="18">
        <v>7</v>
      </c>
      <c r="E18" s="32">
        <f t="shared" si="3"/>
        <v>108</v>
      </c>
      <c r="F18" s="17">
        <v>92</v>
      </c>
      <c r="G18" s="18">
        <v>16</v>
      </c>
      <c r="H18" s="32">
        <f t="shared" si="4"/>
        <v>150</v>
      </c>
      <c r="I18" s="17">
        <v>132</v>
      </c>
      <c r="J18" s="18">
        <v>18</v>
      </c>
      <c r="K18" s="32">
        <f t="shared" si="5"/>
        <v>116</v>
      </c>
      <c r="L18" s="17">
        <v>101</v>
      </c>
      <c r="M18" s="18">
        <v>15</v>
      </c>
      <c r="N18" s="47">
        <f t="shared" si="6"/>
        <v>-22.666666666666664</v>
      </c>
      <c r="O18" s="37">
        <f t="shared" si="7"/>
        <v>-23.484848484848484</v>
      </c>
      <c r="P18" s="37">
        <f t="shared" si="1"/>
        <v>-16.666666666666664</v>
      </c>
      <c r="Q18" s="5" t="s">
        <v>23</v>
      </c>
      <c r="R18" s="4"/>
      <c r="S18" s="15"/>
      <c r="T18" s="16"/>
      <c r="U18" s="15"/>
      <c r="V18" s="16"/>
      <c r="W18" s="16"/>
      <c r="X18" s="3"/>
      <c r="Y18" s="3"/>
      <c r="Z18" s="3"/>
    </row>
    <row r="19" spans="1:26" ht="18.75">
      <c r="A19" s="35" t="s">
        <v>7</v>
      </c>
      <c r="B19" s="34">
        <f>SUM(C19:D19)</f>
        <v>2815</v>
      </c>
      <c r="C19" s="23">
        <v>1766</v>
      </c>
      <c r="D19" s="24">
        <v>1049</v>
      </c>
      <c r="E19" s="34">
        <f>SUM(F19:G19)</f>
        <v>2791</v>
      </c>
      <c r="F19" s="23">
        <f>SUM(F20:F30)</f>
        <v>1571</v>
      </c>
      <c r="G19" s="24">
        <f>SUM(G20:G30)</f>
        <v>1220</v>
      </c>
      <c r="H19" s="34">
        <f>SUM(I19:J19)</f>
        <v>2278</v>
      </c>
      <c r="I19" s="23">
        <v>1261</v>
      </c>
      <c r="J19" s="24">
        <v>1017</v>
      </c>
      <c r="K19" s="34">
        <f>SUM(L19:M19)</f>
        <v>2135</v>
      </c>
      <c r="L19" s="23">
        <v>1271</v>
      </c>
      <c r="M19" s="24">
        <v>864</v>
      </c>
      <c r="N19" s="48">
        <f t="shared" si="6"/>
        <v>-6.2774363476733974</v>
      </c>
      <c r="O19" s="38">
        <f t="shared" si="7"/>
        <v>0.79302141157811257</v>
      </c>
      <c r="P19" s="38">
        <f t="shared" si="1"/>
        <v>-15.044247787610621</v>
      </c>
      <c r="Q19" s="36" t="s">
        <v>24</v>
      </c>
      <c r="R19" s="4"/>
      <c r="S19" s="15"/>
      <c r="T19" s="16"/>
      <c r="U19" s="15"/>
      <c r="V19" s="16"/>
      <c r="W19" s="16"/>
      <c r="X19" s="3"/>
      <c r="Y19" s="3"/>
      <c r="Z19" s="3"/>
    </row>
    <row r="20" spans="1:26" ht="18.75" hidden="1">
      <c r="A20" s="19" t="s">
        <v>40</v>
      </c>
      <c r="B20" s="32">
        <f t="shared" ref="B20:B30" si="8">C20+D20</f>
        <v>485</v>
      </c>
      <c r="C20" s="17">
        <v>323</v>
      </c>
      <c r="D20" s="18">
        <v>162</v>
      </c>
      <c r="E20" s="32">
        <f t="shared" ref="E20:E30" si="9">F20+G20</f>
        <v>621</v>
      </c>
      <c r="F20" s="17">
        <v>341</v>
      </c>
      <c r="G20" s="18">
        <v>280</v>
      </c>
      <c r="H20" s="32">
        <f t="shared" ref="H20:H30" si="10">I20+J20</f>
        <v>0</v>
      </c>
      <c r="I20" s="17"/>
      <c r="J20" s="18"/>
      <c r="K20" s="32">
        <f t="shared" ref="K20:K30" si="11">L20+M20</f>
        <v>0</v>
      </c>
      <c r="L20" s="17"/>
      <c r="M20" s="18"/>
      <c r="N20" s="37">
        <f t="shared" ref="N20:N30" si="12">(H20-E20)/E20*100</f>
        <v>-100</v>
      </c>
      <c r="O20" s="37">
        <f t="shared" ref="O20:O30" si="13">(I20-F20)/F20*100</f>
        <v>-100</v>
      </c>
      <c r="P20" s="37">
        <f t="shared" ref="P20:P30" si="14">(J20-G20)/G20*100</f>
        <v>-100</v>
      </c>
      <c r="Q20" s="5" t="s">
        <v>41</v>
      </c>
      <c r="T20" s="2"/>
      <c r="U20" s="2"/>
      <c r="V20" s="2"/>
      <c r="W20" s="2"/>
      <c r="X20" s="2"/>
    </row>
    <row r="21" spans="1:26" ht="18.75" hidden="1">
      <c r="A21" s="19" t="s">
        <v>42</v>
      </c>
      <c r="B21" s="32">
        <f t="shared" si="8"/>
        <v>52</v>
      </c>
      <c r="C21" s="17">
        <v>19</v>
      </c>
      <c r="D21" s="18">
        <v>33</v>
      </c>
      <c r="E21" s="32">
        <f t="shared" si="9"/>
        <v>48</v>
      </c>
      <c r="F21" s="17">
        <v>13</v>
      </c>
      <c r="G21" s="18">
        <v>35</v>
      </c>
      <c r="H21" s="32">
        <f t="shared" si="10"/>
        <v>0</v>
      </c>
      <c r="I21" s="17"/>
      <c r="J21" s="18"/>
      <c r="K21" s="32">
        <f t="shared" si="11"/>
        <v>0</v>
      </c>
      <c r="L21" s="17"/>
      <c r="M21" s="18"/>
      <c r="N21" s="37">
        <f t="shared" si="12"/>
        <v>-100</v>
      </c>
      <c r="O21" s="37">
        <f t="shared" si="13"/>
        <v>-100</v>
      </c>
      <c r="P21" s="37">
        <f t="shared" si="14"/>
        <v>-100</v>
      </c>
      <c r="Q21" s="5" t="s">
        <v>43</v>
      </c>
      <c r="T21" s="2"/>
      <c r="U21" s="2"/>
      <c r="V21" s="2"/>
      <c r="W21" s="2"/>
      <c r="X21" s="2"/>
    </row>
    <row r="22" spans="1:26" ht="18.75" hidden="1">
      <c r="A22" s="19" t="s">
        <v>44</v>
      </c>
      <c r="B22" s="32">
        <f t="shared" si="8"/>
        <v>10</v>
      </c>
      <c r="C22" s="33">
        <v>0</v>
      </c>
      <c r="D22" s="18">
        <v>10</v>
      </c>
      <c r="E22" s="32">
        <f t="shared" si="9"/>
        <v>11</v>
      </c>
      <c r="F22" s="33">
        <v>2</v>
      </c>
      <c r="G22" s="18">
        <v>9</v>
      </c>
      <c r="H22" s="32">
        <f t="shared" si="10"/>
        <v>0</v>
      </c>
      <c r="I22" s="33"/>
      <c r="J22" s="18"/>
      <c r="K22" s="32">
        <f t="shared" si="11"/>
        <v>0</v>
      </c>
      <c r="L22" s="33"/>
      <c r="M22" s="18"/>
      <c r="N22" s="37">
        <f t="shared" si="12"/>
        <v>-100</v>
      </c>
      <c r="O22" s="37">
        <f t="shared" si="13"/>
        <v>-100</v>
      </c>
      <c r="P22" s="37">
        <f t="shared" si="14"/>
        <v>-100</v>
      </c>
      <c r="Q22" s="20" t="s">
        <v>45</v>
      </c>
      <c r="T22" s="2"/>
      <c r="U22" s="2"/>
      <c r="V22" s="2"/>
      <c r="W22" s="2"/>
      <c r="X22" s="2"/>
    </row>
    <row r="23" spans="1:26" ht="37.5" hidden="1">
      <c r="A23" s="19" t="s">
        <v>46</v>
      </c>
      <c r="B23" s="32">
        <f t="shared" si="8"/>
        <v>16</v>
      </c>
      <c r="C23" s="17">
        <v>10</v>
      </c>
      <c r="D23" s="18">
        <v>6</v>
      </c>
      <c r="E23" s="32">
        <f t="shared" si="9"/>
        <v>22</v>
      </c>
      <c r="F23" s="17">
        <v>10</v>
      </c>
      <c r="G23" s="18">
        <v>12</v>
      </c>
      <c r="H23" s="32">
        <f t="shared" si="10"/>
        <v>0</v>
      </c>
      <c r="I23" s="17"/>
      <c r="J23" s="18"/>
      <c r="K23" s="32">
        <f t="shared" si="11"/>
        <v>0</v>
      </c>
      <c r="L23" s="17"/>
      <c r="M23" s="18"/>
      <c r="N23" s="37">
        <f t="shared" si="12"/>
        <v>-100</v>
      </c>
      <c r="O23" s="37">
        <f t="shared" si="13"/>
        <v>-100</v>
      </c>
      <c r="P23" s="37">
        <f t="shared" si="14"/>
        <v>-100</v>
      </c>
      <c r="Q23" s="21" t="s">
        <v>47</v>
      </c>
      <c r="T23" s="2"/>
      <c r="U23" s="2"/>
      <c r="V23" s="2"/>
      <c r="W23" s="2"/>
      <c r="X23" s="2"/>
    </row>
    <row r="24" spans="1:26" ht="18.75" hidden="1">
      <c r="A24" s="19" t="s">
        <v>25</v>
      </c>
      <c r="B24" s="32">
        <f t="shared" si="8"/>
        <v>23</v>
      </c>
      <c r="C24" s="17">
        <v>7</v>
      </c>
      <c r="D24" s="18">
        <v>16</v>
      </c>
      <c r="E24" s="32">
        <f t="shared" si="9"/>
        <v>24</v>
      </c>
      <c r="F24" s="17">
        <v>1</v>
      </c>
      <c r="G24" s="18">
        <v>23</v>
      </c>
      <c r="H24" s="32">
        <f t="shared" si="10"/>
        <v>0</v>
      </c>
      <c r="I24" s="17"/>
      <c r="J24" s="18"/>
      <c r="K24" s="32">
        <f t="shared" si="11"/>
        <v>0</v>
      </c>
      <c r="L24" s="17"/>
      <c r="M24" s="18"/>
      <c r="N24" s="37">
        <f t="shared" si="12"/>
        <v>-100</v>
      </c>
      <c r="O24" s="37">
        <f t="shared" si="13"/>
        <v>-100</v>
      </c>
      <c r="P24" s="37">
        <f t="shared" si="14"/>
        <v>-100</v>
      </c>
      <c r="Q24" s="20" t="s">
        <v>26</v>
      </c>
      <c r="T24" s="2"/>
      <c r="U24" s="2"/>
      <c r="V24" s="2"/>
      <c r="W24" s="2"/>
      <c r="X24" s="2"/>
    </row>
    <row r="25" spans="1:26" ht="18.75" hidden="1">
      <c r="A25" s="19" t="s">
        <v>48</v>
      </c>
      <c r="B25" s="32">
        <f t="shared" si="8"/>
        <v>73</v>
      </c>
      <c r="C25" s="17">
        <v>25</v>
      </c>
      <c r="D25" s="18">
        <v>48</v>
      </c>
      <c r="E25" s="32">
        <f t="shared" si="9"/>
        <v>124</v>
      </c>
      <c r="F25" s="17">
        <v>37</v>
      </c>
      <c r="G25" s="18">
        <v>87</v>
      </c>
      <c r="H25" s="32">
        <f t="shared" si="10"/>
        <v>0</v>
      </c>
      <c r="I25" s="17"/>
      <c r="J25" s="18"/>
      <c r="K25" s="32">
        <f t="shared" si="11"/>
        <v>0</v>
      </c>
      <c r="L25" s="17"/>
      <c r="M25" s="18"/>
      <c r="N25" s="37">
        <f t="shared" si="12"/>
        <v>-100</v>
      </c>
      <c r="O25" s="37">
        <f t="shared" si="13"/>
        <v>-100</v>
      </c>
      <c r="P25" s="37">
        <f t="shared" si="14"/>
        <v>-100</v>
      </c>
      <c r="Q25" s="20" t="s">
        <v>49</v>
      </c>
      <c r="T25" s="2"/>
      <c r="U25" s="2"/>
      <c r="V25" s="2"/>
      <c r="W25" s="2"/>
      <c r="X25" s="2"/>
    </row>
    <row r="26" spans="1:26" ht="18.75" hidden="1">
      <c r="A26" s="19" t="s">
        <v>50</v>
      </c>
      <c r="B26" s="32">
        <f t="shared" si="8"/>
        <v>112</v>
      </c>
      <c r="C26" s="17">
        <v>58</v>
      </c>
      <c r="D26" s="18">
        <v>54</v>
      </c>
      <c r="E26" s="32">
        <f t="shared" si="9"/>
        <v>72</v>
      </c>
      <c r="F26" s="17">
        <v>34</v>
      </c>
      <c r="G26" s="18">
        <v>38</v>
      </c>
      <c r="H26" s="32">
        <f t="shared" si="10"/>
        <v>0</v>
      </c>
      <c r="I26" s="17"/>
      <c r="J26" s="18"/>
      <c r="K26" s="32">
        <f t="shared" si="11"/>
        <v>0</v>
      </c>
      <c r="L26" s="17"/>
      <c r="M26" s="18"/>
      <c r="N26" s="37">
        <f t="shared" si="12"/>
        <v>-100</v>
      </c>
      <c r="O26" s="37">
        <f t="shared" si="13"/>
        <v>-100</v>
      </c>
      <c r="P26" s="37">
        <f t="shared" si="14"/>
        <v>-100</v>
      </c>
      <c r="Q26" s="20" t="s">
        <v>51</v>
      </c>
      <c r="T26" s="2"/>
      <c r="U26" s="2"/>
      <c r="V26" s="2"/>
      <c r="W26" s="2"/>
      <c r="X26" s="2"/>
    </row>
    <row r="27" spans="1:26" ht="18.75" hidden="1">
      <c r="A27" s="19" t="s">
        <v>52</v>
      </c>
      <c r="B27" s="32">
        <f t="shared" si="8"/>
        <v>21</v>
      </c>
      <c r="C27" s="17">
        <v>9</v>
      </c>
      <c r="D27" s="18">
        <v>12</v>
      </c>
      <c r="E27" s="32">
        <f t="shared" si="9"/>
        <v>6</v>
      </c>
      <c r="F27" s="17">
        <v>1</v>
      </c>
      <c r="G27" s="18">
        <v>5</v>
      </c>
      <c r="H27" s="32">
        <f t="shared" si="10"/>
        <v>0</v>
      </c>
      <c r="I27" s="17"/>
      <c r="J27" s="18"/>
      <c r="K27" s="32">
        <f t="shared" si="11"/>
        <v>0</v>
      </c>
      <c r="L27" s="17"/>
      <c r="M27" s="18"/>
      <c r="N27" s="37">
        <f t="shared" si="12"/>
        <v>-100</v>
      </c>
      <c r="O27" s="37">
        <f t="shared" si="13"/>
        <v>-100</v>
      </c>
      <c r="P27" s="37">
        <f t="shared" si="14"/>
        <v>-100</v>
      </c>
      <c r="Q27" s="20" t="s">
        <v>53</v>
      </c>
      <c r="T27" s="2"/>
      <c r="U27" s="2"/>
      <c r="V27" s="2"/>
      <c r="W27" s="2"/>
      <c r="X27" s="2"/>
    </row>
    <row r="28" spans="1:26" ht="18.75" hidden="1">
      <c r="A28" s="19" t="s">
        <v>54</v>
      </c>
      <c r="B28" s="32">
        <f t="shared" si="8"/>
        <v>56</v>
      </c>
      <c r="C28" s="17">
        <v>26</v>
      </c>
      <c r="D28" s="18">
        <v>30</v>
      </c>
      <c r="E28" s="32">
        <f t="shared" si="9"/>
        <v>63</v>
      </c>
      <c r="F28" s="17">
        <v>27</v>
      </c>
      <c r="G28" s="18">
        <v>36</v>
      </c>
      <c r="H28" s="32">
        <f t="shared" si="10"/>
        <v>0</v>
      </c>
      <c r="I28" s="17"/>
      <c r="J28" s="18"/>
      <c r="K28" s="32">
        <f t="shared" si="11"/>
        <v>0</v>
      </c>
      <c r="L28" s="17"/>
      <c r="M28" s="18"/>
      <c r="N28" s="37">
        <f t="shared" si="12"/>
        <v>-100</v>
      </c>
      <c r="O28" s="37">
        <f t="shared" si="13"/>
        <v>-100</v>
      </c>
      <c r="P28" s="37">
        <f t="shared" si="14"/>
        <v>-100</v>
      </c>
      <c r="Q28" s="20" t="s">
        <v>28</v>
      </c>
      <c r="T28" s="2"/>
      <c r="U28" s="2"/>
      <c r="V28" s="2"/>
      <c r="W28" s="2"/>
      <c r="X28" s="2"/>
    </row>
    <row r="29" spans="1:26" ht="18.75" hidden="1">
      <c r="A29" s="19" t="s">
        <v>55</v>
      </c>
      <c r="B29" s="32">
        <f t="shared" si="8"/>
        <v>17</v>
      </c>
      <c r="C29" s="17">
        <v>9</v>
      </c>
      <c r="D29" s="18">
        <v>8</v>
      </c>
      <c r="E29" s="32">
        <f t="shared" si="9"/>
        <v>6</v>
      </c>
      <c r="F29" s="17">
        <v>1</v>
      </c>
      <c r="G29" s="18">
        <v>5</v>
      </c>
      <c r="H29" s="32">
        <f t="shared" si="10"/>
        <v>0</v>
      </c>
      <c r="I29" s="17"/>
      <c r="J29" s="18"/>
      <c r="K29" s="32">
        <f t="shared" si="11"/>
        <v>0</v>
      </c>
      <c r="L29" s="17"/>
      <c r="M29" s="18"/>
      <c r="N29" s="37">
        <f t="shared" si="12"/>
        <v>-100</v>
      </c>
      <c r="O29" s="37">
        <f t="shared" si="13"/>
        <v>-100</v>
      </c>
      <c r="P29" s="37">
        <f t="shared" si="14"/>
        <v>-100</v>
      </c>
      <c r="Q29" s="20" t="s">
        <v>56</v>
      </c>
      <c r="S29" s="5"/>
      <c r="T29" s="2"/>
      <c r="U29" s="2"/>
      <c r="V29" s="2"/>
      <c r="W29" s="2"/>
      <c r="X29" s="2"/>
    </row>
    <row r="30" spans="1:26" ht="18.75" hidden="1">
      <c r="A30" s="22" t="s">
        <v>7</v>
      </c>
      <c r="B30" s="34">
        <f t="shared" si="8"/>
        <v>1950</v>
      </c>
      <c r="C30" s="23">
        <v>1280</v>
      </c>
      <c r="D30" s="24">
        <v>670</v>
      </c>
      <c r="E30" s="34">
        <f t="shared" si="9"/>
        <v>1794</v>
      </c>
      <c r="F30" s="23">
        <v>1104</v>
      </c>
      <c r="G30" s="24">
        <v>690</v>
      </c>
      <c r="H30" s="34">
        <f t="shared" si="10"/>
        <v>0</v>
      </c>
      <c r="I30" s="23"/>
      <c r="J30" s="24"/>
      <c r="K30" s="34">
        <f t="shared" si="11"/>
        <v>0</v>
      </c>
      <c r="L30" s="23"/>
      <c r="M30" s="24"/>
      <c r="N30" s="44">
        <f t="shared" si="12"/>
        <v>-100</v>
      </c>
      <c r="O30" s="38">
        <f t="shared" si="13"/>
        <v>-100</v>
      </c>
      <c r="P30" s="38">
        <f t="shared" si="14"/>
        <v>-100</v>
      </c>
      <c r="Q30" s="25" t="s">
        <v>24</v>
      </c>
      <c r="T30" s="2"/>
      <c r="U30" s="2"/>
      <c r="V30" s="2"/>
      <c r="W30" s="2"/>
      <c r="X30" s="2"/>
    </row>
    <row r="31" spans="1:26" ht="16.5">
      <c r="A31" s="27" t="s">
        <v>29</v>
      </c>
      <c r="B31" s="26"/>
      <c r="E31" s="26"/>
      <c r="H31" s="26"/>
      <c r="K31" s="26"/>
      <c r="N31" s="26"/>
      <c r="O31" s="26"/>
      <c r="P31" s="26"/>
      <c r="Q31" s="39" t="s">
        <v>30</v>
      </c>
      <c r="T31" s="2"/>
      <c r="U31" s="2"/>
      <c r="V31" s="2"/>
      <c r="W31" s="2"/>
      <c r="X31" s="2"/>
    </row>
    <row r="32" spans="1:26">
      <c r="C32" s="28"/>
      <c r="D32" s="28"/>
      <c r="F32" s="28"/>
      <c r="G32" s="28"/>
      <c r="I32" s="28"/>
      <c r="J32" s="28"/>
      <c r="L32" s="28"/>
      <c r="M32" s="28"/>
    </row>
    <row r="33" spans="1:24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T33" s="2"/>
      <c r="U33" s="2"/>
      <c r="V33" s="2"/>
      <c r="W33" s="2"/>
      <c r="X33" s="2"/>
    </row>
    <row r="34" spans="1:24">
      <c r="A34" s="28"/>
      <c r="B34" s="28"/>
      <c r="E34" s="28"/>
      <c r="H34" s="28"/>
      <c r="K34" s="28"/>
      <c r="N34" s="28"/>
      <c r="O34" s="28"/>
      <c r="P34" s="28"/>
      <c r="Q34" s="28"/>
      <c r="T34" s="2"/>
      <c r="U34" s="2"/>
      <c r="V34" s="2"/>
      <c r="W34" s="2"/>
      <c r="X34" s="2"/>
    </row>
    <row r="35" spans="1:24">
      <c r="T35" s="2"/>
      <c r="U35" s="2"/>
      <c r="V35" s="2"/>
      <c r="W35" s="2"/>
      <c r="X35" s="2"/>
    </row>
    <row r="36" spans="1:24">
      <c r="T36" s="2"/>
      <c r="U36" s="2"/>
      <c r="V36" s="2"/>
      <c r="W36" s="2"/>
      <c r="X36" s="2"/>
    </row>
    <row r="37" spans="1:24">
      <c r="T37" s="2"/>
      <c r="U37" s="2"/>
      <c r="V37" s="2"/>
      <c r="W37" s="2"/>
      <c r="X37" s="2"/>
    </row>
    <row r="38" spans="1:24">
      <c r="C38" s="6"/>
      <c r="D38" s="6"/>
      <c r="F38" s="6"/>
      <c r="G38" s="6"/>
      <c r="I38" s="6"/>
      <c r="J38" s="6"/>
      <c r="L38" s="6"/>
      <c r="M38" s="6"/>
      <c r="T38" s="2"/>
      <c r="U38" s="2"/>
      <c r="V38" s="2"/>
      <c r="W38" s="2"/>
      <c r="X38" s="2"/>
    </row>
    <row r="39" spans="1:24" ht="17.25">
      <c r="A39" s="29"/>
      <c r="B39" s="6"/>
      <c r="E39" s="6"/>
      <c r="H39" s="6"/>
      <c r="K39" s="6"/>
      <c r="N39" s="6"/>
      <c r="O39" s="6"/>
      <c r="P39" s="6"/>
      <c r="Q39" s="30"/>
      <c r="T39" s="2"/>
      <c r="U39" s="2"/>
      <c r="V39" s="2"/>
      <c r="W39" s="2"/>
      <c r="X39" s="2"/>
    </row>
    <row r="40" spans="1:24">
      <c r="T40" s="2"/>
      <c r="U40" s="2"/>
      <c r="V40" s="2"/>
      <c r="W40" s="2"/>
      <c r="X40" s="2"/>
    </row>
    <row r="41" spans="1:24">
      <c r="T41" s="2"/>
      <c r="U41" s="2"/>
      <c r="V41" s="2"/>
      <c r="W41" s="2"/>
      <c r="X41" s="2"/>
    </row>
  </sheetData>
  <mergeCells count="10">
    <mergeCell ref="Q3:Q6"/>
    <mergeCell ref="N4:P4"/>
    <mergeCell ref="A1:Q1"/>
    <mergeCell ref="A2:Q2"/>
    <mergeCell ref="A3:A6"/>
    <mergeCell ref="N3:P3"/>
    <mergeCell ref="B3:D4"/>
    <mergeCell ref="E3:G4"/>
    <mergeCell ref="H3:J4"/>
    <mergeCell ref="K3:M4"/>
  </mergeCells>
  <pageMargins left="0.7" right="0.7" top="0.75" bottom="0.75" header="0.3" footer="0.3"/>
  <pageSetup paperSize="9" scale="36" orientation="portrait" horizontalDpi="4294967295" verticalDpi="4294967295" r:id="rId1"/>
  <ignoredErrors>
    <ignoredError sqref="N7 O7:P7 O8:P19 N9:N19" unlockedFormula="1"/>
    <ignoredError sqref="B7:D7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8.2</vt:lpstr>
      <vt:lpstr>'8.2'!Print_Area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2023-09-17T05:31:19Z</cp:lastPrinted>
  <dcterms:created xsi:type="dcterms:W3CDTF">2019-06-30T04:22:49Z</dcterms:created>
  <dcterms:modified xsi:type="dcterms:W3CDTF">2023-09-17T05:31:32Z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