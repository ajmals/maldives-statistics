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391D0C74-160E-4253-BAF4-DB2887BE54F6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8" sheetId="8" r:id="rId1"/>
  </sheets>
  <definedNames>
    <definedName name="_xlnm.Print_Area" localSheetId="0">'8.8'!$A$1:$J$51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8" l="1"/>
  <c r="AU10" i="8"/>
  <c r="G9" i="8" l="1"/>
  <c r="G11" i="8"/>
  <c r="G12" i="8"/>
  <c r="G13" i="8"/>
  <c r="G15" i="8"/>
  <c r="G16" i="8"/>
  <c r="G17" i="8"/>
  <c r="G18" i="8"/>
  <c r="G19" i="8"/>
  <c r="G20" i="8"/>
  <c r="G21" i="8"/>
  <c r="E14" i="8"/>
  <c r="E7" i="8"/>
  <c r="AU9" i="8" l="1"/>
  <c r="E6" i="8"/>
  <c r="H9" i="8" s="1"/>
  <c r="AU8" i="8"/>
  <c r="H15" i="8"/>
  <c r="H21" i="8"/>
  <c r="H8" i="8" l="1"/>
  <c r="H11" i="8"/>
  <c r="H13" i="8"/>
  <c r="H10" i="8"/>
  <c r="H12" i="8"/>
  <c r="H14" i="8"/>
  <c r="H17" i="8"/>
  <c r="H20" i="8"/>
  <c r="H7" i="8"/>
  <c r="H6" i="8"/>
  <c r="H19" i="8"/>
  <c r="H16" i="8"/>
  <c r="H18" i="8"/>
  <c r="D14" i="8" l="1"/>
  <c r="G14" i="8" s="1"/>
  <c r="D7" i="8"/>
  <c r="G7" i="8" s="1"/>
  <c r="D6" i="8" l="1"/>
  <c r="G6" i="8" s="1"/>
  <c r="C14" i="8" l="1"/>
  <c r="C7" i="8"/>
  <c r="C6" i="8" l="1"/>
  <c r="B14" i="8" l="1"/>
  <c r="B7" i="8"/>
  <c r="B6" i="8" l="1"/>
</calcChain>
</file>

<file path=xl/sharedStrings.xml><?xml version="1.0" encoding="utf-8"?>
<sst xmlns="http://schemas.openxmlformats.org/spreadsheetml/2006/main" count="49" uniqueCount="33">
  <si>
    <t>Total</t>
  </si>
  <si>
    <t>Drugs</t>
  </si>
  <si>
    <t>Others</t>
  </si>
  <si>
    <t>އެހެނިހެން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</si>
  <si>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</si>
  <si>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</si>
  <si>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</si>
  <si>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</si>
  <si>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-</t>
  </si>
  <si>
    <t>ޖުމްލަ</t>
  </si>
  <si>
    <t xml:space="preserve">Type </t>
  </si>
  <si>
    <t>އިންސައްތަ</t>
  </si>
  <si>
    <t>Percentage share</t>
  </si>
  <si>
    <t>މައްސަލައިގެ ބާވަތް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</si>
  <si>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</si>
  <si>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</si>
  <si>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</si>
  <si>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</si>
  <si>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</si>
  <si>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>Production</t>
  </si>
  <si>
    <t xml:space="preserve">   އުފެއްދުން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</si>
  <si>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</si>
  <si>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</si>
  <si>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</si>
  <si>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</si>
  <si>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others</t>
  </si>
  <si>
    <t>Alcohol</t>
  </si>
  <si>
    <t>ރަލުގެ މައްސަލަތައް</t>
  </si>
  <si>
    <t>Other cases related to drug offences</t>
  </si>
  <si>
    <t>ޑްރަގްސް އާއި ގުޅުން ހުރި އެހެނިހެން މައްސަލަތައް</t>
  </si>
  <si>
    <t>% change over 2021</t>
  </si>
  <si>
    <t>ތާވަލު 8.8: ހުށަހެޅިފައިވާ މަސްތުވާތަކެތީގެ މައްސަލަތަކާއި އަދި ބާވަތް، 2019- 2022</t>
  </si>
  <si>
    <t>Table 8.8:  DRUG CASES LOGGED BY TYPE, 2019 - 2022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</si>
</sst>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Faruma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8" fillId="0" borderId="6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2" fontId="31" fillId="0" borderId="0"/>
    <xf numFmtId="1" fontId="32" fillId="0" borderId="12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7" fillId="0" borderId="0"/>
    <xf numFmtId="1" fontId="32" fillId="0" borderId="12" applyNumberFormat="0"/>
    <xf numFmtId="0" fontId="1" fillId="0" borderId="0"/>
    <xf numFmtId="0" fontId="30" fillId="0" borderId="0"/>
    <xf numFmtId="0" fontId="20" fillId="0" borderId="0" applyFill="0" applyProtection="0"/>
    <xf numFmtId="1" fontId="32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3" fillId="0" borderId="0"/>
    <xf numFmtId="0" fontId="34" fillId="0" borderId="0"/>
    <xf numFmtId="0" fontId="33" fillId="0" borderId="0"/>
    <xf numFmtId="0" fontId="1" fillId="0" borderId="0"/>
    <xf numFmtId="0" fontId="30" fillId="0" borderId="0"/>
    <xf numFmtId="0" fontId="20" fillId="0" borderId="0" applyFill="0" applyProtection="0"/>
    <xf numFmtId="1" fontId="32" fillId="0" borderId="12" applyNumberFormat="0"/>
    <xf numFmtId="0" fontId="1" fillId="0" borderId="0"/>
    <xf numFmtId="0" fontId="27" fillId="0" borderId="0"/>
    <xf numFmtId="0" fontId="33" fillId="0" borderId="0"/>
    <xf numFmtId="0" fontId="34" fillId="0" borderId="0"/>
    <xf numFmtId="0" fontId="27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35" fillId="0" borderId="0" applyBorder="0"/>
    <xf numFmtId="0" fontId="1" fillId="0" borderId="0"/>
    <xf numFmtId="40" fontId="3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5" fillId="0" borderId="0" applyBorder="0"/>
    <xf numFmtId="0" fontId="1" fillId="0" borderId="0"/>
    <xf numFmtId="0" fontId="1" fillId="0" borderId="0"/>
    <xf numFmtId="1" fontId="32" fillId="0" borderId="12" applyNumberFormat="0"/>
    <xf numFmtId="1" fontId="32" fillId="0" borderId="12" applyNumberFormat="0"/>
    <xf numFmtId="1" fontId="32" fillId="0" borderId="12" applyNumberFormat="0"/>
    <xf numFmtId="1" fontId="32" fillId="0" borderId="12" applyNumberFormat="0"/>
  </cellStyleXfs>
  <cellXfs count="58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 indent="2"/>
    </xf>
    <xf numFmtId="167" fontId="15" fillId="2" borderId="0" xfId="1" applyNumberFormat="1" applyFont="1" applyFill="1" applyBorder="1" applyAlignment="1">
      <alignment horizontal="right"/>
    </xf>
    <xf numFmtId="164" fontId="22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left" vertical="center" indent="1"/>
    </xf>
    <xf numFmtId="164" fontId="26" fillId="2" borderId="0" xfId="0" applyNumberFormat="1" applyFont="1" applyFill="1"/>
    <xf numFmtId="164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center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4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/>
    <xf numFmtId="164" fontId="25" fillId="2" borderId="0" xfId="0" applyNumberFormat="1" applyFont="1" applyFill="1"/>
    <xf numFmtId="166" fontId="11" fillId="2" borderId="0" xfId="1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/>
    <xf numFmtId="1" fontId="0" fillId="2" borderId="0" xfId="0" applyNumberFormat="1" applyFill="1"/>
    <xf numFmtId="166" fontId="11" fillId="2" borderId="0" xfId="1" applyNumberFormat="1" applyFont="1" applyFill="1" applyBorder="1" applyAlignment="1">
      <alignment horizontal="center" vertical="center"/>
    </xf>
    <xf numFmtId="164" fontId="29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3" fontId="13" fillId="2" borderId="0" xfId="0" applyNumberFormat="1" applyFont="1" applyFill="1" applyAlignment="1">
      <alignment horizontal="right" vertical="center" indent="5"/>
    </xf>
    <xf numFmtId="1" fontId="10" fillId="2" borderId="10" xfId="2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right" vertical="center" indent="5"/>
    </xf>
    <xf numFmtId="1" fontId="10" fillId="2" borderId="0" xfId="2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 indent="5"/>
    </xf>
    <xf numFmtId="1" fontId="13" fillId="2" borderId="0" xfId="2" applyNumberFormat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3" fontId="10" fillId="2" borderId="4" xfId="0" applyNumberFormat="1" applyFont="1" applyFill="1" applyBorder="1" applyAlignment="1">
      <alignment horizontal="right" vertical="center" indent="5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3" fillId="2" borderId="11" xfId="0" applyNumberFormat="1" applyFont="1" applyFill="1" applyBorder="1" applyAlignment="1">
      <alignment horizontal="center" vertical="top"/>
    </xf>
    <xf numFmtId="164" fontId="18" fillId="2" borderId="1" xfId="0" applyNumberFormat="1" applyFont="1" applyFill="1" applyBorder="1" applyAlignment="1">
      <alignment horizontal="center" vertical="center"/>
    </xf>
    <xf numFmtId="164" fontId="24" fillId="2" borderId="3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24" fillId="2" borderId="4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horizontal="center" vertical="top"/>
    </xf>
  </cellXfs>
  <cellStyles count="70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" xfId="2" builtinId="5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B1-4759-89FB-17FE9121C893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1-4759-89FB-17FE9121C893}"/>
              </c:ext>
            </c:extLst>
          </c:dPt>
          <c:dLbls>
            <c:dLbl>
              <c:idx val="0"/>
              <c:layout>
                <c:manualLayout>
                  <c:x val="9.5348029521647837E-2"/>
                  <c:y val="-0.288862273519664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B1-4759-89FB-17FE9121C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'8.8'!$AT$8:$AT$10</c15:sqref>
                  </c15:fullRef>
                </c:ext>
              </c:extLst>
              <c:f>'8.8'!$AT$8:$AT$9</c:f>
              <c:strCache>
                <c:ptCount val="2"/>
                <c:pt idx="0">
                  <c:v>Drugs</c:v>
                </c:pt>
                <c:pt idx="1">
                  <c:v>Alcohol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'8.8'!$AU$8:$AU$10</c15:sqref>
                  </c15:fullRef>
                </c:ext>
              </c:extLst>
              <c:f>'8.8'!$AU$8:$AU$9</c:f>
              <c:numCache>
                <c:formatCode>_-* #,##0_-;\-* #,##0_-;_-* "-"??_-;_-@_-</c:formatCode>
                <c:ptCount val="2"/>
                <c:pt idx="0" formatCode="General_)">
                  <c:v>1289</c:v>
                </c:pt>
                <c:pt idx="1">
                  <c:v>138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'8.8'!$AU$10</c15:sqref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4-983F-4E64-A4EB-9C9E2A897314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76B1-4759-89FB-17FE9121C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4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08167971070746E-2"/>
          <c:y val="0.16217493386411694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'8.8'!$B$3:$B$5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'8.8'!$B$8:$B$13</c:f>
              <c:numCache>
                <c:formatCode>_-* #,##0_-;\-* #,##0_-;_-* "-"??_-;_-@_-</c:formatCode>
                <c:ptCount val="6"/>
                <c:pt idx="0">
                  <c:v>561</c:v>
                </c:pt>
                <c:pt idx="1">
                  <c:v>878</c:v>
                </c:pt>
                <c:pt idx="2">
                  <c:v>1</c:v>
                </c:pt>
                <c:pt idx="3">
                  <c:v>175</c:v>
                </c:pt>
                <c:pt idx="4">
                  <c:v>305</c:v>
                </c:pt>
                <c:pt idx="5">
                  <c:v>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832-426D-BAEF-F06F4B391A89}"/>
            </c:ext>
          </c:extLst>
        </c:ser>
        <c:ser>
          <c:idx val="1"/>
          <c:order val="1"/>
          <c:tx>
            <c:strRef>
              <c:f>'8.8'!$C$3:$C$5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'8.8'!$C$8:$C$13</c:f>
              <c:numCache>
                <c:formatCode>_-* #,##0_-;\-* #,##0_-;_-* "-"??_-;_-@_-</c:formatCode>
                <c:ptCount val="6"/>
                <c:pt idx="0">
                  <c:v>174</c:v>
                </c:pt>
                <c:pt idx="1">
                  <c:v>590</c:v>
                </c:pt>
                <c:pt idx="2">
                  <c:v>1</c:v>
                </c:pt>
                <c:pt idx="3">
                  <c:v>132</c:v>
                </c:pt>
                <c:pt idx="4">
                  <c:v>334</c:v>
                </c:pt>
                <c:pt idx="5">
                  <c:v>49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832-426D-BAEF-F06F4B391A89}"/>
            </c:ext>
          </c:extLst>
        </c:ser>
        <c:ser>
          <c:idx val="2"/>
          <c:order val="2"/>
          <c:tx>
            <c:strRef>
              <c:f>'8.8'!$D$3:$D$5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344</c:v>
                </c:pt>
                <c:pt idx="1">
                  <c:v>543</c:v>
                </c:pt>
                <c:pt idx="2">
                  <c:v>0</c:v>
                </c:pt>
                <c:pt idx="3">
                  <c:v>102</c:v>
                </c:pt>
                <c:pt idx="4">
                  <c:v>277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2-426D-BAEF-F06F4B391A89}"/>
            </c:ext>
          </c:extLst>
        </c:ser>
        <c:ser>
          <c:idx val="3"/>
          <c:order val="3"/>
          <c:tx>
            <c:v>2022</c:v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val>
            <c:numRef>
              <c:f>'8.8'!$E$8:$E$13</c:f>
              <c:numCache>
                <c:formatCode>_-* #,##0_-;\-* #,##0_-;_-* "-"??_-;_-@_-</c:formatCode>
                <c:ptCount val="6"/>
                <c:pt idx="0">
                  <c:v>142</c:v>
                </c:pt>
                <c:pt idx="1">
                  <c:v>632</c:v>
                </c:pt>
                <c:pt idx="2">
                  <c:v>0</c:v>
                </c:pt>
                <c:pt idx="3">
                  <c:v>91</c:v>
                </c:pt>
                <c:pt idx="4">
                  <c:v>400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B-4DDB-8740-7845B9BC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77888"/>
        <c:axId val="43879424"/>
        <c:extLst/>
      </c:barChart>
      <c:catAx>
        <c:axId val="43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3879424"/>
        <c:crosses val="autoZero"/>
        <c:auto val="1"/>
        <c:lblAlgn val="ctr"/>
        <c:lblOffset val="100"/>
        <c:noMultiLvlLbl val="0"/>
      </c:catAx>
      <c:valAx>
        <c:axId val="4387942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38778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51761571639260895"/>
          <c:y val="0.24146129536577463"/>
          <c:w val="0.33306057391740679"/>
          <c:h val="9.025516351829013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927653</xdr:colOff>
      <xdr:row>36</xdr:row>
      <xdr:rowOff>37810</xdr:rowOff>
    </xdr:from>
    <xdr:to>
      <xdr:col>8</xdr:col>
      <xdr:colOff>381001</xdr:colOff>
      <xdr:row>50</xdr:row>
      <xdr:rowOff>92163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962025</xdr:colOff>
      <xdr:row>22</xdr:row>
      <xdr:rowOff>166681</xdr:rowOff>
    </xdr:from>
    <xdr:to>
      <xdr:col>8</xdr:col>
      <xdr:colOff>379757</xdr:colOff>
      <xdr:row>35</xdr:row>
      <xdr:rowOff>91792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0.1539</cdr:x>
      <cdr:y>0.03051</cdr:y>
    </cdr:from>
    <cdr:to>
      <cdr:x>0.7413</cdr:x>
      <cdr:y>0.16111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5643" y="82711"/>
          <a:ext cx="3990992" cy="3540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8.12: Percentage share of drugs and alcohol related cases, </a:t>
          </a:r>
          <a:r>
            <a:rPr lang="en-US" sz="105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2022</a:t>
          </a:r>
          <a:endParaRPr lang="en-US" sz="1000" b="1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0.2627</cdr:x>
      <cdr:y>0.03119</cdr:y>
    </cdr:from>
    <cdr:to>
      <cdr:x>0.89049</cdr:x>
      <cdr:y>0.15289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3568" y="79957"/>
          <a:ext cx="3760432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8.11: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 cases, 2019- 2022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AU31"/>
  <sheetViews>
    <sheetView tabSelected="1" zoomScaleNormal="100" workbookViewId="0">
      <selection activeCell="P23" sqref="P23"/>
    </sheetView>
  </sheetViews>
  <sheetFormatPr defaultColWidth="9.140625" defaultRowHeight="15"/>
  <cols>
    <col min="1" max="1" width="14.5703125" style="1" customWidth="1"/>
    <col min="2" max="5" width="11.42578125" style="1" customWidth="1"/>
    <col min="6" max="6" width="2.7109375" style="1" customWidth="1"/>
    <col min="7" max="7" width="20.5703125" style="1" customWidth="1"/>
    <col min="8" max="8" width="15" style="1" customWidth="1"/>
    <col min="9" max="9" width="20.28515625" style="1" customWidth="1"/>
    <col min="10" max="10" width="7.5703125" style="1" customWidth="1"/>
    <col min="11" max="11" width="9.140625" style="1"/>
    <col min="12" max="17" width="9.28515625" style="1" customWidth="1"/>
    <col min="18" max="18" width="11.140625" style="1" customWidth="1"/>
    <col min="19" max="16384" width="9.140625" style="1"/>
  </cols>
  <sheetData>
    <row r="1" spans="1:47" ht="21">
      <c r="A1" s="47" t="s">
        <v>31</v>
      </c>
      <c r="B1" s="47"/>
      <c r="C1" s="47"/>
      <c r="D1" s="47"/>
      <c r="E1" s="47"/>
      <c r="F1" s="47"/>
      <c r="G1" s="47"/>
      <c r="H1" s="47"/>
      <c r="I1" s="47"/>
    </row>
    <row r="2" spans="1:47" ht="21.75" customHeight="1">
      <c r="A2" s="43" t="s">
        <v>32</v>
      </c>
      <c r="B2" s="44"/>
      <c r="C2" s="44"/>
      <c r="D2" s="45"/>
      <c r="E2" s="46"/>
      <c r="F2" s="43"/>
      <c r="G2" s="57"/>
      <c r="H2" s="57"/>
      <c r="I2" s="43"/>
    </row>
    <row r="3" spans="1:47" ht="17.25">
      <c r="A3" s="50" t="s">
        <v>10</v>
      </c>
      <c r="B3" s="53">
        <v>2019</v>
      </c>
      <c r="C3" s="53">
        <v>2020</v>
      </c>
      <c r="D3" s="53">
        <v>2021</v>
      </c>
      <c r="E3" s="53">
        <v>2022</v>
      </c>
      <c r="F3" s="19"/>
      <c r="G3" s="33" t="s">
        <v>6</v>
      </c>
      <c r="H3" s="20">
        <v>2022</v>
      </c>
      <c r="I3" s="48" t="s">
        <v>13</v>
      </c>
    </row>
    <row r="4" spans="1:47" ht="27" customHeight="1">
      <c r="A4" s="51"/>
      <c r="B4" s="54"/>
      <c r="C4" s="54"/>
      <c r="D4" s="54"/>
      <c r="E4" s="54"/>
      <c r="F4" s="15"/>
      <c r="G4" s="16" t="s">
        <v>7</v>
      </c>
      <c r="H4" s="15" t="s">
        <v>11</v>
      </c>
      <c r="I4" s="49"/>
      <c r="K4" s="2"/>
      <c r="L4" s="2"/>
      <c r="M4" s="2"/>
      <c r="N4" s="2"/>
    </row>
    <row r="5" spans="1:47" ht="25.5" customHeight="1">
      <c r="A5" s="52"/>
      <c r="B5" s="55"/>
      <c r="C5" s="55"/>
      <c r="D5" s="55"/>
      <c r="E5" s="55"/>
      <c r="F5" s="17"/>
      <c r="G5" s="17" t="s">
        <v>30</v>
      </c>
      <c r="H5" s="17" t="s">
        <v>12</v>
      </c>
      <c r="I5" s="56"/>
      <c r="K5" s="2"/>
      <c r="L5" s="2"/>
      <c r="M5" s="2"/>
      <c r="N5" s="2"/>
    </row>
    <row r="6" spans="1:47" s="24" customFormat="1" ht="18.75">
      <c r="A6" s="3" t="s">
        <v>0</v>
      </c>
      <c r="B6" s="21">
        <f t="shared" ref="B6:E6" si="0">B7+B14+B21</f>
        <v>2188</v>
      </c>
      <c r="C6" s="21">
        <f t="shared" si="0"/>
        <v>1425</v>
      </c>
      <c r="D6" s="21">
        <f t="shared" si="0"/>
        <v>1440</v>
      </c>
      <c r="E6" s="21">
        <f t="shared" si="0"/>
        <v>1429</v>
      </c>
      <c r="F6" s="22"/>
      <c r="G6" s="36">
        <f>IFERROR(((E6-D6)/D6)*100,"-")</f>
        <v>-0.76388888888888884</v>
      </c>
      <c r="H6" s="37">
        <f>IFERROR((E6/$E$6*100),"-")</f>
        <v>100</v>
      </c>
      <c r="I6" s="23" t="s">
        <v>9</v>
      </c>
      <c r="K6" s="25"/>
      <c r="L6" s="25"/>
      <c r="M6" s="25"/>
      <c r="N6" s="25"/>
    </row>
    <row r="7" spans="1:47" s="8" customFormat="1" ht="18.75">
      <c r="A7" s="3" t="s">
        <v>1</v>
      </c>
      <c r="B7" s="22">
        <f t="shared" ref="B7:D7" si="1">SUM(B8:B13)</f>
        <v>1966</v>
      </c>
      <c r="C7" s="22">
        <f t="shared" si="1"/>
        <v>1280</v>
      </c>
      <c r="D7" s="22">
        <f t="shared" si="1"/>
        <v>1296</v>
      </c>
      <c r="E7" s="22">
        <f>SUM(E8:E13)</f>
        <v>1289</v>
      </c>
      <c r="F7" s="22"/>
      <c r="G7" s="38">
        <f t="shared" ref="G7:G21" si="2">IFERROR(((E7-D7)/D7)*100,"-")</f>
        <v>-0.54012345679012341</v>
      </c>
      <c r="H7" s="39">
        <f>IFERROR((E7/$E$6*100),"-")</f>
        <v>90.202939118264524</v>
      </c>
      <c r="I7" s="23" t="s">
        <v>14</v>
      </c>
      <c r="J7" s="22"/>
      <c r="K7" s="25"/>
      <c r="L7" s="25"/>
      <c r="M7" s="25"/>
      <c r="N7" s="25"/>
    </row>
    <row r="8" spans="1:47" ht="18.75">
      <c r="A8" s="13" t="s">
        <v>15</v>
      </c>
      <c r="B8" s="26">
        <v>561</v>
      </c>
      <c r="C8" s="26">
        <v>174</v>
      </c>
      <c r="D8" s="26">
        <v>344</v>
      </c>
      <c r="E8" s="26">
        <v>142</v>
      </c>
      <c r="F8" s="26"/>
      <c r="G8" s="40">
        <f>IFERROR(((E8-D8)/D8)*100,"-")</f>
        <v>-58.720930232558146</v>
      </c>
      <c r="H8" s="35">
        <f t="shared" ref="H8:H21" si="3">IFERROR((E8/$E$6*100),"-")</f>
        <v>9.9370188943317004</v>
      </c>
      <c r="I8" s="5" t="s">
        <v>16</v>
      </c>
      <c r="J8" s="26"/>
      <c r="K8" s="2"/>
      <c r="N8" s="2"/>
      <c r="AT8" s="3" t="s">
        <v>1</v>
      </c>
      <c r="AU8" s="2">
        <f>E7</f>
        <v>1289</v>
      </c>
    </row>
    <row r="9" spans="1:47" ht="18.75">
      <c r="A9" s="13" t="s">
        <v>17</v>
      </c>
      <c r="B9" s="26">
        <v>878</v>
      </c>
      <c r="C9" s="26">
        <v>590</v>
      </c>
      <c r="D9" s="26">
        <v>543</v>
      </c>
      <c r="E9" s="26">
        <v>632</v>
      </c>
      <c r="F9" s="26"/>
      <c r="G9" s="40">
        <f t="shared" si="2"/>
        <v>16.390423572744016</v>
      </c>
      <c r="H9" s="35">
        <f t="shared" si="3"/>
        <v>44.226731980405873</v>
      </c>
      <c r="I9" s="5" t="s">
        <v>18</v>
      </c>
      <c r="J9" s="26"/>
      <c r="K9" s="2"/>
      <c r="N9" s="2"/>
      <c r="AT9" s="3" t="s">
        <v>26</v>
      </c>
      <c r="AU9" s="22">
        <f>E14</f>
        <v>138</v>
      </c>
    </row>
    <row r="10" spans="1:47" ht="22.5" customHeight="1">
      <c r="A10" s="13" t="s">
        <v>19</v>
      </c>
      <c r="B10" s="26">
        <v>1</v>
      </c>
      <c r="C10" s="26">
        <v>1</v>
      </c>
      <c r="D10" s="26" t="s">
        <v>8</v>
      </c>
      <c r="E10" s="26" t="s">
        <v>8</v>
      </c>
      <c r="F10" s="31"/>
      <c r="G10" s="31" t="s">
        <v>8</v>
      </c>
      <c r="H10" s="35" t="str">
        <f t="shared" si="3"/>
        <v>-</v>
      </c>
      <c r="I10" s="5" t="s">
        <v>20</v>
      </c>
      <c r="J10" s="26"/>
      <c r="K10" s="2"/>
      <c r="N10" s="2"/>
      <c r="AT10" s="27" t="s">
        <v>28</v>
      </c>
      <c r="AU10" s="2">
        <f>E21</f>
        <v>2</v>
      </c>
    </row>
    <row r="11" spans="1:47" ht="18.75">
      <c r="A11" s="13" t="s">
        <v>21</v>
      </c>
      <c r="B11" s="26">
        <v>175</v>
      </c>
      <c r="C11" s="26">
        <v>132</v>
      </c>
      <c r="D11" s="26">
        <v>102</v>
      </c>
      <c r="E11" s="26">
        <v>91</v>
      </c>
      <c r="F11" s="26"/>
      <c r="G11" s="40">
        <f t="shared" si="2"/>
        <v>-10.784313725490197</v>
      </c>
      <c r="H11" s="35">
        <f t="shared" si="3"/>
        <v>6.3680895731280618</v>
      </c>
      <c r="I11" s="5" t="s">
        <v>22</v>
      </c>
      <c r="J11" s="26"/>
      <c r="K11" s="2"/>
      <c r="L11" s="2"/>
      <c r="M11" s="2"/>
      <c r="N11" s="2"/>
    </row>
    <row r="12" spans="1:47" ht="18.75">
      <c r="A12" s="13" t="s">
        <v>23</v>
      </c>
      <c r="B12" s="26">
        <v>305</v>
      </c>
      <c r="C12" s="26">
        <v>334</v>
      </c>
      <c r="D12" s="26">
        <v>277</v>
      </c>
      <c r="E12" s="26">
        <v>400</v>
      </c>
      <c r="F12" s="26"/>
      <c r="G12" s="40">
        <f t="shared" si="2"/>
        <v>44.404332129963898</v>
      </c>
      <c r="H12" s="35">
        <f t="shared" si="3"/>
        <v>27.991602519244225</v>
      </c>
      <c r="I12" s="5" t="s">
        <v>24</v>
      </c>
      <c r="J12" s="26"/>
      <c r="K12" s="2"/>
      <c r="L12" s="2"/>
      <c r="M12" s="2"/>
      <c r="N12" s="2"/>
    </row>
    <row r="13" spans="1:47" ht="18.75">
      <c r="A13" s="13" t="s">
        <v>25</v>
      </c>
      <c r="B13" s="26">
        <v>46</v>
      </c>
      <c r="C13" s="26">
        <v>49</v>
      </c>
      <c r="D13" s="26">
        <v>30</v>
      </c>
      <c r="E13" s="26">
        <v>24</v>
      </c>
      <c r="F13" s="26"/>
      <c r="G13" s="40">
        <f t="shared" si="2"/>
        <v>-20</v>
      </c>
      <c r="H13" s="35">
        <f t="shared" si="3"/>
        <v>1.6794961511546536</v>
      </c>
      <c r="I13" s="6" t="s">
        <v>3</v>
      </c>
      <c r="J13" s="26"/>
      <c r="K13" s="2"/>
      <c r="L13" s="2"/>
      <c r="M13" s="2"/>
      <c r="N13" s="2"/>
    </row>
    <row r="14" spans="1:47" s="8" customFormat="1" ht="18.75">
      <c r="A14" s="3" t="s">
        <v>26</v>
      </c>
      <c r="B14" s="22">
        <f t="shared" ref="B14" si="4">SUM(B15:B20)</f>
        <v>216</v>
      </c>
      <c r="C14" s="22">
        <f>SUM(C15:C20)</f>
        <v>141</v>
      </c>
      <c r="D14" s="22">
        <f>SUM(D15:D20)</f>
        <v>143</v>
      </c>
      <c r="E14" s="22">
        <f>SUM(E15:E20)</f>
        <v>138</v>
      </c>
      <c r="F14" s="22"/>
      <c r="G14" s="38">
        <f t="shared" si="2"/>
        <v>-3.4965034965034967</v>
      </c>
      <c r="H14" s="39">
        <f t="shared" si="3"/>
        <v>9.6571028691392584</v>
      </c>
      <c r="I14" s="23" t="s">
        <v>27</v>
      </c>
      <c r="J14" s="22"/>
      <c r="K14" s="25"/>
      <c r="L14" s="25"/>
      <c r="M14" s="25"/>
      <c r="N14" s="25"/>
    </row>
    <row r="15" spans="1:47" ht="18.75">
      <c r="A15" s="13" t="s">
        <v>15</v>
      </c>
      <c r="B15" s="26">
        <v>32</v>
      </c>
      <c r="C15" s="26">
        <v>10</v>
      </c>
      <c r="D15" s="26">
        <v>16</v>
      </c>
      <c r="E15" s="26">
        <v>6</v>
      </c>
      <c r="F15" s="26"/>
      <c r="G15" s="40">
        <f t="shared" si="2"/>
        <v>-62.5</v>
      </c>
      <c r="H15" s="35">
        <f t="shared" si="3"/>
        <v>0.41987403778866339</v>
      </c>
      <c r="I15" s="5" t="s">
        <v>16</v>
      </c>
      <c r="J15" s="26"/>
      <c r="K15" s="2"/>
      <c r="L15" s="2"/>
      <c r="M15" s="2"/>
      <c r="N15" s="2"/>
    </row>
    <row r="16" spans="1:47" ht="18.75">
      <c r="A16" s="13" t="s">
        <v>17</v>
      </c>
      <c r="B16" s="26">
        <v>123</v>
      </c>
      <c r="C16" s="26">
        <v>54</v>
      </c>
      <c r="D16" s="26">
        <v>62</v>
      </c>
      <c r="E16" s="26">
        <v>72</v>
      </c>
      <c r="F16" s="26"/>
      <c r="G16" s="40">
        <f t="shared" si="2"/>
        <v>16.129032258064516</v>
      </c>
      <c r="H16" s="35">
        <f t="shared" si="3"/>
        <v>5.0384884534639607</v>
      </c>
      <c r="I16" s="5" t="s">
        <v>18</v>
      </c>
      <c r="J16" s="26"/>
      <c r="K16" s="2"/>
      <c r="L16" s="2"/>
      <c r="M16" s="2"/>
      <c r="N16" s="2"/>
    </row>
    <row r="17" spans="1:15" ht="18.75">
      <c r="A17" s="13" t="s">
        <v>19</v>
      </c>
      <c r="B17" s="26">
        <v>11</v>
      </c>
      <c r="C17" s="26">
        <v>25</v>
      </c>
      <c r="D17" s="26">
        <v>1</v>
      </c>
      <c r="E17" s="26">
        <v>4</v>
      </c>
      <c r="F17" s="26"/>
      <c r="G17" s="40">
        <f t="shared" si="2"/>
        <v>300</v>
      </c>
      <c r="H17" s="35">
        <f t="shared" si="3"/>
        <v>0.27991602519244224</v>
      </c>
      <c r="I17" s="5" t="s">
        <v>20</v>
      </c>
      <c r="J17" s="26"/>
      <c r="K17" s="2"/>
      <c r="L17" s="2"/>
      <c r="M17" s="2"/>
      <c r="N17" s="2"/>
    </row>
    <row r="18" spans="1:15" ht="18.75">
      <c r="A18" s="13" t="s">
        <v>21</v>
      </c>
      <c r="B18" s="26">
        <v>7</v>
      </c>
      <c r="C18" s="26">
        <v>4</v>
      </c>
      <c r="D18" s="26">
        <v>2</v>
      </c>
      <c r="E18" s="26">
        <v>4</v>
      </c>
      <c r="F18" s="26"/>
      <c r="G18" s="40">
        <f t="shared" si="2"/>
        <v>100</v>
      </c>
      <c r="H18" s="35">
        <f t="shared" si="3"/>
        <v>0.27991602519244224</v>
      </c>
      <c r="I18" s="5" t="s">
        <v>22</v>
      </c>
      <c r="J18" s="26"/>
      <c r="K18" s="2"/>
      <c r="L18" s="2"/>
      <c r="M18" s="2"/>
      <c r="N18" s="2"/>
    </row>
    <row r="19" spans="1:15" ht="18.75">
      <c r="A19" s="13" t="s">
        <v>23</v>
      </c>
      <c r="B19" s="26">
        <v>41</v>
      </c>
      <c r="C19" s="26">
        <v>38</v>
      </c>
      <c r="D19" s="26">
        <v>48</v>
      </c>
      <c r="E19" s="26">
        <v>44</v>
      </c>
      <c r="F19" s="26"/>
      <c r="G19" s="40">
        <f t="shared" si="2"/>
        <v>-8.3333333333333321</v>
      </c>
      <c r="H19" s="35">
        <f t="shared" si="3"/>
        <v>3.0790762771168647</v>
      </c>
      <c r="I19" s="5" t="s">
        <v>24</v>
      </c>
      <c r="J19" s="26"/>
      <c r="K19" s="2"/>
      <c r="L19" s="2"/>
      <c r="M19" s="2"/>
      <c r="N19" s="2"/>
    </row>
    <row r="20" spans="1:15" ht="18.75">
      <c r="A20" s="13" t="s">
        <v>2</v>
      </c>
      <c r="B20" s="26">
        <v>2</v>
      </c>
      <c r="C20" s="26">
        <v>10</v>
      </c>
      <c r="D20" s="26">
        <v>14</v>
      </c>
      <c r="E20" s="26">
        <v>8</v>
      </c>
      <c r="F20" s="26"/>
      <c r="G20" s="40">
        <f t="shared" si="2"/>
        <v>-42.857142857142854</v>
      </c>
      <c r="H20" s="35">
        <f t="shared" si="3"/>
        <v>0.55983205038488448</v>
      </c>
      <c r="I20" s="6" t="s">
        <v>3</v>
      </c>
      <c r="J20" s="26"/>
      <c r="K20" s="2"/>
      <c r="L20" s="2"/>
      <c r="M20" s="2"/>
      <c r="N20" s="2"/>
    </row>
    <row r="21" spans="1:15" s="24" customFormat="1" ht="38.25">
      <c r="A21" s="27" t="s">
        <v>28</v>
      </c>
      <c r="B21" s="28">
        <v>6</v>
      </c>
      <c r="C21" s="28">
        <v>4</v>
      </c>
      <c r="D21" s="28">
        <v>1</v>
      </c>
      <c r="E21" s="28">
        <v>2</v>
      </c>
      <c r="F21" s="29"/>
      <c r="G21" s="41">
        <f t="shared" si="2"/>
        <v>100</v>
      </c>
      <c r="H21" s="42">
        <f t="shared" si="3"/>
        <v>0.13995801259622112</v>
      </c>
      <c r="I21" s="34" t="s">
        <v>29</v>
      </c>
      <c r="J21" s="22"/>
      <c r="K21" s="25"/>
      <c r="L21" s="25"/>
      <c r="M21" s="25"/>
    </row>
    <row r="22" spans="1:15" ht="15.6" customHeight="1">
      <c r="A22" s="10" t="s">
        <v>4</v>
      </c>
      <c r="B22" s="9"/>
      <c r="C22" s="9"/>
      <c r="D22" s="9"/>
      <c r="E22" s="9"/>
      <c r="F22" s="9"/>
      <c r="G22" s="9"/>
      <c r="H22" s="18"/>
      <c r="I22" s="32" t="s">
        <v>5</v>
      </c>
      <c r="K22" s="2"/>
      <c r="L22" s="2"/>
      <c r="M22" s="2"/>
      <c r="N22" s="2"/>
    </row>
    <row r="23" spans="1:15" ht="25.5" customHeight="1">
      <c r="A23" s="14"/>
      <c r="K23" s="2"/>
      <c r="L23" s="2"/>
      <c r="M23" s="2"/>
      <c r="N23" s="2"/>
    </row>
    <row r="24" spans="1:15">
      <c r="K24" s="2"/>
      <c r="L24" s="2"/>
      <c r="M24" s="2"/>
      <c r="N24" s="2"/>
    </row>
    <row r="25" spans="1:15">
      <c r="K25" s="2"/>
      <c r="L25" s="2"/>
      <c r="M25" s="2"/>
      <c r="N25" s="2"/>
    </row>
    <row r="26" spans="1:15">
      <c r="K26" s="2"/>
      <c r="L26" s="2"/>
      <c r="M26" s="2"/>
      <c r="N26" s="2"/>
    </row>
    <row r="27" spans="1:15">
      <c r="K27" s="2"/>
      <c r="L27" s="2"/>
      <c r="M27" s="2"/>
      <c r="N27" s="2"/>
    </row>
    <row r="28" spans="1:15" ht="17.25">
      <c r="A28" s="11"/>
      <c r="B28" s="4"/>
      <c r="C28" s="4"/>
      <c r="D28" s="4"/>
      <c r="E28" s="4"/>
      <c r="F28" s="4"/>
      <c r="G28" s="7"/>
      <c r="H28" s="7"/>
      <c r="I28" s="12"/>
      <c r="K28" s="2"/>
      <c r="L28" s="2"/>
      <c r="M28" s="2"/>
      <c r="N28" s="2"/>
    </row>
    <row r="29" spans="1:15">
      <c r="K29" s="2"/>
      <c r="L29" s="2"/>
      <c r="M29" s="3"/>
      <c r="N29" s="22"/>
      <c r="O29" s="30"/>
    </row>
    <row r="30" spans="1:15">
      <c r="K30" s="2"/>
      <c r="L30" s="2"/>
      <c r="M30" s="3"/>
      <c r="N30" s="22"/>
      <c r="O30" s="30"/>
    </row>
    <row r="31" spans="1:15">
      <c r="M31" s="3"/>
      <c r="N31" s="22"/>
      <c r="O31" s="30"/>
    </row>
  </sheetData>
  <mergeCells count="8">
    <mergeCell ref="I3:I5"/>
    <mergeCell ref="A1:I1"/>
    <mergeCell ref="A2:I2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scale="69" orientation="portrait" horizontalDpi="4294967295" verticalDpi="4294967295" r:id="rId1"/>
  <ignoredErrors>
    <ignoredError sqref="F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8.8</vt:lpstr>
      <vt:lpstr>'8.8'!Print_Area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2023-10-16T08:46:53Z</cp:lastPrinted>
  <dcterms:created xsi:type="dcterms:W3CDTF">2019-06-30T04:22:49Z</dcterms:created>
  <dcterms:modified xsi:type="dcterms:W3CDTF">2023-10-16T08:46:59Z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