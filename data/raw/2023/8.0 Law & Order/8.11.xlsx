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0A96E1C6-0324-47BF-AAE7-B1B6ABBCAC85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11" sheetId="11" r:id="rId1"/>
  </sheets>
  <definedNames>
    <definedName name="_xlnm.Print_Area" localSheetId="0">'8.11'!$A$1:$O$32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1" l="1"/>
  <c r="N7" i="11"/>
  <c r="N9" i="11"/>
  <c r="N10" i="11"/>
  <c r="N11" i="11"/>
  <c r="N12" i="11"/>
  <c r="N5" i="11"/>
  <c r="M5" i="11"/>
  <c r="L5" i="11" l="1"/>
  <c r="K5" i="11" l="1"/>
  <c r="J5" i="11" l="1"/>
  <c r="I5" i="11" l="1"/>
  <c r="H5" i="11"/>
  <c r="G5" i="11"/>
  <c r="F5" i="11"/>
  <c r="E5" i="11"/>
  <c r="D5" i="11"/>
  <c r="C5" i="11"/>
  <c r="B5" i="11"/>
  <c r="Y11" i="11" l="1"/>
  <c r="Y10" i="11"/>
  <c r="Y9" i="11"/>
  <c r="Y8" i="11"/>
  <c r="Y7" i="11"/>
  <c r="Y6" i="11"/>
</calcChain>
</file>

<file path=xl/sharedStrings.xml><?xml version="1.0" encoding="utf-8"?>
<sst xmlns="http://schemas.openxmlformats.org/spreadsheetml/2006/main" count="39" uniqueCount="29">
  <si>
    <t>Total</t>
  </si>
  <si>
    <t>Traffic accidents</t>
  </si>
  <si>
    <t>Source: Maldives Police Service</t>
  </si>
  <si>
    <t>csivrws csilop cscviDclOm :Ivcaed utWmUluAwm</t>
  </si>
  <si>
    <t>-</t>
  </si>
  <si>
    <t>ޖުމްލަ</t>
  </si>
  <si>
    <t xml:space="preserve">Type </t>
  </si>
  <si>
    <t xml:space="preserve"> މައްސަލައިގެ ބާވަތް</t>
  </si>
  <si>
    <t xml:space="preserve">  ކުރީ އަހަރާއި  އަޅާބަލާއިރު  އިތުރުވި މިންވަރު</t>
  </si>
  <si>
    <t>Homicides</t>
  </si>
  <si>
    <t>ގަސްތުގައި މީހުން މެރުން</t>
  </si>
  <si>
    <t>Homicide</t>
  </si>
  <si>
    <t>Suicides</t>
  </si>
  <si>
    <t>އަމިއްލައަށް މަރުވުން</t>
  </si>
  <si>
    <t>Suicide</t>
  </si>
  <si>
    <t>Diving/snorkeling  accidents</t>
  </si>
  <si>
    <t>ޑައިވިންގ / ސްނޯކްލިންގ އެކްސިޑެންޓް</t>
  </si>
  <si>
    <t>ޓްރެފިކް އެކްސިޑެންޓް</t>
  </si>
  <si>
    <t>Drowning</t>
  </si>
  <si>
    <t>ގެނބިގެން</t>
  </si>
  <si>
    <t>Other death cases logged</t>
  </si>
  <si>
    <t xml:space="preserve">އެހެނިހެން </t>
  </si>
  <si>
    <t>Marine Accidents</t>
  </si>
  <si>
    <t>ކަނޑުމަތީގެ އެކްސިޑެންޓް</t>
  </si>
  <si>
    <t>% change over 2021</t>
  </si>
  <si>
    <t>ތާވަލު 8.11: ހުށަހެޅިފައިވާ މަރުގެ މައްސަލަތައް، 2016- 2021</t>
  </si>
  <si>
    <t xml:space="preserve">Note: (*) - Indicates if the percentage change is greater than 100. </t>
  </si>
  <si>
    <t>Table 8.11 : LOGGED CASES OF DEATH , 2016 - 2022</t>
  </si>
  <si>
    <t>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</si>
</sst>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72" formatCode="0.00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theme="1"/>
      <name val="A_Randhoo"/>
    </font>
    <font>
      <sz val="9"/>
      <color theme="1"/>
      <name val="Courier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color theme="1"/>
      <name val="Faruma"/>
      <family val="3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0"/>
      <color theme="1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i/>
      <sz val="10"/>
      <name val="Calibri Light"/>
      <family val="2"/>
      <scheme val="major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0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8" fillId="0" borderId="7" applyNumberFormat="0" applyFill="0" applyAlignment="0" applyProtection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43" fontId="17" fillId="0" borderId="0" applyFont="0" applyFill="0" applyBorder="0" applyAlignment="0" applyProtection="0"/>
    <xf numFmtId="172" fontId="21" fillId="0" borderId="0"/>
    <xf numFmtId="1" fontId="22" fillId="0" borderId="11" applyNumberFormat="0"/>
    <xf numFmtId="0" fontId="17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20" fillId="0" borderId="0"/>
    <xf numFmtId="40" fontId="20" fillId="0" borderId="0" applyFont="0" applyFill="0" applyBorder="0" applyAlignment="0" applyProtection="0"/>
    <xf numFmtId="0" fontId="20" fillId="0" borderId="0"/>
    <xf numFmtId="0" fontId="17" fillId="0" borderId="0"/>
    <xf numFmtId="1" fontId="22" fillId="0" borderId="11" applyNumberFormat="0"/>
    <xf numFmtId="0" fontId="1" fillId="0" borderId="0"/>
    <xf numFmtId="0" fontId="20" fillId="0" borderId="0"/>
    <xf numFmtId="0" fontId="6" fillId="0" borderId="0" applyFill="0" applyProtection="0"/>
    <xf numFmtId="1" fontId="22" fillId="0" borderId="11" applyNumberFormat="0"/>
    <xf numFmtId="43" fontId="1" fillId="0" borderId="0" applyFont="0" applyFill="0" applyBorder="0" applyAlignment="0" applyProtection="0"/>
    <xf numFmtId="0" fontId="1" fillId="0" borderId="0"/>
    <xf numFmtId="0" fontId="23" fillId="0" borderId="0"/>
    <xf numFmtId="0" fontId="24" fillId="0" borderId="0"/>
    <xf numFmtId="0" fontId="23" fillId="0" borderId="0"/>
    <xf numFmtId="0" fontId="1" fillId="0" borderId="0"/>
    <xf numFmtId="0" fontId="20" fillId="0" borderId="0"/>
    <xf numFmtId="0" fontId="6" fillId="0" borderId="0" applyFill="0" applyProtection="0"/>
    <xf numFmtId="1" fontId="22" fillId="0" borderId="11" applyNumberFormat="0"/>
    <xf numFmtId="0" fontId="1" fillId="0" borderId="0"/>
    <xf numFmtId="0" fontId="17" fillId="0" borderId="0"/>
    <xf numFmtId="0" fontId="23" fillId="0" borderId="0"/>
    <xf numFmtId="0" fontId="24" fillId="0" borderId="0"/>
    <xf numFmtId="0" fontId="17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20" fillId="0" borderId="0" applyFont="0" applyFill="0" applyBorder="0" applyAlignment="0" applyProtection="0"/>
    <xf numFmtId="0" fontId="1" fillId="0" borderId="0"/>
    <xf numFmtId="0" fontId="25" fillId="0" borderId="0" applyBorder="0"/>
    <xf numFmtId="0" fontId="1" fillId="0" borderId="0"/>
    <xf numFmtId="40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5" fillId="0" borderId="0" applyBorder="0"/>
    <xf numFmtId="0" fontId="1" fillId="0" borderId="0"/>
    <xf numFmtId="0" fontId="1" fillId="0" borderId="0"/>
    <xf numFmtId="1" fontId="22" fillId="0" borderId="11" applyNumberFormat="0"/>
    <xf numFmtId="1" fontId="22" fillId="0" borderId="11" applyNumberFormat="0"/>
    <xf numFmtId="1" fontId="22" fillId="0" borderId="11" applyNumberFormat="0"/>
    <xf numFmtId="1" fontId="22" fillId="0" borderId="11" applyNumberFormat="0"/>
  </cellStyleXfs>
  <cellXfs count="50">
    <xf numFmtId="0" fontId="0" fillId="0" borderId="0" xfId="0"/>
    <xf numFmtId="164" fontId="0" fillId="2" borderId="0" xfId="0" applyNumberFormat="1" applyFill="1"/>
    <xf numFmtId="165" fontId="4" fillId="2" borderId="0" xfId="0" applyNumberFormat="1" applyFont="1" applyFill="1"/>
    <xf numFmtId="164" fontId="4" fillId="2" borderId="0" xfId="0" applyNumberFormat="1" applyFont="1" applyFill="1"/>
    <xf numFmtId="164" fontId="3" fillId="2" borderId="0" xfId="0" applyNumberFormat="1" applyFont="1" applyFill="1" applyAlignment="1">
      <alignment vertical="center"/>
    </xf>
    <xf numFmtId="164" fontId="8" fillId="2" borderId="5" xfId="0" applyNumberFormat="1" applyFont="1" applyFill="1" applyBorder="1" applyAlignment="1">
      <alignment vertical="center"/>
    </xf>
    <xf numFmtId="164" fontId="10" fillId="2" borderId="0" xfId="0" applyNumberFormat="1" applyFont="1" applyFill="1"/>
    <xf numFmtId="3" fontId="3" fillId="2" borderId="0" xfId="0" applyNumberFormat="1" applyFont="1" applyFill="1" applyAlignment="1">
      <alignment horizontal="right" vertical="center"/>
    </xf>
    <xf numFmtId="164" fontId="13" fillId="2" borderId="0" xfId="0" applyNumberFormat="1" applyFont="1" applyFill="1" applyAlignment="1">
      <alignment horizontal="right" vertical="center" indent="1"/>
    </xf>
    <xf numFmtId="3" fontId="3" fillId="2" borderId="4" xfId="0" applyNumberFormat="1" applyFont="1" applyFill="1" applyBorder="1" applyAlignment="1">
      <alignment horizontal="right" vertical="center"/>
    </xf>
    <xf numFmtId="164" fontId="13" fillId="2" borderId="4" xfId="0" applyNumberFormat="1" applyFont="1" applyFill="1" applyBorder="1" applyAlignment="1">
      <alignment horizontal="right" vertical="center" indent="1"/>
    </xf>
    <xf numFmtId="164" fontId="11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15" fillId="2" borderId="3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Alignment="1">
      <alignment horizontal="right" vertical="center" wrapText="1"/>
    </xf>
    <xf numFmtId="164" fontId="13" fillId="2" borderId="0" xfId="0" applyNumberFormat="1" applyFont="1" applyFill="1" applyAlignment="1">
      <alignment horizontal="right" vertical="center" wrapText="1"/>
    </xf>
    <xf numFmtId="164" fontId="5" fillId="2" borderId="0" xfId="0" applyNumberFormat="1" applyFont="1" applyFill="1" applyAlignment="1">
      <alignment vertical="center"/>
    </xf>
    <xf numFmtId="166" fontId="5" fillId="2" borderId="3" xfId="1" applyNumberFormat="1" applyFont="1" applyFill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 vertical="center"/>
    </xf>
    <xf numFmtId="164" fontId="16" fillId="2" borderId="0" xfId="0" applyNumberFormat="1" applyFont="1" applyFill="1"/>
    <xf numFmtId="164" fontId="3" fillId="2" borderId="0" xfId="0" applyNumberFormat="1" applyFont="1" applyFill="1" applyAlignment="1">
      <alignment horizontal="left" vertical="center" indent="1"/>
    </xf>
    <xf numFmtId="166" fontId="3" fillId="2" borderId="0" xfId="1" applyNumberFormat="1" applyFont="1" applyFill="1" applyBorder="1" applyAlignment="1">
      <alignment horizontal="center" vertical="center"/>
    </xf>
    <xf numFmtId="3" fontId="3" fillId="2" borderId="0" xfId="0" applyNumberFormat="1" applyFont="1" applyFill="1" applyAlignment="1">
      <alignment horizontal="right" vertical="center" indent="7"/>
    </xf>
    <xf numFmtId="164" fontId="13" fillId="2" borderId="0" xfId="0" applyNumberFormat="1" applyFont="1" applyFill="1" applyAlignment="1">
      <alignment horizontal="right" vertical="center"/>
    </xf>
    <xf numFmtId="164" fontId="3" fillId="2" borderId="4" xfId="0" applyNumberFormat="1" applyFont="1" applyFill="1" applyBorder="1" applyAlignment="1">
      <alignment horizontal="left" vertical="center" indent="1"/>
    </xf>
    <xf numFmtId="166" fontId="3" fillId="2" borderId="4" xfId="1" applyNumberFormat="1" applyFont="1" applyFill="1" applyBorder="1" applyAlignment="1">
      <alignment horizontal="center" vertical="center"/>
    </xf>
    <xf numFmtId="164" fontId="0" fillId="2" borderId="4" xfId="0" applyNumberFormat="1" applyFill="1" applyBorder="1" applyAlignment="1">
      <alignment vertical="center"/>
    </xf>
    <xf numFmtId="3" fontId="3" fillId="2" borderId="4" xfId="0" applyNumberFormat="1" applyFont="1" applyFill="1" applyBorder="1" applyAlignment="1">
      <alignment horizontal="right" vertical="center" indent="7"/>
    </xf>
    <xf numFmtId="164" fontId="9" fillId="2" borderId="0" xfId="0" applyNumberFormat="1" applyFont="1" applyFill="1" applyAlignment="1">
      <alignment horizontal="right" vertical="center"/>
    </xf>
    <xf numFmtId="166" fontId="14" fillId="2" borderId="0" xfId="1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right" vertical="center" indent="1"/>
    </xf>
    <xf numFmtId="166" fontId="3" fillId="2" borderId="0" xfId="1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9" fillId="2" borderId="6" xfId="0" applyNumberFormat="1" applyFont="1" applyFill="1" applyBorder="1" applyAlignment="1">
      <alignment horizontal="right" vertical="center"/>
    </xf>
    <xf numFmtId="166" fontId="5" fillId="2" borderId="0" xfId="1" applyNumberFormat="1" applyFont="1" applyFill="1" applyBorder="1" applyAlignment="1">
      <alignment horizontal="center" vertical="center"/>
    </xf>
    <xf numFmtId="164" fontId="14" fillId="2" borderId="4" xfId="0" applyNumberFormat="1" applyFont="1" applyFill="1" applyBorder="1" applyAlignment="1">
      <alignment horizontal="center" vertical="center" wrapText="1"/>
    </xf>
    <xf numFmtId="0" fontId="19" fillId="2" borderId="0" xfId="8" applyFont="1" applyFill="1" applyAlignment="1">
      <alignment horizontal="left" vertical="center"/>
    </xf>
    <xf numFmtId="3" fontId="5" fillId="2" borderId="0" xfId="0" applyNumberFormat="1" applyFont="1" applyFill="1" applyAlignment="1">
      <alignment horizontal="right" vertical="center" indent="7"/>
    </xf>
    <xf numFmtId="0" fontId="17" fillId="2" borderId="0" xfId="0" applyFont="1" applyFill="1" applyAlignment="1">
      <alignment horizontal="center" vertical="center"/>
    </xf>
    <xf numFmtId="164" fontId="5" fillId="2" borderId="3" xfId="0" applyNumberFormat="1" applyFont="1" applyFill="1" applyBorder="1" applyAlignment="1">
      <alignment horizontal="right" vertical="center" wrapText="1"/>
    </xf>
    <xf numFmtId="164" fontId="5" fillId="2" borderId="4" xfId="0" applyNumberFormat="1" applyFont="1" applyFill="1" applyBorder="1" applyAlignment="1">
      <alignment horizontal="right" vertical="center" wrapText="1"/>
    </xf>
    <xf numFmtId="164" fontId="15" fillId="2" borderId="3" xfId="0" applyNumberFormat="1" applyFont="1" applyFill="1" applyBorder="1" applyAlignment="1">
      <alignment horizontal="right" vertical="center" wrapText="1"/>
    </xf>
    <xf numFmtId="164" fontId="13" fillId="2" borderId="4" xfId="0" applyNumberFormat="1" applyFont="1" applyFill="1" applyBorder="1" applyAlignment="1">
      <alignment horizontal="right" vertical="center" wrapText="1"/>
    </xf>
    <xf numFmtId="164" fontId="11" fillId="2" borderId="1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164" fontId="14" fillId="2" borderId="3" xfId="0" applyNumberFormat="1" applyFont="1" applyFill="1" applyBorder="1" applyAlignment="1">
      <alignment horizontal="left" vertical="center" wrapText="1"/>
    </xf>
    <xf numFmtId="164" fontId="14" fillId="2" borderId="4" xfId="0" applyNumberFormat="1" applyFont="1" applyFill="1" applyBorder="1" applyAlignment="1">
      <alignment horizontal="left" vertical="center" wrapText="1"/>
    </xf>
  </cellXfs>
  <cellStyles count="70">
    <cellStyle name="1" xfId="7" xr:uid="{00000000-0005-0000-0000-000000000000}"/>
    <cellStyle name="Comma" xfId="1" builtinId="3"/>
    <cellStyle name="Comma 2" xfId="2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5" xr:uid="{00000000-0005-0000-0000-000003000000}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2" xfId="6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4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Normal_Quick data" xfId="8" xr:uid="{8E671006-C55D-4404-BCF4-935B647BB431}"/>
    <cellStyle name="Percent 2" xfId="3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8.17: Number of death cases by type, 2019</a:t>
            </a:r>
            <a:r>
              <a:rPr lang="en-US" sz="1200" b="1" baseline="0"/>
              <a:t> - 2022</a:t>
            </a:r>
            <a:endParaRPr lang="en-US" sz="1200" b="1"/>
          </a:p>
        </c:rich>
      </c:tx>
      <c:layout>
        <c:manualLayout>
          <c:xMode val="edge"/>
          <c:yMode val="edge"/>
          <c:x val="0.24601593807260472"/>
          <c:y val="3.79377402848019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0219260555825087E-2"/>
          <c:y val="0.15634564301814474"/>
          <c:w val="0.94132317361263051"/>
          <c:h val="0.72531648804728843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'8.11'!$K$3:$K$4</c:f>
              <c:strCache>
                <c:ptCount val="2"/>
                <c:pt idx="0">
                  <c:v>2020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'8.11'!$A$6:$A$11</c:f>
              <c:strCache>
                <c:ptCount val="6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  <c:pt idx="5">
                  <c:v>Drowning</c:v>
                </c:pt>
              </c:strCache>
            </c:strRef>
          </c:cat>
          <c:val>
            <c:numRef>
              <c:f>'8.11'!$K$6:$K$11</c:f>
              <c:numCache>
                <c:formatCode>#,##0</c:formatCode>
                <c:ptCount val="6"/>
                <c:pt idx="0">
                  <c:v>2</c:v>
                </c:pt>
                <c:pt idx="1">
                  <c:v>13</c:v>
                </c:pt>
                <c:pt idx="2">
                  <c:v>11</c:v>
                </c:pt>
                <c:pt idx="3">
                  <c:v>0</c:v>
                </c:pt>
                <c:pt idx="4">
                  <c:v>1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E9-43C6-BAC7-B970DD4052CC}"/>
            </c:ext>
          </c:extLst>
        </c:ser>
        <c:ser>
          <c:idx val="3"/>
          <c:order val="2"/>
          <c:tx>
            <c:strRef>
              <c:f>'8.11'!$L$3:$L$4</c:f>
              <c:strCache>
                <c:ptCount val="2"/>
                <c:pt idx="0">
                  <c:v>2021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'8.11'!$A$6:$A$11</c:f>
              <c:strCache>
                <c:ptCount val="6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  <c:pt idx="5">
                  <c:v>Drowning</c:v>
                </c:pt>
              </c:strCache>
            </c:strRef>
          </c:cat>
          <c:val>
            <c:numRef>
              <c:f>'8.11'!$L$6:$L$11</c:f>
              <c:numCache>
                <c:formatCode>#,##0</c:formatCode>
                <c:ptCount val="6"/>
                <c:pt idx="0">
                  <c:v>4</c:v>
                </c:pt>
                <c:pt idx="1">
                  <c:v>18</c:v>
                </c:pt>
                <c:pt idx="2">
                  <c:v>4</c:v>
                </c:pt>
                <c:pt idx="3">
                  <c:v>6</c:v>
                </c:pt>
                <c:pt idx="4">
                  <c:v>1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E9-43C6-BAC7-B970DD4052CC}"/>
            </c:ext>
          </c:extLst>
        </c:ser>
        <c:ser>
          <c:idx val="0"/>
          <c:order val="3"/>
          <c:tx>
            <c:v>2022</c:v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val>
            <c:numRef>
              <c:f>'8.11'!$M$6:$M$11</c:f>
              <c:numCache>
                <c:formatCode>#,##0</c:formatCode>
                <c:ptCount val="6"/>
                <c:pt idx="0">
                  <c:v>4</c:v>
                </c:pt>
                <c:pt idx="1">
                  <c:v>15</c:v>
                </c:pt>
                <c:pt idx="2">
                  <c:v>9</c:v>
                </c:pt>
                <c:pt idx="3">
                  <c:v>5</c:v>
                </c:pt>
                <c:pt idx="4">
                  <c:v>1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20-4E10-BEFF-00A1F9CAF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292352"/>
        <c:axId val="44298240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'8.11'!$J$3:$J$4</c15:sqref>
                        </c15:formulaRef>
                      </c:ext>
                    </c:extLst>
                    <c:strCache>
                      <c:ptCount val="2"/>
                      <c:pt idx="0">
                        <c:v>2019 </c:v>
                      </c:pt>
                    </c:strCache>
                  </c:strRef>
                </c:tx>
                <c:spPr>
                  <a:solidFill>
                    <a:srgbClr val="FF6969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'8.11'!$A$6:$A$11</c15:sqref>
                        </c15:formulaRef>
                      </c:ext>
                    </c:extLst>
                    <c:strCache>
                      <c:ptCount val="6"/>
                      <c:pt idx="0">
                        <c:v>Homicides</c:v>
                      </c:pt>
                      <c:pt idx="1">
                        <c:v>Suicides</c:v>
                      </c:pt>
                      <c:pt idx="2">
                        <c:v>Diving/snorkeling  accidents</c:v>
                      </c:pt>
                      <c:pt idx="3">
                        <c:v>Traffic accidents</c:v>
                      </c:pt>
                      <c:pt idx="4">
                        <c:v>Marine Accidents</c:v>
                      </c:pt>
                      <c:pt idx="5">
                        <c:v>Drowning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'8.11'!$J$6:$J$11</c15:sqref>
                        </c15:formulaRef>
                      </c:ext>
                    </c:extLst>
                    <c:numCache>
                      <c:formatCode>#,##0</c:formatCode>
                      <c:ptCount val="6"/>
                      <c:pt idx="0">
                        <c:v>3</c:v>
                      </c:pt>
                      <c:pt idx="1">
                        <c:v>17</c:v>
                      </c:pt>
                      <c:pt idx="2">
                        <c:v>28</c:v>
                      </c:pt>
                      <c:pt idx="3">
                        <c:v>5</c:v>
                      </c:pt>
                      <c:pt idx="4">
                        <c:v>0</c:v>
                      </c:pt>
                      <c:pt idx="5">
                        <c:v>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AE9-43C6-BAC7-B970DD4052CC}"/>
                  </c:ext>
                </c:extLst>
              </c15:ser>
            </c15:filteredBarSeries>
          </c:ext>
        </c:extLst>
      </c:barChart>
      <c:catAx>
        <c:axId val="4429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8240"/>
        <c:crosses val="autoZero"/>
        <c:auto val="1"/>
        <c:lblAlgn val="ctr"/>
        <c:lblOffset val="100"/>
        <c:noMultiLvlLbl val="0"/>
      </c:catAx>
      <c:valAx>
        <c:axId val="4429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2352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1675952809334811"/>
          <c:y val="0.19961856473197467"/>
          <c:w val="0.2080278340933476"/>
          <c:h val="7.6985583619532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618708</xdr:colOff>
      <xdr:row>15</xdr:row>
      <xdr:rowOff>149498</xdr:rowOff>
    </xdr:from>
    <xdr:to>
      <xdr:col>14</xdr:col>
      <xdr:colOff>1516063</xdr:colOff>
      <xdr:row>31</xdr:row>
      <xdr:rowOff>116314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92D050"/>
  </sheetPr>
  <dimension ref="A1:Y15"/>
  <sheetViews>
    <sheetView tabSelected="1" zoomScale="96" zoomScaleNormal="96" workbookViewId="0">
      <selection activeCell="R16" sqref="R16"/>
    </sheetView>
  </sheetViews>
  <sheetFormatPr defaultColWidth="9.140625" defaultRowHeight="15"/>
  <cols>
    <col min="1" max="1" width="26.140625" style="1" customWidth="1"/>
    <col min="2" max="6" width="0" style="1" hidden="1" customWidth="1"/>
    <col min="7" max="13" width="10.42578125" style="1" customWidth="1"/>
    <col min="14" max="14" width="22.42578125" style="1" customWidth="1"/>
    <col min="15" max="15" width="24.85546875" style="1" customWidth="1"/>
    <col min="16" max="16" width="41" style="1" customWidth="1"/>
    <col min="17" max="22" width="24.85546875" style="1" customWidth="1"/>
    <col min="23" max="23" width="25.7109375" style="1" customWidth="1"/>
    <col min="24" max="16384" width="9.140625" style="1"/>
  </cols>
  <sheetData>
    <row r="1" spans="1:25" ht="21">
      <c r="A1" s="43" t="s">
        <v>25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11"/>
      <c r="Q1" s="11"/>
      <c r="R1" s="11"/>
      <c r="S1" s="11"/>
      <c r="T1" s="11"/>
      <c r="U1" s="11"/>
      <c r="V1" s="11"/>
    </row>
    <row r="2" spans="1:25">
      <c r="A2" s="44" t="s">
        <v>27</v>
      </c>
      <c r="B2" s="44"/>
      <c r="C2" s="44"/>
      <c r="D2" s="44"/>
      <c r="E2" s="44"/>
      <c r="F2" s="44"/>
      <c r="G2" s="44"/>
      <c r="H2" s="44"/>
      <c r="I2" s="44"/>
      <c r="J2" s="44"/>
      <c r="K2" s="45"/>
      <c r="L2" s="46"/>
      <c r="M2" s="47"/>
      <c r="N2" s="44"/>
      <c r="O2" s="44"/>
      <c r="P2" s="12"/>
      <c r="Q2" s="12"/>
      <c r="R2" s="12"/>
      <c r="S2" s="12"/>
      <c r="T2" s="12"/>
      <c r="U2" s="12"/>
      <c r="V2" s="12"/>
    </row>
    <row r="3" spans="1:25" ht="34.5">
      <c r="A3" s="48" t="s">
        <v>6</v>
      </c>
      <c r="B3" s="39">
        <v>2011</v>
      </c>
      <c r="C3" s="39">
        <v>2012</v>
      </c>
      <c r="D3" s="39">
        <v>2013</v>
      </c>
      <c r="E3" s="39">
        <v>2014</v>
      </c>
      <c r="F3" s="39">
        <v>2015</v>
      </c>
      <c r="G3" s="39">
        <v>2016</v>
      </c>
      <c r="H3" s="39">
        <v>2017</v>
      </c>
      <c r="I3" s="39">
        <v>2018</v>
      </c>
      <c r="J3" s="39">
        <v>2019</v>
      </c>
      <c r="K3" s="39">
        <v>2020</v>
      </c>
      <c r="L3" s="39">
        <v>2021</v>
      </c>
      <c r="M3" s="39">
        <v>2022</v>
      </c>
      <c r="N3" s="13" t="s">
        <v>8</v>
      </c>
      <c r="O3" s="41" t="s">
        <v>7</v>
      </c>
      <c r="P3" s="14"/>
      <c r="Q3" s="14"/>
      <c r="R3" s="14"/>
      <c r="S3" s="14"/>
      <c r="T3" s="14"/>
      <c r="U3" s="14"/>
      <c r="V3" s="14"/>
    </row>
    <row r="4" spans="1:25" ht="18.75">
      <c r="A4" s="49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35" t="s">
        <v>24</v>
      </c>
      <c r="O4" s="42"/>
      <c r="P4" s="15"/>
      <c r="Q4" s="15"/>
      <c r="R4" s="15"/>
      <c r="S4" s="15"/>
      <c r="T4" s="15"/>
      <c r="U4" s="15"/>
      <c r="V4" s="15"/>
    </row>
    <row r="5" spans="1:25" s="19" customFormat="1" ht="18.75">
      <c r="A5" s="16" t="s">
        <v>0</v>
      </c>
      <c r="B5" s="17">
        <f>SUM(B6:B12)</f>
        <v>171</v>
      </c>
      <c r="C5" s="17">
        <f>SUM(C6:C12)</f>
        <v>190</v>
      </c>
      <c r="D5" s="17">
        <f>SUM(D6:D12)</f>
        <v>183</v>
      </c>
      <c r="E5" s="17">
        <f>SUM(E6:E12)</f>
        <v>174</v>
      </c>
      <c r="F5" s="17">
        <f>SUM(F6:F12)</f>
        <v>172</v>
      </c>
      <c r="G5" s="17">
        <f t="shared" ref="G5:L5" si="0">SUM(G6:G12)</f>
        <v>154</v>
      </c>
      <c r="H5" s="17">
        <f t="shared" si="0"/>
        <v>174</v>
      </c>
      <c r="I5" s="17">
        <f t="shared" si="0"/>
        <v>181</v>
      </c>
      <c r="J5" s="17">
        <f t="shared" si="0"/>
        <v>224</v>
      </c>
      <c r="K5" s="17">
        <f t="shared" si="0"/>
        <v>174</v>
      </c>
      <c r="L5" s="17">
        <f t="shared" si="0"/>
        <v>182</v>
      </c>
      <c r="M5" s="17">
        <f>SUM(M6:M12)</f>
        <v>203</v>
      </c>
      <c r="N5" s="37">
        <f>((M5-L5)/L5)*100</f>
        <v>11.538461538461538</v>
      </c>
      <c r="O5" s="18" t="s">
        <v>5</v>
      </c>
      <c r="P5" s="34"/>
      <c r="Q5" s="34"/>
      <c r="R5" s="34"/>
      <c r="S5" s="18"/>
      <c r="T5" s="18"/>
      <c r="U5" s="18"/>
      <c r="V5" s="18"/>
      <c r="X5" s="3"/>
    </row>
    <row r="6" spans="1:25" s="3" customFormat="1" ht="18.75">
      <c r="A6" s="20" t="s">
        <v>9</v>
      </c>
      <c r="B6" s="21">
        <v>3</v>
      </c>
      <c r="C6" s="21">
        <v>10</v>
      </c>
      <c r="D6" s="4">
        <v>3</v>
      </c>
      <c r="E6" s="7">
        <v>3</v>
      </c>
      <c r="F6" s="7">
        <v>11</v>
      </c>
      <c r="G6" s="7">
        <v>5</v>
      </c>
      <c r="H6" s="7">
        <v>9</v>
      </c>
      <c r="I6" s="7">
        <v>3</v>
      </c>
      <c r="J6" s="7">
        <v>3</v>
      </c>
      <c r="K6" s="7">
        <v>2</v>
      </c>
      <c r="L6" s="7">
        <v>4</v>
      </c>
      <c r="M6" s="7">
        <v>4</v>
      </c>
      <c r="N6" s="22">
        <f t="shared" ref="N6:N12" si="1">((M6-L6)/L6)*100</f>
        <v>0</v>
      </c>
      <c r="O6" s="8" t="s">
        <v>10</v>
      </c>
      <c r="P6" s="7"/>
      <c r="Q6" s="7"/>
      <c r="R6" s="7"/>
      <c r="S6" s="23"/>
      <c r="T6" s="23"/>
      <c r="U6" s="23"/>
      <c r="V6" s="23"/>
      <c r="X6" s="20" t="s">
        <v>11</v>
      </c>
      <c r="Y6" s="2">
        <f t="shared" ref="Y6:Y11" si="2">(H6/$H$5)*100</f>
        <v>5.1724137931034484</v>
      </c>
    </row>
    <row r="7" spans="1:25" s="3" customFormat="1" ht="18.75">
      <c r="A7" s="20" t="s">
        <v>12</v>
      </c>
      <c r="B7" s="21">
        <v>13</v>
      </c>
      <c r="C7" s="21">
        <v>8</v>
      </c>
      <c r="D7" s="4">
        <v>19</v>
      </c>
      <c r="E7" s="7">
        <v>12</v>
      </c>
      <c r="F7" s="7">
        <v>15</v>
      </c>
      <c r="G7" s="7">
        <v>17</v>
      </c>
      <c r="H7" s="7">
        <v>17</v>
      </c>
      <c r="I7" s="7">
        <v>14</v>
      </c>
      <c r="J7" s="7">
        <v>17</v>
      </c>
      <c r="K7" s="7">
        <v>13</v>
      </c>
      <c r="L7" s="7">
        <v>18</v>
      </c>
      <c r="M7" s="7">
        <v>15</v>
      </c>
      <c r="N7" s="22">
        <f t="shared" si="1"/>
        <v>-16.666666666666664</v>
      </c>
      <c r="O7" s="8" t="s">
        <v>13</v>
      </c>
      <c r="P7" s="7"/>
      <c r="Q7" s="7"/>
      <c r="R7" s="7"/>
      <c r="S7" s="23"/>
      <c r="T7" s="23"/>
      <c r="U7" s="23"/>
      <c r="V7" s="23"/>
      <c r="X7" s="20" t="s">
        <v>14</v>
      </c>
      <c r="Y7" s="2">
        <f t="shared" si="2"/>
        <v>9.7701149425287355</v>
      </c>
    </row>
    <row r="8" spans="1:25" s="3" customFormat="1" ht="18.75">
      <c r="A8" s="20" t="s">
        <v>15</v>
      </c>
      <c r="B8" s="21">
        <v>13</v>
      </c>
      <c r="C8" s="21">
        <v>12</v>
      </c>
      <c r="D8" s="4">
        <v>15</v>
      </c>
      <c r="E8" s="7">
        <v>14</v>
      </c>
      <c r="F8" s="7">
        <v>11</v>
      </c>
      <c r="G8" s="7">
        <v>16</v>
      </c>
      <c r="H8" s="7">
        <v>19</v>
      </c>
      <c r="I8" s="7">
        <v>15</v>
      </c>
      <c r="J8" s="7">
        <v>28</v>
      </c>
      <c r="K8" s="7">
        <v>11</v>
      </c>
      <c r="L8" s="7">
        <v>4</v>
      </c>
      <c r="M8" s="7">
        <v>9</v>
      </c>
      <c r="N8" s="38" t="s">
        <v>28</v>
      </c>
      <c r="O8" s="8" t="s">
        <v>16</v>
      </c>
      <c r="P8" s="7"/>
      <c r="Q8" s="7"/>
      <c r="R8" s="7"/>
      <c r="S8" s="23"/>
      <c r="T8" s="23"/>
      <c r="U8" s="23"/>
      <c r="V8" s="23"/>
      <c r="X8" s="20" t="s">
        <v>15</v>
      </c>
      <c r="Y8" s="2">
        <f t="shared" si="2"/>
        <v>10.919540229885058</v>
      </c>
    </row>
    <row r="9" spans="1:25" s="3" customFormat="1" ht="18.75">
      <c r="A9" s="20" t="s">
        <v>1</v>
      </c>
      <c r="B9" s="21">
        <v>7</v>
      </c>
      <c r="C9" s="21">
        <v>5</v>
      </c>
      <c r="D9" s="4">
        <v>2</v>
      </c>
      <c r="E9" s="7">
        <v>10</v>
      </c>
      <c r="F9" s="7">
        <v>12</v>
      </c>
      <c r="G9" s="7">
        <v>4</v>
      </c>
      <c r="H9" s="7">
        <v>9</v>
      </c>
      <c r="I9" s="7">
        <v>8</v>
      </c>
      <c r="J9" s="7">
        <v>5</v>
      </c>
      <c r="K9" s="7">
        <v>0</v>
      </c>
      <c r="L9" s="7">
        <v>6</v>
      </c>
      <c r="M9" s="7">
        <v>5</v>
      </c>
      <c r="N9" s="22">
        <f t="shared" si="1"/>
        <v>-16.666666666666664</v>
      </c>
      <c r="O9" s="8" t="s">
        <v>17</v>
      </c>
      <c r="P9" s="7"/>
      <c r="Q9" s="7"/>
      <c r="R9" s="7"/>
      <c r="S9" s="23"/>
      <c r="T9" s="23"/>
      <c r="U9" s="23"/>
      <c r="V9" s="23"/>
      <c r="X9" s="20" t="s">
        <v>1</v>
      </c>
      <c r="Y9" s="2">
        <f t="shared" si="2"/>
        <v>5.1724137931034484</v>
      </c>
    </row>
    <row r="10" spans="1:25" s="3" customFormat="1" ht="18.75">
      <c r="A10" s="20" t="s">
        <v>22</v>
      </c>
      <c r="B10" s="31" t="s">
        <v>4</v>
      </c>
      <c r="C10" s="31" t="s">
        <v>4</v>
      </c>
      <c r="D10" s="32" t="s">
        <v>4</v>
      </c>
      <c r="E10" s="7" t="s">
        <v>4</v>
      </c>
      <c r="F10" s="7" t="s">
        <v>4</v>
      </c>
      <c r="G10" s="7" t="s">
        <v>4</v>
      </c>
      <c r="H10" s="7" t="s">
        <v>4</v>
      </c>
      <c r="I10" s="7">
        <v>4</v>
      </c>
      <c r="J10" s="7">
        <v>0</v>
      </c>
      <c r="K10" s="7">
        <v>1</v>
      </c>
      <c r="L10" s="7">
        <v>1</v>
      </c>
      <c r="M10" s="7">
        <v>1</v>
      </c>
      <c r="N10" s="22">
        <f t="shared" si="1"/>
        <v>0</v>
      </c>
      <c r="O10" s="8" t="s">
        <v>23</v>
      </c>
      <c r="P10" s="7"/>
      <c r="Q10" s="7"/>
      <c r="R10" s="7"/>
      <c r="S10" s="23"/>
      <c r="T10" s="23"/>
      <c r="U10" s="23"/>
      <c r="V10" s="23"/>
      <c r="X10" s="20" t="s">
        <v>18</v>
      </c>
      <c r="Y10" s="2" t="e">
        <f t="shared" si="2"/>
        <v>#VALUE!</v>
      </c>
    </row>
    <row r="11" spans="1:25" s="3" customFormat="1" ht="18.75">
      <c r="A11" s="20" t="s">
        <v>18</v>
      </c>
      <c r="B11" s="21">
        <v>8</v>
      </c>
      <c r="C11" s="21">
        <v>30</v>
      </c>
      <c r="D11" s="4">
        <v>15</v>
      </c>
      <c r="E11" s="7">
        <v>13</v>
      </c>
      <c r="F11" s="7">
        <v>18</v>
      </c>
      <c r="G11" s="7">
        <v>12</v>
      </c>
      <c r="H11" s="7">
        <v>12</v>
      </c>
      <c r="I11" s="7">
        <v>22</v>
      </c>
      <c r="J11" s="7">
        <v>7</v>
      </c>
      <c r="K11" s="7">
        <v>9</v>
      </c>
      <c r="L11" s="7">
        <v>22</v>
      </c>
      <c r="M11" s="7">
        <v>15</v>
      </c>
      <c r="N11" s="22">
        <f t="shared" si="1"/>
        <v>-31.818181818181817</v>
      </c>
      <c r="O11" s="8" t="s">
        <v>19</v>
      </c>
      <c r="P11" s="7"/>
      <c r="Q11" s="7"/>
      <c r="R11" s="7"/>
      <c r="S11" s="23"/>
      <c r="T11" s="23"/>
      <c r="U11" s="23"/>
      <c r="V11" s="23"/>
      <c r="X11" s="24" t="s">
        <v>20</v>
      </c>
      <c r="Y11" s="2">
        <f t="shared" si="2"/>
        <v>6.8965517241379306</v>
      </c>
    </row>
    <row r="12" spans="1:25" s="3" customFormat="1" ht="18.75">
      <c r="A12" s="24" t="s">
        <v>20</v>
      </c>
      <c r="B12" s="25">
        <v>127</v>
      </c>
      <c r="C12" s="25">
        <v>125</v>
      </c>
      <c r="D12" s="26">
        <v>129</v>
      </c>
      <c r="E12" s="9">
        <v>122</v>
      </c>
      <c r="F12" s="9">
        <v>105</v>
      </c>
      <c r="G12" s="9">
        <v>100</v>
      </c>
      <c r="H12" s="9">
        <v>108</v>
      </c>
      <c r="I12" s="9">
        <v>115</v>
      </c>
      <c r="J12" s="9">
        <v>164</v>
      </c>
      <c r="K12" s="9">
        <v>138</v>
      </c>
      <c r="L12" s="9">
        <v>127</v>
      </c>
      <c r="M12" s="9">
        <v>154</v>
      </c>
      <c r="N12" s="27">
        <f t="shared" si="1"/>
        <v>21.259842519685041</v>
      </c>
      <c r="O12" s="10" t="s">
        <v>21</v>
      </c>
      <c r="P12" s="7"/>
      <c r="Q12" s="7"/>
      <c r="R12" s="7"/>
      <c r="S12" s="23"/>
      <c r="T12" s="23"/>
      <c r="U12" s="23"/>
      <c r="V12" s="23"/>
      <c r="X12" s="20"/>
      <c r="Y12" s="2"/>
    </row>
    <row r="13" spans="1:25">
      <c r="A13" s="36" t="s">
        <v>26</v>
      </c>
    </row>
    <row r="14" spans="1:25">
      <c r="A14" s="5" t="s">
        <v>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33" t="s">
        <v>3</v>
      </c>
      <c r="P14" s="30"/>
      <c r="Q14" s="28"/>
      <c r="S14" s="28"/>
      <c r="T14" s="28"/>
      <c r="U14" s="28"/>
      <c r="V14" s="28"/>
    </row>
    <row r="15" spans="1:25">
      <c r="B15" s="29"/>
    </row>
  </sheetData>
  <mergeCells count="16">
    <mergeCell ref="I3:I4"/>
    <mergeCell ref="O3:O4"/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J3:J4"/>
    <mergeCell ref="K3:K4"/>
    <mergeCell ref="L3:L4"/>
    <mergeCell ref="M3:M4"/>
  </mergeCells>
  <pageMargins left="0.7" right="0.7" top="0.75" bottom="0.75" header="0.3" footer="0.3"/>
  <pageSetup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8.11</vt:lpstr>
      <vt:lpstr>'8.11'!Print_Area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2023-10-16T08:50:46Z</cp:lastPrinted>
  <dcterms:created xsi:type="dcterms:W3CDTF">2019-06-30T04:22:49Z</dcterms:created>
  <dcterms:modified xsi:type="dcterms:W3CDTF">2023-10-16T08:50:54Z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