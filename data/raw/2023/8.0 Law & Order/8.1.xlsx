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DFE6579A-9E28-4B61-A81C-5B7C3FE4130E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1" sheetId="1" r:id="rId1"/>
  </sheets>
  <definedNames>
    <definedName name="_xlnm.Print_Area" localSheetId="0">'8.1'!$A$1:$S$68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/>
  <c r="P7" i="1"/>
  <c r="P6" i="1"/>
  <c r="BK48" i="1"/>
  <c r="BK47" i="1"/>
  <c r="BK46" i="1"/>
  <c r="BK45" i="1"/>
  <c r="BK44" i="1"/>
  <c r="BJ44" i="1"/>
  <c r="Q7" i="1" l="1"/>
  <c r="Q8" i="1"/>
  <c r="Q9" i="1"/>
  <c r="Q10" i="1"/>
  <c r="Q11" i="1"/>
  <c r="Q12" i="1"/>
  <c r="Q13" i="1"/>
  <c r="Q14" i="1"/>
  <c r="Q15" i="1"/>
  <c r="Q16" i="1"/>
  <c r="Q17" i="1"/>
  <c r="O5" i="1"/>
  <c r="P13" i="1" l="1"/>
  <c r="P5" i="1"/>
  <c r="P14" i="1"/>
  <c r="P12" i="1"/>
  <c r="P11" i="1"/>
  <c r="P9" i="1"/>
  <c r="P17" i="1"/>
  <c r="P16" i="1"/>
  <c r="P15" i="1"/>
  <c r="P8" i="1"/>
  <c r="P10" i="1"/>
  <c r="BJ45" i="1" l="1"/>
  <c r="BJ46" i="1"/>
  <c r="BJ47" i="1"/>
  <c r="BJ48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N5" i="1" l="1"/>
  <c r="Q5" i="1" s="1"/>
  <c r="P25" i="1" l="1"/>
  <c r="P29" i="1"/>
  <c r="P22" i="1"/>
  <c r="P18" i="1"/>
  <c r="P26" i="1"/>
  <c r="P21" i="1"/>
  <c r="P19" i="1"/>
  <c r="P27" i="1"/>
  <c r="P30" i="1"/>
  <c r="P20" i="1"/>
  <c r="P28" i="1"/>
  <c r="P23" i="1"/>
  <c r="P24" i="1"/>
  <c r="BI44" i="1" l="1"/>
  <c r="BI45" i="1" l="1"/>
  <c r="BI46" i="1"/>
  <c r="BI47" i="1"/>
  <c r="BI48" i="1"/>
  <c r="M17" i="1" l="1"/>
  <c r="M5" i="1" l="1"/>
  <c r="BH44" i="1" l="1"/>
  <c r="BH45" i="1"/>
  <c r="BH46" i="1"/>
  <c r="BH47" i="1"/>
  <c r="BH48" i="1"/>
  <c r="L17" i="1"/>
  <c r="L5" i="1" l="1"/>
  <c r="BG44" i="1" l="1"/>
  <c r="BG45" i="1"/>
  <c r="BG46" i="1"/>
  <c r="BG47" i="1"/>
  <c r="BG48" i="1"/>
  <c r="BF48" i="1"/>
  <c r="BE48" i="1"/>
  <c r="BD48" i="1"/>
  <c r="BF47" i="1"/>
  <c r="BE47" i="1"/>
  <c r="BD47" i="1"/>
  <c r="BF46" i="1"/>
  <c r="BE46" i="1"/>
  <c r="BD46" i="1"/>
  <c r="BF45" i="1"/>
  <c r="BE45" i="1"/>
  <c r="BD45" i="1"/>
  <c r="BF44" i="1"/>
  <c r="BE44" i="1"/>
  <c r="BD44" i="1"/>
  <c r="BA29" i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<sst xmlns="http://schemas.openxmlformats.org/spreadsheetml/2006/main" count="93" uniqueCount="60">
  <si>
    <t>Logged Cases</t>
  </si>
  <si>
    <t>ބެހިފައިވާ ގޮތް އިންސައްތައިން</t>
  </si>
  <si>
    <t>ހުށަހެޅިފައިވާ މައްސަލަތައް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</si>
  <si>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</si>
  <si>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</si>
  <si>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</si>
  <si>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</si>
  <si>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</si>
  <si>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</si>
  <si>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</si>
  <si>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</si>
  <si>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</si>
  <si>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</si>
  <si>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</si>
  <si>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</si>
  <si>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</si>
  <si>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</si>
  <si>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</si>
  <si>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</si>
  <si>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Threats; False Alarms</t>
  </si>
  <si>
    <t>ފޭރުން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</si>
  <si>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</si>
  <si>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</si>
  <si>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</si>
  <si>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</si>
  <si>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</si>
  <si>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</si>
  <si>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</si>
  <si>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</si>
  <si>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</si>
  <si>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</si>
  <si>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</si>
  <si>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</si>
  <si>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</si>
  <si>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</si>
  <si>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</si>
  <si>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</si>
  <si>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</si>
  <si>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</si>
  <si>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</si>
  <si>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</si>
  <si>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</si>
  <si>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</si>
  <si>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</si>
  <si>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</si>
  <si>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</si>
  <si>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</si>
  <si>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</si>
  <si>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</si>
  <si>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</si>
  <si>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</si>
  <si>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</si>
  <si>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</si>
  <si>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</si>
  <si>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</si>
  <si>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% change over 2021</t>
  </si>
  <si>
    <t>Table 8.1: LOGGED CASES FROM THE YEAR, 2016 - 2022</t>
  </si>
  <si>
    <t>ތާވަލު 8.1: ހުށަހެޅިފައިވާ މައްސަލަތައް، 2016- 2022</t>
  </si>
  <si>
    <t>% share 2022</t>
  </si>
  <si>
    <t>2021އާއި އަޅާބަލާއިރު 2022ގައި އިތުރުވި މިންވަރު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</si>
</sst>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9" formatCode="_(* #,##0.0_);_(* \(#,##0.0\);_(* &quot;-&quot;??_);_(@_)"/>
    <numFmt numFmtId="170" formatCode="_(* #,##0_);_(* \(#,##0\);_(* &quot;-&quot;??_);_(@_)"/>
    <numFmt numFmtId="172" formatCode="0.00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9"/>
      <name val="Courier"/>
      <family val="3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167" fontId="29" fillId="0" borderId="0"/>
    <xf numFmtId="0" fontId="32" fillId="0" borderId="7" applyNumberFormat="0" applyFill="0" applyAlignment="0" applyProtection="0"/>
    <xf numFmtId="0" fontId="3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43" fontId="31" fillId="0" borderId="0" applyFont="0" applyFill="0" applyBorder="0" applyAlignment="0" applyProtection="0"/>
    <xf numFmtId="172" fontId="36" fillId="0" borderId="0"/>
    <xf numFmtId="1" fontId="37" fillId="0" borderId="12" applyNumberFormat="0"/>
    <xf numFmtId="0" fontId="31" fillId="0" borderId="0"/>
    <xf numFmtId="0" fontId="1" fillId="0" borderId="0"/>
    <xf numFmtId="0" fontId="31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5" fillId="0" borderId="0"/>
    <xf numFmtId="40" fontId="35" fillId="0" borderId="0" applyFont="0" applyFill="0" applyBorder="0" applyAlignment="0" applyProtection="0"/>
    <xf numFmtId="0" fontId="35" fillId="0" borderId="0"/>
    <xf numFmtId="0" fontId="31" fillId="0" borderId="0"/>
    <xf numFmtId="1" fontId="37" fillId="0" borderId="12" applyNumberFormat="0"/>
    <xf numFmtId="0" fontId="1" fillId="0" borderId="0"/>
    <xf numFmtId="0" fontId="35" fillId="0" borderId="0"/>
    <xf numFmtId="0" fontId="28" fillId="0" borderId="0" applyFill="0" applyProtection="0"/>
    <xf numFmtId="1" fontId="3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38" fillId="0" borderId="0"/>
    <xf numFmtId="0" fontId="39" fillId="0" borderId="0"/>
    <xf numFmtId="0" fontId="38" fillId="0" borderId="0"/>
    <xf numFmtId="0" fontId="1" fillId="0" borderId="0"/>
    <xf numFmtId="0" fontId="35" fillId="0" borderId="0"/>
    <xf numFmtId="0" fontId="28" fillId="0" borderId="0" applyFill="0" applyProtection="0"/>
    <xf numFmtId="1" fontId="37" fillId="0" borderId="12" applyNumberFormat="0"/>
    <xf numFmtId="0" fontId="1" fillId="0" borderId="0"/>
    <xf numFmtId="0" fontId="31" fillId="0" borderId="0"/>
    <xf numFmtId="0" fontId="38" fillId="0" borderId="0"/>
    <xf numFmtId="0" fontId="39" fillId="0" borderId="0"/>
    <xf numFmtId="0" fontId="31" fillId="0" borderId="0"/>
    <xf numFmtId="0" fontId="38" fillId="0" borderId="0"/>
    <xf numFmtId="0" fontId="40" fillId="0" borderId="0"/>
    <xf numFmtId="0" fontId="38" fillId="0" borderId="0"/>
    <xf numFmtId="0" fontId="3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5" fillId="0" borderId="0" applyFont="0" applyFill="0" applyBorder="0" applyAlignment="0" applyProtection="0"/>
    <xf numFmtId="0" fontId="1" fillId="0" borderId="0"/>
    <xf numFmtId="0" fontId="40" fillId="0" borderId="0" applyBorder="0"/>
    <xf numFmtId="0" fontId="1" fillId="0" borderId="0"/>
    <xf numFmtId="40" fontId="3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0" fillId="0" borderId="0" applyBorder="0"/>
    <xf numFmtId="0" fontId="1" fillId="0" borderId="0"/>
    <xf numFmtId="0" fontId="1" fillId="0" borderId="0"/>
    <xf numFmtId="1" fontId="37" fillId="0" borderId="12" applyNumberFormat="0"/>
    <xf numFmtId="1" fontId="37" fillId="0" borderId="12" applyNumberFormat="0"/>
    <xf numFmtId="1" fontId="37" fillId="0" borderId="12" applyNumberFormat="0"/>
    <xf numFmtId="1" fontId="37" fillId="0" borderId="12" applyNumberFormat="0"/>
  </cellStyleXfs>
  <cellXfs count="79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1" fillId="2" borderId="0" xfId="0" applyNumberFormat="1" applyFont="1" applyFill="1"/>
    <xf numFmtId="164" fontId="12" fillId="2" borderId="4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Alignment="1">
      <alignment horizontal="left" vertical="center"/>
    </xf>
    <xf numFmtId="165" fontId="15" fillId="2" borderId="0" xfId="0" applyNumberFormat="1" applyFont="1" applyFill="1"/>
    <xf numFmtId="164" fontId="7" fillId="2" borderId="0" xfId="0" applyNumberFormat="1" applyFont="1" applyFill="1" applyAlignment="1">
      <alignment vertical="center"/>
    </xf>
    <xf numFmtId="166" fontId="8" fillId="2" borderId="0" xfId="1" applyNumberFormat="1" applyFont="1" applyFill="1" applyBorder="1" applyAlignment="1">
      <alignment horizontal="center"/>
    </xf>
    <xf numFmtId="166" fontId="5" fillId="2" borderId="0" xfId="1" applyNumberFormat="1" applyFont="1" applyFill="1" applyBorder="1" applyAlignment="1">
      <alignment horizontal="center"/>
    </xf>
    <xf numFmtId="3" fontId="7" fillId="2" borderId="0" xfId="1" applyNumberFormat="1" applyFont="1" applyFill="1" applyBorder="1" applyAlignment="1">
      <alignment horizontal="right" vertical="center"/>
    </xf>
    <xf numFmtId="167" fontId="16" fillId="2" borderId="0" xfId="1" applyNumberFormat="1" applyFont="1" applyFill="1" applyBorder="1" applyAlignment="1">
      <alignment horizontal="right" vertical="center" indent="3"/>
    </xf>
    <xf numFmtId="167" fontId="16" fillId="2" borderId="0" xfId="1" applyNumberFormat="1" applyFont="1" applyFill="1" applyBorder="1" applyAlignment="1" applyProtection="1">
      <alignment horizontal="right" vertical="center" indent="3"/>
      <protection locked="0"/>
    </xf>
    <xf numFmtId="2" fontId="11" fillId="2" borderId="0" xfId="0" applyNumberFormat="1" applyFont="1" applyFill="1"/>
    <xf numFmtId="165" fontId="11" fillId="2" borderId="0" xfId="0" applyNumberFormat="1" applyFont="1" applyFill="1"/>
    <xf numFmtId="165" fontId="14" fillId="2" borderId="0" xfId="0" applyNumberFormat="1" applyFont="1" applyFill="1" applyAlignment="1">
      <alignment horizontal="right" vertical="top"/>
    </xf>
    <xf numFmtId="164" fontId="17" fillId="2" borderId="0" xfId="0" applyNumberFormat="1" applyFont="1" applyFill="1" applyAlignment="1">
      <alignment vertical="center"/>
    </xf>
    <xf numFmtId="166" fontId="18" fillId="2" borderId="0" xfId="1" applyNumberFormat="1" applyFont="1" applyFill="1" applyBorder="1" applyAlignment="1">
      <alignment horizontal="center"/>
    </xf>
    <xf numFmtId="166" fontId="19" fillId="2" borderId="0" xfId="1" applyNumberFormat="1" applyFont="1" applyFill="1" applyBorder="1" applyAlignment="1">
      <alignment horizontal="center"/>
    </xf>
    <xf numFmtId="3" fontId="17" fillId="2" borderId="0" xfId="1" applyNumberFormat="1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right" vertical="top"/>
    </xf>
    <xf numFmtId="167" fontId="20" fillId="2" borderId="0" xfId="1" applyNumberFormat="1" applyFont="1" applyFill="1" applyBorder="1" applyAlignment="1">
      <alignment horizontal="right" vertical="center" indent="3"/>
    </xf>
    <xf numFmtId="164" fontId="13" fillId="2" borderId="0" xfId="0" applyNumberFormat="1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center" vertical="top"/>
    </xf>
    <xf numFmtId="165" fontId="11" fillId="2" borderId="0" xfId="0" applyNumberFormat="1" applyFont="1" applyFill="1" applyAlignment="1">
      <alignment horizontal="center" vertical="top"/>
    </xf>
    <xf numFmtId="164" fontId="15" fillId="2" borderId="0" xfId="0" applyNumberFormat="1" applyFont="1" applyFill="1"/>
    <xf numFmtId="3" fontId="20" fillId="2" borderId="0" xfId="1" applyNumberFormat="1" applyFont="1" applyFill="1" applyAlignment="1">
      <alignment horizontal="right" vertical="center"/>
    </xf>
    <xf numFmtId="165" fontId="0" fillId="2" borderId="0" xfId="0" applyNumberFormat="1" applyFill="1"/>
    <xf numFmtId="164" fontId="21" fillId="2" borderId="0" xfId="0" applyNumberFormat="1" applyFont="1" applyFill="1" applyAlignment="1">
      <alignment horizontal="left" vertical="center" indent="2"/>
    </xf>
    <xf numFmtId="164" fontId="22" fillId="2" borderId="0" xfId="0" applyNumberFormat="1" applyFont="1" applyFill="1" applyAlignment="1">
      <alignment horizontal="left" vertical="center" indent="2"/>
    </xf>
    <xf numFmtId="164" fontId="23" fillId="2" borderId="0" xfId="0" applyNumberFormat="1" applyFont="1" applyFill="1" applyAlignment="1">
      <alignment horizontal="center" vertical="top"/>
    </xf>
    <xf numFmtId="164" fontId="13" fillId="2" borderId="0" xfId="0" applyNumberFormat="1" applyFont="1" applyFill="1" applyAlignment="1">
      <alignment horizontal="right" vertical="center" indent="2"/>
    </xf>
    <xf numFmtId="164" fontId="24" fillId="2" borderId="0" xfId="0" applyNumberFormat="1" applyFont="1" applyFill="1" applyAlignment="1">
      <alignment horizontal="left" vertical="center" indent="2"/>
    </xf>
    <xf numFmtId="165" fontId="25" fillId="2" borderId="0" xfId="0" applyNumberFormat="1" applyFont="1" applyFill="1" applyAlignment="1">
      <alignment horizontal="right" vertical="top"/>
    </xf>
    <xf numFmtId="164" fontId="25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/>
    <xf numFmtId="167" fontId="26" fillId="2" borderId="0" xfId="1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center" vertical="top"/>
    </xf>
    <xf numFmtId="164" fontId="24" fillId="2" borderId="4" xfId="0" applyNumberFormat="1" applyFont="1" applyFill="1" applyBorder="1" applyAlignment="1">
      <alignment horizontal="left" vertical="center" indent="2"/>
    </xf>
    <xf numFmtId="164" fontId="18" fillId="2" borderId="0" xfId="0" applyNumberFormat="1" applyFont="1" applyFill="1" applyAlignment="1">
      <alignment vertical="center"/>
    </xf>
    <xf numFmtId="164" fontId="22" fillId="2" borderId="4" xfId="0" applyNumberFormat="1" applyFont="1" applyFill="1" applyBorder="1" applyAlignment="1">
      <alignment horizontal="left" vertical="center" indent="2"/>
    </xf>
    <xf numFmtId="164" fontId="0" fillId="2" borderId="4" xfId="0" applyNumberFormat="1" applyFill="1" applyBorder="1"/>
    <xf numFmtId="3" fontId="20" fillId="2" borderId="4" xfId="0" applyNumberFormat="1" applyFont="1" applyFill="1" applyBorder="1" applyAlignment="1">
      <alignment horizontal="right" vertical="top"/>
    </xf>
    <xf numFmtId="164" fontId="13" fillId="2" borderId="4" xfId="0" applyNumberFormat="1" applyFont="1" applyFill="1" applyBorder="1" applyAlignment="1">
      <alignment horizontal="right" vertical="center" indent="2"/>
    </xf>
    <xf numFmtId="164" fontId="3" fillId="2" borderId="0" xfId="0" applyNumberFormat="1" applyFont="1" applyFill="1"/>
    <xf numFmtId="164" fontId="25" fillId="2" borderId="0" xfId="0" applyNumberFormat="1" applyFont="1" applyFill="1" applyAlignment="1">
      <alignment vertical="center"/>
    </xf>
    <xf numFmtId="164" fontId="27" fillId="2" borderId="6" xfId="0" applyNumberFormat="1" applyFont="1" applyFill="1" applyBorder="1" applyAlignment="1">
      <alignment horizontal="left" vertical="center"/>
    </xf>
    <xf numFmtId="167" fontId="20" fillId="2" borderId="0" xfId="1" applyNumberFormat="1" applyFont="1" applyFill="1" applyBorder="1" applyAlignment="1" applyProtection="1">
      <alignment vertical="center"/>
      <protection locked="0"/>
    </xf>
    <xf numFmtId="164" fontId="17" fillId="2" borderId="4" xfId="0" applyNumberFormat="1" applyFont="1" applyFill="1" applyBorder="1" applyAlignment="1">
      <alignment vertical="center"/>
    </xf>
    <xf numFmtId="164" fontId="13" fillId="2" borderId="4" xfId="0" applyNumberFormat="1" applyFont="1" applyFill="1" applyBorder="1" applyAlignment="1">
      <alignment horizontal="right" vertical="center"/>
    </xf>
    <xf numFmtId="164" fontId="33" fillId="2" borderId="6" xfId="0" applyNumberFormat="1" applyFont="1" applyFill="1" applyBorder="1" applyAlignment="1">
      <alignment horizontal="right"/>
    </xf>
    <xf numFmtId="164" fontId="34" fillId="2" borderId="5" xfId="0" applyNumberFormat="1" applyFont="1" applyFill="1" applyBorder="1" applyAlignment="1">
      <alignment horizontal="right" vertical="center"/>
    </xf>
    <xf numFmtId="167" fontId="20" fillId="2" borderId="0" xfId="1" applyNumberFormat="1" applyFont="1" applyFill="1" applyBorder="1" applyAlignment="1" applyProtection="1">
      <alignment horizontal="right" vertical="center" indent="3"/>
      <protection locked="0"/>
    </xf>
    <xf numFmtId="167" fontId="20" fillId="2" borderId="4" xfId="1" applyNumberFormat="1" applyFont="1" applyFill="1" applyBorder="1" applyAlignment="1" applyProtection="1">
      <alignment horizontal="right" vertical="center" indent="3"/>
      <protection locked="0"/>
    </xf>
    <xf numFmtId="164" fontId="9" fillId="2" borderId="3" xfId="0" applyNumberFormat="1" applyFont="1" applyFill="1" applyBorder="1" applyAlignment="1">
      <alignment horizontal="center" vertical="center" wrapText="1"/>
    </xf>
    <xf numFmtId="0" fontId="31" fillId="2" borderId="0" xfId="0" applyFont="1" applyFill="1" applyAlignment="1" applyProtection="1">
      <alignment vertical="center"/>
      <protection hidden="1"/>
    </xf>
    <xf numFmtId="169" fontId="30" fillId="2" borderId="0" xfId="1" applyNumberFormat="1" applyFont="1" applyFill="1" applyBorder="1" applyAlignment="1" applyProtection="1">
      <alignment vertical="center"/>
      <protection locked="0"/>
    </xf>
    <xf numFmtId="170" fontId="20" fillId="2" borderId="0" xfId="8" applyNumberFormat="1" applyFont="1" applyFill="1" applyAlignment="1">
      <alignment horizontal="left" vertical="center" indent="1"/>
    </xf>
    <xf numFmtId="3" fontId="20" fillId="2" borderId="4" xfId="1" applyNumberFormat="1" applyFont="1" applyFill="1" applyBorder="1" applyAlignment="1">
      <alignment horizontal="right" vertical="center"/>
    </xf>
    <xf numFmtId="3" fontId="20" fillId="3" borderId="0" xfId="0" applyNumberFormat="1" applyFont="1" applyFill="1" applyAlignment="1">
      <alignment horizontal="right" vertical="top"/>
    </xf>
    <xf numFmtId="3" fontId="20" fillId="3" borderId="4" xfId="0" applyNumberFormat="1" applyFont="1" applyFill="1" applyBorder="1" applyAlignment="1">
      <alignment horizontal="right" vertical="top"/>
    </xf>
    <xf numFmtId="166" fontId="18" fillId="2" borderId="4" xfId="1" applyNumberFormat="1" applyFont="1" applyFill="1" applyBorder="1" applyAlignment="1">
      <alignment horizontal="center"/>
    </xf>
    <xf numFmtId="166" fontId="19" fillId="2" borderId="4" xfId="1" applyNumberFormat="1" applyFont="1" applyFill="1" applyBorder="1" applyAlignment="1">
      <alignment horizontal="center"/>
    </xf>
    <xf numFmtId="3" fontId="17" fillId="2" borderId="4" xfId="1" applyNumberFormat="1" applyFont="1" applyFill="1" applyBorder="1" applyAlignment="1">
      <alignment horizontal="right" vertical="center"/>
    </xf>
    <xf numFmtId="167" fontId="20" fillId="2" borderId="4" xfId="1" applyNumberFormat="1" applyFont="1" applyFill="1" applyBorder="1" applyAlignment="1">
      <alignment horizontal="right" vertical="center" indent="3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10" fillId="2" borderId="3" xfId="0" applyNumberFormat="1" applyFont="1" applyFill="1" applyBorder="1" applyAlignment="1">
      <alignment horizontal="right" vertical="center" wrapText="1"/>
    </xf>
    <xf numFmtId="164" fontId="13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8" xfId="0" applyNumberFormat="1" applyFont="1" applyFill="1" applyBorder="1" applyAlignment="1">
      <alignment horizontal="center" vertical="top"/>
    </xf>
    <xf numFmtId="164" fontId="5" fillId="2" borderId="10" xfId="0" applyNumberFormat="1" applyFont="1" applyFill="1" applyBorder="1" applyAlignment="1">
      <alignment horizontal="center" vertical="top"/>
    </xf>
    <xf numFmtId="164" fontId="5" fillId="2" borderId="11" xfId="0" applyNumberFormat="1" applyFont="1" applyFill="1" applyBorder="1" applyAlignment="1">
      <alignment horizontal="center" vertical="top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8" fillId="2" borderId="3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7" fillId="2" borderId="9" xfId="0" applyNumberFormat="1" applyFont="1" applyFill="1" applyBorder="1" applyAlignment="1">
      <alignment horizontal="right" vertical="center"/>
    </xf>
  </cellXfs>
  <cellStyles count="70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'8.1'!$AX$44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triangle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'8.1'!$BG$43:$BK$43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'8.1'!$BG$44:$BK$44</c:f>
              <c:numCache>
                <c:formatCode>#,##0.0</c:formatCode>
                <c:ptCount val="5"/>
                <c:pt idx="0">
                  <c:v>-6.6514416214673133</c:v>
                </c:pt>
                <c:pt idx="1">
                  <c:v>39.26605504587156</c:v>
                </c:pt>
                <c:pt idx="2">
                  <c:v>-21.365832235397452</c:v>
                </c:pt>
                <c:pt idx="3">
                  <c:v>30.187098575816812</c:v>
                </c:pt>
                <c:pt idx="4">
                  <c:v>-14.586014586014587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'8.1'!$AX$45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'8.1'!$BG$43:$BK$43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'8.1'!$BG$45:$BK$45</c:f>
              <c:numCache>
                <c:formatCode>#,##0.0</c:formatCode>
                <c:ptCount val="5"/>
                <c:pt idx="0">
                  <c:v>-4.6555819477434683</c:v>
                </c:pt>
                <c:pt idx="1">
                  <c:v>15.794718485301445</c:v>
                </c:pt>
                <c:pt idx="2">
                  <c:v>-40.189328743545609</c:v>
                </c:pt>
                <c:pt idx="3">
                  <c:v>11.726618705035971</c:v>
                </c:pt>
                <c:pt idx="4">
                  <c:v>4.1854475209272382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'8.1'!$AX$46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chemeClr val="accent5">
                  <a:lumMod val="75000"/>
                </a:schemeClr>
              </a:solidFill>
            </a:ln>
          </c:spPr>
          <c:marker>
            <c:symbol val="squar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'8.1'!$BG$43:$BK$43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'8.1'!$BG$46:$BK$46</c:f>
              <c:numCache>
                <c:formatCode>#,##0.0</c:formatCode>
                <c:ptCount val="5"/>
                <c:pt idx="0">
                  <c:v>9.4210009813542683</c:v>
                </c:pt>
                <c:pt idx="1">
                  <c:v>-1.883408071748879</c:v>
                </c:pt>
                <c:pt idx="2">
                  <c:v>-34.872029250457039</c:v>
                </c:pt>
                <c:pt idx="3">
                  <c:v>1.0526315789473684</c:v>
                </c:pt>
                <c:pt idx="4">
                  <c:v>-0.76388888888888884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'8.1'!$AX$47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x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numRef>
              <c:f>'8.1'!$BG$43:$BK$43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'8.1'!$BG$47:$BK$47</c:f>
              <c:numCache>
                <c:formatCode>#,##0.0</c:formatCode>
                <c:ptCount val="5"/>
                <c:pt idx="0">
                  <c:v>7.9758308157099691</c:v>
                </c:pt>
                <c:pt idx="1">
                  <c:v>1.5109121432568551</c:v>
                </c:pt>
                <c:pt idx="2">
                  <c:v>-58.985667034178611</c:v>
                </c:pt>
                <c:pt idx="3">
                  <c:v>30.913978494623656</c:v>
                </c:pt>
                <c:pt idx="4">
                  <c:v>44.969199178644764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'8.1'!$AX$48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chemeClr val="accent5">
                  <a:lumMod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numRef>
              <c:f>'8.1'!$BG$43:$BK$43</c:f>
              <c:numCache>
                <c:formatCode>General_)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'8.1'!$BG$48:$BK$48</c:f>
              <c:numCache>
                <c:formatCode>#,##0.0</c:formatCode>
                <c:ptCount val="5"/>
                <c:pt idx="0">
                  <c:v>-2.2077922077922079</c:v>
                </c:pt>
                <c:pt idx="1">
                  <c:v>-16.201859229747676</c:v>
                </c:pt>
                <c:pt idx="2">
                  <c:v>4.7543581616481774</c:v>
                </c:pt>
                <c:pt idx="3">
                  <c:v>-7.7155824508320734</c:v>
                </c:pt>
                <c:pt idx="4">
                  <c:v>-14.590163934426229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4624"/>
        <c:axId val="139517312"/>
      </c:lineChart>
      <c:catAx>
        <c:axId val="1395146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9517312"/>
        <c:crosses val="autoZero"/>
        <c:auto val="1"/>
        <c:lblAlgn val="ctr"/>
        <c:lblOffset val="100"/>
        <c:noMultiLvlLbl val="0"/>
      </c:catAx>
      <c:valAx>
        <c:axId val="139517312"/>
        <c:scaling>
          <c:orientation val="minMax"/>
          <c:min val="-8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3951462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713172687031714"/>
          <c:y val="0.88243555088738201"/>
          <c:w val="0.7118063384238657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8.1: Percentage share of logged cases, 2022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30523158461399547"/>
          <c:y val="6.990551051835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8-454E-B63F-2C29FB2B88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A58-454E-B63F-2C29FB2B88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8-454E-B63F-2C29FB2B88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8-454E-B63F-2C29FB2B88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8-454E-B63F-2C29FB2B88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8-454E-B63F-2C29FB2B88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8-454E-B63F-2C29FB2B88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58-454E-B63F-2C29FB2B88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58-454E-B63F-2C29FB2B88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58-454E-B63F-2C29FB2B88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A58-454E-B63F-2C29FB2B88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A58-454E-B63F-2C29FB2B88DE}"/>
              </c:ext>
            </c:extLst>
          </c:dPt>
          <c:dLbls>
            <c:dLbl>
              <c:idx val="0"/>
              <c:layout>
                <c:manualLayout>
                  <c:x val="-8.9931733086541343E-2"/>
                  <c:y val="0.148115990954536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A58-454E-B63F-2C29FB2B88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'8.1'!$A$6:$A$17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'8.1'!$P$6:$P$17</c:f>
              <c:numCache>
                <c:formatCode>#,##0.0</c:formatCode>
                <c:ptCount val="12"/>
                <c:pt idx="0">
                  <c:v>29.402643432031304</c:v>
                </c:pt>
                <c:pt idx="1">
                  <c:v>11.947131359373845</c:v>
                </c:pt>
                <c:pt idx="2">
                  <c:v>10.551576460163922</c:v>
                </c:pt>
                <c:pt idx="3">
                  <c:v>10.426050358118585</c:v>
                </c:pt>
                <c:pt idx="4">
                  <c:v>3.8470058332718007</c:v>
                </c:pt>
                <c:pt idx="5">
                  <c:v>3.5590341874030864</c:v>
                </c:pt>
                <c:pt idx="6">
                  <c:v>2.7468064682861995</c:v>
                </c:pt>
                <c:pt idx="7">
                  <c:v>2.4662187107730928</c:v>
                </c:pt>
                <c:pt idx="8">
                  <c:v>6.7488739570257694</c:v>
                </c:pt>
                <c:pt idx="9">
                  <c:v>1.6835265450786383</c:v>
                </c:pt>
                <c:pt idx="10">
                  <c:v>0.85653104925053536</c:v>
                </c:pt>
                <c:pt idx="11">
                  <c:v>15.764601639223214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A58-454E-B63F-2C29FB2B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2526</xdr:colOff>
      <xdr:row>49</xdr:row>
      <xdr:rowOff>180975</xdr:rowOff>
    </xdr:from>
    <xdr:to>
      <xdr:col>17</xdr:col>
      <xdr:colOff>29157</xdr:colOff>
      <xdr:row>66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3605</xdr:colOff>
      <xdr:row>31</xdr:row>
      <xdr:rowOff>136072</xdr:rowOff>
    </xdr:from>
    <xdr:to>
      <xdr:col>17</xdr:col>
      <xdr:colOff>9719</xdr:colOff>
      <xdr:row>48</xdr:row>
      <xdr:rowOff>96949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0.19766</cdr:x>
      <cdr:y>0.02663</cdr:y>
    </cdr:from>
    <cdr:to>
      <cdr:x>0.8212</cdr:x>
      <cdr:y>0.09075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48765" y="86195"/>
          <a:ext cx="4885787" cy="207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2018 - 2022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BK48"/>
  <sheetViews>
    <sheetView tabSelected="1" zoomScale="98" zoomScaleNormal="98" workbookViewId="0">
      <selection activeCell="Z12" sqref="Z12"/>
    </sheetView>
  </sheetViews>
  <sheetFormatPr defaultColWidth="9.140625" defaultRowHeight="15"/>
  <cols>
    <col min="1" max="1" width="22" style="1" customWidth="1"/>
    <col min="2" max="2" width="12" style="1" hidden="1" customWidth="1"/>
    <col min="3" max="3" width="8.42578125" style="1" hidden="1" customWidth="1"/>
    <col min="4" max="4" width="9.42578125" style="1" hidden="1" customWidth="1"/>
    <col min="5" max="5" width="9.7109375" style="1" hidden="1" customWidth="1"/>
    <col min="6" max="6" width="9.42578125" style="1" hidden="1" customWidth="1"/>
    <col min="7" max="7" width="11.85546875" style="1" hidden="1" customWidth="1"/>
    <col min="8" max="8" width="8.7109375" style="1" hidden="1" customWidth="1"/>
    <col min="9" max="15" width="11.85546875" style="1" customWidth="1"/>
    <col min="16" max="16" width="15.5703125" style="1" customWidth="1"/>
    <col min="17" max="17" width="18.28515625" style="1" customWidth="1"/>
    <col min="18" max="18" width="29.42578125" style="1" customWidth="1"/>
    <col min="19" max="20" width="2.140625" style="1" customWidth="1"/>
    <col min="21" max="21" width="9.140625" style="1"/>
    <col min="22" max="22" width="22.140625" style="1" bestFit="1" customWidth="1"/>
    <col min="23" max="50" width="9.140625" style="1"/>
    <col min="51" max="51" width="13.28515625" style="1" customWidth="1"/>
    <col min="52" max="16384" width="9.140625" style="1"/>
  </cols>
  <sheetData>
    <row r="1" spans="1:53" ht="21.75">
      <c r="A1" s="69" t="s">
        <v>57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53" ht="21.75" customHeight="1">
      <c r="A2" s="70" t="s">
        <v>56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1"/>
      <c r="M2" s="71"/>
      <c r="N2" s="72"/>
      <c r="O2" s="73"/>
      <c r="P2" s="71"/>
      <c r="Q2" s="71"/>
      <c r="R2" s="70"/>
      <c r="V2" s="2"/>
    </row>
    <row r="3" spans="1:53" ht="51.75">
      <c r="A3" s="74" t="s">
        <v>0</v>
      </c>
      <c r="B3" s="76">
        <v>2008</v>
      </c>
      <c r="C3" s="76">
        <v>2009</v>
      </c>
      <c r="D3" s="65">
        <v>2011</v>
      </c>
      <c r="E3" s="65">
        <v>2012</v>
      </c>
      <c r="F3" s="65">
        <v>2013</v>
      </c>
      <c r="G3" s="65">
        <v>2014</v>
      </c>
      <c r="H3" s="65">
        <v>2015</v>
      </c>
      <c r="I3" s="65">
        <v>2016</v>
      </c>
      <c r="J3" s="65">
        <v>2017</v>
      </c>
      <c r="K3" s="78">
        <v>2018</v>
      </c>
      <c r="L3" s="65">
        <v>2019</v>
      </c>
      <c r="M3" s="65">
        <v>2020</v>
      </c>
      <c r="N3" s="65">
        <v>2021</v>
      </c>
      <c r="O3" s="65">
        <v>2022</v>
      </c>
      <c r="P3" s="54" t="s">
        <v>1</v>
      </c>
      <c r="Q3" s="54" t="s">
        <v>59</v>
      </c>
      <c r="R3" s="67" t="s">
        <v>2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3">
      <c r="A4" s="75"/>
      <c r="B4" s="77"/>
      <c r="C4" s="77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4" t="s">
        <v>58</v>
      </c>
      <c r="Q4" s="4" t="s">
        <v>55</v>
      </c>
      <c r="R4" s="68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Z4" s="5" t="s">
        <v>3</v>
      </c>
      <c r="BA4" s="6">
        <v>22.549082716446701</v>
      </c>
    </row>
    <row r="5" spans="1:53" ht="15.75">
      <c r="A5" s="7" t="s">
        <v>4</v>
      </c>
      <c r="B5" s="8">
        <v>17674</v>
      </c>
      <c r="C5" s="9">
        <v>19259</v>
      </c>
      <c r="D5" s="10">
        <f>SUM(D6:D24)</f>
        <v>17803</v>
      </c>
      <c r="E5" s="10">
        <f>SUM(E6:E24)</f>
        <v>20512</v>
      </c>
      <c r="F5" s="10">
        <f>SUM(F6:F24)</f>
        <v>21885</v>
      </c>
      <c r="G5" s="10">
        <f>SUM(G6:G24)</f>
        <v>18193</v>
      </c>
      <c r="H5" s="10">
        <f t="shared" ref="H5:O5" si="0">SUM(H6:H17)</f>
        <v>16362</v>
      </c>
      <c r="I5" s="10">
        <f t="shared" si="0"/>
        <v>16287</v>
      </c>
      <c r="J5" s="10">
        <f t="shared" si="0"/>
        <v>15535</v>
      </c>
      <c r="K5" s="10">
        <f t="shared" si="0"/>
        <v>14811</v>
      </c>
      <c r="L5" s="10">
        <f t="shared" si="0"/>
        <v>16480</v>
      </c>
      <c r="M5" s="10">
        <f t="shared" si="0"/>
        <v>12787</v>
      </c>
      <c r="N5" s="10">
        <f t="shared" si="0"/>
        <v>14143</v>
      </c>
      <c r="O5" s="10">
        <f t="shared" si="0"/>
        <v>13543</v>
      </c>
      <c r="P5" s="11">
        <f>O5/$O$5*100</f>
        <v>100</v>
      </c>
      <c r="Q5" s="12">
        <f>((O5-N5)/N5)*100</f>
        <v>-4.2423813900869689</v>
      </c>
      <c r="R5" s="51" t="s">
        <v>5</v>
      </c>
      <c r="AP5" s="3"/>
      <c r="AQ5" s="3"/>
      <c r="AR5" s="3"/>
      <c r="AS5" s="3"/>
      <c r="AT5" s="3"/>
      <c r="AU5" s="3"/>
      <c r="AV5" s="3"/>
      <c r="AW5" s="13"/>
      <c r="AX5" s="3"/>
      <c r="AY5" s="14"/>
      <c r="AZ5" s="5" t="s">
        <v>6</v>
      </c>
      <c r="BA5" s="15">
        <v>13.55004827808175</v>
      </c>
    </row>
    <row r="6" spans="1:53" ht="18.75">
      <c r="A6" s="16" t="s">
        <v>3</v>
      </c>
      <c r="B6" s="17">
        <v>3903</v>
      </c>
      <c r="C6" s="18">
        <v>4007</v>
      </c>
      <c r="D6" s="19">
        <v>4734</v>
      </c>
      <c r="E6" s="19">
        <v>6571</v>
      </c>
      <c r="F6" s="19">
        <v>6683</v>
      </c>
      <c r="G6" s="19">
        <v>5080</v>
      </c>
      <c r="H6" s="19">
        <v>4008</v>
      </c>
      <c r="I6" s="19">
        <v>3616</v>
      </c>
      <c r="J6" s="20">
        <v>3503</v>
      </c>
      <c r="K6" s="20">
        <v>3270</v>
      </c>
      <c r="L6" s="20">
        <v>4554</v>
      </c>
      <c r="M6" s="20">
        <v>3581</v>
      </c>
      <c r="N6" s="20">
        <v>4662</v>
      </c>
      <c r="O6" s="20">
        <v>3982</v>
      </c>
      <c r="P6" s="21">
        <f>O6/$O$5*100</f>
        <v>29.402643432031304</v>
      </c>
      <c r="Q6" s="52">
        <f>((O6-N6)/N6)*100</f>
        <v>-14.586014586014587</v>
      </c>
      <c r="R6" s="22" t="s">
        <v>7</v>
      </c>
      <c r="U6" s="20"/>
      <c r="AP6" s="3"/>
      <c r="AQ6" s="3"/>
      <c r="AR6" s="3"/>
      <c r="AS6" s="3"/>
      <c r="AT6" s="3"/>
      <c r="AU6" s="3"/>
      <c r="AV6" s="3"/>
      <c r="AW6" s="13"/>
      <c r="AX6" s="23"/>
      <c r="AY6" s="24"/>
      <c r="AZ6" s="5" t="s">
        <v>8</v>
      </c>
      <c r="BA6" s="6">
        <v>13.118764081107177</v>
      </c>
    </row>
    <row r="7" spans="1:53" ht="18.75">
      <c r="A7" s="16" t="s">
        <v>6</v>
      </c>
      <c r="B7" s="17">
        <v>3838</v>
      </c>
      <c r="C7" s="18">
        <v>3013</v>
      </c>
      <c r="D7" s="19">
        <v>2251</v>
      </c>
      <c r="E7" s="19">
        <v>1974</v>
      </c>
      <c r="F7" s="19">
        <v>1930</v>
      </c>
      <c r="G7" s="19">
        <v>2137</v>
      </c>
      <c r="H7" s="19">
        <v>2044</v>
      </c>
      <c r="I7" s="19">
        <v>2242</v>
      </c>
      <c r="J7" s="20">
        <v>2105</v>
      </c>
      <c r="K7" s="20">
        <v>2007</v>
      </c>
      <c r="L7" s="20">
        <v>2324</v>
      </c>
      <c r="M7" s="20">
        <v>1390</v>
      </c>
      <c r="N7" s="20">
        <v>1553</v>
      </c>
      <c r="O7" s="20">
        <v>1618</v>
      </c>
      <c r="P7" s="21">
        <f>O7/$O$5*100</f>
        <v>11.947131359373845</v>
      </c>
      <c r="Q7" s="52">
        <f t="shared" ref="Q6:Q17" si="1">((O7-N7)/N7)*100</f>
        <v>4.1854475209272382</v>
      </c>
      <c r="R7" s="22" t="s">
        <v>9</v>
      </c>
      <c r="U7" s="20"/>
      <c r="AP7" s="3"/>
      <c r="AQ7" s="3"/>
      <c r="AR7" s="3"/>
      <c r="AS7" s="3"/>
      <c r="AT7" s="3"/>
      <c r="AU7" s="3"/>
      <c r="AV7" s="3"/>
      <c r="AW7" s="13"/>
      <c r="AX7" s="3"/>
      <c r="AY7" s="14"/>
      <c r="AZ7" s="16" t="s">
        <v>11</v>
      </c>
      <c r="BA7" s="1">
        <v>12.095268747988413</v>
      </c>
    </row>
    <row r="8" spans="1:53" ht="18.75">
      <c r="A8" s="16" t="s">
        <v>8</v>
      </c>
      <c r="B8" s="17">
        <v>2484</v>
      </c>
      <c r="C8" s="18">
        <v>2366</v>
      </c>
      <c r="D8" s="19">
        <v>1823</v>
      </c>
      <c r="E8" s="19">
        <v>2534</v>
      </c>
      <c r="F8" s="19">
        <v>3965</v>
      </c>
      <c r="G8" s="19">
        <v>3140</v>
      </c>
      <c r="H8" s="19">
        <v>2079</v>
      </c>
      <c r="I8" s="19">
        <v>2375</v>
      </c>
      <c r="J8" s="20">
        <v>2038</v>
      </c>
      <c r="K8" s="20">
        <v>2230</v>
      </c>
      <c r="L8" s="20">
        <v>2188</v>
      </c>
      <c r="M8" s="20">
        <v>1425</v>
      </c>
      <c r="N8" s="20">
        <v>1440</v>
      </c>
      <c r="O8" s="20">
        <v>1429</v>
      </c>
      <c r="P8" s="21">
        <f t="shared" ref="P7:P17" si="2">O8/$O$5*100</f>
        <v>10.551576460163922</v>
      </c>
      <c r="Q8" s="52">
        <f t="shared" si="1"/>
        <v>-0.76388888888888884</v>
      </c>
      <c r="R8" s="22" t="s">
        <v>12</v>
      </c>
      <c r="U8" s="20"/>
      <c r="AP8" s="3"/>
      <c r="AQ8" s="3"/>
      <c r="AR8" s="3"/>
      <c r="AS8" s="3"/>
      <c r="AT8" s="3"/>
      <c r="AU8" s="3"/>
      <c r="AV8" s="3"/>
      <c r="AW8" s="13"/>
      <c r="AX8" s="3"/>
      <c r="AY8" s="14"/>
      <c r="AZ8" s="5" t="s">
        <v>13</v>
      </c>
      <c r="BA8" s="25">
        <v>10.653363373028645</v>
      </c>
    </row>
    <row r="9" spans="1:53" ht="18.75">
      <c r="A9" s="16" t="s">
        <v>13</v>
      </c>
      <c r="B9" s="17">
        <v>1520</v>
      </c>
      <c r="C9" s="18">
        <v>2139</v>
      </c>
      <c r="D9" s="26">
        <v>1480</v>
      </c>
      <c r="E9" s="26">
        <v>1508</v>
      </c>
      <c r="F9" s="26">
        <v>1983</v>
      </c>
      <c r="G9" s="26">
        <v>2014</v>
      </c>
      <c r="H9" s="19">
        <v>1712</v>
      </c>
      <c r="I9" s="26">
        <v>1829</v>
      </c>
      <c r="J9" s="20">
        <v>1655</v>
      </c>
      <c r="K9" s="20">
        <v>1787</v>
      </c>
      <c r="L9" s="20">
        <v>1814</v>
      </c>
      <c r="M9" s="20">
        <v>744</v>
      </c>
      <c r="N9" s="20">
        <v>974</v>
      </c>
      <c r="O9" s="20">
        <v>1412</v>
      </c>
      <c r="P9" s="21">
        <f t="shared" si="2"/>
        <v>10.426050358118585</v>
      </c>
      <c r="Q9" s="52">
        <f t="shared" si="1"/>
        <v>44.969199178644764</v>
      </c>
      <c r="R9" s="22" t="s">
        <v>14</v>
      </c>
      <c r="U9" s="20"/>
      <c r="AP9" s="3"/>
      <c r="AQ9" s="3"/>
      <c r="AR9" s="3"/>
      <c r="AS9" s="3"/>
      <c r="AT9" s="3"/>
      <c r="AU9" s="3"/>
      <c r="AV9" s="3"/>
      <c r="AW9" s="13"/>
      <c r="AX9" s="3"/>
      <c r="AY9" s="14"/>
      <c r="AZ9" s="5" t="s">
        <v>10</v>
      </c>
      <c r="BA9" s="27">
        <v>4.9565497264242033</v>
      </c>
    </row>
    <row r="10" spans="1:53" ht="18.75">
      <c r="A10" s="16" t="s">
        <v>10</v>
      </c>
      <c r="B10" s="17">
        <v>1602</v>
      </c>
      <c r="C10" s="18">
        <v>2000</v>
      </c>
      <c r="D10" s="19">
        <v>1320</v>
      </c>
      <c r="E10" s="19">
        <v>1264</v>
      </c>
      <c r="F10" s="19">
        <v>1289</v>
      </c>
      <c r="G10" s="19">
        <v>1062</v>
      </c>
      <c r="H10" s="19">
        <v>944</v>
      </c>
      <c r="I10" s="19">
        <v>781</v>
      </c>
      <c r="J10" s="20">
        <v>770</v>
      </c>
      <c r="K10" s="20">
        <v>753</v>
      </c>
      <c r="L10" s="20">
        <v>631</v>
      </c>
      <c r="M10" s="20">
        <v>661</v>
      </c>
      <c r="N10" s="20">
        <v>610</v>
      </c>
      <c r="O10" s="20">
        <v>521</v>
      </c>
      <c r="P10" s="21">
        <f t="shared" si="2"/>
        <v>3.8470058332718007</v>
      </c>
      <c r="Q10" s="52">
        <f t="shared" si="1"/>
        <v>-14.590163934426229</v>
      </c>
      <c r="R10" s="22" t="s">
        <v>16</v>
      </c>
      <c r="U10" s="20"/>
      <c r="AQ10" s="3"/>
      <c r="AR10" s="3"/>
      <c r="AS10" s="3"/>
      <c r="AT10" s="3"/>
      <c r="AU10" s="3"/>
      <c r="AV10" s="3"/>
      <c r="AW10" s="13"/>
      <c r="AX10" s="3"/>
      <c r="AY10" s="14"/>
      <c r="AZ10" s="5" t="s">
        <v>15</v>
      </c>
      <c r="BA10" s="6">
        <v>4.2613453492114584</v>
      </c>
    </row>
    <row r="11" spans="1:53" ht="18.75">
      <c r="A11" s="16" t="s">
        <v>17</v>
      </c>
      <c r="B11" s="17">
        <v>648</v>
      </c>
      <c r="C11" s="18">
        <v>902</v>
      </c>
      <c r="D11" s="19">
        <v>775</v>
      </c>
      <c r="E11" s="19">
        <v>880</v>
      </c>
      <c r="F11" s="19">
        <v>728</v>
      </c>
      <c r="G11" s="19">
        <v>520</v>
      </c>
      <c r="H11" s="19">
        <v>541</v>
      </c>
      <c r="I11" s="19">
        <v>359</v>
      </c>
      <c r="J11" s="20">
        <v>455</v>
      </c>
      <c r="K11" s="20">
        <v>472</v>
      </c>
      <c r="L11" s="20">
        <v>467</v>
      </c>
      <c r="M11" s="20">
        <v>395</v>
      </c>
      <c r="N11" s="20">
        <v>503</v>
      </c>
      <c r="O11" s="20">
        <v>482</v>
      </c>
      <c r="P11" s="21">
        <f t="shared" si="2"/>
        <v>3.5590341874030864</v>
      </c>
      <c r="Q11" s="52">
        <f t="shared" si="1"/>
        <v>-4.1749502982107352</v>
      </c>
      <c r="R11" s="22" t="s">
        <v>18</v>
      </c>
      <c r="U11" s="20"/>
      <c r="AP11" s="3"/>
      <c r="AQ11" s="3"/>
      <c r="AR11" s="3"/>
      <c r="AS11" s="3"/>
      <c r="AT11" s="3"/>
      <c r="AU11" s="3"/>
      <c r="AV11" s="3"/>
      <c r="AW11" s="13"/>
      <c r="AX11" s="3"/>
      <c r="AY11" s="14"/>
      <c r="AZ11" s="28" t="s">
        <v>19</v>
      </c>
      <c r="BA11" s="27">
        <v>4.119729642742195</v>
      </c>
    </row>
    <row r="12" spans="1:53" ht="18.75">
      <c r="A12" s="16" t="s">
        <v>15</v>
      </c>
      <c r="B12" s="17">
        <v>596</v>
      </c>
      <c r="C12" s="18">
        <v>589</v>
      </c>
      <c r="D12" s="19">
        <v>718</v>
      </c>
      <c r="E12" s="19">
        <v>972</v>
      </c>
      <c r="F12" s="19">
        <v>729</v>
      </c>
      <c r="G12" s="19">
        <v>620</v>
      </c>
      <c r="H12" s="19">
        <v>546</v>
      </c>
      <c r="I12" s="19">
        <v>716</v>
      </c>
      <c r="J12" s="20">
        <v>662</v>
      </c>
      <c r="K12" s="20">
        <v>537</v>
      </c>
      <c r="L12" s="20">
        <v>483</v>
      </c>
      <c r="M12" s="20">
        <v>348</v>
      </c>
      <c r="N12" s="20">
        <v>377</v>
      </c>
      <c r="O12" s="20">
        <v>372</v>
      </c>
      <c r="P12" s="21">
        <f t="shared" si="2"/>
        <v>2.7468064682861995</v>
      </c>
      <c r="Q12" s="52">
        <f t="shared" si="1"/>
        <v>-1.3262599469496021</v>
      </c>
      <c r="R12" s="22" t="s">
        <v>20</v>
      </c>
      <c r="U12" s="20"/>
      <c r="AP12" s="3"/>
      <c r="AQ12" s="3"/>
      <c r="AR12" s="3"/>
      <c r="AS12" s="3"/>
      <c r="AT12" s="3"/>
      <c r="AU12" s="3"/>
      <c r="AV12" s="3"/>
      <c r="AW12" s="13"/>
      <c r="AX12" s="3"/>
      <c r="AY12" s="14"/>
      <c r="AZ12" s="5" t="s">
        <v>21</v>
      </c>
      <c r="BA12" s="15">
        <v>3.3344061795944637</v>
      </c>
    </row>
    <row r="13" spans="1:53" ht="18.75">
      <c r="A13" s="16" t="s">
        <v>22</v>
      </c>
      <c r="B13" s="17">
        <v>455</v>
      </c>
      <c r="C13" s="18">
        <v>563</v>
      </c>
      <c r="D13" s="19">
        <v>642</v>
      </c>
      <c r="E13" s="19">
        <v>577</v>
      </c>
      <c r="F13" s="19">
        <v>573</v>
      </c>
      <c r="G13" s="19">
        <v>475</v>
      </c>
      <c r="H13" s="19">
        <v>540</v>
      </c>
      <c r="I13" s="19">
        <v>467</v>
      </c>
      <c r="J13" s="20">
        <v>417</v>
      </c>
      <c r="K13" s="20">
        <v>361</v>
      </c>
      <c r="L13" s="20">
        <v>405</v>
      </c>
      <c r="M13" s="20">
        <v>490</v>
      </c>
      <c r="N13" s="20">
        <v>342</v>
      </c>
      <c r="O13" s="20">
        <v>334</v>
      </c>
      <c r="P13" s="21">
        <f t="shared" si="2"/>
        <v>2.4662187107730928</v>
      </c>
      <c r="Q13" s="52">
        <f t="shared" si="1"/>
        <v>-2.3391812865497075</v>
      </c>
      <c r="R13" s="22" t="s">
        <v>23</v>
      </c>
      <c r="U13" s="20"/>
      <c r="AP13" s="3"/>
      <c r="AQ13" s="3"/>
      <c r="AR13" s="3"/>
      <c r="AS13" s="3"/>
      <c r="AT13" s="3"/>
      <c r="AU13" s="3"/>
      <c r="AV13" s="3"/>
      <c r="AW13" s="13"/>
      <c r="AX13" s="3"/>
      <c r="AY13" s="14"/>
      <c r="AZ13" s="5" t="s">
        <v>17</v>
      </c>
      <c r="BA13" s="27">
        <v>2.9288702928870292</v>
      </c>
    </row>
    <row r="14" spans="1:53" ht="18.75">
      <c r="A14" s="16" t="s">
        <v>21</v>
      </c>
      <c r="B14" s="17">
        <v>313</v>
      </c>
      <c r="C14" s="18">
        <v>391</v>
      </c>
      <c r="D14" s="19">
        <v>364</v>
      </c>
      <c r="E14" s="19">
        <v>311</v>
      </c>
      <c r="F14" s="19">
        <v>391</v>
      </c>
      <c r="G14" s="19">
        <v>377</v>
      </c>
      <c r="H14" s="19">
        <v>744</v>
      </c>
      <c r="I14" s="19">
        <v>523</v>
      </c>
      <c r="J14" s="20">
        <v>518</v>
      </c>
      <c r="K14" s="20">
        <v>516</v>
      </c>
      <c r="L14" s="20">
        <v>494</v>
      </c>
      <c r="M14" s="20">
        <v>609</v>
      </c>
      <c r="N14" s="20">
        <v>987</v>
      </c>
      <c r="O14" s="20">
        <v>914</v>
      </c>
      <c r="P14" s="21">
        <f t="shared" si="2"/>
        <v>6.7488739570257694</v>
      </c>
      <c r="Q14" s="52">
        <f t="shared" si="1"/>
        <v>-7.3961499493414395</v>
      </c>
      <c r="R14" s="22" t="s">
        <v>25</v>
      </c>
      <c r="U14" s="20"/>
      <c r="AP14" s="3"/>
      <c r="AQ14" s="3"/>
      <c r="AR14" s="3"/>
      <c r="AS14" s="3"/>
      <c r="AT14" s="3"/>
      <c r="AU14" s="3"/>
      <c r="AV14" s="3"/>
      <c r="AW14" s="13"/>
      <c r="AX14" s="3"/>
      <c r="AY14" s="14"/>
      <c r="AZ14" s="5" t="s">
        <v>22</v>
      </c>
      <c r="BA14" s="15">
        <v>2.6842613453492112</v>
      </c>
    </row>
    <row r="15" spans="1:53" ht="18.75">
      <c r="A15" s="16" t="s">
        <v>24</v>
      </c>
      <c r="B15" s="17">
        <v>172</v>
      </c>
      <c r="C15" s="18">
        <v>156</v>
      </c>
      <c r="D15" s="19">
        <v>146</v>
      </c>
      <c r="E15" s="19">
        <v>179</v>
      </c>
      <c r="F15" s="19">
        <v>207</v>
      </c>
      <c r="G15" s="19">
        <v>186</v>
      </c>
      <c r="H15" s="19">
        <v>346</v>
      </c>
      <c r="I15" s="19">
        <v>305</v>
      </c>
      <c r="J15" s="20">
        <v>279</v>
      </c>
      <c r="K15" s="20">
        <v>240</v>
      </c>
      <c r="L15" s="20">
        <v>219</v>
      </c>
      <c r="M15" s="20">
        <v>245</v>
      </c>
      <c r="N15" s="20">
        <v>267</v>
      </c>
      <c r="O15" s="20">
        <v>228</v>
      </c>
      <c r="P15" s="21">
        <f t="shared" si="2"/>
        <v>1.6835265450786383</v>
      </c>
      <c r="Q15" s="52">
        <f t="shared" si="1"/>
        <v>-14.606741573033707</v>
      </c>
      <c r="R15" s="22" t="s">
        <v>27</v>
      </c>
      <c r="U15" s="20"/>
      <c r="AP15" s="3"/>
      <c r="AQ15" s="3"/>
      <c r="AR15" s="3"/>
      <c r="AS15" s="3"/>
      <c r="AT15" s="3"/>
      <c r="AU15" s="3"/>
      <c r="AV15" s="3"/>
      <c r="AW15" s="13"/>
      <c r="AX15" s="3"/>
      <c r="AY15" s="14"/>
      <c r="AZ15" s="28" t="s">
        <v>28</v>
      </c>
      <c r="BA15" s="15">
        <v>1.9826198905696812</v>
      </c>
    </row>
    <row r="16" spans="1:53" ht="18.75">
      <c r="A16" s="16" t="s">
        <v>26</v>
      </c>
      <c r="B16" s="17">
        <v>98</v>
      </c>
      <c r="C16" s="18">
        <v>133</v>
      </c>
      <c r="D16" s="19">
        <v>136</v>
      </c>
      <c r="E16" s="19">
        <v>126</v>
      </c>
      <c r="F16" s="19">
        <v>97</v>
      </c>
      <c r="G16" s="19">
        <v>77</v>
      </c>
      <c r="H16" s="19">
        <v>91</v>
      </c>
      <c r="I16" s="19">
        <v>97</v>
      </c>
      <c r="J16" s="20">
        <v>86</v>
      </c>
      <c r="K16" s="20">
        <v>71</v>
      </c>
      <c r="L16" s="20">
        <v>86</v>
      </c>
      <c r="M16" s="20">
        <v>108</v>
      </c>
      <c r="N16" s="20">
        <v>150</v>
      </c>
      <c r="O16" s="20">
        <v>116</v>
      </c>
      <c r="P16" s="21">
        <f t="shared" si="2"/>
        <v>0.85653104925053536</v>
      </c>
      <c r="Q16" s="52">
        <f t="shared" si="1"/>
        <v>-22.666666666666664</v>
      </c>
      <c r="R16" s="22" t="s">
        <v>29</v>
      </c>
      <c r="U16" s="20"/>
      <c r="AP16" s="3"/>
      <c r="AQ16" s="3"/>
      <c r="AR16" s="3"/>
      <c r="AS16" s="3"/>
      <c r="AT16" s="3"/>
      <c r="AU16" s="3"/>
      <c r="AV16" s="3"/>
      <c r="AW16" s="13"/>
      <c r="AX16" s="3"/>
      <c r="AY16" s="14"/>
      <c r="AZ16" s="28" t="s">
        <v>30</v>
      </c>
      <c r="BA16" s="15">
        <v>1.9697457354361119</v>
      </c>
    </row>
    <row r="17" spans="1:53" ht="18.75">
      <c r="A17" s="48" t="s">
        <v>11</v>
      </c>
      <c r="B17" s="61">
        <v>1763</v>
      </c>
      <c r="C17" s="62">
        <v>2399</v>
      </c>
      <c r="D17" s="58">
        <v>3414</v>
      </c>
      <c r="E17" s="58">
        <v>3616</v>
      </c>
      <c r="F17" s="58">
        <v>3310</v>
      </c>
      <c r="G17" s="58">
        <v>2505</v>
      </c>
      <c r="H17" s="63">
        <v>2767</v>
      </c>
      <c r="I17" s="63">
        <v>2977</v>
      </c>
      <c r="J17" s="63">
        <v>3047</v>
      </c>
      <c r="K17" s="42">
        <v>2567</v>
      </c>
      <c r="L17" s="42">
        <f>SUM(L18:L30)</f>
        <v>2815</v>
      </c>
      <c r="M17" s="42">
        <f>SUM(M18:M30)</f>
        <v>2791</v>
      </c>
      <c r="N17" s="42">
        <v>2278</v>
      </c>
      <c r="O17" s="42">
        <v>2135</v>
      </c>
      <c r="P17" s="64">
        <f t="shared" si="2"/>
        <v>15.764601639223214</v>
      </c>
      <c r="Q17" s="53">
        <f t="shared" si="1"/>
        <v>-6.2774363476733974</v>
      </c>
      <c r="R17" s="49" t="s">
        <v>31</v>
      </c>
      <c r="U17" s="20"/>
      <c r="AP17" s="3"/>
      <c r="AQ17" s="3"/>
      <c r="AR17" s="3"/>
      <c r="AS17" s="3"/>
      <c r="AT17" s="3"/>
      <c r="AU17" s="3"/>
      <c r="AV17" s="3"/>
      <c r="AW17" s="13"/>
      <c r="AX17" s="3"/>
      <c r="AY17" s="14"/>
      <c r="AZ17" s="5" t="s">
        <v>24</v>
      </c>
      <c r="BA17" s="27">
        <v>1.7959446411329256</v>
      </c>
    </row>
    <row r="18" spans="1:53" ht="18.75" hidden="1">
      <c r="A18" s="29" t="s">
        <v>32</v>
      </c>
      <c r="B18" s="30"/>
      <c r="C18" s="30"/>
      <c r="D18" s="30"/>
      <c r="E18" s="30"/>
      <c r="F18" s="30"/>
      <c r="G18" s="30"/>
      <c r="H18" s="20">
        <v>123</v>
      </c>
      <c r="I18" s="20">
        <v>101</v>
      </c>
      <c r="J18" s="20">
        <v>105</v>
      </c>
      <c r="K18" s="20">
        <v>29</v>
      </c>
      <c r="L18" s="20">
        <v>29</v>
      </c>
      <c r="M18" s="20">
        <v>24</v>
      </c>
      <c r="N18" s="59"/>
      <c r="O18" s="59"/>
      <c r="P18" s="21">
        <f t="shared" ref="P18:P30" si="3">N18/$N$5*100</f>
        <v>0</v>
      </c>
      <c r="Q18" s="52">
        <f t="shared" ref="Q18:Q30" si="4">((N18-M18)/M18)*100</f>
        <v>-100</v>
      </c>
      <c r="R18" s="31" t="s">
        <v>33</v>
      </c>
      <c r="U18" s="20"/>
      <c r="AP18" s="3"/>
      <c r="AQ18" s="3"/>
      <c r="AR18" s="3"/>
      <c r="AS18" s="3"/>
      <c r="AT18" s="3"/>
      <c r="AU18" s="3"/>
      <c r="AV18" s="3"/>
      <c r="AW18" s="13"/>
      <c r="AX18" s="3"/>
      <c r="AY18" s="14"/>
    </row>
    <row r="19" spans="1:53" ht="18.75" hidden="1">
      <c r="A19" s="29" t="s">
        <v>34</v>
      </c>
      <c r="B19" s="30"/>
      <c r="C19" s="30"/>
      <c r="D19" s="30"/>
      <c r="E19" s="30"/>
      <c r="F19" s="30"/>
      <c r="G19" s="30"/>
      <c r="H19" s="20">
        <v>62</v>
      </c>
      <c r="I19" s="20">
        <v>59</v>
      </c>
      <c r="J19" s="20">
        <v>70</v>
      </c>
      <c r="K19" s="20">
        <v>36</v>
      </c>
      <c r="L19" s="20">
        <v>56</v>
      </c>
      <c r="M19" s="20">
        <v>63</v>
      </c>
      <c r="N19" s="59"/>
      <c r="O19" s="59"/>
      <c r="P19" s="21">
        <f t="shared" si="3"/>
        <v>0</v>
      </c>
      <c r="Q19" s="52">
        <f t="shared" si="4"/>
        <v>-100</v>
      </c>
      <c r="R19" s="31" t="s">
        <v>35</v>
      </c>
      <c r="U19" s="20"/>
      <c r="AP19" s="3"/>
      <c r="AQ19" s="3"/>
      <c r="AR19" s="3"/>
      <c r="AS19" s="3"/>
      <c r="AT19" s="3"/>
      <c r="AU19" s="3"/>
      <c r="AV19" s="3"/>
      <c r="AW19" s="13"/>
      <c r="AX19" s="3"/>
      <c r="AY19" s="14"/>
      <c r="AZ19" s="32" t="s">
        <v>36</v>
      </c>
      <c r="BA19" s="33">
        <v>0.90762793691663979</v>
      </c>
    </row>
    <row r="20" spans="1:53" ht="18.75" hidden="1">
      <c r="A20" s="29" t="s">
        <v>37</v>
      </c>
      <c r="H20" s="20">
        <v>50</v>
      </c>
      <c r="I20" s="20">
        <v>47</v>
      </c>
      <c r="J20" s="20">
        <v>54</v>
      </c>
      <c r="K20" s="20">
        <v>55</v>
      </c>
      <c r="L20" s="20">
        <v>60</v>
      </c>
      <c r="M20" s="20">
        <v>40</v>
      </c>
      <c r="N20" s="59"/>
      <c r="O20" s="59"/>
      <c r="P20" s="21">
        <f t="shared" si="3"/>
        <v>0</v>
      </c>
      <c r="Q20" s="52">
        <f t="shared" si="4"/>
        <v>-100</v>
      </c>
      <c r="R20" s="31" t="s">
        <v>38</v>
      </c>
      <c r="U20" s="20"/>
      <c r="AP20" s="3"/>
      <c r="AQ20" s="3"/>
      <c r="AR20" s="3"/>
      <c r="AS20" s="3"/>
      <c r="AT20" s="3"/>
      <c r="AU20" s="3"/>
      <c r="AV20" s="3"/>
      <c r="AW20" s="13"/>
      <c r="AX20" s="3"/>
      <c r="AY20" s="14"/>
      <c r="AZ20" s="32" t="s">
        <v>32</v>
      </c>
      <c r="BA20" s="33">
        <v>0.67589314451239135</v>
      </c>
    </row>
    <row r="21" spans="1:53" ht="18.75" hidden="1">
      <c r="A21" s="29" t="s">
        <v>39</v>
      </c>
      <c r="H21" s="20">
        <v>108</v>
      </c>
      <c r="I21" s="20">
        <v>77</v>
      </c>
      <c r="J21" s="20">
        <v>71</v>
      </c>
      <c r="K21" s="20">
        <v>58</v>
      </c>
      <c r="L21" s="20">
        <v>68</v>
      </c>
      <c r="M21" s="20">
        <v>74</v>
      </c>
      <c r="N21" s="59"/>
      <c r="O21" s="59"/>
      <c r="P21" s="21">
        <f t="shared" si="3"/>
        <v>0</v>
      </c>
      <c r="Q21" s="52">
        <f t="shared" si="4"/>
        <v>-100</v>
      </c>
      <c r="R21" s="31" t="s">
        <v>40</v>
      </c>
      <c r="U21" s="20"/>
      <c r="AP21" s="3"/>
      <c r="AQ21" s="3"/>
      <c r="AR21" s="3"/>
      <c r="AS21" s="3"/>
      <c r="AT21" s="3"/>
      <c r="AU21" s="3"/>
      <c r="AV21" s="3"/>
      <c r="AW21" s="13"/>
      <c r="AX21" s="3"/>
      <c r="AY21" s="14"/>
      <c r="AZ21" s="34" t="s">
        <v>26</v>
      </c>
      <c r="BA21" s="33">
        <v>0.5535886707434825</v>
      </c>
    </row>
    <row r="22" spans="1:53" ht="18.75" hidden="1">
      <c r="A22" s="29" t="s">
        <v>30</v>
      </c>
      <c r="H22" s="20">
        <v>201</v>
      </c>
      <c r="I22" s="20">
        <v>275</v>
      </c>
      <c r="J22" s="20">
        <v>306</v>
      </c>
      <c r="K22" s="20">
        <v>246</v>
      </c>
      <c r="L22" s="20">
        <v>218</v>
      </c>
      <c r="M22" s="20">
        <v>112</v>
      </c>
      <c r="N22" s="59"/>
      <c r="O22" s="59"/>
      <c r="P22" s="21">
        <f t="shared" si="3"/>
        <v>0</v>
      </c>
      <c r="Q22" s="52">
        <f t="shared" si="4"/>
        <v>-100</v>
      </c>
      <c r="R22" s="31" t="s">
        <v>41</v>
      </c>
      <c r="U22" s="20"/>
      <c r="AP22" s="3"/>
      <c r="AQ22" s="3"/>
      <c r="AR22" s="3"/>
      <c r="AS22" s="3"/>
      <c r="AT22" s="3"/>
      <c r="AU22" s="3"/>
      <c r="AV22" s="3"/>
      <c r="AW22" s="13"/>
      <c r="AX22" s="3"/>
      <c r="AY22" s="14"/>
      <c r="AZ22" s="32" t="s">
        <v>39</v>
      </c>
      <c r="BA22" s="33">
        <v>0.45703250724171229</v>
      </c>
    </row>
    <row r="23" spans="1:53" ht="18.75" hidden="1">
      <c r="A23" s="29" t="s">
        <v>28</v>
      </c>
      <c r="H23" s="20">
        <v>320</v>
      </c>
      <c r="I23" s="20">
        <v>286</v>
      </c>
      <c r="J23" s="20">
        <v>308</v>
      </c>
      <c r="K23" s="20">
        <v>213</v>
      </c>
      <c r="L23" s="20">
        <v>185</v>
      </c>
      <c r="M23" s="20">
        <v>153</v>
      </c>
      <c r="N23" s="59"/>
      <c r="O23" s="59"/>
      <c r="P23" s="21">
        <f t="shared" si="3"/>
        <v>0</v>
      </c>
      <c r="Q23" s="52">
        <f t="shared" si="4"/>
        <v>-100</v>
      </c>
      <c r="R23" s="31" t="s">
        <v>42</v>
      </c>
      <c r="U23" s="20"/>
      <c r="AP23" s="3"/>
      <c r="AQ23" s="3"/>
      <c r="AR23" s="3"/>
      <c r="AS23" s="3"/>
      <c r="AT23" s="3"/>
      <c r="AU23" s="3"/>
      <c r="AV23" s="3"/>
      <c r="AW23" s="13"/>
      <c r="AX23" s="3"/>
      <c r="AY23" s="14"/>
      <c r="AZ23" s="32" t="s">
        <v>34</v>
      </c>
      <c r="BA23" s="35">
        <v>0.45059542967492755</v>
      </c>
    </row>
    <row r="24" spans="1:53" ht="18.75" hidden="1">
      <c r="A24" s="29" t="s">
        <v>36</v>
      </c>
      <c r="H24" s="20">
        <v>100</v>
      </c>
      <c r="I24" s="20">
        <v>147</v>
      </c>
      <c r="J24" s="20">
        <v>141</v>
      </c>
      <c r="K24" s="20">
        <v>92</v>
      </c>
      <c r="L24" s="20">
        <v>79</v>
      </c>
      <c r="M24" s="20">
        <v>121</v>
      </c>
      <c r="N24" s="59"/>
      <c r="O24" s="59"/>
      <c r="P24" s="21">
        <f t="shared" si="3"/>
        <v>0</v>
      </c>
      <c r="Q24" s="52">
        <f t="shared" si="4"/>
        <v>-100</v>
      </c>
      <c r="R24" s="31" t="s">
        <v>43</v>
      </c>
      <c r="U24" s="20"/>
      <c r="AP24" s="3"/>
      <c r="AQ24" s="3"/>
      <c r="AR24" s="3"/>
      <c r="AS24" s="3"/>
      <c r="AT24" s="3"/>
      <c r="AU24" s="3"/>
      <c r="AV24" s="3"/>
      <c r="AW24" s="3"/>
      <c r="AZ24" s="32" t="s">
        <v>44</v>
      </c>
      <c r="BA24" s="33">
        <v>0.41841004184100417</v>
      </c>
    </row>
    <row r="25" spans="1:53" s="37" customFormat="1" ht="18.75" hidden="1">
      <c r="A25" s="29" t="s">
        <v>44</v>
      </c>
      <c r="B25" s="17"/>
      <c r="C25" s="17"/>
      <c r="D25" s="17"/>
      <c r="E25" s="17"/>
      <c r="F25" s="36"/>
      <c r="G25" s="36"/>
      <c r="H25" s="20">
        <v>83</v>
      </c>
      <c r="I25" s="20">
        <v>72</v>
      </c>
      <c r="J25" s="20">
        <v>65</v>
      </c>
      <c r="K25" s="20">
        <v>87</v>
      </c>
      <c r="L25" s="20">
        <v>73</v>
      </c>
      <c r="M25" s="20">
        <v>104</v>
      </c>
      <c r="N25" s="59"/>
      <c r="O25" s="59"/>
      <c r="P25" s="21">
        <f t="shared" si="3"/>
        <v>0</v>
      </c>
      <c r="Q25" s="52">
        <f t="shared" si="4"/>
        <v>-100</v>
      </c>
      <c r="R25" s="31" t="s">
        <v>45</v>
      </c>
      <c r="U25" s="20"/>
      <c r="AP25" s="23"/>
      <c r="AQ25" s="23"/>
      <c r="AR25" s="23"/>
      <c r="AS25" s="23"/>
      <c r="AT25" s="23"/>
      <c r="AU25" s="23"/>
      <c r="AV25" s="23"/>
      <c r="AW25" s="23"/>
      <c r="AX25" s="23"/>
      <c r="AZ25" s="32" t="s">
        <v>37</v>
      </c>
      <c r="BA25" s="35">
        <v>0.34760218860637271</v>
      </c>
    </row>
    <row r="26" spans="1:53" s="37" customFormat="1" ht="18.75" hidden="1">
      <c r="A26" s="29" t="s">
        <v>46</v>
      </c>
      <c r="B26" s="1"/>
      <c r="C26" s="1"/>
      <c r="D26" s="1"/>
      <c r="E26" s="1"/>
      <c r="F26" s="1"/>
      <c r="G26" s="1"/>
      <c r="H26" s="20">
        <v>53</v>
      </c>
      <c r="I26" s="20">
        <v>55</v>
      </c>
      <c r="J26" s="20">
        <v>52</v>
      </c>
      <c r="K26" s="20">
        <v>28</v>
      </c>
      <c r="L26" s="20">
        <v>72</v>
      </c>
      <c r="M26" s="20">
        <v>56</v>
      </c>
      <c r="N26" s="59"/>
      <c r="O26" s="59"/>
      <c r="P26" s="21">
        <f t="shared" si="3"/>
        <v>0</v>
      </c>
      <c r="Q26" s="52">
        <f t="shared" si="4"/>
        <v>-100</v>
      </c>
      <c r="R26" s="31" t="s">
        <v>47</v>
      </c>
      <c r="U26" s="20"/>
      <c r="AP26" s="23"/>
      <c r="AQ26" s="23"/>
      <c r="AR26" s="23"/>
      <c r="AS26" s="23"/>
      <c r="AT26" s="23"/>
      <c r="AU26" s="23"/>
      <c r="AV26" s="23"/>
      <c r="AW26" s="23"/>
      <c r="AX26" s="23"/>
      <c r="AZ26" s="32" t="s">
        <v>46</v>
      </c>
      <c r="BA26" s="35">
        <v>0.33472803347280333</v>
      </c>
    </row>
    <row r="27" spans="1:53" ht="18.75" hidden="1">
      <c r="A27" s="29" t="s">
        <v>19</v>
      </c>
      <c r="H27" s="20">
        <v>515</v>
      </c>
      <c r="I27" s="20">
        <v>599</v>
      </c>
      <c r="J27" s="20">
        <v>640</v>
      </c>
      <c r="K27" s="20">
        <v>536</v>
      </c>
      <c r="L27" s="20">
        <v>492</v>
      </c>
      <c r="M27" s="20">
        <v>623</v>
      </c>
      <c r="N27" s="59"/>
      <c r="O27" s="59"/>
      <c r="P27" s="21">
        <f t="shared" si="3"/>
        <v>0</v>
      </c>
      <c r="Q27" s="52">
        <f t="shared" si="4"/>
        <v>-100</v>
      </c>
      <c r="R27" s="31" t="s">
        <v>48</v>
      </c>
      <c r="U27" s="20"/>
      <c r="AZ27" s="32" t="s">
        <v>49</v>
      </c>
      <c r="BA27" s="33">
        <v>0.23817186997103315</v>
      </c>
    </row>
    <row r="28" spans="1:53" ht="18.75" hidden="1">
      <c r="A28" s="29" t="s">
        <v>49</v>
      </c>
      <c r="H28" s="20">
        <v>57</v>
      </c>
      <c r="I28" s="20">
        <v>41</v>
      </c>
      <c r="J28" s="20">
        <v>37</v>
      </c>
      <c r="K28" s="20">
        <v>39</v>
      </c>
      <c r="L28" s="20">
        <v>19</v>
      </c>
      <c r="M28" s="20">
        <v>8</v>
      </c>
      <c r="N28" s="59"/>
      <c r="O28" s="59"/>
      <c r="P28" s="21">
        <f t="shared" si="3"/>
        <v>0</v>
      </c>
      <c r="Q28" s="52">
        <f t="shared" si="4"/>
        <v>-100</v>
      </c>
      <c r="R28" s="31" t="s">
        <v>50</v>
      </c>
      <c r="U28" s="20"/>
      <c r="AZ28" s="38" t="s">
        <v>51</v>
      </c>
      <c r="BA28" s="14">
        <v>0.14805278403604766</v>
      </c>
    </row>
    <row r="29" spans="1:53" ht="18.75" hidden="1">
      <c r="A29" s="29" t="s">
        <v>51</v>
      </c>
      <c r="H29" s="20">
        <v>28</v>
      </c>
      <c r="I29" s="20">
        <v>20</v>
      </c>
      <c r="J29" s="20">
        <v>23</v>
      </c>
      <c r="K29" s="20">
        <v>27</v>
      </c>
      <c r="L29" s="20">
        <v>15</v>
      </c>
      <c r="M29" s="20">
        <v>17</v>
      </c>
      <c r="N29" s="59"/>
      <c r="O29" s="59"/>
      <c r="P29" s="21">
        <f t="shared" si="3"/>
        <v>0</v>
      </c>
      <c r="Q29" s="52">
        <f t="shared" si="4"/>
        <v>-100</v>
      </c>
      <c r="R29" s="31" t="s">
        <v>52</v>
      </c>
      <c r="U29" s="20"/>
      <c r="AP29" s="3"/>
      <c r="AQ29" s="3"/>
      <c r="AR29" s="3"/>
      <c r="AS29" s="3"/>
      <c r="AT29" s="3"/>
      <c r="AU29" s="3"/>
      <c r="AV29" s="3"/>
      <c r="AW29" s="3"/>
      <c r="AZ29" s="39"/>
      <c r="BA29" s="27">
        <f>SUM(BA19:BA28)</f>
        <v>4.5317026070164141</v>
      </c>
    </row>
    <row r="30" spans="1:53" ht="18.75" hidden="1">
      <c r="A30" s="40" t="s">
        <v>11</v>
      </c>
      <c r="B30" s="41"/>
      <c r="C30" s="41"/>
      <c r="D30" s="41"/>
      <c r="E30" s="41"/>
      <c r="F30" s="41"/>
      <c r="G30" s="41"/>
      <c r="H30" s="42">
        <v>1067</v>
      </c>
      <c r="I30" s="42">
        <v>1198</v>
      </c>
      <c r="J30" s="42">
        <v>1175</v>
      </c>
      <c r="K30" s="42">
        <v>1121</v>
      </c>
      <c r="L30" s="42">
        <v>1449</v>
      </c>
      <c r="M30" s="42">
        <v>1396</v>
      </c>
      <c r="N30" s="60"/>
      <c r="O30" s="59"/>
      <c r="P30" s="21">
        <f t="shared" si="3"/>
        <v>0</v>
      </c>
      <c r="Q30" s="52">
        <f t="shared" si="4"/>
        <v>-100</v>
      </c>
      <c r="R30" s="43" t="s">
        <v>31</v>
      </c>
      <c r="U30" s="20"/>
      <c r="AP30" s="3"/>
      <c r="AQ30" s="3"/>
      <c r="AR30" s="3"/>
      <c r="AS30" s="3"/>
      <c r="AT30" s="3"/>
      <c r="AU30" s="3"/>
      <c r="AV30" s="3"/>
      <c r="AW30" s="3"/>
      <c r="AZ30" s="29" t="s">
        <v>11</v>
      </c>
      <c r="BA30" s="1">
        <v>7.5635661409719983</v>
      </c>
    </row>
    <row r="31" spans="1:53" s="44" customFormat="1" ht="16.5">
      <c r="A31" s="46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50" t="s">
        <v>54</v>
      </c>
      <c r="U31" s="20"/>
      <c r="AQ31" s="3"/>
      <c r="AR31" s="3"/>
      <c r="AS31" s="3"/>
      <c r="AT31" s="3"/>
      <c r="AU31" s="3"/>
      <c r="AV31" s="3"/>
      <c r="AW31" s="3"/>
      <c r="AX31" s="3"/>
      <c r="AZ31" s="45" t="s">
        <v>11</v>
      </c>
      <c r="BA31" s="33">
        <v>19.61377534599292</v>
      </c>
    </row>
    <row r="32" spans="1:53">
      <c r="AP32" s="3"/>
      <c r="AQ32" s="3"/>
      <c r="AR32" s="3"/>
      <c r="AS32" s="3"/>
      <c r="AT32" s="3"/>
      <c r="AU32" s="3"/>
      <c r="AV32" s="3"/>
      <c r="AW32" s="3"/>
      <c r="AX32" s="3"/>
    </row>
    <row r="33" spans="22:63" ht="19.5" customHeight="1"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22:63" ht="19.5" customHeight="1"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22:63" ht="19.5" customHeight="1">
      <c r="V35" s="55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22:63" ht="19.5" customHeight="1">
      <c r="V36" s="56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22:63">
      <c r="V37" s="56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22:63">
      <c r="V38" s="56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22:63">
      <c r="V39" s="56"/>
    </row>
    <row r="40" spans="22:63">
      <c r="V40" s="56"/>
    </row>
    <row r="41" spans="22:63">
      <c r="V41" s="56"/>
    </row>
    <row r="42" spans="22:63">
      <c r="V42" s="56"/>
    </row>
    <row r="43" spans="22:63">
      <c r="V43" s="56"/>
      <c r="AY43" s="1">
        <v>2010</v>
      </c>
      <c r="AZ43" s="1">
        <v>2011</v>
      </c>
      <c r="BA43" s="1">
        <v>2012</v>
      </c>
      <c r="BB43" s="1">
        <v>2013</v>
      </c>
      <c r="BC43" s="1">
        <v>2014</v>
      </c>
      <c r="BD43" s="1">
        <v>2015</v>
      </c>
      <c r="BE43" s="1">
        <v>2016</v>
      </c>
      <c r="BF43" s="1">
        <v>2017</v>
      </c>
      <c r="BG43" s="1">
        <v>2018</v>
      </c>
      <c r="BH43" s="1">
        <v>2019</v>
      </c>
      <c r="BI43" s="1">
        <v>2020</v>
      </c>
      <c r="BJ43" s="1">
        <v>2021</v>
      </c>
      <c r="BK43" s="1">
        <v>2022</v>
      </c>
    </row>
    <row r="44" spans="22:63">
      <c r="V44" s="57"/>
      <c r="AX44" s="16" t="s">
        <v>3</v>
      </c>
      <c r="AY44" s="47">
        <v>-0.14973795857249811</v>
      </c>
      <c r="AZ44" s="47">
        <v>18.320419895026244</v>
      </c>
      <c r="BA44" s="47">
        <v>38.804393747359526</v>
      </c>
      <c r="BB44" s="47">
        <v>1.7044589864556383</v>
      </c>
      <c r="BC44" s="47">
        <v>-23.986233727367949</v>
      </c>
      <c r="BD44" s="47">
        <f t="shared" ref="BD44:BK48" si="5">((H6-G6)/G6)*100</f>
        <v>-21.102362204724407</v>
      </c>
      <c r="BE44" s="47">
        <f t="shared" si="5"/>
        <v>-9.780439121756487</v>
      </c>
      <c r="BF44" s="47">
        <f t="shared" si="5"/>
        <v>-3.125</v>
      </c>
      <c r="BG44" s="47">
        <f>((K6-J6)/J6)*100</f>
        <v>-6.6514416214673133</v>
      </c>
      <c r="BH44" s="47">
        <f>((L6-K6)/K6)*100</f>
        <v>39.26605504587156</v>
      </c>
      <c r="BI44" s="47">
        <f>((M6-L6)/L6)*100</f>
        <v>-21.365832235397452</v>
      </c>
      <c r="BJ44" s="47">
        <f>((N6-M6)/M6)*100</f>
        <v>30.187098575816812</v>
      </c>
      <c r="BK44" s="47">
        <f>((O6-N6)/N6)*100</f>
        <v>-14.586014586014587</v>
      </c>
    </row>
    <row r="45" spans="22:63">
      <c r="AX45" s="16" t="s">
        <v>6</v>
      </c>
      <c r="AY45" s="47">
        <v>-19.349485562562229</v>
      </c>
      <c r="AZ45" s="47">
        <v>-7.3662551440329223</v>
      </c>
      <c r="BA45" s="47">
        <v>-12.305641936916926</v>
      </c>
      <c r="BB45" s="47">
        <v>-2.2289766970618032</v>
      </c>
      <c r="BC45" s="47">
        <v>10.725388601036268</v>
      </c>
      <c r="BD45" s="47">
        <f t="shared" si="5"/>
        <v>-4.3518951801591017</v>
      </c>
      <c r="BE45" s="47">
        <f t="shared" si="5"/>
        <v>9.6868884540117417</v>
      </c>
      <c r="BF45" s="47">
        <f t="shared" si="5"/>
        <v>-6.1106155218554861</v>
      </c>
      <c r="BG45" s="47">
        <f t="shared" si="5"/>
        <v>-4.6555819477434683</v>
      </c>
      <c r="BH45" s="47">
        <f t="shared" si="5"/>
        <v>15.794718485301445</v>
      </c>
      <c r="BI45" s="47">
        <f t="shared" si="5"/>
        <v>-40.189328743545609</v>
      </c>
      <c r="BJ45" s="47">
        <f t="shared" si="5"/>
        <v>11.726618705035971</v>
      </c>
      <c r="BK45" s="47">
        <f t="shared" si="5"/>
        <v>4.1854475209272382</v>
      </c>
    </row>
    <row r="46" spans="22:63">
      <c r="AX46" s="16" t="s">
        <v>8</v>
      </c>
      <c r="AY46" s="47">
        <v>-31.65680473372781</v>
      </c>
      <c r="AZ46" s="47">
        <v>12.739641311069882</v>
      </c>
      <c r="BA46" s="47">
        <v>39.001645639056498</v>
      </c>
      <c r="BB46" s="47">
        <v>56.471981057616418</v>
      </c>
      <c r="BC46" s="47">
        <v>-20.807061790668349</v>
      </c>
      <c r="BD46" s="47">
        <f t="shared" si="5"/>
        <v>-33.789808917197448</v>
      </c>
      <c r="BE46" s="47">
        <f t="shared" si="5"/>
        <v>14.237614237614238</v>
      </c>
      <c r="BF46" s="47">
        <f t="shared" si="5"/>
        <v>-14.189473684210526</v>
      </c>
      <c r="BG46" s="47">
        <f t="shared" si="5"/>
        <v>9.4210009813542683</v>
      </c>
      <c r="BH46" s="47">
        <f t="shared" si="5"/>
        <v>-1.883408071748879</v>
      </c>
      <c r="BI46" s="47">
        <f t="shared" si="5"/>
        <v>-34.872029250457039</v>
      </c>
      <c r="BJ46" s="47">
        <f t="shared" si="5"/>
        <v>1.0526315789473684</v>
      </c>
      <c r="BK46" s="47">
        <f t="shared" si="5"/>
        <v>-0.76388888888888884</v>
      </c>
    </row>
    <row r="47" spans="22:63">
      <c r="AX47" s="16" t="s">
        <v>13</v>
      </c>
      <c r="AY47" s="47">
        <v>-19.91584852734923</v>
      </c>
      <c r="AZ47" s="47">
        <v>-13.601868067717454</v>
      </c>
      <c r="BA47" s="47">
        <v>1.8918918918918921</v>
      </c>
      <c r="BB47" s="47">
        <v>31.49867374005305</v>
      </c>
      <c r="BC47" s="47">
        <v>1.5632879475542107</v>
      </c>
      <c r="BD47" s="47">
        <f t="shared" si="5"/>
        <v>-14.995034756703079</v>
      </c>
      <c r="BE47" s="47">
        <f t="shared" si="5"/>
        <v>6.83411214953271</v>
      </c>
      <c r="BF47" s="47">
        <f t="shared" si="5"/>
        <v>-9.5133952979770378</v>
      </c>
      <c r="BG47" s="47">
        <f t="shared" si="5"/>
        <v>7.9758308157099691</v>
      </c>
      <c r="BH47" s="47">
        <f t="shared" si="5"/>
        <v>1.5109121432568551</v>
      </c>
      <c r="BI47" s="47">
        <f t="shared" si="5"/>
        <v>-58.985667034178611</v>
      </c>
      <c r="BJ47" s="47">
        <f t="shared" si="5"/>
        <v>30.913978494623656</v>
      </c>
      <c r="BK47" s="47">
        <f t="shared" si="5"/>
        <v>44.969199178644764</v>
      </c>
    </row>
    <row r="48" spans="22:63">
      <c r="AX48" s="16" t="s">
        <v>10</v>
      </c>
      <c r="AY48" s="47">
        <v>-23.7</v>
      </c>
      <c r="AZ48" s="47">
        <v>-13.499344692005241</v>
      </c>
      <c r="BA48" s="47">
        <v>-4.2424242424242431</v>
      </c>
      <c r="BB48" s="47">
        <v>1.9778481012658229</v>
      </c>
      <c r="BC48" s="47">
        <v>-17.610550814584951</v>
      </c>
      <c r="BD48" s="47">
        <f t="shared" si="5"/>
        <v>-11.111111111111111</v>
      </c>
      <c r="BE48" s="47">
        <f t="shared" si="5"/>
        <v>-17.266949152542374</v>
      </c>
      <c r="BF48" s="47">
        <f t="shared" si="5"/>
        <v>-1.4084507042253522</v>
      </c>
      <c r="BG48" s="47">
        <f t="shared" si="5"/>
        <v>-2.2077922077922079</v>
      </c>
      <c r="BH48" s="47">
        <f t="shared" si="5"/>
        <v>-16.201859229747676</v>
      </c>
      <c r="BI48" s="47">
        <f t="shared" si="5"/>
        <v>4.7543581616481774</v>
      </c>
      <c r="BJ48" s="47">
        <f t="shared" si="5"/>
        <v>-7.7155824508320734</v>
      </c>
      <c r="BK48" s="47">
        <f t="shared" si="5"/>
        <v>-14.590163934426229</v>
      </c>
    </row>
  </sheetData>
  <mergeCells count="18">
    <mergeCell ref="R3:R4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H4"/>
    <mergeCell ref="K3:K4"/>
    <mergeCell ref="L3:L4"/>
    <mergeCell ref="M3:M4"/>
    <mergeCell ref="N3:N4"/>
    <mergeCell ref="O3:O4"/>
    <mergeCell ref="I3:I4"/>
    <mergeCell ref="J3:J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V36:V43" xr:uid="{00000000-0002-0000-0000-000000000000}">
      <formula1>0</formula1>
      <formula2>1000</formula2>
    </dataValidation>
  </dataValidations>
  <pageMargins left="0.7" right="0.7" top="0.75" bottom="0.75" header="0.3" footer="0.3"/>
  <pageSetup scale="53" orientation="portrait" horizontalDpi="4294967295" verticalDpi="4294967295" r:id="rId1"/>
  <colBreaks count="1" manualBreakCount="1">
    <brk id="19" max="67" man="1"/>
  </colBreaks>
  <ignoredErrors>
    <ignoredError sqref="I5:K5" formulaRange="1"/>
    <ignoredError sqref="Q5 BD44:BK48 Q7:Q1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</vt:lpstr>
      <vt:lpstr>'8.1'!Print_Area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2023-09-17T05:27:39Z</cp:lastPrinted>
  <dcterms:created xsi:type="dcterms:W3CDTF">2019-06-30T04:22:49Z</dcterms:created>
  <dcterms:modified xsi:type="dcterms:W3CDTF">2023-09-17T05:28:07Z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