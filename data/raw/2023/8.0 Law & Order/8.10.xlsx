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6D11C8AC-11DC-4BC5-B601-940CDA2FC02D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10" sheetId="10" r:id="rId1"/>
  </sheets>
  <definedNames>
    <definedName name="_xlnm.Print_Area" localSheetId="0">'8.10'!$A$1:$L$60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0" l="1"/>
  <c r="J8" i="10"/>
  <c r="J9" i="10"/>
  <c r="J10" i="10"/>
  <c r="H6" i="10"/>
  <c r="H5" i="10" s="1"/>
  <c r="I7" i="10" s="1"/>
  <c r="I5" i="10" l="1"/>
  <c r="I10" i="10"/>
  <c r="I6" i="10"/>
  <c r="I9" i="10"/>
  <c r="I8" i="10"/>
  <c r="G6" i="10" l="1"/>
  <c r="J6" i="10" s="1"/>
  <c r="G5" i="10" l="1"/>
  <c r="J5" i="10" s="1"/>
  <c r="F6" i="10" l="1"/>
  <c r="F5" i="10" l="1"/>
  <c r="E6" i="10" l="1"/>
  <c r="E5" i="10" l="1"/>
  <c r="D6" i="10" l="1"/>
  <c r="D5" i="10" s="1"/>
  <c r="C6" i="10"/>
  <c r="C5" i="10" s="1"/>
  <c r="B6" i="10"/>
  <c r="B5" i="10" s="1"/>
</calcChain>
</file>

<file path=xl/sharedStrings.xml><?xml version="1.0" encoding="utf-8"?>
<sst xmlns="http://schemas.openxmlformats.org/spreadsheetml/2006/main" count="22" uniqueCount="22">
  <si>
    <t>Total</t>
  </si>
  <si>
    <t>Source: Maldives Police Service</t>
  </si>
  <si>
    <t>csivrws csilop cscviDclOm :Ivcaed utWmUluAwm</t>
  </si>
  <si>
    <t>ޖުމްލަ</t>
  </si>
  <si>
    <t xml:space="preserve">Type </t>
  </si>
  <si>
    <t xml:space="preserve"> މައްސަލައިގެ ބާވަތް</t>
  </si>
  <si>
    <t xml:space="preserve">  ކުރީ އަހަރާއި  އަޅާބަލާއިރު  އިތުރުވި މިންވަރު</t>
  </si>
  <si>
    <t xml:space="preserve">Percentage share </t>
  </si>
  <si>
    <t>Assault by group of persons</t>
  </si>
  <si>
    <t>ގްރޫޕް މާރާމާރީ</t>
  </si>
  <si>
    <t>Using weapons</t>
  </si>
  <si>
    <t xml:space="preserve">   ހަތިޔާރު ބޭނުންކޮށްގެން</t>
  </si>
  <si>
    <t>Using sharp weapons</t>
  </si>
  <si>
    <t xml:space="preserve">   ތޫނު ހަތިޔާރު ބޭނުންކޮށްގެން</t>
  </si>
  <si>
    <t>Without use of weapons</t>
  </si>
  <si>
    <t xml:space="preserve">   ހަތިޔާރު ބޭނުންނުކޮށް</t>
  </si>
  <si>
    <t>Other Assault</t>
  </si>
  <si>
    <t>އެހެނިހެން މާރާމާރީ</t>
  </si>
  <si>
    <t>%change over 2021</t>
  </si>
  <si>
    <t>Table 8.10:  ASSAULT CASES LOGGED BY TYPE, 2016 - 2022</t>
  </si>
  <si>
    <t>ތާވަލު 8.10: ހުށަހެޅިފައިވާ މާރާމާރީގެ މައްސަލަތައް، 2016- 2022</t>
  </si>
  <si>
    <t>އިންސައްތަ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</si>
</sst>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167" fontId="21" fillId="0" borderId="0"/>
    <xf numFmtId="0" fontId="29" fillId="0" borderId="9" applyNumberFormat="0" applyFill="0" applyAlignment="0" applyProtection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172" fontId="32" fillId="0" borderId="0"/>
    <xf numFmtId="1" fontId="33" fillId="0" borderId="12" applyNumberFormat="0"/>
    <xf numFmtId="0" fontId="28" fillId="0" borderId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0" fontId="28" fillId="0" borderId="0"/>
    <xf numFmtId="0" fontId="1" fillId="0" borderId="0"/>
    <xf numFmtId="0" fontId="28" fillId="0" borderId="0"/>
    <xf numFmtId="0" fontId="28" fillId="0" borderId="0"/>
    <xf numFmtId="0" fontId="31" fillId="0" borderId="0"/>
    <xf numFmtId="40" fontId="31" fillId="0" borderId="0" applyFont="0" applyFill="0" applyBorder="0" applyAlignment="0" applyProtection="0"/>
    <xf numFmtId="0" fontId="31" fillId="0" borderId="0"/>
    <xf numFmtId="0" fontId="28" fillId="0" borderId="0"/>
    <xf numFmtId="1" fontId="33" fillId="0" borderId="12" applyNumberFormat="0"/>
    <xf numFmtId="0" fontId="1" fillId="0" borderId="0"/>
    <xf numFmtId="0" fontId="31" fillId="0" borderId="0"/>
    <xf numFmtId="0" fontId="20" fillId="0" borderId="0" applyFill="0" applyProtection="0"/>
    <xf numFmtId="1" fontId="33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34" fillId="0" borderId="0"/>
    <xf numFmtId="0" fontId="35" fillId="0" borderId="0"/>
    <xf numFmtId="0" fontId="34" fillId="0" borderId="0"/>
    <xf numFmtId="0" fontId="1" fillId="0" borderId="0"/>
    <xf numFmtId="0" fontId="31" fillId="0" borderId="0"/>
    <xf numFmtId="0" fontId="20" fillId="0" borderId="0" applyFill="0" applyProtection="0"/>
    <xf numFmtId="1" fontId="33" fillId="0" borderId="12" applyNumberFormat="0"/>
    <xf numFmtId="0" fontId="1" fillId="0" borderId="0"/>
    <xf numFmtId="0" fontId="28" fillId="0" borderId="0"/>
    <xf numFmtId="0" fontId="34" fillId="0" borderId="0"/>
    <xf numFmtId="0" fontId="35" fillId="0" borderId="0"/>
    <xf numFmtId="0" fontId="28" fillId="0" borderId="0"/>
    <xf numFmtId="0" fontId="34" fillId="0" borderId="0"/>
    <xf numFmtId="0" fontId="36" fillId="0" borderId="0"/>
    <xf numFmtId="0" fontId="34" fillId="0" borderId="0"/>
    <xf numFmtId="0" fontId="3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1" fillId="0" borderId="0" applyFont="0" applyFill="0" applyBorder="0" applyAlignment="0" applyProtection="0"/>
    <xf numFmtId="0" fontId="1" fillId="0" borderId="0"/>
    <xf numFmtId="0" fontId="36" fillId="0" borderId="0" applyBorder="0"/>
    <xf numFmtId="0" fontId="1" fillId="0" borderId="0"/>
    <xf numFmtId="40" fontId="3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6" fillId="0" borderId="0" applyBorder="0"/>
    <xf numFmtId="0" fontId="1" fillId="0" borderId="0"/>
    <xf numFmtId="0" fontId="1" fillId="0" borderId="0"/>
    <xf numFmtId="1" fontId="33" fillId="0" borderId="12" applyNumberFormat="0"/>
    <xf numFmtId="1" fontId="33" fillId="0" borderId="12" applyNumberFormat="0"/>
    <xf numFmtId="1" fontId="33" fillId="0" borderId="12" applyNumberFormat="0"/>
    <xf numFmtId="1" fontId="33" fillId="0" borderId="12" applyNumberFormat="0"/>
  </cellStyleXfs>
  <cellXfs count="51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10" fillId="2" borderId="0" xfId="0" applyNumberFormat="1" applyFont="1" applyFill="1"/>
    <xf numFmtId="164" fontId="6" fillId="2" borderId="4" xfId="0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3" fontId="6" fillId="2" borderId="0" xfId="1" applyNumberFormat="1" applyFont="1" applyFill="1" applyBorder="1" applyAlignment="1">
      <alignment horizontal="right" vertical="center"/>
    </xf>
    <xf numFmtId="166" fontId="15" fillId="2" borderId="0" xfId="1" applyNumberFormat="1" applyFont="1" applyFill="1" applyBorder="1" applyAlignment="1">
      <alignment horizontal="center"/>
    </xf>
    <xf numFmtId="164" fontId="11" fillId="2" borderId="0" xfId="0" applyNumberFormat="1" applyFont="1" applyFill="1" applyAlignment="1">
      <alignment horizontal="right" vertical="center"/>
    </xf>
    <xf numFmtId="167" fontId="18" fillId="2" borderId="0" xfId="1" applyNumberFormat="1" applyFont="1" applyFill="1" applyBorder="1" applyAlignment="1">
      <alignment horizontal="right"/>
    </xf>
    <xf numFmtId="164" fontId="17" fillId="2" borderId="0" xfId="0" applyNumberFormat="1" applyFont="1" applyFill="1"/>
    <xf numFmtId="164" fontId="19" fillId="2" borderId="5" xfId="0" applyNumberFormat="1" applyFont="1" applyFill="1" applyBorder="1" applyAlignment="1">
      <alignment vertical="center"/>
    </xf>
    <xf numFmtId="164" fontId="15" fillId="2" borderId="0" xfId="0" applyNumberFormat="1" applyFont="1" applyFill="1"/>
    <xf numFmtId="164" fontId="23" fillId="2" borderId="0" xfId="0" applyNumberFormat="1" applyFont="1" applyFill="1" applyAlignment="1">
      <alignment horizontal="right" vertical="center"/>
    </xf>
    <xf numFmtId="164" fontId="22" fillId="2" borderId="0" xfId="0" applyNumberFormat="1" applyFont="1" applyFill="1" applyAlignment="1">
      <alignment vertical="center"/>
    </xf>
    <xf numFmtId="164" fontId="25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horizontal="left" vertical="center" indent="1"/>
    </xf>
    <xf numFmtId="164" fontId="10" fillId="2" borderId="0" xfId="0" applyNumberFormat="1" applyFont="1" applyFill="1" applyAlignment="1">
      <alignment vertical="center"/>
    </xf>
    <xf numFmtId="164" fontId="26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7" fillId="2" borderId="4" xfId="0" applyNumberFormat="1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right" vertical="center"/>
    </xf>
    <xf numFmtId="166" fontId="6" fillId="2" borderId="4" xfId="1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vertical="center"/>
    </xf>
    <xf numFmtId="164" fontId="27" fillId="2" borderId="0" xfId="0" applyNumberFormat="1" applyFont="1" applyFill="1"/>
    <xf numFmtId="164" fontId="13" fillId="2" borderId="0" xfId="0" applyNumberFormat="1" applyFont="1" applyFill="1" applyAlignment="1">
      <alignment vertical="center"/>
    </xf>
    <xf numFmtId="3" fontId="13" fillId="2" borderId="0" xfId="1" applyNumberFormat="1" applyFont="1" applyFill="1" applyBorder="1" applyAlignment="1">
      <alignment horizontal="right" vertical="center"/>
    </xf>
    <xf numFmtId="164" fontId="7" fillId="2" borderId="7" xfId="0" applyNumberFormat="1" applyFont="1" applyFill="1" applyBorder="1" applyAlignment="1">
      <alignment horizontal="right" vertical="center" wrapText="1"/>
    </xf>
    <xf numFmtId="164" fontId="8" fillId="2" borderId="6" xfId="0" applyNumberFormat="1" applyFont="1" applyFill="1" applyBorder="1" applyAlignment="1">
      <alignment horizontal="right" vertical="center" wrapText="1"/>
    </xf>
    <xf numFmtId="164" fontId="30" fillId="2" borderId="5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center" vertical="center" wrapText="1"/>
    </xf>
    <xf numFmtId="3" fontId="13" fillId="2" borderId="8" xfId="0" applyNumberFormat="1" applyFont="1" applyFill="1" applyBorder="1" applyAlignment="1">
      <alignment vertical="center"/>
    </xf>
    <xf numFmtId="3" fontId="13" fillId="2" borderId="0" xfId="0" applyNumberFormat="1" applyFont="1" applyFill="1" applyAlignment="1">
      <alignment horizontal="right" vertical="center" indent="4"/>
    </xf>
    <xf numFmtId="3" fontId="16" fillId="2" borderId="0" xfId="0" applyNumberFormat="1" applyFont="1" applyFill="1" applyAlignment="1">
      <alignment horizontal="right" vertical="center" indent="4"/>
    </xf>
    <xf numFmtId="3" fontId="16" fillId="2" borderId="8" xfId="0" applyNumberFormat="1" applyFont="1" applyFill="1" applyBorder="1" applyAlignment="1">
      <alignment vertical="center"/>
    </xf>
    <xf numFmtId="3" fontId="13" fillId="2" borderId="7" xfId="0" applyNumberFormat="1" applyFont="1" applyFill="1" applyBorder="1" applyAlignment="1">
      <alignment vertical="center"/>
    </xf>
    <xf numFmtId="3" fontId="13" fillId="2" borderId="4" xfId="0" applyNumberFormat="1" applyFont="1" applyFill="1" applyBorder="1" applyAlignment="1">
      <alignment horizontal="right" vertical="center" indent="4"/>
    </xf>
    <xf numFmtId="164" fontId="11" fillId="2" borderId="4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center" vertical="top"/>
    </xf>
    <xf numFmtId="164" fontId="4" fillId="2" borderId="10" xfId="0" applyNumberFormat="1" applyFont="1" applyFill="1" applyBorder="1" applyAlignment="1">
      <alignment horizontal="center" vertical="top"/>
    </xf>
    <xf numFmtId="164" fontId="4" fillId="2" borderId="11" xfId="0" applyNumberFormat="1" applyFont="1" applyFill="1" applyBorder="1" applyAlignment="1">
      <alignment horizontal="center" vertical="top"/>
    </xf>
    <xf numFmtId="164" fontId="24" fillId="2" borderId="3" xfId="0" applyNumberFormat="1" applyFont="1" applyFill="1" applyBorder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4" xfId="0" applyNumberFormat="1" applyFont="1" applyFill="1" applyBorder="1" applyAlignment="1">
      <alignment horizontal="right" vertical="center" wrapText="1"/>
    </xf>
    <xf numFmtId="164" fontId="7" fillId="2" borderId="3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9" fillId="2" borderId="1" xfId="0" applyNumberFormat="1" applyFont="1" applyFill="1" applyBorder="1" applyAlignment="1">
      <alignment horizontal="center" vertical="center"/>
    </xf>
  </cellXfs>
  <cellStyles count="70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6606007537386"/>
          <c:y val="0.17551025230578871"/>
          <c:w val="0.86542580804400426"/>
          <c:h val="0.666521784740066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'8.10'!$F$3:$F$4</c:f>
              <c:strCache>
                <c:ptCount val="2"/>
                <c:pt idx="0">
                  <c:v>2020 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'8.10'!$F$7:$F$9</c:f>
              <c:numCache>
                <c:formatCode>General</c:formatCode>
                <c:ptCount val="3"/>
                <c:pt idx="0">
                  <c:v>12</c:v>
                </c:pt>
                <c:pt idx="1">
                  <c:v>7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F-4F82-8053-A00150324139}"/>
            </c:ext>
          </c:extLst>
        </c:ser>
        <c:ser>
          <c:idx val="2"/>
          <c:order val="1"/>
          <c:tx>
            <c:strRef>
              <c:f>'8.10'!$G$3:$G$4</c:f>
              <c:strCache>
                <c:ptCount val="2"/>
                <c:pt idx="0">
                  <c:v>2021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'8.10'!$G$7:$G$9</c:f>
              <c:numCache>
                <c:formatCode>General</c:formatCode>
                <c:ptCount val="3"/>
                <c:pt idx="0">
                  <c:v>4</c:v>
                </c:pt>
                <c:pt idx="1">
                  <c:v>10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F-4F82-8053-A00150324139}"/>
            </c:ext>
          </c:extLst>
        </c:ser>
        <c:ser>
          <c:idx val="0"/>
          <c:order val="2"/>
          <c:tx>
            <c:strRef>
              <c:f>'8.10'!$H$3:$H$4</c:f>
              <c:strCache>
                <c:ptCount val="2"/>
                <c:pt idx="0">
                  <c:v>2022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'8.10'!$H$7:$H$9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F-4F82-8053-A0015032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14688"/>
        <c:axId val="44116224"/>
      </c:barChart>
      <c:catAx>
        <c:axId val="44114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4116224"/>
        <c:crosses val="autoZero"/>
        <c:auto val="1"/>
        <c:lblAlgn val="ctr"/>
        <c:lblOffset val="100"/>
        <c:noMultiLvlLbl val="0"/>
      </c:catAx>
      <c:valAx>
        <c:axId val="44116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/>
                  <a:t>In</a:t>
                </a:r>
                <a:r>
                  <a:rPr lang="en-US" sz="900" b="1" baseline="0"/>
                  <a:t> n</a:t>
                </a:r>
                <a:r>
                  <a:rPr lang="en-US" sz="900" b="1"/>
                  <a:t>umbers</a:t>
                </a:r>
              </a:p>
            </c:rich>
          </c:tx>
          <c:layout>
            <c:manualLayout>
              <c:xMode val="edge"/>
              <c:yMode val="edge"/>
              <c:x val="9.2466482230261753E-3"/>
              <c:y val="0.3130434127592430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411468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4983649164869359"/>
          <c:y val="0.27802831292778285"/>
          <c:w val="0.16805269150893268"/>
          <c:h val="0.25208042758897248"/>
        </c:manualLayout>
      </c:layout>
      <c:overlay val="0"/>
      <c:txPr>
        <a:bodyPr/>
        <a:lstStyle/>
        <a:p>
          <a:pPr>
            <a:defRPr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313169438596074"/>
          <c:y val="0.1800932422329144"/>
          <c:w val="0.44730035076529956"/>
          <c:h val="0.79350819929943917"/>
        </c:manualLayout>
      </c:layout>
      <c:doughnutChart>
        <c:varyColors val="1"/>
        <c:ser>
          <c:idx val="0"/>
          <c:order val="0"/>
          <c:spPr>
            <a:solidFill>
              <a:srgbClr val="953735"/>
            </a:solidFill>
          </c:spPr>
          <c:explosion val="2"/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985-4B65-8BAB-25E11A89DA47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985-4B65-8BAB-25E11A89DA47}"/>
              </c:ext>
            </c:extLst>
          </c:dPt>
          <c:dLbls>
            <c:dLbl>
              <c:idx val="0"/>
              <c:layout>
                <c:manualLayout>
                  <c:x val="0.14929471247751433"/>
                  <c:y val="-8.26387726522774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000"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80583579695349"/>
                      <c:h val="0.173150330412314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985-4B65-8BAB-25E11A89DA47}"/>
                </c:ext>
              </c:extLst>
            </c:dLbl>
            <c:dLbl>
              <c:idx val="1"/>
              <c:layout>
                <c:manualLayout>
                  <c:x val="-0.10844843706820023"/>
                  <c:y val="-0.2180579192739766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rgbClr val="4C3A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85-4B65-8BAB-25E11A89D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('8.10'!$A$6,'8.10'!$A$10)</c:f>
              <c:strCache>
                <c:ptCount val="2"/>
                <c:pt idx="0">
                  <c:v>Assault by group of persons</c:v>
                </c:pt>
                <c:pt idx="1">
                  <c:v>Other Assault</c:v>
                </c:pt>
              </c:strCache>
            </c:strRef>
          </c:cat>
          <c:val>
            <c:numRef>
              <c:f>('8.10'!$I$6,'8.10'!$I$10)</c:f>
              <c:numCache>
                <c:formatCode>#,##0</c:formatCode>
                <c:ptCount val="2"/>
                <c:pt idx="0">
                  <c:v>12.859884836852206</c:v>
                </c:pt>
                <c:pt idx="1">
                  <c:v>87.140115163147797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5-4B65-8BAB-25E11A89DA4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30"/>
        <c:holeSize val="50"/>
      </c:doughnutChart>
    </c:plotArea>
    <c:plotVisOnly val="1"/>
    <c:dispBlanksAs val="zero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8.15: Percentage change of Assaults by group of person over previous year (2021)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642703903841904E-2"/>
          <c:y val="0.18127834819151975"/>
          <c:w val="0.92074113704672778"/>
          <c:h val="0.793293310615474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442-400B-8296-C265A316864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0893-4196-ABAD-DF77F6B0BF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'8.10'!$A$7:$A$9</c15:sqref>
                  </c15:fullRef>
                </c:ext>
              </c:extLst>
              <c:f>('8.10'!$A$7,'8.10'!$A$9)</c:f>
              <c:strCache>
                <c:ptCount val="2"/>
                <c:pt idx="0">
                  <c:v>Using weapons</c:v>
                </c:pt>
                <c:pt idx="1">
                  <c:v>Without use of weapons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'8.10'!$J$7:$J$9</c15:sqref>
                  </c15:fullRef>
                </c:ext>
              </c:extLst>
              <c:f>('8.10'!$J$7,'8.10'!$J$9)</c:f>
              <c:numCache>
                <c:formatCode>#,##0</c:formatCode>
                <c:ptCount val="2"/>
                <c:pt idx="0">
                  <c:v>25</c:v>
                </c:pt>
                <c:pt idx="1">
                  <c:v>-43.478260869565219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'8.10'!$J$8</c15:sqref>
                  <c15:spPr xmlns:c15="http://schemas.microsoft.com/office/drawing/2012/chart">
                    <a:solidFill>
                      <a:srgbClr val="FFC5C5"/>
                    </a:soli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0893-4196-ABAD-DF77F6B0B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185088"/>
        <c:axId val="44186624"/>
      </c:barChart>
      <c:catAx>
        <c:axId val="4418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0" cap="flat" cmpd="sng" algn="ctr">
            <a:solidFill>
              <a:srgbClr val="006664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6624"/>
        <c:crosses val="autoZero"/>
        <c:auto val="1"/>
        <c:lblAlgn val="ctr"/>
        <c:lblOffset val="100"/>
        <c:noMultiLvlLbl val="0"/>
      </c:catAx>
      <c:valAx>
        <c:axId val="44186624"/>
        <c:scaling>
          <c:orientation val="minMax"/>
          <c:max val="100"/>
          <c:min val="-8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5088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462623</xdr:colOff>
      <xdr:row>12</xdr:row>
      <xdr:rowOff>69788</xdr:rowOff>
    </xdr:from>
    <xdr:to>
      <xdr:col>10</xdr:col>
      <xdr:colOff>584543</xdr:colOff>
      <xdr:row>26</xdr:row>
      <xdr:rowOff>134083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469557</xdr:colOff>
      <xdr:row>27</xdr:row>
      <xdr:rowOff>162363</xdr:rowOff>
    </xdr:from>
    <xdr:to>
      <xdr:col>10</xdr:col>
      <xdr:colOff>619125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219076</xdr:colOff>
      <xdr:row>28</xdr:row>
      <xdr:rowOff>117146</xdr:rowOff>
    </xdr:from>
    <xdr:to>
      <xdr:col>9</xdr:col>
      <xdr:colOff>695326</xdr:colOff>
      <xdr:row>30</xdr:row>
      <xdr:rowOff>28273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1781176" y="6479846"/>
          <a:ext cx="4210050" cy="2921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8.14: Percentage of assault cases logged  by type, 2022</a:t>
          </a:r>
          <a:endParaRPr lang="en-US" sz="1200">
            <a:solidFill>
              <a:schemeClr val="tx1">
                <a:lumMod val="65000"/>
                <a:lumOff val="35000"/>
              </a:schemeClr>
            </a:solidFill>
            <a:effectLst/>
            <a:latin typeface="Candara" panose="020E0502030303020204" pitchFamily="34" charset="0"/>
            <a:cs typeface="Consolas" pitchFamily="49" charset="0"/>
          </a:endParaRPr>
        </a:p>
        <a:p>
          <a:endParaRPr lang="en-US" sz="12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477714</xdr:colOff>
      <xdr:row>43</xdr:row>
      <xdr:rowOff>156795</xdr:rowOff>
    </xdr:from>
    <xdr:to>
      <xdr:col>10</xdr:col>
      <xdr:colOff>628649</xdr:colOff>
      <xdr:row>59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474747</xdr:colOff>
      <xdr:row>45</xdr:row>
      <xdr:rowOff>24063</xdr:rowOff>
    </xdr:from>
    <xdr:to>
      <xdr:col>0</xdr:col>
      <xdr:colOff>1285875</xdr:colOff>
      <xdr:row>46</xdr:row>
      <xdr:rowOff>64169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474747" y="9625263"/>
          <a:ext cx="811128" cy="230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 b="1"/>
            <a:t>Percentage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0.26804</cdr:x>
      <cdr:y>0.05224</cdr:y>
    </cdr:from>
    <cdr:to>
      <cdr:x>0.77075</cdr:x>
      <cdr:y>0.14035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63685" y="144183"/>
          <a:ext cx="3307718" cy="2431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Figure: 8.13: Assault by group of persons, 2020 - 2022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92D050"/>
  </sheetPr>
  <dimension ref="A1:Q40"/>
  <sheetViews>
    <sheetView tabSelected="1" zoomScale="106" zoomScaleNormal="106" workbookViewId="0">
      <selection activeCell="N9" sqref="N9"/>
    </sheetView>
  </sheetViews>
  <sheetFormatPr defaultColWidth="15.42578125" defaultRowHeight="15"/>
  <cols>
    <col min="1" max="1" width="23.42578125" style="1" customWidth="1"/>
    <col min="2" max="8" width="9.85546875" style="1" customWidth="1"/>
    <col min="9" max="9" width="11.5703125" style="1" customWidth="1"/>
    <col min="10" max="10" width="17.42578125" style="1" customWidth="1"/>
    <col min="11" max="11" width="21.140625" style="1" customWidth="1"/>
    <col min="12" max="12" width="2.85546875" style="1" customWidth="1"/>
    <col min="13" max="13" width="22.140625" style="1" bestFit="1" customWidth="1"/>
    <col min="14" max="16384" width="15.42578125" style="1"/>
  </cols>
  <sheetData>
    <row r="1" spans="1:17" ht="18.75">
      <c r="A1" s="50" t="s">
        <v>20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7" ht="21.75" customHeight="1">
      <c r="A2" s="42" t="s">
        <v>19</v>
      </c>
      <c r="B2" s="42"/>
      <c r="C2" s="42"/>
      <c r="D2" s="42"/>
      <c r="E2" s="43"/>
      <c r="F2" s="43"/>
      <c r="G2" s="42"/>
      <c r="H2" s="44"/>
      <c r="I2" s="42"/>
      <c r="J2" s="42"/>
      <c r="K2" s="42"/>
      <c r="M2" s="2"/>
    </row>
    <row r="3" spans="1:17" ht="51.75">
      <c r="A3" s="48" t="s">
        <v>4</v>
      </c>
      <c r="B3" s="46">
        <v>2016</v>
      </c>
      <c r="C3" s="46">
        <v>2017</v>
      </c>
      <c r="D3" s="46">
        <v>2018</v>
      </c>
      <c r="E3" s="46">
        <v>2019</v>
      </c>
      <c r="F3" s="46">
        <v>2020</v>
      </c>
      <c r="G3" s="46">
        <v>2021</v>
      </c>
      <c r="H3" s="46">
        <v>2022</v>
      </c>
      <c r="I3" s="32" t="s">
        <v>21</v>
      </c>
      <c r="J3" s="34" t="s">
        <v>6</v>
      </c>
      <c r="K3" s="45" t="s">
        <v>5</v>
      </c>
      <c r="N3" s="3"/>
      <c r="O3" s="3"/>
      <c r="P3" s="3"/>
      <c r="Q3" s="3"/>
    </row>
    <row r="4" spans="1:17" ht="24">
      <c r="A4" s="49"/>
      <c r="B4" s="47"/>
      <c r="C4" s="47"/>
      <c r="D4" s="47"/>
      <c r="E4" s="47"/>
      <c r="F4" s="47"/>
      <c r="G4" s="47"/>
      <c r="H4" s="47"/>
      <c r="I4" s="31" t="s">
        <v>7</v>
      </c>
      <c r="J4" s="20" t="s">
        <v>18</v>
      </c>
      <c r="K4" s="41"/>
      <c r="N4" s="3"/>
      <c r="O4" s="3"/>
      <c r="P4" s="3"/>
      <c r="Q4" s="3"/>
    </row>
    <row r="5" spans="1:17" s="14" customFormat="1" ht="18.75">
      <c r="A5" s="5" t="s">
        <v>0</v>
      </c>
      <c r="B5" s="21">
        <f t="shared" ref="B5:D5" si="0">B6+B10</f>
        <v>781</v>
      </c>
      <c r="C5" s="21">
        <f t="shared" si="0"/>
        <v>770</v>
      </c>
      <c r="D5" s="21">
        <f t="shared" si="0"/>
        <v>753</v>
      </c>
      <c r="E5" s="21">
        <f>E6+E10</f>
        <v>631</v>
      </c>
      <c r="F5" s="21">
        <f>F6+F10</f>
        <v>661</v>
      </c>
      <c r="G5" s="21">
        <f>G6+G10</f>
        <v>610</v>
      </c>
      <c r="H5" s="21">
        <f>H6+H10</f>
        <v>521</v>
      </c>
      <c r="I5" s="35">
        <f t="shared" ref="I5:I10" si="1">H5/H$5*100</f>
        <v>100</v>
      </c>
      <c r="J5" s="36">
        <f t="shared" ref="J5:J10" si="2">((H5-G5)/G5*100)</f>
        <v>-14.590163934426229</v>
      </c>
      <c r="K5" s="23" t="s">
        <v>3</v>
      </c>
      <c r="L5" s="21"/>
      <c r="M5" s="21"/>
      <c r="N5" s="15"/>
      <c r="O5" s="15"/>
      <c r="P5" s="15"/>
      <c r="Q5" s="15"/>
    </row>
    <row r="6" spans="1:17" s="14" customFormat="1" ht="18.75">
      <c r="A6" s="5" t="s">
        <v>8</v>
      </c>
      <c r="B6" s="6">
        <f t="shared" ref="B6" si="3">SUM(B7:B9)</f>
        <v>215</v>
      </c>
      <c r="C6" s="6">
        <f t="shared" ref="C6:H6" si="4">SUM(C7:C9)</f>
        <v>219</v>
      </c>
      <c r="D6" s="6">
        <f t="shared" si="4"/>
        <v>223</v>
      </c>
      <c r="E6" s="6">
        <f t="shared" si="4"/>
        <v>131</v>
      </c>
      <c r="F6" s="6">
        <f t="shared" si="4"/>
        <v>151</v>
      </c>
      <c r="G6" s="6">
        <f t="shared" si="4"/>
        <v>106</v>
      </c>
      <c r="H6" s="6">
        <f t="shared" si="4"/>
        <v>67</v>
      </c>
      <c r="I6" s="35">
        <f t="shared" si="1"/>
        <v>12.859884836852206</v>
      </c>
      <c r="J6" s="37">
        <f t="shared" si="2"/>
        <v>-36.79245283018868</v>
      </c>
      <c r="K6" s="23" t="s">
        <v>9</v>
      </c>
      <c r="L6" s="6"/>
      <c r="M6" s="6"/>
      <c r="N6" s="15"/>
      <c r="O6" s="15"/>
      <c r="P6" s="15"/>
      <c r="Q6" s="15"/>
    </row>
    <row r="7" spans="1:17" s="19" customFormat="1" ht="18.75">
      <c r="A7" s="16" t="s">
        <v>10</v>
      </c>
      <c r="B7" s="25">
        <v>22</v>
      </c>
      <c r="C7" s="25">
        <v>17</v>
      </c>
      <c r="D7" s="25">
        <v>26</v>
      </c>
      <c r="E7" s="25">
        <v>6</v>
      </c>
      <c r="F7" s="25">
        <v>12</v>
      </c>
      <c r="G7" s="25">
        <v>4</v>
      </c>
      <c r="H7" s="25">
        <v>5</v>
      </c>
      <c r="I7" s="38">
        <f t="shared" si="1"/>
        <v>0.95969289827255266</v>
      </c>
      <c r="J7" s="37">
        <f t="shared" si="2"/>
        <v>25</v>
      </c>
      <c r="K7" s="8" t="s">
        <v>11</v>
      </c>
      <c r="L7" s="22"/>
      <c r="M7" s="22"/>
      <c r="N7" s="15"/>
      <c r="O7" s="17"/>
      <c r="P7" s="17"/>
      <c r="Q7" s="17"/>
    </row>
    <row r="8" spans="1:17" s="19" customFormat="1" ht="18.75">
      <c r="A8" s="16" t="s">
        <v>12</v>
      </c>
      <c r="B8" s="25">
        <v>24</v>
      </c>
      <c r="C8" s="25">
        <v>34</v>
      </c>
      <c r="D8" s="25">
        <v>48</v>
      </c>
      <c r="E8" s="25">
        <v>16</v>
      </c>
      <c r="F8" s="25">
        <v>7</v>
      </c>
      <c r="G8" s="25">
        <v>10</v>
      </c>
      <c r="H8" s="25">
        <v>10</v>
      </c>
      <c r="I8" s="38">
        <f t="shared" si="1"/>
        <v>1.9193857965451053</v>
      </c>
      <c r="J8" s="37">
        <f t="shared" si="2"/>
        <v>0</v>
      </c>
      <c r="K8" s="8" t="s">
        <v>13</v>
      </c>
      <c r="L8" s="22"/>
      <c r="M8" s="22"/>
      <c r="N8" s="15"/>
      <c r="O8" s="17"/>
      <c r="P8" s="17"/>
      <c r="Q8" s="17"/>
    </row>
    <row r="9" spans="1:17" s="19" customFormat="1" ht="18.75">
      <c r="A9" s="16" t="s">
        <v>14</v>
      </c>
      <c r="B9" s="25">
        <v>169</v>
      </c>
      <c r="C9" s="25">
        <v>168</v>
      </c>
      <c r="D9" s="25">
        <v>149</v>
      </c>
      <c r="E9" s="25">
        <v>109</v>
      </c>
      <c r="F9" s="25">
        <v>132</v>
      </c>
      <c r="G9" s="25">
        <v>92</v>
      </c>
      <c r="H9" s="25">
        <v>52</v>
      </c>
      <c r="I9" s="38">
        <f t="shared" si="1"/>
        <v>9.9808061420345489</v>
      </c>
      <c r="J9" s="37">
        <f t="shared" si="2"/>
        <v>-43.478260869565219</v>
      </c>
      <c r="K9" s="8" t="s">
        <v>15</v>
      </c>
      <c r="L9" s="22"/>
      <c r="M9" s="22"/>
      <c r="N9" s="15"/>
      <c r="O9" s="17"/>
      <c r="P9" s="17"/>
      <c r="Q9" s="17"/>
    </row>
    <row r="10" spans="1:17" s="27" customFormat="1" ht="18.75">
      <c r="A10" s="4" t="s">
        <v>16</v>
      </c>
      <c r="B10" s="24">
        <v>566</v>
      </c>
      <c r="C10" s="24">
        <v>551</v>
      </c>
      <c r="D10" s="24">
        <v>530</v>
      </c>
      <c r="E10" s="24">
        <v>500</v>
      </c>
      <c r="F10" s="24">
        <v>510</v>
      </c>
      <c r="G10" s="24">
        <v>504</v>
      </c>
      <c r="H10" s="24">
        <v>454</v>
      </c>
      <c r="I10" s="39">
        <f t="shared" si="1"/>
        <v>87.140115163147797</v>
      </c>
      <c r="J10" s="40">
        <f t="shared" si="2"/>
        <v>-9.9206349206349209</v>
      </c>
      <c r="K10" s="26" t="s">
        <v>17</v>
      </c>
      <c r="L10" s="6"/>
      <c r="M10" s="6"/>
      <c r="N10" s="15"/>
      <c r="O10" s="15"/>
      <c r="P10" s="15"/>
      <c r="Q10" s="15"/>
    </row>
    <row r="11" spans="1:17">
      <c r="A11" s="11" t="s">
        <v>1</v>
      </c>
      <c r="B11" s="10"/>
      <c r="C11" s="10"/>
      <c r="D11" s="10"/>
      <c r="E11" s="10"/>
      <c r="F11" s="10"/>
      <c r="G11" s="10"/>
      <c r="H11" s="10"/>
      <c r="I11" s="10"/>
      <c r="J11" s="10"/>
      <c r="K11" s="33" t="s">
        <v>2</v>
      </c>
      <c r="N11" s="3"/>
      <c r="O11" s="3"/>
      <c r="P11" s="3"/>
      <c r="Q11" s="3"/>
    </row>
    <row r="12" spans="1:17">
      <c r="N12" s="3"/>
      <c r="O12" s="3"/>
      <c r="P12" s="3"/>
      <c r="Q12" s="3"/>
    </row>
    <row r="13" spans="1:17">
      <c r="A13" s="18"/>
      <c r="N13" s="3"/>
      <c r="O13" s="3"/>
      <c r="P13" s="3"/>
      <c r="Q13" s="3"/>
    </row>
    <row r="14" spans="1:17">
      <c r="N14" s="3"/>
      <c r="O14" s="3"/>
      <c r="P14" s="3"/>
      <c r="Q14" s="3"/>
    </row>
    <row r="15" spans="1:17">
      <c r="N15" s="3"/>
      <c r="O15" s="3"/>
      <c r="P15" s="3"/>
      <c r="Q15" s="3"/>
    </row>
    <row r="16" spans="1:17">
      <c r="N16" s="3"/>
      <c r="O16" s="3"/>
      <c r="P16" s="3"/>
      <c r="Q16" s="3"/>
    </row>
    <row r="17" spans="1:17">
      <c r="N17" s="3"/>
      <c r="O17" s="3"/>
      <c r="P17" s="3"/>
      <c r="Q17" s="3"/>
    </row>
    <row r="18" spans="1:17" ht="17.25">
      <c r="A18" s="12"/>
      <c r="B18" s="7"/>
      <c r="C18" s="7"/>
      <c r="D18" s="7"/>
      <c r="E18" s="7"/>
      <c r="F18" s="7"/>
      <c r="G18" s="7"/>
      <c r="H18" s="7"/>
      <c r="I18" s="7"/>
      <c r="J18" s="9"/>
      <c r="K18" s="13"/>
      <c r="N18" s="3"/>
      <c r="O18" s="3"/>
      <c r="P18" s="3"/>
      <c r="Q18" s="3"/>
    </row>
    <row r="19" spans="1:17">
      <c r="N19" s="3"/>
      <c r="O19" s="3"/>
      <c r="P19" s="3"/>
      <c r="Q19" s="3"/>
    </row>
    <row r="20" spans="1:17">
      <c r="N20" s="3"/>
      <c r="O20" s="3"/>
      <c r="P20" s="3"/>
      <c r="Q20" s="3"/>
    </row>
    <row r="27" spans="1:17">
      <c r="L27" s="28"/>
      <c r="M27" s="28"/>
      <c r="N27" s="28"/>
    </row>
    <row r="28" spans="1:17">
      <c r="L28" s="14"/>
      <c r="M28" s="14"/>
      <c r="N28" s="28"/>
    </row>
    <row r="29" spans="1:17">
      <c r="L29" s="14"/>
      <c r="M29" s="14"/>
      <c r="N29" s="28"/>
    </row>
    <row r="30" spans="1:17">
      <c r="L30" s="14"/>
      <c r="M30" s="14"/>
      <c r="N30" s="28"/>
    </row>
    <row r="31" spans="1:17">
      <c r="L31" s="14"/>
      <c r="M31" s="14"/>
      <c r="N31" s="28"/>
    </row>
    <row r="32" spans="1:17">
      <c r="L32" s="14"/>
      <c r="M32" s="14"/>
      <c r="N32" s="28"/>
    </row>
    <row r="33" spans="12:17">
      <c r="L33" s="14"/>
      <c r="M33" s="14"/>
      <c r="N33" s="28"/>
    </row>
    <row r="34" spans="12:17">
      <c r="O34" s="29"/>
      <c r="P34" s="30"/>
      <c r="Q34" s="28"/>
    </row>
    <row r="35" spans="12:17">
      <c r="O35" s="29"/>
      <c r="P35" s="30"/>
      <c r="Q35" s="28"/>
    </row>
    <row r="36" spans="12:17">
      <c r="L36" s="28"/>
      <c r="M36" s="28"/>
      <c r="N36" s="28"/>
      <c r="P36" s="5"/>
      <c r="Q36" s="6"/>
    </row>
    <row r="37" spans="12:17">
      <c r="L37" s="28"/>
      <c r="M37" s="28"/>
      <c r="N37" s="28"/>
    </row>
    <row r="38" spans="12:17">
      <c r="L38" s="28"/>
      <c r="M38" s="28"/>
      <c r="N38" s="28"/>
    </row>
    <row r="39" spans="12:17">
      <c r="L39" s="28"/>
      <c r="M39" s="28"/>
      <c r="N39" s="28"/>
    </row>
    <row r="40" spans="12:17">
      <c r="L40" s="28"/>
      <c r="M40" s="28"/>
      <c r="N40" s="28"/>
    </row>
  </sheetData>
  <mergeCells count="11">
    <mergeCell ref="D3:D4"/>
    <mergeCell ref="K3:K4"/>
    <mergeCell ref="A1:K1"/>
    <mergeCell ref="A2:K2"/>
    <mergeCell ref="A3:A4"/>
    <mergeCell ref="B3:B4"/>
    <mergeCell ref="C3:C4"/>
    <mergeCell ref="E3:E4"/>
    <mergeCell ref="F3:F4"/>
    <mergeCell ref="G3:G4"/>
    <mergeCell ref="H3:H4"/>
  </mergeCells>
  <pageMargins left="0.7" right="0.7" top="0.75" bottom="0.75" header="0.3" footer="0.3"/>
  <pageSetup paperSize="9" scale="56" orientation="portrait" r:id="rId1"/>
  <colBreaks count="1" manualBreakCount="1">
    <brk id="12" max="59" man="1"/>
  </colBreaks>
  <ignoredErrors>
    <ignoredError sqref="B6:G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8.10</vt:lpstr>
      <vt:lpstr>'8.10'!Print_Area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2023-10-16T08:49:33Z</cp:lastPrinted>
  <dcterms:created xsi:type="dcterms:W3CDTF">2019-06-30T04:22:49Z</dcterms:created>
  <dcterms:modified xsi:type="dcterms:W3CDTF">2023-10-16T08:49:38Z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