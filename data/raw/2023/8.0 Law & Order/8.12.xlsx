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61E8A0D8-F1F2-40E1-B5F1-E5CF36A4E61F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12" sheetId="12" r:id="rId1"/>
  </sheets>
  <definedNames>
    <definedName name="_xlnm.Print_Area" localSheetId="0">'8.12'!$A$1:$M$35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2" l="1"/>
  <c r="H5" i="12"/>
  <c r="J7" i="12" s="1"/>
  <c r="G5" i="12"/>
  <c r="BI21" i="12"/>
  <c r="BI22" i="12"/>
  <c r="BI23" i="12"/>
  <c r="BI24" i="12"/>
  <c r="BI25" i="12"/>
  <c r="BI26" i="12"/>
  <c r="BI27" i="12"/>
  <c r="BI28" i="12"/>
  <c r="BI29" i="12"/>
  <c r="BI30" i="12"/>
  <c r="BI31" i="12"/>
  <c r="BI20" i="12"/>
  <c r="J6" i="12" l="1"/>
  <c r="J15" i="12"/>
  <c r="J14" i="12"/>
  <c r="J13" i="12"/>
  <c r="J16" i="12"/>
  <c r="J12" i="12"/>
  <c r="J11" i="12"/>
  <c r="J10" i="12"/>
  <c r="J9" i="12"/>
  <c r="I5" i="12"/>
  <c r="J8" i="12"/>
  <c r="J17" i="12"/>
  <c r="J5" i="12"/>
  <c r="I7" i="12"/>
  <c r="I8" i="12"/>
  <c r="I9" i="12"/>
  <c r="I10" i="12"/>
  <c r="I11" i="12"/>
  <c r="I12" i="12"/>
  <c r="I13" i="12"/>
  <c r="I14" i="12"/>
  <c r="I15" i="12"/>
  <c r="I16" i="12"/>
  <c r="I17" i="12"/>
  <c r="F5" i="12" l="1"/>
  <c r="E5" i="12" l="1"/>
  <c r="D5" i="12" l="1"/>
  <c r="C5" i="12"/>
  <c r="B5" i="12"/>
</calcChain>
</file>

<file path=xl/sharedStrings.xml><?xml version="1.0" encoding="utf-8"?>
<sst xmlns="http://schemas.openxmlformats.org/spreadsheetml/2006/main" count="50" uniqueCount="40">
  <si>
    <t>Theft</t>
  </si>
  <si>
    <t>Total</t>
  </si>
  <si>
    <t>wlcmuj</t>
  </si>
  <si>
    <t>Traffic accidents</t>
  </si>
  <si>
    <t>ވައްކަން</t>
  </si>
  <si>
    <t>Drugs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</si>
  <si>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</si>
  <si>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</si>
  <si>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</si>
  <si>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</si>
  <si>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</si>
  <si>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</si>
  <si>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</si>
  <si>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</si>
  <si>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</si>
  <si>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</si>
  <si>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</si>
  <si>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</si>
  <si>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</si>
  <si>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</si>
  <si>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</si>
  <si>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</si>
  <si>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</si>
  <si>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</si>
  <si>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</si>
  <si>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</si>
  <si>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</si>
  <si>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</si>
  <si>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</si>
  <si>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</si>
  <si>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ވަގުފައިސާ</t>
  </si>
  <si>
    <t xml:space="preserve"> މައްސަލައިގެ ބާވަތް</t>
  </si>
  <si>
    <t xml:space="preserve">  ކުރީ އަހަރާއި  އަޅާބަލާއިރު  އިތުރުވި މިންވަރު</t>
  </si>
  <si>
    <t>Logged cases</t>
  </si>
  <si>
    <t>Completed cases</t>
  </si>
  <si>
    <t>އިންސައްތަ 2021</t>
  </si>
  <si>
    <t>%change over 2021</t>
  </si>
  <si>
    <t>Percentage share 2021</t>
  </si>
  <si>
    <t>Table  8.12: COMPLETED CASES BY TYPE, 2016 - 2022</t>
  </si>
  <si>
    <t>ތާވަލު 8.12: ނިންމުނު މައްސަލަތައް، 2016- 2022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</si>
</sst>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5" fillId="0" borderId="7" applyNumberFormat="0" applyFill="0" applyAlignment="0" applyProtection="0"/>
    <xf numFmtId="0" fontId="24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172" fontId="29" fillId="0" borderId="0"/>
    <xf numFmtId="1" fontId="30" fillId="0" borderId="11" applyNumberFormat="0"/>
    <xf numFmtId="0" fontId="24" fillId="0" borderId="0"/>
    <xf numFmtId="0" fontId="1" fillId="0" borderId="0"/>
    <xf numFmtId="0" fontId="24" fillId="0" borderId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28" fillId="0" borderId="0"/>
    <xf numFmtId="40" fontId="28" fillId="0" borderId="0" applyFont="0" applyFill="0" applyBorder="0" applyAlignment="0" applyProtection="0"/>
    <xf numFmtId="0" fontId="28" fillId="0" borderId="0"/>
    <xf numFmtId="0" fontId="24" fillId="0" borderId="0"/>
    <xf numFmtId="1" fontId="30" fillId="0" borderId="11" applyNumberFormat="0"/>
    <xf numFmtId="0" fontId="1" fillId="0" borderId="0"/>
    <xf numFmtId="0" fontId="28" fillId="0" borderId="0"/>
    <xf numFmtId="0" fontId="17" fillId="0" borderId="0" applyFill="0" applyProtection="0"/>
    <xf numFmtId="1" fontId="30" fillId="0" borderId="11" applyNumberFormat="0"/>
    <xf numFmtId="43" fontId="1" fillId="0" borderId="0" applyFont="0" applyFill="0" applyBorder="0" applyAlignment="0" applyProtection="0"/>
    <xf numFmtId="0" fontId="1" fillId="0" borderId="0"/>
    <xf numFmtId="0" fontId="31" fillId="0" borderId="0"/>
    <xf numFmtId="0" fontId="32" fillId="0" borderId="0"/>
    <xf numFmtId="0" fontId="31" fillId="0" borderId="0"/>
    <xf numFmtId="0" fontId="1" fillId="0" borderId="0"/>
    <xf numFmtId="0" fontId="28" fillId="0" borderId="0"/>
    <xf numFmtId="0" fontId="17" fillId="0" borderId="0" applyFill="0" applyProtection="0"/>
    <xf numFmtId="1" fontId="30" fillId="0" borderId="11" applyNumberFormat="0"/>
    <xf numFmtId="0" fontId="1" fillId="0" borderId="0"/>
    <xf numFmtId="0" fontId="24" fillId="0" borderId="0"/>
    <xf numFmtId="0" fontId="31" fillId="0" borderId="0"/>
    <xf numFmtId="0" fontId="32" fillId="0" borderId="0"/>
    <xf numFmtId="0" fontId="24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8" fillId="0" borderId="0" applyFont="0" applyFill="0" applyBorder="0" applyAlignment="0" applyProtection="0"/>
    <xf numFmtId="0" fontId="1" fillId="0" borderId="0"/>
    <xf numFmtId="0" fontId="33" fillId="0" borderId="0" applyBorder="0"/>
    <xf numFmtId="0" fontId="1" fillId="0" borderId="0"/>
    <xf numFmtId="40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3" fillId="0" borderId="0" applyBorder="0"/>
    <xf numFmtId="0" fontId="1" fillId="0" borderId="0"/>
    <xf numFmtId="0" fontId="1" fillId="0" borderId="0"/>
    <xf numFmtId="1" fontId="30" fillId="0" borderId="11" applyNumberFormat="0"/>
    <xf numFmtId="1" fontId="30" fillId="0" borderId="11" applyNumberFormat="0"/>
    <xf numFmtId="1" fontId="30" fillId="0" borderId="11" applyNumberFormat="0"/>
    <xf numFmtId="1" fontId="30" fillId="0" borderId="11" applyNumberFormat="0"/>
  </cellStyleXfs>
  <cellXfs count="45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4" fontId="11" fillId="2" borderId="0" xfId="0" applyNumberFormat="1" applyFont="1" applyFill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right" vertical="center"/>
    </xf>
    <xf numFmtId="167" fontId="15" fillId="2" borderId="0" xfId="1" applyNumberFormat="1" applyFont="1" applyFill="1" applyBorder="1" applyAlignment="1">
      <alignment horizontal="right"/>
    </xf>
    <xf numFmtId="164" fontId="19" fillId="2" borderId="0" xfId="0" applyNumberFormat="1" applyFont="1" applyFill="1"/>
    <xf numFmtId="164" fontId="14" fillId="2" borderId="0" xfId="0" applyNumberFormat="1" applyFont="1" applyFill="1"/>
    <xf numFmtId="164" fontId="16" fillId="2" borderId="5" xfId="0" applyNumberFormat="1" applyFont="1" applyFill="1" applyBorder="1" applyAlignment="1">
      <alignment vertical="center"/>
    </xf>
    <xf numFmtId="164" fontId="11" fillId="2" borderId="0" xfId="0" applyNumberFormat="1" applyFont="1" applyFill="1"/>
    <xf numFmtId="164" fontId="12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11" fillId="2" borderId="4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22" fillId="2" borderId="0" xfId="0" applyNumberFormat="1" applyFont="1" applyFill="1"/>
    <xf numFmtId="164" fontId="4" fillId="2" borderId="3" xfId="0" applyNumberFormat="1" applyFont="1" applyFill="1" applyBorder="1"/>
    <xf numFmtId="166" fontId="4" fillId="2" borderId="3" xfId="1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166" fontId="11" fillId="2" borderId="0" xfId="1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/>
    <xf numFmtId="166" fontId="11" fillId="2" borderId="4" xfId="1" applyNumberFormat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right" vertical="center" indent="2"/>
    </xf>
    <xf numFmtId="164" fontId="7" fillId="2" borderId="0" xfId="0" applyNumberFormat="1" applyFont="1" applyFill="1" applyAlignment="1">
      <alignment horizontal="right"/>
    </xf>
    <xf numFmtId="166" fontId="3" fillId="2" borderId="0" xfId="1" applyNumberFormat="1" applyFont="1" applyFill="1" applyBorder="1" applyAlignment="1" applyProtection="1">
      <alignment horizontal="right" vertical="center"/>
      <protection locked="0"/>
    </xf>
    <xf numFmtId="164" fontId="26" fillId="2" borderId="6" xfId="0" applyNumberFormat="1" applyFont="1" applyFill="1" applyBorder="1" applyAlignment="1">
      <alignment horizontal="right" vertical="center"/>
    </xf>
    <xf numFmtId="164" fontId="27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 vertical="center"/>
    </xf>
    <xf numFmtId="3" fontId="13" fillId="2" borderId="4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3" fillId="2" borderId="9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21" fillId="2" borderId="3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'8.12'!$BH$19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'8.12'!$BG$20:$BG$31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'8.12'!$BH$20:$BH$31</c:f>
              <c:numCache>
                <c:formatCode>General_)</c:formatCode>
                <c:ptCount val="12"/>
                <c:pt idx="0">
                  <c:v>3982</c:v>
                </c:pt>
                <c:pt idx="1">
                  <c:v>1618</c:v>
                </c:pt>
                <c:pt idx="2">
                  <c:v>1429</c:v>
                </c:pt>
                <c:pt idx="3">
                  <c:v>1412</c:v>
                </c:pt>
                <c:pt idx="4">
                  <c:v>521</c:v>
                </c:pt>
                <c:pt idx="5">
                  <c:v>482</c:v>
                </c:pt>
                <c:pt idx="6">
                  <c:v>372</c:v>
                </c:pt>
                <c:pt idx="7">
                  <c:v>334</c:v>
                </c:pt>
                <c:pt idx="8">
                  <c:v>914</c:v>
                </c:pt>
                <c:pt idx="9">
                  <c:v>228</c:v>
                </c:pt>
                <c:pt idx="10">
                  <c:v>116</c:v>
                </c:pt>
                <c:pt idx="11">
                  <c:v>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'8.12'!$BI$19</c:f>
              <c:strCache>
                <c:ptCount val="1"/>
                <c:pt idx="0">
                  <c:v> Completed cases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strRef>
              <c:f>'8.12'!$BG$20:$BG$31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'8.12'!$BI$20:$BI$31</c:f>
              <c:numCache>
                <c:formatCode>General_)</c:formatCode>
                <c:ptCount val="12"/>
                <c:pt idx="0">
                  <c:v>2790</c:v>
                </c:pt>
                <c:pt idx="1">
                  <c:v>1125</c:v>
                </c:pt>
                <c:pt idx="2">
                  <c:v>1048</c:v>
                </c:pt>
                <c:pt idx="3">
                  <c:v>1220</c:v>
                </c:pt>
                <c:pt idx="4">
                  <c:v>283</c:v>
                </c:pt>
                <c:pt idx="5">
                  <c:v>326</c:v>
                </c:pt>
                <c:pt idx="6">
                  <c:v>275</c:v>
                </c:pt>
                <c:pt idx="7">
                  <c:v>123</c:v>
                </c:pt>
                <c:pt idx="8">
                  <c:v>247</c:v>
                </c:pt>
                <c:pt idx="9">
                  <c:v>118</c:v>
                </c:pt>
                <c:pt idx="10">
                  <c:v>27</c:v>
                </c:pt>
                <c:pt idx="11">
                  <c:v>1085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4309120"/>
        <c:axId val="44319104"/>
      </c:barChart>
      <c:catAx>
        <c:axId val="443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44319104"/>
        <c:crosses val="autoZero"/>
        <c:auto val="1"/>
        <c:lblAlgn val="ctr"/>
        <c:lblOffset val="100"/>
        <c:noMultiLvlLbl val="0"/>
      </c:catAx>
      <c:valAx>
        <c:axId val="443191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430912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6277752422817282"/>
          <c:y val="0.22859657286991969"/>
          <c:w val="0.22702677376403657"/>
          <c:h val="0.13762962752599003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10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114300</xdr:rowOff>
    </xdr:from>
    <xdr:to>
      <xdr:col>2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66676</xdr:colOff>
      <xdr:row>19</xdr:row>
      <xdr:rowOff>47625</xdr:rowOff>
    </xdr:from>
    <xdr:to>
      <xdr:col>10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2022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92D050"/>
  </sheetPr>
  <dimension ref="A1:BJ31"/>
  <sheetViews>
    <sheetView tabSelected="1" zoomScaleNormal="100" workbookViewId="0">
      <selection activeCell="T16" sqref="T16"/>
    </sheetView>
  </sheetViews>
  <sheetFormatPr defaultColWidth="9.140625" defaultRowHeight="15"/>
  <cols>
    <col min="1" max="1" width="16.28515625" style="1" customWidth="1"/>
    <col min="2" max="4" width="10.5703125" style="1" bestFit="1" customWidth="1"/>
    <col min="5" max="8" width="10.5703125" style="1" customWidth="1"/>
    <col min="9" max="9" width="19.140625" style="1" customWidth="1"/>
    <col min="10" max="10" width="14.140625" style="1" customWidth="1"/>
    <col min="11" max="11" width="14.7109375" style="1" customWidth="1"/>
    <col min="12" max="12" width="1.28515625" style="1" customWidth="1"/>
    <col min="13" max="14" width="3.42578125" style="1" customWidth="1"/>
    <col min="15" max="15" width="7.85546875" style="1" customWidth="1"/>
    <col min="16" max="16" width="5.7109375" style="1" bestFit="1" customWidth="1"/>
    <col min="17" max="56" width="3.42578125" style="1" customWidth="1"/>
    <col min="57" max="16384" width="9.140625" style="1"/>
  </cols>
  <sheetData>
    <row r="1" spans="1:62" ht="21.75">
      <c r="A1" s="37" t="s">
        <v>39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62" ht="21.75" customHeight="1">
      <c r="A2" s="38" t="s">
        <v>38</v>
      </c>
      <c r="B2" s="38"/>
      <c r="C2" s="38"/>
      <c r="D2" s="38"/>
      <c r="E2" s="39"/>
      <c r="F2" s="39"/>
      <c r="G2" s="40"/>
      <c r="H2" s="41"/>
      <c r="I2" s="38"/>
      <c r="J2" s="38"/>
      <c r="K2" s="38"/>
    </row>
    <row r="3" spans="1:62" ht="51.75">
      <c r="A3" s="43" t="s">
        <v>28</v>
      </c>
      <c r="B3" s="34">
        <v>2016</v>
      </c>
      <c r="C3" s="34">
        <v>2017</v>
      </c>
      <c r="D3" s="34">
        <v>2018</v>
      </c>
      <c r="E3" s="34">
        <v>2019</v>
      </c>
      <c r="F3" s="34">
        <v>2020</v>
      </c>
      <c r="G3" s="34">
        <v>2021</v>
      </c>
      <c r="H3" s="34">
        <v>2022</v>
      </c>
      <c r="I3" s="31" t="s">
        <v>32</v>
      </c>
      <c r="J3" s="31" t="s">
        <v>35</v>
      </c>
      <c r="K3" s="42" t="s">
        <v>31</v>
      </c>
      <c r="BF3" s="2"/>
      <c r="BG3" s="2"/>
      <c r="BH3" s="2"/>
      <c r="BI3" s="2"/>
      <c r="BJ3" s="2"/>
    </row>
    <row r="4" spans="1:62" ht="24">
      <c r="A4" s="44"/>
      <c r="B4" s="35"/>
      <c r="C4" s="35"/>
      <c r="D4" s="35"/>
      <c r="E4" s="35"/>
      <c r="F4" s="35"/>
      <c r="G4" s="35"/>
      <c r="H4" s="35"/>
      <c r="I4" s="18" t="s">
        <v>36</v>
      </c>
      <c r="J4" s="18" t="s">
        <v>37</v>
      </c>
      <c r="K4" s="36"/>
      <c r="BE4" s="4"/>
      <c r="BF4" s="2"/>
      <c r="BG4" s="2"/>
      <c r="BH4" s="2"/>
      <c r="BI4" s="2"/>
      <c r="BJ4" s="2"/>
    </row>
    <row r="5" spans="1:62" s="8" customFormat="1" ht="15.75">
      <c r="A5" s="20" t="s">
        <v>1</v>
      </c>
      <c r="B5" s="21">
        <f t="shared" ref="B5:F5" si="0">SUM(B6:B17)</f>
        <v>18901</v>
      </c>
      <c r="C5" s="21">
        <f t="shared" si="0"/>
        <v>16626</v>
      </c>
      <c r="D5" s="21">
        <f t="shared" si="0"/>
        <v>14856</v>
      </c>
      <c r="E5" s="21">
        <f t="shared" si="0"/>
        <v>15267</v>
      </c>
      <c r="F5" s="21">
        <f t="shared" si="0"/>
        <v>9340</v>
      </c>
      <c r="G5" s="21">
        <f>SUM(G6:G17)</f>
        <v>9520</v>
      </c>
      <c r="H5" s="21">
        <f>SUM(H6:H17)</f>
        <v>8667</v>
      </c>
      <c r="I5" s="22">
        <f>((H5-G5)/G5*100)</f>
        <v>-8.9600840336134446</v>
      </c>
      <c r="J5" s="22">
        <f>H5/$H$5*100</f>
        <v>100</v>
      </c>
      <c r="K5" s="29" t="s">
        <v>2</v>
      </c>
      <c r="BE5" s="4"/>
      <c r="BF5" s="19"/>
      <c r="BG5" s="19"/>
      <c r="BH5" s="19"/>
      <c r="BI5" s="19"/>
      <c r="BJ5" s="19"/>
    </row>
    <row r="6" spans="1:62" ht="18.75">
      <c r="A6" s="11" t="s">
        <v>0</v>
      </c>
      <c r="B6" s="23">
        <v>4058</v>
      </c>
      <c r="C6" s="23">
        <v>3522</v>
      </c>
      <c r="D6" s="23">
        <v>3355</v>
      </c>
      <c r="E6" s="23">
        <v>4220</v>
      </c>
      <c r="F6" s="23">
        <v>2891</v>
      </c>
      <c r="G6" s="23">
        <v>3530</v>
      </c>
      <c r="H6" s="23">
        <v>2790</v>
      </c>
      <c r="I6" s="32">
        <f>((H6-G6)/G6*100)</f>
        <v>-20.963172804532579</v>
      </c>
      <c r="J6" s="32">
        <f>H6/$H$5*100</f>
        <v>32.191069574247145</v>
      </c>
      <c r="K6" s="6" t="s">
        <v>4</v>
      </c>
      <c r="O6" s="8"/>
      <c r="BE6" s="4"/>
      <c r="BF6" s="19"/>
      <c r="BG6" s="2"/>
      <c r="BH6" s="2"/>
      <c r="BI6" s="2"/>
      <c r="BJ6" s="2"/>
    </row>
    <row r="7" spans="1:62" ht="18.75">
      <c r="A7" s="11" t="s">
        <v>16</v>
      </c>
      <c r="B7" s="23">
        <v>2336</v>
      </c>
      <c r="C7" s="23">
        <v>2108</v>
      </c>
      <c r="D7" s="23">
        <v>1936</v>
      </c>
      <c r="E7" s="23">
        <v>2316</v>
      </c>
      <c r="F7" s="23">
        <v>1264</v>
      </c>
      <c r="G7" s="23">
        <v>1249</v>
      </c>
      <c r="H7" s="23">
        <v>1125</v>
      </c>
      <c r="I7" s="32">
        <f t="shared" ref="I7:I17" si="1">((H7-G7)/G7*100)</f>
        <v>-9.9279423538831075</v>
      </c>
      <c r="J7" s="32">
        <f t="shared" ref="J7:J17" si="2">H7/$H$5*100</f>
        <v>12.980269989615783</v>
      </c>
      <c r="K7" s="6" t="s">
        <v>29</v>
      </c>
      <c r="O7" s="8"/>
      <c r="BE7" s="4"/>
      <c r="BF7" s="19"/>
      <c r="BG7" s="2"/>
      <c r="BH7" s="2"/>
      <c r="BI7" s="2"/>
      <c r="BJ7" s="2"/>
    </row>
    <row r="8" spans="1:62" ht="18.75">
      <c r="A8" s="11" t="s">
        <v>5</v>
      </c>
      <c r="B8" s="23">
        <v>3410</v>
      </c>
      <c r="C8" s="23">
        <v>2903</v>
      </c>
      <c r="D8" s="23">
        <v>2405</v>
      </c>
      <c r="E8" s="23">
        <v>2161</v>
      </c>
      <c r="F8" s="23">
        <v>1033</v>
      </c>
      <c r="G8" s="23">
        <v>1096</v>
      </c>
      <c r="H8" s="23">
        <v>1048</v>
      </c>
      <c r="I8" s="32">
        <f t="shared" si="1"/>
        <v>-4.3795620437956204</v>
      </c>
      <c r="J8" s="32">
        <f t="shared" si="2"/>
        <v>12.091842621437637</v>
      </c>
      <c r="K8" s="6" t="s">
        <v>8</v>
      </c>
      <c r="O8" s="8"/>
      <c r="BE8" s="4"/>
      <c r="BF8" s="19"/>
      <c r="BG8" s="2"/>
      <c r="BH8" s="2"/>
      <c r="BI8" s="2"/>
      <c r="BJ8" s="2"/>
    </row>
    <row r="9" spans="1:62" ht="18.75">
      <c r="A9" s="11" t="s">
        <v>25</v>
      </c>
      <c r="B9" s="23">
        <v>1850</v>
      </c>
      <c r="C9" s="23">
        <v>1659</v>
      </c>
      <c r="D9" s="23">
        <v>1790</v>
      </c>
      <c r="E9" s="23">
        <v>1780</v>
      </c>
      <c r="F9" s="23">
        <v>684</v>
      </c>
      <c r="G9" s="23">
        <v>806</v>
      </c>
      <c r="H9" s="23">
        <v>1220</v>
      </c>
      <c r="I9" s="32">
        <f t="shared" si="1"/>
        <v>51.364764267990068</v>
      </c>
      <c r="J9" s="32">
        <f t="shared" si="2"/>
        <v>14.076381677627783</v>
      </c>
      <c r="K9" s="6" t="s">
        <v>10</v>
      </c>
      <c r="O9" s="8"/>
      <c r="BE9" s="4"/>
      <c r="BF9" s="19"/>
      <c r="BG9" s="2"/>
      <c r="BH9" s="2"/>
      <c r="BI9" s="2"/>
      <c r="BJ9" s="2"/>
    </row>
    <row r="10" spans="1:62" ht="18.75">
      <c r="A10" s="11" t="s">
        <v>6</v>
      </c>
      <c r="B10" s="23">
        <v>997</v>
      </c>
      <c r="C10" s="23">
        <v>820</v>
      </c>
      <c r="D10" s="23">
        <v>745</v>
      </c>
      <c r="E10" s="23">
        <v>582</v>
      </c>
      <c r="F10" s="23">
        <v>449</v>
      </c>
      <c r="G10" s="23">
        <v>380</v>
      </c>
      <c r="H10" s="23">
        <v>283</v>
      </c>
      <c r="I10" s="32">
        <f t="shared" si="1"/>
        <v>-25.526315789473685</v>
      </c>
      <c r="J10" s="32">
        <f t="shared" si="2"/>
        <v>3.265259028498904</v>
      </c>
      <c r="K10" s="6" t="s">
        <v>12</v>
      </c>
      <c r="O10" s="8"/>
      <c r="BE10" s="4"/>
      <c r="BF10" s="19"/>
      <c r="BG10" s="2"/>
      <c r="BH10" s="2"/>
      <c r="BI10" s="2"/>
      <c r="BJ10" s="2"/>
    </row>
    <row r="11" spans="1:62" ht="18.75">
      <c r="A11" s="11" t="s">
        <v>13</v>
      </c>
      <c r="B11" s="23">
        <v>412</v>
      </c>
      <c r="C11" s="23">
        <v>456</v>
      </c>
      <c r="D11" s="23">
        <v>451</v>
      </c>
      <c r="E11" s="23">
        <v>426</v>
      </c>
      <c r="F11" s="23">
        <v>326</v>
      </c>
      <c r="G11" s="23">
        <v>343</v>
      </c>
      <c r="H11" s="23">
        <v>326</v>
      </c>
      <c r="I11" s="32">
        <f t="shared" si="1"/>
        <v>-4.9562682215743443</v>
      </c>
      <c r="J11" s="32">
        <f t="shared" si="2"/>
        <v>3.7613937925464405</v>
      </c>
      <c r="K11" s="6" t="s">
        <v>14</v>
      </c>
      <c r="O11" s="8"/>
      <c r="BE11" s="4"/>
      <c r="BF11" s="19"/>
      <c r="BG11" s="2"/>
      <c r="BH11" s="2"/>
      <c r="BI11" s="2"/>
      <c r="BJ11" s="2"/>
    </row>
    <row r="12" spans="1:62" ht="18.75">
      <c r="A12" s="11" t="s">
        <v>11</v>
      </c>
      <c r="B12" s="23">
        <v>757</v>
      </c>
      <c r="C12" s="23">
        <v>668</v>
      </c>
      <c r="D12" s="23">
        <v>513</v>
      </c>
      <c r="E12" s="23">
        <v>486</v>
      </c>
      <c r="F12" s="23">
        <v>299</v>
      </c>
      <c r="G12" s="23">
        <v>241</v>
      </c>
      <c r="H12" s="23">
        <v>275</v>
      </c>
      <c r="I12" s="32">
        <f t="shared" si="1"/>
        <v>14.107883817427386</v>
      </c>
      <c r="J12" s="32">
        <f t="shared" si="2"/>
        <v>3.1729548863505248</v>
      </c>
      <c r="K12" s="6" t="s">
        <v>15</v>
      </c>
      <c r="O12" s="8"/>
      <c r="BE12" s="4"/>
      <c r="BF12" s="19"/>
      <c r="BG12" s="2"/>
      <c r="BH12" s="2"/>
      <c r="BI12" s="2"/>
      <c r="BJ12" s="2"/>
    </row>
    <row r="13" spans="1:62" ht="18.75">
      <c r="A13" s="11" t="s">
        <v>18</v>
      </c>
      <c r="B13" s="23">
        <v>643</v>
      </c>
      <c r="C13" s="23">
        <v>507</v>
      </c>
      <c r="D13" s="23">
        <v>346</v>
      </c>
      <c r="E13" s="23">
        <v>393</v>
      </c>
      <c r="F13" s="23">
        <v>222</v>
      </c>
      <c r="G13" s="23">
        <v>107</v>
      </c>
      <c r="H13" s="23">
        <v>123</v>
      </c>
      <c r="I13" s="32">
        <f t="shared" si="1"/>
        <v>14.953271028037381</v>
      </c>
      <c r="J13" s="32">
        <f t="shared" si="2"/>
        <v>1.4191761855313256</v>
      </c>
      <c r="K13" s="6" t="s">
        <v>19</v>
      </c>
      <c r="O13" s="8"/>
      <c r="BE13" s="4"/>
      <c r="BF13" s="19"/>
      <c r="BG13" s="2"/>
      <c r="BH13" s="2"/>
      <c r="BI13" s="2"/>
      <c r="BJ13" s="2"/>
    </row>
    <row r="14" spans="1:62" ht="18.75">
      <c r="A14" s="11" t="s">
        <v>17</v>
      </c>
      <c r="B14" s="23">
        <v>590</v>
      </c>
      <c r="C14" s="23">
        <v>515</v>
      </c>
      <c r="D14" s="23">
        <v>506</v>
      </c>
      <c r="E14" s="23">
        <v>386</v>
      </c>
      <c r="F14" s="23">
        <v>261</v>
      </c>
      <c r="G14" s="23">
        <v>373</v>
      </c>
      <c r="H14" s="23">
        <v>247</v>
      </c>
      <c r="I14" s="32">
        <f t="shared" si="1"/>
        <v>-33.780160857908847</v>
      </c>
      <c r="J14" s="32">
        <f t="shared" si="2"/>
        <v>2.8498903888311991</v>
      </c>
      <c r="K14" s="6" t="s">
        <v>21</v>
      </c>
      <c r="O14" s="8"/>
      <c r="BE14" s="4"/>
      <c r="BF14" s="19"/>
      <c r="BG14" s="2"/>
      <c r="BH14" s="2"/>
      <c r="BI14" s="2"/>
      <c r="BJ14" s="2"/>
    </row>
    <row r="15" spans="1:62" ht="18.75">
      <c r="A15" s="11" t="s">
        <v>20</v>
      </c>
      <c r="B15" s="23">
        <v>341</v>
      </c>
      <c r="C15" s="23">
        <v>273</v>
      </c>
      <c r="D15" s="23">
        <v>218</v>
      </c>
      <c r="E15" s="23">
        <v>172</v>
      </c>
      <c r="F15" s="23">
        <v>127</v>
      </c>
      <c r="G15" s="23">
        <v>107</v>
      </c>
      <c r="H15" s="23">
        <v>118</v>
      </c>
      <c r="I15" s="32">
        <f t="shared" si="1"/>
        <v>10.2803738317757</v>
      </c>
      <c r="J15" s="32">
        <f t="shared" si="2"/>
        <v>1.3614860966885889</v>
      </c>
      <c r="K15" s="6" t="s">
        <v>23</v>
      </c>
      <c r="O15" s="8"/>
      <c r="BE15" s="4"/>
      <c r="BF15" s="19"/>
      <c r="BG15" s="2"/>
      <c r="BH15" s="2"/>
      <c r="BI15" s="2"/>
      <c r="BJ15" s="2"/>
    </row>
    <row r="16" spans="1:62" ht="18.75">
      <c r="A16" s="11" t="s">
        <v>22</v>
      </c>
      <c r="B16" s="23">
        <v>126</v>
      </c>
      <c r="C16" s="23">
        <v>94</v>
      </c>
      <c r="D16" s="23">
        <v>59</v>
      </c>
      <c r="E16" s="23">
        <v>52</v>
      </c>
      <c r="F16" s="23">
        <v>39</v>
      </c>
      <c r="G16" s="23">
        <v>65</v>
      </c>
      <c r="H16" s="23">
        <v>27</v>
      </c>
      <c r="I16" s="32">
        <f t="shared" si="1"/>
        <v>-58.461538461538467</v>
      </c>
      <c r="J16" s="32">
        <f t="shared" si="2"/>
        <v>0.3115264797507788</v>
      </c>
      <c r="K16" s="6" t="s">
        <v>30</v>
      </c>
      <c r="O16" s="8"/>
      <c r="BE16" s="4"/>
      <c r="BF16" s="19"/>
      <c r="BG16" s="2"/>
      <c r="BH16" s="2"/>
      <c r="BI16" s="2"/>
      <c r="BJ16" s="2"/>
    </row>
    <row r="17" spans="1:62" ht="18.75">
      <c r="A17" s="24" t="s">
        <v>7</v>
      </c>
      <c r="B17" s="25">
        <v>3381</v>
      </c>
      <c r="C17" s="25">
        <v>3101</v>
      </c>
      <c r="D17" s="25">
        <v>2532</v>
      </c>
      <c r="E17" s="25">
        <v>2293</v>
      </c>
      <c r="F17" s="25">
        <v>1745</v>
      </c>
      <c r="G17" s="25">
        <v>1223</v>
      </c>
      <c r="H17" s="25">
        <v>1085</v>
      </c>
      <c r="I17" s="33">
        <f t="shared" si="1"/>
        <v>-11.283728536385937</v>
      </c>
      <c r="J17" s="33">
        <f t="shared" si="2"/>
        <v>12.518749278873889</v>
      </c>
      <c r="K17" s="17" t="s">
        <v>24</v>
      </c>
      <c r="O17" s="8"/>
      <c r="BE17" s="4"/>
      <c r="BF17" s="19"/>
      <c r="BG17" s="2"/>
      <c r="BH17" s="2"/>
      <c r="BI17" s="2"/>
      <c r="BJ17" s="2"/>
    </row>
    <row r="18" spans="1:62">
      <c r="A18" s="10" t="s">
        <v>26</v>
      </c>
      <c r="B18" s="9"/>
      <c r="C18" s="9"/>
      <c r="D18" s="9"/>
      <c r="E18" s="9"/>
      <c r="F18" s="9"/>
      <c r="G18" s="9"/>
      <c r="H18" s="9"/>
      <c r="I18" s="26"/>
      <c r="J18" s="26"/>
      <c r="K18" s="30" t="s">
        <v>27</v>
      </c>
      <c r="BE18" s="4"/>
      <c r="BF18" s="2"/>
      <c r="BG18" s="2"/>
      <c r="BJ18" s="2"/>
    </row>
    <row r="19" spans="1:62">
      <c r="BE19" s="4"/>
      <c r="BF19" s="2"/>
      <c r="BG19" s="3"/>
      <c r="BH19" s="27" t="s">
        <v>33</v>
      </c>
      <c r="BI19" s="28" t="s">
        <v>34</v>
      </c>
      <c r="BJ19" s="2"/>
    </row>
    <row r="20" spans="1:62">
      <c r="A20" s="15"/>
      <c r="BE20" s="4"/>
      <c r="BF20" s="14"/>
      <c r="BG20" s="4" t="s">
        <v>0</v>
      </c>
      <c r="BH20" s="1">
        <v>3982</v>
      </c>
      <c r="BI20" s="1">
        <f>H6</f>
        <v>2790</v>
      </c>
    </row>
    <row r="21" spans="1:62">
      <c r="BE21" s="4"/>
      <c r="BF21" s="14"/>
      <c r="BG21" s="4" t="s">
        <v>3</v>
      </c>
      <c r="BH21" s="1">
        <v>1618</v>
      </c>
      <c r="BI21" s="1">
        <f t="shared" ref="BI21:BI31" si="3">H7</f>
        <v>1125</v>
      </c>
    </row>
    <row r="22" spans="1:62">
      <c r="BE22" s="4"/>
      <c r="BF22" s="14"/>
      <c r="BG22" s="4" t="s">
        <v>5</v>
      </c>
      <c r="BH22" s="1">
        <v>1429</v>
      </c>
      <c r="BI22" s="1">
        <f t="shared" si="3"/>
        <v>1048</v>
      </c>
    </row>
    <row r="23" spans="1:62">
      <c r="BE23" s="4"/>
      <c r="BF23" s="14"/>
      <c r="BG23" s="4" t="s">
        <v>9</v>
      </c>
      <c r="BH23" s="1">
        <v>1412</v>
      </c>
      <c r="BI23" s="1">
        <f t="shared" si="3"/>
        <v>1220</v>
      </c>
    </row>
    <row r="24" spans="1:62">
      <c r="BE24" s="4"/>
      <c r="BF24" s="14"/>
      <c r="BG24" s="4" t="s">
        <v>6</v>
      </c>
      <c r="BH24" s="1">
        <v>521</v>
      </c>
      <c r="BI24" s="1">
        <f t="shared" si="3"/>
        <v>283</v>
      </c>
    </row>
    <row r="25" spans="1:62" ht="17.25">
      <c r="A25" s="12"/>
      <c r="B25" s="5"/>
      <c r="C25" s="5"/>
      <c r="D25" s="5"/>
      <c r="E25" s="5"/>
      <c r="F25" s="5"/>
      <c r="G25" s="5"/>
      <c r="H25" s="5"/>
      <c r="I25" s="7"/>
      <c r="J25" s="7"/>
      <c r="K25" s="13"/>
      <c r="BE25" s="4"/>
      <c r="BF25" s="14"/>
      <c r="BG25" s="4" t="s">
        <v>13</v>
      </c>
      <c r="BH25" s="1">
        <v>482</v>
      </c>
      <c r="BI25" s="1">
        <f t="shared" si="3"/>
        <v>326</v>
      </c>
    </row>
    <row r="26" spans="1:62">
      <c r="BE26" s="4"/>
      <c r="BF26" s="14"/>
      <c r="BG26" s="4" t="s">
        <v>11</v>
      </c>
      <c r="BH26" s="1">
        <v>372</v>
      </c>
      <c r="BI26" s="1">
        <f t="shared" si="3"/>
        <v>275</v>
      </c>
    </row>
    <row r="27" spans="1:62">
      <c r="BF27" s="4"/>
      <c r="BG27" s="4" t="s">
        <v>18</v>
      </c>
      <c r="BH27" s="1">
        <v>334</v>
      </c>
      <c r="BI27" s="1">
        <f t="shared" si="3"/>
        <v>123</v>
      </c>
    </row>
    <row r="28" spans="1:62">
      <c r="BF28" s="4"/>
      <c r="BG28" s="4" t="s">
        <v>17</v>
      </c>
      <c r="BH28" s="1">
        <v>914</v>
      </c>
      <c r="BI28" s="1">
        <f t="shared" si="3"/>
        <v>247</v>
      </c>
    </row>
    <row r="29" spans="1:62">
      <c r="BF29" s="4"/>
      <c r="BG29" s="4" t="s">
        <v>20</v>
      </c>
      <c r="BH29" s="1">
        <v>228</v>
      </c>
      <c r="BI29" s="1">
        <f t="shared" si="3"/>
        <v>118</v>
      </c>
    </row>
    <row r="30" spans="1:62">
      <c r="BF30" s="4"/>
      <c r="BG30" s="4" t="s">
        <v>22</v>
      </c>
      <c r="BH30" s="1">
        <v>116</v>
      </c>
      <c r="BI30" s="1">
        <f t="shared" si="3"/>
        <v>27</v>
      </c>
    </row>
    <row r="31" spans="1:62">
      <c r="BF31" s="16"/>
      <c r="BG31" s="16" t="s">
        <v>7</v>
      </c>
      <c r="BH31" s="1">
        <v>2135</v>
      </c>
      <c r="BI31" s="1">
        <f t="shared" si="3"/>
        <v>1085</v>
      </c>
    </row>
  </sheetData>
  <mergeCells count="11">
    <mergeCell ref="A1:K1"/>
    <mergeCell ref="A2:K2"/>
    <mergeCell ref="A3:A4"/>
    <mergeCell ref="B3:B4"/>
    <mergeCell ref="H3:H4"/>
    <mergeCell ref="C3:C4"/>
    <mergeCell ref="D3:D4"/>
    <mergeCell ref="K3:K4"/>
    <mergeCell ref="G3:G4"/>
    <mergeCell ref="E3:E4"/>
    <mergeCell ref="F3:F4"/>
  </mergeCells>
  <pageMargins left="0.7" right="0.7" top="0.75" bottom="0.75" header="0.3" footer="0.3"/>
  <pageSetup paperSize="9" scale="6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8.12</vt:lpstr>
      <vt:lpstr>'8.12'!Print_Area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2023-10-16T08:53:23Z</cp:lastPrinted>
  <dcterms:created xsi:type="dcterms:W3CDTF">2019-06-30T04:22:49Z</dcterms:created>
  <dcterms:modified xsi:type="dcterms:W3CDTF">2023-10-16T08:53:29Z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