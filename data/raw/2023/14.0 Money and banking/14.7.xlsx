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Money and Banking\"/>
    </mc:Choice>
  </mc:AlternateContent>
  <xr:revisionPtr revIDLastSave="0" documentId="13_ncr:1_{6813BC3A-450B-43E0-A262-8FE49747950F}" xr6:coauthVersionLast="47" xr6:coauthVersionMax="47" xr10:uidLastSave="{00000000-0000-0000-0000-000000000000}"/>
  <bookViews>
    <workbookView xWindow="-120" yWindow="-120" windowWidth="29040" windowHeight="15720" tabRatio="691" xr2:uid="{00000000-000D-0000-FFFF-FFFF00000000}"/>
  </bookViews>
  <sheets>
    <sheet name="14.7" sheetId="5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'14.7'!$A$1:$N$46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5" l="1"/>
  <c r="I28" i="5"/>
  <c r="M28" i="5"/>
  <c r="J30" i="5" l="1"/>
  <c r="M30" i="5"/>
  <c r="L30" i="5"/>
  <c r="K30" i="5"/>
  <c r="M29" i="5"/>
  <c r="L29" i="5"/>
  <c r="K29" i="5"/>
  <c r="J29" i="5"/>
  <c r="L28" i="5"/>
  <c r="K28" i="5"/>
  <c r="J28" i="5"/>
  <c r="G28" i="5"/>
  <c r="H28" i="5"/>
  <c r="G29" i="5"/>
  <c r="H29" i="5"/>
  <c r="G30" i="5"/>
  <c r="H30" i="5"/>
  <c r="I30" i="5"/>
  <c r="F30" i="5"/>
  <c r="F29" i="5"/>
  <c r="F28" i="5"/>
</calcChain>
</file>

<file path=xl/sharedStrings.xml><?xml version="1.0" encoding="utf-8"?>
<sst xmlns="http://schemas.openxmlformats.org/spreadsheetml/2006/main" count="103" uniqueCount="66">
  <si>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</si>
  <si>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</si>
  <si>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</si>
  <si>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</si>
  <si>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</si>
  <si>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</si>
  <si>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</si>
  <si>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</si>
  <si>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</si>
  <si>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</si>
  <si>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</si>
  <si>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ޓްރާންސްފަރަބަލް ޑިޕޮސިޓް</t>
  </si>
  <si>
    <t>Annual percentage change</t>
  </si>
  <si>
    <t>Memorandum items:</t>
  </si>
  <si>
    <t>Source: Maldives Monetary Authority.</t>
  </si>
  <si>
    <t>Dec</t>
  </si>
  <si>
    <t>Shares and other equity (Capital Accounts)</t>
  </si>
  <si>
    <t>Shares and other equity (Capital accounts)</t>
  </si>
  <si>
    <t>Total Assets</t>
  </si>
  <si>
    <t>Foreign assets</t>
  </si>
  <si>
    <t>Other assets</t>
  </si>
  <si>
    <t>Non-financial assets</t>
  </si>
  <si>
    <t>Total Liabilities</t>
  </si>
  <si>
    <t>Securities other than shares</t>
  </si>
  <si>
    <t>Foreign liabilities</t>
  </si>
  <si>
    <t>Other liabilities</t>
  </si>
  <si>
    <t>Cash</t>
  </si>
  <si>
    <t>Deposits with central bank</t>
  </si>
  <si>
    <t>ސެކިޔުރިޓީސް (ހިއްސާ ނުހިމަނައި)</t>
  </si>
  <si>
    <t>Loans and advances</t>
  </si>
  <si>
    <t>Deposits</t>
  </si>
  <si>
    <t>އެހެނިހެން ޑިޕޮސިޓް</t>
  </si>
  <si>
    <t>Central government liabilities</t>
  </si>
  <si>
    <t>ނޯޓް:</t>
  </si>
  <si>
    <t>NOTE:</t>
  </si>
  <si>
    <t/>
  </si>
  <si>
    <t>ޖުމްލަ ލައިބިލިޓީ</t>
  </si>
  <si>
    <t>ބޭރުގެ ލައިބިލިޓީ</t>
  </si>
  <si>
    <t>ބޭރު އެސެޓް</t>
  </si>
  <si>
    <t>ދަރަނީގެ ގޮތުގައި ދޫކުރެވިފައި</t>
  </si>
  <si>
    <t>ތަފްޞީލް</t>
  </si>
  <si>
    <t>މައުލޫމާތު ދެއްވި ފަރާތް: މޯލްޑިވްސް މަނިޓަރީ އޮތޯރިޓީ</t>
  </si>
  <si>
    <t>މަރުކަޒީ ބޭންކުގައި ބަހައްޓާފައިވާ ފައިސާ</t>
  </si>
  <si>
    <t>ފޮރިން ލައިބިލިޓީސް</t>
  </si>
  <si>
    <t>އެހެނިހެން ލައިބިލިޓީސް</t>
  </si>
  <si>
    <t>ހިއްސާއާއި އެހެނިހެން އިކުއިޓީ</t>
  </si>
  <si>
    <t>ފޮރިން އެސެޓްސް</t>
  </si>
  <si>
    <t>މާލީ ނޫން އެސެޓްސް</t>
  </si>
  <si>
    <t>ޖުމްލަ އެސެޓް</t>
  </si>
  <si>
    <t>އިތުރު މައުލޫމާތު:</t>
  </si>
  <si>
    <t>ލޯނާއި އެޑްވާންސް</t>
  </si>
  <si>
    <t>އެހެނިހެން އެސެޓްސް</t>
  </si>
  <si>
    <t>ޑިޕޮސިޓްސް</t>
  </si>
  <si>
    <t>ސަރުކާރުން ބަހައްޓާފައިވާ ފައިސާ</t>
  </si>
  <si>
    <t>Transferable deposits</t>
  </si>
  <si>
    <t>Local currency</t>
  </si>
  <si>
    <t>Foreign currency</t>
  </si>
  <si>
    <t>Other depostis</t>
  </si>
  <si>
    <t>ނަގުދު ފައިސާ</t>
  </si>
  <si>
    <t>ދިވެހި ފައިސާ</t>
  </si>
  <si>
    <t>ބޭރު ފައިސާ</t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</si>
  <si>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</si>
  <si>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</si>
  <si>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</si>
  <si>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 xml:space="preserve">ތާވަލު 14.7 : ވިޔަފާރި ބޭންކުތަކުގެ އެސެޓްތަކާއި ލައިބިލިޓީތައް 2020 - 2022            </t>
  </si>
  <si>
    <t>Table  14.7 :ASSETS AND LIABILITIES OF OTHER DEPOSITORY CORPORATIONS,  2020 - 2022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</si>
</sst>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A_Faseyha"/>
    </font>
    <font>
      <sz val="10"/>
      <name val="Calibri"/>
      <family val="2"/>
      <scheme val="minor"/>
    </font>
    <font>
      <sz val="9"/>
      <name val="A_Faseyha"/>
    </font>
    <font>
      <b/>
      <i/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sz val="12"/>
      <name val="Faruma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Faruma"/>
    </font>
    <font>
      <b/>
      <sz val="12"/>
      <name val="Calibri"/>
      <family val="2"/>
      <scheme val="minor"/>
    </font>
    <font>
      <b/>
      <sz val="12"/>
      <name val="A_Faseyha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3" fillId="0" borderId="0"/>
    <xf numFmtId="0" fontId="5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0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0" fillId="2" borderId="0" applyNumberFormat="0" applyBorder="0" applyAlignment="0" applyProtection="0"/>
    <xf numFmtId="0" fontId="20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0" fillId="2" borderId="0" applyNumberFormat="0" applyBorder="0" applyAlignment="0" applyProtection="0"/>
    <xf numFmtId="0" fontId="20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1" fillId="4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17" fontId="5" fillId="0" borderId="0" applyFont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8" fontId="5" fillId="0" borderId="0" applyFill="0" applyBorder="0" applyAlignment="0"/>
    <xf numFmtId="0" fontId="24" fillId="0" borderId="0" applyFill="0" applyBorder="0" applyAlignment="0"/>
    <xf numFmtId="0" fontId="5" fillId="0" borderId="0" applyFill="0" applyBorder="0" applyAlignment="0"/>
    <xf numFmtId="169" fontId="3" fillId="0" borderId="0" applyFill="0" applyBorder="0" applyAlignment="0"/>
    <xf numFmtId="170" fontId="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4" fillId="0" borderId="0" applyFill="0" applyBorder="0" applyAlignment="0"/>
    <xf numFmtId="0" fontId="25" fillId="14" borderId="7" applyNumberFormat="0" applyAlignment="0" applyProtection="0"/>
    <xf numFmtId="0" fontId="25" fillId="14" borderId="7" applyNumberFormat="0" applyAlignment="0" applyProtection="0"/>
    <xf numFmtId="0" fontId="25" fillId="14" borderId="7" applyNumberFormat="0" applyAlignment="0" applyProtection="0"/>
    <xf numFmtId="0" fontId="25" fillId="14" borderId="7" applyNumberFormat="0" applyAlignment="0" applyProtection="0"/>
    <xf numFmtId="0" fontId="25" fillId="14" borderId="7" applyNumberFormat="0" applyAlignment="0" applyProtection="0"/>
    <xf numFmtId="0" fontId="25" fillId="14" borderId="7" applyNumberFormat="0" applyAlignment="0" applyProtection="0"/>
    <xf numFmtId="0" fontId="25" fillId="14" borderId="7" applyNumberFormat="0" applyAlignment="0" applyProtection="0"/>
    <xf numFmtId="0" fontId="25" fillId="14" borderId="7" applyNumberFormat="0" applyAlignment="0" applyProtection="0"/>
    <xf numFmtId="17" fontId="5" fillId="0" borderId="0" applyFont="0"/>
    <xf numFmtId="0" fontId="26" fillId="7" borderId="8" applyNumberFormat="0" applyAlignment="0" applyProtection="0"/>
    <xf numFmtId="0" fontId="26" fillId="7" borderId="8" applyNumberFormat="0" applyAlignment="0" applyProtection="0"/>
    <xf numFmtId="0" fontId="26" fillId="7" borderId="8" applyNumberFormat="0" applyAlignment="0" applyProtection="0"/>
    <xf numFmtId="0" fontId="26" fillId="7" borderId="8" applyNumberFormat="0" applyAlignment="0" applyProtection="0"/>
    <xf numFmtId="0" fontId="26" fillId="7" borderId="8" applyNumberFormat="0" applyAlignment="0" applyProtection="0"/>
    <xf numFmtId="0" fontId="26" fillId="7" borderId="8" applyNumberFormat="0" applyAlignment="0" applyProtection="0"/>
    <xf numFmtId="0" fontId="26" fillId="7" borderId="8" applyNumberFormat="0" applyAlignment="0" applyProtection="0"/>
    <xf numFmtId="0" fontId="26" fillId="7" borderId="8" applyNumberFormat="0" applyAlignment="0" applyProtection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24" fillId="0" borderId="0" applyFont="0" applyFill="0" applyBorder="0" applyAlignment="0" applyProtection="0"/>
    <xf numFmtId="14" fontId="27" fillId="0" borderId="0" applyFill="0" applyBorder="0" applyAlignment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168" fontId="5" fillId="0" borderId="0" applyFill="0" applyBorder="0" applyAlignment="0"/>
    <xf numFmtId="0" fontId="24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4" fillId="0" borderId="0" applyFill="0" applyBorder="0" applyAlignment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38" fontId="18" fillId="19" borderId="0" applyNumberFormat="0" applyBorder="0" applyAlignment="0" applyProtection="0"/>
    <xf numFmtId="0" fontId="30" fillId="0" borderId="9" applyNumberFormat="0" applyAlignment="0" applyProtection="0">
      <alignment horizontal="left" vertical="center"/>
    </xf>
    <xf numFmtId="0" fontId="30" fillId="0" borderId="6">
      <alignment horizontal="left" vertical="center"/>
    </xf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1" fillId="0" borderId="10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12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0" fontId="18" fillId="20" borderId="13" applyNumberFormat="0" applyBorder="0" applyAlignment="0" applyProtection="0"/>
    <xf numFmtId="0" fontId="34" fillId="11" borderId="7" applyNumberFormat="0" applyAlignment="0" applyProtection="0"/>
    <xf numFmtId="0" fontId="34" fillId="11" borderId="7" applyNumberFormat="0" applyAlignment="0" applyProtection="0"/>
    <xf numFmtId="0" fontId="34" fillId="11" borderId="7" applyNumberFormat="0" applyAlignment="0" applyProtection="0"/>
    <xf numFmtId="0" fontId="34" fillId="11" borderId="7" applyNumberFormat="0" applyAlignment="0" applyProtection="0"/>
    <xf numFmtId="0" fontId="34" fillId="11" borderId="7" applyNumberFormat="0" applyAlignment="0" applyProtection="0"/>
    <xf numFmtId="0" fontId="34" fillId="11" borderId="7" applyNumberFormat="0" applyAlignment="0" applyProtection="0"/>
    <xf numFmtId="0" fontId="34" fillId="11" borderId="7" applyNumberFormat="0" applyAlignment="0" applyProtection="0"/>
    <xf numFmtId="0" fontId="34" fillId="11" borderId="7" applyNumberFormat="0" applyAlignment="0" applyProtection="0"/>
    <xf numFmtId="168" fontId="5" fillId="0" borderId="0" applyFill="0" applyBorder="0" applyAlignment="0"/>
    <xf numFmtId="0" fontId="24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4" fillId="0" borderId="0" applyFill="0" applyBorder="0" applyAlignment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174" fontId="36" fillId="0" borderId="0" applyFont="0" applyFill="0" applyBorder="0" applyAlignment="0" applyProtection="0"/>
    <xf numFmtId="175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0" fontId="37" fillId="11" borderId="0" applyNumberFormat="0" applyBorder="0" applyAlignment="0" applyProtection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38" fillId="14" borderId="16" applyNumberFormat="0" applyAlignment="0" applyProtection="0"/>
    <xf numFmtId="0" fontId="38" fillId="14" borderId="16" applyNumberFormat="0" applyAlignment="0" applyProtection="0"/>
    <xf numFmtId="0" fontId="38" fillId="14" borderId="16" applyNumberFormat="0" applyAlignment="0" applyProtection="0"/>
    <xf numFmtId="0" fontId="38" fillId="14" borderId="16" applyNumberFormat="0" applyAlignment="0" applyProtection="0"/>
    <xf numFmtId="0" fontId="38" fillId="14" borderId="16" applyNumberFormat="0" applyAlignment="0" applyProtection="0"/>
    <xf numFmtId="0" fontId="38" fillId="14" borderId="16" applyNumberFormat="0" applyAlignment="0" applyProtection="0"/>
    <xf numFmtId="0" fontId="38" fillId="14" borderId="16" applyNumberFormat="0" applyAlignment="0" applyProtection="0"/>
    <xf numFmtId="0" fontId="38" fillId="14" borderId="16" applyNumberFormat="0" applyAlignment="0" applyProtection="0"/>
    <xf numFmtId="0" fontId="5" fillId="0" borderId="0"/>
    <xf numFmtId="17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5" fillId="0" borderId="0" applyFill="0" applyBorder="0" applyAlignment="0"/>
    <xf numFmtId="0" fontId="24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4" fillId="0" borderId="0" applyFill="0" applyBorder="0" applyAlignment="0"/>
    <xf numFmtId="0" fontId="39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27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0" fontId="28" fillId="0" borderId="17" applyNumberFormat="0" applyFill="0" applyAlignment="0" applyProtection="0"/>
    <xf numFmtId="0" fontId="28" fillId="0" borderId="17" applyNumberFormat="0" applyFill="0" applyAlignment="0" applyProtection="0"/>
    <xf numFmtId="0" fontId="28" fillId="0" borderId="17" applyNumberFormat="0" applyFill="0" applyAlignment="0" applyProtection="0"/>
    <xf numFmtId="0" fontId="28" fillId="0" borderId="17" applyNumberFormat="0" applyFill="0" applyAlignment="0" applyProtection="0"/>
    <xf numFmtId="0" fontId="28" fillId="0" borderId="17" applyNumberFormat="0" applyFill="0" applyAlignment="0" applyProtection="0"/>
    <xf numFmtId="0" fontId="28" fillId="0" borderId="17" applyNumberFormat="0" applyFill="0" applyAlignment="0" applyProtection="0"/>
    <xf numFmtId="0" fontId="28" fillId="0" borderId="17" applyNumberFormat="0" applyFill="0" applyAlignment="0" applyProtection="0"/>
    <xf numFmtId="0" fontId="28" fillId="0" borderId="17" applyNumberFormat="0" applyFill="0" applyAlignment="0" applyProtection="0"/>
    <xf numFmtId="0" fontId="40" fillId="0" borderId="0">
      <alignment vertical="top"/>
    </xf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3">
    <xf numFmtId="0" fontId="0" fillId="0" borderId="0" xfId="0"/>
    <xf numFmtId="166" fontId="11" fillId="0" borderId="0" xfId="0" applyNumberFormat="1" applyFont="1" applyAlignment="1">
      <alignment vertical="center"/>
    </xf>
    <xf numFmtId="0" fontId="13" fillId="0" borderId="0" xfId="0" applyFont="1" applyAlignment="1">
      <alignment horizontal="left"/>
    </xf>
    <xf numFmtId="164" fontId="14" fillId="0" borderId="0" xfId="3" applyNumberFormat="1" applyFont="1" applyAlignment="1">
      <alignment horizontal="left" vertical="center" indent="2"/>
    </xf>
    <xf numFmtId="0" fontId="0" fillId="0" borderId="1" xfId="0" applyBorder="1"/>
    <xf numFmtId="166" fontId="11" fillId="0" borderId="1" xfId="0" applyNumberFormat="1" applyFont="1" applyBorder="1" applyAlignment="1">
      <alignment vertical="center"/>
    </xf>
    <xf numFmtId="164" fontId="10" fillId="0" borderId="0" xfId="3" applyNumberFormat="1" applyFont="1" applyAlignment="1">
      <alignment horizontal="right" vertical="center"/>
    </xf>
    <xf numFmtId="43" fontId="7" fillId="0" borderId="27" xfId="1" applyFont="1" applyFill="1" applyBorder="1" applyAlignment="1">
      <alignment horizontal="right"/>
    </xf>
    <xf numFmtId="43" fontId="7" fillId="0" borderId="3" xfId="1" applyFont="1" applyFill="1" applyBorder="1" applyAlignment="1">
      <alignment horizontal="right"/>
    </xf>
    <xf numFmtId="43" fontId="7" fillId="0" borderId="28" xfId="1" applyFont="1" applyFill="1" applyBorder="1" applyAlignment="1">
      <alignment horizontal="right"/>
    </xf>
    <xf numFmtId="43" fontId="7" fillId="0" borderId="21" xfId="1" applyFont="1" applyFill="1" applyBorder="1" applyAlignment="1">
      <alignment horizontal="right"/>
    </xf>
    <xf numFmtId="43" fontId="7" fillId="0" borderId="0" xfId="1" applyFont="1" applyFill="1" applyBorder="1" applyAlignment="1">
      <alignment horizontal="right"/>
    </xf>
    <xf numFmtId="43" fontId="7" fillId="0" borderId="25" xfId="1" applyFont="1" applyFill="1" applyBorder="1" applyAlignment="1">
      <alignment horizontal="right"/>
    </xf>
    <xf numFmtId="165" fontId="7" fillId="0" borderId="4" xfId="0" applyNumberFormat="1" applyFont="1" applyBorder="1" applyAlignment="1">
      <alignment vertical="center"/>
    </xf>
    <xf numFmtId="0" fontId="9" fillId="0" borderId="18" xfId="0" applyFont="1" applyBorder="1" applyAlignment="1">
      <alignment horizontal="right"/>
    </xf>
    <xf numFmtId="0" fontId="9" fillId="0" borderId="0" xfId="0" applyFont="1" applyAlignment="1">
      <alignment horizontal="right"/>
    </xf>
    <xf numFmtId="166" fontId="11" fillId="0" borderId="20" xfId="0" applyNumberFormat="1" applyFont="1" applyBorder="1" applyAlignment="1">
      <alignment vertical="center"/>
    </xf>
    <xf numFmtId="166" fontId="11" fillId="0" borderId="26" xfId="0" applyNumberFormat="1" applyFont="1" applyBorder="1" applyAlignment="1">
      <alignment vertical="center"/>
    </xf>
    <xf numFmtId="0" fontId="8" fillId="0" borderId="30" xfId="0" applyFont="1" applyBorder="1"/>
    <xf numFmtId="43" fontId="0" fillId="0" borderId="0" xfId="1" applyFont="1" applyFill="1" applyBorder="1"/>
    <xf numFmtId="0" fontId="30" fillId="0" borderId="0" xfId="0" applyFont="1" applyAlignment="1">
      <alignment horizontal="center"/>
    </xf>
    <xf numFmtId="166" fontId="17" fillId="0" borderId="0" xfId="3" applyNumberFormat="1" applyFont="1" applyAlignment="1">
      <alignment horizontal="right" vertical="center"/>
    </xf>
    <xf numFmtId="0" fontId="12" fillId="0" borderId="0" xfId="4" applyFont="1" applyAlignment="1">
      <alignment horizontal="right" indent="2"/>
    </xf>
    <xf numFmtId="166" fontId="17" fillId="0" borderId="1" xfId="3" applyNumberFormat="1" applyFont="1" applyBorder="1" applyAlignment="1">
      <alignment horizontal="right" vertical="center"/>
    </xf>
    <xf numFmtId="0" fontId="12" fillId="0" borderId="1" xfId="4" applyFont="1" applyBorder="1" applyAlignment="1">
      <alignment horizontal="right" indent="2"/>
    </xf>
    <xf numFmtId="166" fontId="9" fillId="0" borderId="0" xfId="0" applyNumberFormat="1" applyFont="1"/>
    <xf numFmtId="166" fontId="16" fillId="0" borderId="0" xfId="3" applyNumberFormat="1" applyFont="1" applyAlignment="1">
      <alignment horizontal="right" vertical="center"/>
    </xf>
    <xf numFmtId="0" fontId="1" fillId="0" borderId="0" xfId="0" applyFont="1"/>
    <xf numFmtId="164" fontId="15" fillId="0" borderId="0" xfId="3" applyNumberFormat="1" applyFont="1" applyAlignment="1">
      <alignment horizontal="right" vertical="center" indent="2"/>
    </xf>
    <xf numFmtId="164" fontId="46" fillId="0" borderId="0" xfId="3" applyNumberFormat="1" applyFont="1" applyAlignment="1">
      <alignment horizontal="right" vertical="center"/>
    </xf>
    <xf numFmtId="164" fontId="47" fillId="0" borderId="0" xfId="3" applyNumberFormat="1" applyFont="1" applyAlignment="1">
      <alignment vertical="center" readingOrder="2"/>
    </xf>
    <xf numFmtId="164" fontId="47" fillId="0" borderId="0" xfId="3" applyNumberFormat="1" applyFont="1" applyAlignment="1">
      <alignment horizontal="right" vertical="center" indent="2" readingOrder="2"/>
    </xf>
    <xf numFmtId="49" fontId="48" fillId="0" borderId="0" xfId="0" applyNumberFormat="1" applyFont="1" applyAlignment="1">
      <alignment vertical="center"/>
    </xf>
    <xf numFmtId="49" fontId="49" fillId="0" borderId="0" xfId="0" applyNumberFormat="1" applyFont="1" applyAlignment="1">
      <alignment vertical="center"/>
    </xf>
    <xf numFmtId="49" fontId="42" fillId="0" borderId="0" xfId="0" applyNumberFormat="1" applyFont="1" applyAlignment="1">
      <alignment horizontal="left" vertical="center" indent="2"/>
    </xf>
    <xf numFmtId="49" fontId="47" fillId="0" borderId="0" xfId="0" applyNumberFormat="1" applyFont="1" applyAlignment="1">
      <alignment horizontal="right" vertical="center" indent="2"/>
    </xf>
    <xf numFmtId="0" fontId="30" fillId="0" borderId="1" xfId="0" applyFont="1" applyBorder="1" applyAlignment="1">
      <alignment horizontal="center"/>
    </xf>
    <xf numFmtId="165" fontId="19" fillId="0" borderId="0" xfId="1" applyNumberFormat="1" applyFont="1"/>
    <xf numFmtId="43" fontId="43" fillId="0" borderId="0" xfId="1" applyFont="1" applyFill="1" applyBorder="1" applyAlignment="1">
      <alignment vertical="center" wrapText="1"/>
    </xf>
    <xf numFmtId="166" fontId="50" fillId="0" borderId="21" xfId="1" applyNumberFormat="1" applyFont="1" applyBorder="1"/>
    <xf numFmtId="166" fontId="50" fillId="0" borderId="0" xfId="1" applyNumberFormat="1" applyFont="1" applyBorder="1"/>
    <xf numFmtId="166" fontId="50" fillId="0" borderId="25" xfId="1" applyNumberFormat="1" applyFont="1" applyBorder="1"/>
    <xf numFmtId="166" fontId="19" fillId="0" borderId="21" xfId="1" applyNumberFormat="1" applyFont="1" applyBorder="1"/>
    <xf numFmtId="166" fontId="19" fillId="0" borderId="0" xfId="1" applyNumberFormat="1" applyFont="1" applyBorder="1"/>
    <xf numFmtId="166" fontId="19" fillId="0" borderId="25" xfId="1" applyNumberFormat="1" applyFont="1" applyBorder="1"/>
    <xf numFmtId="166" fontId="30" fillId="0" borderId="20" xfId="0" applyNumberFormat="1" applyFont="1" applyBorder="1" applyAlignment="1">
      <alignment horizontal="center"/>
    </xf>
    <xf numFmtId="166" fontId="30" fillId="0" borderId="1" xfId="0" applyNumberFormat="1" applyFont="1" applyBorder="1" applyAlignment="1">
      <alignment horizontal="center"/>
    </xf>
    <xf numFmtId="166" fontId="30" fillId="0" borderId="26" xfId="0" applyNumberFormat="1" applyFont="1" applyBorder="1" applyAlignment="1">
      <alignment horizontal="center"/>
    </xf>
    <xf numFmtId="166" fontId="30" fillId="0" borderId="21" xfId="0" applyNumberFormat="1" applyFont="1" applyBorder="1" applyAlignment="1">
      <alignment horizontal="center"/>
    </xf>
    <xf numFmtId="166" fontId="30" fillId="0" borderId="0" xfId="0" applyNumberFormat="1" applyFont="1" applyAlignment="1">
      <alignment horizontal="center"/>
    </xf>
    <xf numFmtId="166" fontId="30" fillId="0" borderId="25" xfId="0" applyNumberFormat="1" applyFont="1" applyBorder="1" applyAlignment="1">
      <alignment horizontal="center"/>
    </xf>
    <xf numFmtId="166" fontId="11" fillId="0" borderId="21" xfId="0" applyNumberFormat="1" applyFont="1" applyBorder="1"/>
    <xf numFmtId="166" fontId="11" fillId="0" borderId="0" xfId="0" applyNumberFormat="1" applyFont="1"/>
    <xf numFmtId="166" fontId="11" fillId="0" borderId="25" xfId="0" applyNumberFormat="1" applyFont="1" applyBorder="1"/>
    <xf numFmtId="166" fontId="11" fillId="0" borderId="20" xfId="2" applyNumberFormat="1" applyFont="1" applyFill="1" applyBorder="1"/>
    <xf numFmtId="166" fontId="11" fillId="0" borderId="1" xfId="2" applyNumberFormat="1" applyFont="1" applyFill="1" applyBorder="1"/>
    <xf numFmtId="166" fontId="11" fillId="0" borderId="26" xfId="2" applyNumberFormat="1" applyFont="1" applyFill="1" applyBorder="1"/>
    <xf numFmtId="166" fontId="11" fillId="0" borderId="21" xfId="2" applyNumberFormat="1" applyFont="1" applyFill="1" applyBorder="1"/>
    <xf numFmtId="166" fontId="11" fillId="0" borderId="0" xfId="2" applyNumberFormat="1" applyFont="1" applyFill="1" applyBorder="1"/>
    <xf numFmtId="166" fontId="11" fillId="0" borderId="25" xfId="2" applyNumberFormat="1" applyFont="1" applyFill="1" applyBorder="1"/>
    <xf numFmtId="164" fontId="10" fillId="0" borderId="5" xfId="3" applyNumberFormat="1" applyFont="1" applyBorder="1" applyAlignment="1">
      <alignment horizontal="right"/>
    </xf>
    <xf numFmtId="164" fontId="10" fillId="0" borderId="23" xfId="3" applyNumberFormat="1" applyFont="1" applyBorder="1" applyAlignment="1">
      <alignment horizontal="right"/>
    </xf>
    <xf numFmtId="164" fontId="10" fillId="0" borderId="24" xfId="3" applyNumberFormat="1" applyFont="1" applyBorder="1" applyAlignment="1">
      <alignment horizontal="right"/>
    </xf>
    <xf numFmtId="164" fontId="4" fillId="0" borderId="0" xfId="3" applyNumberFormat="1" applyFont="1" applyAlignment="1">
      <alignment horizontal="center" vertical="center" readingOrder="2"/>
    </xf>
    <xf numFmtId="164" fontId="44" fillId="0" borderId="0" xfId="3" applyNumberFormat="1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164" fontId="16" fillId="0" borderId="22" xfId="3" applyNumberFormat="1" applyFont="1" applyBorder="1" applyAlignment="1">
      <alignment horizontal="right" vertical="center"/>
    </xf>
    <xf numFmtId="164" fontId="16" fillId="0" borderId="21" xfId="3" applyNumberFormat="1" applyFont="1" applyBorder="1" applyAlignment="1">
      <alignment horizontal="right" vertical="center"/>
    </xf>
    <xf numFmtId="164" fontId="16" fillId="0" borderId="20" xfId="3" applyNumberFormat="1" applyFont="1" applyBorder="1" applyAlignment="1">
      <alignment horizontal="right" vertical="center"/>
    </xf>
    <xf numFmtId="0" fontId="6" fillId="0" borderId="1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</cellXfs>
  <cellStyles count="301">
    <cellStyle name="1" xfId="5" xr:uid="{00000000-0005-0000-0000-000000000000}"/>
    <cellStyle name="1_1" xfId="6" xr:uid="{00000000-0005-0000-0000-000001000000}"/>
    <cellStyle name="1_16" xfId="7" xr:uid="{00000000-0005-0000-0000-000002000000}"/>
    <cellStyle name="1_92-2000" xfId="8" xr:uid="{00000000-0005-0000-0000-000003000000}"/>
    <cellStyle name="1_Book2" xfId="9" xr:uid="{00000000-0005-0000-0000-000004000000}"/>
    <cellStyle name="1_Book3" xfId="10" xr:uid="{00000000-0005-0000-0000-000005000000}"/>
    <cellStyle name="1_Book4" xfId="11" xr:uid="{00000000-0005-0000-0000-000006000000}"/>
    <cellStyle name="1_monthly series 89-99" xfId="12" xr:uid="{00000000-0005-0000-0000-000007000000}"/>
    <cellStyle name="1_tab-2000" xfId="13" xr:uid="{00000000-0005-0000-0000-000008000000}"/>
    <cellStyle name="Accent1 - 20%" xfId="14" xr:uid="{00000000-0005-0000-0000-000009000000}"/>
    <cellStyle name="Accent1 - 40%" xfId="15" xr:uid="{00000000-0005-0000-0000-00000A000000}"/>
    <cellStyle name="Accent1 - 60%" xfId="16" xr:uid="{00000000-0005-0000-0000-00000B000000}"/>
    <cellStyle name="Accent1 2" xfId="17" xr:uid="{00000000-0005-0000-0000-00000C000000}"/>
    <cellStyle name="Accent1 3" xfId="18" xr:uid="{00000000-0005-0000-0000-00000D000000}"/>
    <cellStyle name="Accent1 4" xfId="19" xr:uid="{00000000-0005-0000-0000-00000E000000}"/>
    <cellStyle name="Accent1 5" xfId="20" xr:uid="{00000000-0005-0000-0000-00000F000000}"/>
    <cellStyle name="Accent1 6" xfId="21" xr:uid="{00000000-0005-0000-0000-000010000000}"/>
    <cellStyle name="Accent1 7" xfId="22" xr:uid="{00000000-0005-0000-0000-000011000000}"/>
    <cellStyle name="Accent1 8" xfId="23" xr:uid="{00000000-0005-0000-0000-000012000000}"/>
    <cellStyle name="Accent1 9" xfId="24" xr:uid="{00000000-0005-0000-0000-000013000000}"/>
    <cellStyle name="Accent2 - 20%" xfId="25" xr:uid="{00000000-0005-0000-0000-000014000000}"/>
    <cellStyle name="Accent2 - 40%" xfId="26" xr:uid="{00000000-0005-0000-0000-000015000000}"/>
    <cellStyle name="Accent2 - 60%" xfId="27" xr:uid="{00000000-0005-0000-0000-000016000000}"/>
    <cellStyle name="Accent2 2" xfId="28" xr:uid="{00000000-0005-0000-0000-000017000000}"/>
    <cellStyle name="Accent2 3" xfId="29" xr:uid="{00000000-0005-0000-0000-000018000000}"/>
    <cellStyle name="Accent2 4" xfId="30" xr:uid="{00000000-0005-0000-0000-000019000000}"/>
    <cellStyle name="Accent2 5" xfId="31" xr:uid="{00000000-0005-0000-0000-00001A000000}"/>
    <cellStyle name="Accent2 6" xfId="32" xr:uid="{00000000-0005-0000-0000-00001B000000}"/>
    <cellStyle name="Accent2 7" xfId="33" xr:uid="{00000000-0005-0000-0000-00001C000000}"/>
    <cellStyle name="Accent2 8" xfId="34" xr:uid="{00000000-0005-0000-0000-00001D000000}"/>
    <cellStyle name="Accent2 9" xfId="35" xr:uid="{00000000-0005-0000-0000-00001E000000}"/>
    <cellStyle name="Accent3 - 20%" xfId="36" xr:uid="{00000000-0005-0000-0000-00001F000000}"/>
    <cellStyle name="Accent3 - 40%" xfId="37" xr:uid="{00000000-0005-0000-0000-000020000000}"/>
    <cellStyle name="Accent3 - 60%" xfId="38" xr:uid="{00000000-0005-0000-0000-000021000000}"/>
    <cellStyle name="Accent3 2" xfId="39" xr:uid="{00000000-0005-0000-0000-000022000000}"/>
    <cellStyle name="Accent3 3" xfId="40" xr:uid="{00000000-0005-0000-0000-000023000000}"/>
    <cellStyle name="Accent3 4" xfId="41" xr:uid="{00000000-0005-0000-0000-000024000000}"/>
    <cellStyle name="Accent3 5" xfId="42" xr:uid="{00000000-0005-0000-0000-000025000000}"/>
    <cellStyle name="Accent3 6" xfId="43" xr:uid="{00000000-0005-0000-0000-000026000000}"/>
    <cellStyle name="Accent3 7" xfId="44" xr:uid="{00000000-0005-0000-0000-000027000000}"/>
    <cellStyle name="Accent3 8" xfId="45" xr:uid="{00000000-0005-0000-0000-000028000000}"/>
    <cellStyle name="Accent3 9" xfId="46" xr:uid="{00000000-0005-0000-0000-000029000000}"/>
    <cellStyle name="Accent4 - 20%" xfId="47" xr:uid="{00000000-0005-0000-0000-00002A000000}"/>
    <cellStyle name="Accent4 - 40%" xfId="48" xr:uid="{00000000-0005-0000-0000-00002B000000}"/>
    <cellStyle name="Accent4 - 60%" xfId="49" xr:uid="{00000000-0005-0000-0000-00002C000000}"/>
    <cellStyle name="Accent4 2" xfId="50" xr:uid="{00000000-0005-0000-0000-00002D000000}"/>
    <cellStyle name="Accent4 3" xfId="51" xr:uid="{00000000-0005-0000-0000-00002E000000}"/>
    <cellStyle name="Accent4 4" xfId="52" xr:uid="{00000000-0005-0000-0000-00002F000000}"/>
    <cellStyle name="Accent4 5" xfId="53" xr:uid="{00000000-0005-0000-0000-000030000000}"/>
    <cellStyle name="Accent4 6" xfId="54" xr:uid="{00000000-0005-0000-0000-000031000000}"/>
    <cellStyle name="Accent4 7" xfId="55" xr:uid="{00000000-0005-0000-0000-000032000000}"/>
    <cellStyle name="Accent4 8" xfId="56" xr:uid="{00000000-0005-0000-0000-000033000000}"/>
    <cellStyle name="Accent4 9" xfId="57" xr:uid="{00000000-0005-0000-0000-000034000000}"/>
    <cellStyle name="Accent5 - 20%" xfId="58" xr:uid="{00000000-0005-0000-0000-000035000000}"/>
    <cellStyle name="Accent5 - 40%" xfId="59" xr:uid="{00000000-0005-0000-0000-000036000000}"/>
    <cellStyle name="Accent5 - 60%" xfId="60" xr:uid="{00000000-0005-0000-0000-000037000000}"/>
    <cellStyle name="Accent5 2" xfId="61" xr:uid="{00000000-0005-0000-0000-000038000000}"/>
    <cellStyle name="Accent5 3" xfId="62" xr:uid="{00000000-0005-0000-0000-000039000000}"/>
    <cellStyle name="Accent5 4" xfId="63" xr:uid="{00000000-0005-0000-0000-00003A000000}"/>
    <cellStyle name="Accent5 5" xfId="64" xr:uid="{00000000-0005-0000-0000-00003B000000}"/>
    <cellStyle name="Accent5 6" xfId="65" xr:uid="{00000000-0005-0000-0000-00003C000000}"/>
    <cellStyle name="Accent5 7" xfId="66" xr:uid="{00000000-0005-0000-0000-00003D000000}"/>
    <cellStyle name="Accent5 8" xfId="67" xr:uid="{00000000-0005-0000-0000-00003E000000}"/>
    <cellStyle name="Accent5 9" xfId="68" xr:uid="{00000000-0005-0000-0000-00003F000000}"/>
    <cellStyle name="Accent6 - 20%" xfId="69" xr:uid="{00000000-0005-0000-0000-000040000000}"/>
    <cellStyle name="Accent6 - 40%" xfId="70" xr:uid="{00000000-0005-0000-0000-000041000000}"/>
    <cellStyle name="Accent6 - 60%" xfId="71" xr:uid="{00000000-0005-0000-0000-000042000000}"/>
    <cellStyle name="Accent6 2" xfId="72" xr:uid="{00000000-0005-0000-0000-000043000000}"/>
    <cellStyle name="Accent6 3" xfId="73" xr:uid="{00000000-0005-0000-0000-000044000000}"/>
    <cellStyle name="Accent6 4" xfId="74" xr:uid="{00000000-0005-0000-0000-000045000000}"/>
    <cellStyle name="Accent6 5" xfId="75" xr:uid="{00000000-0005-0000-0000-000046000000}"/>
    <cellStyle name="Accent6 6" xfId="76" xr:uid="{00000000-0005-0000-0000-000047000000}"/>
    <cellStyle name="Accent6 7" xfId="77" xr:uid="{00000000-0005-0000-0000-000048000000}"/>
    <cellStyle name="Accent6 8" xfId="78" xr:uid="{00000000-0005-0000-0000-000049000000}"/>
    <cellStyle name="Accent6 9" xfId="79" xr:uid="{00000000-0005-0000-0000-00004A000000}"/>
    <cellStyle name="AutoFormat Options" xfId="80" xr:uid="{00000000-0005-0000-0000-00004B000000}"/>
    <cellStyle name="Bad 2" xfId="81" xr:uid="{00000000-0005-0000-0000-00004C000000}"/>
    <cellStyle name="Bad 3" xfId="82" xr:uid="{00000000-0005-0000-0000-00004D000000}"/>
    <cellStyle name="Bad 4" xfId="83" xr:uid="{00000000-0005-0000-0000-00004E000000}"/>
    <cellStyle name="Bad 5" xfId="84" xr:uid="{00000000-0005-0000-0000-00004F000000}"/>
    <cellStyle name="Bad 6" xfId="85" xr:uid="{00000000-0005-0000-0000-000050000000}"/>
    <cellStyle name="Bad 7" xfId="86" xr:uid="{00000000-0005-0000-0000-000051000000}"/>
    <cellStyle name="Bad 8" xfId="87" xr:uid="{00000000-0005-0000-0000-000052000000}"/>
    <cellStyle name="Bad 9" xfId="88" xr:uid="{00000000-0005-0000-0000-000053000000}"/>
    <cellStyle name="Calc C - Style1" xfId="89" xr:uid="{00000000-0005-0000-0000-000054000000}"/>
    <cellStyle name="Calc C - Style2" xfId="90" xr:uid="{00000000-0005-0000-0000-000055000000}"/>
    <cellStyle name="Calc C - Style3" xfId="91" xr:uid="{00000000-0005-0000-0000-000056000000}"/>
    <cellStyle name="Calc C - Style4" xfId="92" xr:uid="{00000000-0005-0000-0000-000057000000}"/>
    <cellStyle name="Calc C - Style5" xfId="93" xr:uid="{00000000-0005-0000-0000-000058000000}"/>
    <cellStyle name="Calc C - Style6" xfId="94" xr:uid="{00000000-0005-0000-0000-000059000000}"/>
    <cellStyle name="Calc C - Style7" xfId="95" xr:uid="{00000000-0005-0000-0000-00005A000000}"/>
    <cellStyle name="Calc C - Style8" xfId="96" xr:uid="{00000000-0005-0000-0000-00005B000000}"/>
    <cellStyle name="Calc Currency (0)" xfId="97" xr:uid="{00000000-0005-0000-0000-00005C000000}"/>
    <cellStyle name="Calc Currency (2)" xfId="98" xr:uid="{00000000-0005-0000-0000-00005D000000}"/>
    <cellStyle name="Calc Percent (0)" xfId="99" xr:uid="{00000000-0005-0000-0000-00005E000000}"/>
    <cellStyle name="Calc Percent (1)" xfId="100" xr:uid="{00000000-0005-0000-0000-00005F000000}"/>
    <cellStyle name="Calc Percent (2)" xfId="101" xr:uid="{00000000-0005-0000-0000-000060000000}"/>
    <cellStyle name="Calc Units (0)" xfId="102" xr:uid="{00000000-0005-0000-0000-000061000000}"/>
    <cellStyle name="Calc Units (1)" xfId="103" xr:uid="{00000000-0005-0000-0000-000062000000}"/>
    <cellStyle name="Calc Units (2)" xfId="104" xr:uid="{00000000-0005-0000-0000-000063000000}"/>
    <cellStyle name="Calculation 2" xfId="105" xr:uid="{00000000-0005-0000-0000-000064000000}"/>
    <cellStyle name="Calculation 3" xfId="106" xr:uid="{00000000-0005-0000-0000-000065000000}"/>
    <cellStyle name="Calculation 4" xfId="107" xr:uid="{00000000-0005-0000-0000-000066000000}"/>
    <cellStyle name="Calculation 5" xfId="108" xr:uid="{00000000-0005-0000-0000-000067000000}"/>
    <cellStyle name="Calculation 6" xfId="109" xr:uid="{00000000-0005-0000-0000-000068000000}"/>
    <cellStyle name="Calculation 7" xfId="110" xr:uid="{00000000-0005-0000-0000-000069000000}"/>
    <cellStyle name="Calculation 8" xfId="111" xr:uid="{00000000-0005-0000-0000-00006A000000}"/>
    <cellStyle name="Calculation 9" xfId="112" xr:uid="{00000000-0005-0000-0000-00006B000000}"/>
    <cellStyle name="Change A&amp;ll" xfId="113" xr:uid="{00000000-0005-0000-0000-00006C000000}"/>
    <cellStyle name="Check Cell 2" xfId="114" xr:uid="{00000000-0005-0000-0000-00006D000000}"/>
    <cellStyle name="Check Cell 3" xfId="115" xr:uid="{00000000-0005-0000-0000-00006E000000}"/>
    <cellStyle name="Check Cell 4" xfId="116" xr:uid="{00000000-0005-0000-0000-00006F000000}"/>
    <cellStyle name="Check Cell 5" xfId="117" xr:uid="{00000000-0005-0000-0000-000070000000}"/>
    <cellStyle name="Check Cell 6" xfId="118" xr:uid="{00000000-0005-0000-0000-000071000000}"/>
    <cellStyle name="Check Cell 7" xfId="119" xr:uid="{00000000-0005-0000-0000-000072000000}"/>
    <cellStyle name="Check Cell 8" xfId="120" xr:uid="{00000000-0005-0000-0000-000073000000}"/>
    <cellStyle name="Check Cell 9" xfId="121" xr:uid="{00000000-0005-0000-0000-000074000000}"/>
    <cellStyle name="Comma" xfId="1" builtinId="3"/>
    <cellStyle name="Comma  - Style1" xfId="122" xr:uid="{00000000-0005-0000-0000-000076000000}"/>
    <cellStyle name="Comma  - Style2" xfId="123" xr:uid="{00000000-0005-0000-0000-000077000000}"/>
    <cellStyle name="Comma  - Style3" xfId="124" xr:uid="{00000000-0005-0000-0000-000078000000}"/>
    <cellStyle name="Comma  - Style4" xfId="125" xr:uid="{00000000-0005-0000-0000-000079000000}"/>
    <cellStyle name="Comma  - Style5" xfId="126" xr:uid="{00000000-0005-0000-0000-00007A000000}"/>
    <cellStyle name="Comma  - Style6" xfId="127" xr:uid="{00000000-0005-0000-0000-00007B000000}"/>
    <cellStyle name="Comma  - Style7" xfId="128" xr:uid="{00000000-0005-0000-0000-00007C000000}"/>
    <cellStyle name="Comma  - Style8" xfId="129" xr:uid="{00000000-0005-0000-0000-00007D000000}"/>
    <cellStyle name="Comma [00]" xfId="130" xr:uid="{00000000-0005-0000-0000-00007E000000}"/>
    <cellStyle name="Comma 10" xfId="131" xr:uid="{00000000-0005-0000-0000-00007F000000}"/>
    <cellStyle name="Comma 2" xfId="132" xr:uid="{00000000-0005-0000-0000-000080000000}"/>
    <cellStyle name="Comma 2 2" xfId="133" xr:uid="{00000000-0005-0000-0000-000081000000}"/>
    <cellStyle name="Comma 2 3" xfId="134" xr:uid="{00000000-0005-0000-0000-000082000000}"/>
    <cellStyle name="Comma 3" xfId="135" xr:uid="{00000000-0005-0000-0000-000083000000}"/>
    <cellStyle name="Comma 3 2" xfId="136" xr:uid="{00000000-0005-0000-0000-000084000000}"/>
    <cellStyle name="Comma 3 3" xfId="137" xr:uid="{00000000-0005-0000-0000-000085000000}"/>
    <cellStyle name="Comma 3 4" xfId="138" xr:uid="{00000000-0005-0000-0000-000086000000}"/>
    <cellStyle name="Comma 3 5" xfId="139" xr:uid="{00000000-0005-0000-0000-000087000000}"/>
    <cellStyle name="Comma 3 6" xfId="140" xr:uid="{00000000-0005-0000-0000-000088000000}"/>
    <cellStyle name="Comma 3 7" xfId="141" xr:uid="{00000000-0005-0000-0000-000089000000}"/>
    <cellStyle name="Comma 3 8" xfId="142" xr:uid="{00000000-0005-0000-0000-00008A000000}"/>
    <cellStyle name="Currency [00]" xfId="143" xr:uid="{00000000-0005-0000-0000-00008B000000}"/>
    <cellStyle name="Date Short" xfId="144" xr:uid="{00000000-0005-0000-0000-00008C000000}"/>
    <cellStyle name="Emphasis 1" xfId="145" xr:uid="{00000000-0005-0000-0000-00008D000000}"/>
    <cellStyle name="Emphasis 2" xfId="146" xr:uid="{00000000-0005-0000-0000-00008E000000}"/>
    <cellStyle name="Emphasis 3" xfId="147" xr:uid="{00000000-0005-0000-0000-00008F000000}"/>
    <cellStyle name="Enter Currency (0)" xfId="148" xr:uid="{00000000-0005-0000-0000-000090000000}"/>
    <cellStyle name="Enter Currency (2)" xfId="149" xr:uid="{00000000-0005-0000-0000-000091000000}"/>
    <cellStyle name="Enter Units (0)" xfId="150" xr:uid="{00000000-0005-0000-0000-000092000000}"/>
    <cellStyle name="Enter Units (1)" xfId="151" xr:uid="{00000000-0005-0000-0000-000093000000}"/>
    <cellStyle name="Enter Units (2)" xfId="152" xr:uid="{00000000-0005-0000-0000-000094000000}"/>
    <cellStyle name="Good 2" xfId="153" xr:uid="{00000000-0005-0000-0000-000095000000}"/>
    <cellStyle name="Good 3" xfId="154" xr:uid="{00000000-0005-0000-0000-000096000000}"/>
    <cellStyle name="Good 4" xfId="155" xr:uid="{00000000-0005-0000-0000-000097000000}"/>
    <cellStyle name="Good 5" xfId="156" xr:uid="{00000000-0005-0000-0000-000098000000}"/>
    <cellStyle name="Good 6" xfId="157" xr:uid="{00000000-0005-0000-0000-000099000000}"/>
    <cellStyle name="Good 7" xfId="158" xr:uid="{00000000-0005-0000-0000-00009A000000}"/>
    <cellStyle name="Good 8" xfId="159" xr:uid="{00000000-0005-0000-0000-00009B000000}"/>
    <cellStyle name="Good 9" xfId="160" xr:uid="{00000000-0005-0000-0000-00009C000000}"/>
    <cellStyle name="Grey" xfId="161" xr:uid="{00000000-0005-0000-0000-00009D000000}"/>
    <cellStyle name="Header1" xfId="162" xr:uid="{00000000-0005-0000-0000-00009E000000}"/>
    <cellStyle name="Header2" xfId="163" xr:uid="{00000000-0005-0000-0000-00009F000000}"/>
    <cellStyle name="Heading 1 2" xfId="164" xr:uid="{00000000-0005-0000-0000-0000A0000000}"/>
    <cellStyle name="Heading 1 3" xfId="165" xr:uid="{00000000-0005-0000-0000-0000A1000000}"/>
    <cellStyle name="Heading 1 4" xfId="166" xr:uid="{00000000-0005-0000-0000-0000A2000000}"/>
    <cellStyle name="Heading 1 5" xfId="167" xr:uid="{00000000-0005-0000-0000-0000A3000000}"/>
    <cellStyle name="Heading 1 6" xfId="168" xr:uid="{00000000-0005-0000-0000-0000A4000000}"/>
    <cellStyle name="Heading 1 7" xfId="169" xr:uid="{00000000-0005-0000-0000-0000A5000000}"/>
    <cellStyle name="Heading 1 8" xfId="170" xr:uid="{00000000-0005-0000-0000-0000A6000000}"/>
    <cellStyle name="Heading 1 9" xfId="171" xr:uid="{00000000-0005-0000-0000-0000A7000000}"/>
    <cellStyle name="Heading 2 2" xfId="172" xr:uid="{00000000-0005-0000-0000-0000A8000000}"/>
    <cellStyle name="Heading 2 3" xfId="173" xr:uid="{00000000-0005-0000-0000-0000A9000000}"/>
    <cellStyle name="Heading 2 4" xfId="174" xr:uid="{00000000-0005-0000-0000-0000AA000000}"/>
    <cellStyle name="Heading 2 5" xfId="175" xr:uid="{00000000-0005-0000-0000-0000AB000000}"/>
    <cellStyle name="Heading 2 6" xfId="176" xr:uid="{00000000-0005-0000-0000-0000AC000000}"/>
    <cellStyle name="Heading 2 7" xfId="177" xr:uid="{00000000-0005-0000-0000-0000AD000000}"/>
    <cellStyle name="Heading 2 8" xfId="178" xr:uid="{00000000-0005-0000-0000-0000AE000000}"/>
    <cellStyle name="Heading 2 9" xfId="179" xr:uid="{00000000-0005-0000-0000-0000AF000000}"/>
    <cellStyle name="Heading 3 2" xfId="180" xr:uid="{00000000-0005-0000-0000-0000B0000000}"/>
    <cellStyle name="Heading 3 3" xfId="181" xr:uid="{00000000-0005-0000-0000-0000B1000000}"/>
    <cellStyle name="Heading 3 4" xfId="182" xr:uid="{00000000-0005-0000-0000-0000B2000000}"/>
    <cellStyle name="Heading 3 5" xfId="183" xr:uid="{00000000-0005-0000-0000-0000B3000000}"/>
    <cellStyle name="Heading 3 6" xfId="184" xr:uid="{00000000-0005-0000-0000-0000B4000000}"/>
    <cellStyle name="Heading 3 7" xfId="185" xr:uid="{00000000-0005-0000-0000-0000B5000000}"/>
    <cellStyle name="Heading 3 8" xfId="186" xr:uid="{00000000-0005-0000-0000-0000B6000000}"/>
    <cellStyle name="Heading 3 9" xfId="187" xr:uid="{00000000-0005-0000-0000-0000B7000000}"/>
    <cellStyle name="Heading 4 2" xfId="188" xr:uid="{00000000-0005-0000-0000-0000B8000000}"/>
    <cellStyle name="Heading 4 3" xfId="189" xr:uid="{00000000-0005-0000-0000-0000B9000000}"/>
    <cellStyle name="Heading 4 4" xfId="190" xr:uid="{00000000-0005-0000-0000-0000BA000000}"/>
    <cellStyle name="Heading 4 5" xfId="191" xr:uid="{00000000-0005-0000-0000-0000BB000000}"/>
    <cellStyle name="Heading 4 6" xfId="192" xr:uid="{00000000-0005-0000-0000-0000BC000000}"/>
    <cellStyle name="Heading 4 7" xfId="193" xr:uid="{00000000-0005-0000-0000-0000BD000000}"/>
    <cellStyle name="Heading 4 8" xfId="194" xr:uid="{00000000-0005-0000-0000-0000BE000000}"/>
    <cellStyle name="Heading 4 9" xfId="195" xr:uid="{00000000-0005-0000-0000-0000BF000000}"/>
    <cellStyle name="Input [yellow]" xfId="196" xr:uid="{00000000-0005-0000-0000-0000C0000000}"/>
    <cellStyle name="Input 2" xfId="197" xr:uid="{00000000-0005-0000-0000-0000C1000000}"/>
    <cellStyle name="Input 3" xfId="198" xr:uid="{00000000-0005-0000-0000-0000C2000000}"/>
    <cellStyle name="Input 4" xfId="199" xr:uid="{00000000-0005-0000-0000-0000C3000000}"/>
    <cellStyle name="Input 5" xfId="200" xr:uid="{00000000-0005-0000-0000-0000C4000000}"/>
    <cellStyle name="Input 6" xfId="201" xr:uid="{00000000-0005-0000-0000-0000C5000000}"/>
    <cellStyle name="Input 7" xfId="202" xr:uid="{00000000-0005-0000-0000-0000C6000000}"/>
    <cellStyle name="Input 8" xfId="203" xr:uid="{00000000-0005-0000-0000-0000C7000000}"/>
    <cellStyle name="Input 9" xfId="204" xr:uid="{00000000-0005-0000-0000-0000C8000000}"/>
    <cellStyle name="Link Currency (0)" xfId="205" xr:uid="{00000000-0005-0000-0000-0000C9000000}"/>
    <cellStyle name="Link Currency (2)" xfId="206" xr:uid="{00000000-0005-0000-0000-0000CA000000}"/>
    <cellStyle name="Link Units (0)" xfId="207" xr:uid="{00000000-0005-0000-0000-0000CB000000}"/>
    <cellStyle name="Link Units (1)" xfId="208" xr:uid="{00000000-0005-0000-0000-0000CC000000}"/>
    <cellStyle name="Link Units (2)" xfId="209" xr:uid="{00000000-0005-0000-0000-0000CD000000}"/>
    <cellStyle name="Linked Cell 2" xfId="210" xr:uid="{00000000-0005-0000-0000-0000CE000000}"/>
    <cellStyle name="Linked Cell 3" xfId="211" xr:uid="{00000000-0005-0000-0000-0000CF000000}"/>
    <cellStyle name="Linked Cell 4" xfId="212" xr:uid="{00000000-0005-0000-0000-0000D0000000}"/>
    <cellStyle name="Linked Cell 5" xfId="213" xr:uid="{00000000-0005-0000-0000-0000D1000000}"/>
    <cellStyle name="Linked Cell 6" xfId="214" xr:uid="{00000000-0005-0000-0000-0000D2000000}"/>
    <cellStyle name="Linked Cell 7" xfId="215" xr:uid="{00000000-0005-0000-0000-0000D3000000}"/>
    <cellStyle name="Linked Cell 8" xfId="216" xr:uid="{00000000-0005-0000-0000-0000D4000000}"/>
    <cellStyle name="Linked Cell 9" xfId="217" xr:uid="{00000000-0005-0000-0000-0000D5000000}"/>
    <cellStyle name="Milliers [0]_VERA" xfId="218" xr:uid="{00000000-0005-0000-0000-0000D6000000}"/>
    <cellStyle name="Milliers_VERA" xfId="219" xr:uid="{00000000-0005-0000-0000-0000D7000000}"/>
    <cellStyle name="Monétaire [0]_VERA" xfId="220" xr:uid="{00000000-0005-0000-0000-0000D8000000}"/>
    <cellStyle name="Monétaire_VERA" xfId="221" xr:uid="{00000000-0005-0000-0000-0000D9000000}"/>
    <cellStyle name="Neutral 2" xfId="222" xr:uid="{00000000-0005-0000-0000-0000DA000000}"/>
    <cellStyle name="Neutral 3" xfId="223" xr:uid="{00000000-0005-0000-0000-0000DB000000}"/>
    <cellStyle name="Neutral 4" xfId="224" xr:uid="{00000000-0005-0000-0000-0000DC000000}"/>
    <cellStyle name="Neutral 5" xfId="225" xr:uid="{00000000-0005-0000-0000-0000DD000000}"/>
    <cellStyle name="Neutral 6" xfId="226" xr:uid="{00000000-0005-0000-0000-0000DE000000}"/>
    <cellStyle name="Neutral 7" xfId="227" xr:uid="{00000000-0005-0000-0000-0000DF000000}"/>
    <cellStyle name="Neutral 8" xfId="228" xr:uid="{00000000-0005-0000-0000-0000E0000000}"/>
    <cellStyle name="Neutral 9" xfId="229" xr:uid="{00000000-0005-0000-0000-0000E1000000}"/>
    <cellStyle name="Normal" xfId="0" builtinId="0"/>
    <cellStyle name="Normal - Style1" xfId="230" xr:uid="{00000000-0005-0000-0000-0000E3000000}"/>
    <cellStyle name="Normal 14" xfId="4" xr:uid="{00000000-0005-0000-0000-0000E4000000}"/>
    <cellStyle name="Normal 2" xfId="231" xr:uid="{00000000-0005-0000-0000-0000E5000000}"/>
    <cellStyle name="Normal 2 2" xfId="232" xr:uid="{00000000-0005-0000-0000-0000E6000000}"/>
    <cellStyle name="Normal 3" xfId="233" xr:uid="{00000000-0005-0000-0000-0000E7000000}"/>
    <cellStyle name="Normal 5" xfId="234" xr:uid="{00000000-0005-0000-0000-0000E8000000}"/>
    <cellStyle name="Normal 6" xfId="235" xr:uid="{00000000-0005-0000-0000-0000E9000000}"/>
    <cellStyle name="Normal 7" xfId="236" xr:uid="{00000000-0005-0000-0000-0000EA000000}"/>
    <cellStyle name="Normal 8" xfId="237" xr:uid="{00000000-0005-0000-0000-0000EB000000}"/>
    <cellStyle name="Normal 9" xfId="238" xr:uid="{00000000-0005-0000-0000-0000EC000000}"/>
    <cellStyle name="Normal_Finance - XI" xfId="3" xr:uid="{00000000-0005-0000-0000-0000ED000000}"/>
    <cellStyle name="Note 2" xfId="239" xr:uid="{00000000-0005-0000-0000-0000EF000000}"/>
    <cellStyle name="Note 3" xfId="240" xr:uid="{00000000-0005-0000-0000-0000F0000000}"/>
    <cellStyle name="Note 4" xfId="241" xr:uid="{00000000-0005-0000-0000-0000F1000000}"/>
    <cellStyle name="Note 5" xfId="242" xr:uid="{00000000-0005-0000-0000-0000F2000000}"/>
    <cellStyle name="Note 6" xfId="243" xr:uid="{00000000-0005-0000-0000-0000F3000000}"/>
    <cellStyle name="Note 7" xfId="244" xr:uid="{00000000-0005-0000-0000-0000F4000000}"/>
    <cellStyle name="Note 8" xfId="245" xr:uid="{00000000-0005-0000-0000-0000F5000000}"/>
    <cellStyle name="Note 9" xfId="246" xr:uid="{00000000-0005-0000-0000-0000F6000000}"/>
    <cellStyle name="Output 2" xfId="247" xr:uid="{00000000-0005-0000-0000-0000F7000000}"/>
    <cellStyle name="Output 3" xfId="248" xr:uid="{00000000-0005-0000-0000-0000F8000000}"/>
    <cellStyle name="Output 4" xfId="249" xr:uid="{00000000-0005-0000-0000-0000F9000000}"/>
    <cellStyle name="Output 5" xfId="250" xr:uid="{00000000-0005-0000-0000-0000FA000000}"/>
    <cellStyle name="Output 6" xfId="251" xr:uid="{00000000-0005-0000-0000-0000FB000000}"/>
    <cellStyle name="Output 7" xfId="252" xr:uid="{00000000-0005-0000-0000-0000FC000000}"/>
    <cellStyle name="Output 8" xfId="253" xr:uid="{00000000-0005-0000-0000-0000FD000000}"/>
    <cellStyle name="Output 9" xfId="254" xr:uid="{00000000-0005-0000-0000-0000FE000000}"/>
    <cellStyle name="Pattern" xfId="255" xr:uid="{00000000-0005-0000-0000-0000FF000000}"/>
    <cellStyle name="Percent" xfId="2" builtinId="5"/>
    <cellStyle name="Percent [0]" xfId="256" xr:uid="{00000000-0005-0000-0000-000001010000}"/>
    <cellStyle name="Percent [00]" xfId="257" xr:uid="{00000000-0005-0000-0000-000002010000}"/>
    <cellStyle name="Percent [2]" xfId="258" xr:uid="{00000000-0005-0000-0000-000003010000}"/>
    <cellStyle name="Percent 2" xfId="259" xr:uid="{00000000-0005-0000-0000-000004010000}"/>
    <cellStyle name="Percent 2 2" xfId="260" xr:uid="{00000000-0005-0000-0000-000005010000}"/>
    <cellStyle name="Percent 2 3" xfId="261" xr:uid="{00000000-0005-0000-0000-000006010000}"/>
    <cellStyle name="Percent 3 2" xfId="262" xr:uid="{00000000-0005-0000-0000-000007010000}"/>
    <cellStyle name="Percent 3 3" xfId="263" xr:uid="{00000000-0005-0000-0000-000008010000}"/>
    <cellStyle name="Percent 3 4" xfId="264" xr:uid="{00000000-0005-0000-0000-000009010000}"/>
    <cellStyle name="Percent 3 5" xfId="265" xr:uid="{00000000-0005-0000-0000-00000A010000}"/>
    <cellStyle name="Percent 3 6" xfId="266" xr:uid="{00000000-0005-0000-0000-00000B010000}"/>
    <cellStyle name="Percent 3 7" xfId="267" xr:uid="{00000000-0005-0000-0000-00000C010000}"/>
    <cellStyle name="Percent 3 8" xfId="268" xr:uid="{00000000-0005-0000-0000-00000D010000}"/>
    <cellStyle name="PrePop Currency (0)" xfId="269" xr:uid="{00000000-0005-0000-0000-00000E010000}"/>
    <cellStyle name="PrePop Currency (2)" xfId="270" xr:uid="{00000000-0005-0000-0000-00000F010000}"/>
    <cellStyle name="PrePop Units (0)" xfId="271" xr:uid="{00000000-0005-0000-0000-000010010000}"/>
    <cellStyle name="PrePop Units (1)" xfId="272" xr:uid="{00000000-0005-0000-0000-000011010000}"/>
    <cellStyle name="PrePop Units (2)" xfId="273" xr:uid="{00000000-0005-0000-0000-000012010000}"/>
    <cellStyle name="Sheet Title" xfId="274" xr:uid="{00000000-0005-0000-0000-000013010000}"/>
    <cellStyle name="STYL1 - Style1" xfId="275" xr:uid="{00000000-0005-0000-0000-000014010000}"/>
    <cellStyle name="STYL2 - Style2" xfId="276" xr:uid="{00000000-0005-0000-0000-000015010000}"/>
    <cellStyle name="STYL3 - Style3" xfId="277" xr:uid="{00000000-0005-0000-0000-000016010000}"/>
    <cellStyle name="STYL4 - Style4" xfId="278" xr:uid="{00000000-0005-0000-0000-000017010000}"/>
    <cellStyle name="STYL5 - Style5" xfId="279" xr:uid="{00000000-0005-0000-0000-000018010000}"/>
    <cellStyle name="Text Indent A" xfId="280" xr:uid="{00000000-0005-0000-0000-000019010000}"/>
    <cellStyle name="Text Indent B" xfId="281" xr:uid="{00000000-0005-0000-0000-00001A010000}"/>
    <cellStyle name="Text Indent C" xfId="282" xr:uid="{00000000-0005-0000-0000-00001B010000}"/>
    <cellStyle name="Title 2" xfId="300" xr:uid="{00000000-0005-0000-0000-00001D010000}"/>
    <cellStyle name="Total 2" xfId="283" xr:uid="{00000000-0005-0000-0000-00001E010000}"/>
    <cellStyle name="Total 3" xfId="284" xr:uid="{00000000-0005-0000-0000-00001F010000}"/>
    <cellStyle name="Total 4" xfId="285" xr:uid="{00000000-0005-0000-0000-000020010000}"/>
    <cellStyle name="Total 5" xfId="286" xr:uid="{00000000-0005-0000-0000-000021010000}"/>
    <cellStyle name="Total 6" xfId="287" xr:uid="{00000000-0005-0000-0000-000022010000}"/>
    <cellStyle name="Total 7" xfId="288" xr:uid="{00000000-0005-0000-0000-000023010000}"/>
    <cellStyle name="Total 8" xfId="289" xr:uid="{00000000-0005-0000-0000-000024010000}"/>
    <cellStyle name="Total 9" xfId="290" xr:uid="{00000000-0005-0000-0000-000025010000}"/>
    <cellStyle name="Update" xfId="291" xr:uid="{00000000-0005-0000-0000-000026010000}"/>
    <cellStyle name="Warning Text 2" xfId="292" xr:uid="{00000000-0005-0000-0000-000027010000}"/>
    <cellStyle name="Warning Text 3" xfId="293" xr:uid="{00000000-0005-0000-0000-000028010000}"/>
    <cellStyle name="Warning Text 4" xfId="294" xr:uid="{00000000-0005-0000-0000-000029010000}"/>
    <cellStyle name="Warning Text 5" xfId="295" xr:uid="{00000000-0005-0000-0000-00002A010000}"/>
    <cellStyle name="Warning Text 6" xfId="296" xr:uid="{00000000-0005-0000-0000-00002B010000}"/>
    <cellStyle name="Warning Text 7" xfId="297" xr:uid="{00000000-0005-0000-0000-00002C010000}"/>
    <cellStyle name="Warning Text 8" xfId="298" xr:uid="{00000000-0005-0000-0000-00002D010000}"/>
    <cellStyle name="Warning Text 9" xfId="299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Q46"/>
  <sheetViews>
    <sheetView showGridLines="0" tabSelected="1" zoomScaleNormal="100" zoomScaleSheetLayoutView="78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H15" sqref="H15"/>
    </sheetView>
  </sheetViews>
  <sheetFormatPr defaultColWidth="9.140625" defaultRowHeight="15" x14ac:dyDescent="0.25"/>
  <cols>
    <col min="1" max="1" width="46.7109375" customWidth="1"/>
    <col min="2" max="13" width="13.140625" customWidth="1"/>
    <col min="14" max="14" width="43.5703125" bestFit="1" customWidth="1"/>
  </cols>
  <sheetData>
    <row r="1" spans="1:14" ht="20.100000000000001" customHeight="1" x14ac:dyDescent="0.25">
      <c r="A1" s="63" t="s">
        <v>64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2" spans="1:14" ht="20.100000000000001" customHeight="1" x14ac:dyDescent="0.25">
      <c r="A2" s="64" t="s">
        <v>65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</row>
    <row r="3" spans="1:14" ht="15.95" customHeight="1" x14ac:dyDescent="0.25">
      <c r="A3" s="65" t="s">
        <v>0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</row>
    <row r="4" spans="1:14" ht="15.95" customHeight="1" x14ac:dyDescent="0.25">
      <c r="A4" s="72" t="s">
        <v>1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</row>
    <row r="5" spans="1:14" ht="8.1" customHeight="1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</row>
    <row r="6" spans="1:14" ht="15.95" customHeight="1" x14ac:dyDescent="0.25">
      <c r="A6" s="18"/>
      <c r="B6" s="69">
        <v>2020</v>
      </c>
      <c r="C6" s="70"/>
      <c r="D6" s="70"/>
      <c r="E6" s="71"/>
      <c r="F6" s="69">
        <v>2021</v>
      </c>
      <c r="G6" s="70"/>
      <c r="H6" s="70"/>
      <c r="I6" s="71"/>
      <c r="J6" s="69">
        <v>2022</v>
      </c>
      <c r="K6" s="70"/>
      <c r="L6" s="70"/>
      <c r="M6" s="71"/>
      <c r="N6" s="66" t="s">
        <v>40</v>
      </c>
    </row>
    <row r="7" spans="1:14" ht="15.95" customHeight="1" x14ac:dyDescent="0.35">
      <c r="A7" s="13" t="s">
        <v>2</v>
      </c>
      <c r="B7" s="62" t="s">
        <v>3</v>
      </c>
      <c r="C7" s="60" t="s">
        <v>4</v>
      </c>
      <c r="D7" s="60" t="s">
        <v>5</v>
      </c>
      <c r="E7" s="61" t="s">
        <v>6</v>
      </c>
      <c r="F7" s="62" t="s">
        <v>3</v>
      </c>
      <c r="G7" s="60" t="s">
        <v>4</v>
      </c>
      <c r="H7" s="60" t="s">
        <v>5</v>
      </c>
      <c r="I7" s="61" t="s">
        <v>6</v>
      </c>
      <c r="J7" s="62" t="s">
        <v>3</v>
      </c>
      <c r="K7" s="60" t="s">
        <v>4</v>
      </c>
      <c r="L7" s="60" t="s">
        <v>5</v>
      </c>
      <c r="M7" s="61" t="s">
        <v>6</v>
      </c>
      <c r="N7" s="67" t="s">
        <v>7</v>
      </c>
    </row>
    <row r="8" spans="1:14" ht="15.95" customHeight="1" x14ac:dyDescent="0.25">
      <c r="A8" s="14"/>
      <c r="B8" s="7" t="s">
        <v>8</v>
      </c>
      <c r="C8" s="8" t="s">
        <v>9</v>
      </c>
      <c r="D8" s="8" t="s">
        <v>10</v>
      </c>
      <c r="E8" s="9" t="s">
        <v>15</v>
      </c>
      <c r="F8" s="7" t="s">
        <v>8</v>
      </c>
      <c r="G8" s="8" t="s">
        <v>9</v>
      </c>
      <c r="H8" s="8" t="s">
        <v>10</v>
      </c>
      <c r="I8" s="9" t="s">
        <v>15</v>
      </c>
      <c r="J8" s="7" t="s">
        <v>8</v>
      </c>
      <c r="K8" s="8" t="s">
        <v>9</v>
      </c>
      <c r="L8" s="8" t="s">
        <v>10</v>
      </c>
      <c r="M8" s="9" t="s">
        <v>15</v>
      </c>
      <c r="N8" s="68"/>
    </row>
    <row r="9" spans="1:14" ht="8.1" customHeight="1" x14ac:dyDescent="0.25">
      <c r="A9" s="15"/>
      <c r="B9" s="10"/>
      <c r="C9" s="11"/>
      <c r="D9" s="11"/>
      <c r="E9" s="12"/>
      <c r="F9" s="10"/>
      <c r="G9" s="11"/>
      <c r="H9" s="11"/>
      <c r="I9" s="12"/>
      <c r="J9" s="10"/>
      <c r="K9" s="11"/>
      <c r="L9" s="11"/>
      <c r="M9" s="12"/>
      <c r="N9" s="6"/>
    </row>
    <row r="10" spans="1:14" ht="15.95" customHeight="1" x14ac:dyDescent="0.25">
      <c r="A10" s="32" t="s">
        <v>18</v>
      </c>
      <c r="B10" s="39">
        <v>58888.892</v>
      </c>
      <c r="C10" s="40">
        <v>59859.294000000002</v>
      </c>
      <c r="D10" s="40">
        <v>62958.578000000001</v>
      </c>
      <c r="E10" s="41">
        <v>68501.138000000006</v>
      </c>
      <c r="F10" s="39">
        <v>71903.764999999999</v>
      </c>
      <c r="G10" s="40">
        <v>74213.120999999999</v>
      </c>
      <c r="H10" s="40">
        <v>76347.282999999996</v>
      </c>
      <c r="I10" s="41">
        <v>83262.831999999995</v>
      </c>
      <c r="J10" s="39">
        <v>85828.879000000001</v>
      </c>
      <c r="K10" s="40">
        <v>88480.845000000001</v>
      </c>
      <c r="L10" s="40">
        <v>83517.353000000003</v>
      </c>
      <c r="M10" s="41">
        <v>88552.468999999997</v>
      </c>
      <c r="N10" s="26" t="s">
        <v>48</v>
      </c>
    </row>
    <row r="11" spans="1:14" ht="15.95" customHeight="1" x14ac:dyDescent="0.25">
      <c r="A11" s="34" t="s">
        <v>19</v>
      </c>
      <c r="B11" s="42">
        <v>4699.8959999999997</v>
      </c>
      <c r="C11" s="43">
        <v>3615.4009999999998</v>
      </c>
      <c r="D11" s="43">
        <v>2661.9050000000002</v>
      </c>
      <c r="E11" s="44">
        <v>4131.0730000000003</v>
      </c>
      <c r="F11" s="42">
        <v>5497.1080000000002</v>
      </c>
      <c r="G11" s="43">
        <v>5022.6139999999996</v>
      </c>
      <c r="H11" s="43">
        <v>5415.6730000000007</v>
      </c>
      <c r="I11" s="44">
        <v>10524.055</v>
      </c>
      <c r="J11" s="42">
        <v>10905.29</v>
      </c>
      <c r="K11" s="43">
        <v>12468.320000000002</v>
      </c>
      <c r="L11" s="43">
        <v>8254.6890000000003</v>
      </c>
      <c r="M11" s="44">
        <v>9161.9060000000009</v>
      </c>
      <c r="N11" s="35" t="s">
        <v>46</v>
      </c>
    </row>
    <row r="12" spans="1:14" ht="15.95" customHeight="1" x14ac:dyDescent="0.25">
      <c r="A12" s="34" t="s">
        <v>26</v>
      </c>
      <c r="B12" s="42">
        <v>1020.253</v>
      </c>
      <c r="C12" s="43">
        <v>1105.4469999999999</v>
      </c>
      <c r="D12" s="43">
        <v>648.77800000000002</v>
      </c>
      <c r="E12" s="44">
        <v>547.15599999999995</v>
      </c>
      <c r="F12" s="42">
        <v>556.91399999999999</v>
      </c>
      <c r="G12" s="43">
        <v>592.16499999999996</v>
      </c>
      <c r="H12" s="43">
        <v>619.85199999999998</v>
      </c>
      <c r="I12" s="44">
        <v>522.03099999999995</v>
      </c>
      <c r="J12" s="42">
        <v>485.96199999999999</v>
      </c>
      <c r="K12" s="43">
        <v>555.74</v>
      </c>
      <c r="L12" s="43">
        <v>562.59699999999998</v>
      </c>
      <c r="M12" s="44">
        <v>538.12699999999995</v>
      </c>
      <c r="N12" s="35" t="s">
        <v>58</v>
      </c>
    </row>
    <row r="13" spans="1:14" ht="15.95" customHeight="1" x14ac:dyDescent="0.25">
      <c r="A13" s="34" t="s">
        <v>27</v>
      </c>
      <c r="B13" s="42">
        <v>10346.514999999999</v>
      </c>
      <c r="C13" s="43">
        <v>11313.655000000001</v>
      </c>
      <c r="D13" s="43">
        <v>9831.7289999999994</v>
      </c>
      <c r="E13" s="44">
        <v>12774.913</v>
      </c>
      <c r="F13" s="42">
        <v>12835.864000000001</v>
      </c>
      <c r="G13" s="43">
        <v>13874.132999999998</v>
      </c>
      <c r="H13" s="43">
        <v>13207.315999999999</v>
      </c>
      <c r="I13" s="44">
        <v>14695.638999999999</v>
      </c>
      <c r="J13" s="42">
        <v>16053.203999999998</v>
      </c>
      <c r="K13" s="43">
        <v>15481.914000000001</v>
      </c>
      <c r="L13" s="43">
        <v>14061.428</v>
      </c>
      <c r="M13" s="44">
        <v>15479.671000000002</v>
      </c>
      <c r="N13" s="35" t="s">
        <v>42</v>
      </c>
    </row>
    <row r="14" spans="1:14" ht="15.95" customHeight="1" x14ac:dyDescent="0.25">
      <c r="A14" s="34" t="s">
        <v>23</v>
      </c>
      <c r="B14" s="42">
        <v>12598.844999999999</v>
      </c>
      <c r="C14" s="43">
        <v>13019.852999999999</v>
      </c>
      <c r="D14" s="43">
        <v>17757.327000000001</v>
      </c>
      <c r="E14" s="44">
        <v>18497.842000000001</v>
      </c>
      <c r="F14" s="42">
        <v>19456.487999999998</v>
      </c>
      <c r="G14" s="43">
        <v>20482.838</v>
      </c>
      <c r="H14" s="43">
        <v>21558.198</v>
      </c>
      <c r="I14" s="44">
        <v>22151.613999999998</v>
      </c>
      <c r="J14" s="42">
        <v>23404.344000000001</v>
      </c>
      <c r="K14" s="43">
        <v>24429.489000000001</v>
      </c>
      <c r="L14" s="43">
        <v>24305.385000000002</v>
      </c>
      <c r="M14" s="44">
        <v>26168.692999999999</v>
      </c>
      <c r="N14" s="35" t="s">
        <v>28</v>
      </c>
    </row>
    <row r="15" spans="1:14" ht="15.95" customHeight="1" x14ac:dyDescent="0.25">
      <c r="A15" s="34" t="s">
        <v>29</v>
      </c>
      <c r="B15" s="42">
        <v>27509.838</v>
      </c>
      <c r="C15" s="43">
        <v>28134.813999999998</v>
      </c>
      <c r="D15" s="43">
        <v>29287.898000000001</v>
      </c>
      <c r="E15" s="44">
        <v>29673.456999999999</v>
      </c>
      <c r="F15" s="42">
        <v>30533.212</v>
      </c>
      <c r="G15" s="43">
        <v>31180.406999999999</v>
      </c>
      <c r="H15" s="43">
        <v>32288.801000000003</v>
      </c>
      <c r="I15" s="44">
        <v>31466.686000000002</v>
      </c>
      <c r="J15" s="42">
        <v>31678.951000000001</v>
      </c>
      <c r="K15" s="43">
        <v>32170.091</v>
      </c>
      <c r="L15" s="43">
        <v>33057.851000000002</v>
      </c>
      <c r="M15" s="44">
        <v>33643.139000000003</v>
      </c>
      <c r="N15" s="35" t="s">
        <v>50</v>
      </c>
    </row>
    <row r="16" spans="1:14" ht="15.95" customHeight="1" x14ac:dyDescent="0.25">
      <c r="A16" s="34" t="s">
        <v>16</v>
      </c>
      <c r="B16" s="42">
        <v>107.3</v>
      </c>
      <c r="C16" s="43">
        <v>107.3</v>
      </c>
      <c r="D16" s="43">
        <v>107.3</v>
      </c>
      <c r="E16" s="44">
        <v>107.3</v>
      </c>
      <c r="F16" s="42">
        <v>64.2</v>
      </c>
      <c r="G16" s="43">
        <v>64.2</v>
      </c>
      <c r="H16" s="43">
        <v>64.2</v>
      </c>
      <c r="I16" s="44">
        <v>53.1</v>
      </c>
      <c r="J16" s="42">
        <v>53.1</v>
      </c>
      <c r="K16" s="43">
        <v>53.1</v>
      </c>
      <c r="L16" s="43">
        <v>53.1</v>
      </c>
      <c r="M16" s="44">
        <v>53.1</v>
      </c>
      <c r="N16" s="35" t="s">
        <v>45</v>
      </c>
    </row>
    <row r="17" spans="1:14" ht="15.95" customHeight="1" x14ac:dyDescent="0.25">
      <c r="A17" s="34" t="s">
        <v>20</v>
      </c>
      <c r="B17" s="42">
        <v>1063.66500000001</v>
      </c>
      <c r="C17" s="43">
        <v>932.46500000000401</v>
      </c>
      <c r="D17" s="43">
        <v>984.68099999999004</v>
      </c>
      <c r="E17" s="44">
        <v>1028.8210000000099</v>
      </c>
      <c r="F17" s="42">
        <v>1192.7040000000125</v>
      </c>
      <c r="G17" s="43">
        <v>1211.5739999999932</v>
      </c>
      <c r="H17" s="43">
        <v>1375.9889999999868</v>
      </c>
      <c r="I17" s="44">
        <v>1973.1299999999901</v>
      </c>
      <c r="J17" s="42">
        <v>1338.7579999999871</v>
      </c>
      <c r="K17" s="43">
        <v>1374.4349999999977</v>
      </c>
      <c r="L17" s="43">
        <v>1251.3619999999792</v>
      </c>
      <c r="M17" s="44">
        <v>1402.4199999999837</v>
      </c>
      <c r="N17" s="35" t="s">
        <v>51</v>
      </c>
    </row>
    <row r="18" spans="1:14" ht="15.95" customHeight="1" x14ac:dyDescent="0.25">
      <c r="A18" s="34" t="s">
        <v>21</v>
      </c>
      <c r="B18" s="42">
        <v>1542.58</v>
      </c>
      <c r="C18" s="43">
        <v>1630.3589999999999</v>
      </c>
      <c r="D18" s="43">
        <v>1678.96</v>
      </c>
      <c r="E18" s="44">
        <v>1740.576</v>
      </c>
      <c r="F18" s="42">
        <v>1767.2750000000001</v>
      </c>
      <c r="G18" s="43">
        <v>1785.19</v>
      </c>
      <c r="H18" s="43">
        <v>1817.2540000000001</v>
      </c>
      <c r="I18" s="44">
        <v>1876.577</v>
      </c>
      <c r="J18" s="42">
        <v>1909.27</v>
      </c>
      <c r="K18" s="43">
        <v>1947.7560000000001</v>
      </c>
      <c r="L18" s="43">
        <v>1970.941</v>
      </c>
      <c r="M18" s="44">
        <v>2105.413</v>
      </c>
      <c r="N18" s="35" t="s">
        <v>47</v>
      </c>
    </row>
    <row r="19" spans="1:14" ht="15.95" customHeight="1" x14ac:dyDescent="0.25">
      <c r="A19" s="32" t="s">
        <v>22</v>
      </c>
      <c r="B19" s="39">
        <v>58888.892</v>
      </c>
      <c r="C19" s="40">
        <v>59859.294000000002</v>
      </c>
      <c r="D19" s="40">
        <v>62958.578000000001</v>
      </c>
      <c r="E19" s="41">
        <v>68501.138000000006</v>
      </c>
      <c r="F19" s="39">
        <v>71903.764999999999</v>
      </c>
      <c r="G19" s="40">
        <v>74213.120999999999</v>
      </c>
      <c r="H19" s="40">
        <v>76347.282999999996</v>
      </c>
      <c r="I19" s="41">
        <v>83262.831999999995</v>
      </c>
      <c r="J19" s="39">
        <v>85828.879000000001</v>
      </c>
      <c r="K19" s="40">
        <v>88480.845000000001</v>
      </c>
      <c r="L19" s="40">
        <v>83517.353000000003</v>
      </c>
      <c r="M19" s="41">
        <v>88552.468999999997</v>
      </c>
      <c r="N19" s="26" t="s">
        <v>36</v>
      </c>
    </row>
    <row r="20" spans="1:14" ht="15.95" customHeight="1" x14ac:dyDescent="0.25">
      <c r="A20" s="34" t="s">
        <v>24</v>
      </c>
      <c r="B20" s="42">
        <v>2332.5619999999999</v>
      </c>
      <c r="C20" s="43">
        <v>2242.3820000000001</v>
      </c>
      <c r="D20" s="43">
        <v>6124.8050000000003</v>
      </c>
      <c r="E20" s="44">
        <v>6365.85</v>
      </c>
      <c r="F20" s="42">
        <v>6179.01</v>
      </c>
      <c r="G20" s="43">
        <v>6317.8829999999998</v>
      </c>
      <c r="H20" s="43">
        <v>6872.5720000000001</v>
      </c>
      <c r="I20" s="44">
        <v>7626.1859999999997</v>
      </c>
      <c r="J20" s="42">
        <v>6214.21</v>
      </c>
      <c r="K20" s="43">
        <v>6199.043999999999</v>
      </c>
      <c r="L20" s="43">
        <v>6378.5529999999999</v>
      </c>
      <c r="M20" s="44">
        <v>7637.9929999999995</v>
      </c>
      <c r="N20" s="35" t="s">
        <v>43</v>
      </c>
    </row>
    <row r="21" spans="1:14" ht="15.95" customHeight="1" x14ac:dyDescent="0.25">
      <c r="A21" s="34" t="s">
        <v>30</v>
      </c>
      <c r="B21" s="42">
        <v>34383.307000000001</v>
      </c>
      <c r="C21" s="43">
        <v>34626.233999999997</v>
      </c>
      <c r="D21" s="43">
        <v>33787.813000000002</v>
      </c>
      <c r="E21" s="44">
        <v>37999.879999999997</v>
      </c>
      <c r="F21" s="42">
        <v>41168.555000000008</v>
      </c>
      <c r="G21" s="43">
        <v>42232.095999999998</v>
      </c>
      <c r="H21" s="43">
        <v>43155.364000000001</v>
      </c>
      <c r="I21" s="44">
        <v>48956.218000000001</v>
      </c>
      <c r="J21" s="42">
        <v>52621.213000000003</v>
      </c>
      <c r="K21" s="43">
        <v>54613.214</v>
      </c>
      <c r="L21" s="43">
        <v>48718.399000000005</v>
      </c>
      <c r="M21" s="44">
        <v>52185.10300000001</v>
      </c>
      <c r="N21" s="35" t="s">
        <v>52</v>
      </c>
    </row>
    <row r="22" spans="1:14" ht="15.95" customHeight="1" x14ac:dyDescent="0.25">
      <c r="A22" s="34" t="s">
        <v>32</v>
      </c>
      <c r="B22" s="42">
        <v>2199.2919999999999</v>
      </c>
      <c r="C22" s="43">
        <v>2513.2860000000001</v>
      </c>
      <c r="D22" s="43">
        <v>1893.126</v>
      </c>
      <c r="E22" s="44">
        <v>1487.482</v>
      </c>
      <c r="F22" s="42">
        <v>1867.104</v>
      </c>
      <c r="G22" s="43">
        <v>2167.1790000000001</v>
      </c>
      <c r="H22" s="43">
        <v>2003.17</v>
      </c>
      <c r="I22" s="44">
        <v>1940.4150000000002</v>
      </c>
      <c r="J22" s="42">
        <v>2594.3490000000002</v>
      </c>
      <c r="K22" s="43">
        <v>2718.2719999999999</v>
      </c>
      <c r="L22" s="43">
        <v>2917.835</v>
      </c>
      <c r="M22" s="44">
        <v>2868.9920000000002</v>
      </c>
      <c r="N22" s="35" t="s">
        <v>53</v>
      </c>
    </row>
    <row r="23" spans="1:14" ht="15.95" customHeight="1" x14ac:dyDescent="0.25">
      <c r="A23" s="34" t="s">
        <v>25</v>
      </c>
      <c r="B23" s="42">
        <v>5565.0720000000092</v>
      </c>
      <c r="C23" s="43">
        <v>5613.2100000000091</v>
      </c>
      <c r="D23" s="43">
        <v>5911.9790000000003</v>
      </c>
      <c r="E23" s="44">
        <v>7539.6790000000001</v>
      </c>
      <c r="F23" s="42">
        <v>7099.5129999999917</v>
      </c>
      <c r="G23" s="43">
        <v>7295.1040000000066</v>
      </c>
      <c r="H23" s="43">
        <v>7236.5840000000026</v>
      </c>
      <c r="I23" s="44">
        <v>6897.1399999999849</v>
      </c>
      <c r="J23" s="42">
        <v>5938.5880000000034</v>
      </c>
      <c r="K23" s="43">
        <v>6072.3310000000056</v>
      </c>
      <c r="L23" s="43">
        <v>5851.7690000000002</v>
      </c>
      <c r="M23" s="44">
        <v>5399.3179999999847</v>
      </c>
      <c r="N23" s="35" t="s">
        <v>44</v>
      </c>
    </row>
    <row r="24" spans="1:14" ht="15.95" customHeight="1" x14ac:dyDescent="0.25">
      <c r="A24" s="34" t="s">
        <v>17</v>
      </c>
      <c r="B24" s="42">
        <v>14408.659</v>
      </c>
      <c r="C24" s="43">
        <v>14864.182000000001</v>
      </c>
      <c r="D24" s="43">
        <v>15240.855</v>
      </c>
      <c r="E24" s="44">
        <v>15108.246999999999</v>
      </c>
      <c r="F24" s="42">
        <v>15589.583000000001</v>
      </c>
      <c r="G24" s="43">
        <v>16200.859</v>
      </c>
      <c r="H24" s="43">
        <v>17079.593000000001</v>
      </c>
      <c r="I24" s="44">
        <v>17842.873</v>
      </c>
      <c r="J24" s="42">
        <v>18460.519</v>
      </c>
      <c r="K24" s="43">
        <v>18877.984</v>
      </c>
      <c r="L24" s="43">
        <v>19650.797000000002</v>
      </c>
      <c r="M24" s="44">
        <v>20461.062999999998</v>
      </c>
      <c r="N24" s="35" t="s">
        <v>45</v>
      </c>
    </row>
    <row r="25" spans="1:14" ht="8.1" customHeight="1" x14ac:dyDescent="0.25">
      <c r="A25" s="36" t="s">
        <v>35</v>
      </c>
      <c r="B25" s="45"/>
      <c r="C25" s="46"/>
      <c r="D25" s="46"/>
      <c r="E25" s="47"/>
      <c r="F25" s="45"/>
      <c r="G25" s="46"/>
      <c r="H25" s="46"/>
      <c r="I25" s="47"/>
      <c r="J25" s="45"/>
      <c r="K25" s="46"/>
      <c r="L25" s="46"/>
      <c r="M25" s="47"/>
      <c r="N25" s="4" t="s">
        <v>35</v>
      </c>
    </row>
    <row r="26" spans="1:14" ht="8.1" customHeight="1" x14ac:dyDescent="0.25">
      <c r="A26" s="20" t="s">
        <v>35</v>
      </c>
      <c r="B26" s="48"/>
      <c r="C26" s="49"/>
      <c r="D26" s="49"/>
      <c r="E26" s="50"/>
      <c r="F26" s="48"/>
      <c r="G26" s="49"/>
      <c r="H26" s="49"/>
      <c r="I26" s="50"/>
      <c r="J26" s="48"/>
      <c r="K26" s="49"/>
      <c r="L26" s="49"/>
      <c r="M26" s="50"/>
      <c r="N26" t="s">
        <v>35</v>
      </c>
    </row>
    <row r="27" spans="1:14" ht="15.95" customHeight="1" x14ac:dyDescent="0.25">
      <c r="A27" s="33" t="s">
        <v>12</v>
      </c>
      <c r="B27" s="51"/>
      <c r="C27" s="52"/>
      <c r="D27" s="52"/>
      <c r="E27" s="53"/>
      <c r="F27" s="51"/>
      <c r="G27" s="52"/>
      <c r="H27" s="52"/>
      <c r="I27" s="53"/>
      <c r="J27" s="51"/>
      <c r="K27" s="52"/>
      <c r="L27" s="52"/>
      <c r="M27" s="53"/>
      <c r="N27" s="26" t="s">
        <v>61</v>
      </c>
    </row>
    <row r="28" spans="1:14" ht="15.95" customHeight="1" x14ac:dyDescent="0.25">
      <c r="A28" s="32" t="s">
        <v>19</v>
      </c>
      <c r="B28" s="39">
        <v>-7.4170803113533985</v>
      </c>
      <c r="C28" s="40">
        <v>-9.1661422001464814</v>
      </c>
      <c r="D28" s="40">
        <v>-27.898524521470996</v>
      </c>
      <c r="E28" s="41">
        <v>-9.0342719600400709</v>
      </c>
      <c r="F28" s="39">
        <f>(F11-B11)/B11*100</f>
        <v>16.962332783533942</v>
      </c>
      <c r="G28" s="40">
        <f t="shared" ref="G28:H28" si="0">(G11-C11)/C11*100</f>
        <v>38.922736371428776</v>
      </c>
      <c r="H28" s="40">
        <f t="shared" si="0"/>
        <v>103.4510247360443</v>
      </c>
      <c r="I28" s="41">
        <f>(I11-E11)/E11*100</f>
        <v>154.75354708086735</v>
      </c>
      <c r="J28" s="39">
        <f>(J11-F11)/F11*100</f>
        <v>98.382313027140825</v>
      </c>
      <c r="K28" s="40">
        <f t="shared" ref="K28" si="1">(K11-G11)/G11*100</f>
        <v>148.24364364850661</v>
      </c>
      <c r="L28" s="40">
        <f t="shared" ref="L28" si="2">(L11-H11)/H11*100</f>
        <v>52.422219731508889</v>
      </c>
      <c r="M28" s="41">
        <f>(M11-I11)/I11*100</f>
        <v>-12.943195374786615</v>
      </c>
      <c r="N28" s="26" t="s">
        <v>38</v>
      </c>
    </row>
    <row r="29" spans="1:14" ht="15.95" customHeight="1" x14ac:dyDescent="0.25">
      <c r="A29" s="32" t="s">
        <v>29</v>
      </c>
      <c r="B29" s="39">
        <v>8.3746266992136462</v>
      </c>
      <c r="C29" s="40">
        <v>8.5463816913393451</v>
      </c>
      <c r="D29" s="40">
        <v>8.9030242855928545</v>
      </c>
      <c r="E29" s="41">
        <v>10.082819602252959</v>
      </c>
      <c r="F29" s="39">
        <f>(F15-B15)/B15*100</f>
        <v>10.990155594518585</v>
      </c>
      <c r="G29" s="40">
        <f t="shared" ref="G29:H29" si="3">(G15-C15)/C15*100</f>
        <v>10.824997812318934</v>
      </c>
      <c r="H29" s="40">
        <f t="shared" si="3"/>
        <v>10.246221835380613</v>
      </c>
      <c r="I29" s="41">
        <f>(I15-E15)/E15*100</f>
        <v>6.0432089190012572</v>
      </c>
      <c r="J29" s="39">
        <f>(J15-F15)/F15*100</f>
        <v>3.7524352171006492</v>
      </c>
      <c r="K29" s="40">
        <f t="shared" ref="K29" si="4">(K15-G15)/G15*100</f>
        <v>3.1740573495400528</v>
      </c>
      <c r="L29" s="40">
        <f t="shared" ref="L29" si="5">(L15-H15)/H15*100</f>
        <v>2.3817855608822365</v>
      </c>
      <c r="M29" s="41">
        <f t="shared" ref="M29" si="6">(M15-I15)/I15*100</f>
        <v>6.9166896062712198</v>
      </c>
      <c r="N29" s="26" t="s">
        <v>39</v>
      </c>
    </row>
    <row r="30" spans="1:14" ht="15.95" customHeight="1" x14ac:dyDescent="0.25">
      <c r="A30" s="32" t="s">
        <v>24</v>
      </c>
      <c r="B30" s="39">
        <v>39.710344579742092</v>
      </c>
      <c r="C30" s="40">
        <v>40.205219972776568</v>
      </c>
      <c r="D30" s="40">
        <v>271.30134200155078</v>
      </c>
      <c r="E30" s="41">
        <v>153.66530294112843</v>
      </c>
      <c r="F30" s="39">
        <f>(F20-B20)/B20*100</f>
        <v>164.90228341197363</v>
      </c>
      <c r="G30" s="40">
        <f t="shared" ref="G30:I30" si="7">(G20-C20)/C20*100</f>
        <v>181.74873861813018</v>
      </c>
      <c r="H30" s="40">
        <f t="shared" si="7"/>
        <v>12.208829505592419</v>
      </c>
      <c r="I30" s="41">
        <f t="shared" si="7"/>
        <v>19.798392987582165</v>
      </c>
      <c r="J30" s="39">
        <f>(J20-F20)/F20*100</f>
        <v>0.56967054592887556</v>
      </c>
      <c r="K30" s="40">
        <f t="shared" ref="K30" si="8">(K20-G20)/G20*100</f>
        <v>-1.8809939975146874</v>
      </c>
      <c r="L30" s="40">
        <f t="shared" ref="L30" si="9">(L20-H20)/H20*100</f>
        <v>-7.1882695445024112</v>
      </c>
      <c r="M30" s="41">
        <f t="shared" ref="M30" si="10">(M20-I20)/I20*100</f>
        <v>0.154821820501097</v>
      </c>
      <c r="N30" s="26" t="s">
        <v>37</v>
      </c>
    </row>
    <row r="31" spans="1:14" ht="8.1" customHeight="1" x14ac:dyDescent="0.25">
      <c r="A31" s="4" t="s">
        <v>35</v>
      </c>
      <c r="B31" s="54"/>
      <c r="C31" s="55"/>
      <c r="D31" s="55"/>
      <c r="E31" s="56"/>
      <c r="F31" s="54"/>
      <c r="G31" s="55"/>
      <c r="H31" s="55"/>
      <c r="I31" s="56"/>
      <c r="J31" s="54"/>
      <c r="K31" s="55"/>
      <c r="L31" s="55"/>
      <c r="M31" s="56"/>
      <c r="N31" s="23" t="s">
        <v>35</v>
      </c>
    </row>
    <row r="32" spans="1:14" ht="8.1" customHeight="1" x14ac:dyDescent="0.25">
      <c r="A32" t="s">
        <v>35</v>
      </c>
      <c r="B32" s="57"/>
      <c r="C32" s="58"/>
      <c r="D32" s="58"/>
      <c r="E32" s="59"/>
      <c r="F32" s="57"/>
      <c r="G32" s="58"/>
      <c r="H32" s="58"/>
      <c r="I32" s="59"/>
      <c r="J32" s="57"/>
      <c r="K32" s="58"/>
      <c r="L32" s="58"/>
      <c r="M32" s="59"/>
      <c r="N32" s="21" t="s">
        <v>35</v>
      </c>
    </row>
    <row r="33" spans="1:17" ht="15.95" customHeight="1" x14ac:dyDescent="0.25">
      <c r="A33" s="33" t="s">
        <v>13</v>
      </c>
      <c r="B33" s="51"/>
      <c r="C33" s="52"/>
      <c r="D33" s="52"/>
      <c r="E33" s="53"/>
      <c r="F33" s="51"/>
      <c r="G33" s="52"/>
      <c r="H33" s="52"/>
      <c r="I33" s="53"/>
      <c r="J33" s="51"/>
      <c r="K33" s="52"/>
      <c r="L33" s="52"/>
      <c r="M33" s="53"/>
      <c r="N33" s="26" t="s">
        <v>49</v>
      </c>
    </row>
    <row r="34" spans="1:17" ht="15.95" customHeight="1" x14ac:dyDescent="0.25">
      <c r="A34" s="32" t="s">
        <v>54</v>
      </c>
      <c r="B34" s="39">
        <v>27178.989000000001</v>
      </c>
      <c r="C34" s="40">
        <v>26934.046999999999</v>
      </c>
      <c r="D34" s="40">
        <v>26124.960999999999</v>
      </c>
      <c r="E34" s="41">
        <v>29954.613000000001</v>
      </c>
      <c r="F34" s="39">
        <v>32428.391000000003</v>
      </c>
      <c r="G34" s="40">
        <v>33131.468999999997</v>
      </c>
      <c r="H34" s="40">
        <v>33157.698000000004</v>
      </c>
      <c r="I34" s="41">
        <v>38533.252</v>
      </c>
      <c r="J34" s="39">
        <v>41826.286000000007</v>
      </c>
      <c r="K34" s="40">
        <v>43546.877</v>
      </c>
      <c r="L34" s="40">
        <v>37061.917000000001</v>
      </c>
      <c r="M34" s="41">
        <v>40259.786000000007</v>
      </c>
      <c r="N34" s="26" t="s">
        <v>11</v>
      </c>
    </row>
    <row r="35" spans="1:17" ht="15.95" customHeight="1" x14ac:dyDescent="0.25">
      <c r="A35" s="34" t="s">
        <v>55</v>
      </c>
      <c r="B35" s="42">
        <v>12140.152</v>
      </c>
      <c r="C35" s="43">
        <v>13622.299000000001</v>
      </c>
      <c r="D35" s="43">
        <v>14579.814</v>
      </c>
      <c r="E35" s="44">
        <v>15609.769</v>
      </c>
      <c r="F35" s="42">
        <v>16139.523000000001</v>
      </c>
      <c r="G35" s="43">
        <v>17681.358</v>
      </c>
      <c r="H35" s="43">
        <v>18014.800000000003</v>
      </c>
      <c r="I35" s="44">
        <v>19077.618999999999</v>
      </c>
      <c r="J35" s="42">
        <v>19148.628000000001</v>
      </c>
      <c r="K35" s="43">
        <v>19713.175000000003</v>
      </c>
      <c r="L35" s="43">
        <v>18289.59</v>
      </c>
      <c r="M35" s="44">
        <v>19211.545000000002</v>
      </c>
      <c r="N35" s="35" t="s">
        <v>59</v>
      </c>
    </row>
    <row r="36" spans="1:17" ht="15.95" customHeight="1" x14ac:dyDescent="0.25">
      <c r="A36" s="34" t="s">
        <v>56</v>
      </c>
      <c r="B36" s="42">
        <v>15038.837</v>
      </c>
      <c r="C36" s="43">
        <v>13311.748</v>
      </c>
      <c r="D36" s="43">
        <v>11545.147000000001</v>
      </c>
      <c r="E36" s="44">
        <v>14344.843999999999</v>
      </c>
      <c r="F36" s="42">
        <v>16288.868000000002</v>
      </c>
      <c r="G36" s="43">
        <v>15450.110999999997</v>
      </c>
      <c r="H36" s="43">
        <v>15142.898000000001</v>
      </c>
      <c r="I36" s="44">
        <v>19455.633000000002</v>
      </c>
      <c r="J36" s="42">
        <v>22677.658000000003</v>
      </c>
      <c r="K36" s="43">
        <v>23833.701999999997</v>
      </c>
      <c r="L36" s="43">
        <v>18772.327000000001</v>
      </c>
      <c r="M36" s="44">
        <v>21048.241000000002</v>
      </c>
      <c r="N36" s="35" t="s">
        <v>60</v>
      </c>
    </row>
    <row r="37" spans="1:17" ht="15.95" customHeight="1" x14ac:dyDescent="0.25">
      <c r="A37" s="32" t="s">
        <v>57</v>
      </c>
      <c r="B37" s="39">
        <v>7204.3180000000002</v>
      </c>
      <c r="C37" s="40">
        <v>7692.1869999999999</v>
      </c>
      <c r="D37" s="40">
        <v>7662.8519999999999</v>
      </c>
      <c r="E37" s="41">
        <v>8045.2669999999998</v>
      </c>
      <c r="F37" s="39">
        <v>8740.1640000000007</v>
      </c>
      <c r="G37" s="40">
        <v>9100.6270000000004</v>
      </c>
      <c r="H37" s="40">
        <v>9997.6660000000011</v>
      </c>
      <c r="I37" s="41">
        <v>10422.966</v>
      </c>
      <c r="J37" s="39">
        <v>10794.927</v>
      </c>
      <c r="K37" s="40">
        <v>11066.337</v>
      </c>
      <c r="L37" s="40">
        <v>11656.482</v>
      </c>
      <c r="M37" s="41">
        <v>11925.317000000001</v>
      </c>
      <c r="N37" s="26" t="s">
        <v>31</v>
      </c>
    </row>
    <row r="38" spans="1:17" ht="15.95" customHeight="1" x14ac:dyDescent="0.25">
      <c r="A38" s="34" t="s">
        <v>55</v>
      </c>
      <c r="B38" s="42">
        <v>2449.8270000000002</v>
      </c>
      <c r="C38" s="43">
        <v>2793.5250000000001</v>
      </c>
      <c r="D38" s="43">
        <v>3000.1439999999998</v>
      </c>
      <c r="E38" s="44">
        <v>3449.32</v>
      </c>
      <c r="F38" s="42">
        <v>4066.857</v>
      </c>
      <c r="G38" s="43">
        <v>4352.4070000000002</v>
      </c>
      <c r="H38" s="43">
        <v>5086.8879999999999</v>
      </c>
      <c r="I38" s="44">
        <v>5610.433</v>
      </c>
      <c r="J38" s="42">
        <v>6024.9340000000002</v>
      </c>
      <c r="K38" s="43">
        <v>6265.2189999999991</v>
      </c>
      <c r="L38" s="43">
        <v>6181.2159999999994</v>
      </c>
      <c r="M38" s="44">
        <v>6463.1640000000007</v>
      </c>
      <c r="N38" s="35" t="s">
        <v>59</v>
      </c>
    </row>
    <row r="39" spans="1:17" ht="15.95" customHeight="1" x14ac:dyDescent="0.25">
      <c r="A39" s="34" t="s">
        <v>56</v>
      </c>
      <c r="B39" s="42">
        <v>4754.491</v>
      </c>
      <c r="C39" s="43">
        <v>4898.6620000000003</v>
      </c>
      <c r="D39" s="43">
        <v>4662.7079999999996</v>
      </c>
      <c r="E39" s="44">
        <v>4595.9470000000001</v>
      </c>
      <c r="F39" s="42">
        <v>4673.3070000000007</v>
      </c>
      <c r="G39" s="43">
        <v>4748.2200000000012</v>
      </c>
      <c r="H39" s="43">
        <v>4910.7780000000002</v>
      </c>
      <c r="I39" s="44">
        <v>4812.5329999999994</v>
      </c>
      <c r="J39" s="42">
        <v>4769.9930000000004</v>
      </c>
      <c r="K39" s="43">
        <v>4801.1179999999995</v>
      </c>
      <c r="L39" s="43">
        <v>5475.2659999999996</v>
      </c>
      <c r="M39" s="44">
        <v>5462.1530000000002</v>
      </c>
      <c r="N39" s="35" t="s">
        <v>60</v>
      </c>
    </row>
    <row r="40" spans="1:17" ht="8.1" customHeight="1" x14ac:dyDescent="0.35">
      <c r="A40" s="4" t="s">
        <v>35</v>
      </c>
      <c r="B40" s="16"/>
      <c r="C40" s="5"/>
      <c r="D40" s="5"/>
      <c r="E40" s="17"/>
      <c r="F40" s="16"/>
      <c r="G40" s="5"/>
      <c r="H40" s="5"/>
      <c r="I40" s="17"/>
      <c r="J40" s="16"/>
      <c r="K40" s="5"/>
      <c r="L40" s="5"/>
      <c r="M40" s="17"/>
      <c r="N40" s="24" t="s">
        <v>35</v>
      </c>
    </row>
    <row r="41" spans="1:17" ht="8.1" customHeight="1" x14ac:dyDescent="0.35">
      <c r="A41" t="s">
        <v>35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22" t="s">
        <v>35</v>
      </c>
    </row>
    <row r="42" spans="1:17" ht="15.95" customHeight="1" x14ac:dyDescent="0.25">
      <c r="A42" s="2" t="s">
        <v>34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29" t="s">
        <v>33</v>
      </c>
    </row>
    <row r="43" spans="1:17" s="27" customFormat="1" ht="15.95" customHeight="1" x14ac:dyDescent="0.25">
      <c r="A43" s="3" t="s">
        <v>62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1" t="s">
        <v>63</v>
      </c>
      <c r="O43"/>
    </row>
    <row r="44" spans="1:17" ht="8.1" customHeight="1" x14ac:dyDescent="0.25">
      <c r="A44" s="3" t="s">
        <v>35</v>
      </c>
      <c r="N44" s="30" t="s">
        <v>35</v>
      </c>
      <c r="P44" s="25"/>
      <c r="Q44" s="25"/>
    </row>
    <row r="45" spans="1:17" ht="15.95" customHeight="1" x14ac:dyDescent="0.25">
      <c r="A45" s="3" t="s">
        <v>14</v>
      </c>
      <c r="N45" s="28" t="s">
        <v>41</v>
      </c>
    </row>
    <row r="46" spans="1:17" ht="15.95" customHeight="1" x14ac:dyDescent="0.25">
      <c r="N46" s="28"/>
    </row>
  </sheetData>
  <mergeCells count="8">
    <mergeCell ref="A1:N1"/>
    <mergeCell ref="A2:N2"/>
    <mergeCell ref="A3:N3"/>
    <mergeCell ref="N6:N8"/>
    <mergeCell ref="B6:E6"/>
    <mergeCell ref="F6:I6"/>
    <mergeCell ref="J6:M6"/>
    <mergeCell ref="A4:N4"/>
  </mergeCells>
  <pageMargins left="0.52" right="0.3" top="0.42" bottom="0.56999999999999995" header="0.3" footer="0.3"/>
  <pageSetup paperSize="9" scale="55" fitToHeight="0" orientation="landscape" horizontalDpi="4294967295" verticalDpi="4294967295" r:id="rId1"/>
  <rowBreaks count="1" manualBreakCount="1">
    <brk id="4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37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14.7</vt:lpstr>
      <vt:lpstr>Sheet2</vt:lpstr>
      <vt:lpstr>'14.7'!Print_Area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2023-07-16T08:18:54Z</cp:lastPrinted>
  <dcterms:created xsi:type="dcterms:W3CDTF">2013-04-01T04:26:10Z</dcterms:created>
  <dcterms:modified xsi:type="dcterms:W3CDTF">2023-07-16T08:19:03Z</dcterms:modified>
</cp:coreProperties>
</file>