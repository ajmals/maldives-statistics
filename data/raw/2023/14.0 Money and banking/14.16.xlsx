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Money and Banking\"/>
    </mc:Choice>
  </mc:AlternateContent>
  <xr:revisionPtr revIDLastSave="0" documentId="13_ncr:1_{49B54220-FC0F-48B3-AC82-5F6D2D139EF1}" xr6:coauthVersionLast="47" xr6:coauthVersionMax="47" xr10:uidLastSave="{00000000-0000-0000-0000-000000000000}"/>
  <bookViews>
    <workbookView xWindow="-120" yWindow="-120" windowWidth="29040" windowHeight="15720" tabRatio="691" xr2:uid="{00000000-000D-0000-FFFF-FFFF00000000}"/>
  </bookViews>
  <sheets>
    <sheet name="14.16" sheetId="16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'14.16'!$A$1:$N$42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" i="16" l="1"/>
  <c r="K33" i="16"/>
  <c r="L33" i="16"/>
  <c r="M33" i="16"/>
  <c r="G33" i="16"/>
  <c r="H33" i="16"/>
  <c r="I33" i="16"/>
  <c r="F33" i="16"/>
  <c r="J30" i="16"/>
  <c r="K30" i="16"/>
  <c r="L30" i="16"/>
  <c r="M30" i="16"/>
  <c r="J31" i="16"/>
  <c r="K31" i="16"/>
  <c r="L31" i="16"/>
  <c r="M31" i="16"/>
  <c r="J32" i="16"/>
  <c r="K32" i="16"/>
  <c r="L32" i="16"/>
  <c r="M32" i="16"/>
  <c r="F32" i="16"/>
  <c r="F31" i="16"/>
  <c r="G31" i="16"/>
  <c r="H31" i="16"/>
  <c r="I31" i="16"/>
  <c r="G32" i="16"/>
  <c r="H32" i="16"/>
  <c r="I32" i="16"/>
  <c r="G30" i="16"/>
  <c r="H30" i="16"/>
  <c r="I30" i="16"/>
  <c r="F30" i="16"/>
</calcChain>
</file>

<file path=xl/sharedStrings.xml><?xml version="1.0" encoding="utf-8"?>
<sst xmlns="http://schemas.openxmlformats.org/spreadsheetml/2006/main" count="82" uniqueCount="57">
  <si>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</si>
  <si>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</si>
  <si>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</si>
  <si>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</si>
  <si>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</si>
  <si>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</si>
  <si>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</si>
  <si>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</si>
  <si>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</si>
  <si>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Annual percentage change</t>
  </si>
  <si>
    <t>Source: Maldives Monetary Authority.</t>
  </si>
  <si>
    <t>Dec</t>
  </si>
  <si>
    <t>ނޯޓް:</t>
  </si>
  <si>
    <t>NOTE:</t>
  </si>
  <si>
    <t>Official reserve assets</t>
  </si>
  <si>
    <t>Foreign currency reserves</t>
  </si>
  <si>
    <t>SDRS</t>
  </si>
  <si>
    <t>Other reserve assets</t>
  </si>
  <si>
    <t>IMF reserve position</t>
  </si>
  <si>
    <t>Securities</t>
  </si>
  <si>
    <t>Currency and deposits</t>
  </si>
  <si>
    <t>Other national central banks, BIS and IMF</t>
  </si>
  <si>
    <t>Banks headquartered outside reporting country</t>
  </si>
  <si>
    <t>Other foreign currency assets</t>
  </si>
  <si>
    <t>Securities not included in official reserve assets</t>
  </si>
  <si>
    <t>Deposits not included in official reserve assets</t>
  </si>
  <si>
    <t>Other</t>
  </si>
  <si>
    <t>Predetermined short-term net drains</t>
  </si>
  <si>
    <t>Loans, securities, and deposits</t>
  </si>
  <si>
    <t>Forwards, futures, and swaps</t>
  </si>
  <si>
    <t>ތަފްޞީލް</t>
  </si>
  <si>
    <r>
      <rPr>
        <i/>
        <vertAlign val="superscript"/>
        <sz val="10"/>
        <rFont val="Calibri"/>
        <family val="2"/>
        <scheme val="minor"/>
      </rPr>
      <t>1/</t>
    </r>
    <r>
      <rPr>
        <i/>
        <sz val="10"/>
        <rFont val="Calibri"/>
        <family val="2"/>
        <scheme val="minor"/>
      </rPr>
      <t xml:space="preserve"> This table includes reserve data compiled as per the International Reserves and Foreign Currency Liquidity data template guideline by IMF (2013). It includes only on-balance sheet items of Maldives Monetary Authority.  </t>
    </r>
  </si>
  <si>
    <r>
      <rPr>
        <i/>
        <vertAlign val="superscript"/>
        <sz val="10"/>
        <rFont val="Calibri"/>
        <family val="2"/>
        <scheme val="minor"/>
      </rPr>
      <t>2/</t>
    </r>
    <r>
      <rPr>
        <i/>
        <sz val="10"/>
        <rFont val="Calibri"/>
        <family val="2"/>
        <scheme val="minor"/>
      </rPr>
      <t xml:space="preserve"> This includes net of repos, reverse repos, trade credit, accounts payable and accounts receivable.</t>
    </r>
  </si>
  <si>
    <r>
      <t xml:space="preserve">Other </t>
    </r>
    <r>
      <rPr>
        <vertAlign val="superscript"/>
        <sz val="10"/>
        <rFont val="Calibri"/>
        <family val="2"/>
        <scheme val="minor"/>
      </rPr>
      <t>2/</t>
    </r>
  </si>
  <si>
    <t>މައުލޫމާތު ދެއްވި ފަރާތް: މޯލްޑިވްސް މަނިޓަރީ އޮތޯރިޓީ</t>
  </si>
  <si>
    <t>ރަސްމީ ރިޒާވް</t>
  </si>
  <si>
    <t>ފޮރިން ކަރަންސީ ރިޒާވް</t>
  </si>
  <si>
    <t>ސެކިޔުރިޓީސް</t>
  </si>
  <si>
    <t>ފައިސާ އަދި ޑިޕޮސިޓް</t>
  </si>
  <si>
    <t>ބޭރުގެ ސެންޓްރަލް ބޭންކުތައް، ބީއައިއެސް އަދި އައިއެމްއެފް</t>
  </si>
  <si>
    <t>ބޭރުގެ ވިޔަފާރި ބޭންކުތައް</t>
  </si>
  <si>
    <t>އައިއެމްއެފް ރިޒާވް ޕޮޒިޝަން</t>
  </si>
  <si>
    <t>އެސްޑީއާރް</t>
  </si>
  <si>
    <t>އެހެނިހެން ރިޒާވް އެސެޓްތައް</t>
  </si>
  <si>
    <t>އެހެނިހެން ބޭރު ފައިސާގެ އެސްޓްތައް</t>
  </si>
  <si>
    <t>ސެކިޔުރިޓީސް (ރަސްމީ ރިޒާވުގައި ނުހިމެނޭ)</t>
  </si>
  <si>
    <t>ޑިޕޮސިޓް (ރަސްމީ ރިޒާވުގައި ނުހިމެނޭ)</t>
  </si>
  <si>
    <t>އެހެނިހެން</t>
  </si>
  <si>
    <t>ލޯނު، ސެކިއުރިޓީސް އަދި ޑިޕޮސިޓް</t>
  </si>
  <si>
    <t>ފޯވަރޑްސް، ފިއުޗަރސް އަދި ސްވޮޕް</t>
  </si>
  <si>
    <t>އަހަރުން އަހަރަށް އިތުރުވި މިންވަރު އިންސައްތައިން</t>
  </si>
  <si>
    <r>
      <rPr>
        <vertAlign val="superscript"/>
        <sz val="10"/>
        <rFont val="Faruma"/>
      </rPr>
      <t>2/</t>
    </r>
    <r>
      <rPr>
        <sz val="10"/>
        <rFont val="Faruma"/>
      </rPr>
      <t xml:space="preserve"> މިބައިގަ ހިމެނެނީ ނެޓް އޮފް ރީޕޯސް، ރިވަރސް ރީޕޯސް، ޓްރޭޑް ކެރެޑިޓް، އެކައުންޓްސް ޕޭއަބަލް އަދި އެކައުންޓްސް ރިސީވަބަލްގެ އަދަދު ތަކެވެ.</t>
    </r>
  </si>
  <si>
    <t>ރިޒާވްއިން ބޭނުން ކުރެވޭނެ ކަމަށް (ކުރުމުއްދަތުގެ)</t>
  </si>
  <si>
    <t>(In millions of USD)</t>
  </si>
  <si>
    <t>(މިލިއަން ޑޮލަރުން)</t>
  </si>
  <si>
    <r>
      <t xml:space="preserve">ތާވަލު 14.16: ރިޒާވް ޑޭޓާ ޓެމްޕްލޭޓް 2020- 2022 </t>
    </r>
    <r>
      <rPr>
        <b/>
        <vertAlign val="superscript"/>
        <sz val="12"/>
        <rFont val="Faruma"/>
      </rPr>
      <t>1/</t>
    </r>
  </si>
  <si>
    <r>
      <t xml:space="preserve">Table 14.16: RESERVE DATA TEMPLATE, 2020 - 2022 </t>
    </r>
    <r>
      <rPr>
        <b/>
        <vertAlign val="superscript"/>
        <sz val="10"/>
        <rFont val="Arial"/>
        <family val="2"/>
      </rPr>
      <t>1/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</si>
</sst>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vertAlign val="superscript"/>
      <sz val="10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i/>
      <vertAlign val="superscript"/>
      <sz val="10"/>
      <name val="Calibri"/>
      <family val="2"/>
      <scheme val="minor"/>
    </font>
    <font>
      <b/>
      <vertAlign val="superscript"/>
      <sz val="12"/>
      <name val="Faruma"/>
    </font>
    <font>
      <b/>
      <vertAlign val="superscript"/>
      <sz val="10"/>
      <name val="Arial"/>
      <family val="2"/>
    </font>
    <font>
      <b/>
      <i/>
      <sz val="10"/>
      <name val="Faruma"/>
    </font>
    <font>
      <sz val="10"/>
      <color theme="1"/>
      <name val="Faruma"/>
    </font>
    <font>
      <vertAlign val="superscript"/>
      <sz val="10"/>
      <name val="Faruma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1" tint="4.9989318521683403E-2"/>
      </top>
      <bottom style="thin">
        <color theme="0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2" borderId="0" applyNumberFormat="0" applyBorder="0" applyAlignment="0" applyProtection="0"/>
    <xf numFmtId="0" fontId="23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4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17" fontId="5" fillId="0" borderId="0" applyFont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8" fontId="5" fillId="0" borderId="0" applyFill="0" applyBorder="0" applyAlignment="0"/>
    <xf numFmtId="0" fontId="27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7" fillId="0" borderId="0" applyFill="0" applyBorder="0" applyAlignment="0"/>
    <xf numFmtId="0" fontId="28" fillId="14" borderId="6" applyNumberFormat="0" applyAlignment="0" applyProtection="0"/>
    <xf numFmtId="0" fontId="28" fillId="14" borderId="6" applyNumberFormat="0" applyAlignment="0" applyProtection="0"/>
    <xf numFmtId="0" fontId="28" fillId="14" borderId="6" applyNumberFormat="0" applyAlignment="0" applyProtection="0"/>
    <xf numFmtId="0" fontId="28" fillId="14" borderId="6" applyNumberFormat="0" applyAlignment="0" applyProtection="0"/>
    <xf numFmtId="0" fontId="28" fillId="14" borderId="6" applyNumberFormat="0" applyAlignment="0" applyProtection="0"/>
    <xf numFmtId="0" fontId="28" fillId="14" borderId="6" applyNumberFormat="0" applyAlignment="0" applyProtection="0"/>
    <xf numFmtId="0" fontId="28" fillId="14" borderId="6" applyNumberFormat="0" applyAlignment="0" applyProtection="0"/>
    <xf numFmtId="0" fontId="28" fillId="14" borderId="6" applyNumberFormat="0" applyAlignment="0" applyProtection="0"/>
    <xf numFmtId="17" fontId="5" fillId="0" borderId="0" applyFont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27" fillId="0" borderId="0" applyFont="0" applyFill="0" applyBorder="0" applyAlignment="0" applyProtection="0"/>
    <xf numFmtId="14" fontId="30" fillId="0" borderId="0" applyFill="0" applyBorder="0" applyAlignment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31" fillId="17" borderId="0" applyNumberFormat="0" applyBorder="0" applyAlignment="0" applyProtection="0"/>
    <xf numFmtId="168" fontId="5" fillId="0" borderId="0" applyFill="0" applyBorder="0" applyAlignment="0"/>
    <xf numFmtId="0" fontId="27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7" fillId="0" borderId="0" applyFill="0" applyBorder="0" applyAlignment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38" fontId="21" fillId="19" borderId="0" applyNumberFormat="0" applyBorder="0" applyAlignment="0" applyProtection="0"/>
    <xf numFmtId="0" fontId="33" fillId="0" borderId="8" applyNumberFormat="0" applyAlignment="0" applyProtection="0">
      <alignment horizontal="left" vertical="center"/>
    </xf>
    <xf numFmtId="0" fontId="33" fillId="0" borderId="5">
      <alignment horizontal="left" vertical="center"/>
    </xf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0" fontId="21" fillId="20" borderId="12" applyNumberFormat="0" applyBorder="0" applyAlignment="0" applyProtection="0"/>
    <xf numFmtId="0" fontId="37" fillId="11" borderId="6" applyNumberFormat="0" applyAlignment="0" applyProtection="0"/>
    <xf numFmtId="0" fontId="37" fillId="11" borderId="6" applyNumberFormat="0" applyAlignment="0" applyProtection="0"/>
    <xf numFmtId="0" fontId="37" fillId="11" borderId="6" applyNumberFormat="0" applyAlignment="0" applyProtection="0"/>
    <xf numFmtId="0" fontId="37" fillId="11" borderId="6" applyNumberFormat="0" applyAlignment="0" applyProtection="0"/>
    <xf numFmtId="0" fontId="37" fillId="11" borderId="6" applyNumberFormat="0" applyAlignment="0" applyProtection="0"/>
    <xf numFmtId="0" fontId="37" fillId="11" borderId="6" applyNumberFormat="0" applyAlignment="0" applyProtection="0"/>
    <xf numFmtId="0" fontId="37" fillId="11" borderId="6" applyNumberFormat="0" applyAlignment="0" applyProtection="0"/>
    <xf numFmtId="0" fontId="37" fillId="11" borderId="6" applyNumberFormat="0" applyAlignment="0" applyProtection="0"/>
    <xf numFmtId="168" fontId="5" fillId="0" borderId="0" applyFill="0" applyBorder="0" applyAlignment="0"/>
    <xf numFmtId="0" fontId="27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7" fillId="0" borderId="0" applyFill="0" applyBorder="0" applyAlignment="0"/>
    <xf numFmtId="0" fontId="38" fillId="0" borderId="13" applyNumberFormat="0" applyFill="0" applyAlignment="0" applyProtection="0"/>
    <xf numFmtId="0" fontId="38" fillId="0" borderId="13" applyNumberFormat="0" applyFill="0" applyAlignment="0" applyProtection="0"/>
    <xf numFmtId="0" fontId="38" fillId="0" borderId="13" applyNumberFormat="0" applyFill="0" applyAlignment="0" applyProtection="0"/>
    <xf numFmtId="0" fontId="38" fillId="0" borderId="13" applyNumberFormat="0" applyFill="0" applyAlignment="0" applyProtection="0"/>
    <xf numFmtId="0" fontId="38" fillId="0" borderId="13" applyNumberFormat="0" applyFill="0" applyAlignment="0" applyProtection="0"/>
    <xf numFmtId="0" fontId="38" fillId="0" borderId="13" applyNumberFormat="0" applyFill="0" applyAlignment="0" applyProtection="0"/>
    <xf numFmtId="0" fontId="38" fillId="0" borderId="13" applyNumberFormat="0" applyFill="0" applyAlignment="0" applyProtection="0"/>
    <xf numFmtId="0" fontId="38" fillId="0" borderId="13" applyNumberFormat="0" applyFill="0" applyAlignment="0" applyProtection="0"/>
    <xf numFmtId="174" fontId="39" fillId="0" borderId="0" applyFont="0" applyFill="0" applyBorder="0" applyAlignment="0" applyProtection="0"/>
    <xf numFmtId="175" fontId="39" fillId="0" borderId="0" applyFont="0" applyFill="0" applyBorder="0" applyAlignment="0" applyProtection="0"/>
    <xf numFmtId="42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41" fillId="14" borderId="15" applyNumberFormat="0" applyAlignment="0" applyProtection="0"/>
    <xf numFmtId="0" fontId="41" fillId="14" borderId="15" applyNumberFormat="0" applyAlignment="0" applyProtection="0"/>
    <xf numFmtId="0" fontId="41" fillId="14" borderId="15" applyNumberFormat="0" applyAlignment="0" applyProtection="0"/>
    <xf numFmtId="0" fontId="41" fillId="14" borderId="15" applyNumberFormat="0" applyAlignment="0" applyProtection="0"/>
    <xf numFmtId="0" fontId="41" fillId="14" borderId="15" applyNumberFormat="0" applyAlignment="0" applyProtection="0"/>
    <xf numFmtId="0" fontId="41" fillId="14" borderId="15" applyNumberFormat="0" applyAlignment="0" applyProtection="0"/>
    <xf numFmtId="0" fontId="41" fillId="14" borderId="15" applyNumberFormat="0" applyAlignment="0" applyProtection="0"/>
    <xf numFmtId="0" fontId="41" fillId="14" borderId="15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27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7" fillId="0" borderId="0" applyFill="0" applyBorder="0" applyAlignment="0"/>
    <xf numFmtId="0" fontId="42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9" fontId="30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43" fillId="0" borderId="0">
      <alignment vertical="top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164" fontId="11" fillId="0" borderId="1" xfId="2" applyNumberFormat="1" applyFont="1" applyBorder="1" applyAlignment="1">
      <alignment horizontal="right" vertical="center"/>
    </xf>
    <xf numFmtId="0" fontId="14" fillId="0" borderId="0" xfId="0" applyFont="1" applyAlignment="1">
      <alignment horizontal="left"/>
    </xf>
    <xf numFmtId="166" fontId="14" fillId="0" borderId="0" xfId="0" applyNumberFormat="1" applyFont="1" applyAlignment="1">
      <alignment vertical="center"/>
    </xf>
    <xf numFmtId="164" fontId="11" fillId="0" borderId="0" xfId="2" applyNumberFormat="1" applyFont="1" applyAlignment="1">
      <alignment horizontal="right" vertical="center"/>
    </xf>
    <xf numFmtId="43" fontId="22" fillId="0" borderId="0" xfId="1" applyFont="1" applyFill="1" applyBorder="1"/>
    <xf numFmtId="0" fontId="15" fillId="0" borderId="0" xfId="0" applyFont="1" applyAlignment="1">
      <alignment horizontal="left"/>
    </xf>
    <xf numFmtId="164" fontId="16" fillId="0" borderId="0" xfId="2" applyNumberFormat="1" applyFont="1" applyAlignment="1">
      <alignment vertical="center"/>
    </xf>
    <xf numFmtId="164" fontId="17" fillId="0" borderId="0" xfId="2" applyNumberFormat="1" applyFont="1" applyAlignment="1">
      <alignment horizontal="left" vertical="center" indent="2"/>
    </xf>
    <xf numFmtId="164" fontId="11" fillId="0" borderId="0" xfId="2" applyNumberFormat="1" applyFont="1" applyAlignment="1">
      <alignment vertical="center"/>
    </xf>
    <xf numFmtId="0" fontId="22" fillId="0" borderId="0" xfId="0" applyFont="1"/>
    <xf numFmtId="166" fontId="14" fillId="0" borderId="1" xfId="0" applyNumberFormat="1" applyFont="1" applyBorder="1" applyAlignment="1">
      <alignment vertical="center"/>
    </xf>
    <xf numFmtId="43" fontId="7" fillId="0" borderId="28" xfId="1" applyFont="1" applyFill="1" applyBorder="1" applyAlignment="1">
      <alignment horizontal="right"/>
    </xf>
    <xf numFmtId="43" fontId="7" fillId="0" borderId="2" xfId="1" applyFont="1" applyFill="1" applyBorder="1" applyAlignment="1">
      <alignment horizontal="right"/>
    </xf>
    <xf numFmtId="43" fontId="7" fillId="0" borderId="29" xfId="1" applyFont="1" applyFill="1" applyBorder="1" applyAlignment="1">
      <alignment horizontal="right"/>
    </xf>
    <xf numFmtId="167" fontId="15" fillId="0" borderId="0" xfId="1" applyNumberFormat="1" applyFont="1" applyFill="1" applyBorder="1" applyAlignment="1" applyProtection="1">
      <alignment vertical="center"/>
    </xf>
    <xf numFmtId="166" fontId="14" fillId="0" borderId="26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30" xfId="0" applyFont="1" applyBorder="1"/>
    <xf numFmtId="165" fontId="7" fillId="0" borderId="3" xfId="0" applyNumberFormat="1" applyFont="1" applyBorder="1" applyAlignment="1">
      <alignment vertical="center"/>
    </xf>
    <xf numFmtId="0" fontId="9" fillId="0" borderId="17" xfId="0" applyFont="1" applyBorder="1" applyAlignment="1">
      <alignment horizontal="right"/>
    </xf>
    <xf numFmtId="0" fontId="9" fillId="0" borderId="0" xfId="0" applyFont="1" applyAlignment="1">
      <alignment horizontal="right"/>
    </xf>
    <xf numFmtId="166" fontId="14" fillId="0" borderId="19" xfId="0" applyNumberFormat="1" applyFont="1" applyBorder="1" applyAlignment="1">
      <alignment vertical="center"/>
    </xf>
    <xf numFmtId="0" fontId="13" fillId="0" borderId="0" xfId="0" applyFont="1" applyAlignment="1">
      <alignment horizontal="left"/>
    </xf>
    <xf numFmtId="166" fontId="13" fillId="0" borderId="19" xfId="0" applyNumberFormat="1" applyFont="1" applyBorder="1" applyAlignment="1">
      <alignment vertical="center"/>
    </xf>
    <xf numFmtId="166" fontId="13" fillId="0" borderId="0" xfId="0" applyNumberFormat="1" applyFont="1" applyAlignment="1">
      <alignment vertical="center"/>
    </xf>
    <xf numFmtId="166" fontId="13" fillId="0" borderId="26" xfId="0" applyNumberFormat="1" applyFont="1" applyBorder="1" applyAlignment="1">
      <alignment vertical="center"/>
    </xf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left" indent="2"/>
    </xf>
    <xf numFmtId="0" fontId="14" fillId="0" borderId="1" xfId="0" applyFont="1" applyBorder="1" applyAlignment="1">
      <alignment horizontal="left" indent="1"/>
    </xf>
    <xf numFmtId="166" fontId="14" fillId="0" borderId="18" xfId="0" applyNumberFormat="1" applyFont="1" applyBorder="1" applyAlignment="1">
      <alignment vertical="center"/>
    </xf>
    <xf numFmtId="166" fontId="14" fillId="0" borderId="27" xfId="0" applyNumberFormat="1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166" fontId="19" fillId="0" borderId="0" xfId="2" applyNumberFormat="1" applyFont="1" applyAlignment="1">
      <alignment horizontal="right" vertical="center"/>
    </xf>
    <xf numFmtId="164" fontId="18" fillId="0" borderId="0" xfId="2" applyNumberFormat="1" applyFont="1" applyAlignment="1">
      <alignment horizontal="right" vertical="center" indent="2"/>
    </xf>
    <xf numFmtId="164" fontId="48" fillId="0" borderId="0" xfId="2" applyNumberFormat="1" applyFont="1" applyAlignment="1">
      <alignment horizontal="right" vertical="center"/>
    </xf>
    <xf numFmtId="165" fontId="22" fillId="0" borderId="0" xfId="1" applyNumberFormat="1" applyFont="1"/>
    <xf numFmtId="0" fontId="49" fillId="0" borderId="0" xfId="0" applyFont="1"/>
    <xf numFmtId="164" fontId="11" fillId="0" borderId="0" xfId="2" applyNumberFormat="1" applyFont="1" applyAlignment="1">
      <alignment horizontal="right" vertical="center" indent="2"/>
    </xf>
    <xf numFmtId="164" fontId="11" fillId="0" borderId="0" xfId="2" applyNumberFormat="1" applyFont="1" applyAlignment="1">
      <alignment horizontal="right" vertical="center" indent="4"/>
    </xf>
    <xf numFmtId="164" fontId="11" fillId="0" borderId="0" xfId="2" applyNumberFormat="1" applyFont="1" applyAlignment="1">
      <alignment horizontal="right" vertical="center" indent="6"/>
    </xf>
    <xf numFmtId="0" fontId="14" fillId="0" borderId="0" xfId="0" applyFont="1" applyAlignment="1">
      <alignment horizontal="left" indent="4"/>
    </xf>
    <xf numFmtId="0" fontId="14" fillId="0" borderId="0" xfId="0" applyFont="1" applyAlignment="1">
      <alignment horizontal="left" indent="6"/>
    </xf>
    <xf numFmtId="0" fontId="18" fillId="0" borderId="0" xfId="0" applyFont="1" applyAlignment="1">
      <alignment horizontal="right" readingOrder="2"/>
    </xf>
    <xf numFmtId="164" fontId="12" fillId="0" borderId="4" xfId="2" applyNumberFormat="1" applyFont="1" applyBorder="1" applyAlignment="1">
      <alignment horizontal="right"/>
    </xf>
    <xf numFmtId="164" fontId="12" fillId="0" borderId="23" xfId="2" applyNumberFormat="1" applyFont="1" applyBorder="1" applyAlignment="1">
      <alignment horizontal="right"/>
    </xf>
    <xf numFmtId="164" fontId="12" fillId="0" borderId="25" xfId="2" applyNumberFormat="1" applyFont="1" applyBorder="1" applyAlignment="1">
      <alignment horizontal="right"/>
    </xf>
    <xf numFmtId="164" fontId="17" fillId="0" borderId="0" xfId="2" applyNumberFormat="1" applyFont="1" applyAlignment="1">
      <alignment horizontal="left" vertical="center" wrapText="1" indent="2"/>
    </xf>
    <xf numFmtId="164" fontId="19" fillId="0" borderId="20" xfId="2" applyNumberFormat="1" applyFont="1" applyBorder="1" applyAlignment="1">
      <alignment horizontal="right" vertical="center"/>
    </xf>
    <xf numFmtId="164" fontId="19" fillId="0" borderId="19" xfId="2" applyNumberFormat="1" applyFont="1" applyBorder="1" applyAlignment="1">
      <alignment horizontal="right" vertical="center"/>
    </xf>
    <xf numFmtId="164" fontId="19" fillId="0" borderId="18" xfId="2" applyNumberFormat="1" applyFont="1" applyBorder="1" applyAlignment="1">
      <alignment horizontal="right" vertical="center"/>
    </xf>
    <xf numFmtId="0" fontId="18" fillId="0" borderId="0" xfId="0" applyFont="1" applyAlignment="1">
      <alignment horizontal="right" vertical="center" wrapText="1" readingOrder="2"/>
    </xf>
    <xf numFmtId="164" fontId="4" fillId="0" borderId="0" xfId="2" applyNumberFormat="1" applyFont="1" applyAlignment="1">
      <alignment horizontal="center" vertical="center" readingOrder="2"/>
    </xf>
    <xf numFmtId="164" fontId="6" fillId="0" borderId="0" xfId="2" applyNumberFormat="1" applyFont="1" applyAlignment="1">
      <alignment horizontal="center" vertical="center"/>
    </xf>
    <xf numFmtId="164" fontId="10" fillId="0" borderId="0" xfId="2" applyNumberFormat="1" applyFont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U87"/>
  <sheetViews>
    <sheetView showGridLines="0" tabSelected="1" zoomScaleNormal="100" workbookViewId="0">
      <pane xSplit="1" ySplit="8" topLeftCell="B9" activePane="bottomRight" state="frozen"/>
      <selection pane="topRight" activeCell="B1" sqref="B1"/>
      <selection pane="bottomLeft" activeCell="A8" sqref="A8"/>
      <selection pane="bottomRight" activeCell="S22" sqref="S22"/>
    </sheetView>
  </sheetViews>
  <sheetFormatPr defaultColWidth="9.140625" defaultRowHeight="15" x14ac:dyDescent="0.25"/>
  <cols>
    <col min="1" max="1" width="46" style="10" customWidth="1"/>
    <col min="2" max="13" width="9.7109375" style="10" customWidth="1"/>
    <col min="14" max="14" width="41" style="10" bestFit="1" customWidth="1"/>
  </cols>
  <sheetData>
    <row r="1" spans="1:14" ht="20.100000000000001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20.100000000000001" customHeight="1" x14ac:dyDescent="0.25">
      <c r="A2" s="53" t="s">
        <v>56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1:14" ht="15.95" customHeight="1" x14ac:dyDescent="0.25">
      <c r="A3" s="54" t="s">
        <v>54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ht="15.95" customHeight="1" x14ac:dyDescent="0.25">
      <c r="A4" s="58" t="s">
        <v>53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8.1" customHeight="1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15.95" customHeight="1" x14ac:dyDescent="0.25">
      <c r="A6" s="18"/>
      <c r="B6" s="55">
        <v>2020</v>
      </c>
      <c r="C6" s="56"/>
      <c r="D6" s="56"/>
      <c r="E6" s="57"/>
      <c r="F6" s="55">
        <v>2021</v>
      </c>
      <c r="G6" s="56"/>
      <c r="H6" s="56"/>
      <c r="I6" s="57"/>
      <c r="J6" s="55">
        <v>2022</v>
      </c>
      <c r="K6" s="56"/>
      <c r="L6" s="56"/>
      <c r="M6" s="57"/>
      <c r="N6" s="48" t="s">
        <v>30</v>
      </c>
    </row>
    <row r="7" spans="1:14" ht="15.95" customHeight="1" x14ac:dyDescent="0.35">
      <c r="A7" s="19" t="s">
        <v>0</v>
      </c>
      <c r="B7" s="46" t="s">
        <v>1</v>
      </c>
      <c r="C7" s="44" t="s">
        <v>2</v>
      </c>
      <c r="D7" s="44" t="s">
        <v>3</v>
      </c>
      <c r="E7" s="45" t="s">
        <v>4</v>
      </c>
      <c r="F7" s="46" t="s">
        <v>1</v>
      </c>
      <c r="G7" s="44" t="s">
        <v>2</v>
      </c>
      <c r="H7" s="44" t="s">
        <v>3</v>
      </c>
      <c r="I7" s="45" t="s">
        <v>4</v>
      </c>
      <c r="J7" s="46" t="s">
        <v>1</v>
      </c>
      <c r="K7" s="44" t="s">
        <v>2</v>
      </c>
      <c r="L7" s="44" t="s">
        <v>3</v>
      </c>
      <c r="M7" s="45" t="s">
        <v>4</v>
      </c>
      <c r="N7" s="49" t="s">
        <v>5</v>
      </c>
    </row>
    <row r="8" spans="1:14" ht="15.95" customHeight="1" x14ac:dyDescent="0.25">
      <c r="A8" s="20"/>
      <c r="B8" s="12" t="s">
        <v>6</v>
      </c>
      <c r="C8" s="13" t="s">
        <v>7</v>
      </c>
      <c r="D8" s="13" t="s">
        <v>8</v>
      </c>
      <c r="E8" s="14" t="s">
        <v>11</v>
      </c>
      <c r="F8" s="12" t="s">
        <v>6</v>
      </c>
      <c r="G8" s="13" t="s">
        <v>7</v>
      </c>
      <c r="H8" s="13" t="s">
        <v>8</v>
      </c>
      <c r="I8" s="14" t="s">
        <v>11</v>
      </c>
      <c r="J8" s="12" t="s">
        <v>6</v>
      </c>
      <c r="K8" s="13" t="s">
        <v>7</v>
      </c>
      <c r="L8" s="13" t="s">
        <v>8</v>
      </c>
      <c r="M8" s="14" t="s">
        <v>11</v>
      </c>
      <c r="N8" s="50"/>
    </row>
    <row r="9" spans="1:14" ht="8.1" customHeight="1" x14ac:dyDescent="0.25">
      <c r="A9" s="21"/>
      <c r="B9" s="22"/>
      <c r="C9" s="3"/>
      <c r="D9" s="3"/>
      <c r="E9" s="16"/>
      <c r="F9" s="22"/>
      <c r="G9" s="3"/>
      <c r="H9" s="3"/>
      <c r="I9" s="16"/>
      <c r="J9" s="22"/>
      <c r="K9" s="3"/>
      <c r="L9" s="3"/>
      <c r="M9" s="16"/>
      <c r="N9"/>
    </row>
    <row r="10" spans="1:14" ht="15.95" customHeight="1" x14ac:dyDescent="0.25">
      <c r="A10" s="23" t="s">
        <v>14</v>
      </c>
      <c r="B10" s="24">
        <v>741.63025515912295</v>
      </c>
      <c r="C10" s="25">
        <v>702.52898676772907</v>
      </c>
      <c r="D10" s="25">
        <v>696.13057529150501</v>
      </c>
      <c r="E10" s="26">
        <v>984.82736901437397</v>
      </c>
      <c r="F10" s="24">
        <v>844.73765927649788</v>
      </c>
      <c r="G10" s="25">
        <v>912.35993596308685</v>
      </c>
      <c r="H10" s="25">
        <v>1016.7466885069275</v>
      </c>
      <c r="I10" s="26">
        <v>805.80816370334344</v>
      </c>
      <c r="J10" s="24">
        <v>865.18806750532508</v>
      </c>
      <c r="K10" s="25">
        <v>750.44386770158019</v>
      </c>
      <c r="L10" s="25">
        <v>540.27643837367054</v>
      </c>
      <c r="M10" s="26">
        <v>827.71945198672108</v>
      </c>
      <c r="N10" s="33" t="s">
        <v>35</v>
      </c>
    </row>
    <row r="11" spans="1:14" ht="15.95" customHeight="1" x14ac:dyDescent="0.25">
      <c r="A11" s="28" t="s">
        <v>15</v>
      </c>
      <c r="B11" s="22">
        <v>732.30108943566302</v>
      </c>
      <c r="C11" s="3">
        <v>693.30725283062895</v>
      </c>
      <c r="D11" s="3">
        <v>686.69550408506495</v>
      </c>
      <c r="E11" s="16">
        <v>975.17346676703403</v>
      </c>
      <c r="F11" s="22">
        <v>835.2387072123779</v>
      </c>
      <c r="G11" s="3">
        <v>902.79720843015684</v>
      </c>
      <c r="H11" s="3">
        <v>978.67710645259751</v>
      </c>
      <c r="I11" s="16">
        <v>796.4281759044834</v>
      </c>
      <c r="J11" s="22">
        <v>855.92792839492517</v>
      </c>
      <c r="K11" s="3">
        <v>741.56873257560028</v>
      </c>
      <c r="L11" s="3">
        <v>531.80598205523063</v>
      </c>
      <c r="M11" s="16">
        <v>819.01753638896105</v>
      </c>
      <c r="N11" s="38" t="s">
        <v>36</v>
      </c>
    </row>
    <row r="12" spans="1:14" ht="15.95" customHeight="1" x14ac:dyDescent="0.25">
      <c r="A12" s="41" t="s">
        <v>19</v>
      </c>
      <c r="B12" s="22">
        <v>67.942820380143701</v>
      </c>
      <c r="C12" s="3">
        <v>61.419125060350403</v>
      </c>
      <c r="D12" s="3">
        <v>83.6011655402597</v>
      </c>
      <c r="E12" s="16">
        <v>106.76853222972099</v>
      </c>
      <c r="F12" s="22">
        <v>118.5825006</v>
      </c>
      <c r="G12" s="3">
        <v>123.82098962010443</v>
      </c>
      <c r="H12" s="3">
        <v>148.27692000974022</v>
      </c>
      <c r="I12" s="16">
        <v>156.91075870045483</v>
      </c>
      <c r="J12" s="22">
        <v>213.70997505920627</v>
      </c>
      <c r="K12" s="3">
        <v>236.71255525892281</v>
      </c>
      <c r="L12" s="3">
        <v>232.27016093892135</v>
      </c>
      <c r="M12" s="16">
        <v>231.38463457597402</v>
      </c>
      <c r="N12" s="39" t="s">
        <v>37</v>
      </c>
    </row>
    <row r="13" spans="1:14" ht="15.95" customHeight="1" x14ac:dyDescent="0.25">
      <c r="A13" s="41" t="s">
        <v>20</v>
      </c>
      <c r="B13" s="22">
        <v>664.35826905551903</v>
      </c>
      <c r="C13" s="3">
        <v>631.88812777027908</v>
      </c>
      <c r="D13" s="3">
        <v>603.09433854480505</v>
      </c>
      <c r="E13" s="16">
        <v>868.40493453731301</v>
      </c>
      <c r="F13" s="22">
        <v>716.6562066123779</v>
      </c>
      <c r="G13" s="3">
        <v>778.97621881005239</v>
      </c>
      <c r="H13" s="3">
        <v>830.40018644285726</v>
      </c>
      <c r="I13" s="16">
        <v>639.51741720402856</v>
      </c>
      <c r="J13" s="22">
        <v>642.2179533357189</v>
      </c>
      <c r="K13" s="3">
        <v>504.85617731667747</v>
      </c>
      <c r="L13" s="3">
        <v>299.53582111630931</v>
      </c>
      <c r="M13" s="16">
        <v>587.63290181298703</v>
      </c>
      <c r="N13" s="39" t="s">
        <v>38</v>
      </c>
    </row>
    <row r="14" spans="1:14" ht="15.95" customHeight="1" x14ac:dyDescent="0.25">
      <c r="A14" s="42" t="s">
        <v>21</v>
      </c>
      <c r="B14" s="22">
        <v>48.418780709340297</v>
      </c>
      <c r="C14" s="3">
        <v>49.312931497728698</v>
      </c>
      <c r="D14" s="3">
        <v>47.5570643</v>
      </c>
      <c r="E14" s="16">
        <v>46.403929843607997</v>
      </c>
      <c r="F14" s="22">
        <v>45.86048170749185</v>
      </c>
      <c r="G14" s="3">
        <v>42.503783888381193</v>
      </c>
      <c r="H14" s="3">
        <v>43.467403300649345</v>
      </c>
      <c r="I14" s="16">
        <v>47.149334461988303</v>
      </c>
      <c r="J14" s="22">
        <v>40.835750785296028</v>
      </c>
      <c r="K14" s="3">
        <v>42.397697033744315</v>
      </c>
      <c r="L14" s="3">
        <v>37.083479877192971</v>
      </c>
      <c r="M14" s="16">
        <v>93.297389940259734</v>
      </c>
      <c r="N14" s="40" t="s">
        <v>39</v>
      </c>
    </row>
    <row r="15" spans="1:14" ht="15.95" customHeight="1" x14ac:dyDescent="0.25">
      <c r="A15" s="42" t="s">
        <v>22</v>
      </c>
      <c r="B15" s="22">
        <v>615.93948834617902</v>
      </c>
      <c r="C15" s="3">
        <v>582.57519627254999</v>
      </c>
      <c r="D15" s="3">
        <v>555.53727424480496</v>
      </c>
      <c r="E15" s="16">
        <v>822.001004693705</v>
      </c>
      <c r="F15" s="22">
        <v>670.79572490488601</v>
      </c>
      <c r="G15" s="3">
        <v>736.47243492167115</v>
      </c>
      <c r="H15" s="3">
        <v>786.93278314220788</v>
      </c>
      <c r="I15" s="16">
        <v>592.3680827420402</v>
      </c>
      <c r="J15" s="22">
        <v>601.3822025504229</v>
      </c>
      <c r="K15" s="3">
        <v>462.45848028293318</v>
      </c>
      <c r="L15" s="3">
        <v>262.45234123911632</v>
      </c>
      <c r="M15" s="16">
        <v>494.3355118727273</v>
      </c>
      <c r="N15" s="40" t="s">
        <v>40</v>
      </c>
    </row>
    <row r="16" spans="1:14" ht="15.95" customHeight="1" x14ac:dyDescent="0.25">
      <c r="A16" s="28" t="s">
        <v>18</v>
      </c>
      <c r="B16" s="22">
        <v>6.5844170126500003</v>
      </c>
      <c r="C16" s="3">
        <v>6.6090622764999996</v>
      </c>
      <c r="D16" s="3">
        <v>6.7621703776500004</v>
      </c>
      <c r="E16" s="16">
        <v>6.9192659191500008</v>
      </c>
      <c r="F16" s="22">
        <v>6.8084823354500008</v>
      </c>
      <c r="G16" s="3">
        <v>6.8545060445499999</v>
      </c>
      <c r="H16" s="3">
        <v>6.7684157661500004</v>
      </c>
      <c r="I16" s="16">
        <v>6.7238333005499999</v>
      </c>
      <c r="J16" s="22">
        <v>6.6412500480000007</v>
      </c>
      <c r="K16" s="3">
        <v>6.3788476480999998</v>
      </c>
      <c r="L16" s="3">
        <v>6.1295125225999998</v>
      </c>
      <c r="M16" s="16">
        <v>6.3935483317999999</v>
      </c>
      <c r="N16" s="38" t="s">
        <v>41</v>
      </c>
    </row>
    <row r="17" spans="1:14" ht="15.95" customHeight="1" x14ac:dyDescent="0.25">
      <c r="A17" s="28" t="s">
        <v>16</v>
      </c>
      <c r="B17" s="22">
        <v>2.7447487108100002</v>
      </c>
      <c r="C17" s="3">
        <v>2.6126716606000002</v>
      </c>
      <c r="D17" s="3">
        <v>2.67290082879</v>
      </c>
      <c r="E17" s="16">
        <v>2.7346363281899997</v>
      </c>
      <c r="F17" s="22">
        <v>2.6904697286700001</v>
      </c>
      <c r="G17" s="3">
        <v>2.70822148838</v>
      </c>
      <c r="H17" s="3">
        <v>31.301166288179999</v>
      </c>
      <c r="I17" s="16">
        <v>2.6561544983099998</v>
      </c>
      <c r="J17" s="22">
        <v>2.6188890624000001</v>
      </c>
      <c r="K17" s="3">
        <v>2.4962874778800002</v>
      </c>
      <c r="L17" s="3">
        <v>2.3409437958399999</v>
      </c>
      <c r="M17" s="16">
        <v>2.3083672659599999</v>
      </c>
      <c r="N17" s="38" t="s">
        <v>42</v>
      </c>
    </row>
    <row r="18" spans="1:14" ht="15.95" customHeight="1" x14ac:dyDescent="0.25">
      <c r="A18" s="28" t="s">
        <v>17</v>
      </c>
      <c r="B18" s="22">
        <v>0</v>
      </c>
      <c r="C18" s="3">
        <v>0</v>
      </c>
      <c r="D18" s="3">
        <v>0</v>
      </c>
      <c r="E18" s="16">
        <v>0</v>
      </c>
      <c r="F18" s="22">
        <v>0</v>
      </c>
      <c r="G18" s="3">
        <v>0</v>
      </c>
      <c r="H18" s="3">
        <v>0</v>
      </c>
      <c r="I18" s="16">
        <v>0</v>
      </c>
      <c r="J18" s="22">
        <v>0</v>
      </c>
      <c r="K18" s="3">
        <v>0</v>
      </c>
      <c r="L18" s="3">
        <v>0</v>
      </c>
      <c r="M18" s="16">
        <v>0</v>
      </c>
      <c r="N18" s="38" t="s">
        <v>43</v>
      </c>
    </row>
    <row r="19" spans="1:14" ht="15.95" customHeight="1" x14ac:dyDescent="0.25">
      <c r="A19" s="23" t="s">
        <v>23</v>
      </c>
      <c r="B19" s="24">
        <v>2.5066073004572202</v>
      </c>
      <c r="C19" s="25">
        <v>2.5062841602855301</v>
      </c>
      <c r="D19" s="25">
        <v>22.231817890259702</v>
      </c>
      <c r="E19" s="26">
        <v>42.486064460090802</v>
      </c>
      <c r="F19" s="24">
        <v>42.000093440390877</v>
      </c>
      <c r="G19" s="25">
        <v>41.808613670365531</v>
      </c>
      <c r="H19" s="25">
        <v>42.019815680519478</v>
      </c>
      <c r="I19" s="26">
        <v>11.745404740090969</v>
      </c>
      <c r="J19" s="24">
        <v>12.015536469746259</v>
      </c>
      <c r="K19" s="25">
        <v>1.9159144101232959</v>
      </c>
      <c r="L19" s="25">
        <v>1.9159144100064973</v>
      </c>
      <c r="M19" s="26">
        <v>1.9159144103896104</v>
      </c>
      <c r="N19" s="33" t="s">
        <v>44</v>
      </c>
    </row>
    <row r="20" spans="1:14" ht="15.95" customHeight="1" x14ac:dyDescent="0.25">
      <c r="A20" s="28" t="s">
        <v>24</v>
      </c>
      <c r="B20" s="22">
        <v>2.5032823102547299</v>
      </c>
      <c r="C20" s="3">
        <v>2.5029591700194702</v>
      </c>
      <c r="D20" s="3">
        <v>2.1039997402597401</v>
      </c>
      <c r="E20" s="16">
        <v>2.1039997397793599</v>
      </c>
      <c r="F20" s="22">
        <v>1.625919149837133</v>
      </c>
      <c r="G20" s="3">
        <v>1.4344493701044392</v>
      </c>
      <c r="H20" s="3">
        <v>1.72104865</v>
      </c>
      <c r="I20" s="16">
        <v>1.7210486497725801</v>
      </c>
      <c r="J20" s="22">
        <v>1.912276279765778</v>
      </c>
      <c r="K20" s="3">
        <v>1.9125994198572349</v>
      </c>
      <c r="L20" s="3">
        <v>1.912599419753086</v>
      </c>
      <c r="M20" s="16">
        <v>1.9125994201298702</v>
      </c>
      <c r="N20" s="38" t="s">
        <v>45</v>
      </c>
    </row>
    <row r="21" spans="1:14" ht="15.95" customHeight="1" x14ac:dyDescent="0.25">
      <c r="A21" s="28" t="s">
        <v>25</v>
      </c>
      <c r="B21" s="22">
        <v>3.3249902024820397E-3</v>
      </c>
      <c r="C21" s="3">
        <v>3.3249902660609999E-3</v>
      </c>
      <c r="D21" s="3">
        <v>20.12781815</v>
      </c>
      <c r="E21" s="16">
        <v>40.382064720311497</v>
      </c>
      <c r="F21" s="22">
        <v>40.374174290553746</v>
      </c>
      <c r="G21" s="3">
        <v>40.374164300261093</v>
      </c>
      <c r="H21" s="3">
        <v>40.298767030519478</v>
      </c>
      <c r="I21" s="16">
        <v>10.024356090318388</v>
      </c>
      <c r="J21" s="22">
        <v>10.103260189980482</v>
      </c>
      <c r="K21" s="3">
        <v>3.3149902660609999E-3</v>
      </c>
      <c r="L21" s="3">
        <v>3.3149902534113061E-3</v>
      </c>
      <c r="M21" s="16">
        <v>3.31499025974026E-3</v>
      </c>
      <c r="N21" s="38" t="s">
        <v>46</v>
      </c>
    </row>
    <row r="22" spans="1:14" ht="15.75" customHeight="1" x14ac:dyDescent="0.25">
      <c r="A22" s="28" t="s">
        <v>26</v>
      </c>
      <c r="B22" s="22">
        <v>0</v>
      </c>
      <c r="C22" s="3">
        <v>0</v>
      </c>
      <c r="D22" s="3">
        <v>0</v>
      </c>
      <c r="E22" s="16">
        <v>0</v>
      </c>
      <c r="F22" s="22">
        <v>0</v>
      </c>
      <c r="G22" s="3">
        <v>0</v>
      </c>
      <c r="H22" s="3">
        <v>0</v>
      </c>
      <c r="I22" s="16">
        <v>0</v>
      </c>
      <c r="J22" s="22">
        <v>0</v>
      </c>
      <c r="K22" s="3">
        <v>0</v>
      </c>
      <c r="L22" s="3">
        <v>0</v>
      </c>
      <c r="M22" s="16">
        <v>0</v>
      </c>
      <c r="N22" s="38" t="s">
        <v>47</v>
      </c>
    </row>
    <row r="23" spans="1:14" ht="15.95" customHeight="1" x14ac:dyDescent="0.25">
      <c r="A23" s="23" t="s">
        <v>27</v>
      </c>
      <c r="B23" s="24">
        <v>-473.10960788385302</v>
      </c>
      <c r="C23" s="25">
        <v>-552.47865519214292</v>
      </c>
      <c r="D23" s="25">
        <v>-417.434730084156</v>
      </c>
      <c r="E23" s="26">
        <v>-811.808936763465</v>
      </c>
      <c r="F23" s="24">
        <v>-666.92378681628657</v>
      </c>
      <c r="G23" s="25">
        <v>-658.80432292861622</v>
      </c>
      <c r="H23" s="25">
        <v>-643.00539668818192</v>
      </c>
      <c r="I23" s="26">
        <v>-393.23017706822606</v>
      </c>
      <c r="J23" s="24">
        <v>-460.49271240403414</v>
      </c>
      <c r="K23" s="25">
        <v>-428.81445274172631</v>
      </c>
      <c r="L23" s="25">
        <v>-346.84625215399586</v>
      </c>
      <c r="M23" s="26">
        <v>-559.98345765012982</v>
      </c>
      <c r="N23" s="33" t="s">
        <v>52</v>
      </c>
    </row>
    <row r="24" spans="1:14" ht="15.95" customHeight="1" x14ac:dyDescent="0.25">
      <c r="A24" s="28" t="s">
        <v>28</v>
      </c>
      <c r="B24" s="22">
        <v>-455.33989935609401</v>
      </c>
      <c r="C24" s="3">
        <v>-531.47659996177299</v>
      </c>
      <c r="D24" s="3">
        <v>-400.17892265818205</v>
      </c>
      <c r="E24" s="16">
        <v>-788.70521675437999</v>
      </c>
      <c r="F24" s="22">
        <v>-648.12582310488597</v>
      </c>
      <c r="G24" s="3">
        <v>-633.97946104741516</v>
      </c>
      <c r="H24" s="3">
        <v>-623.71845216610404</v>
      </c>
      <c r="I24" s="16">
        <v>-332.69211498570496</v>
      </c>
      <c r="J24" s="22">
        <v>-433.13016908067692</v>
      </c>
      <c r="K24" s="3">
        <v>-372.17552727190156</v>
      </c>
      <c r="L24" s="3">
        <v>-327.0315558362571</v>
      </c>
      <c r="M24" s="16">
        <v>-504.13325881441551</v>
      </c>
      <c r="N24" s="38" t="s">
        <v>48</v>
      </c>
    </row>
    <row r="25" spans="1:14" ht="15.95" customHeight="1" x14ac:dyDescent="0.25">
      <c r="A25" s="28" t="s">
        <v>29</v>
      </c>
      <c r="B25" s="22">
        <v>0</v>
      </c>
      <c r="C25" s="3">
        <v>0</v>
      </c>
      <c r="D25" s="3">
        <v>0</v>
      </c>
      <c r="E25" s="16">
        <v>0</v>
      </c>
      <c r="F25" s="22">
        <v>0</v>
      </c>
      <c r="G25" s="3">
        <v>0</v>
      </c>
      <c r="H25" s="3">
        <v>0</v>
      </c>
      <c r="I25" s="16">
        <v>0</v>
      </c>
      <c r="J25" s="22">
        <v>0</v>
      </c>
      <c r="K25" s="3">
        <v>0</v>
      </c>
      <c r="L25" s="3">
        <v>0</v>
      </c>
      <c r="M25" s="16">
        <v>0</v>
      </c>
      <c r="N25" s="38" t="s">
        <v>49</v>
      </c>
    </row>
    <row r="26" spans="1:14" ht="15.95" customHeight="1" x14ac:dyDescent="0.25">
      <c r="A26" s="28" t="s">
        <v>33</v>
      </c>
      <c r="B26" s="22">
        <v>-17.769708527759601</v>
      </c>
      <c r="C26" s="3">
        <v>-21.002055230369898</v>
      </c>
      <c r="D26" s="3">
        <v>-17.255807425974002</v>
      </c>
      <c r="E26" s="16">
        <v>-23.103720009084999</v>
      </c>
      <c r="F26" s="22">
        <v>-18.797963711400648</v>
      </c>
      <c r="G26" s="3">
        <v>-24.824861881201045</v>
      </c>
      <c r="H26" s="3">
        <v>-19.286944522077924</v>
      </c>
      <c r="I26" s="16">
        <v>-60.538062082521115</v>
      </c>
      <c r="J26" s="22">
        <v>-27.36254332335719</v>
      </c>
      <c r="K26" s="3">
        <v>-56.638925469824784</v>
      </c>
      <c r="L26" s="3">
        <v>-19.81469631773879</v>
      </c>
      <c r="M26" s="16">
        <v>-55.850198835714281</v>
      </c>
      <c r="N26" s="38" t="s">
        <v>47</v>
      </c>
    </row>
    <row r="27" spans="1:14" ht="8.1" customHeight="1" x14ac:dyDescent="0.25">
      <c r="A27" s="29"/>
      <c r="B27" s="30"/>
      <c r="C27" s="11"/>
      <c r="D27" s="11"/>
      <c r="E27" s="31"/>
      <c r="F27" s="30"/>
      <c r="G27" s="11"/>
      <c r="H27" s="11"/>
      <c r="I27" s="31"/>
      <c r="J27" s="30"/>
      <c r="K27" s="11"/>
      <c r="L27" s="11"/>
      <c r="M27" s="31"/>
      <c r="N27" s="1"/>
    </row>
    <row r="28" spans="1:14" ht="8.1" customHeight="1" x14ac:dyDescent="0.25">
      <c r="A28" s="27"/>
      <c r="B28" s="22"/>
      <c r="C28" s="3"/>
      <c r="D28" s="3"/>
      <c r="E28" s="16"/>
      <c r="F28" s="22"/>
      <c r="G28" s="3"/>
      <c r="H28" s="3"/>
      <c r="I28" s="16"/>
      <c r="J28" s="22"/>
      <c r="K28" s="3"/>
      <c r="L28" s="3"/>
      <c r="M28" s="16"/>
      <c r="N28" s="4"/>
    </row>
    <row r="29" spans="1:14" ht="15.95" customHeight="1" x14ac:dyDescent="0.25">
      <c r="A29" s="15" t="s">
        <v>9</v>
      </c>
      <c r="B29" s="22"/>
      <c r="C29" s="3"/>
      <c r="D29" s="3"/>
      <c r="E29" s="16"/>
      <c r="F29" s="22"/>
      <c r="G29" s="3"/>
      <c r="H29" s="3"/>
      <c r="I29" s="16"/>
      <c r="J29" s="22"/>
      <c r="K29" s="3"/>
      <c r="L29" s="3"/>
      <c r="M29" s="16"/>
      <c r="N29" s="33" t="s">
        <v>50</v>
      </c>
    </row>
    <row r="30" spans="1:14" ht="15.95" customHeight="1" x14ac:dyDescent="0.25">
      <c r="A30" s="23" t="s">
        <v>14</v>
      </c>
      <c r="B30" s="24">
        <v>-4.467229330680448</v>
      </c>
      <c r="C30" s="25">
        <v>3.6871686279897968</v>
      </c>
      <c r="D30" s="25">
        <v>31.107786832794453</v>
      </c>
      <c r="E30" s="26">
        <v>30.701020840845693</v>
      </c>
      <c r="F30" s="24">
        <f>(F10-B10)/B10*100</f>
        <v>13.902804450076323</v>
      </c>
      <c r="G30" s="25">
        <f t="shared" ref="G30:I30" si="0">(G10-C10)/C10*100</f>
        <v>29.867941842623548</v>
      </c>
      <c r="H30" s="25">
        <f t="shared" si="0"/>
        <v>46.056892858234875</v>
      </c>
      <c r="I30" s="26">
        <f t="shared" si="0"/>
        <v>-18.177724436130863</v>
      </c>
      <c r="J30" s="24">
        <f>(J10-F10)/F10*100</f>
        <v>2.4209182583788906</v>
      </c>
      <c r="K30" s="25">
        <f t="shared" ref="K30:K32" si="1">(K10-G10)/G10*100</f>
        <v>-17.746950724067922</v>
      </c>
      <c r="L30" s="25">
        <f t="shared" ref="L30:L32" si="2">(L10-H10)/H10*100</f>
        <v>-46.862237715565527</v>
      </c>
      <c r="M30" s="26">
        <f t="shared" ref="M30:M32" si="3">(M10-I10)/I10*100</f>
        <v>2.7191693098115888</v>
      </c>
      <c r="N30" s="33" t="s">
        <v>35</v>
      </c>
    </row>
    <row r="31" spans="1:14" ht="15.95" customHeight="1" x14ac:dyDescent="0.25">
      <c r="A31" s="28" t="s">
        <v>15</v>
      </c>
      <c r="B31" s="22">
        <v>-4.4342265107749599</v>
      </c>
      <c r="C31" s="3">
        <v>3.8211119966031584</v>
      </c>
      <c r="D31" s="3">
        <v>31.703300230397858</v>
      </c>
      <c r="E31" s="16">
        <v>31.057440870866998</v>
      </c>
      <c r="F31" s="22">
        <f>(F11-B11)/B11*100</f>
        <v>14.056734212431971</v>
      </c>
      <c r="G31" s="3">
        <f t="shared" ref="G31:G32" si="4">(G11-C11)/C11*100</f>
        <v>30.216034051890283</v>
      </c>
      <c r="H31" s="3">
        <f t="shared" ref="H31:H32" si="5">(H11-D11)/D11*100</f>
        <v>42.519806905764028</v>
      </c>
      <c r="I31" s="16">
        <f t="shared" ref="I31:I32" si="6">(I11-E11)/E11*100</f>
        <v>-18.329589242736478</v>
      </c>
      <c r="J31" s="22">
        <f>(J11-F11)/F11*100</f>
        <v>2.4770429104750025</v>
      </c>
      <c r="K31" s="3">
        <f t="shared" si="1"/>
        <v>-17.858769870911679</v>
      </c>
      <c r="L31" s="3">
        <f t="shared" si="2"/>
        <v>-45.660731353687915</v>
      </c>
      <c r="M31" s="16">
        <f t="shared" si="3"/>
        <v>2.8363336667268815</v>
      </c>
      <c r="N31" s="38" t="s">
        <v>36</v>
      </c>
    </row>
    <row r="32" spans="1:14" ht="15.95" customHeight="1" x14ac:dyDescent="0.25">
      <c r="A32" s="23" t="s">
        <v>23</v>
      </c>
      <c r="B32" s="24">
        <v>-92.876918720333805</v>
      </c>
      <c r="C32" s="25">
        <v>-89.078275028820258</v>
      </c>
      <c r="D32" s="25">
        <v>104.86376445813639</v>
      </c>
      <c r="E32" s="26">
        <v>1576.4903326517724</v>
      </c>
      <c r="F32" s="24">
        <f>(F19-B19)/B19*100</f>
        <v>1575.5753257692104</v>
      </c>
      <c r="G32" s="25">
        <f t="shared" si="4"/>
        <v>101.60005454072811</v>
      </c>
      <c r="H32" s="25">
        <f t="shared" si="5"/>
        <v>77.362264092280753</v>
      </c>
      <c r="I32" s="26">
        <f t="shared" si="6"/>
        <v>46.963487671488132</v>
      </c>
      <c r="J32" s="24">
        <f>(J19-F19)/F19*100</f>
        <v>-71.391643480985465</v>
      </c>
      <c r="K32" s="25">
        <f t="shared" si="1"/>
        <v>91.173205758717771</v>
      </c>
      <c r="L32" s="25">
        <f t="shared" si="2"/>
        <v>56.646200179814677</v>
      </c>
      <c r="M32" s="26">
        <f t="shared" si="3"/>
        <v>47.46256820903595</v>
      </c>
      <c r="N32" s="33" t="s">
        <v>44</v>
      </c>
    </row>
    <row r="33" spans="1:14" ht="15.95" customHeight="1" x14ac:dyDescent="0.25">
      <c r="A33" s="23" t="s">
        <v>27</v>
      </c>
      <c r="B33" s="22">
        <v>-9.9375363946995066</v>
      </c>
      <c r="C33" s="3">
        <v>37.242318060271842</v>
      </c>
      <c r="D33" s="3">
        <v>27.370682731908495</v>
      </c>
      <c r="E33" s="16">
        <v>85.079925088207943</v>
      </c>
      <c r="F33" s="22">
        <f>(F23-B23)/B23*100</f>
        <v>40.966020495617236</v>
      </c>
      <c r="G33" s="3">
        <f t="shared" ref="G33:I33" si="7">(G23-C23)/C23*100</f>
        <v>19.245208251438235</v>
      </c>
      <c r="H33" s="3">
        <f t="shared" si="7"/>
        <v>54.03735011663985</v>
      </c>
      <c r="I33" s="16">
        <f t="shared" si="7"/>
        <v>-51.561240673702926</v>
      </c>
      <c r="J33" s="22">
        <f>(J23-F23)/F23*100</f>
        <v>-30.952723308565499</v>
      </c>
      <c r="K33" s="3">
        <f t="shared" ref="K33" si="8">(K23-G23)/G23*100</f>
        <v>-34.910194451139041</v>
      </c>
      <c r="L33" s="3">
        <f t="shared" ref="L33" si="9">(L23-H23)/H23*100</f>
        <v>-46.058578366458882</v>
      </c>
      <c r="M33" s="16">
        <f t="shared" ref="M33" si="10">(M23-I23)/I23*100</f>
        <v>42.40602331823883</v>
      </c>
      <c r="N33" s="33" t="s">
        <v>52</v>
      </c>
    </row>
    <row r="34" spans="1:14" ht="8.1" customHeight="1" x14ac:dyDescent="0.25">
      <c r="A34" s="32"/>
      <c r="B34" s="30"/>
      <c r="C34" s="11"/>
      <c r="D34" s="11"/>
      <c r="E34" s="31"/>
      <c r="F34" s="30"/>
      <c r="G34" s="11"/>
      <c r="H34" s="11"/>
      <c r="I34" s="31"/>
      <c r="J34" s="30"/>
      <c r="K34" s="11"/>
      <c r="L34" s="11"/>
      <c r="M34" s="31"/>
      <c r="N34" s="1"/>
    </row>
    <row r="35" spans="1:14" ht="8.1" customHeight="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4"/>
    </row>
    <row r="36" spans="1:14" ht="15.95" customHeight="1" x14ac:dyDescent="0.25">
      <c r="A36" s="6" t="s">
        <v>13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35" t="s">
        <v>12</v>
      </c>
    </row>
    <row r="37" spans="1:14" ht="33" customHeight="1" x14ac:dyDescent="0.25">
      <c r="A37" s="47" t="s">
        <v>31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</row>
    <row r="38" spans="1:14" ht="15.95" customHeight="1" x14ac:dyDescent="0.5">
      <c r="A38" s="8" t="s">
        <v>32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43" t="s">
        <v>51</v>
      </c>
    </row>
    <row r="39" spans="1:14" ht="2.25" customHeight="1" x14ac:dyDescent="0.5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37"/>
    </row>
    <row r="40" spans="1:14" ht="15.95" customHeight="1" x14ac:dyDescent="0.25">
      <c r="A40" s="8" t="s">
        <v>10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34" t="s">
        <v>34</v>
      </c>
    </row>
    <row r="59" spans="2:13" x14ac:dyDescent="0.25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2:13" x14ac:dyDescent="0.25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2:13" x14ac:dyDescent="0.25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2:13" x14ac:dyDescent="0.25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2:13" x14ac:dyDescent="0.25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2:13" x14ac:dyDescent="0.25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2:13" x14ac:dyDescent="0.2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2:13" x14ac:dyDescent="0.25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2:13" x14ac:dyDescent="0.25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2:13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2:13" x14ac:dyDescent="0.25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2:13" x14ac:dyDescent="0.25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2:13" x14ac:dyDescent="0.25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2:13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2:13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2:13" x14ac:dyDescent="0.25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2:13" x14ac:dyDescent="0.2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2:13" x14ac:dyDescent="0.25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2:13" x14ac:dyDescent="0.25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2:13" x14ac:dyDescent="0.25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spans="2:13" x14ac:dyDescent="0.25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2:13" x14ac:dyDescent="0.25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spans="2:13" x14ac:dyDescent="0.25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spans="2:13" x14ac:dyDescent="0.25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spans="2:13" x14ac:dyDescent="0.25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spans="2:13" x14ac:dyDescent="0.25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spans="2:13" x14ac:dyDescent="0.2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spans="2:13" x14ac:dyDescent="0.25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spans="2:13" x14ac:dyDescent="0.25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</sheetData>
  <mergeCells count="9">
    <mergeCell ref="B37:N37"/>
    <mergeCell ref="A1:N1"/>
    <mergeCell ref="A2:N2"/>
    <mergeCell ref="A3:N3"/>
    <mergeCell ref="B6:E6"/>
    <mergeCell ref="A4:N4"/>
    <mergeCell ref="N6:N8"/>
    <mergeCell ref="F6:I6"/>
    <mergeCell ref="J6:M6"/>
  </mergeCells>
  <printOptions horizontalCentered="1"/>
  <pageMargins left="0.17" right="0.16" top="0.5" bottom="0.5" header="0.3" footer="0.3"/>
  <pageSetup paperSize="9" scale="65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36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14.16</vt:lpstr>
      <vt:lpstr>Sheet2</vt:lpstr>
      <vt:lpstr>'14.16'!Print_Area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2023-07-16T08:32:03Z</cp:lastPrinted>
  <dcterms:created xsi:type="dcterms:W3CDTF">2013-04-01T04:26:10Z</dcterms:created>
  <dcterms:modified xsi:type="dcterms:W3CDTF">2023-07-16T08:32:49Z</dcterms:modified>
</cp:coreProperties>
</file>