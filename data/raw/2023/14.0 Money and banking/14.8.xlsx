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C77F5D3E-C5CC-4089-9404-2CE44EFA45BD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8" sheetId="13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'14.8'!$A$1:$N$40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3" l="1"/>
  <c r="K33" i="13"/>
  <c r="L33" i="13"/>
  <c r="M33" i="13"/>
  <c r="J34" i="13"/>
  <c r="K34" i="13"/>
  <c r="L34" i="13"/>
  <c r="M34" i="13"/>
  <c r="G33" i="13"/>
  <c r="H33" i="13"/>
  <c r="I33" i="13"/>
  <c r="G34" i="13"/>
  <c r="H34" i="13"/>
  <c r="I34" i="13"/>
  <c r="F34" i="13"/>
  <c r="F33" i="13"/>
</calcChain>
</file>

<file path=xl/sharedStrings.xml><?xml version="1.0" encoding="utf-8"?>
<sst xmlns="http://schemas.openxmlformats.org/spreadsheetml/2006/main" count="91" uniqueCount="61">
  <si>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</si>
  <si>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</si>
  <si>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</si>
  <si>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</si>
  <si>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</si>
  <si>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</si>
  <si>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</si>
  <si>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</si>
  <si>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</si>
  <si>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</si>
  <si>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</si>
  <si>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ލިބެންވާ ( ޑިޕޮސިޓް އަދި އެހެނިހެން ފައިސާ)</t>
  </si>
  <si>
    <t>Loans</t>
  </si>
  <si>
    <t>ލޯނު</t>
  </si>
  <si>
    <t>Annual percentage change</t>
  </si>
  <si>
    <t>Source: Maldives Monetary Authority.</t>
  </si>
  <si>
    <t>Dec</t>
  </si>
  <si>
    <t>Total Assets</t>
  </si>
  <si>
    <t>Foreign assets</t>
  </si>
  <si>
    <t>Other assets</t>
  </si>
  <si>
    <t>Non-financial assets</t>
  </si>
  <si>
    <t>Total Liabilities</t>
  </si>
  <si>
    <t>Securities other than shares</t>
  </si>
  <si>
    <t>Foreign liabilities</t>
  </si>
  <si>
    <t>Other liabilities</t>
  </si>
  <si>
    <t>ބޭރުގެ އެސެޓް</t>
  </si>
  <si>
    <t>Cash</t>
  </si>
  <si>
    <t>Deposits with central bank</t>
  </si>
  <si>
    <t>ސެކިޔުރިޓީސް (ހިއްސާ ނުހިމަނައި)</t>
  </si>
  <si>
    <t>Loans and advances</t>
  </si>
  <si>
    <t>Deposits</t>
  </si>
  <si>
    <t>ޑިޕޮސިޓް</t>
  </si>
  <si>
    <t>Central government liabilities</t>
  </si>
  <si>
    <t>ނޯޓް:</t>
  </si>
  <si>
    <t>NOTE:</t>
  </si>
  <si>
    <t/>
  </si>
  <si>
    <t>ވިޔަފާރި ބޭންކްތަކުގައި ހުރި ޑިޕޮސިޓް</t>
  </si>
  <si>
    <t>ވިޔަފާރި ބޭންކުތަކުން ނަގާފައިވާ ދަރަނި</t>
  </si>
  <si>
    <t>Insurance technical reserves</t>
  </si>
  <si>
    <t>Shares and other equity</t>
  </si>
  <si>
    <t>Deposits with other depository corporations</t>
  </si>
  <si>
    <t>Credit from other depository corporations</t>
  </si>
  <si>
    <t>އިންޝުއަރެންސް ޓެކްނިކަލް ރިސަރވް</t>
  </si>
  <si>
    <t>ޖުމްލަ ލައިބިލިޓީ</t>
  </si>
  <si>
    <t>ތަފްޞީލް</t>
  </si>
  <si>
    <t>މައުލޫމާތު ދެއްވި ފަރާތް: މޯލްޑިވްސް މަނިޓަރީ އޮތޯރިޓީ</t>
  </si>
  <si>
    <t>މަރުކަޒީ ބޭންކުގައި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</si>
  <si>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</si>
  <si>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</si>
  <si>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</si>
  <si>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</si>
  <si>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މާލީ ނޫން އެސެޓްސް</t>
  </si>
  <si>
    <t>ޖުމްލަ އެސެޓް</t>
  </si>
  <si>
    <t>ލޯނާއި އެޑްވާންސް</t>
  </si>
  <si>
    <t>އެހެނިހެން އެސެޓްސް</t>
  </si>
  <si>
    <t>ނަގުދު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</si>
  <si>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</si>
  <si>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</si>
  <si>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</si>
  <si>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ތާވަލު 14.8:އެހެނިހެން މާލީދާއިރާގެ ކުންފުނިތަކުގެ އެސެޓްތަކާއި އަދި ލައިބިލިޓީތައް، 2020- 2022</t>
  </si>
  <si>
    <t>Table 14.8: ASSETS AND LIABILITIES OF OTHER FINANCIAL CORPORATIONS,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</si>
</sst>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9"/>
      <name val="A_Randhoo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4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17" fontId="5" fillId="0" borderId="0" applyFont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8" fontId="5" fillId="0" borderId="0" applyFill="0" applyBorder="0" applyAlignment="0"/>
    <xf numFmtId="0" fontId="25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5" fillId="0" borderId="0" applyFill="0" applyBorder="0" applyAlignment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17" fontId="5" fillId="0" borderId="0" applyFont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5" fillId="0" borderId="0" applyFont="0" applyFill="0" applyBorder="0" applyAlignment="0" applyProtection="0"/>
    <xf numFmtId="14" fontId="28" fillId="0" borderId="0" applyFill="0" applyBorder="0" applyAlignment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168" fontId="5" fillId="0" borderId="0" applyFill="0" applyBorder="0" applyAlignment="0"/>
    <xf numFmtId="0" fontId="2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5" fillId="0" borderId="0" applyFill="0" applyBorder="0" applyAlignment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38" fontId="19" fillId="19" borderId="0" applyNumberFormat="0" applyBorder="0" applyAlignment="0" applyProtection="0"/>
    <xf numFmtId="0" fontId="31" fillId="0" borderId="12" applyNumberFormat="0" applyAlignment="0" applyProtection="0">
      <alignment horizontal="left" vertical="center"/>
    </xf>
    <xf numFmtId="0" fontId="31" fillId="0" borderId="9">
      <alignment horizontal="left" vertical="center"/>
    </xf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0" fontId="19" fillId="20" borderId="16" applyNumberFormat="0" applyBorder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168" fontId="5" fillId="0" borderId="0" applyFill="0" applyBorder="0" applyAlignment="0"/>
    <xf numFmtId="0" fontId="2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5" fillId="0" borderId="0" applyFill="0" applyBorder="0" applyAlignment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174" fontId="37" fillId="0" borderId="0" applyFont="0" applyFill="0" applyBorder="0" applyAlignment="0" applyProtection="0"/>
    <xf numFmtId="175" fontId="37" fillId="0" borderId="0" applyFont="0" applyFill="0" applyBorder="0" applyAlignment="0" applyProtection="0"/>
    <xf numFmtId="42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5" fillId="0" borderId="0" applyFill="0" applyBorder="0" applyAlignment="0"/>
    <xf numFmtId="0" fontId="4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28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41" fillId="0" borderId="0">
      <alignment vertical="top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0" fontId="12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164" fontId="15" fillId="0" borderId="0" xfId="2" applyNumberFormat="1" applyFont="1" applyAlignment="1">
      <alignment horizontal="left" vertical="center" indent="2"/>
    </xf>
    <xf numFmtId="164" fontId="11" fillId="0" borderId="0" xfId="2" applyNumberFormat="1" applyFont="1" applyAlignment="1">
      <alignment horizontal="right" vertical="center"/>
    </xf>
    <xf numFmtId="43" fontId="7" fillId="0" borderId="31" xfId="1" applyFont="1" applyFill="1" applyBorder="1" applyAlignment="1">
      <alignment horizontal="right"/>
    </xf>
    <xf numFmtId="43" fontId="7" fillId="0" borderId="3" xfId="1" applyFont="1" applyFill="1" applyBorder="1" applyAlignment="1">
      <alignment horizontal="right"/>
    </xf>
    <xf numFmtId="43" fontId="7" fillId="0" borderId="32" xfId="1" applyFont="1" applyFill="1" applyBorder="1" applyAlignment="1">
      <alignment horizontal="right"/>
    </xf>
    <xf numFmtId="43" fontId="7" fillId="0" borderId="25" xfId="1" applyFont="1" applyFill="1" applyBorder="1" applyAlignment="1">
      <alignment horizontal="right"/>
    </xf>
    <xf numFmtId="43" fontId="7" fillId="0" borderId="0" xfId="1" applyFont="1" applyFill="1" applyBorder="1" applyAlignment="1">
      <alignment horizontal="right"/>
    </xf>
    <xf numFmtId="43" fontId="7" fillId="0" borderId="29" xfId="1" applyFont="1" applyFill="1" applyBorder="1" applyAlignment="1">
      <alignment horizontal="right"/>
    </xf>
    <xf numFmtId="0" fontId="18" fillId="0" borderId="0" xfId="0" applyFont="1"/>
    <xf numFmtId="165" fontId="7" fillId="0" borderId="4" xfId="0" applyNumberFormat="1" applyFont="1" applyBorder="1" applyAlignment="1">
      <alignment vertical="center"/>
    </xf>
    <xf numFmtId="0" fontId="9" fillId="0" borderId="21" xfId="0" applyFont="1" applyBorder="1" applyAlignment="1">
      <alignment horizontal="right"/>
    </xf>
    <xf numFmtId="0" fontId="9" fillId="0" borderId="0" xfId="0" applyFont="1" applyAlignment="1">
      <alignment horizontal="right"/>
    </xf>
    <xf numFmtId="166" fontId="12" fillId="0" borderId="0" xfId="0" applyNumberFormat="1" applyFont="1" applyAlignment="1">
      <alignment vertical="center"/>
    </xf>
    <xf numFmtId="0" fontId="8" fillId="0" borderId="34" xfId="0" applyFont="1" applyBorder="1"/>
    <xf numFmtId="169" fontId="12" fillId="0" borderId="0" xfId="1" applyNumberFormat="1" applyFont="1" applyFill="1" applyBorder="1" applyAlignment="1">
      <alignment vertical="center"/>
    </xf>
    <xf numFmtId="169" fontId="12" fillId="0" borderId="25" xfId="1" applyNumberFormat="1" applyFont="1" applyFill="1" applyBorder="1" applyAlignment="1">
      <alignment vertical="center"/>
    </xf>
    <xf numFmtId="169" fontId="12" fillId="0" borderId="29" xfId="1" applyNumberFormat="1" applyFont="1" applyFill="1" applyBorder="1" applyAlignment="1">
      <alignment vertical="center"/>
    </xf>
    <xf numFmtId="166" fontId="12" fillId="0" borderId="1" xfId="2" applyNumberFormat="1" applyFont="1" applyBorder="1" applyAlignment="1">
      <alignment vertical="center"/>
    </xf>
    <xf numFmtId="166" fontId="12" fillId="0" borderId="24" xfId="2" applyNumberFormat="1" applyFont="1" applyBorder="1" applyAlignment="1">
      <alignment vertical="center"/>
    </xf>
    <xf numFmtId="43" fontId="18" fillId="0" borderId="0" xfId="1" applyFont="1" applyFill="1" applyBorder="1"/>
    <xf numFmtId="43" fontId="18" fillId="0" borderId="0" xfId="0" applyNumberFormat="1" applyFont="1"/>
    <xf numFmtId="0" fontId="13" fillId="0" borderId="0" xfId="0" applyFont="1"/>
    <xf numFmtId="164" fontId="11" fillId="0" borderId="0" xfId="2" applyNumberFormat="1" applyFont="1" applyAlignment="1">
      <alignment horizontal="right"/>
    </xf>
    <xf numFmtId="0" fontId="31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164" fontId="11" fillId="0" borderId="1" xfId="2" applyNumberFormat="1" applyFont="1" applyBorder="1" applyAlignment="1">
      <alignment horizontal="right"/>
    </xf>
    <xf numFmtId="169" fontId="12" fillId="0" borderId="1" xfId="1" applyNumberFormat="1" applyFont="1" applyFill="1" applyBorder="1" applyAlignment="1">
      <alignment vertical="center"/>
    </xf>
    <xf numFmtId="169" fontId="12" fillId="0" borderId="24" xfId="1" applyNumberFormat="1" applyFont="1" applyFill="1" applyBorder="1" applyAlignment="1">
      <alignment vertical="center"/>
    </xf>
    <xf numFmtId="169" fontId="12" fillId="0" borderId="30" xfId="1" applyNumberFormat="1" applyFont="1" applyFill="1" applyBorder="1" applyAlignment="1">
      <alignment vertical="center"/>
    </xf>
    <xf numFmtId="166" fontId="12" fillId="0" borderId="30" xfId="2" applyNumberFormat="1" applyFont="1" applyBorder="1" applyAlignment="1">
      <alignment vertical="center"/>
    </xf>
    <xf numFmtId="164" fontId="10" fillId="0" borderId="22" xfId="2" applyNumberFormat="1" applyFont="1" applyBorder="1" applyAlignment="1">
      <alignment horizontal="right"/>
    </xf>
    <xf numFmtId="164" fontId="10" fillId="0" borderId="8" xfId="2" applyNumberFormat="1" applyFont="1" applyBorder="1" applyAlignment="1">
      <alignment horizontal="right"/>
    </xf>
    <xf numFmtId="166" fontId="17" fillId="0" borderId="0" xfId="2" applyNumberFormat="1" applyFont="1" applyAlignment="1">
      <alignment horizontal="right" vertical="center"/>
    </xf>
    <xf numFmtId="164" fontId="16" fillId="0" borderId="0" xfId="2" applyNumberFormat="1" applyFont="1" applyAlignment="1">
      <alignment horizontal="right" vertical="center" indent="2"/>
    </xf>
    <xf numFmtId="164" fontId="45" fillId="0" borderId="0" xfId="2" applyNumberFormat="1" applyFont="1" applyAlignment="1">
      <alignment horizontal="right" vertical="center"/>
    </xf>
    <xf numFmtId="164" fontId="46" fillId="0" borderId="0" xfId="2" applyNumberFormat="1" applyFont="1" applyAlignment="1">
      <alignment vertical="center" readingOrder="2"/>
    </xf>
    <xf numFmtId="164" fontId="46" fillId="0" borderId="0" xfId="2" applyNumberFormat="1" applyFont="1" applyAlignment="1">
      <alignment horizontal="right" vertical="center" indent="2" readingOrder="2"/>
    </xf>
    <xf numFmtId="49" fontId="47" fillId="0" borderId="0" xfId="0" applyNumberFormat="1" applyFont="1" applyAlignment="1">
      <alignment vertical="center"/>
    </xf>
    <xf numFmtId="49" fontId="48" fillId="0" borderId="0" xfId="0" applyNumberFormat="1" applyFont="1" applyAlignment="1">
      <alignment vertical="center"/>
    </xf>
    <xf numFmtId="49" fontId="43" fillId="0" borderId="0" xfId="0" applyNumberFormat="1" applyFont="1" applyAlignment="1">
      <alignment horizontal="left" vertical="center" indent="2"/>
    </xf>
    <xf numFmtId="49" fontId="46" fillId="0" borderId="0" xfId="0" applyNumberFormat="1" applyFont="1" applyAlignment="1">
      <alignment horizontal="right" vertical="center" indent="2" readingOrder="2"/>
    </xf>
    <xf numFmtId="165" fontId="20" fillId="0" borderId="0" xfId="1" applyNumberFormat="1" applyFont="1"/>
    <xf numFmtId="165" fontId="49" fillId="0" borderId="25" xfId="1" applyNumberFormat="1" applyFont="1" applyBorder="1"/>
    <xf numFmtId="165" fontId="49" fillId="0" borderId="0" xfId="1" applyNumberFormat="1" applyFont="1" applyBorder="1"/>
    <xf numFmtId="165" fontId="49" fillId="0" borderId="29" xfId="1" applyNumberFormat="1" applyFont="1" applyBorder="1"/>
    <xf numFmtId="165" fontId="20" fillId="0" borderId="25" xfId="1" applyNumberFormat="1" applyFont="1" applyBorder="1"/>
    <xf numFmtId="165" fontId="20" fillId="0" borderId="0" xfId="1" applyNumberFormat="1" applyFont="1" applyBorder="1"/>
    <xf numFmtId="165" fontId="20" fillId="0" borderId="29" xfId="1" applyNumberFormat="1" applyFont="1" applyBorder="1"/>
    <xf numFmtId="166" fontId="49" fillId="0" borderId="25" xfId="1" applyNumberFormat="1" applyFont="1" applyBorder="1"/>
    <xf numFmtId="166" fontId="49" fillId="0" borderId="0" xfId="1" applyNumberFormat="1" applyFont="1" applyBorder="1"/>
    <xf numFmtId="166" fontId="49" fillId="0" borderId="29" xfId="1" applyNumberFormat="1" applyFont="1" applyBorder="1"/>
    <xf numFmtId="166" fontId="20" fillId="0" borderId="25" xfId="1" applyNumberFormat="1" applyFont="1" applyBorder="1"/>
    <xf numFmtId="166" fontId="20" fillId="0" borderId="0" xfId="1" applyNumberFormat="1" applyFont="1" applyBorder="1"/>
    <xf numFmtId="166" fontId="20" fillId="0" borderId="29" xfId="1" applyNumberFormat="1" applyFont="1" applyBorder="1"/>
    <xf numFmtId="164" fontId="11" fillId="0" borderId="6" xfId="2" applyNumberFormat="1" applyFont="1" applyBorder="1" applyAlignment="1">
      <alignment horizontal="right"/>
    </xf>
    <xf numFmtId="164" fontId="11" fillId="0" borderId="27" xfId="2" applyNumberFormat="1" applyFont="1" applyBorder="1" applyAlignment="1">
      <alignment horizontal="right"/>
    </xf>
    <xf numFmtId="164" fontId="11" fillId="0" borderId="28" xfId="2" applyNumberFormat="1" applyFont="1" applyBorder="1" applyAlignment="1">
      <alignment horizontal="right"/>
    </xf>
    <xf numFmtId="164" fontId="17" fillId="0" borderId="26" xfId="2" applyNumberFormat="1" applyFont="1" applyBorder="1" applyAlignment="1">
      <alignment horizontal="right" vertical="center"/>
    </xf>
    <xf numFmtId="164" fontId="17" fillId="0" borderId="25" xfId="2" applyNumberFormat="1" applyFont="1" applyBorder="1" applyAlignment="1">
      <alignment horizontal="right" vertical="center"/>
    </xf>
    <xf numFmtId="164" fontId="17" fillId="0" borderId="24" xfId="2" applyNumberFormat="1" applyFont="1" applyBorder="1" applyAlignment="1">
      <alignment horizontal="right" vertical="center"/>
    </xf>
    <xf numFmtId="0" fontId="6" fillId="0" borderId="2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center" vertical="center" readingOrder="2"/>
    </xf>
    <xf numFmtId="164" fontId="4" fillId="0" borderId="5" xfId="2" applyNumberFormat="1" applyFont="1" applyBorder="1" applyAlignment="1">
      <alignment horizontal="center" vertical="center" readingOrder="2"/>
    </xf>
    <xf numFmtId="164" fontId="44" fillId="0" borderId="7" xfId="2" applyNumberFormat="1" applyFont="1" applyBorder="1" applyAlignment="1">
      <alignment horizontal="center" vertical="center"/>
    </xf>
    <xf numFmtId="164" fontId="11" fillId="0" borderId="0" xfId="2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U107"/>
  <sheetViews>
    <sheetView showGridLines="0" tabSelected="1" zoomScaleNormal="100" zoomScaleSheetLayoutView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39" sqref="A39:XFD39"/>
    </sheetView>
  </sheetViews>
  <sheetFormatPr defaultColWidth="9.140625" defaultRowHeight="15" customHeight="1" x14ac:dyDescent="0.25"/>
  <cols>
    <col min="1" max="1" width="42.28515625" style="11" customWidth="1"/>
    <col min="2" max="13" width="10.28515625" style="11" bestFit="1" customWidth="1"/>
    <col min="14" max="14" width="40.85546875" customWidth="1"/>
  </cols>
  <sheetData>
    <row r="1" spans="1:14" ht="20.25" customHeight="1" x14ac:dyDescent="0.25">
      <c r="A1" s="66" t="s">
        <v>59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20.25" customHeight="1" x14ac:dyDescent="0.25">
      <c r="A2" s="68" t="s">
        <v>60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4" ht="15.95" customHeight="1" x14ac:dyDescent="0.25">
      <c r="A3" s="69" t="s">
        <v>0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1:14" ht="15.95" customHeight="1" x14ac:dyDescent="0.25">
      <c r="A4" s="70" t="s">
        <v>1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4" ht="8.1" customHeight="1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15.95" customHeight="1" x14ac:dyDescent="0.25">
      <c r="A6" s="16"/>
      <c r="B6" s="63">
        <v>2020</v>
      </c>
      <c r="C6" s="64"/>
      <c r="D6" s="64"/>
      <c r="E6" s="65"/>
      <c r="F6" s="63">
        <v>2021</v>
      </c>
      <c r="G6" s="64"/>
      <c r="H6" s="64"/>
      <c r="I6" s="65"/>
      <c r="J6" s="63">
        <v>2022</v>
      </c>
      <c r="K6" s="64"/>
      <c r="L6" s="64"/>
      <c r="M6" s="65"/>
      <c r="N6" s="60" t="s">
        <v>44</v>
      </c>
    </row>
    <row r="7" spans="1:14" ht="15.95" customHeight="1" x14ac:dyDescent="0.35">
      <c r="A7" s="12" t="s">
        <v>2</v>
      </c>
      <c r="B7" s="59" t="s">
        <v>3</v>
      </c>
      <c r="C7" s="57" t="s">
        <v>4</v>
      </c>
      <c r="D7" s="57" t="s">
        <v>5</v>
      </c>
      <c r="E7" s="58" t="s">
        <v>6</v>
      </c>
      <c r="F7" s="59" t="s">
        <v>3</v>
      </c>
      <c r="G7" s="57" t="s">
        <v>4</v>
      </c>
      <c r="H7" s="57" t="s">
        <v>5</v>
      </c>
      <c r="I7" s="58" t="s">
        <v>6</v>
      </c>
      <c r="J7" s="59" t="s">
        <v>3</v>
      </c>
      <c r="K7" s="57" t="s">
        <v>4</v>
      </c>
      <c r="L7" s="57" t="s">
        <v>5</v>
      </c>
      <c r="M7" s="58" t="s">
        <v>6</v>
      </c>
      <c r="N7" s="61" t="s">
        <v>7</v>
      </c>
    </row>
    <row r="8" spans="1:14" ht="15.95" customHeight="1" x14ac:dyDescent="0.25">
      <c r="A8" s="13"/>
      <c r="B8" s="5" t="s">
        <v>8</v>
      </c>
      <c r="C8" s="6" t="s">
        <v>9</v>
      </c>
      <c r="D8" s="6" t="s">
        <v>10</v>
      </c>
      <c r="E8" s="7" t="s">
        <v>16</v>
      </c>
      <c r="F8" s="5" t="s">
        <v>8</v>
      </c>
      <c r="G8" s="6" t="s">
        <v>9</v>
      </c>
      <c r="H8" s="6" t="s">
        <v>10</v>
      </c>
      <c r="I8" s="7" t="s">
        <v>16</v>
      </c>
      <c r="J8" s="5" t="s">
        <v>8</v>
      </c>
      <c r="K8" s="6" t="s">
        <v>9</v>
      </c>
      <c r="L8" s="6" t="s">
        <v>10</v>
      </c>
      <c r="M8" s="7" t="s">
        <v>16</v>
      </c>
      <c r="N8" s="62"/>
    </row>
    <row r="9" spans="1:14" ht="8.1" customHeight="1" x14ac:dyDescent="0.25">
      <c r="A9" s="14"/>
      <c r="B9" s="8"/>
      <c r="C9" s="9"/>
      <c r="D9" s="9"/>
      <c r="E9" s="10"/>
      <c r="F9" s="8"/>
      <c r="G9" s="9"/>
      <c r="H9" s="9"/>
      <c r="I9" s="10"/>
      <c r="J9" s="8"/>
      <c r="K9" s="9"/>
      <c r="L9" s="9"/>
      <c r="M9" s="10"/>
      <c r="N9" s="4"/>
    </row>
    <row r="10" spans="1:14" ht="15.95" customHeight="1" x14ac:dyDescent="0.25">
      <c r="A10" s="40" t="s">
        <v>17</v>
      </c>
      <c r="B10" s="51">
        <v>19005.269963033003</v>
      </c>
      <c r="C10" s="52">
        <v>19472.6699974451</v>
      </c>
      <c r="D10" s="52">
        <v>20139.557116087301</v>
      </c>
      <c r="E10" s="53">
        <v>20688.0916939907</v>
      </c>
      <c r="F10" s="51">
        <v>21466.902555687182</v>
      </c>
      <c r="G10" s="52">
        <v>22141.92597981896</v>
      </c>
      <c r="H10" s="52">
        <v>22836.470837704215</v>
      </c>
      <c r="I10" s="53">
        <v>23674.308883043272</v>
      </c>
      <c r="J10" s="51">
        <v>24530.694939587098</v>
      </c>
      <c r="K10" s="52">
        <v>25301.459448142803</v>
      </c>
      <c r="L10" s="52">
        <v>25866.408986768387</v>
      </c>
      <c r="M10" s="53">
        <v>26803.629694596752</v>
      </c>
      <c r="N10" s="35" t="s">
        <v>52</v>
      </c>
    </row>
    <row r="11" spans="1:14" ht="15.95" customHeight="1" x14ac:dyDescent="0.25">
      <c r="A11" s="42" t="s">
        <v>18</v>
      </c>
      <c r="B11" s="54">
        <v>459.62374975</v>
      </c>
      <c r="C11" s="55">
        <v>428.11911043999999</v>
      </c>
      <c r="D11" s="55">
        <v>556.97581259000003</v>
      </c>
      <c r="E11" s="56">
        <v>525.30698316000007</v>
      </c>
      <c r="F11" s="54">
        <v>741.89525289000005</v>
      </c>
      <c r="G11" s="55">
        <v>696.85311036000007</v>
      </c>
      <c r="H11" s="55">
        <v>904.13555825000003</v>
      </c>
      <c r="I11" s="56">
        <v>886.11432764624999</v>
      </c>
      <c r="J11" s="54">
        <v>1110.5228543600001</v>
      </c>
      <c r="K11" s="55">
        <v>1172.25431088</v>
      </c>
      <c r="L11" s="55">
        <v>1151.16717556</v>
      </c>
      <c r="M11" s="56">
        <v>1131.2004413499999</v>
      </c>
      <c r="N11" s="43" t="s">
        <v>50</v>
      </c>
    </row>
    <row r="12" spans="1:14" ht="15.95" customHeight="1" x14ac:dyDescent="0.25">
      <c r="A12" s="42" t="s">
        <v>26</v>
      </c>
      <c r="B12" s="54">
        <v>1.29099511298162</v>
      </c>
      <c r="C12" s="55">
        <v>0.56104683804796407</v>
      </c>
      <c r="D12" s="55">
        <v>0.26211573441441499</v>
      </c>
      <c r="E12" s="56">
        <v>0.11799956483313499</v>
      </c>
      <c r="F12" s="54">
        <v>0.63099877387600645</v>
      </c>
      <c r="G12" s="55">
        <v>0.29151825210946142</v>
      </c>
      <c r="H12" s="55">
        <v>0.1930132628434803</v>
      </c>
      <c r="I12" s="56">
        <v>0.10710210054528937</v>
      </c>
      <c r="J12" s="54">
        <v>0.1088159770959103</v>
      </c>
      <c r="K12" s="55">
        <v>8.3772832805842079E-2</v>
      </c>
      <c r="L12" s="55">
        <v>9.9060769683583141E-2</v>
      </c>
      <c r="M12" s="56">
        <v>0.11214277</v>
      </c>
      <c r="N12" s="43" t="s">
        <v>55</v>
      </c>
    </row>
    <row r="13" spans="1:14" ht="15.95" customHeight="1" x14ac:dyDescent="0.25">
      <c r="A13" s="42" t="s">
        <v>27</v>
      </c>
      <c r="B13" s="54">
        <v>12</v>
      </c>
      <c r="C13" s="55">
        <v>12</v>
      </c>
      <c r="D13" s="55">
        <v>12</v>
      </c>
      <c r="E13" s="56">
        <v>12</v>
      </c>
      <c r="F13" s="54">
        <v>12</v>
      </c>
      <c r="G13" s="55">
        <v>12</v>
      </c>
      <c r="H13" s="55">
        <v>12</v>
      </c>
      <c r="I13" s="56">
        <v>12</v>
      </c>
      <c r="J13" s="54">
        <v>12</v>
      </c>
      <c r="K13" s="55">
        <v>12</v>
      </c>
      <c r="L13" s="55">
        <v>12</v>
      </c>
      <c r="M13" s="56">
        <v>12</v>
      </c>
      <c r="N13" s="43" t="s">
        <v>46</v>
      </c>
    </row>
    <row r="14" spans="1:14" ht="15.95" customHeight="1" x14ac:dyDescent="0.25">
      <c r="A14" s="42" t="s">
        <v>40</v>
      </c>
      <c r="B14" s="54">
        <v>893.14049321000005</v>
      </c>
      <c r="C14" s="55">
        <v>895.79703440000003</v>
      </c>
      <c r="D14" s="55">
        <v>1013.95419314</v>
      </c>
      <c r="E14" s="56">
        <v>993.98255758000005</v>
      </c>
      <c r="F14" s="54">
        <v>998.20119680000016</v>
      </c>
      <c r="G14" s="55">
        <v>1198.0424213700003</v>
      </c>
      <c r="H14" s="55">
        <v>1222.80331916</v>
      </c>
      <c r="I14" s="56">
        <v>1363.6359710900001</v>
      </c>
      <c r="J14" s="54">
        <v>1409.7240434799999</v>
      </c>
      <c r="K14" s="55">
        <v>1518.2034772299999</v>
      </c>
      <c r="L14" s="55">
        <v>1663.43169407</v>
      </c>
      <c r="M14" s="56">
        <v>1868.9916955399999</v>
      </c>
      <c r="N14" s="43" t="s">
        <v>36</v>
      </c>
    </row>
    <row r="15" spans="1:14" ht="15.95" customHeight="1" x14ac:dyDescent="0.25">
      <c r="A15" s="42" t="s">
        <v>22</v>
      </c>
      <c r="B15" s="54">
        <v>10204.420106179999</v>
      </c>
      <c r="C15" s="55">
        <v>10535.18462527</v>
      </c>
      <c r="D15" s="55">
        <v>10844.676505089999</v>
      </c>
      <c r="E15" s="56">
        <v>11278.03614892</v>
      </c>
      <c r="F15" s="54">
        <v>11861.650250520001</v>
      </c>
      <c r="G15" s="55">
        <v>12369.452309650002</v>
      </c>
      <c r="H15" s="55">
        <v>12770.109383620002</v>
      </c>
      <c r="I15" s="56">
        <v>13265.529730319999</v>
      </c>
      <c r="J15" s="54">
        <v>13707.52557387</v>
      </c>
      <c r="K15" s="55">
        <v>14023.773157459998</v>
      </c>
      <c r="L15" s="55">
        <v>14428.48512944</v>
      </c>
      <c r="M15" s="56">
        <v>14947.21110092</v>
      </c>
      <c r="N15" s="43" t="s">
        <v>28</v>
      </c>
    </row>
    <row r="16" spans="1:14" ht="15.95" customHeight="1" x14ac:dyDescent="0.25">
      <c r="A16" s="42" t="s">
        <v>29</v>
      </c>
      <c r="B16" s="54">
        <v>6322.7332027399998</v>
      </c>
      <c r="C16" s="55">
        <v>6428.0182459099997</v>
      </c>
      <c r="D16" s="55">
        <v>6508.7801959354802</v>
      </c>
      <c r="E16" s="56">
        <v>6581.8715887200005</v>
      </c>
      <c r="F16" s="54">
        <v>6636.1638247470692</v>
      </c>
      <c r="G16" s="55">
        <v>6701.5372021399999</v>
      </c>
      <c r="H16" s="55">
        <v>6791.1641754200009</v>
      </c>
      <c r="I16" s="56">
        <v>6963.4436157300006</v>
      </c>
      <c r="J16" s="54">
        <v>7066.6224800799991</v>
      </c>
      <c r="K16" s="55">
        <v>7192.4923499400011</v>
      </c>
      <c r="L16" s="55">
        <v>7313.2226407770322</v>
      </c>
      <c r="M16" s="56">
        <v>7523.6342281550797</v>
      </c>
      <c r="N16" s="43" t="s">
        <v>53</v>
      </c>
    </row>
    <row r="17" spans="1:14" ht="15.95" customHeight="1" x14ac:dyDescent="0.25">
      <c r="A17" s="42" t="s">
        <v>39</v>
      </c>
      <c r="B17" s="54">
        <v>670.72</v>
      </c>
      <c r="C17" s="55">
        <v>665.096</v>
      </c>
      <c r="D17" s="55">
        <v>662.97500000000002</v>
      </c>
      <c r="E17" s="56">
        <v>660.29100000000005</v>
      </c>
      <c r="F17" s="54">
        <v>661.2879999999999</v>
      </c>
      <c r="G17" s="55">
        <v>663.19799999999998</v>
      </c>
      <c r="H17" s="55">
        <v>655.17100000000005</v>
      </c>
      <c r="I17" s="56">
        <v>647.96499999999992</v>
      </c>
      <c r="J17" s="54">
        <v>662.22499999999991</v>
      </c>
      <c r="K17" s="55">
        <v>680.93399999999997</v>
      </c>
      <c r="L17" s="55">
        <v>705.97699999999998</v>
      </c>
      <c r="M17" s="56">
        <v>721.37999999999988</v>
      </c>
      <c r="N17" s="43" t="s">
        <v>49</v>
      </c>
    </row>
    <row r="18" spans="1:14" ht="15.95" customHeight="1" x14ac:dyDescent="0.25">
      <c r="A18" s="42" t="s">
        <v>19</v>
      </c>
      <c r="B18" s="54">
        <v>269.84529824998401</v>
      </c>
      <c r="C18" s="55">
        <v>335.39286184701302</v>
      </c>
      <c r="D18" s="55">
        <v>350.69912398738199</v>
      </c>
      <c r="E18" s="56">
        <v>440.33362346583095</v>
      </c>
      <c r="F18" s="54">
        <v>356.32827838623416</v>
      </c>
      <c r="G18" s="55">
        <v>301.39896037684957</v>
      </c>
      <c r="H18" s="55">
        <v>278.05255529137139</v>
      </c>
      <c r="I18" s="56">
        <v>329.93455016647931</v>
      </c>
      <c r="J18" s="54">
        <v>348.87574900000254</v>
      </c>
      <c r="K18" s="55">
        <v>486.27096270999391</v>
      </c>
      <c r="L18" s="55">
        <v>371.42451393166994</v>
      </c>
      <c r="M18" s="56">
        <v>373.95091922167194</v>
      </c>
      <c r="N18" s="43" t="s">
        <v>54</v>
      </c>
    </row>
    <row r="19" spans="1:14" ht="15.95" customHeight="1" x14ac:dyDescent="0.25">
      <c r="A19" s="42" t="s">
        <v>20</v>
      </c>
      <c r="B19" s="54">
        <v>171.49611779</v>
      </c>
      <c r="C19" s="55">
        <v>172.50107274000001</v>
      </c>
      <c r="D19" s="55">
        <v>189.23416961000001</v>
      </c>
      <c r="E19" s="56">
        <v>196.15179258000001</v>
      </c>
      <c r="F19" s="54">
        <v>198.74475357</v>
      </c>
      <c r="G19" s="55">
        <v>199.15245766999999</v>
      </c>
      <c r="H19" s="55">
        <v>202.8418327</v>
      </c>
      <c r="I19" s="56">
        <v>205.57858598999999</v>
      </c>
      <c r="J19" s="54">
        <v>213.09042282000001</v>
      </c>
      <c r="K19" s="55">
        <v>215.44741708999999</v>
      </c>
      <c r="L19" s="55">
        <v>220.60177221999999</v>
      </c>
      <c r="M19" s="56">
        <v>225.14916664</v>
      </c>
      <c r="N19" s="43" t="s">
        <v>51</v>
      </c>
    </row>
    <row r="20" spans="1:14" ht="15.95" customHeight="1" x14ac:dyDescent="0.25">
      <c r="A20" s="40" t="s">
        <v>21</v>
      </c>
      <c r="B20" s="51">
        <v>19005.269963033003</v>
      </c>
      <c r="C20" s="52">
        <v>19472.6699974451</v>
      </c>
      <c r="D20" s="52">
        <v>20139.557116087301</v>
      </c>
      <c r="E20" s="53">
        <v>20688.0916939907</v>
      </c>
      <c r="F20" s="51">
        <v>21466.902555687182</v>
      </c>
      <c r="G20" s="52">
        <v>22141.92597981896</v>
      </c>
      <c r="H20" s="52">
        <v>22836.470837704215</v>
      </c>
      <c r="I20" s="53">
        <v>23674.308883043272</v>
      </c>
      <c r="J20" s="51">
        <v>24530.694939587098</v>
      </c>
      <c r="K20" s="52">
        <v>25301.459448142803</v>
      </c>
      <c r="L20" s="52">
        <v>25866.408986768387</v>
      </c>
      <c r="M20" s="53">
        <v>26803.629694596752</v>
      </c>
      <c r="N20" s="35" t="s">
        <v>43</v>
      </c>
    </row>
    <row r="21" spans="1:14" ht="15.95" customHeight="1" x14ac:dyDescent="0.25">
      <c r="A21" s="42" t="s">
        <v>23</v>
      </c>
      <c r="B21" s="54">
        <v>322.26565180444504</v>
      </c>
      <c r="C21" s="55">
        <v>362.70082958346899</v>
      </c>
      <c r="D21" s="55">
        <v>314.35381470829805</v>
      </c>
      <c r="E21" s="56">
        <v>283.195890280041</v>
      </c>
      <c r="F21" s="54">
        <v>310.14433916260936</v>
      </c>
      <c r="G21" s="55">
        <v>328.64308216154768</v>
      </c>
      <c r="H21" s="55">
        <v>306.85725136590037</v>
      </c>
      <c r="I21" s="56">
        <v>304.90750910571217</v>
      </c>
      <c r="J21" s="54">
        <v>389.4252847593998</v>
      </c>
      <c r="K21" s="55">
        <v>352.95939062236044</v>
      </c>
      <c r="L21" s="55">
        <v>312.1072921148151</v>
      </c>
      <c r="M21" s="56">
        <v>369.29686601827575</v>
      </c>
      <c r="N21" s="43" t="s">
        <v>47</v>
      </c>
    </row>
    <row r="22" spans="1:14" ht="15.95" customHeight="1" x14ac:dyDescent="0.25">
      <c r="A22" s="42" t="s">
        <v>30</v>
      </c>
      <c r="B22" s="54">
        <v>90.444999999999993</v>
      </c>
      <c r="C22" s="55">
        <v>86.509</v>
      </c>
      <c r="D22" s="55">
        <v>84.948999999999998</v>
      </c>
      <c r="E22" s="56">
        <v>81.227000000000004</v>
      </c>
      <c r="F22" s="54">
        <v>79.846999999999994</v>
      </c>
      <c r="G22" s="55">
        <v>78.977000000000004</v>
      </c>
      <c r="H22" s="55">
        <v>79.582999999999998</v>
      </c>
      <c r="I22" s="56">
        <v>79.429999999999993</v>
      </c>
      <c r="J22" s="54">
        <v>82.433999999999997</v>
      </c>
      <c r="K22" s="55">
        <v>81.42</v>
      </c>
      <c r="L22" s="55">
        <v>82.923000000000002</v>
      </c>
      <c r="M22" s="56">
        <v>82.555000000000007</v>
      </c>
      <c r="N22" s="43" t="s">
        <v>31</v>
      </c>
    </row>
    <row r="23" spans="1:14" ht="15.95" customHeight="1" x14ac:dyDescent="0.25">
      <c r="A23" s="42" t="s">
        <v>32</v>
      </c>
      <c r="B23" s="54">
        <v>39.999657134873004</v>
      </c>
      <c r="C23" s="55">
        <v>52.7359435202303</v>
      </c>
      <c r="D23" s="55">
        <v>31.359788793210999</v>
      </c>
      <c r="E23" s="56">
        <v>32.401340866234001</v>
      </c>
      <c r="F23" s="54">
        <v>29.024253110427928</v>
      </c>
      <c r="G23" s="55">
        <v>36.43853574520341</v>
      </c>
      <c r="H23" s="55">
        <v>18.903214082963739</v>
      </c>
      <c r="I23" s="56">
        <v>24.157454583172132</v>
      </c>
      <c r="J23" s="54">
        <v>28.948193824780684</v>
      </c>
      <c r="K23" s="55">
        <v>29.943221209641866</v>
      </c>
      <c r="L23" s="55">
        <v>23.990357992792795</v>
      </c>
      <c r="M23" s="56">
        <v>27.223189418203631</v>
      </c>
      <c r="N23" s="43" t="s">
        <v>11</v>
      </c>
    </row>
    <row r="24" spans="1:14" ht="15.95" customHeight="1" x14ac:dyDescent="0.25">
      <c r="A24" s="42" t="s">
        <v>41</v>
      </c>
      <c r="B24" s="54">
        <v>776.52200000000005</v>
      </c>
      <c r="C24" s="55">
        <v>735.46299999999997</v>
      </c>
      <c r="D24" s="55">
        <v>698.09</v>
      </c>
      <c r="E24" s="56">
        <v>696.202</v>
      </c>
      <c r="F24" s="54">
        <v>643.45600000000002</v>
      </c>
      <c r="G24" s="55">
        <v>704.12700000000007</v>
      </c>
      <c r="H24" s="55">
        <v>665.28600000000006</v>
      </c>
      <c r="I24" s="56">
        <v>657.40699999999993</v>
      </c>
      <c r="J24" s="54">
        <v>616.798</v>
      </c>
      <c r="K24" s="55">
        <v>649.548</v>
      </c>
      <c r="L24" s="55">
        <v>686.08299999999997</v>
      </c>
      <c r="M24" s="56">
        <v>789.98099999999999</v>
      </c>
      <c r="N24" s="43" t="s">
        <v>37</v>
      </c>
    </row>
    <row r="25" spans="1:14" ht="15.95" customHeight="1" x14ac:dyDescent="0.25">
      <c r="A25" s="42" t="s">
        <v>22</v>
      </c>
      <c r="B25" s="54">
        <v>452.94799999999998</v>
      </c>
      <c r="C25" s="55">
        <v>437.19900000000001</v>
      </c>
      <c r="D25" s="55">
        <v>444.21199999999999</v>
      </c>
      <c r="E25" s="56">
        <v>432.46699999999998</v>
      </c>
      <c r="F25" s="54">
        <v>448.34</v>
      </c>
      <c r="G25" s="55">
        <v>434.30500000000001</v>
      </c>
      <c r="H25" s="55">
        <v>419.90999999999997</v>
      </c>
      <c r="I25" s="56">
        <v>574.74599999999987</v>
      </c>
      <c r="J25" s="54">
        <v>581.72799999999995</v>
      </c>
      <c r="K25" s="55">
        <v>569.81799999999987</v>
      </c>
      <c r="L25" s="55">
        <v>578.56099999999992</v>
      </c>
      <c r="M25" s="56">
        <v>564.05799999999988</v>
      </c>
      <c r="N25" s="43" t="s">
        <v>28</v>
      </c>
    </row>
    <row r="26" spans="1:14" ht="15.95" customHeight="1" x14ac:dyDescent="0.25">
      <c r="A26" s="42" t="s">
        <v>12</v>
      </c>
      <c r="B26" s="54">
        <v>85.275000000000006</v>
      </c>
      <c r="C26" s="55">
        <v>85.254000000000005</v>
      </c>
      <c r="D26" s="55">
        <v>85.245999999999995</v>
      </c>
      <c r="E26" s="56">
        <v>85.033000000000001</v>
      </c>
      <c r="F26" s="54">
        <v>85.323999999999998</v>
      </c>
      <c r="G26" s="55">
        <v>90.335999999999999</v>
      </c>
      <c r="H26" s="55">
        <v>92.495000000000005</v>
      </c>
      <c r="I26" s="56">
        <v>72.259</v>
      </c>
      <c r="J26" s="54">
        <v>73.296000000000006</v>
      </c>
      <c r="K26" s="55">
        <v>62.088999999999999</v>
      </c>
      <c r="L26" s="55">
        <v>62.05</v>
      </c>
      <c r="M26" s="56">
        <v>46.011000000000003</v>
      </c>
      <c r="N26" s="43" t="s">
        <v>13</v>
      </c>
    </row>
    <row r="27" spans="1:14" ht="15.95" customHeight="1" x14ac:dyDescent="0.25">
      <c r="A27" s="42" t="s">
        <v>38</v>
      </c>
      <c r="B27" s="54">
        <v>14921.220654809798</v>
      </c>
      <c r="C27" s="55">
        <v>15300.895799645701</v>
      </c>
      <c r="D27" s="55">
        <v>15824.0514862206</v>
      </c>
      <c r="E27" s="56">
        <v>16225.625892177799</v>
      </c>
      <c r="F27" s="54">
        <v>16884.018424581951</v>
      </c>
      <c r="G27" s="55">
        <v>17356.36750762492</v>
      </c>
      <c r="H27" s="55">
        <v>17938.894778743692</v>
      </c>
      <c r="I27" s="56">
        <v>18434.207543678927</v>
      </c>
      <c r="J27" s="54">
        <v>19149.94256898166</v>
      </c>
      <c r="K27" s="55">
        <v>19813.005260107835</v>
      </c>
      <c r="L27" s="55">
        <v>20299.638774855779</v>
      </c>
      <c r="M27" s="56">
        <v>20822.053757198715</v>
      </c>
      <c r="N27" s="43" t="s">
        <v>42</v>
      </c>
    </row>
    <row r="28" spans="1:14" ht="15.95" customHeight="1" x14ac:dyDescent="0.25">
      <c r="A28" s="42" t="s">
        <v>24</v>
      </c>
      <c r="B28" s="54">
        <v>632.69455192389796</v>
      </c>
      <c r="C28" s="55">
        <v>630.510646185685</v>
      </c>
      <c r="D28" s="55">
        <v>672.21894707521301</v>
      </c>
      <c r="E28" s="56">
        <v>820.14992855658102</v>
      </c>
      <c r="F28" s="54">
        <v>798.63799276219288</v>
      </c>
      <c r="G28" s="55">
        <v>842.67544581728725</v>
      </c>
      <c r="H28" s="55">
        <v>911.62614578165812</v>
      </c>
      <c r="I28" s="56">
        <v>1042.4095789154599</v>
      </c>
      <c r="J28" s="54">
        <v>998.02302756125573</v>
      </c>
      <c r="K28" s="55">
        <v>1040.8066894229632</v>
      </c>
      <c r="L28" s="55">
        <v>1045.6205017649991</v>
      </c>
      <c r="M28" s="56">
        <v>1265.0634177415595</v>
      </c>
      <c r="N28" s="43" t="s">
        <v>48</v>
      </c>
    </row>
    <row r="29" spans="1:14" ht="15.95" customHeight="1" x14ac:dyDescent="0.25">
      <c r="A29" s="42" t="s">
        <v>39</v>
      </c>
      <c r="B29" s="54">
        <v>1683.8994473599998</v>
      </c>
      <c r="C29" s="55">
        <v>1781.40177851</v>
      </c>
      <c r="D29" s="55">
        <v>1985.0760792900001</v>
      </c>
      <c r="E29" s="56">
        <v>2031.7896421099999</v>
      </c>
      <c r="F29" s="54">
        <v>2188.1105460700001</v>
      </c>
      <c r="G29" s="55">
        <v>2270.05640847</v>
      </c>
      <c r="H29" s="55">
        <v>2402.9154477300003</v>
      </c>
      <c r="I29" s="56">
        <v>2484.7847967600001</v>
      </c>
      <c r="J29" s="54">
        <v>2610.0998644599999</v>
      </c>
      <c r="K29" s="55">
        <v>2701.8698867800003</v>
      </c>
      <c r="L29" s="55">
        <v>2775.4350600400003</v>
      </c>
      <c r="M29" s="56">
        <v>2837.3874642199994</v>
      </c>
      <c r="N29" s="43" t="s">
        <v>49</v>
      </c>
    </row>
    <row r="30" spans="1:14" ht="8.1" customHeight="1" x14ac:dyDescent="0.45">
      <c r="A30" s="27" t="s">
        <v>35</v>
      </c>
      <c r="B30" s="30"/>
      <c r="C30" s="29"/>
      <c r="D30" s="29"/>
      <c r="E30" s="31"/>
      <c r="F30" s="30"/>
      <c r="G30" s="29"/>
      <c r="H30" s="29"/>
      <c r="I30" s="31"/>
      <c r="J30" s="30"/>
      <c r="K30" s="29"/>
      <c r="L30" s="29"/>
      <c r="M30" s="31"/>
      <c r="N30" s="33" t="s">
        <v>35</v>
      </c>
    </row>
    <row r="31" spans="1:14" ht="8.1" customHeight="1" x14ac:dyDescent="0.45">
      <c r="A31" s="1" t="s">
        <v>35</v>
      </c>
      <c r="B31" s="18"/>
      <c r="C31" s="17"/>
      <c r="D31" s="17"/>
      <c r="E31" s="19"/>
      <c r="F31" s="18"/>
      <c r="G31" s="17"/>
      <c r="H31" s="17"/>
      <c r="I31" s="19"/>
      <c r="J31" s="18"/>
      <c r="K31" s="17"/>
      <c r="L31" s="17"/>
      <c r="M31" s="19"/>
      <c r="N31" s="34" t="s">
        <v>35</v>
      </c>
    </row>
    <row r="32" spans="1:14" ht="15.95" customHeight="1" x14ac:dyDescent="0.25">
      <c r="A32" s="41" t="s">
        <v>14</v>
      </c>
      <c r="B32" s="48"/>
      <c r="C32" s="49"/>
      <c r="D32" s="49"/>
      <c r="E32" s="50"/>
      <c r="F32" s="48"/>
      <c r="G32" s="49"/>
      <c r="H32" s="49"/>
      <c r="I32" s="50"/>
      <c r="J32" s="48"/>
      <c r="K32" s="49"/>
      <c r="L32" s="49"/>
      <c r="M32" s="50"/>
      <c r="N32" s="35" t="s">
        <v>56</v>
      </c>
    </row>
    <row r="33" spans="1:14" ht="15.95" customHeight="1" x14ac:dyDescent="0.25">
      <c r="A33" s="40" t="s">
        <v>18</v>
      </c>
      <c r="B33" s="45">
        <v>2.2233234146310443</v>
      </c>
      <c r="C33" s="46">
        <v>6.3747641310217071</v>
      </c>
      <c r="D33" s="46">
        <v>11.56399799700765</v>
      </c>
      <c r="E33" s="47">
        <v>20.172820540429381</v>
      </c>
      <c r="F33" s="45">
        <f>(F11-B11)/B11*100</f>
        <v>61.413602602897278</v>
      </c>
      <c r="G33" s="46">
        <f t="shared" ref="G33:I33" si="0">(G11-C11)/C11*100</f>
        <v>62.770848898524612</v>
      </c>
      <c r="H33" s="46">
        <f t="shared" si="0"/>
        <v>62.329411405796641</v>
      </c>
      <c r="I33" s="47">
        <f t="shared" si="0"/>
        <v>68.685046278235703</v>
      </c>
      <c r="J33" s="45">
        <f>(J11-F11)/F11*100</f>
        <v>49.687284024805059</v>
      </c>
      <c r="K33" s="46">
        <f t="shared" ref="K33" si="1">(K11-G11)/G11*100</f>
        <v>68.221149256893426</v>
      </c>
      <c r="L33" s="46">
        <f t="shared" ref="L33" si="2">(L11-H11)/H11*100</f>
        <v>27.322409240063756</v>
      </c>
      <c r="M33" s="47">
        <f t="shared" ref="M33" si="3">(M11-I11)/I11*100</f>
        <v>27.658520583315958</v>
      </c>
      <c r="N33" s="35" t="s">
        <v>25</v>
      </c>
    </row>
    <row r="34" spans="1:14" ht="15.95" customHeight="1" x14ac:dyDescent="0.25">
      <c r="A34" s="40" t="s">
        <v>23</v>
      </c>
      <c r="B34" s="45">
        <v>-13.36072834687684</v>
      </c>
      <c r="C34" s="46">
        <v>-2.5022147503483159</v>
      </c>
      <c r="D34" s="46">
        <v>-4.5388975816597128</v>
      </c>
      <c r="E34" s="47">
        <v>-7.8879831177461748</v>
      </c>
      <c r="F34" s="45">
        <f>(F21-B21)/B21*100</f>
        <v>-3.7612797311675821</v>
      </c>
      <c r="G34" s="46">
        <f t="shared" ref="G34:I34" si="4">(G21-C21)/C21*100</f>
        <v>-9.390038468076769</v>
      </c>
      <c r="H34" s="46">
        <f t="shared" si="4"/>
        <v>-2.3847534184861257</v>
      </c>
      <c r="I34" s="47">
        <f t="shared" si="4"/>
        <v>7.6666433274160246</v>
      </c>
      <c r="J34" s="45">
        <f>(J21-F21)/F21*100</f>
        <v>25.562596373949383</v>
      </c>
      <c r="K34" s="46">
        <f t="shared" ref="K34" si="5">(K21-G21)/G21*100</f>
        <v>7.3990020726679555</v>
      </c>
      <c r="L34" s="46">
        <f t="shared" ref="L34" si="6">(L21-H21)/H21*100</f>
        <v>1.710906529190837</v>
      </c>
      <c r="M34" s="47">
        <f t="shared" ref="M34" si="7">(M21-I21)/I21*100</f>
        <v>21.117668469830843</v>
      </c>
      <c r="N34" s="35" t="s">
        <v>47</v>
      </c>
    </row>
    <row r="35" spans="1:14" ht="8.1" customHeight="1" x14ac:dyDescent="0.35">
      <c r="A35" s="27" t="s">
        <v>35</v>
      </c>
      <c r="B35" s="21"/>
      <c r="C35" s="20"/>
      <c r="D35" s="20"/>
      <c r="E35" s="32"/>
      <c r="F35" s="21"/>
      <c r="G35" s="20"/>
      <c r="H35" s="20"/>
      <c r="I35" s="32"/>
      <c r="J35" s="21"/>
      <c r="K35" s="20"/>
      <c r="L35" s="20"/>
      <c r="M35" s="32"/>
      <c r="N35" s="28"/>
    </row>
    <row r="36" spans="1:14" ht="8.1" customHeight="1" x14ac:dyDescent="0.35">
      <c r="A36" s="1" t="s">
        <v>35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25"/>
    </row>
    <row r="37" spans="1:14" ht="15.95" customHeight="1" x14ac:dyDescent="0.4">
      <c r="A37" s="2" t="s">
        <v>34</v>
      </c>
      <c r="B37"/>
      <c r="C37"/>
      <c r="D37"/>
      <c r="E37" s="24"/>
      <c r="F37"/>
      <c r="G37"/>
      <c r="H37"/>
      <c r="I37" s="24"/>
      <c r="J37"/>
      <c r="K37"/>
      <c r="L37"/>
      <c r="M37" s="24"/>
      <c r="N37" s="37" t="s">
        <v>33</v>
      </c>
    </row>
    <row r="38" spans="1:14" ht="15.95" customHeight="1" x14ac:dyDescent="0.25">
      <c r="A38" s="3" t="s">
        <v>57</v>
      </c>
      <c r="N38" s="39" t="s">
        <v>58</v>
      </c>
    </row>
    <row r="39" spans="1:14" ht="8.1" customHeight="1" x14ac:dyDescent="0.25">
      <c r="A39" s="3" t="s">
        <v>35</v>
      </c>
      <c r="N39" s="38" t="s">
        <v>35</v>
      </c>
    </row>
    <row r="40" spans="1:14" ht="15.95" customHeight="1" x14ac:dyDescent="0.25">
      <c r="A40" s="3" t="s">
        <v>15</v>
      </c>
      <c r="N40" s="36" t="s">
        <v>45</v>
      </c>
    </row>
    <row r="41" spans="1:14" ht="15" customHeight="1" x14ac:dyDescent="0.25">
      <c r="B41" s="22"/>
      <c r="D41" s="22"/>
      <c r="E41" s="22"/>
      <c r="F41" s="22"/>
      <c r="H41" s="22"/>
      <c r="I41" s="22"/>
      <c r="J41" s="22"/>
      <c r="L41" s="22"/>
      <c r="M41" s="22"/>
    </row>
    <row r="42" spans="1:14" ht="15" customHeight="1" x14ac:dyDescent="0.25">
      <c r="B42" s="22"/>
      <c r="D42" s="22"/>
      <c r="E42" s="22"/>
      <c r="F42" s="22"/>
      <c r="H42" s="22"/>
      <c r="I42" s="22"/>
      <c r="J42" s="22"/>
      <c r="L42" s="22"/>
      <c r="M42" s="22"/>
    </row>
    <row r="43" spans="1:14" ht="15" customHeight="1" x14ac:dyDescent="0.25">
      <c r="B43" s="22"/>
      <c r="D43" s="22"/>
      <c r="E43" s="22"/>
      <c r="F43" s="22"/>
      <c r="H43" s="22"/>
      <c r="I43" s="22"/>
      <c r="J43" s="22"/>
      <c r="L43" s="22"/>
      <c r="M43" s="22"/>
    </row>
    <row r="44" spans="1:14" ht="15" customHeight="1" x14ac:dyDescent="0.25">
      <c r="B44" s="22"/>
      <c r="D44" s="22"/>
      <c r="E44" s="22"/>
      <c r="F44" s="22"/>
      <c r="H44" s="22"/>
      <c r="I44" s="22"/>
      <c r="J44" s="22"/>
      <c r="L44" s="22"/>
      <c r="M44" s="22"/>
    </row>
    <row r="45" spans="1:14" ht="15" customHeight="1" x14ac:dyDescent="0.25">
      <c r="B45" s="22"/>
      <c r="D45" s="22"/>
      <c r="E45" s="22"/>
      <c r="F45" s="22"/>
      <c r="H45" s="22"/>
      <c r="I45" s="22"/>
      <c r="J45" s="22"/>
      <c r="L45" s="22"/>
      <c r="M45" s="22"/>
    </row>
    <row r="46" spans="1:14" ht="15" customHeight="1" x14ac:dyDescent="0.25">
      <c r="B46" s="22"/>
      <c r="D46" s="22"/>
      <c r="E46" s="22"/>
      <c r="F46" s="22"/>
      <c r="H46" s="22"/>
      <c r="I46" s="22"/>
      <c r="J46" s="22"/>
      <c r="L46" s="22"/>
      <c r="M46" s="22"/>
    </row>
    <row r="47" spans="1:14" ht="15" customHeight="1" x14ac:dyDescent="0.25">
      <c r="B47" s="22"/>
      <c r="D47" s="22"/>
      <c r="E47" s="22"/>
      <c r="F47" s="22"/>
      <c r="H47" s="22"/>
      <c r="I47" s="22"/>
      <c r="J47" s="22"/>
      <c r="L47" s="22"/>
      <c r="M47" s="22"/>
    </row>
    <row r="48" spans="1:14" ht="15" customHeight="1" x14ac:dyDescent="0.25">
      <c r="B48" s="22"/>
      <c r="D48" s="22"/>
      <c r="E48" s="22"/>
      <c r="F48" s="22"/>
      <c r="H48" s="22"/>
      <c r="I48" s="22"/>
      <c r="J48" s="22"/>
      <c r="L48" s="22"/>
      <c r="M48" s="22"/>
    </row>
    <row r="49" spans="2:13" ht="15" customHeight="1" x14ac:dyDescent="0.25">
      <c r="B49" s="22"/>
      <c r="D49" s="22"/>
      <c r="E49" s="22"/>
      <c r="F49" s="22"/>
      <c r="H49" s="22"/>
      <c r="I49" s="22"/>
      <c r="J49" s="22"/>
      <c r="L49" s="22"/>
      <c r="M49" s="22"/>
    </row>
    <row r="50" spans="2:13" ht="15" customHeight="1" x14ac:dyDescent="0.25">
      <c r="B50" s="22"/>
      <c r="D50" s="22"/>
      <c r="E50" s="22"/>
      <c r="F50" s="22"/>
      <c r="H50" s="22"/>
      <c r="I50" s="22"/>
      <c r="J50" s="22"/>
      <c r="L50" s="22"/>
      <c r="M50" s="22"/>
    </row>
    <row r="51" spans="2:13" ht="15" customHeight="1" x14ac:dyDescent="0.25">
      <c r="B51" s="22"/>
      <c r="D51" s="22"/>
      <c r="E51" s="22"/>
      <c r="F51" s="22"/>
      <c r="H51" s="22"/>
      <c r="I51" s="22"/>
      <c r="J51" s="22"/>
      <c r="L51" s="22"/>
      <c r="M51" s="22"/>
    </row>
    <row r="52" spans="2:13" ht="15" customHeight="1" x14ac:dyDescent="0.25">
      <c r="B52" s="22"/>
      <c r="D52" s="22"/>
      <c r="E52" s="22"/>
      <c r="F52" s="22"/>
      <c r="H52" s="22"/>
      <c r="I52" s="22"/>
      <c r="J52" s="22"/>
      <c r="L52" s="22"/>
      <c r="M52" s="22"/>
    </row>
    <row r="53" spans="2:13" ht="15" customHeight="1" x14ac:dyDescent="0.25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 spans="2:13" ht="15" customHeight="1" x14ac:dyDescent="0.25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spans="2:13" ht="15" customHeight="1" x14ac:dyDescent="0.25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2:13" ht="15" customHeight="1" x14ac:dyDescent="0.25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2:13" ht="15" customHeight="1" x14ac:dyDescent="0.25"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 spans="2:13" ht="15" customHeight="1" x14ac:dyDescent="0.25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spans="2:13" ht="15" customHeight="1" x14ac:dyDescent="0.25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 spans="2:13" ht="15" customHeight="1" x14ac:dyDescent="0.25"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 spans="2:13" ht="15" customHeight="1" x14ac:dyDescent="0.25"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 spans="2:13" ht="15" customHeight="1" x14ac:dyDescent="0.25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 spans="2:13" ht="15" customHeight="1" x14ac:dyDescent="0.2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 spans="2:13" ht="15" customHeight="1" x14ac:dyDescent="0.2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 spans="2:13" ht="15" customHeight="1" x14ac:dyDescent="0.2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 spans="2:13" ht="15" customHeight="1" x14ac:dyDescent="0.2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 spans="2:13" ht="15" customHeight="1" x14ac:dyDescent="0.2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spans="2:13" ht="15" customHeight="1" x14ac:dyDescent="0.2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2:13" ht="15" customHeight="1" x14ac:dyDescent="0.2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2:13" ht="15" customHeight="1" x14ac:dyDescent="0.2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2:13" ht="15" customHeight="1" x14ac:dyDescent="0.2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2:13" ht="15" customHeight="1" x14ac:dyDescent="0.2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2:13" ht="15" customHeight="1" x14ac:dyDescent="0.2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spans="2:13" ht="15" customHeight="1" x14ac:dyDescent="0.2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spans="2:13" ht="15" customHeight="1" x14ac:dyDescent="0.2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spans="2:13" ht="15" customHeight="1" x14ac:dyDescent="0.2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spans="2:13" ht="15" customHeight="1" x14ac:dyDescent="0.2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spans="2:13" ht="15" customHeight="1" x14ac:dyDescent="0.2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2:13" ht="15" customHeight="1" x14ac:dyDescent="0.25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 spans="2:13" ht="15" customHeight="1" x14ac:dyDescent="0.25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 spans="2:13" ht="15" customHeight="1" x14ac:dyDescent="0.25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 spans="2:13" ht="15" customHeight="1" x14ac:dyDescent="0.25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 spans="2:13" ht="15" customHeight="1" x14ac:dyDescent="0.25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 spans="2:13" ht="15" customHeight="1" x14ac:dyDescent="0.25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 spans="2:13" ht="15" customHeight="1" x14ac:dyDescent="0.2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spans="2:13" ht="15" customHeight="1" x14ac:dyDescent="0.25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 spans="2:13" ht="15" customHeight="1" x14ac:dyDescent="0.25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 spans="2:13" ht="15" customHeight="1" x14ac:dyDescent="0.25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 spans="2:13" ht="15" customHeight="1" x14ac:dyDescent="0.25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 spans="2:13" ht="15" customHeight="1" x14ac:dyDescent="0.25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 spans="2:13" ht="15" customHeight="1" x14ac:dyDescent="0.25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 spans="2:13" ht="15" customHeight="1" x14ac:dyDescent="0.25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</row>
    <row r="93" spans="2:13" ht="15" customHeight="1" x14ac:dyDescent="0.25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 spans="2:13" ht="15" customHeight="1" x14ac:dyDescent="0.25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2:13" ht="15" customHeight="1" x14ac:dyDescent="0.2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spans="2:13" ht="15" customHeight="1" x14ac:dyDescent="0.25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 spans="2:13" ht="15" customHeight="1" x14ac:dyDescent="0.25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 spans="2:13" ht="15" customHeight="1" x14ac:dyDescent="0.25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 spans="2:13" ht="15" customHeight="1" x14ac:dyDescent="0.25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 spans="2:13" ht="15" customHeight="1" x14ac:dyDescent="0.25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 spans="2:13" ht="15" customHeight="1" x14ac:dyDescent="0.25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 spans="2:13" ht="15" customHeight="1" x14ac:dyDescent="0.25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2:13" ht="15" customHeight="1" x14ac:dyDescent="0.25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 spans="2:13" ht="15" customHeight="1" x14ac:dyDescent="0.25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 spans="2:13" ht="15" customHeight="1" x14ac:dyDescent="0.2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 spans="2:13" ht="15" customHeight="1" x14ac:dyDescent="0.25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2:13" ht="15" customHeight="1" x14ac:dyDescent="0.25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</sheetData>
  <mergeCells count="8">
    <mergeCell ref="A1:N1"/>
    <mergeCell ref="A2:N2"/>
    <mergeCell ref="A3:N3"/>
    <mergeCell ref="A4:N4"/>
    <mergeCell ref="N6:N8"/>
    <mergeCell ref="B6:E6"/>
    <mergeCell ref="J6:M6"/>
    <mergeCell ref="F6:I6"/>
  </mergeCells>
  <printOptions horizontalCentered="1"/>
  <pageMargins left="0.45" right="0.45" top="0.22" bottom="0.17" header="0.17" footer="0.17"/>
  <pageSetup paperSize="9" scale="70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44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14.8</vt:lpstr>
      <vt:lpstr>Sheet2</vt:lpstr>
      <vt:lpstr>'14.8'!Print_Area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2023-07-16T08:19:32Z</cp:lastPrinted>
  <dcterms:created xsi:type="dcterms:W3CDTF">2013-04-01T04:26:10Z</dcterms:created>
  <dcterms:modified xsi:type="dcterms:W3CDTF">2023-07-16T08:20:18Z</dcterms:modified>
</cp:coreProperties>
</file>