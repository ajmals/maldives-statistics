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ension and Social Protection\"/>
    </mc:Choice>
  </mc:AlternateContent>
  <xr:revisionPtr revIDLastSave="0" documentId="13_ncr:1_{6DF8C93A-98B8-4B6E-9390-B315C76E4039}" xr6:coauthVersionLast="47" xr6:coauthVersionMax="47" xr10:uidLastSave="{00000000-0000-0000-0000-000000000000}"/>
  <bookViews>
    <workbookView xWindow="-120" yWindow="-120" windowWidth="29040" windowHeight="15840" tabRatio="907" xr2:uid="{00000000-000D-0000-FFFF-FFFF00000000}"/>
  </bookViews>
  <sheets>
    <sheet name="18.11" sheetId="11" r:id="rId1"/>
  </sheets>
  <definedNames>
    <definedName name="_xlnm.Print_Area" localSheetId="0">'18.11'!$A$1:$O$34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11" l="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 l="1"/>
</calcChain>
</file>

<file path=xl/sharedStrings.xml><?xml version="1.0" encoding="utf-8"?>
<sst xmlns="http://schemas.openxmlformats.org/spreadsheetml/2006/main" count="72" uniqueCount="71">
  <si>
    <t>ޖުމްލަ</t>
  </si>
  <si>
    <t>Source: Maldives Pension Administration</t>
  </si>
  <si>
    <t>މަޢުލޫމާތު ދެއްވި ފަރާތް: މޯލްޑިވްސް ޕެންޝަން އެޑްމިނިސްޓްރޭޝަން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</si>
  <si>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</si>
  <si>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</si>
  <si>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</si>
  <si>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</si>
  <si>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</si>
  <si>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</si>
  <si>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</si>
  <si>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</si>
  <si>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</si>
  <si>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</si>
  <si>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</si>
  <si>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</si>
  <si>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Total </t>
  </si>
  <si>
    <t>ތާވަލު 18.11 :މަސްމަހުގެ ގޮތުން ރިޓާޔަމަންޓް ޕެންޝަން ސްކީމްއަށް ޕަބްލިކް އަދި ޕްރައިވެޓް ސެކްޓަރއިން ފައިސާދެއްކި މިންވަރު، 2022</t>
  </si>
  <si>
    <t>TABLE   18.11:   AMOUNT OF CONTRIBUTION TO RETIREMENT PENSION SCHEME BY SECTOR BY MONTH,  2022</t>
  </si>
  <si>
    <t>Sector</t>
  </si>
  <si>
    <t>Agriculture</t>
  </si>
  <si>
    <t>ދަނޑުވެރިކަން</t>
  </si>
  <si>
    <t>Air Transportation</t>
  </si>
  <si>
    <t>ވައިގެ ދަތުރުފަތުރު</t>
  </si>
  <si>
    <t>Clothing industry</t>
  </si>
  <si>
    <t xml:space="preserve">އަންނައުނު </t>
  </si>
  <si>
    <t>Coffee, tea shops</t>
  </si>
  <si>
    <t>ކޮފީ ޝޮޕް، ސައި ހޮޓާ</t>
  </si>
  <si>
    <t>Construction</t>
  </si>
  <si>
    <t>އިމާރާތްކުރުން</t>
  </si>
  <si>
    <t>Electricity</t>
  </si>
  <si>
    <t>ކަރަންޓް</t>
  </si>
  <si>
    <t>Financial sector, Banks, Investment Funds, Insurance companies Investment</t>
  </si>
  <si>
    <t>ފައިސާގެ ޚިދުމަތް، ބެންކް، އިންވެސްޓްމަންޓް ފަންޑް، އިންޝުއަރެންސް ކުންފުނިތަކުގެ އިންވެސްޓްމަންޓް</t>
  </si>
  <si>
    <t>Fishing Industry</t>
  </si>
  <si>
    <t>މަސްވެރިކަމުގެ ދާއިރާ</t>
  </si>
  <si>
    <t>Garbage, and Recycling industry</t>
  </si>
  <si>
    <t>ކުނި އަދި ރީސައިކަލްކުރުން</t>
  </si>
  <si>
    <t>Government agencies, public institutions</t>
  </si>
  <si>
    <t xml:space="preserve">ސަރުކާރުގެ އޮފީސްތަކާއި ކުންފުނިތައް </t>
  </si>
  <si>
    <t>Health Sector, hospitals, clinics</t>
  </si>
  <si>
    <t>ޞިއްޚީ ޙިދުމަތް، ހޮސްޕިޓަލް އަދި ކްލިނިކްތައް</t>
  </si>
  <si>
    <t>Hotels, Tourist resorts, travel agencies</t>
  </si>
  <si>
    <t>ހޮޓާ، ރިސޯޓް، ޓްރެވަލް އޭޖެންސީ</t>
  </si>
  <si>
    <t>Housing Development</t>
  </si>
  <si>
    <t>ހައުސިންގ ޑިވެލޮޕްމަންޓް</t>
  </si>
  <si>
    <t>Land Transportation, taxis, buses etc</t>
  </si>
  <si>
    <t>އެއްގަމު ދަތުރުފަތުރު، ޓެކްސީ، ބަސް ފަދަ</t>
  </si>
  <si>
    <t>Mining Industry</t>
  </si>
  <si>
    <t>ގަލާއި ވެލިނެގުން</t>
  </si>
  <si>
    <t>Others</t>
  </si>
  <si>
    <t>ފެރީގެ ޙިދުމަތް</t>
  </si>
  <si>
    <t>Passenger Ferries</t>
  </si>
  <si>
    <t>ބޭސް ފިހާރަތައް</t>
  </si>
  <si>
    <t>Pharmacies</t>
  </si>
  <si>
    <t>ރެސްޓޯރަންޓްތައް</t>
  </si>
  <si>
    <t>Restaurants</t>
  </si>
  <si>
    <t>ސްޕެއަރޕާޓް ވިއްކުން</t>
  </si>
  <si>
    <t>Sales of Motor Vehicles</t>
  </si>
  <si>
    <t>ސްކޫލްތަކާއި ތަޢުލީމްދޭ މަރުކަޒުތައް</t>
  </si>
  <si>
    <t>Schools and educational centers</t>
  </si>
  <si>
    <t xml:space="preserve">ކަނޑުދަތުރުފަތުރު، ޝިޕިންގ </t>
  </si>
  <si>
    <t>Sea Transportation, shipping</t>
  </si>
  <si>
    <t>ކުދި އަދި މެދުފަންތީގެ ވިޔަފާރި</t>
  </si>
  <si>
    <t>Shops, small and medium commercial retail</t>
  </si>
  <si>
    <t>މުވާސަލާތީ ޚިދުމަތް</t>
  </si>
  <si>
    <t>Telecommunications</t>
  </si>
  <si>
    <t>ފެން އުފެއްދުން</t>
  </si>
  <si>
    <t>Water processing</t>
  </si>
  <si>
    <t>ހޯލްސޭލް ރީޓެއިލާރސް</t>
  </si>
  <si>
    <t>Wholesale retailers</t>
  </si>
  <si>
    <t>އެހެނިހެން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</si>
</sst>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Faruma"/>
    </font>
    <font>
      <i/>
      <sz val="9"/>
      <color rgb="FF000000"/>
      <name val="Calibri"/>
    </font>
    <font>
      <sz val="9"/>
      <color rgb="FF000000"/>
      <name val="Faruma"/>
    </font>
    <font>
      <b/>
      <sz val="11"/>
      <color theme="1"/>
      <name val="Calibri"/>
    </font>
    <font>
      <b/>
      <sz val="12"/>
      <color theme="1"/>
      <name val="Calibri"/>
    </font>
    <font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4" xfId="0" applyFont="1" applyFill="1" applyBorder="1"/>
    <xf numFmtId="0" fontId="1" fillId="2" borderId="4" xfId="0" applyFont="1" applyFill="1" applyBorder="1"/>
    <xf numFmtId="0" fontId="6" fillId="2" borderId="4" xfId="0" applyFont="1" applyFill="1" applyBorder="1"/>
    <xf numFmtId="0" fontId="3" fillId="2" borderId="7" xfId="0" applyFont="1" applyFill="1" applyBorder="1"/>
    <xf numFmtId="0" fontId="6" fillId="2" borderId="7" xfId="0" applyFont="1" applyFill="1" applyBorder="1"/>
    <xf numFmtId="0" fontId="7" fillId="2" borderId="4" xfId="0" applyFont="1" applyFill="1" applyBorder="1"/>
    <xf numFmtId="0" fontId="8" fillId="2" borderId="4" xfId="0" applyFont="1" applyFill="1" applyBorder="1"/>
    <xf numFmtId="3" fontId="4" fillId="2" borderId="7" xfId="0" applyNumberFormat="1" applyFont="1" applyFill="1" applyBorder="1" applyAlignment="1">
      <alignment horizontal="right" vertical="center" wrapText="1"/>
    </xf>
    <xf numFmtId="3" fontId="9" fillId="2" borderId="7" xfId="0" applyNumberFormat="1" applyFont="1" applyFill="1" applyBorder="1" applyAlignment="1">
      <alignment horizontal="right" vertical="center"/>
    </xf>
    <xf numFmtId="0" fontId="9" fillId="2" borderId="4" xfId="0" applyFont="1" applyFill="1" applyBorder="1" applyAlignment="1">
      <alignment vertical="center"/>
    </xf>
    <xf numFmtId="3" fontId="9" fillId="2" borderId="4" xfId="0" applyNumberFormat="1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right" vertical="center" wrapText="1"/>
    </xf>
    <xf numFmtId="0" fontId="5" fillId="2" borderId="7" xfId="0" applyFont="1" applyFill="1" applyBorder="1" applyAlignment="1">
      <alignment horizontal="left" vertical="center"/>
    </xf>
    <xf numFmtId="3" fontId="11" fillId="2" borderId="4" xfId="0" applyNumberFormat="1" applyFont="1" applyFill="1" applyBorder="1" applyAlignment="1">
      <alignment horizontal="right" vertical="center"/>
    </xf>
    <xf numFmtId="3" fontId="12" fillId="2" borderId="4" xfId="0" applyNumberFormat="1" applyFont="1" applyFill="1" applyBorder="1" applyAlignment="1">
      <alignment horizontal="right" vertical="center" wrapText="1"/>
    </xf>
    <xf numFmtId="0" fontId="12" fillId="2" borderId="4" xfId="0" applyFont="1" applyFill="1" applyBorder="1" applyAlignment="1">
      <alignment horizontal="right" vertical="center" wrapText="1"/>
    </xf>
    <xf numFmtId="3" fontId="11" fillId="2" borderId="7" xfId="0" applyNumberFormat="1" applyFont="1" applyFill="1" applyBorder="1" applyAlignment="1">
      <alignment horizontal="right" vertical="center"/>
    </xf>
    <xf numFmtId="3" fontId="12" fillId="2" borderId="7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/>
    <xf numFmtId="0" fontId="9" fillId="2" borderId="5" xfId="0" applyFont="1" applyFill="1" applyBorder="1" applyAlignment="1">
      <alignment horizontal="left" vertical="center"/>
    </xf>
    <xf numFmtId="0" fontId="10" fillId="2" borderId="8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3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Z34"/>
  <sheetViews>
    <sheetView tabSelected="1" zoomScaleNormal="100" workbookViewId="0">
      <selection activeCell="P5" sqref="P5"/>
    </sheetView>
  </sheetViews>
  <sheetFormatPr defaultColWidth="14.42578125" defaultRowHeight="15" customHeight="1"/>
  <cols>
    <col min="1" max="1" width="43.7109375" customWidth="1"/>
    <col min="2" max="2" width="14.28515625" customWidth="1"/>
    <col min="3" max="14" width="12" customWidth="1"/>
    <col min="15" max="15" width="39.140625" customWidth="1"/>
    <col min="16" max="26" width="8.7109375" customWidth="1"/>
  </cols>
  <sheetData>
    <row r="1" spans="1:26" ht="27" customHeight="1">
      <c r="A1" s="21" t="s">
        <v>16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4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" customHeight="1">
      <c r="A2" s="22" t="s">
        <v>17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4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4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>
      <c r="A4" s="26" t="s">
        <v>18</v>
      </c>
      <c r="B4" s="27">
        <v>2022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9"/>
      <c r="O4" s="30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5"/>
      <c r="B5" s="9" t="s">
        <v>15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11</v>
      </c>
      <c r="L5" s="9" t="s">
        <v>12</v>
      </c>
      <c r="M5" s="9" t="s">
        <v>13</v>
      </c>
      <c r="N5" s="9" t="s">
        <v>14</v>
      </c>
      <c r="O5" s="25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">
      <c r="A6" s="10" t="s">
        <v>15</v>
      </c>
      <c r="B6" s="11">
        <f t="shared" ref="B6:B32" si="0">SUM(C6:N6)</f>
        <v>1460324778</v>
      </c>
      <c r="C6" s="11">
        <f t="shared" ref="C6:L6" si="1">SUM(C7:C31)</f>
        <v>108321193</v>
      </c>
      <c r="D6" s="11">
        <f t="shared" si="1"/>
        <v>110225278</v>
      </c>
      <c r="E6" s="11">
        <f t="shared" si="1"/>
        <v>115957829</v>
      </c>
      <c r="F6" s="11">
        <f t="shared" si="1"/>
        <v>115243005</v>
      </c>
      <c r="G6" s="11">
        <f t="shared" si="1"/>
        <v>119273689</v>
      </c>
      <c r="H6" s="11">
        <f t="shared" si="1"/>
        <v>124152527</v>
      </c>
      <c r="I6" s="11">
        <f t="shared" si="1"/>
        <v>116791321</v>
      </c>
      <c r="J6" s="11">
        <f t="shared" si="1"/>
        <v>133694888</v>
      </c>
      <c r="K6" s="11">
        <f t="shared" si="1"/>
        <v>122195647</v>
      </c>
      <c r="L6" s="11">
        <f t="shared" si="1"/>
        <v>126428048</v>
      </c>
      <c r="M6" s="11">
        <f t="shared" ref="M6:N6" si="2">SUM(M7:M32)</f>
        <v>129796590</v>
      </c>
      <c r="N6" s="11">
        <f t="shared" si="2"/>
        <v>138244763</v>
      </c>
      <c r="O6" s="2" t="s">
        <v>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0.25" customHeight="1">
      <c r="A7" s="12" t="s">
        <v>19</v>
      </c>
      <c r="B7" s="16">
        <f t="shared" si="0"/>
        <v>2761108</v>
      </c>
      <c r="C7" s="17">
        <v>228904</v>
      </c>
      <c r="D7" s="17">
        <v>200911</v>
      </c>
      <c r="E7" s="17">
        <v>202566</v>
      </c>
      <c r="F7" s="17">
        <v>211738</v>
      </c>
      <c r="G7" s="17">
        <v>217087</v>
      </c>
      <c r="H7" s="17">
        <v>218116</v>
      </c>
      <c r="I7" s="17">
        <v>195451</v>
      </c>
      <c r="J7" s="17">
        <v>347516</v>
      </c>
      <c r="K7" s="17">
        <v>164959</v>
      </c>
      <c r="L7" s="17">
        <v>223003</v>
      </c>
      <c r="M7" s="17">
        <v>225142</v>
      </c>
      <c r="N7" s="17">
        <v>325715</v>
      </c>
      <c r="O7" s="3" t="s">
        <v>20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.25" customHeight="1">
      <c r="A8" s="12" t="s">
        <v>21</v>
      </c>
      <c r="B8" s="16">
        <f t="shared" si="0"/>
        <v>86227888</v>
      </c>
      <c r="C8" s="17">
        <v>6065843</v>
      </c>
      <c r="D8" s="17">
        <v>7517892</v>
      </c>
      <c r="E8" s="17">
        <v>6259332</v>
      </c>
      <c r="F8" s="17">
        <v>7239713</v>
      </c>
      <c r="G8" s="17">
        <v>6856568</v>
      </c>
      <c r="H8" s="17">
        <v>7429544</v>
      </c>
      <c r="I8" s="17">
        <v>7000852</v>
      </c>
      <c r="J8" s="17">
        <v>8250189</v>
      </c>
      <c r="K8" s="17">
        <v>6226902</v>
      </c>
      <c r="L8" s="17">
        <v>6858891</v>
      </c>
      <c r="M8" s="17">
        <v>7837212</v>
      </c>
      <c r="N8" s="17">
        <v>8684950</v>
      </c>
      <c r="O8" s="3" t="s">
        <v>22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0.25" customHeight="1">
      <c r="A9" s="12" t="s">
        <v>23</v>
      </c>
      <c r="B9" s="16">
        <f t="shared" si="0"/>
        <v>73826</v>
      </c>
      <c r="C9" s="17">
        <v>2941</v>
      </c>
      <c r="D9" s="17">
        <v>2381</v>
      </c>
      <c r="E9" s="17">
        <v>3502</v>
      </c>
      <c r="F9" s="17">
        <v>2380</v>
      </c>
      <c r="G9" s="17">
        <v>2381</v>
      </c>
      <c r="H9" s="17">
        <v>2380</v>
      </c>
      <c r="I9" s="17">
        <v>2380</v>
      </c>
      <c r="J9" s="17">
        <v>10773</v>
      </c>
      <c r="K9" s="17">
        <v>10222</v>
      </c>
      <c r="L9" s="17">
        <v>2380</v>
      </c>
      <c r="M9" s="17">
        <v>14457</v>
      </c>
      <c r="N9" s="17">
        <v>17649</v>
      </c>
      <c r="O9" s="3" t="s">
        <v>24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.25" customHeight="1">
      <c r="A10" s="12" t="s">
        <v>25</v>
      </c>
      <c r="B10" s="16">
        <f t="shared" si="0"/>
        <v>288376</v>
      </c>
      <c r="C10" s="17">
        <v>21486</v>
      </c>
      <c r="D10" s="17">
        <v>39423</v>
      </c>
      <c r="E10" s="17">
        <v>27889</v>
      </c>
      <c r="F10" s="17">
        <v>16304</v>
      </c>
      <c r="G10" s="17">
        <v>24333</v>
      </c>
      <c r="H10" s="17">
        <v>28100</v>
      </c>
      <c r="I10" s="17">
        <v>20479</v>
      </c>
      <c r="J10" s="17">
        <v>21781</v>
      </c>
      <c r="K10" s="17">
        <v>30495</v>
      </c>
      <c r="L10" s="17">
        <v>18679</v>
      </c>
      <c r="M10" s="17">
        <v>15857</v>
      </c>
      <c r="N10" s="17">
        <v>23550</v>
      </c>
      <c r="O10" s="3" t="s">
        <v>26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0.25" customHeight="1">
      <c r="A11" s="12" t="s">
        <v>27</v>
      </c>
      <c r="B11" s="16">
        <f t="shared" si="0"/>
        <v>35413475</v>
      </c>
      <c r="C11" s="17">
        <v>2645206</v>
      </c>
      <c r="D11" s="17">
        <v>2610769</v>
      </c>
      <c r="E11" s="17">
        <v>3136189</v>
      </c>
      <c r="F11" s="17">
        <v>2822752</v>
      </c>
      <c r="G11" s="17">
        <v>2921266</v>
      </c>
      <c r="H11" s="17">
        <v>3020044</v>
      </c>
      <c r="I11" s="17">
        <v>2807547</v>
      </c>
      <c r="J11" s="17">
        <v>1919873</v>
      </c>
      <c r="K11" s="17">
        <v>4094806</v>
      </c>
      <c r="L11" s="17">
        <v>3430283</v>
      </c>
      <c r="M11" s="17">
        <v>2981146</v>
      </c>
      <c r="N11" s="17">
        <v>3023594</v>
      </c>
      <c r="O11" s="3" t="s">
        <v>28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.25" customHeight="1">
      <c r="A12" s="12" t="s">
        <v>29</v>
      </c>
      <c r="B12" s="16">
        <f t="shared" si="0"/>
        <v>2784671</v>
      </c>
      <c r="C12" s="17">
        <v>231930</v>
      </c>
      <c r="D12" s="17">
        <v>226760</v>
      </c>
      <c r="E12" s="17">
        <v>248413</v>
      </c>
      <c r="F12" s="17">
        <v>217808</v>
      </c>
      <c r="G12" s="17">
        <v>229875</v>
      </c>
      <c r="H12" s="17">
        <v>228308</v>
      </c>
      <c r="I12" s="17">
        <v>225489</v>
      </c>
      <c r="J12" s="17">
        <v>236348</v>
      </c>
      <c r="K12" s="17">
        <v>224643</v>
      </c>
      <c r="L12" s="17">
        <v>250149</v>
      </c>
      <c r="M12" s="17">
        <v>234906</v>
      </c>
      <c r="N12" s="17">
        <v>230042</v>
      </c>
      <c r="O12" s="3" t="s">
        <v>30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3" customHeight="1">
      <c r="A13" s="13" t="s">
        <v>31</v>
      </c>
      <c r="B13" s="16">
        <f t="shared" si="0"/>
        <v>104211054</v>
      </c>
      <c r="C13" s="17">
        <v>7793774</v>
      </c>
      <c r="D13" s="17">
        <v>6903078</v>
      </c>
      <c r="E13" s="17">
        <v>9610266</v>
      </c>
      <c r="F13" s="17">
        <v>8129668</v>
      </c>
      <c r="G13" s="17">
        <v>8596914</v>
      </c>
      <c r="H13" s="17">
        <v>8664265</v>
      </c>
      <c r="I13" s="17">
        <v>8666534</v>
      </c>
      <c r="J13" s="17">
        <v>8822383</v>
      </c>
      <c r="K13" s="17">
        <v>8636169</v>
      </c>
      <c r="L13" s="17">
        <v>8758219</v>
      </c>
      <c r="M13" s="17">
        <v>8816894</v>
      </c>
      <c r="N13" s="17">
        <v>10812890</v>
      </c>
      <c r="O13" s="14" t="s">
        <v>32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.25" customHeight="1">
      <c r="A14" s="12" t="s">
        <v>33</v>
      </c>
      <c r="B14" s="16">
        <f t="shared" si="0"/>
        <v>12561683</v>
      </c>
      <c r="C14" s="17">
        <v>1022887</v>
      </c>
      <c r="D14" s="17">
        <v>1039474</v>
      </c>
      <c r="E14" s="17">
        <v>1029189</v>
      </c>
      <c r="F14" s="17">
        <v>1087979</v>
      </c>
      <c r="G14" s="17">
        <v>1033144</v>
      </c>
      <c r="H14" s="17">
        <v>1049468</v>
      </c>
      <c r="I14" s="17">
        <v>1010822</v>
      </c>
      <c r="J14" s="17">
        <v>1126945</v>
      </c>
      <c r="K14" s="17">
        <v>977206</v>
      </c>
      <c r="L14" s="17">
        <v>1148354</v>
      </c>
      <c r="M14" s="17">
        <v>1026612</v>
      </c>
      <c r="N14" s="17">
        <v>1009603</v>
      </c>
      <c r="O14" s="3" t="s">
        <v>34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0.25" customHeight="1">
      <c r="A15" s="12" t="s">
        <v>35</v>
      </c>
      <c r="B15" s="16">
        <f t="shared" si="0"/>
        <v>2800985</v>
      </c>
      <c r="C15" s="17">
        <v>187534</v>
      </c>
      <c r="D15" s="17">
        <v>162158</v>
      </c>
      <c r="E15" s="17">
        <v>397055</v>
      </c>
      <c r="F15" s="17">
        <v>242520</v>
      </c>
      <c r="G15" s="17">
        <v>227061</v>
      </c>
      <c r="H15" s="17">
        <v>157143</v>
      </c>
      <c r="I15" s="17">
        <v>168818</v>
      </c>
      <c r="J15" s="17">
        <v>450306</v>
      </c>
      <c r="K15" s="17">
        <v>193670</v>
      </c>
      <c r="L15" s="17">
        <v>165972</v>
      </c>
      <c r="M15" s="17">
        <v>245068</v>
      </c>
      <c r="N15" s="17">
        <v>203680</v>
      </c>
      <c r="O15" s="3" t="s">
        <v>36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.25" customHeight="1">
      <c r="A16" s="12" t="s">
        <v>37</v>
      </c>
      <c r="B16" s="16">
        <f t="shared" si="0"/>
        <v>540870568</v>
      </c>
      <c r="C16" s="17">
        <v>40884896</v>
      </c>
      <c r="D16" s="17">
        <v>44009616</v>
      </c>
      <c r="E16" s="17">
        <v>39158520</v>
      </c>
      <c r="F16" s="17">
        <v>43792232</v>
      </c>
      <c r="G16" s="17">
        <v>42370473</v>
      </c>
      <c r="H16" s="17">
        <v>47423444</v>
      </c>
      <c r="I16" s="17">
        <v>42499751</v>
      </c>
      <c r="J16" s="17">
        <v>53551915</v>
      </c>
      <c r="K16" s="17">
        <v>46084660</v>
      </c>
      <c r="L16" s="17">
        <v>45526445</v>
      </c>
      <c r="M16" s="17">
        <v>45428136</v>
      </c>
      <c r="N16" s="17">
        <v>50140480</v>
      </c>
      <c r="O16" s="3" t="s">
        <v>38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0.25" customHeight="1">
      <c r="A17" s="12" t="s">
        <v>39</v>
      </c>
      <c r="B17" s="16">
        <f t="shared" si="0"/>
        <v>17667818</v>
      </c>
      <c r="C17" s="17">
        <v>1379662</v>
      </c>
      <c r="D17" s="17">
        <v>1406422</v>
      </c>
      <c r="E17" s="17">
        <v>1431411</v>
      </c>
      <c r="F17" s="17">
        <v>1550066</v>
      </c>
      <c r="G17" s="17">
        <v>1500149</v>
      </c>
      <c r="H17" s="17">
        <v>1320855</v>
      </c>
      <c r="I17" s="17">
        <v>1416742</v>
      </c>
      <c r="J17" s="17">
        <v>1437219</v>
      </c>
      <c r="K17" s="17">
        <v>1485487</v>
      </c>
      <c r="L17" s="17">
        <v>1597473</v>
      </c>
      <c r="M17" s="17">
        <v>1596847</v>
      </c>
      <c r="N17" s="17">
        <v>1545485</v>
      </c>
      <c r="O17" s="3" t="s">
        <v>40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.25" customHeight="1">
      <c r="A18" s="12" t="s">
        <v>41</v>
      </c>
      <c r="B18" s="16">
        <f t="shared" si="0"/>
        <v>346014777</v>
      </c>
      <c r="C18" s="17">
        <v>24833681</v>
      </c>
      <c r="D18" s="17">
        <v>27171152</v>
      </c>
      <c r="E18" s="17">
        <v>28265285</v>
      </c>
      <c r="F18" s="17">
        <v>28121336</v>
      </c>
      <c r="G18" s="17">
        <v>29263401</v>
      </c>
      <c r="H18" s="17">
        <v>28988424</v>
      </c>
      <c r="I18" s="17">
        <v>28177714</v>
      </c>
      <c r="J18" s="17">
        <v>29687023</v>
      </c>
      <c r="K18" s="17">
        <v>28568951</v>
      </c>
      <c r="L18" s="17">
        <v>31405331</v>
      </c>
      <c r="M18" s="17">
        <v>30176508</v>
      </c>
      <c r="N18" s="17">
        <v>31355971</v>
      </c>
      <c r="O18" s="3" t="s">
        <v>42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0.25" customHeight="1">
      <c r="A19" s="12" t="s">
        <v>43</v>
      </c>
      <c r="B19" s="16">
        <f t="shared" si="0"/>
        <v>1595180</v>
      </c>
      <c r="C19" s="17">
        <v>116598</v>
      </c>
      <c r="D19" s="17">
        <v>120579</v>
      </c>
      <c r="E19" s="17">
        <v>122970</v>
      </c>
      <c r="F19" s="17">
        <v>142497</v>
      </c>
      <c r="G19" s="17">
        <v>130146</v>
      </c>
      <c r="H19" s="17">
        <v>133666</v>
      </c>
      <c r="I19" s="17">
        <v>135664</v>
      </c>
      <c r="J19" s="17">
        <v>143125</v>
      </c>
      <c r="K19" s="17">
        <v>123518</v>
      </c>
      <c r="L19" s="17">
        <v>139876</v>
      </c>
      <c r="M19" s="17">
        <v>141392</v>
      </c>
      <c r="N19" s="17">
        <v>145149</v>
      </c>
      <c r="O19" s="3" t="s">
        <v>44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.25" customHeight="1">
      <c r="A20" s="12" t="s">
        <v>45</v>
      </c>
      <c r="B20" s="16">
        <f t="shared" si="0"/>
        <v>8265392</v>
      </c>
      <c r="C20" s="17">
        <v>682525</v>
      </c>
      <c r="D20" s="17">
        <v>671173</v>
      </c>
      <c r="E20" s="17">
        <v>12504</v>
      </c>
      <c r="F20" s="17">
        <v>13361</v>
      </c>
      <c r="G20" s="17">
        <v>1344542</v>
      </c>
      <c r="H20" s="17">
        <v>1342068</v>
      </c>
      <c r="I20" s="17">
        <v>666269</v>
      </c>
      <c r="J20" s="17">
        <v>678365</v>
      </c>
      <c r="K20" s="17">
        <v>22383</v>
      </c>
      <c r="L20" s="17">
        <v>1409981</v>
      </c>
      <c r="M20" s="17">
        <v>709409</v>
      </c>
      <c r="N20" s="17">
        <v>712812</v>
      </c>
      <c r="O20" s="3" t="s">
        <v>46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0.25" customHeight="1">
      <c r="A21" s="12" t="s">
        <v>47</v>
      </c>
      <c r="B21" s="16">
        <f t="shared" si="0"/>
        <v>41035</v>
      </c>
      <c r="C21" s="18">
        <v>0</v>
      </c>
      <c r="D21" s="17">
        <v>7448</v>
      </c>
      <c r="E21" s="18">
        <v>0</v>
      </c>
      <c r="F21" s="18">
        <v>0</v>
      </c>
      <c r="G21" s="17">
        <v>11231</v>
      </c>
      <c r="H21" s="17">
        <v>3724</v>
      </c>
      <c r="I21" s="18">
        <v>0</v>
      </c>
      <c r="J21" s="17">
        <v>3724</v>
      </c>
      <c r="K21" s="17">
        <v>3728</v>
      </c>
      <c r="L21" s="17">
        <v>3726</v>
      </c>
      <c r="M21" s="17">
        <v>7454</v>
      </c>
      <c r="N21" s="18">
        <v>0</v>
      </c>
      <c r="O21" s="3" t="s">
        <v>48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.25" customHeight="1">
      <c r="A22" s="12" t="s">
        <v>49</v>
      </c>
      <c r="B22" s="16">
        <f t="shared" si="0"/>
        <v>124130923</v>
      </c>
      <c r="C22" s="17">
        <v>8907123</v>
      </c>
      <c r="D22" s="17">
        <v>5315570</v>
      </c>
      <c r="E22" s="17">
        <v>13570785</v>
      </c>
      <c r="F22" s="17">
        <v>9245823</v>
      </c>
      <c r="G22" s="17">
        <v>11088378</v>
      </c>
      <c r="H22" s="17">
        <v>9553370</v>
      </c>
      <c r="I22" s="17">
        <v>10266435</v>
      </c>
      <c r="J22" s="17">
        <v>11620421</v>
      </c>
      <c r="K22" s="17">
        <v>10808790</v>
      </c>
      <c r="L22" s="17">
        <v>10712057</v>
      </c>
      <c r="M22" s="17">
        <v>12240628</v>
      </c>
      <c r="N22" s="17">
        <v>10801543</v>
      </c>
      <c r="O22" s="3" t="s">
        <v>50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0.25" customHeight="1">
      <c r="A23" s="12" t="s">
        <v>51</v>
      </c>
      <c r="B23" s="16">
        <f t="shared" si="0"/>
        <v>18670</v>
      </c>
      <c r="C23" s="17">
        <v>1680</v>
      </c>
      <c r="D23" s="17">
        <v>1680</v>
      </c>
      <c r="E23" s="17">
        <v>1680</v>
      </c>
      <c r="F23" s="18">
        <v>840</v>
      </c>
      <c r="G23" s="17">
        <v>1575</v>
      </c>
      <c r="H23" s="17">
        <v>1554</v>
      </c>
      <c r="I23" s="17">
        <v>1610</v>
      </c>
      <c r="J23" s="17">
        <v>1610</v>
      </c>
      <c r="K23" s="17">
        <v>1611</v>
      </c>
      <c r="L23" s="17">
        <v>1610</v>
      </c>
      <c r="M23" s="17">
        <v>1610</v>
      </c>
      <c r="N23" s="17">
        <v>1610</v>
      </c>
      <c r="O23" s="3" t="s">
        <v>52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.25" customHeight="1">
      <c r="A24" s="12" t="s">
        <v>53</v>
      </c>
      <c r="B24" s="16">
        <f t="shared" si="0"/>
        <v>1258130</v>
      </c>
      <c r="C24" s="17">
        <v>64776</v>
      </c>
      <c r="D24" s="17">
        <v>96671</v>
      </c>
      <c r="E24" s="17">
        <v>103878</v>
      </c>
      <c r="F24" s="17">
        <v>94009</v>
      </c>
      <c r="G24" s="17">
        <v>104607</v>
      </c>
      <c r="H24" s="17">
        <v>124603</v>
      </c>
      <c r="I24" s="17">
        <v>97519</v>
      </c>
      <c r="J24" s="17">
        <v>109200</v>
      </c>
      <c r="K24" s="17">
        <v>99997</v>
      </c>
      <c r="L24" s="17">
        <v>126756</v>
      </c>
      <c r="M24" s="17">
        <v>108211</v>
      </c>
      <c r="N24" s="17">
        <v>127903</v>
      </c>
      <c r="O24" s="3" t="s">
        <v>54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0.25" customHeight="1">
      <c r="A25" s="12" t="s">
        <v>55</v>
      </c>
      <c r="B25" s="16">
        <f t="shared" si="0"/>
        <v>1386104</v>
      </c>
      <c r="C25" s="17">
        <v>157678</v>
      </c>
      <c r="D25" s="17">
        <v>127336</v>
      </c>
      <c r="E25" s="17">
        <v>102359</v>
      </c>
      <c r="F25" s="17">
        <v>106958</v>
      </c>
      <c r="G25" s="17">
        <v>93139</v>
      </c>
      <c r="H25" s="17">
        <v>103090</v>
      </c>
      <c r="I25" s="17">
        <v>93634</v>
      </c>
      <c r="J25" s="17">
        <v>84471</v>
      </c>
      <c r="K25" s="17">
        <v>134843</v>
      </c>
      <c r="L25" s="17">
        <v>135477</v>
      </c>
      <c r="M25" s="17">
        <v>116559</v>
      </c>
      <c r="N25" s="17">
        <v>130560</v>
      </c>
      <c r="O25" s="3" t="s">
        <v>56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.25" customHeight="1">
      <c r="A26" s="12" t="s">
        <v>57</v>
      </c>
      <c r="B26" s="16">
        <f t="shared" si="0"/>
        <v>479017</v>
      </c>
      <c r="C26" s="17">
        <v>41309</v>
      </c>
      <c r="D26" s="17">
        <v>40737</v>
      </c>
      <c r="E26" s="17">
        <v>41191</v>
      </c>
      <c r="F26" s="17">
        <v>39386</v>
      </c>
      <c r="G26" s="17">
        <v>38854</v>
      </c>
      <c r="H26" s="17">
        <v>38995</v>
      </c>
      <c r="I26" s="17">
        <v>26317</v>
      </c>
      <c r="J26" s="17">
        <v>53107</v>
      </c>
      <c r="K26" s="17">
        <v>39287</v>
      </c>
      <c r="L26" s="17">
        <v>40282</v>
      </c>
      <c r="M26" s="17">
        <v>39561</v>
      </c>
      <c r="N26" s="17">
        <v>39991</v>
      </c>
      <c r="O26" s="3" t="s">
        <v>58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0.25" customHeight="1">
      <c r="A27" s="12" t="s">
        <v>59</v>
      </c>
      <c r="B27" s="16">
        <f t="shared" si="0"/>
        <v>34302359</v>
      </c>
      <c r="C27" s="17">
        <v>2100865</v>
      </c>
      <c r="D27" s="17">
        <v>2284379</v>
      </c>
      <c r="E27" s="17">
        <v>2251453</v>
      </c>
      <c r="F27" s="17">
        <v>2331371</v>
      </c>
      <c r="G27" s="17">
        <v>2727201</v>
      </c>
      <c r="H27" s="17">
        <v>3008244</v>
      </c>
      <c r="I27" s="17">
        <v>2906141</v>
      </c>
      <c r="J27" s="17">
        <v>3248547</v>
      </c>
      <c r="K27" s="17">
        <v>3228697</v>
      </c>
      <c r="L27" s="17">
        <v>3309398</v>
      </c>
      <c r="M27" s="17">
        <v>3385293</v>
      </c>
      <c r="N27" s="17">
        <v>3520770</v>
      </c>
      <c r="O27" s="3" t="s">
        <v>60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.25" customHeight="1">
      <c r="A28" s="12" t="s">
        <v>61</v>
      </c>
      <c r="B28" s="16">
        <f t="shared" si="0"/>
        <v>52011256</v>
      </c>
      <c r="C28" s="17">
        <v>3968729</v>
      </c>
      <c r="D28" s="17">
        <v>4120946</v>
      </c>
      <c r="E28" s="17">
        <v>4017354</v>
      </c>
      <c r="F28" s="17">
        <v>4028963</v>
      </c>
      <c r="G28" s="17">
        <v>4182521</v>
      </c>
      <c r="H28" s="17">
        <v>4357516</v>
      </c>
      <c r="I28" s="17">
        <v>4249569</v>
      </c>
      <c r="J28" s="17">
        <v>4543105</v>
      </c>
      <c r="K28" s="17">
        <v>4500172</v>
      </c>
      <c r="L28" s="17">
        <v>4596636</v>
      </c>
      <c r="M28" s="17">
        <v>4732459</v>
      </c>
      <c r="N28" s="17">
        <v>4713286</v>
      </c>
      <c r="O28" s="3" t="s">
        <v>62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0.25" customHeight="1">
      <c r="A29" s="12" t="s">
        <v>63</v>
      </c>
      <c r="B29" s="16">
        <f t="shared" si="0"/>
        <v>41591454</v>
      </c>
      <c r="C29" s="17">
        <v>4009423</v>
      </c>
      <c r="D29" s="17">
        <v>3195246</v>
      </c>
      <c r="E29" s="17">
        <v>2993506</v>
      </c>
      <c r="F29" s="17">
        <v>2730522</v>
      </c>
      <c r="G29" s="17">
        <v>3287014</v>
      </c>
      <c r="H29" s="17">
        <v>3720367</v>
      </c>
      <c r="I29" s="17">
        <v>3192103</v>
      </c>
      <c r="J29" s="17">
        <v>4244623</v>
      </c>
      <c r="K29" s="17">
        <v>3354717</v>
      </c>
      <c r="L29" s="17">
        <v>3598842</v>
      </c>
      <c r="M29" s="17">
        <v>3223626</v>
      </c>
      <c r="N29" s="17">
        <v>4041465</v>
      </c>
      <c r="O29" s="3" t="s">
        <v>64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.25" customHeight="1">
      <c r="A30" s="12" t="s">
        <v>65</v>
      </c>
      <c r="B30" s="16">
        <f t="shared" si="0"/>
        <v>36533213</v>
      </c>
      <c r="C30" s="17">
        <v>2945091</v>
      </c>
      <c r="D30" s="17">
        <v>2925165</v>
      </c>
      <c r="E30" s="17">
        <v>2943450</v>
      </c>
      <c r="F30" s="17">
        <v>3047713</v>
      </c>
      <c r="G30" s="17">
        <v>2993646</v>
      </c>
      <c r="H30" s="17">
        <v>3204545</v>
      </c>
      <c r="I30" s="17">
        <v>2949432</v>
      </c>
      <c r="J30" s="17">
        <v>3088267</v>
      </c>
      <c r="K30" s="17">
        <v>3114371</v>
      </c>
      <c r="L30" s="17">
        <v>2954178</v>
      </c>
      <c r="M30" s="17">
        <v>3151784</v>
      </c>
      <c r="N30" s="17">
        <v>3215571</v>
      </c>
      <c r="O30" s="3" t="s">
        <v>66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0.25" customHeight="1">
      <c r="A31" s="12" t="s">
        <v>67</v>
      </c>
      <c r="B31" s="16">
        <f t="shared" si="0"/>
        <v>352367</v>
      </c>
      <c r="C31" s="17">
        <v>26652</v>
      </c>
      <c r="D31" s="17">
        <v>28312</v>
      </c>
      <c r="E31" s="17">
        <v>27082</v>
      </c>
      <c r="F31" s="17">
        <v>27066</v>
      </c>
      <c r="G31" s="17">
        <v>28183</v>
      </c>
      <c r="H31" s="17">
        <v>30694</v>
      </c>
      <c r="I31" s="17">
        <v>14049</v>
      </c>
      <c r="J31" s="17">
        <v>14052</v>
      </c>
      <c r="K31" s="17">
        <v>65363</v>
      </c>
      <c r="L31" s="17">
        <v>14050</v>
      </c>
      <c r="M31" s="17">
        <v>13768</v>
      </c>
      <c r="N31" s="17">
        <v>63096</v>
      </c>
      <c r="O31" s="3" t="s">
        <v>68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.25" customHeight="1">
      <c r="A32" s="15" t="s">
        <v>69</v>
      </c>
      <c r="B32" s="19">
        <f t="shared" si="0"/>
        <v>38372483</v>
      </c>
      <c r="C32" s="20">
        <v>2895345</v>
      </c>
      <c r="D32" s="20">
        <v>3016086</v>
      </c>
      <c r="E32" s="20">
        <v>3041205</v>
      </c>
      <c r="F32" s="20">
        <v>2977564</v>
      </c>
      <c r="G32" s="20">
        <v>3233069</v>
      </c>
      <c r="H32" s="20">
        <v>3333452</v>
      </c>
      <c r="I32" s="20">
        <v>3111401</v>
      </c>
      <c r="J32" s="20">
        <v>3413352</v>
      </c>
      <c r="K32" s="20">
        <v>3317749</v>
      </c>
      <c r="L32" s="20">
        <v>3349811</v>
      </c>
      <c r="M32" s="20">
        <v>3326051</v>
      </c>
      <c r="N32" s="20">
        <v>3357398</v>
      </c>
      <c r="O32" s="5" t="s">
        <v>70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0.25" customHeight="1">
      <c r="A33" s="6" t="s">
        <v>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7" t="s">
        <v>2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</sheetData>
  <mergeCells count="5">
    <mergeCell ref="A1:O1"/>
    <mergeCell ref="A2:O2"/>
    <mergeCell ref="A4:A5"/>
    <mergeCell ref="B4:N4"/>
    <mergeCell ref="O4:O5"/>
  </mergeCells>
  <pageMargins left="0.7" right="0.7" top="0.75" bottom="0.75" header="0" footer="0"/>
  <pageSetup paperSize="9" scale="54" orientation="landscape" r:id="rId1"/>
  <ignoredErrors>
    <ignoredError sqref="I6:N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18.11</vt:lpstr>
      <vt:lpstr>'18.11'!Print_Area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2023-07-05T03:40:34Z</cp:lastPrinted>
  <dcterms:modified xsi:type="dcterms:W3CDTF">2023-07-05T03:41:06Z</dcterms:modified>
</cp:coreProperties>
</file>