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C4045F76-AD25-4A3D-ACC0-B7B90C3D44CF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5" sheetId="15" r:id="rId1"/>
  </sheets>
  <definedNames>
    <definedName name="_xlnm.Print_Area" localSheetId="0">'18.15'!$A$1:$G$54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7" i="15" l="1"/>
  <c r="B7" i="15" l="1"/>
  <c r="D7" i="15" l="1"/>
  <c r="E12" i="15" s="1"/>
  <c r="E21" i="15"/>
  <c r="E13" i="15"/>
  <c r="E19" i="15"/>
  <c r="E15" i="15"/>
  <c r="E23" i="15"/>
  <c r="E11" i="15"/>
  <c r="E14" i="15" l="1"/>
  <c r="E32" i="15"/>
  <c r="E10" i="15"/>
  <c r="E24" i="15"/>
  <c r="E8" i="15"/>
  <c r="E28" i="15"/>
  <c r="E18" i="15"/>
  <c r="E7" i="15"/>
  <c r="E22" i="15"/>
  <c r="E17" i="15"/>
  <c r="E30" i="15"/>
  <c r="E20" i="15"/>
  <c r="E31" i="15"/>
  <c r="E27" i="15"/>
  <c r="E26" i="15"/>
  <c r="E29" i="15"/>
  <c r="E25" i="15"/>
  <c r="E9" i="15"/>
  <c r="E16" i="15"/>
</calcChain>
</file>

<file path=xl/sharedStrings.xml><?xml version="1.0" encoding="utf-8"?>
<sst xmlns="http://schemas.openxmlformats.org/spreadsheetml/2006/main" count="93" uniqueCount="67">
  <si>
    <t>އިންސައްތަ</t>
  </si>
  <si>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</si>
  <si>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</si>
  <si>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</si>
  <si>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</si>
  <si>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</si>
  <si>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</si>
  <si>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</si>
  <si>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</si>
  <si>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</si>
  <si>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</si>
  <si>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</si>
  <si>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</si>
  <si>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</si>
  <si>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</si>
  <si>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</si>
  <si>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</si>
  <si>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</si>
  <si>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</si>
  <si>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</si>
  <si>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</si>
  <si>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</si>
  <si>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</si>
  <si>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</si>
  <si>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</si>
  <si>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</si>
  <si>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</si>
  <si>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</si>
  <si>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</si>
  <si>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</si>
  <si>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</si>
  <si>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</si>
  <si>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</si>
  <si>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</si>
  <si>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</si>
  <si>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</si>
  <si>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</si>
  <si>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</si>
  <si>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</si>
  <si>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</si>
  <si>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</si>
  <si>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</si>
  <si>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</si>
  <si>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</si>
  <si>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</si>
  <si>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</si>
  <si>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</si>
  <si>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</si>
  <si>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</si>
  <si>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</si>
  <si>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</si>
  <si>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</si>
  <si>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</si>
  <si>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 xml:space="preserve">މަސައްކަތްކުރާ ތަނުގެ ދާއިރާ </t>
  </si>
  <si>
    <t xml:space="preserve">Housing Development 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</si>
  <si>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2022 </t>
  </si>
  <si>
    <t>TABLE   18.15: EMPLOYEES AND ESTABLISHMENTS REGISTERED IN THE RETIREMENT PENSION SCHEME, END OF 2022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</si>
  <si>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</si>
  <si>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</si>
  <si>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</si>
  <si>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</si>
  <si>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</si>
  <si>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</si>
  <si>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</si>
  <si>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</si>
  <si>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</si>
  <si>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 xml:space="preserve">Note: The Difference between values in this table  is due to  some member having multiple contracts with more than one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</si>
</sst>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"/>
  </numFmts>
  <fonts count="12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10"/>
      <color rgb="FF000000"/>
      <name val="Calibri"/>
    </font>
    <font>
      <sz val="10"/>
      <color rgb="FF000000"/>
      <name val="Faruma"/>
    </font>
    <font>
      <i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Arial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5" fillId="2" borderId="4" xfId="0" applyFont="1" applyFill="1" applyBorder="1"/>
    <xf numFmtId="0" fontId="5" fillId="2" borderId="10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7" fillId="2" borderId="4" xfId="0" applyFont="1" applyFill="1" applyBorder="1"/>
    <xf numFmtId="0" fontId="6" fillId="2" borderId="4" xfId="0" applyFont="1" applyFill="1" applyBorder="1"/>
    <xf numFmtId="0" fontId="8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horizontal="right" vertical="center" wrapText="1"/>
    </xf>
    <xf numFmtId="3" fontId="9" fillId="2" borderId="4" xfId="0" applyNumberFormat="1" applyFont="1" applyFill="1" applyBorder="1" applyAlignment="1">
      <alignment horizontal="right" vertical="center" wrapText="1"/>
    </xf>
    <xf numFmtId="167" fontId="3" fillId="2" borderId="4" xfId="0" applyNumberFormat="1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/>
    </xf>
    <xf numFmtId="167" fontId="3" fillId="2" borderId="10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left" vertical="center"/>
    </xf>
    <xf numFmtId="0" fontId="0" fillId="3" borderId="0" xfId="0" applyFill="1"/>
    <xf numFmtId="0" fontId="3" fillId="2" borderId="11" xfId="0" applyFont="1" applyFill="1" applyBorder="1"/>
    <xf numFmtId="3" fontId="3" fillId="4" borderId="4" xfId="0" applyNumberFormat="1" applyFont="1" applyFill="1" applyBorder="1" applyAlignment="1">
      <alignment horizontal="right" vertical="center"/>
    </xf>
    <xf numFmtId="3" fontId="3" fillId="4" borderId="10" xfId="0" applyNumberFormat="1" applyFont="1" applyFill="1" applyBorder="1" applyAlignment="1">
      <alignment horizontal="right" vertical="center"/>
    </xf>
    <xf numFmtId="167" fontId="0" fillId="3" borderId="0" xfId="0" applyNumberFormat="1" applyFill="1"/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6456234337614268E-2"/>
          <c:y val="0.10246303128192892"/>
          <c:w val="0.9198002767639657"/>
          <c:h val="0.4013516142650001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2F5597"/>
            </a:solidFill>
            <a:ln cmpd="sng">
              <a:noFill/>
            </a:ln>
          </c:spPr>
          <c:invertIfNegative val="1"/>
          <c:cat>
            <c:strRef>
              <c:f>'18.15'!$AE$23:$AE$37</c:f>
              <c:strCache>
                <c:ptCount val="15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Wholesale retailers</c:v>
                </c:pt>
                <c:pt idx="3">
                  <c:v>Air Transportation</c:v>
                </c:pt>
                <c:pt idx="4">
                  <c:v>Financial sector, Banks, Investment Funds, Insurance </c:v>
                </c:pt>
                <c:pt idx="5">
                  <c:v>Schools and educational centers</c:v>
                </c:pt>
                <c:pt idx="6">
                  <c:v>Water processing</c:v>
                </c:pt>
                <c:pt idx="7">
                  <c:v>Sea Transportation, shipping</c:v>
                </c:pt>
                <c:pt idx="8">
                  <c:v>Sales of Motor Vehicles</c:v>
                </c:pt>
                <c:pt idx="9">
                  <c:v>Construction</c:v>
                </c:pt>
                <c:pt idx="10">
                  <c:v>Shops, small and medium commercial retail</c:v>
                </c:pt>
                <c:pt idx="11">
                  <c:v>Health Sector, hospitals, clinics</c:v>
                </c:pt>
                <c:pt idx="12">
                  <c:v>Fishing Industry</c:v>
                </c:pt>
                <c:pt idx="13">
                  <c:v>Land Transportation, taxis, buses etc</c:v>
                </c:pt>
                <c:pt idx="14">
                  <c:v>Others</c:v>
                </c:pt>
              </c:strCache>
            </c:strRef>
          </c:cat>
          <c:val>
            <c:numRef>
              <c:f>'18.15'!$AF$23:$AF$37</c:f>
              <c:numCache>
                <c:formatCode>#,##0.0</c:formatCode>
                <c:ptCount val="15"/>
                <c:pt idx="0">
                  <c:v>37.67649799311927</c:v>
                </c:pt>
                <c:pt idx="1">
                  <c:v>18.517954415137613</c:v>
                </c:pt>
                <c:pt idx="2">
                  <c:v>11.50910263761468</c:v>
                </c:pt>
                <c:pt idx="3">
                  <c:v>5.2877723623853212</c:v>
                </c:pt>
                <c:pt idx="4">
                  <c:v>4.9715094610091741</c:v>
                </c:pt>
                <c:pt idx="5">
                  <c:v>4.4536625573394497</c:v>
                </c:pt>
                <c:pt idx="6">
                  <c:v>3.7109375</c:v>
                </c:pt>
                <c:pt idx="7">
                  <c:v>2.9395427178899083</c:v>
                </c:pt>
                <c:pt idx="8">
                  <c:v>2.7451261467889907</c:v>
                </c:pt>
                <c:pt idx="9">
                  <c:v>2.5372706422018347</c:v>
                </c:pt>
                <c:pt idx="10">
                  <c:v>1.4379658830275228</c:v>
                </c:pt>
                <c:pt idx="11">
                  <c:v>1.3967531536697249</c:v>
                </c:pt>
                <c:pt idx="12">
                  <c:v>1.1243907683486238</c:v>
                </c:pt>
                <c:pt idx="13">
                  <c:v>0.61281536697247707</c:v>
                </c:pt>
                <c:pt idx="14">
                  <c:v>1.0786983944954127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33-4C21-99F4-5FE7997D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291295"/>
        <c:axId val="437148107"/>
      </c:barChart>
      <c:catAx>
        <c:axId val="105229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7148107"/>
        <c:crosses val="autoZero"/>
        <c:auto val="1"/>
        <c:lblAlgn val="ctr"/>
        <c:lblOffset val="100"/>
        <c:noMultiLvlLbl val="1"/>
      </c:catAx>
      <c:valAx>
        <c:axId val="437148107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291295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34</xdr:row>
      <xdr:rowOff>114300</xdr:rowOff>
    </xdr:from>
    <xdr:ext cx="9267825" cy="4086225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1905000</xdr:colOff>
      <xdr:row>34</xdr:row>
      <xdr:rowOff>171450</xdr:rowOff>
    </xdr:from>
    <xdr:ext cx="6715125" cy="400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1993200" y="3584738"/>
          <a:ext cx="670560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18.17: Percentage distribution of employees registered  in the retirement pension scheme by sector, 2022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434497</xdr:colOff>
      <xdr:row>37</xdr:row>
      <xdr:rowOff>110778</xdr:rowOff>
    </xdr:from>
    <xdr:ext cx="219075" cy="9525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 rot="-5400000">
          <a:off x="67785" y="10132969"/>
          <a:ext cx="952500" cy="219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F61"/>
  <sheetViews>
    <sheetView tabSelected="1" zoomScale="73" zoomScaleNormal="73" workbookViewId="0">
      <selection activeCell="K12" sqref="K12"/>
    </sheetView>
  </sheetViews>
  <sheetFormatPr defaultColWidth="14.42578125" defaultRowHeight="15" customHeight="1"/>
  <cols>
    <col min="1" max="1" width="50.140625" style="28" customWidth="1"/>
    <col min="2" max="2" width="20.42578125" style="28" customWidth="1"/>
    <col min="3" max="3" width="1.85546875" style="28" customWidth="1"/>
    <col min="4" max="5" width="16" style="28" customWidth="1"/>
    <col min="6" max="6" width="52.85546875" style="28" customWidth="1"/>
    <col min="7" max="10" width="8" style="28" customWidth="1"/>
    <col min="11" max="17" width="14.42578125" style="28"/>
    <col min="18" max="24" width="8" style="28" customWidth="1"/>
    <col min="25" max="25" width="23.42578125" style="28" customWidth="1"/>
    <col min="26" max="31" width="8" style="28" customWidth="1"/>
    <col min="32" max="32" width="17" style="28" customWidth="1"/>
    <col min="33" max="16384" width="14.42578125" style="28"/>
  </cols>
  <sheetData>
    <row r="1" spans="1:32" ht="21" customHeight="1">
      <c r="A1" s="39" t="s">
        <v>55</v>
      </c>
      <c r="B1" s="33"/>
      <c r="C1" s="33"/>
      <c r="D1" s="33"/>
      <c r="E1" s="33"/>
      <c r="F1" s="34"/>
      <c r="G1" s="8"/>
      <c r="H1" s="8"/>
      <c r="I1" s="8"/>
      <c r="J1" s="8"/>
      <c r="R1" s="8"/>
      <c r="S1" s="8"/>
      <c r="T1" s="8"/>
      <c r="U1" s="8"/>
      <c r="V1" s="42"/>
      <c r="W1" s="8"/>
      <c r="X1" s="8"/>
      <c r="Y1" s="1"/>
      <c r="Z1" s="1"/>
      <c r="AA1" s="1"/>
      <c r="AB1" s="1"/>
      <c r="AC1" s="1"/>
      <c r="AD1" s="1"/>
      <c r="AE1" s="8"/>
      <c r="AF1" s="8"/>
    </row>
    <row r="2" spans="1:32">
      <c r="A2" s="40" t="s">
        <v>56</v>
      </c>
      <c r="B2" s="33"/>
      <c r="C2" s="33"/>
      <c r="D2" s="33"/>
      <c r="E2" s="33"/>
      <c r="F2" s="34"/>
      <c r="G2" s="1"/>
      <c r="H2" s="1"/>
      <c r="I2" s="1"/>
      <c r="J2" s="1"/>
      <c r="R2" s="1"/>
      <c r="S2" s="1"/>
      <c r="T2" s="1"/>
      <c r="U2" s="1"/>
      <c r="V2" s="29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5.25" customHeight="1">
      <c r="A3" s="1"/>
      <c r="B3" s="1"/>
      <c r="C3" s="1"/>
      <c r="D3" s="1"/>
      <c r="E3" s="1"/>
      <c r="F3" s="1"/>
      <c r="G3" s="1"/>
      <c r="H3" s="1"/>
      <c r="I3" s="1"/>
      <c r="J3" s="1"/>
      <c r="R3" s="1"/>
      <c r="S3" s="1"/>
      <c r="T3" s="1"/>
      <c r="U3" s="1"/>
      <c r="V3" s="29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>
      <c r="A4" s="35" t="s">
        <v>57</v>
      </c>
      <c r="B4" s="15" t="s">
        <v>58</v>
      </c>
      <c r="C4" s="15"/>
      <c r="D4" s="15" t="s">
        <v>59</v>
      </c>
      <c r="E4" s="15" t="s">
        <v>1</v>
      </c>
      <c r="F4" s="38" t="s">
        <v>53</v>
      </c>
      <c r="G4" s="1"/>
      <c r="H4" s="1"/>
      <c r="I4" s="1"/>
      <c r="J4" s="1"/>
      <c r="R4" s="1"/>
      <c r="S4" s="1"/>
      <c r="T4" s="1"/>
      <c r="U4" s="1"/>
      <c r="V4" s="29"/>
      <c r="W4" s="1"/>
      <c r="X4" s="1"/>
      <c r="Y4" s="2"/>
      <c r="Z4" s="2"/>
      <c r="AA4" s="2"/>
      <c r="AB4" s="2"/>
      <c r="AC4" s="2"/>
      <c r="AD4" s="2"/>
      <c r="AE4" s="1"/>
      <c r="AF4" s="1"/>
    </row>
    <row r="5" spans="1:32" ht="28.5" customHeight="1">
      <c r="A5" s="36"/>
      <c r="B5" s="17" t="s">
        <v>60</v>
      </c>
      <c r="C5" s="17"/>
      <c r="D5" s="41" t="s">
        <v>6</v>
      </c>
      <c r="E5" s="18" t="s">
        <v>61</v>
      </c>
      <c r="F5" s="36"/>
      <c r="G5" s="2"/>
      <c r="H5" s="2"/>
      <c r="I5" s="2"/>
      <c r="J5" s="2"/>
      <c r="R5" s="2"/>
      <c r="S5" s="2"/>
      <c r="T5" s="2"/>
      <c r="U5" s="2"/>
      <c r="V5" s="43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4" customHeight="1">
      <c r="A6" s="37"/>
      <c r="B6" s="19" t="s">
        <v>62</v>
      </c>
      <c r="C6" s="19"/>
      <c r="D6" s="37"/>
      <c r="E6" s="20" t="s">
        <v>0</v>
      </c>
      <c r="F6" s="37"/>
      <c r="G6" s="2"/>
      <c r="H6" s="2"/>
      <c r="I6" s="2"/>
      <c r="J6" s="2"/>
      <c r="R6" s="2"/>
      <c r="S6" s="2"/>
      <c r="T6" s="2"/>
      <c r="U6" s="2"/>
      <c r="V6" s="43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1" customHeight="1">
      <c r="A7" s="7" t="s">
        <v>3</v>
      </c>
      <c r="B7" s="21">
        <f>SUM(B8:B32)</f>
        <v>2233</v>
      </c>
      <c r="C7" s="21"/>
      <c r="D7" s="22">
        <f>SUM(D8:D32)</f>
        <v>111616</v>
      </c>
      <c r="E7" s="21">
        <f>D7/D7*100</f>
        <v>100</v>
      </c>
      <c r="F7" s="3" t="s">
        <v>2</v>
      </c>
      <c r="G7" s="2"/>
      <c r="H7" s="2"/>
      <c r="I7" s="2"/>
      <c r="J7" s="2"/>
      <c r="R7" s="2"/>
      <c r="S7" s="2"/>
      <c r="T7" s="2"/>
      <c r="U7" s="2"/>
      <c r="V7" s="43"/>
      <c r="W7" s="2"/>
      <c r="X7" s="2"/>
      <c r="Y7" s="4"/>
      <c r="Z7" s="4"/>
      <c r="AA7" s="4"/>
      <c r="AB7" s="4"/>
      <c r="AC7" s="4"/>
      <c r="AD7" s="4"/>
      <c r="AE7" s="2"/>
      <c r="AF7" s="2"/>
    </row>
    <row r="8" spans="1:32" ht="21" customHeight="1">
      <c r="A8" s="9" t="s">
        <v>7</v>
      </c>
      <c r="B8" s="30">
        <v>11</v>
      </c>
      <c r="C8" s="30"/>
      <c r="D8" s="30">
        <v>210</v>
      </c>
      <c r="E8" s="23">
        <f t="shared" ref="E8:E32" si="0">D8/$D$7*100</f>
        <v>0.18814506880733944</v>
      </c>
      <c r="F8" s="5" t="s">
        <v>8</v>
      </c>
      <c r="G8" s="4"/>
      <c r="H8" s="4"/>
      <c r="I8" s="4"/>
      <c r="J8" s="4"/>
      <c r="R8" s="4"/>
      <c r="S8" s="4"/>
      <c r="T8" s="4"/>
      <c r="U8" s="4"/>
      <c r="V8" s="4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5.5" customHeight="1">
      <c r="A9" s="9" t="s">
        <v>9</v>
      </c>
      <c r="B9" s="30">
        <v>16</v>
      </c>
      <c r="C9" s="30"/>
      <c r="D9" s="30">
        <v>5902</v>
      </c>
      <c r="E9" s="23">
        <f t="shared" si="0"/>
        <v>5.2877723623853212</v>
      </c>
      <c r="F9" s="5" t="s">
        <v>10</v>
      </c>
      <c r="G9" s="4"/>
      <c r="H9" s="4"/>
      <c r="I9" s="4"/>
      <c r="J9" s="4"/>
      <c r="R9" s="4"/>
      <c r="S9" s="4"/>
      <c r="T9" s="4"/>
      <c r="U9" s="4"/>
      <c r="V9" s="4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7.75" customHeight="1">
      <c r="A10" s="9" t="s">
        <v>11</v>
      </c>
      <c r="B10" s="30">
        <v>5</v>
      </c>
      <c r="C10" s="30"/>
      <c r="D10" s="30">
        <v>18</v>
      </c>
      <c r="E10" s="23">
        <f t="shared" si="0"/>
        <v>1.6126720183486241E-2</v>
      </c>
      <c r="F10" s="5" t="s">
        <v>12</v>
      </c>
      <c r="G10" s="4"/>
      <c r="H10" s="4"/>
      <c r="I10" s="4"/>
      <c r="J10" s="4"/>
      <c r="R10" s="4"/>
      <c r="S10" s="4"/>
      <c r="T10" s="4"/>
      <c r="U10" s="4"/>
      <c r="V10" s="4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.75" customHeight="1">
      <c r="A11" s="9" t="s">
        <v>13</v>
      </c>
      <c r="B11" s="30">
        <v>12</v>
      </c>
      <c r="C11" s="30"/>
      <c r="D11" s="30">
        <v>46</v>
      </c>
      <c r="E11" s="23">
        <f t="shared" si="0"/>
        <v>4.121272935779817E-2</v>
      </c>
      <c r="F11" s="5" t="s">
        <v>14</v>
      </c>
      <c r="G11" s="4"/>
      <c r="H11" s="4"/>
      <c r="I11" s="4"/>
      <c r="J11" s="4"/>
      <c r="R11" s="4"/>
      <c r="S11" s="4"/>
      <c r="T11" s="4"/>
      <c r="U11" s="4"/>
      <c r="V11" s="4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1" customHeight="1">
      <c r="A12" s="9" t="s">
        <v>15</v>
      </c>
      <c r="B12" s="30">
        <v>135</v>
      </c>
      <c r="C12" s="30"/>
      <c r="D12" s="30">
        <v>2832</v>
      </c>
      <c r="E12" s="23">
        <f t="shared" si="0"/>
        <v>2.5372706422018347</v>
      </c>
      <c r="F12" s="5" t="s">
        <v>16</v>
      </c>
      <c r="G12" s="4"/>
      <c r="H12" s="4"/>
      <c r="I12" s="4"/>
      <c r="J12" s="4"/>
      <c r="R12" s="4"/>
      <c r="S12" s="4"/>
      <c r="T12" s="4"/>
      <c r="U12" s="4"/>
      <c r="V12" s="4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1" customHeight="1">
      <c r="A13" s="9" t="s">
        <v>17</v>
      </c>
      <c r="B13" s="30">
        <v>17</v>
      </c>
      <c r="C13" s="30"/>
      <c r="D13" s="30">
        <v>214</v>
      </c>
      <c r="E13" s="23">
        <f t="shared" si="0"/>
        <v>0.19172878440366972</v>
      </c>
      <c r="F13" s="5" t="s">
        <v>18</v>
      </c>
      <c r="G13" s="4"/>
      <c r="H13" s="4"/>
      <c r="I13" s="4"/>
      <c r="J13" s="4"/>
      <c r="R13" s="4"/>
      <c r="S13" s="4"/>
      <c r="T13" s="4"/>
      <c r="U13" s="4"/>
      <c r="V13" s="4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5.5" customHeight="1">
      <c r="A14" s="24" t="s">
        <v>63</v>
      </c>
      <c r="B14" s="30">
        <v>64</v>
      </c>
      <c r="C14" s="30"/>
      <c r="D14" s="30">
        <v>5549</v>
      </c>
      <c r="E14" s="23">
        <f t="shared" si="0"/>
        <v>4.9715094610091741</v>
      </c>
      <c r="F14" s="14" t="s">
        <v>64</v>
      </c>
      <c r="G14" s="4"/>
      <c r="H14" s="4"/>
      <c r="I14" s="4"/>
      <c r="J14" s="4"/>
      <c r="R14" s="4"/>
      <c r="S14" s="4"/>
      <c r="T14" s="4"/>
      <c r="U14" s="4"/>
      <c r="V14" s="4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1" customHeight="1">
      <c r="A15" s="9" t="s">
        <v>19</v>
      </c>
      <c r="B15" s="30">
        <v>13</v>
      </c>
      <c r="C15" s="30"/>
      <c r="D15" s="30">
        <v>1255</v>
      </c>
      <c r="E15" s="23">
        <f t="shared" si="0"/>
        <v>1.1243907683486238</v>
      </c>
      <c r="F15" s="5" t="s">
        <v>20</v>
      </c>
      <c r="G15" s="4"/>
      <c r="H15" s="4"/>
      <c r="I15" s="4"/>
      <c r="J15" s="4"/>
      <c r="R15" s="4"/>
      <c r="S15" s="4"/>
      <c r="T15" s="4"/>
      <c r="U15" s="4"/>
      <c r="V15" s="4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1" customHeight="1">
      <c r="A16" s="9" t="s">
        <v>21</v>
      </c>
      <c r="B16" s="30">
        <v>11</v>
      </c>
      <c r="C16" s="30"/>
      <c r="D16" s="30">
        <v>185</v>
      </c>
      <c r="E16" s="23">
        <f t="shared" si="0"/>
        <v>0.16574684633027523</v>
      </c>
      <c r="F16" s="5" t="s">
        <v>22</v>
      </c>
      <c r="G16" s="4"/>
      <c r="H16" s="4"/>
      <c r="I16" s="4"/>
      <c r="J16" s="4"/>
      <c r="R16" s="4"/>
      <c r="S16" s="4"/>
      <c r="T16" s="4"/>
      <c r="U16" s="4"/>
      <c r="V16" s="4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1" customHeight="1">
      <c r="A17" s="9" t="s">
        <v>65</v>
      </c>
      <c r="B17" s="30">
        <v>411</v>
      </c>
      <c r="C17" s="30"/>
      <c r="D17" s="30">
        <v>42053</v>
      </c>
      <c r="E17" s="23">
        <f t="shared" si="0"/>
        <v>37.67649799311927</v>
      </c>
      <c r="F17" s="5" t="s">
        <v>23</v>
      </c>
      <c r="G17" s="4"/>
      <c r="H17" s="4"/>
      <c r="I17" s="4"/>
      <c r="J17" s="4"/>
      <c r="R17" s="4"/>
      <c r="S17" s="4"/>
      <c r="T17" s="4"/>
      <c r="U17" s="4"/>
      <c r="V17" s="4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1" customHeight="1">
      <c r="A18" s="9" t="s">
        <v>24</v>
      </c>
      <c r="B18" s="30">
        <v>41</v>
      </c>
      <c r="C18" s="30"/>
      <c r="D18" s="30">
        <v>1559</v>
      </c>
      <c r="E18" s="23">
        <f t="shared" si="0"/>
        <v>1.3967531536697249</v>
      </c>
      <c r="F18" s="5" t="s">
        <v>25</v>
      </c>
      <c r="G18" s="4"/>
      <c r="H18" s="4"/>
      <c r="I18" s="4"/>
      <c r="J18" s="4"/>
      <c r="R18" s="4"/>
      <c r="S18" s="4"/>
      <c r="T18" s="4"/>
      <c r="U18" s="4"/>
      <c r="V18" s="4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1" customHeight="1">
      <c r="A19" s="9" t="s">
        <v>26</v>
      </c>
      <c r="B19" s="30">
        <v>382</v>
      </c>
      <c r="C19" s="30"/>
      <c r="D19" s="30">
        <v>20669</v>
      </c>
      <c r="E19" s="23">
        <f t="shared" si="0"/>
        <v>18.517954415137613</v>
      </c>
      <c r="F19" s="5" t="s">
        <v>27</v>
      </c>
      <c r="G19" s="4"/>
      <c r="H19" s="4"/>
      <c r="I19" s="4"/>
      <c r="J19" s="4"/>
      <c r="R19" s="4"/>
      <c r="S19" s="4"/>
      <c r="T19" s="4"/>
      <c r="U19" s="4"/>
      <c r="V19" s="4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1" customHeight="1">
      <c r="A20" s="9" t="s">
        <v>54</v>
      </c>
      <c r="B20" s="30">
        <v>10</v>
      </c>
      <c r="C20" s="30"/>
      <c r="D20" s="30">
        <v>111</v>
      </c>
      <c r="E20" s="23">
        <f t="shared" si="0"/>
        <v>9.9448107798165125E-2</v>
      </c>
      <c r="F20" s="5" t="s">
        <v>28</v>
      </c>
      <c r="G20" s="4"/>
      <c r="H20" s="4"/>
      <c r="I20" s="4"/>
      <c r="J20" s="4"/>
      <c r="R20" s="4"/>
      <c r="S20" s="4"/>
      <c r="T20" s="4"/>
      <c r="U20" s="4"/>
      <c r="V20" s="4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1" customHeight="1">
      <c r="A21" s="9" t="s">
        <v>29</v>
      </c>
      <c r="B21" s="30">
        <v>4</v>
      </c>
      <c r="C21" s="30"/>
      <c r="D21" s="30">
        <v>684</v>
      </c>
      <c r="E21" s="23">
        <f t="shared" si="0"/>
        <v>0.61281536697247707</v>
      </c>
      <c r="F21" s="5" t="s">
        <v>30</v>
      </c>
      <c r="G21" s="4"/>
      <c r="H21" s="4"/>
      <c r="I21" s="4"/>
      <c r="J21" s="4"/>
      <c r="R21" s="4"/>
      <c r="S21" s="4"/>
      <c r="T21" s="4"/>
      <c r="U21" s="4"/>
      <c r="V21" s="4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1" customHeight="1">
      <c r="A22" s="9" t="s">
        <v>31</v>
      </c>
      <c r="B22" s="30">
        <v>1</v>
      </c>
      <c r="C22" s="30"/>
      <c r="D22" s="30">
        <v>2</v>
      </c>
      <c r="E22" s="23">
        <f t="shared" si="0"/>
        <v>1.7918577981651377E-3</v>
      </c>
      <c r="F22" s="5" t="s">
        <v>52</v>
      </c>
      <c r="G22" s="4"/>
      <c r="H22" s="4"/>
      <c r="I22" s="4"/>
      <c r="J22" s="4"/>
      <c r="R22" s="4"/>
      <c r="S22" s="4"/>
      <c r="T22" s="4"/>
      <c r="U22" s="4"/>
      <c r="V22" s="4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1" customHeight="1">
      <c r="A23" s="9" t="s">
        <v>33</v>
      </c>
      <c r="B23" s="30">
        <v>13</v>
      </c>
      <c r="C23" s="30"/>
      <c r="D23" s="30">
        <v>138</v>
      </c>
      <c r="E23" s="23">
        <f t="shared" si="0"/>
        <v>0.12363818807339449</v>
      </c>
      <c r="F23" s="25" t="s">
        <v>32</v>
      </c>
      <c r="G23" s="4"/>
      <c r="H23" s="4"/>
      <c r="I23" s="4"/>
      <c r="J23" s="4"/>
      <c r="R23" s="4"/>
      <c r="S23" s="4"/>
      <c r="T23" s="4"/>
      <c r="U23" s="4"/>
      <c r="V23" s="44"/>
      <c r="W23" s="4"/>
      <c r="X23" s="4"/>
      <c r="Y23" s="4"/>
      <c r="Z23" s="4"/>
      <c r="AA23" s="4"/>
      <c r="AB23" s="4"/>
      <c r="AC23" s="4"/>
      <c r="AD23" s="4"/>
      <c r="AE23" s="9" t="s">
        <v>65</v>
      </c>
      <c r="AF23" s="23">
        <v>37.67649799311927</v>
      </c>
    </row>
    <row r="24" spans="1:32" ht="21" customHeight="1">
      <c r="A24" s="9" t="s">
        <v>35</v>
      </c>
      <c r="B24" s="30">
        <v>28</v>
      </c>
      <c r="C24" s="30"/>
      <c r="D24" s="30">
        <v>156</v>
      </c>
      <c r="E24" s="23">
        <f t="shared" si="0"/>
        <v>0.13976490825688073</v>
      </c>
      <c r="F24" s="5" t="s">
        <v>34</v>
      </c>
      <c r="G24" s="4"/>
      <c r="H24" s="4"/>
      <c r="I24" s="4"/>
      <c r="J24" s="4"/>
      <c r="R24" s="4"/>
      <c r="S24" s="4"/>
      <c r="T24" s="4"/>
      <c r="U24" s="4"/>
      <c r="V24" s="44"/>
      <c r="W24" s="4"/>
      <c r="X24" s="4"/>
      <c r="Y24" s="4"/>
      <c r="Z24" s="4"/>
      <c r="AA24" s="4"/>
      <c r="AB24" s="4"/>
      <c r="AC24" s="4"/>
      <c r="AD24" s="4"/>
      <c r="AE24" s="9" t="s">
        <v>26</v>
      </c>
      <c r="AF24" s="23">
        <v>18.517954415137613</v>
      </c>
    </row>
    <row r="25" spans="1:32" ht="21" customHeight="1">
      <c r="A25" s="9" t="s">
        <v>37</v>
      </c>
      <c r="B25" s="30">
        <v>2</v>
      </c>
      <c r="C25" s="30"/>
      <c r="D25" s="30">
        <v>91</v>
      </c>
      <c r="E25" s="23">
        <f t="shared" si="0"/>
        <v>8.1529529816513763E-2</v>
      </c>
      <c r="F25" s="5" t="s">
        <v>36</v>
      </c>
      <c r="G25" s="4"/>
      <c r="H25" s="4"/>
      <c r="I25" s="4"/>
      <c r="J25" s="4"/>
      <c r="R25" s="4"/>
      <c r="S25" s="4"/>
      <c r="T25" s="4"/>
      <c r="U25" s="4"/>
      <c r="V25" s="44"/>
      <c r="W25" s="4"/>
      <c r="X25" s="4"/>
      <c r="Y25" s="4"/>
      <c r="Z25" s="4"/>
      <c r="AA25" s="4"/>
      <c r="AB25" s="4"/>
      <c r="AC25" s="4"/>
      <c r="AD25" s="4"/>
      <c r="AE25" s="9" t="s">
        <v>51</v>
      </c>
      <c r="AF25" s="23">
        <v>11.50910263761468</v>
      </c>
    </row>
    <row r="26" spans="1:32" ht="21" customHeight="1">
      <c r="A26" s="9" t="s">
        <v>39</v>
      </c>
      <c r="B26" s="30">
        <v>67</v>
      </c>
      <c r="C26" s="30"/>
      <c r="D26" s="30">
        <v>3064</v>
      </c>
      <c r="E26" s="23">
        <f t="shared" si="0"/>
        <v>2.7451261467889907</v>
      </c>
      <c r="F26" s="5" t="s">
        <v>38</v>
      </c>
      <c r="G26" s="4"/>
      <c r="H26" s="4"/>
      <c r="I26" s="4"/>
      <c r="J26" s="4"/>
      <c r="R26" s="4"/>
      <c r="S26" s="4"/>
      <c r="T26" s="4"/>
      <c r="U26" s="4"/>
      <c r="V26" s="44"/>
      <c r="W26" s="4"/>
      <c r="X26" s="4"/>
      <c r="Y26" s="4"/>
      <c r="Z26" s="4"/>
      <c r="AA26" s="4"/>
      <c r="AB26" s="4"/>
      <c r="AC26" s="4"/>
      <c r="AD26" s="4"/>
      <c r="AE26" s="9" t="s">
        <v>9</v>
      </c>
      <c r="AF26" s="23">
        <v>5.2877723623853212</v>
      </c>
    </row>
    <row r="27" spans="1:32" ht="21" customHeight="1">
      <c r="A27" s="9" t="s">
        <v>41</v>
      </c>
      <c r="B27" s="30">
        <v>49</v>
      </c>
      <c r="C27" s="30"/>
      <c r="D27" s="30">
        <v>4971</v>
      </c>
      <c r="E27" s="23">
        <f t="shared" si="0"/>
        <v>4.4536625573394497</v>
      </c>
      <c r="F27" s="5" t="s">
        <v>40</v>
      </c>
      <c r="G27" s="4"/>
      <c r="H27" s="4"/>
      <c r="I27" s="4"/>
      <c r="J27" s="4"/>
      <c r="R27" s="4"/>
      <c r="S27" s="4"/>
      <c r="T27" s="4"/>
      <c r="U27" s="4"/>
      <c r="V27" s="44"/>
      <c r="W27" s="4"/>
      <c r="X27" s="4"/>
      <c r="Y27" s="4"/>
      <c r="Z27" s="4"/>
      <c r="AA27" s="4"/>
      <c r="AB27" s="4"/>
      <c r="AC27" s="4"/>
      <c r="AD27" s="4"/>
      <c r="AE27" s="24" t="s">
        <v>63</v>
      </c>
      <c r="AF27" s="23">
        <v>4.9715094610091741</v>
      </c>
    </row>
    <row r="28" spans="1:32" ht="21" customHeight="1">
      <c r="A28" s="9" t="s">
        <v>43</v>
      </c>
      <c r="B28" s="30">
        <v>268</v>
      </c>
      <c r="C28" s="30"/>
      <c r="D28" s="30">
        <v>3281</v>
      </c>
      <c r="E28" s="23">
        <f t="shared" si="0"/>
        <v>2.9395427178899083</v>
      </c>
      <c r="F28" s="5" t="s">
        <v>42</v>
      </c>
      <c r="G28" s="4"/>
      <c r="H28" s="4"/>
      <c r="I28" s="4"/>
      <c r="J28" s="4"/>
      <c r="R28" s="4"/>
      <c r="S28" s="4"/>
      <c r="T28" s="4"/>
      <c r="U28" s="4"/>
      <c r="V28" s="44"/>
      <c r="W28" s="4"/>
      <c r="X28" s="4"/>
      <c r="Y28" s="4"/>
      <c r="Z28" s="4"/>
      <c r="AA28" s="4"/>
      <c r="AB28" s="4"/>
      <c r="AC28" s="4"/>
      <c r="AD28" s="4"/>
      <c r="AE28" s="9" t="s">
        <v>41</v>
      </c>
      <c r="AF28" s="23">
        <v>4.4536625573394497</v>
      </c>
    </row>
    <row r="29" spans="1:32" ht="21" customHeight="1">
      <c r="A29" s="9" t="s">
        <v>45</v>
      </c>
      <c r="B29" s="30">
        <v>22</v>
      </c>
      <c r="C29" s="30"/>
      <c r="D29" s="30">
        <v>1605</v>
      </c>
      <c r="E29" s="23">
        <f t="shared" si="0"/>
        <v>1.4379658830275228</v>
      </c>
      <c r="F29" s="5" t="s">
        <v>44</v>
      </c>
      <c r="G29" s="4"/>
      <c r="H29" s="4"/>
      <c r="I29" s="4"/>
      <c r="J29" s="4"/>
      <c r="R29" s="4"/>
      <c r="S29" s="4"/>
      <c r="T29" s="4"/>
      <c r="U29" s="4"/>
      <c r="V29" s="44"/>
      <c r="W29" s="4"/>
      <c r="X29" s="4"/>
      <c r="Y29" s="4"/>
      <c r="Z29" s="4"/>
      <c r="AA29" s="4"/>
      <c r="AB29" s="4"/>
      <c r="AC29" s="4"/>
      <c r="AD29" s="4"/>
      <c r="AE29" s="9" t="s">
        <v>49</v>
      </c>
      <c r="AF29" s="23">
        <v>3.7109375</v>
      </c>
    </row>
    <row r="30" spans="1:32" ht="21" customHeight="1">
      <c r="A30" s="9" t="s">
        <v>47</v>
      </c>
      <c r="B30" s="30">
        <v>3</v>
      </c>
      <c r="C30" s="30"/>
      <c r="D30" s="30">
        <v>33</v>
      </c>
      <c r="E30" s="23">
        <f t="shared" si="0"/>
        <v>2.9565653669724773E-2</v>
      </c>
      <c r="F30" s="5" t="s">
        <v>46</v>
      </c>
      <c r="G30" s="4"/>
      <c r="H30" s="4"/>
      <c r="I30" s="4"/>
      <c r="J30" s="4"/>
      <c r="R30" s="4"/>
      <c r="S30" s="4"/>
      <c r="T30" s="4"/>
      <c r="U30" s="4"/>
      <c r="V30" s="44"/>
      <c r="W30" s="4"/>
      <c r="X30" s="4"/>
      <c r="Y30" s="4"/>
      <c r="Z30" s="4"/>
      <c r="AA30" s="4"/>
      <c r="AB30" s="4"/>
      <c r="AC30" s="4"/>
      <c r="AD30" s="4"/>
      <c r="AE30" s="9" t="s">
        <v>43</v>
      </c>
      <c r="AF30" s="23">
        <v>2.9395427178899083</v>
      </c>
    </row>
    <row r="31" spans="1:32" ht="21" customHeight="1">
      <c r="A31" s="9" t="s">
        <v>49</v>
      </c>
      <c r="B31" s="30">
        <v>167</v>
      </c>
      <c r="C31" s="30"/>
      <c r="D31" s="30">
        <v>4142</v>
      </c>
      <c r="E31" s="23">
        <f t="shared" si="0"/>
        <v>3.7109375</v>
      </c>
      <c r="F31" s="5" t="s">
        <v>48</v>
      </c>
      <c r="G31" s="4"/>
      <c r="H31" s="4"/>
      <c r="I31" s="4"/>
      <c r="J31" s="4"/>
      <c r="R31" s="4"/>
      <c r="S31" s="4"/>
      <c r="T31" s="4"/>
      <c r="U31" s="4"/>
      <c r="V31" s="44"/>
      <c r="W31" s="4"/>
      <c r="X31" s="4"/>
      <c r="Y31" s="4"/>
      <c r="Z31" s="4"/>
      <c r="AA31" s="4"/>
      <c r="AB31" s="4"/>
      <c r="AC31" s="4"/>
      <c r="AD31" s="4"/>
      <c r="AE31" s="9" t="s">
        <v>39</v>
      </c>
      <c r="AF31" s="23">
        <v>2.7451261467889907</v>
      </c>
    </row>
    <row r="32" spans="1:32" ht="21" customHeight="1">
      <c r="A32" s="10" t="s">
        <v>51</v>
      </c>
      <c r="B32" s="31">
        <v>481</v>
      </c>
      <c r="C32" s="31"/>
      <c r="D32" s="31">
        <v>12846</v>
      </c>
      <c r="E32" s="26">
        <f t="shared" si="0"/>
        <v>11.50910263761468</v>
      </c>
      <c r="F32" s="6" t="s">
        <v>50</v>
      </c>
      <c r="G32" s="13"/>
      <c r="H32" s="13"/>
      <c r="I32" s="13"/>
      <c r="J32" s="13"/>
      <c r="R32" s="13"/>
      <c r="S32" s="13"/>
      <c r="T32" s="13"/>
      <c r="U32" s="13"/>
      <c r="V32" s="27"/>
      <c r="W32" s="13"/>
      <c r="X32" s="13"/>
      <c r="Y32" s="13"/>
      <c r="Z32" s="13"/>
      <c r="AA32" s="13"/>
      <c r="AB32" s="13"/>
      <c r="AC32" s="13"/>
      <c r="AD32" s="13"/>
      <c r="AE32" s="9" t="s">
        <v>15</v>
      </c>
      <c r="AF32" s="23">
        <v>2.5372706422018347</v>
      </c>
    </row>
    <row r="33" spans="1:32" ht="18.75" customHeight="1">
      <c r="A33" s="16" t="s">
        <v>66</v>
      </c>
      <c r="B33" s="27"/>
      <c r="C33" s="27"/>
      <c r="D33" s="27"/>
      <c r="E33" s="1"/>
      <c r="F33" s="11" t="s">
        <v>5</v>
      </c>
      <c r="G33" s="1"/>
      <c r="H33" s="1"/>
      <c r="I33" s="1"/>
      <c r="J33" s="1"/>
      <c r="R33" s="1"/>
      <c r="S33" s="1"/>
      <c r="T33" s="1"/>
      <c r="U33" s="1"/>
      <c r="V33" s="29"/>
      <c r="W33" s="1"/>
      <c r="X33" s="1"/>
      <c r="Y33" s="1"/>
      <c r="Z33" s="1"/>
      <c r="AA33" s="1"/>
      <c r="AB33" s="1"/>
      <c r="AC33" s="1"/>
      <c r="AD33" s="1"/>
      <c r="AE33" s="9" t="s">
        <v>45</v>
      </c>
      <c r="AF33" s="23">
        <v>1.4379658830275228</v>
      </c>
    </row>
    <row r="34" spans="1:32" ht="15.75" customHeight="1">
      <c r="A34" s="12" t="s">
        <v>4</v>
      </c>
      <c r="B34" s="1"/>
      <c r="C34" s="1"/>
      <c r="D34" s="1"/>
      <c r="E34" s="1"/>
      <c r="F34" s="1"/>
      <c r="G34" s="1"/>
      <c r="H34" s="1"/>
      <c r="I34" s="1"/>
      <c r="J34" s="1"/>
      <c r="R34" s="1"/>
      <c r="S34" s="1"/>
      <c r="T34" s="1"/>
      <c r="U34" s="1"/>
      <c r="V34" s="29"/>
      <c r="W34" s="1"/>
      <c r="X34" s="1"/>
      <c r="Y34" s="1"/>
      <c r="Z34" s="1"/>
      <c r="AA34" s="1"/>
      <c r="AB34" s="1"/>
      <c r="AC34" s="1"/>
      <c r="AD34" s="1"/>
      <c r="AE34" s="9" t="s">
        <v>24</v>
      </c>
      <c r="AF34" s="23">
        <v>1.3967531536697249</v>
      </c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R35" s="1"/>
      <c r="S35" s="1"/>
      <c r="T35" s="1"/>
      <c r="U35" s="1"/>
      <c r="V35" s="29"/>
      <c r="W35" s="1"/>
      <c r="X35" s="1"/>
      <c r="Y35" s="1"/>
      <c r="Z35" s="1"/>
      <c r="AA35" s="1"/>
      <c r="AB35" s="1"/>
      <c r="AC35" s="1"/>
      <c r="AD35" s="1"/>
      <c r="AE35" s="9" t="s">
        <v>19</v>
      </c>
      <c r="AF35" s="23">
        <v>1.1243907683486238</v>
      </c>
    </row>
    <row r="36" spans="1:32" ht="36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R36" s="1"/>
      <c r="S36" s="1"/>
      <c r="T36" s="1"/>
      <c r="U36" s="1"/>
      <c r="V36" s="29"/>
      <c r="W36" s="1"/>
      <c r="X36" s="1"/>
      <c r="Y36" s="1"/>
      <c r="Z36" s="1"/>
      <c r="AA36" s="1"/>
      <c r="AB36" s="1"/>
      <c r="AC36" s="1"/>
      <c r="AD36" s="1"/>
      <c r="AE36" s="9" t="s">
        <v>29</v>
      </c>
      <c r="AF36" s="23">
        <v>0.61281536697247707</v>
      </c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R37" s="1"/>
      <c r="S37" s="1"/>
      <c r="T37" s="1"/>
      <c r="U37" s="1"/>
      <c r="V37" s="29"/>
      <c r="W37" s="1"/>
      <c r="X37" s="1"/>
      <c r="Y37" s="1"/>
      <c r="Z37" s="1"/>
      <c r="AA37" s="1"/>
      <c r="AB37" s="1"/>
      <c r="AC37" s="1"/>
      <c r="AD37" s="1"/>
      <c r="AE37" s="10" t="s">
        <v>31</v>
      </c>
      <c r="AF37" s="32">
        <f>SUM(AF38:AF48)</f>
        <v>1.0786983944954127</v>
      </c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R38" s="1"/>
      <c r="S38" s="1"/>
      <c r="T38" s="1"/>
      <c r="U38" s="1"/>
      <c r="V38" s="29"/>
      <c r="W38" s="1"/>
      <c r="X38" s="1"/>
      <c r="Y38" s="1"/>
      <c r="Z38" s="1"/>
      <c r="AA38" s="1"/>
      <c r="AB38" s="1"/>
      <c r="AC38" s="1"/>
      <c r="AD38" s="1"/>
      <c r="AE38" s="9" t="s">
        <v>17</v>
      </c>
      <c r="AF38" s="23">
        <v>0.19172878440366972</v>
      </c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R39" s="1"/>
      <c r="S39" s="1"/>
      <c r="T39" s="1"/>
      <c r="U39" s="1"/>
      <c r="V39" s="29"/>
      <c r="W39" s="1"/>
      <c r="X39" s="1"/>
      <c r="Y39" s="1"/>
      <c r="Z39" s="1"/>
      <c r="AA39" s="1"/>
      <c r="AB39" s="1"/>
      <c r="AC39" s="1"/>
      <c r="AD39" s="1"/>
      <c r="AE39" s="9" t="s">
        <v>7</v>
      </c>
      <c r="AF39" s="23">
        <v>0.18814506880733944</v>
      </c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29"/>
      <c r="W40" s="1"/>
      <c r="X40" s="1"/>
      <c r="Y40" s="1"/>
      <c r="Z40" s="1"/>
      <c r="AA40" s="1"/>
      <c r="AB40" s="1"/>
      <c r="AC40" s="1"/>
      <c r="AD40" s="1"/>
      <c r="AE40" s="9" t="s">
        <v>21</v>
      </c>
      <c r="AF40" s="23">
        <v>0.16574684633027523</v>
      </c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R41" s="1"/>
      <c r="S41" s="1"/>
      <c r="T41" s="1"/>
      <c r="U41" s="1"/>
      <c r="V41" s="29"/>
      <c r="W41" s="1"/>
      <c r="X41" s="1"/>
      <c r="Y41" s="1"/>
      <c r="Z41" s="1"/>
      <c r="AA41" s="1"/>
      <c r="AB41" s="1"/>
      <c r="AC41" s="1"/>
      <c r="AD41" s="1"/>
      <c r="AE41" s="9" t="s">
        <v>35</v>
      </c>
      <c r="AF41" s="23">
        <v>0.13976490825688073</v>
      </c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R42" s="1"/>
      <c r="S42" s="1"/>
      <c r="T42" s="1"/>
      <c r="U42" s="1"/>
      <c r="V42" s="29"/>
      <c r="W42" s="1"/>
      <c r="X42" s="1"/>
      <c r="Y42" s="1"/>
      <c r="Z42" s="1"/>
      <c r="AA42" s="1"/>
      <c r="AB42" s="1"/>
      <c r="AC42" s="1"/>
      <c r="AD42" s="1"/>
      <c r="AE42" s="9" t="s">
        <v>33</v>
      </c>
      <c r="AF42" s="23">
        <v>0.12363818807339449</v>
      </c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R43" s="1"/>
      <c r="S43" s="1"/>
      <c r="T43" s="1"/>
      <c r="U43" s="1"/>
      <c r="V43" s="29"/>
      <c r="W43" s="1"/>
      <c r="X43" s="1"/>
      <c r="Y43" s="1"/>
      <c r="Z43" s="1"/>
      <c r="AA43" s="1"/>
      <c r="AB43" s="1"/>
      <c r="AC43" s="1"/>
      <c r="AD43" s="1"/>
      <c r="AE43" s="9" t="s">
        <v>54</v>
      </c>
      <c r="AF43" s="23">
        <v>9.9448107798165125E-2</v>
      </c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R44" s="1"/>
      <c r="S44" s="1"/>
      <c r="T44" s="1"/>
      <c r="U44" s="1"/>
      <c r="V44" s="29"/>
      <c r="W44" s="1"/>
      <c r="X44" s="1"/>
      <c r="Y44" s="1"/>
      <c r="Z44" s="1"/>
      <c r="AA44" s="1"/>
      <c r="AB44" s="1"/>
      <c r="AC44" s="1"/>
      <c r="AD44" s="1"/>
      <c r="AE44" s="9" t="s">
        <v>37</v>
      </c>
      <c r="AF44" s="23">
        <v>8.1529529816513763E-2</v>
      </c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R45" s="1"/>
      <c r="S45" s="1"/>
      <c r="T45" s="1"/>
      <c r="U45" s="1"/>
      <c r="V45" s="29"/>
      <c r="W45" s="1"/>
      <c r="X45" s="1"/>
      <c r="Y45" s="1"/>
      <c r="Z45" s="1"/>
      <c r="AA45" s="1"/>
      <c r="AB45" s="1"/>
      <c r="AC45" s="1"/>
      <c r="AD45" s="1"/>
      <c r="AE45" s="9" t="s">
        <v>13</v>
      </c>
      <c r="AF45" s="23">
        <v>4.121272935779817E-2</v>
      </c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R46" s="1"/>
      <c r="S46" s="1"/>
      <c r="T46" s="1"/>
      <c r="U46" s="1"/>
      <c r="V46" s="29"/>
      <c r="W46" s="1"/>
      <c r="X46" s="1"/>
      <c r="Y46" s="1"/>
      <c r="Z46" s="1"/>
      <c r="AA46" s="1"/>
      <c r="AB46" s="1"/>
      <c r="AC46" s="1"/>
      <c r="AD46" s="1"/>
      <c r="AE46" s="9" t="s">
        <v>47</v>
      </c>
      <c r="AF46" s="23">
        <v>2.9565653669724773E-2</v>
      </c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R47" s="1"/>
      <c r="S47" s="1"/>
      <c r="T47" s="1"/>
      <c r="U47" s="1"/>
      <c r="V47" s="29"/>
      <c r="W47" s="1"/>
      <c r="X47" s="1"/>
      <c r="Y47" s="1"/>
      <c r="Z47" s="1"/>
      <c r="AA47" s="1"/>
      <c r="AB47" s="1"/>
      <c r="AC47" s="1"/>
      <c r="AD47" s="1"/>
      <c r="AE47" s="9" t="s">
        <v>11</v>
      </c>
      <c r="AF47" s="23">
        <v>1.6126720183486241E-2</v>
      </c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R48" s="1"/>
      <c r="S48" s="1"/>
      <c r="T48" s="1"/>
      <c r="U48" s="1"/>
      <c r="V48" s="29"/>
      <c r="W48" s="1"/>
      <c r="X48" s="1"/>
      <c r="Y48" s="1"/>
      <c r="Z48" s="1"/>
      <c r="AA48" s="1"/>
      <c r="AB48" s="1"/>
      <c r="AC48" s="1"/>
      <c r="AD48" s="1"/>
      <c r="AE48" s="10" t="s">
        <v>31</v>
      </c>
      <c r="AF48" s="26">
        <v>1.7918577981651377E-3</v>
      </c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R49" s="1"/>
      <c r="S49" s="1"/>
      <c r="T49" s="1"/>
      <c r="U49" s="1"/>
      <c r="V49" s="29"/>
      <c r="W49" s="1"/>
      <c r="X49" s="1"/>
      <c r="Y49" s="1"/>
      <c r="Z49" s="1"/>
      <c r="AA49" s="1"/>
      <c r="AB49" s="1"/>
      <c r="AC49" s="1"/>
      <c r="AD49" s="1"/>
      <c r="AE49" s="10"/>
      <c r="AF49" s="26"/>
    </row>
    <row r="50" spans="1:32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R50" s="1"/>
      <c r="S50" s="1"/>
      <c r="T50" s="1"/>
      <c r="U50" s="1"/>
      <c r="V50" s="29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R51" s="1"/>
      <c r="S51" s="1"/>
      <c r="T51" s="1"/>
      <c r="U51" s="1"/>
      <c r="V51" s="29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R52" s="1"/>
      <c r="S52" s="1"/>
      <c r="T52" s="1"/>
      <c r="U52" s="1"/>
      <c r="V52" s="29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R53" s="1"/>
      <c r="S53" s="1"/>
      <c r="T53" s="1"/>
      <c r="U53" s="1"/>
      <c r="V53" s="29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R54" s="1"/>
      <c r="S54" s="1"/>
      <c r="T54" s="1"/>
      <c r="U54" s="1"/>
      <c r="V54" s="29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R55" s="1"/>
      <c r="S55" s="1"/>
      <c r="T55" s="1"/>
      <c r="U55" s="1"/>
      <c r="V55" s="29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R56" s="1"/>
      <c r="S56" s="1"/>
      <c r="T56" s="1"/>
      <c r="U56" s="1"/>
      <c r="V56" s="29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R57" s="1"/>
      <c r="S57" s="1"/>
      <c r="T57" s="1"/>
      <c r="U57" s="1"/>
      <c r="V57" s="29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R58" s="1"/>
      <c r="S58" s="1"/>
      <c r="T58" s="1"/>
      <c r="U58" s="1"/>
      <c r="V58" s="29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R59" s="1"/>
      <c r="S59" s="1"/>
      <c r="T59" s="1"/>
      <c r="U59" s="1"/>
      <c r="V59" s="29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R60" s="1"/>
      <c r="S60" s="1"/>
      <c r="T60" s="1"/>
      <c r="U60" s="1"/>
      <c r="V60" s="29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R61" s="1"/>
      <c r="S61" s="1"/>
      <c r="T61" s="1"/>
      <c r="U61" s="1"/>
      <c r="V61" s="29"/>
      <c r="W61" s="1"/>
      <c r="X61" s="1"/>
      <c r="Y61" s="1"/>
      <c r="Z61" s="1"/>
      <c r="AA61" s="1"/>
      <c r="AB61" s="1"/>
      <c r="AC61" s="1"/>
      <c r="AD61" s="1"/>
      <c r="AE61" s="1"/>
      <c r="AF61" s="1"/>
    </row>
  </sheetData>
  <sortState xmlns:xlrd2="http://schemas.microsoft.com/office/spreadsheetml/2017/richdata2" ref="AE23:AF47">
    <sortCondition descending="1" ref="AF23:AF47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2023-07-05T03:44:08Z</cp:lastPrinted>
  <dcterms:modified xsi:type="dcterms:W3CDTF">2023-07-05T03:44:26Z</dcterms:modified>
</cp:coreProperties>
</file>