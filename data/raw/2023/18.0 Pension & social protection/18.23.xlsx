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/>
  <mc:AlternateContent xmlns:mc="http://schemas.openxmlformats.org/markup-compatibility/2006">
    <mc:Choice Requires="x15">
      <x15ac:absPath xmlns:x15ac="http://schemas.microsoft.com/office/spreadsheetml/2010/11/ac" url="\\192.168.1.8\st4\Dissemination\Publications\Statistical Year Book\YEARBOOK 2023\FINAL\Pension and Social Protection\"/>
    </mc:Choice>
  </mc:AlternateContent>
  <xr:revisionPtr revIDLastSave="0" documentId="13_ncr:1_{41305E04-737C-4F8E-9C47-A7B862C8F422}" xr6:coauthVersionLast="47" xr6:coauthVersionMax="47" xr10:uidLastSave="{00000000-0000-0000-0000-000000000000}"/>
  <bookViews>
    <workbookView xWindow="-120" yWindow="-120" windowWidth="29040" windowHeight="15840" tabRatio="907" xr2:uid="{00000000-000D-0000-FFFF-FFFF00000000}"/>
  </bookViews>
  <sheets>
    <sheet name="18.23" sheetId="23" r:id="rId1"/>
  </sheets>
  <externalReferences>
    <externalReference r:id="rId2"/>
  </externalReferences>
  <definedNames>
    <definedName name="_xlnm.Print_Area" localSheetId="0">'18.23'!$A$1:$K$50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9" i="23" l="1"/>
  <c r="B28" i="23"/>
  <c r="B27" i="23"/>
  <c r="B26" i="23"/>
  <c r="B25" i="23"/>
  <c r="B24" i="23"/>
  <c r="B23" i="23"/>
  <c r="B22" i="23"/>
  <c r="B21" i="23"/>
  <c r="B20" i="23"/>
  <c r="B19" i="23"/>
  <c r="B18" i="23"/>
  <c r="B17" i="23"/>
  <c r="B16" i="23"/>
  <c r="B15" i="23"/>
  <c r="B14" i="23"/>
  <c r="B13" i="23"/>
  <c r="B12" i="23"/>
  <c r="B11" i="23"/>
  <c r="B10" i="23"/>
  <c r="B9" i="23"/>
  <c r="I8" i="23"/>
  <c r="I6" i="23" s="1"/>
  <c r="F8" i="23"/>
  <c r="F6" i="23" s="1"/>
  <c r="E8" i="23"/>
  <c r="E6" i="23" s="1"/>
  <c r="D8" i="23"/>
  <c r="D6" i="23" s="1"/>
  <c r="C8" i="23"/>
  <c r="B7" i="23"/>
  <c r="H6" i="23"/>
  <c r="G6" i="23"/>
  <c r="C6" i="23"/>
  <c r="B8" i="23" l="1"/>
  <c r="B6" i="23"/>
</calcChain>
</file>

<file path=xl/sharedStrings.xml><?xml version="1.0" encoding="utf-8"?>
<sst xmlns="http://schemas.openxmlformats.org/spreadsheetml/2006/main" count="77" uniqueCount="72">
  <si>
    <t>Pharmacies</t>
  </si>
  <si>
    <t>ތަން</t>
  </si>
  <si>
    <t>Locality</t>
  </si>
  <si>
    <t>Republic</t>
  </si>
  <si>
    <t xml:space="preserve">Male' </t>
  </si>
  <si>
    <t>މާލެ</t>
  </si>
  <si>
    <t>Atolls</t>
  </si>
  <si>
    <t>އަތޮޅުތައް</t>
  </si>
  <si>
    <t>North Thiladhunmathi (HA)</t>
  </si>
  <si>
    <t>South Thiladhunmathi (HDh)</t>
  </si>
  <si>
    <t>North Miladhunmadulu (Sh)</t>
  </si>
  <si>
    <t>South Miladhunmadulu (N)</t>
  </si>
  <si>
    <t>North Maalhosmadulu (R)</t>
  </si>
  <si>
    <t>South Maalhosmadulu (B)</t>
  </si>
  <si>
    <t>Faadhippolhu (Lh)</t>
  </si>
  <si>
    <t>North Ari Atoll (AA)</t>
  </si>
  <si>
    <t>South Ari Atoll (ADh)</t>
  </si>
  <si>
    <t>Felidhu Atoll (V)</t>
  </si>
  <si>
    <t>Mulakatholhu (M)</t>
  </si>
  <si>
    <t>North Nilandhe Atoll (F)</t>
  </si>
  <si>
    <t>South Nilandhe Atoll (Dh)</t>
  </si>
  <si>
    <t>Kolhumadulu (Th)</t>
  </si>
  <si>
    <t>Hadhdhunmathi (L)</t>
  </si>
  <si>
    <t>North Huvadhu Atoll (GA)</t>
  </si>
  <si>
    <t>South Huvadhu Atoll (GDh)</t>
  </si>
  <si>
    <t>Fuvahmulah (Gn)</t>
  </si>
  <si>
    <t>Addu Atoll (S)</t>
  </si>
  <si>
    <t>N</t>
  </si>
  <si>
    <t>L</t>
  </si>
  <si>
    <t>S</t>
  </si>
  <si>
    <t>Total Expenditure (MVR)</t>
  </si>
  <si>
    <t>Hospitals</t>
  </si>
  <si>
    <t>Opticals</t>
  </si>
  <si>
    <t>Clinics</t>
  </si>
  <si>
    <t>Emergency Evacuation - Sea</t>
  </si>
  <si>
    <t>ޖުމްލަ ޚަރަދު</t>
  </si>
  <si>
    <t>clwTiPcsoh</t>
  </si>
  <si>
    <t>IswmWf</t>
  </si>
  <si>
    <t>ctwmcdiKegulol</t>
  </si>
  <si>
    <t>ckiniluk</t>
  </si>
  <si>
    <t>ޓިކެޓް ޚަރަދު</t>
  </si>
  <si>
    <t>އިމަޖެންސީ އިވަކުއޭޝަން</t>
  </si>
  <si>
    <t>ރާއްޖެ</t>
  </si>
  <si>
    <r>
      <t xml:space="preserve">Airfare Tickets </t>
    </r>
    <r>
      <rPr>
        <b/>
        <vertAlign val="superscript"/>
        <sz val="9"/>
        <color theme="1"/>
        <rFont val="Calibri"/>
        <family val="2"/>
        <scheme val="minor"/>
      </rPr>
      <t>1_/</t>
    </r>
  </si>
  <si>
    <t>Emergency Evacuation - Air_/</t>
  </si>
  <si>
    <t>Emergency Evacuation - Sea2_/</t>
  </si>
  <si>
    <t xml:space="preserve">      ah </t>
  </si>
  <si>
    <t>dh</t>
  </si>
  <si>
    <t>n</t>
  </si>
  <si>
    <t>r</t>
  </si>
  <si>
    <t>b</t>
  </si>
  <si>
    <t>Male Atoll (K)</t>
  </si>
  <si>
    <t>k</t>
  </si>
  <si>
    <t>އa</t>
  </si>
  <si>
    <t>da</t>
  </si>
  <si>
    <t>v</t>
  </si>
  <si>
    <t>m</t>
  </si>
  <si>
    <t>f</t>
  </si>
  <si>
    <t>d</t>
  </si>
  <si>
    <t>t</t>
  </si>
  <si>
    <t>l</t>
  </si>
  <si>
    <t>ag</t>
  </si>
  <si>
    <t xml:space="preserve"> dg</t>
  </si>
  <si>
    <t>s</t>
  </si>
  <si>
    <t>Overseas hospitals</t>
  </si>
  <si>
    <t>ރާއްޖޭން ބޭރު ހޮސްޕިޓަލުތައް</t>
  </si>
  <si>
    <r>
      <rPr>
        <i/>
        <vertAlign val="superscript"/>
        <sz val="9"/>
        <color theme="1"/>
        <rFont val="Calibri"/>
        <family val="2"/>
        <scheme val="minor"/>
      </rPr>
      <t>1.</t>
    </r>
    <r>
      <rPr>
        <i/>
        <sz val="9"/>
        <color theme="1"/>
        <rFont val="Calibri"/>
        <family val="2"/>
        <scheme val="minor"/>
      </rPr>
      <t xml:space="preserve"> Type 'Airfare Tickets' is designated for the ticket expenditure on cases referred abroad</t>
    </r>
  </si>
  <si>
    <r>
      <rPr>
        <i/>
        <vertAlign val="superscript"/>
        <sz val="10"/>
        <color theme="1"/>
        <rFont val="Calibri"/>
        <family val="2"/>
        <scheme val="minor"/>
      </rPr>
      <t>2.</t>
    </r>
    <r>
      <rPr>
        <i/>
        <sz val="10"/>
        <color theme="1"/>
        <rFont val="Calibri"/>
        <family val="2"/>
        <scheme val="minor"/>
      </rPr>
      <t>Expenditure aggregated based on Service Provider's geograpical location as specified above</t>
    </r>
  </si>
  <si>
    <t xml:space="preserve">Airfare Tickets </t>
  </si>
  <si>
    <t>Emergency Evacuation - Air</t>
  </si>
  <si>
    <t>ތާވަލް 18.23: އިޖްތިމާއީ ރައްކާތެރިކަމުގެ ދަށުން އަތޮޅުތަކުން ދެވޭ ޙިދުމަތްތައް ފޯރުކޮށްދޭ ތަންތަނަށް ކުރެވިފައިވާ ޚަރަދު، 2022</t>
  </si>
  <si>
    <t>Table 18.23 :  EXPENDITURE ON AASANDHA SERVICES BY TYPE OF INSTITUTION AND ATOLL , 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</si>
</sst>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6" formatCode="General_)"/>
    <numFmt numFmtId="167" formatCode="_-* #,##0.00_-;\-* #,##0.00_-;_-* &quot;-&quot;??_-;_-@_-"/>
    <numFmt numFmtId="168" formatCode="_-* #,##0_-;\-* #,##0_-;_-* &quot;-&quot;??_-;_-@_-"/>
  </numFmts>
  <fonts count="31" x14ac:knownFonts="1">
    <font>
      <sz val="11"/>
      <color rgb="FF000000"/>
      <name val="Calibri"/>
      <scheme val="minor"/>
    </font>
    <font>
      <sz val="11"/>
      <color rgb="FF000000"/>
      <name val="Calibri"/>
      <family val="2"/>
    </font>
    <font>
      <b/>
      <sz val="11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 tint="0.14999847407452621"/>
      <name val="Faruma"/>
    </font>
    <font>
      <b/>
      <sz val="11"/>
      <color theme="1" tint="0.14999847407452621"/>
      <name val="Calibri"/>
      <family val="2"/>
      <scheme val="minor"/>
    </font>
    <font>
      <b/>
      <sz val="10"/>
      <color theme="1"/>
      <name val="Faruma"/>
    </font>
    <font>
      <sz val="9"/>
      <color theme="1"/>
      <name val="Faruma"/>
    </font>
    <font>
      <sz val="10"/>
      <name val="Courier"/>
      <family val="3"/>
    </font>
    <font>
      <b/>
      <sz val="10"/>
      <name val="Faruma"/>
    </font>
    <font>
      <b/>
      <sz val="10"/>
      <color theme="1"/>
      <name val="Calibri"/>
      <family val="2"/>
      <scheme val="minor"/>
    </font>
    <font>
      <b/>
      <sz val="10"/>
      <color theme="1" tint="0.14999847407452621"/>
      <name val="Calibri"/>
      <family val="2"/>
      <scheme val="minor"/>
    </font>
    <font>
      <b/>
      <sz val="11"/>
      <color theme="1"/>
      <name val="Calibri"/>
      <family val="2"/>
      <charset val="1"/>
      <scheme val="minor"/>
    </font>
    <font>
      <sz val="10"/>
      <color theme="1" tint="0.1499984740745262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8"/>
      <name val="Calibri"/>
      <family val="2"/>
      <scheme val="minor"/>
    </font>
    <font>
      <b/>
      <sz val="11"/>
      <color theme="1"/>
      <name val="Faruma"/>
    </font>
    <font>
      <sz val="10"/>
      <color theme="1"/>
      <name val="Calibri"/>
      <family val="2"/>
      <charset val="1"/>
      <scheme val="minor"/>
    </font>
    <font>
      <b/>
      <sz val="10"/>
      <name val="A_Randhoo"/>
    </font>
    <font>
      <b/>
      <sz val="10"/>
      <color theme="1"/>
      <name val="Calibri"/>
      <family val="2"/>
      <charset val="1"/>
      <scheme val="minor"/>
    </font>
    <font>
      <b/>
      <vertAlign val="superscript"/>
      <sz val="9"/>
      <color theme="1"/>
      <name val="Calibri"/>
      <family val="2"/>
      <scheme val="minor"/>
    </font>
    <font>
      <sz val="10"/>
      <color theme="1" tint="0.14999847407452621"/>
      <name val="A_Funa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1" tint="0.14999847407452621"/>
      <name val="Faruma"/>
    </font>
    <font>
      <sz val="9"/>
      <color theme="1"/>
      <name val="Calibri"/>
      <family val="2"/>
      <charset val="1"/>
      <scheme val="minor"/>
    </font>
    <font>
      <i/>
      <vertAlign val="superscript"/>
      <sz val="9"/>
      <color theme="1"/>
      <name val="Calibri"/>
      <family val="2"/>
      <scheme val="minor"/>
    </font>
    <font>
      <i/>
      <vertAlign val="superscript"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dotted">
        <color indexed="64"/>
      </bottom>
      <diagonal/>
    </border>
  </borders>
  <cellStyleXfs count="13">
    <xf numFmtId="0" fontId="0" fillId="0" borderId="0"/>
    <xf numFmtId="0" fontId="4" fillId="0" borderId="1"/>
    <xf numFmtId="164" fontId="9" fillId="0" borderId="1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</cellStyleXfs>
  <cellXfs count="54">
    <xf numFmtId="0" fontId="0" fillId="0" borderId="0" xfId="0"/>
    <xf numFmtId="0" fontId="0" fillId="2" borderId="0" xfId="0" applyFill="1"/>
    <xf numFmtId="0" fontId="0" fillId="2" borderId="1" xfId="0" applyFill="1" applyBorder="1"/>
    <xf numFmtId="166" fontId="18" fillId="2" borderId="1" xfId="2" applyNumberFormat="1" applyFont="1" applyFill="1" applyAlignment="1">
      <alignment horizontal="right" vertical="center" wrapText="1"/>
    </xf>
    <xf numFmtId="164" fontId="15" fillId="2" borderId="2" xfId="4" applyNumberFormat="1" applyFont="1" applyFill="1" applyBorder="1" applyAlignment="1">
      <alignment horizontal="right" vertical="center"/>
    </xf>
    <xf numFmtId="167" fontId="2" fillId="2" borderId="4" xfId="4" applyNumberFormat="1" applyFont="1" applyFill="1" applyBorder="1" applyAlignment="1">
      <alignment horizontal="right" vertical="center" wrapText="1"/>
    </xf>
    <xf numFmtId="166" fontId="16" fillId="2" borderId="4" xfId="2" applyNumberFormat="1" applyFont="1" applyFill="1" applyBorder="1" applyAlignment="1">
      <alignment horizontal="right" vertical="center" wrapText="1"/>
    </xf>
    <xf numFmtId="167" fontId="2" fillId="2" borderId="4" xfId="4" applyNumberFormat="1" applyFont="1" applyFill="1" applyBorder="1" applyAlignment="1">
      <alignment horizontal="right" vertical="center"/>
    </xf>
    <xf numFmtId="167" fontId="11" fillId="2" borderId="4" xfId="4" applyNumberFormat="1" applyFont="1" applyFill="1" applyBorder="1" applyAlignment="1">
      <alignment horizontal="right" vertical="center" wrapText="1"/>
    </xf>
    <xf numFmtId="0" fontId="0" fillId="2" borderId="0" xfId="0" applyFill="1" applyAlignment="1">
      <alignment horizontal="center" vertical="center"/>
    </xf>
    <xf numFmtId="166" fontId="10" fillId="2" borderId="2" xfId="2" applyNumberFormat="1" applyFont="1" applyFill="1" applyBorder="1" applyAlignment="1">
      <alignment horizontal="right" vertical="center" wrapText="1"/>
    </xf>
    <xf numFmtId="166" fontId="21" fillId="2" borderId="2" xfId="2" applyNumberFormat="1" applyFont="1" applyFill="1" applyBorder="1" applyAlignment="1">
      <alignment horizontal="right" vertical="center" wrapText="1"/>
    </xf>
    <xf numFmtId="168" fontId="22" fillId="2" borderId="0" xfId="0" applyNumberFormat="1" applyFont="1" applyFill="1" applyAlignment="1">
      <alignment horizontal="left" vertical="center"/>
    </xf>
    <xf numFmtId="0" fontId="13" fillId="2" borderId="0" xfId="0" applyFont="1" applyFill="1" applyAlignment="1">
      <alignment horizontal="center" vertical="center"/>
    </xf>
    <xf numFmtId="0" fontId="17" fillId="2" borderId="0" xfId="0" applyFont="1" applyFill="1" applyAlignment="1">
      <alignment vertical="center"/>
    </xf>
    <xf numFmtId="0" fontId="0" fillId="2" borderId="1" xfId="0" applyFill="1" applyBorder="1" applyAlignment="1">
      <alignment horizontal="center" vertical="center"/>
    </xf>
    <xf numFmtId="3" fontId="6" fillId="2" borderId="1" xfId="1" applyNumberFormat="1" applyFont="1" applyFill="1" applyAlignment="1">
      <alignment horizontal="center" vertical="top" wrapText="1"/>
    </xf>
    <xf numFmtId="168" fontId="11" fillId="2" borderId="1" xfId="4" applyNumberFormat="1" applyFont="1" applyFill="1" applyAlignment="1">
      <alignment horizontal="center" vertical="center"/>
    </xf>
    <xf numFmtId="0" fontId="7" fillId="2" borderId="0" xfId="0" applyFont="1" applyFill="1" applyAlignment="1">
      <alignment horizontal="right" vertical="center" indent="3"/>
    </xf>
    <xf numFmtId="168" fontId="13" fillId="2" borderId="0" xfId="0" applyNumberFormat="1" applyFont="1" applyFill="1" applyAlignment="1">
      <alignment horizontal="center" vertical="center"/>
    </xf>
    <xf numFmtId="168" fontId="12" fillId="2" borderId="1" xfId="4" applyNumberFormat="1" applyFont="1" applyFill="1" applyBorder="1" applyAlignment="1"/>
    <xf numFmtId="168" fontId="22" fillId="2" borderId="1" xfId="4" applyNumberFormat="1" applyFont="1" applyFill="1" applyAlignment="1">
      <alignment vertical="center"/>
    </xf>
    <xf numFmtId="0" fontId="13" fillId="2" borderId="0" xfId="0" applyFont="1" applyFill="1"/>
    <xf numFmtId="164" fontId="15" fillId="2" borderId="1" xfId="4" applyNumberFormat="1" applyFont="1" applyFill="1" applyAlignment="1">
      <alignment horizontal="right" vertical="center"/>
    </xf>
    <xf numFmtId="168" fontId="14" fillId="2" borderId="1" xfId="4" applyNumberFormat="1" applyFont="1" applyFill="1" applyBorder="1" applyAlignment="1"/>
    <xf numFmtId="168" fontId="15" fillId="2" borderId="1" xfId="4" applyNumberFormat="1" applyFont="1" applyFill="1" applyAlignment="1">
      <alignment vertical="center"/>
    </xf>
    <xf numFmtId="3" fontId="24" fillId="2" borderId="1" xfId="1" applyNumberFormat="1" applyFont="1" applyFill="1" applyAlignment="1">
      <alignment horizontal="right" vertical="center" indent="3"/>
    </xf>
    <xf numFmtId="167" fontId="2" fillId="2" borderId="1" xfId="0" applyNumberFormat="1" applyFont="1" applyFill="1" applyBorder="1" applyAlignment="1">
      <alignment horizontal="right"/>
    </xf>
    <xf numFmtId="0" fontId="25" fillId="2" borderId="1" xfId="0" applyFont="1" applyFill="1" applyBorder="1"/>
    <xf numFmtId="168" fontId="20" fillId="2" borderId="1" xfId="4" applyNumberFormat="1" applyFont="1" applyFill="1" applyBorder="1" applyAlignment="1"/>
    <xf numFmtId="167" fontId="26" fillId="2" borderId="1" xfId="4" applyNumberFormat="1" applyFont="1" applyFill="1" applyBorder="1" applyAlignment="1">
      <alignment horizontal="right" vertical="center" wrapText="1"/>
    </xf>
    <xf numFmtId="167" fontId="26" fillId="2" borderId="1" xfId="4" applyNumberFormat="1" applyFont="1" applyFill="1" applyBorder="1" applyAlignment="1">
      <alignment horizontal="right" vertical="center"/>
    </xf>
    <xf numFmtId="168" fontId="26" fillId="2" borderId="1" xfId="4" applyNumberFormat="1" applyFont="1" applyFill="1" applyBorder="1" applyAlignment="1">
      <alignment horizontal="center" vertical="center"/>
    </xf>
    <xf numFmtId="168" fontId="26" fillId="2" borderId="1" xfId="4" applyNumberFormat="1" applyFont="1" applyFill="1" applyBorder="1" applyAlignment="1">
      <alignment horizontal="right" vertical="center"/>
    </xf>
    <xf numFmtId="168" fontId="25" fillId="2" borderId="1" xfId="4" applyNumberFormat="1" applyFont="1" applyFill="1" applyBorder="1"/>
    <xf numFmtId="168" fontId="0" fillId="2" borderId="1" xfId="0" applyNumberFormat="1" applyFill="1" applyBorder="1"/>
    <xf numFmtId="0" fontId="28" fillId="2" borderId="0" xfId="0" applyFont="1" applyFill="1" applyAlignment="1">
      <alignment vertical="center"/>
    </xf>
    <xf numFmtId="0" fontId="28" fillId="2" borderId="1" xfId="0" applyFont="1" applyFill="1" applyBorder="1" applyAlignment="1">
      <alignment vertical="center"/>
    </xf>
    <xf numFmtId="3" fontId="27" fillId="2" borderId="2" xfId="1" applyNumberFormat="1" applyFont="1" applyFill="1" applyBorder="1" applyAlignment="1">
      <alignment horizontal="right" vertical="center"/>
    </xf>
    <xf numFmtId="0" fontId="8" fillId="2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168" fontId="0" fillId="2" borderId="0" xfId="0" applyNumberFormat="1" applyFill="1"/>
    <xf numFmtId="167" fontId="0" fillId="2" borderId="1" xfId="4" applyNumberFormat="1" applyFont="1" applyFill="1"/>
    <xf numFmtId="167" fontId="0" fillId="2" borderId="1" xfId="4" applyNumberFormat="1" applyFont="1" applyFill="1" applyAlignment="1">
      <alignment horizontal="right"/>
    </xf>
    <xf numFmtId="167" fontId="2" fillId="2" borderId="1" xfId="4" applyNumberFormat="1" applyFont="1" applyFill="1"/>
    <xf numFmtId="168" fontId="15" fillId="2" borderId="2" xfId="4" applyNumberFormat="1" applyFont="1" applyFill="1" applyBorder="1" applyAlignment="1">
      <alignment vertical="center"/>
    </xf>
    <xf numFmtId="164" fontId="15" fillId="2" borderId="1" xfId="4" applyNumberFormat="1" applyFont="1" applyFill="1" applyAlignment="1">
      <alignment vertical="center"/>
    </xf>
    <xf numFmtId="168" fontId="14" fillId="2" borderId="2" xfId="4" applyNumberFormat="1" applyFont="1" applyFill="1" applyBorder="1" applyAlignment="1"/>
    <xf numFmtId="166" fontId="16" fillId="2" borderId="3" xfId="2" applyNumberFormat="1" applyFont="1" applyFill="1" applyBorder="1" applyAlignment="1">
      <alignment horizontal="left" vertical="center" wrapText="1"/>
    </xf>
    <xf numFmtId="166" fontId="16" fillId="2" borderId="2" xfId="2" applyNumberFormat="1" applyFont="1" applyFill="1" applyBorder="1" applyAlignment="1">
      <alignment horizontal="left" vertical="center" wrapText="1"/>
    </xf>
    <xf numFmtId="3" fontId="5" fillId="2" borderId="1" xfId="1" applyNumberFormat="1" applyFont="1" applyFill="1" applyAlignment="1">
      <alignment horizontal="center" wrapText="1" readingOrder="2"/>
    </xf>
    <xf numFmtId="3" fontId="6" fillId="2" borderId="1" xfId="1" applyNumberFormat="1" applyFont="1" applyFill="1" applyAlignment="1">
      <alignment horizontal="center" vertical="top" wrapText="1"/>
    </xf>
    <xf numFmtId="0" fontId="19" fillId="2" borderId="3" xfId="0" applyFont="1" applyFill="1" applyBorder="1" applyAlignment="1">
      <alignment horizontal="right" vertical="center" indent="2"/>
    </xf>
    <xf numFmtId="0" fontId="19" fillId="2" borderId="2" xfId="0" applyFont="1" applyFill="1" applyBorder="1" applyAlignment="1">
      <alignment horizontal="right" vertical="center" indent="2"/>
    </xf>
  </cellXfs>
  <cellStyles count="13">
    <cellStyle name="Comma 23" xfId="3" xr:uid="{3E5BAF3C-F617-4E2D-A85B-C690E04E58B3}"/>
    <cellStyle name="Comma 3" xfId="4" xr:uid="{6D4A6997-1191-41C6-BFD1-905BCFA15FB4}"/>
    <cellStyle name="Normal" xfId="0" builtinId="0"/>
    <cellStyle name="Normal 10" xfId="6" xr:uid="{06DA859A-5D9A-4216-AE3D-7F80C4883077}"/>
    <cellStyle name="Normal 2" xfId="2" xr:uid="{F2AF85D4-6C8D-4AD8-963A-A6E1AB9E7E54}"/>
    <cellStyle name="Normal 30 2" xfId="5" xr:uid="{C71C314A-D15E-4E30-8A14-8D449AD00B59}"/>
    <cellStyle name="Normal 39" xfId="7" xr:uid="{4F4E8F7A-67E6-4096-8E34-05E38D8ED152}"/>
    <cellStyle name="Normal 40" xfId="8" xr:uid="{033E8D92-629F-4AC2-AC89-1CD1CA9F4E8C}"/>
    <cellStyle name="Normal 41" xfId="9" xr:uid="{5187C0CE-C1F8-4630-ADBD-B30A1ED7A0DC}"/>
    <cellStyle name="Normal 44" xfId="10" xr:uid="{E4C0E057-F35D-4158-B0F8-9AA77ED2402B}"/>
    <cellStyle name="Normal 58" xfId="12" xr:uid="{49593C51-6AD9-47F1-9876-4E87D3F435A6}"/>
    <cellStyle name="Normal 59" xfId="11" xr:uid="{35463A83-6A14-47E2-8F60-A12790F7E977}"/>
    <cellStyle name="Normal_II-15(Population) 2" xfId="1" xr:uid="{95EBC99F-8B2B-487D-886D-8D6969A801C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6"/>
    </mc:Choice>
    <mc:Fallback>
      <c:style val="16"/>
    </mc:Fallback>
  </mc:AlternateContent>
  <c:chart>
    <c:title>
      <c:tx>
        <c:rich>
          <a:bodyPr/>
          <a:lstStyle/>
          <a:p>
            <a:pPr>
              <a:defRPr sz="1000"/>
            </a:pPr>
            <a:r>
              <a:rPr lang="en-US" sz="1000">
                <a:latin typeface="Consolas" pitchFamily="49" charset="0"/>
                <a:cs typeface="Consolas" pitchFamily="49" charset="0"/>
              </a:rPr>
              <a:t>Figure 18.24: Percentage share of expenditure on Aasandha by Institution, 2022</a:t>
            </a:r>
          </a:p>
        </c:rich>
      </c:tx>
      <c:layout>
        <c:manualLayout>
          <c:xMode val="edge"/>
          <c:yMode val="edge"/>
          <c:x val="8.8488577237868293E-2"/>
          <c:y val="4.4936709259321063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269020019671666"/>
          <c:y val="0.21420093676913035"/>
          <c:w val="0.32249083637528503"/>
          <c:h val="0.81840157908845013"/>
        </c:manualLayout>
      </c:layout>
      <c:doughnutChart>
        <c:varyColors val="1"/>
        <c:ser>
          <c:idx val="0"/>
          <c:order val="0"/>
          <c:spPr>
            <a:effectLst/>
          </c:spPr>
          <c:explosion val="1"/>
          <c:dPt>
            <c:idx val="0"/>
            <c:bubble3D val="0"/>
            <c:explosion val="3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774D-436F-91C5-FC3E9034D64F}"/>
              </c:ext>
            </c:extLst>
          </c:dPt>
          <c:dPt>
            <c:idx val="1"/>
            <c:bubble3D val="0"/>
            <c:explosion val="3"/>
            <c:spPr>
              <a:solidFill>
                <a:schemeClr val="accent5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774D-436F-91C5-FC3E9034D64F}"/>
              </c:ext>
            </c:extLst>
          </c:dPt>
          <c:dPt>
            <c:idx val="2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774D-436F-91C5-FC3E9034D64F}"/>
              </c:ext>
            </c:extLst>
          </c:dPt>
          <c:dPt>
            <c:idx val="3"/>
            <c:bubble3D val="0"/>
            <c:explosion val="3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774D-436F-91C5-FC3E9034D64F}"/>
              </c:ext>
            </c:extLst>
          </c:dPt>
          <c:dPt>
            <c:idx val="4"/>
            <c:bubble3D val="0"/>
            <c:explosion val="5"/>
            <c:spPr>
              <a:solidFill>
                <a:srgbClr val="FFC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774D-436F-91C5-FC3E9034D64F}"/>
              </c:ext>
            </c:extLst>
          </c:dPt>
          <c:dPt>
            <c:idx val="5"/>
            <c:bubble3D val="0"/>
            <c:spPr>
              <a:solidFill>
                <a:schemeClr val="bg1">
                  <a:lumMod val="6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774D-436F-91C5-FC3E9034D64F}"/>
              </c:ext>
            </c:extLst>
          </c:dPt>
          <c:dLbls>
            <c:dLbl>
              <c:idx val="0"/>
              <c:layout>
                <c:manualLayout>
                  <c:x val="-6.431013058586268E-3"/>
                  <c:y val="-1.9801913384824798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74D-436F-91C5-FC3E9034D64F}"/>
                </c:ext>
              </c:extLst>
            </c:dLbl>
            <c:dLbl>
              <c:idx val="1"/>
              <c:layout>
                <c:manualLayout>
                  <c:x val="-1.4961257450445476E-2"/>
                  <c:y val="-2.9482913085336244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774D-436F-91C5-FC3E9034D64F}"/>
                </c:ext>
              </c:extLst>
            </c:dLbl>
            <c:dLbl>
              <c:idx val="2"/>
              <c:layout>
                <c:manualLayout>
                  <c:x val="7.5968077575225529E-2"/>
                  <c:y val="-0.10461765993386744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774D-436F-91C5-FC3E9034D64F}"/>
                </c:ext>
              </c:extLst>
            </c:dLbl>
            <c:dLbl>
              <c:idx val="3"/>
              <c:layout>
                <c:manualLayout>
                  <c:x val="1.7721728712004801E-2"/>
                  <c:y val="3.7399001827674301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7406498195754133"/>
                      <c:h val="9.866133368287499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7-774D-436F-91C5-FC3E9034D64F}"/>
                </c:ext>
              </c:extLst>
            </c:dLbl>
            <c:dLbl>
              <c:idx val="4"/>
              <c:layout>
                <c:manualLayout>
                  <c:x val="0.11450562739716597"/>
                  <c:y val="2.2414978520498889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774D-436F-91C5-FC3E9034D64F}"/>
                </c:ext>
              </c:extLst>
            </c:dLbl>
            <c:dLbl>
              <c:idx val="5"/>
              <c:layout>
                <c:manualLayout>
                  <c:x val="0.1383829361594883"/>
                  <c:y val="8.4253250366647783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774D-436F-91C5-FC3E9034D64F}"/>
                </c:ext>
              </c:extLst>
            </c:dLbl>
            <c:dLbl>
              <c:idx val="6"/>
              <c:layout>
                <c:manualLayout>
                  <c:x val="0.11640579838316852"/>
                  <c:y val="0.18018945736127359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1951585731099849"/>
                      <c:h val="9.803623939318245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D-774D-436F-91C5-FC3E9034D64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/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>
                  <a:solidFill>
                    <a:schemeClr val="bg1">
                      <a:lumMod val="75000"/>
                    </a:schemeClr>
                  </a:solidFill>
                </a:ln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'18.23'!$Y$36:$AE$36</c:f>
              <c:strCache>
                <c:ptCount val="7"/>
                <c:pt idx="0">
                  <c:v>Hospitals</c:v>
                </c:pt>
                <c:pt idx="1">
                  <c:v>Pharmacies</c:v>
                </c:pt>
                <c:pt idx="2">
                  <c:v>Opticals</c:v>
                </c:pt>
                <c:pt idx="3">
                  <c:v>Clinics</c:v>
                </c:pt>
                <c:pt idx="4">
                  <c:v> Airfare Tickets  </c:v>
                </c:pt>
                <c:pt idx="5">
                  <c:v> Emergency Evacuation - Air </c:v>
                </c:pt>
                <c:pt idx="6">
                  <c:v> Emergency Evacuation - Sea </c:v>
                </c:pt>
              </c:strCache>
            </c:strRef>
          </c:cat>
          <c:val>
            <c:numRef>
              <c:f>'18.23'!$Y$37:$AE$37</c:f>
              <c:numCache>
                <c:formatCode>_-* #,##0_-;\-* #,##0_-;_-* "-"??_-;_-@_-</c:formatCode>
                <c:ptCount val="7"/>
                <c:pt idx="0">
                  <c:v>1533244099.6522</c:v>
                </c:pt>
                <c:pt idx="1">
                  <c:v>998241981.84299994</c:v>
                </c:pt>
                <c:pt idx="2">
                  <c:v>38429204.559999995</c:v>
                </c:pt>
                <c:pt idx="3">
                  <c:v>140097814.5</c:v>
                </c:pt>
                <c:pt idx="4">
                  <c:v>65595774.000000082</c:v>
                </c:pt>
                <c:pt idx="5">
                  <c:v>24405605.230000004</c:v>
                </c:pt>
                <c:pt idx="6" formatCode="General">
                  <c:v>23081568.279999997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774D-436F-91C5-FC3E9034D64F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115"/>
        <c:holeSize val="50"/>
      </c:doughnutChart>
    </c:plotArea>
    <c:plotVisOnly val="1"/>
    <c:dispBlanksAs val="zero"/>
    <c:showDLblsOverMax val="0"/>
  </c:chart>
  <c:printSettings>
    <c:headerFooter/>
    <c:pageMargins b="0.75000000000000155" l="0.70000000000000062" r="0.70000000000000062" t="0.7500000000000015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1194891</xdr:colOff>
      <xdr:row>32</xdr:row>
      <xdr:rowOff>166075</xdr:rowOff>
    </xdr:from>
    <xdr:to>
      <xdr:col>8</xdr:col>
      <xdr:colOff>426022</xdr:colOff>
      <xdr:row>49</xdr:row>
      <xdr:rowOff>10094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8906A57-E16C-4414-A9D1-9837C40AFE3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192.168.1.8\st4\Dissemination\Publications\Statistical%20Year%20Book\YEARBOOK%202023\RECEIVED\18.%20PENSION%20AND%20SOCIAL%20PROTECTION%20-%20NSPA%20&amp;%20Aasandha.xlsx" TargetMode="External"/><Relationship Id="rId1" Type="http://schemas.openxmlformats.org/officeDocument/2006/relationships/externalLinkPath" Target="/Dissemination/Publications/Statistical%20Year%20Book/YEARBOOK%202023/RECEIVED/18.%20PENSION%20AND%20SOCIAL%20PROTECTION%20-%20NSPA%20&amp;%20Aasandh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18.18"/>
      <sheetName val="18.19"/>
      <sheetName val="18.20"/>
      <sheetName val="18.21"/>
      <sheetName val="18.22"/>
      <sheetName val="18.23"/>
      <sheetName val="18.24"/>
      <sheetName val="18.25"/>
      <sheetName val="18.26"/>
      <sheetName val="18.27"/>
    </sheetNames>
    <sheetDataSet>
      <sheetData sheetId="0"/>
      <sheetData sheetId="1"/>
      <sheetData sheetId="2"/>
      <sheetData sheetId="3">
        <row r="7">
          <cell r="A7" t="str">
            <v xml:space="preserve">Male' </v>
          </cell>
          <cell r="B7">
            <v>1630627599.4917998</v>
          </cell>
        </row>
        <row r="8">
          <cell r="A8" t="str">
            <v>Atolls</v>
          </cell>
          <cell r="B8">
            <v>870548839.8180002</v>
          </cell>
        </row>
        <row r="9">
          <cell r="A9" t="str">
            <v>Overseas</v>
          </cell>
          <cell r="B9">
            <v>321919608.7554</v>
          </cell>
        </row>
        <row r="11">
          <cell r="X11">
            <v>2016</v>
          </cell>
          <cell r="Y11">
            <v>2017</v>
          </cell>
          <cell r="Z11">
            <v>2018</v>
          </cell>
          <cell r="AA11">
            <v>2019</v>
          </cell>
          <cell r="AB11">
            <v>2020</v>
          </cell>
          <cell r="AC11">
            <v>2021</v>
          </cell>
        </row>
        <row r="12">
          <cell r="U12" t="str">
            <v>Republic</v>
          </cell>
          <cell r="X12">
            <v>1675199187.0308001</v>
          </cell>
          <cell r="Y12">
            <v>1797290685.4405</v>
          </cell>
          <cell r="Z12">
            <v>2164672441.0613999</v>
          </cell>
          <cell r="AA12">
            <v>2433716952.1484995</v>
          </cell>
          <cell r="AB12">
            <v>2014669790.0487001</v>
          </cell>
          <cell r="AC12">
            <v>2823096048.0652003</v>
          </cell>
        </row>
        <row r="13">
          <cell r="U13" t="str">
            <v xml:space="preserve">Male' </v>
          </cell>
          <cell r="X13">
            <v>899761456.92000008</v>
          </cell>
          <cell r="Y13">
            <v>1040187042.5204999</v>
          </cell>
          <cell r="Z13">
            <v>1255240833.9584999</v>
          </cell>
          <cell r="AA13">
            <v>1488868041.2019994</v>
          </cell>
          <cell r="AB13">
            <v>1164428500.4760997</v>
          </cell>
          <cell r="AC13">
            <v>1630627599.4917998</v>
          </cell>
        </row>
        <row r="14">
          <cell r="U14" t="str">
            <v>Atolls</v>
          </cell>
          <cell r="X14">
            <v>552084045.86000001</v>
          </cell>
          <cell r="Y14">
            <v>582040521.91999996</v>
          </cell>
          <cell r="Z14">
            <v>642497891.10289991</v>
          </cell>
          <cell r="AA14">
            <v>665276794.77769983</v>
          </cell>
          <cell r="AB14">
            <v>725519558.47500014</v>
          </cell>
          <cell r="AC14">
            <v>870548839.8180002</v>
          </cell>
        </row>
        <row r="15">
          <cell r="U15" t="str">
            <v>Overseas</v>
          </cell>
          <cell r="X15">
            <v>223353684.25080001</v>
          </cell>
          <cell r="Y15">
            <v>175063121</v>
          </cell>
          <cell r="Z15">
            <v>266933716</v>
          </cell>
          <cell r="AA15">
            <v>279572116.1688</v>
          </cell>
          <cell r="AB15">
            <v>124721731.0976</v>
          </cell>
          <cell r="AC15">
            <v>321919608.7554</v>
          </cell>
        </row>
      </sheetData>
      <sheetData sheetId="4"/>
      <sheetData sheetId="5"/>
      <sheetData sheetId="6"/>
      <sheetData sheetId="7"/>
      <sheetData sheetId="8"/>
      <sheetData sheetId="9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9A4A25-F421-4A66-A604-9BF17B24E82C}">
  <sheetPr>
    <tabColor rgb="FF92D050"/>
  </sheetPr>
  <dimension ref="A1:AE50"/>
  <sheetViews>
    <sheetView tabSelected="1" zoomScale="89" zoomScaleNormal="89" workbookViewId="0">
      <selection activeCell="M47" sqref="M47"/>
    </sheetView>
  </sheetViews>
  <sheetFormatPr defaultColWidth="9.140625" defaultRowHeight="15" x14ac:dyDescent="0.25"/>
  <cols>
    <col min="1" max="1" width="28.7109375" style="1" customWidth="1"/>
    <col min="2" max="2" width="18.28515625" style="1" customWidth="1"/>
    <col min="3" max="3" width="16.7109375" style="1" bestFit="1" customWidth="1"/>
    <col min="4" max="6" width="15.7109375" style="1" customWidth="1"/>
    <col min="7" max="9" width="18.28515625" style="1" customWidth="1"/>
    <col min="10" max="10" width="22" style="1" bestFit="1" customWidth="1"/>
    <col min="11" max="11" width="9.140625" style="1"/>
    <col min="12" max="12" width="14.28515625" style="1" bestFit="1" customWidth="1"/>
    <col min="13" max="21" width="14.28515625" style="1" customWidth="1"/>
    <col min="22" max="22" width="9.140625" style="1"/>
    <col min="23" max="23" width="10.7109375" style="1" customWidth="1"/>
    <col min="24" max="24" width="9.85546875" style="1" customWidth="1"/>
    <col min="25" max="25" width="15.28515625" style="1" customWidth="1"/>
    <col min="26" max="31" width="16.140625" style="1" customWidth="1"/>
    <col min="32" max="16384" width="9.140625" style="1"/>
  </cols>
  <sheetData>
    <row r="1" spans="1:29" ht="21" customHeight="1" x14ac:dyDescent="0.55000000000000004">
      <c r="A1" s="50" t="s">
        <v>70</v>
      </c>
      <c r="B1" s="50"/>
      <c r="C1" s="50"/>
      <c r="D1" s="50"/>
      <c r="E1" s="50"/>
      <c r="F1" s="50"/>
      <c r="G1" s="50"/>
      <c r="H1" s="50"/>
      <c r="I1" s="50"/>
      <c r="J1" s="50"/>
    </row>
    <row r="2" spans="1:29" s="15" customFormat="1" ht="15" customHeight="1" x14ac:dyDescent="0.25">
      <c r="A2" s="51" t="s">
        <v>71</v>
      </c>
      <c r="B2" s="51"/>
      <c r="C2" s="51"/>
      <c r="D2" s="51"/>
      <c r="E2" s="51"/>
      <c r="F2" s="51"/>
      <c r="G2" s="51"/>
      <c r="H2" s="51"/>
      <c r="I2" s="51"/>
      <c r="J2" s="51"/>
    </row>
    <row r="3" spans="1:29" s="9" customFormat="1" x14ac:dyDescent="0.25">
      <c r="A3" s="16"/>
      <c r="B3" s="16"/>
      <c r="C3" s="16"/>
      <c r="D3" s="16"/>
      <c r="E3" s="16"/>
      <c r="F3" s="16"/>
      <c r="G3" s="16"/>
      <c r="H3" s="16"/>
      <c r="I3" s="16"/>
      <c r="J3" s="16"/>
    </row>
    <row r="4" spans="1:29" s="9" customFormat="1" ht="30" x14ac:dyDescent="0.25">
      <c r="A4" s="48" t="s">
        <v>2</v>
      </c>
      <c r="B4" s="5" t="s">
        <v>30</v>
      </c>
      <c r="C4" s="6" t="s">
        <v>31</v>
      </c>
      <c r="D4" s="6" t="s">
        <v>0</v>
      </c>
      <c r="E4" s="6" t="s">
        <v>32</v>
      </c>
      <c r="F4" s="6" t="s">
        <v>33</v>
      </c>
      <c r="G4" s="7" t="s">
        <v>43</v>
      </c>
      <c r="H4" s="8" t="s">
        <v>44</v>
      </c>
      <c r="I4" s="8" t="s">
        <v>45</v>
      </c>
      <c r="J4" s="52" t="s">
        <v>1</v>
      </c>
    </row>
    <row r="5" spans="1:29" s="9" customFormat="1" ht="18.75" customHeight="1" x14ac:dyDescent="0.25">
      <c r="A5" s="49"/>
      <c r="B5" s="10" t="s">
        <v>35</v>
      </c>
      <c r="C5" s="11" t="s">
        <v>36</v>
      </c>
      <c r="D5" s="11" t="s">
        <v>37</v>
      </c>
      <c r="E5" s="11" t="s">
        <v>38</v>
      </c>
      <c r="F5" s="11" t="s">
        <v>39</v>
      </c>
      <c r="G5" s="10" t="s">
        <v>40</v>
      </c>
      <c r="H5" s="10" t="s">
        <v>41</v>
      </c>
      <c r="I5" s="10" t="s">
        <v>41</v>
      </c>
      <c r="J5" s="53"/>
    </row>
    <row r="6" spans="1:29" s="13" customFormat="1" ht="18.75" x14ac:dyDescent="0.25">
      <c r="A6" s="12" t="s">
        <v>3</v>
      </c>
      <c r="B6" s="17" t="e">
        <f>SUM(C6:I6)</f>
        <v>#REF!</v>
      </c>
      <c r="C6" s="17">
        <f>SUM(C7:C8)+C29</f>
        <v>1533244099.6522</v>
      </c>
      <c r="D6" s="17" t="e">
        <f>SUM(D7:D8)+#REF!</f>
        <v>#REF!</v>
      </c>
      <c r="E6" s="17">
        <f>SUM(E7:E8)</f>
        <v>38429204.559999995</v>
      </c>
      <c r="F6" s="17">
        <f>SUM(F7:F8)</f>
        <v>140097814.5</v>
      </c>
      <c r="G6" s="17">
        <f>SUM(G7:G8)</f>
        <v>65595774.000000082</v>
      </c>
      <c r="H6" s="17">
        <f>SUM(H7:H8)</f>
        <v>24405605.230000004</v>
      </c>
      <c r="I6" s="17">
        <f>SUM(I7:I8)</f>
        <v>23081568.279999997</v>
      </c>
      <c r="J6" s="18" t="s">
        <v>42</v>
      </c>
      <c r="L6" s="19"/>
      <c r="M6" s="19"/>
      <c r="N6" s="19"/>
      <c r="O6" s="19"/>
      <c r="P6" s="19"/>
      <c r="Q6" s="19"/>
      <c r="R6" s="19"/>
      <c r="S6" s="19"/>
      <c r="T6" s="19"/>
      <c r="U6" s="19"/>
    </row>
    <row r="7" spans="1:29" s="22" customFormat="1" ht="18.75" x14ac:dyDescent="0.25">
      <c r="A7" s="20" t="s">
        <v>4</v>
      </c>
      <c r="B7" s="21">
        <f>SUM(C7:I7)</f>
        <v>1630627599.4917998</v>
      </c>
      <c r="C7" s="25">
        <v>774653787.88680005</v>
      </c>
      <c r="D7" s="25">
        <v>598160744.37499988</v>
      </c>
      <c r="E7" s="25">
        <v>34355689.559999995</v>
      </c>
      <c r="F7" s="25">
        <v>110787781.5</v>
      </c>
      <c r="G7" s="25">
        <v>65595774.000000082</v>
      </c>
      <c r="H7" s="25">
        <v>24405605.230000004</v>
      </c>
      <c r="I7" s="25">
        <v>22668216.939999998</v>
      </c>
      <c r="J7" s="18" t="s">
        <v>5</v>
      </c>
    </row>
    <row r="8" spans="1:29" s="22" customFormat="1" ht="18.75" x14ac:dyDescent="0.25">
      <c r="A8" s="20" t="s">
        <v>6</v>
      </c>
      <c r="B8" s="21">
        <f t="shared" ref="B8" si="0">SUM(B9:B28)</f>
        <v>870548839.81800008</v>
      </c>
      <c r="C8" s="21">
        <f>SUM(C9:C28)</f>
        <v>436670703.00999999</v>
      </c>
      <c r="D8" s="21">
        <f t="shared" ref="D8:F8" si="1">SUM(D9:D28)</f>
        <v>400081237.46800005</v>
      </c>
      <c r="E8" s="21">
        <f t="shared" si="1"/>
        <v>4073515</v>
      </c>
      <c r="F8" s="21">
        <f t="shared" si="1"/>
        <v>29310033</v>
      </c>
      <c r="G8" s="23">
        <v>0</v>
      </c>
      <c r="H8" s="23">
        <v>0</v>
      </c>
      <c r="I8" s="21">
        <f>SUM(I9:I29)</f>
        <v>413351.33999999997</v>
      </c>
      <c r="J8" s="18" t="s">
        <v>7</v>
      </c>
    </row>
    <row r="9" spans="1:29" ht="16.5" x14ac:dyDescent="0.25">
      <c r="A9" s="24" t="s">
        <v>8</v>
      </c>
      <c r="B9" s="25">
        <f>SUM(C9:I9)</f>
        <v>42951407.969999999</v>
      </c>
      <c r="C9" s="46">
        <v>20612792.219999999</v>
      </c>
      <c r="D9" s="46">
        <v>22127850.75</v>
      </c>
      <c r="E9" s="23">
        <v>0</v>
      </c>
      <c r="F9" s="46">
        <v>210765</v>
      </c>
      <c r="G9" s="23">
        <v>0</v>
      </c>
      <c r="H9" s="23">
        <v>0</v>
      </c>
      <c r="I9" s="23">
        <v>0</v>
      </c>
      <c r="J9" s="26" t="s">
        <v>46</v>
      </c>
    </row>
    <row r="10" spans="1:29" ht="16.5" x14ac:dyDescent="0.25">
      <c r="A10" s="24" t="s">
        <v>9</v>
      </c>
      <c r="B10" s="25">
        <f t="shared" ref="B10:B29" si="2">SUM(C10:I10)</f>
        <v>121253541.49000001</v>
      </c>
      <c r="C10" s="46">
        <v>69513916.5</v>
      </c>
      <c r="D10" s="46">
        <v>47710355.990000002</v>
      </c>
      <c r="E10" s="46">
        <v>1755974</v>
      </c>
      <c r="F10" s="46">
        <v>2273295</v>
      </c>
      <c r="G10" s="23">
        <v>0</v>
      </c>
      <c r="H10" s="23">
        <v>0</v>
      </c>
      <c r="I10" s="23">
        <v>0</v>
      </c>
      <c r="J10" s="26" t="s">
        <v>47</v>
      </c>
    </row>
    <row r="11" spans="1:29" ht="16.5" x14ac:dyDescent="0.25">
      <c r="A11" s="24" t="s">
        <v>10</v>
      </c>
      <c r="B11" s="25">
        <f t="shared" si="2"/>
        <v>34656334.550000004</v>
      </c>
      <c r="C11" s="46">
        <v>17904306.5</v>
      </c>
      <c r="D11" s="46">
        <v>16752028.050000003</v>
      </c>
      <c r="E11" s="23">
        <v>0</v>
      </c>
      <c r="F11" s="23">
        <v>0</v>
      </c>
      <c r="G11" s="23">
        <v>0</v>
      </c>
      <c r="H11" s="23">
        <v>0</v>
      </c>
      <c r="I11" s="23">
        <v>0</v>
      </c>
      <c r="J11" s="26" t="s">
        <v>29</v>
      </c>
      <c r="K11" s="27"/>
    </row>
    <row r="12" spans="1:29" ht="16.5" x14ac:dyDescent="0.25">
      <c r="A12" s="24" t="s">
        <v>11</v>
      </c>
      <c r="B12" s="25">
        <f t="shared" si="2"/>
        <v>26306259.120000001</v>
      </c>
      <c r="C12" s="46">
        <v>12831086.5</v>
      </c>
      <c r="D12" s="46">
        <v>13475172.620000001</v>
      </c>
      <c r="E12" s="23">
        <v>0</v>
      </c>
      <c r="F12" s="23">
        <v>0</v>
      </c>
      <c r="G12" s="23">
        <v>0</v>
      </c>
      <c r="H12" s="23">
        <v>0</v>
      </c>
      <c r="I12" s="23">
        <v>0</v>
      </c>
      <c r="J12" s="26" t="s">
        <v>48</v>
      </c>
    </row>
    <row r="13" spans="1:29" ht="16.5" x14ac:dyDescent="0.25">
      <c r="A13" s="24" t="s">
        <v>12</v>
      </c>
      <c r="B13" s="25">
        <f t="shared" si="2"/>
        <v>67478231.180000007</v>
      </c>
      <c r="C13" s="46">
        <v>32398239.5</v>
      </c>
      <c r="D13" s="46">
        <v>34995991.68</v>
      </c>
      <c r="E13" s="46">
        <v>84000</v>
      </c>
      <c r="F13" s="23">
        <v>0</v>
      </c>
      <c r="G13" s="23">
        <v>0</v>
      </c>
      <c r="H13" s="23">
        <v>0</v>
      </c>
      <c r="I13" s="23">
        <v>0</v>
      </c>
      <c r="J13" s="26" t="s">
        <v>49</v>
      </c>
    </row>
    <row r="14" spans="1:29" ht="16.5" x14ac:dyDescent="0.25">
      <c r="A14" s="24" t="s">
        <v>13</v>
      </c>
      <c r="B14" s="25">
        <f t="shared" si="2"/>
        <v>29304323.18</v>
      </c>
      <c r="C14" s="46">
        <v>14811384</v>
      </c>
      <c r="D14" s="46">
        <v>14481384.179999998</v>
      </c>
      <c r="E14" s="23">
        <v>0</v>
      </c>
      <c r="F14" s="46">
        <v>11555</v>
      </c>
      <c r="G14" s="23">
        <v>0</v>
      </c>
      <c r="H14" s="23">
        <v>0</v>
      </c>
      <c r="I14" s="23">
        <v>0</v>
      </c>
      <c r="J14" s="26" t="s">
        <v>50</v>
      </c>
      <c r="V14" s="2"/>
      <c r="W14" s="2"/>
      <c r="X14" s="2"/>
      <c r="Y14" s="2"/>
      <c r="Z14" s="2"/>
      <c r="AA14" s="2"/>
      <c r="AB14" s="2"/>
      <c r="AC14" s="2"/>
    </row>
    <row r="15" spans="1:29" ht="16.5" x14ac:dyDescent="0.25">
      <c r="A15" s="24" t="s">
        <v>14</v>
      </c>
      <c r="B15" s="25">
        <f t="shared" si="2"/>
        <v>30959571.039999999</v>
      </c>
      <c r="C15" s="46">
        <v>14308764</v>
      </c>
      <c r="D15" s="46">
        <v>16595089.040000001</v>
      </c>
      <c r="E15" s="23">
        <v>0</v>
      </c>
      <c r="F15" s="46">
        <v>55718</v>
      </c>
      <c r="G15" s="23">
        <v>0</v>
      </c>
      <c r="H15" s="23">
        <v>0</v>
      </c>
      <c r="I15" s="23">
        <v>0</v>
      </c>
      <c r="J15" s="26" t="s">
        <v>28</v>
      </c>
      <c r="V15" s="2"/>
      <c r="W15" s="2"/>
      <c r="X15" s="2"/>
      <c r="Y15" s="2"/>
      <c r="Z15" s="2"/>
      <c r="AA15" s="2"/>
      <c r="AB15" s="2"/>
      <c r="AC15" s="2"/>
    </row>
    <row r="16" spans="1:29" ht="16.5" x14ac:dyDescent="0.25">
      <c r="A16" s="24" t="s">
        <v>51</v>
      </c>
      <c r="B16" s="25">
        <f t="shared" si="2"/>
        <v>21165979.759999998</v>
      </c>
      <c r="C16" s="46">
        <v>9813464.4800000004</v>
      </c>
      <c r="D16" s="46">
        <v>11302830.279999999</v>
      </c>
      <c r="E16" s="23">
        <v>0</v>
      </c>
      <c r="F16" s="46">
        <v>49685</v>
      </c>
      <c r="G16" s="23">
        <v>0</v>
      </c>
      <c r="H16" s="23">
        <v>0</v>
      </c>
      <c r="I16" s="23">
        <v>0</v>
      </c>
      <c r="J16" s="26" t="s">
        <v>52</v>
      </c>
      <c r="V16" s="2"/>
      <c r="W16" s="28"/>
      <c r="X16" s="28"/>
      <c r="Y16" s="28"/>
      <c r="Z16" s="28"/>
      <c r="AA16" s="28"/>
      <c r="AB16" s="28"/>
      <c r="AC16" s="2"/>
    </row>
    <row r="17" spans="1:29" ht="16.5" x14ac:dyDescent="0.25">
      <c r="A17" s="29" t="s">
        <v>15</v>
      </c>
      <c r="B17" s="25">
        <f t="shared" si="2"/>
        <v>13048614.539999999</v>
      </c>
      <c r="C17" s="46">
        <v>6668757.5</v>
      </c>
      <c r="D17" s="46">
        <v>6379857.04</v>
      </c>
      <c r="E17" s="23">
        <v>0</v>
      </c>
      <c r="F17" s="23">
        <v>0</v>
      </c>
      <c r="G17" s="23">
        <v>0</v>
      </c>
      <c r="H17" s="23">
        <v>0</v>
      </c>
      <c r="I17" s="23">
        <v>0</v>
      </c>
      <c r="J17" s="26" t="s">
        <v>53</v>
      </c>
      <c r="V17" s="2"/>
      <c r="W17" s="30"/>
      <c r="X17" s="3"/>
      <c r="Y17" s="3"/>
      <c r="Z17" s="3"/>
      <c r="AA17" s="3"/>
      <c r="AB17" s="31"/>
      <c r="AC17" s="31"/>
    </row>
    <row r="18" spans="1:29" ht="16.5" x14ac:dyDescent="0.25">
      <c r="A18" s="24" t="s">
        <v>16</v>
      </c>
      <c r="B18" s="25">
        <f t="shared" si="2"/>
        <v>33097189.897999998</v>
      </c>
      <c r="C18" s="46">
        <v>13693772</v>
      </c>
      <c r="D18" s="46">
        <v>15060141.557999998</v>
      </c>
      <c r="E18" s="46">
        <v>3000</v>
      </c>
      <c r="F18" s="46">
        <v>3926925</v>
      </c>
      <c r="G18" s="23">
        <v>0</v>
      </c>
      <c r="H18" s="23">
        <v>0</v>
      </c>
      <c r="I18" s="46">
        <v>413351.33999999997</v>
      </c>
      <c r="J18" s="26" t="s">
        <v>54</v>
      </c>
      <c r="V18" s="2"/>
      <c r="W18" s="32"/>
      <c r="X18" s="32"/>
      <c r="Y18" s="32"/>
      <c r="Z18" s="32"/>
      <c r="AA18" s="33"/>
      <c r="AB18" s="34"/>
      <c r="AC18" s="35"/>
    </row>
    <row r="19" spans="1:29" ht="16.5" x14ac:dyDescent="0.25">
      <c r="A19" s="24" t="s">
        <v>17</v>
      </c>
      <c r="B19" s="25">
        <f t="shared" si="2"/>
        <v>3690326.27</v>
      </c>
      <c r="C19" s="46">
        <v>1617350</v>
      </c>
      <c r="D19" s="46">
        <v>2072976.27</v>
      </c>
      <c r="E19" s="23">
        <v>0</v>
      </c>
      <c r="F19" s="23">
        <v>0</v>
      </c>
      <c r="G19" s="23">
        <v>0</v>
      </c>
      <c r="H19" s="23">
        <v>0</v>
      </c>
      <c r="I19" s="23">
        <v>0</v>
      </c>
      <c r="J19" s="26" t="s">
        <v>55</v>
      </c>
      <c r="V19" s="2"/>
      <c r="W19" s="28"/>
      <c r="X19" s="28"/>
      <c r="Y19" s="28"/>
      <c r="Z19" s="28"/>
      <c r="AA19" s="28"/>
      <c r="AB19" s="28"/>
      <c r="AC19" s="2"/>
    </row>
    <row r="20" spans="1:29" ht="16.5" x14ac:dyDescent="0.25">
      <c r="A20" s="24" t="s">
        <v>18</v>
      </c>
      <c r="B20" s="25">
        <f t="shared" si="2"/>
        <v>12502296.09</v>
      </c>
      <c r="C20" s="46">
        <v>6508683.1600000001</v>
      </c>
      <c r="D20" s="46">
        <v>5993612.9300000006</v>
      </c>
      <c r="E20" s="23">
        <v>0</v>
      </c>
      <c r="F20" s="23">
        <v>0</v>
      </c>
      <c r="G20" s="23">
        <v>0</v>
      </c>
      <c r="H20" s="23">
        <v>0</v>
      </c>
      <c r="I20" s="23">
        <v>0</v>
      </c>
      <c r="J20" s="26" t="s">
        <v>56</v>
      </c>
      <c r="V20" s="2"/>
      <c r="W20" s="2"/>
      <c r="X20" s="2"/>
      <c r="Y20" s="2"/>
      <c r="Z20" s="2"/>
      <c r="AA20" s="2"/>
      <c r="AB20" s="2"/>
      <c r="AC20" s="2"/>
    </row>
    <row r="21" spans="1:29" ht="16.5" x14ac:dyDescent="0.25">
      <c r="A21" s="24" t="s">
        <v>19</v>
      </c>
      <c r="B21" s="25">
        <f t="shared" si="2"/>
        <v>16978604.120000001</v>
      </c>
      <c r="C21" s="46">
        <v>9303520</v>
      </c>
      <c r="D21" s="46">
        <v>7675084.120000001</v>
      </c>
      <c r="E21" s="23">
        <v>0</v>
      </c>
      <c r="F21" s="23">
        <v>0</v>
      </c>
      <c r="G21" s="23">
        <v>0</v>
      </c>
      <c r="H21" s="23">
        <v>0</v>
      </c>
      <c r="I21" s="23">
        <v>0</v>
      </c>
      <c r="J21" s="26" t="s">
        <v>57</v>
      </c>
      <c r="V21" s="2"/>
      <c r="W21" s="2"/>
      <c r="X21" s="2"/>
      <c r="Y21" s="2"/>
      <c r="Z21" s="2"/>
      <c r="AA21" s="2"/>
      <c r="AB21" s="2"/>
      <c r="AC21" s="2"/>
    </row>
    <row r="22" spans="1:29" ht="16.5" x14ac:dyDescent="0.25">
      <c r="A22" s="24" t="s">
        <v>20</v>
      </c>
      <c r="B22" s="25">
        <f t="shared" si="2"/>
        <v>16488463.48</v>
      </c>
      <c r="C22" s="46">
        <v>8629219</v>
      </c>
      <c r="D22" s="46">
        <v>7859244.4800000004</v>
      </c>
      <c r="E22" s="23">
        <v>0</v>
      </c>
      <c r="F22" s="23">
        <v>0</v>
      </c>
      <c r="G22" s="23">
        <v>0</v>
      </c>
      <c r="H22" s="23">
        <v>0</v>
      </c>
      <c r="I22" s="23">
        <v>0</v>
      </c>
      <c r="J22" s="26" t="s">
        <v>58</v>
      </c>
      <c r="V22" s="2"/>
      <c r="W22" s="2"/>
      <c r="X22" s="2"/>
      <c r="Y22" s="2"/>
      <c r="Z22" s="2"/>
      <c r="AA22" s="2"/>
      <c r="AB22" s="2"/>
      <c r="AC22" s="2"/>
    </row>
    <row r="23" spans="1:29" ht="16.5" x14ac:dyDescent="0.25">
      <c r="A23" s="24" t="s">
        <v>21</v>
      </c>
      <c r="B23" s="25">
        <f t="shared" si="2"/>
        <v>28197213.939999998</v>
      </c>
      <c r="C23" s="46">
        <v>15484541</v>
      </c>
      <c r="D23" s="46">
        <v>12712672.939999999</v>
      </c>
      <c r="E23" s="23">
        <v>0</v>
      </c>
      <c r="F23" s="23">
        <v>0</v>
      </c>
      <c r="G23" s="23">
        <v>0</v>
      </c>
      <c r="H23" s="23">
        <v>0</v>
      </c>
      <c r="I23" s="23">
        <v>0</v>
      </c>
      <c r="J23" s="26" t="s">
        <v>59</v>
      </c>
      <c r="V23" s="2"/>
      <c r="W23" s="2"/>
      <c r="X23" s="2"/>
      <c r="Y23" s="2"/>
      <c r="Z23" s="2"/>
      <c r="AA23" s="2"/>
      <c r="AB23" s="2"/>
      <c r="AC23" s="2"/>
    </row>
    <row r="24" spans="1:29" ht="16.5" x14ac:dyDescent="0.25">
      <c r="A24" s="24" t="s">
        <v>22</v>
      </c>
      <c r="B24" s="25">
        <f t="shared" si="2"/>
        <v>58600261.459999993</v>
      </c>
      <c r="C24" s="46">
        <v>32800782.5</v>
      </c>
      <c r="D24" s="46">
        <v>25799478.959999997</v>
      </c>
      <c r="E24" s="23">
        <v>0</v>
      </c>
      <c r="F24" s="23">
        <v>0</v>
      </c>
      <c r="G24" s="23">
        <v>0</v>
      </c>
      <c r="H24" s="23">
        <v>0</v>
      </c>
      <c r="I24" s="23">
        <v>0</v>
      </c>
      <c r="J24" s="26" t="s">
        <v>60</v>
      </c>
      <c r="V24" s="2"/>
      <c r="W24" s="2"/>
      <c r="X24" s="2"/>
      <c r="Y24" s="2"/>
      <c r="Z24" s="2"/>
      <c r="AA24" s="2"/>
      <c r="AB24" s="2"/>
      <c r="AC24" s="2"/>
    </row>
    <row r="25" spans="1:29" ht="16.5" x14ac:dyDescent="0.25">
      <c r="A25" s="24" t="s">
        <v>23</v>
      </c>
      <c r="B25" s="25">
        <f t="shared" si="2"/>
        <v>37493968.350000001</v>
      </c>
      <c r="C25" s="46">
        <v>15340235.5</v>
      </c>
      <c r="D25" s="46">
        <v>22153732.850000001</v>
      </c>
      <c r="E25" s="23">
        <v>0</v>
      </c>
      <c r="F25" s="23">
        <v>0</v>
      </c>
      <c r="G25" s="23">
        <v>0</v>
      </c>
      <c r="H25" s="23">
        <v>0</v>
      </c>
      <c r="I25" s="23">
        <v>0</v>
      </c>
      <c r="J25" s="26" t="s">
        <v>61</v>
      </c>
      <c r="V25" s="2"/>
      <c r="W25" s="2"/>
      <c r="X25" s="2"/>
      <c r="Y25" s="2"/>
      <c r="Z25" s="2"/>
      <c r="AA25" s="2"/>
      <c r="AB25" s="2"/>
      <c r="AC25" s="2"/>
    </row>
    <row r="26" spans="1:29" ht="16.5" x14ac:dyDescent="0.25">
      <c r="A26" s="24" t="s">
        <v>24</v>
      </c>
      <c r="B26" s="25">
        <f t="shared" si="2"/>
        <v>57037692.869999997</v>
      </c>
      <c r="C26" s="46">
        <v>28259821</v>
      </c>
      <c r="D26" s="46">
        <v>28391188.869999997</v>
      </c>
      <c r="E26" s="46">
        <v>341083</v>
      </c>
      <c r="F26" s="46">
        <v>45600</v>
      </c>
      <c r="G26" s="23">
        <v>0</v>
      </c>
      <c r="H26" s="23">
        <v>0</v>
      </c>
      <c r="I26" s="23">
        <v>0</v>
      </c>
      <c r="J26" s="26" t="s">
        <v>62</v>
      </c>
      <c r="V26" s="2"/>
      <c r="W26" s="2"/>
      <c r="X26" s="2"/>
      <c r="Y26" s="2"/>
      <c r="Z26" s="2"/>
      <c r="AA26" s="2"/>
      <c r="AB26" s="2"/>
      <c r="AC26" s="2"/>
    </row>
    <row r="27" spans="1:29" ht="16.5" x14ac:dyDescent="0.25">
      <c r="A27" s="24" t="s">
        <v>25</v>
      </c>
      <c r="B27" s="25">
        <f t="shared" si="2"/>
        <v>36794336.82</v>
      </c>
      <c r="C27" s="46">
        <v>16388303</v>
      </c>
      <c r="D27" s="46">
        <v>16878179.82</v>
      </c>
      <c r="E27" s="46">
        <v>423744</v>
      </c>
      <c r="F27" s="46">
        <v>3104110</v>
      </c>
      <c r="G27" s="23">
        <v>0</v>
      </c>
      <c r="H27" s="23">
        <v>0</v>
      </c>
      <c r="I27" s="23">
        <v>0</v>
      </c>
      <c r="J27" s="26" t="s">
        <v>27</v>
      </c>
      <c r="V27" s="2"/>
      <c r="W27" s="2"/>
      <c r="X27" s="2"/>
      <c r="Y27" s="2"/>
      <c r="Z27" s="2"/>
      <c r="AA27" s="2"/>
      <c r="AB27" s="2"/>
      <c r="AC27" s="2"/>
    </row>
    <row r="28" spans="1:29" ht="16.5" x14ac:dyDescent="0.25">
      <c r="A28" s="24" t="s">
        <v>26</v>
      </c>
      <c r="B28" s="25">
        <f t="shared" si="2"/>
        <v>182544223.69</v>
      </c>
      <c r="C28" s="46">
        <v>89781764.650000006</v>
      </c>
      <c r="D28" s="46">
        <v>71664365.040000007</v>
      </c>
      <c r="E28" s="46">
        <v>1465714</v>
      </c>
      <c r="F28" s="46">
        <v>19632380</v>
      </c>
      <c r="G28" s="23">
        <v>0</v>
      </c>
      <c r="H28" s="23">
        <v>0</v>
      </c>
      <c r="I28" s="23">
        <v>0</v>
      </c>
      <c r="J28" s="26" t="s">
        <v>63</v>
      </c>
      <c r="V28" s="2"/>
      <c r="W28" s="2"/>
      <c r="X28" s="2"/>
      <c r="Y28" s="2"/>
      <c r="Z28" s="2"/>
      <c r="AA28" s="2"/>
      <c r="AB28" s="2"/>
      <c r="AC28" s="2"/>
    </row>
    <row r="29" spans="1:29" ht="18.75" x14ac:dyDescent="0.25">
      <c r="A29" s="47" t="s">
        <v>64</v>
      </c>
      <c r="B29" s="45">
        <f t="shared" si="2"/>
        <v>321919608.7554</v>
      </c>
      <c r="C29" s="4">
        <v>321919608.7554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38" t="s">
        <v>65</v>
      </c>
      <c r="V29" s="2"/>
      <c r="W29" s="2"/>
      <c r="X29" s="2"/>
      <c r="Y29" s="2"/>
      <c r="Z29" s="2"/>
      <c r="AA29" s="2"/>
      <c r="AB29" s="2"/>
      <c r="AC29" s="2"/>
    </row>
    <row r="30" spans="1:29" s="36" customFormat="1" ht="17.25" x14ac:dyDescent="0.25">
      <c r="A30" s="14" t="s">
        <v>66</v>
      </c>
      <c r="J30" s="39"/>
      <c r="V30" s="37"/>
      <c r="W30" s="37"/>
      <c r="X30" s="37"/>
      <c r="Y30" s="37"/>
      <c r="Z30" s="37"/>
      <c r="AA30" s="37"/>
      <c r="AB30" s="37"/>
      <c r="AC30" s="37"/>
    </row>
    <row r="31" spans="1:29" s="36" customFormat="1" ht="17.25" x14ac:dyDescent="0.25">
      <c r="A31" s="40" t="s">
        <v>67</v>
      </c>
      <c r="J31" s="39"/>
      <c r="V31" s="37"/>
      <c r="W31" s="37"/>
      <c r="X31" s="37"/>
      <c r="Y31" s="37"/>
      <c r="Z31" s="37"/>
      <c r="AA31" s="37"/>
      <c r="AB31" s="37"/>
      <c r="AC31" s="37"/>
    </row>
    <row r="32" spans="1:29" ht="17.25" x14ac:dyDescent="0.25">
      <c r="A32" s="14"/>
      <c r="B32" s="36"/>
      <c r="C32" s="36"/>
      <c r="D32" s="36"/>
      <c r="E32" s="36"/>
      <c r="F32" s="36"/>
      <c r="G32" s="36"/>
      <c r="H32" s="36"/>
      <c r="I32" s="36"/>
      <c r="J32" s="39"/>
    </row>
    <row r="36" spans="1:31" ht="25.5" x14ac:dyDescent="0.25">
      <c r="Y36" s="6" t="s">
        <v>31</v>
      </c>
      <c r="Z36" s="6" t="s">
        <v>0</v>
      </c>
      <c r="AA36" s="6" t="s">
        <v>32</v>
      </c>
      <c r="AB36" s="6" t="s">
        <v>33</v>
      </c>
      <c r="AC36" s="7" t="s">
        <v>68</v>
      </c>
      <c r="AD36" s="8" t="s">
        <v>69</v>
      </c>
      <c r="AE36" s="8" t="s">
        <v>34</v>
      </c>
    </row>
    <row r="37" spans="1:31" x14ac:dyDescent="0.25">
      <c r="Y37" s="41">
        <v>1533244099.6522</v>
      </c>
      <c r="Z37" s="41">
        <v>998241981.84299994</v>
      </c>
      <c r="AA37" s="41">
        <v>38429204.559999995</v>
      </c>
      <c r="AB37" s="41">
        <v>140097814.5</v>
      </c>
      <c r="AC37" s="41">
        <v>65595774.000000082</v>
      </c>
      <c r="AD37" s="41">
        <v>24405605.230000004</v>
      </c>
      <c r="AE37" s="1">
        <v>23081568.279999997</v>
      </c>
    </row>
    <row r="40" spans="1:31" x14ac:dyDescent="0.25">
      <c r="A40" s="42"/>
      <c r="C40" s="43"/>
      <c r="D40" s="43"/>
      <c r="E40" s="43"/>
      <c r="F40" s="43"/>
      <c r="G40" s="43"/>
      <c r="H40" s="43"/>
      <c r="I40" s="43"/>
    </row>
    <row r="41" spans="1:31" x14ac:dyDescent="0.25">
      <c r="A41" s="42"/>
      <c r="B41" s="44"/>
      <c r="C41" s="43"/>
      <c r="D41" s="43"/>
      <c r="E41" s="43"/>
      <c r="F41" s="43"/>
      <c r="G41" s="43"/>
      <c r="H41" s="43"/>
      <c r="I41" s="43"/>
    </row>
    <row r="43" spans="1:31" x14ac:dyDescent="0.25">
      <c r="A43" s="42"/>
      <c r="B43" s="44"/>
      <c r="C43" s="43"/>
      <c r="D43" s="43"/>
      <c r="E43" s="43"/>
      <c r="F43" s="43"/>
      <c r="G43" s="43"/>
      <c r="H43" s="43"/>
      <c r="I43" s="43"/>
    </row>
    <row r="44" spans="1:31" x14ac:dyDescent="0.25">
      <c r="G44" s="43"/>
      <c r="H44" s="43"/>
      <c r="I44" s="43"/>
    </row>
    <row r="45" spans="1:31" x14ac:dyDescent="0.25">
      <c r="G45" s="43"/>
      <c r="H45" s="43"/>
      <c r="I45" s="43"/>
    </row>
    <row r="46" spans="1:31" x14ac:dyDescent="0.25">
      <c r="G46" s="43"/>
      <c r="H46" s="43"/>
      <c r="I46" s="43"/>
    </row>
    <row r="47" spans="1:31" x14ac:dyDescent="0.25">
      <c r="G47" s="43"/>
      <c r="H47" s="43"/>
      <c r="I47" s="43"/>
    </row>
    <row r="48" spans="1:31" x14ac:dyDescent="0.25">
      <c r="G48" s="43"/>
      <c r="H48" s="43"/>
      <c r="I48" s="43"/>
    </row>
    <row r="49" spans="7:9" x14ac:dyDescent="0.25">
      <c r="G49" s="43"/>
      <c r="H49" s="43"/>
      <c r="I49" s="43"/>
    </row>
    <row r="50" spans="7:9" x14ac:dyDescent="0.25">
      <c r="G50" s="43"/>
      <c r="H50" s="43"/>
      <c r="I50" s="43"/>
    </row>
  </sheetData>
  <mergeCells count="4">
    <mergeCell ref="A1:J1"/>
    <mergeCell ref="A2:J2"/>
    <mergeCell ref="A4:A5"/>
    <mergeCell ref="J4:J5"/>
  </mergeCells>
  <pageMargins left="0.7" right="0.7" top="0.75" bottom="0.75" header="0.3" footer="0.3"/>
  <pageSetup paperSize="9" scale="44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18.23</vt:lpstr>
      <vt:lpstr>'18.23'!Print_Area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2023-07-05T05:12:06Z</cp:lastPrinted>
  <dcterms:modified xsi:type="dcterms:W3CDTF">2023-07-05T05:12:25Z</dcterms:modified>
</cp:coreProperties>
</file>