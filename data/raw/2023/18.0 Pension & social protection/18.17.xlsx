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831BD02E-6512-4053-8FA8-A8B97DEBCDF2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7" sheetId="17" r:id="rId1"/>
  </sheets>
  <definedNames>
    <definedName name="_xlnm.Print_Area" localSheetId="0">'18.17'!$A$1:$X$39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7" l="1"/>
  <c r="V19" i="17" s="1"/>
  <c r="G19" i="17"/>
  <c r="F19" i="17"/>
  <c r="B19" i="17"/>
  <c r="S19" i="17"/>
  <c r="R19" i="17"/>
  <c r="H18" i="17"/>
  <c r="V18" i="17" s="1"/>
  <c r="E18" i="17"/>
  <c r="U18" i="17" s="1"/>
  <c r="B18" i="17"/>
  <c r="T18" i="17" s="1"/>
  <c r="R18" i="17"/>
  <c r="Q18" i="17"/>
  <c r="S17" i="17"/>
  <c r="H17" i="17"/>
  <c r="V17" i="17" s="1"/>
  <c r="E17" i="17"/>
  <c r="U17" i="17" s="1"/>
  <c r="B17" i="17"/>
  <c r="T17" i="17" s="1"/>
  <c r="R17" i="17"/>
  <c r="Q17" i="17"/>
  <c r="R16" i="17"/>
  <c r="H16" i="17"/>
  <c r="V16" i="17" s="1"/>
  <c r="E16" i="17"/>
  <c r="U16" i="17" s="1"/>
  <c r="B16" i="17"/>
  <c r="Q16" i="17"/>
  <c r="H15" i="17"/>
  <c r="V15" i="17" s="1"/>
  <c r="E15" i="17"/>
  <c r="U15" i="17" s="1"/>
  <c r="B15" i="17"/>
  <c r="T15" i="17" s="1"/>
  <c r="S15" i="17"/>
  <c r="R15" i="17"/>
  <c r="Q15" i="17"/>
  <c r="R14" i="17"/>
  <c r="H14" i="17"/>
  <c r="V14" i="17" s="1"/>
  <c r="E14" i="17"/>
  <c r="U14" i="17" s="1"/>
  <c r="B14" i="17"/>
  <c r="Q14" i="17"/>
  <c r="H13" i="17"/>
  <c r="V13" i="17" s="1"/>
  <c r="E13" i="17"/>
  <c r="U13" i="17" s="1"/>
  <c r="B13" i="17"/>
  <c r="T13" i="17" s="1"/>
  <c r="S13" i="17"/>
  <c r="R13" i="17"/>
  <c r="Q13" i="17"/>
  <c r="R12" i="17"/>
  <c r="H12" i="17"/>
  <c r="V12" i="17" s="1"/>
  <c r="E12" i="17"/>
  <c r="U12" i="17" s="1"/>
  <c r="B12" i="17"/>
  <c r="Q12" i="17"/>
  <c r="H11" i="17"/>
  <c r="V11" i="17" s="1"/>
  <c r="E11" i="17"/>
  <c r="U11" i="17" s="1"/>
  <c r="B11" i="17"/>
  <c r="T11" i="17" s="1"/>
  <c r="S11" i="17"/>
  <c r="R11" i="17"/>
  <c r="H10" i="17"/>
  <c r="V10" i="17" s="1"/>
  <c r="E10" i="17"/>
  <c r="U10" i="17" s="1"/>
  <c r="B10" i="17"/>
  <c r="T10" i="17" s="1"/>
  <c r="Q10" i="17"/>
  <c r="S9" i="17"/>
  <c r="R9" i="17"/>
  <c r="H9" i="17"/>
  <c r="V9" i="17" s="1"/>
  <c r="E9" i="17"/>
  <c r="B9" i="17"/>
  <c r="T9" i="17" s="1"/>
  <c r="Q9" i="17"/>
  <c r="H8" i="17"/>
  <c r="V8" i="17" s="1"/>
  <c r="E8" i="17"/>
  <c r="U8" i="17" s="1"/>
  <c r="B8" i="17"/>
  <c r="T8" i="17" s="1"/>
  <c r="S8" i="17"/>
  <c r="Q8" i="17"/>
  <c r="J7" i="17"/>
  <c r="I7" i="17"/>
  <c r="F7" i="17"/>
  <c r="D7" i="17"/>
  <c r="C7" i="17"/>
  <c r="B7" i="17" l="1"/>
  <c r="N9" i="17" s="1"/>
  <c r="H7" i="17"/>
  <c r="V7" i="17" s="1"/>
  <c r="S10" i="17"/>
  <c r="M10" i="17"/>
  <c r="M19" i="17"/>
  <c r="K16" i="17"/>
  <c r="S12" i="17"/>
  <c r="M12" i="17"/>
  <c r="K13" i="17"/>
  <c r="S7" i="17"/>
  <c r="T14" i="17"/>
  <c r="E19" i="17"/>
  <c r="U19" i="17" s="1"/>
  <c r="G7" i="17"/>
  <c r="S16" i="17"/>
  <c r="M16" i="17"/>
  <c r="S18" i="17"/>
  <c r="M18" i="17"/>
  <c r="K19" i="17"/>
  <c r="Q19" i="17"/>
  <c r="T12" i="17"/>
  <c r="K12" i="17"/>
  <c r="T16" i="17"/>
  <c r="S14" i="17"/>
  <c r="M14" i="17"/>
  <c r="R8" i="17"/>
  <c r="L8" i="17"/>
  <c r="U9" i="17"/>
  <c r="R10" i="17"/>
  <c r="L10" i="17"/>
  <c r="L19" i="17"/>
  <c r="Q11" i="17"/>
  <c r="T19" i="17"/>
  <c r="N14" i="17" l="1"/>
  <c r="N11" i="17"/>
  <c r="N8" i="17"/>
  <c r="N15" i="17"/>
  <c r="N16" i="17"/>
  <c r="N10" i="17"/>
  <c r="N13" i="17"/>
  <c r="T7" i="17"/>
  <c r="K18" i="17"/>
  <c r="N12" i="17"/>
  <c r="M9" i="17"/>
  <c r="N19" i="17"/>
  <c r="N7" i="17"/>
  <c r="N18" i="17"/>
  <c r="N17" i="17"/>
  <c r="P17" i="17"/>
  <c r="P15" i="17"/>
  <c r="P13" i="17"/>
  <c r="P11" i="17"/>
  <c r="P18" i="17"/>
  <c r="P8" i="17"/>
  <c r="P10" i="17"/>
  <c r="P16" i="17"/>
  <c r="P7" i="17"/>
  <c r="P12" i="17"/>
  <c r="P14" i="17"/>
  <c r="E7" i="17"/>
  <c r="U7" i="17" s="1"/>
  <c r="P9" i="17"/>
  <c r="L18" i="17"/>
  <c r="L16" i="17"/>
  <c r="L14" i="17"/>
  <c r="L12" i="17"/>
  <c r="L9" i="17"/>
  <c r="L7" i="17"/>
  <c r="L17" i="17"/>
  <c r="R7" i="17"/>
  <c r="L13" i="17"/>
  <c r="L15" i="17"/>
  <c r="L11" i="17"/>
  <c r="P19" i="17"/>
  <c r="K10" i="17"/>
  <c r="K9" i="17"/>
  <c r="K7" i="17"/>
  <c r="K8" i="17"/>
  <c r="K11" i="17"/>
  <c r="K15" i="17"/>
  <c r="K17" i="17"/>
  <c r="Q7" i="17"/>
  <c r="K14" i="17"/>
  <c r="M7" i="17"/>
  <c r="M17" i="17"/>
  <c r="M15" i="17"/>
  <c r="M13" i="17"/>
  <c r="M11" i="17"/>
  <c r="M8" i="17"/>
  <c r="O19" i="17" l="1"/>
  <c r="O8" i="17"/>
  <c r="O7" i="17"/>
  <c r="O14" i="17"/>
  <c r="O12" i="17"/>
  <c r="O10" i="17"/>
  <c r="O18" i="17"/>
  <c r="O16" i="17"/>
  <c r="O15" i="17"/>
  <c r="O13" i="17"/>
  <c r="O17" i="17"/>
  <c r="O11" i="17"/>
  <c r="O9" i="17"/>
</calcChain>
</file>

<file path=xl/sharedStrings.xml><?xml version="1.0" encoding="utf-8"?>
<sst xmlns="http://schemas.openxmlformats.org/spreadsheetml/2006/main" count="66" uniqueCount="40">
  <si>
    <t>އިންސައްތަ</t>
  </si>
  <si>
    <t>އަންހެނުންގެ އިން ސައްތަ</t>
  </si>
  <si>
    <t>% share of females</t>
  </si>
  <si>
    <t>ޖުމްލަ</t>
  </si>
  <si>
    <t>ފިރިހެން</t>
  </si>
  <si>
    <t>އަންހެން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</si>
  <si>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</si>
  <si>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</si>
  <si>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</si>
  <si>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</si>
  <si>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</si>
  <si>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</si>
  <si>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</si>
  <si>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</si>
  <si>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</si>
  <si>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</si>
  <si>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</si>
  <si>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</si>
  <si>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</si>
  <si>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</si>
  <si>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</si>
  <si>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</si>
  <si>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</si>
  <si>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</si>
  <si>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</si>
  <si>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</si>
  <si>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</si>
  <si>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</si>
  <si>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</si>
  <si>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</si>
  <si>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</si>
  <si>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</si>
  <si>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</si>
  <si>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</si>
  <si>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</si>
  <si>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</si>
  <si>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</si>
  <si>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</si>
  <si>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TABLE   18.17: EMPLOYEES REGISTERED IN THE RETIREMENT PENSION SCHEME, BY TYPE OF EMPLOYER, 2020 - 2022</t>
  </si>
  <si>
    <t>ތާވަލު  18.17 : ތަނުގެ ބާވަތުން، ރިޓާޔަމަންޓް ޕެންޝަން ސްކީމްގައި ރެޖިސްޓަރކޮށްފައިވާ މުވައްޒަފުންގެ ޢަދަދު ،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</si>
</sst>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Faruma"/>
    </font>
    <font>
      <sz val="11"/>
      <color rgb="FF000000"/>
      <name val="Faruma"/>
    </font>
    <font>
      <sz val="10"/>
      <color rgb="FF000000"/>
      <name val="Faruma"/>
    </font>
    <font>
      <i/>
      <sz val="9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19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6" fillId="2" borderId="4" xfId="0" applyFont="1" applyFill="1" applyBorder="1"/>
    <xf numFmtId="0" fontId="6" fillId="2" borderId="17" xfId="0" applyFont="1" applyFill="1" applyBorder="1"/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21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3" fillId="2" borderId="17" xfId="0" applyFont="1" applyFill="1" applyBorder="1" applyAlignment="1">
      <alignment horizontal="left" vertical="center"/>
    </xf>
    <xf numFmtId="3" fontId="3" fillId="2" borderId="17" xfId="0" applyNumberFormat="1" applyFont="1" applyFill="1" applyBorder="1" applyAlignment="1">
      <alignment vertical="center"/>
    </xf>
    <xf numFmtId="3" fontId="3" fillId="2" borderId="17" xfId="0" applyNumberFormat="1" applyFont="1" applyFill="1" applyBorder="1" applyAlignment="1">
      <alignment horizontal="right" vertical="center"/>
    </xf>
    <xf numFmtId="0" fontId="8" fillId="2" borderId="4" xfId="0" applyFont="1" applyFill="1" applyBorder="1"/>
    <xf numFmtId="0" fontId="7" fillId="2" borderId="4" xfId="0" applyFont="1" applyFill="1" applyBorder="1"/>
    <xf numFmtId="3" fontId="3" fillId="2" borderId="21" xfId="0" applyNumberFormat="1" applyFont="1" applyFill="1" applyBorder="1" applyAlignment="1">
      <alignment vertical="center"/>
    </xf>
    <xf numFmtId="3" fontId="3" fillId="2" borderId="18" xfId="0" applyNumberFormat="1" applyFont="1" applyFill="1" applyBorder="1" applyAlignment="1">
      <alignment vertical="center"/>
    </xf>
    <xf numFmtId="1" fontId="3" fillId="2" borderId="4" xfId="0" applyNumberFormat="1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3" fillId="2" borderId="21" xfId="0" applyFont="1" applyFill="1" applyBorder="1"/>
    <xf numFmtId="0" fontId="4" fillId="2" borderId="14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4" fillId="2" borderId="19" xfId="0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vertical="center"/>
    </xf>
    <xf numFmtId="3" fontId="3" fillId="4" borderId="21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vertical="center"/>
    </xf>
    <xf numFmtId="3" fontId="3" fillId="4" borderId="18" xfId="0" applyNumberFormat="1" applyFont="1" applyFill="1" applyBorder="1" applyAlignment="1">
      <alignment vertical="center"/>
    </xf>
    <xf numFmtId="0" fontId="4" fillId="4" borderId="20" xfId="0" applyFont="1" applyFill="1" applyBorder="1" applyAlignment="1">
      <alignment horizontal="right" vertical="center"/>
    </xf>
    <xf numFmtId="0" fontId="4" fillId="4" borderId="19" xfId="0" applyFont="1" applyFill="1" applyBorder="1"/>
    <xf numFmtId="3" fontId="4" fillId="4" borderId="21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3" fontId="3" fillId="4" borderId="21" xfId="0" applyNumberFormat="1" applyFont="1" applyFill="1" applyBorder="1" applyAlignment="1">
      <alignment horizontal="right" vertical="center"/>
    </xf>
    <xf numFmtId="3" fontId="3" fillId="4" borderId="18" xfId="0" applyNumberFormat="1" applyFont="1" applyFill="1" applyBorder="1" applyAlignment="1">
      <alignment horizontal="right" vertical="center"/>
    </xf>
    <xf numFmtId="3" fontId="10" fillId="4" borderId="28" xfId="0" applyNumberFormat="1" applyFont="1" applyFill="1" applyBorder="1" applyAlignment="1">
      <alignment horizontal="right" vertical="center"/>
    </xf>
    <xf numFmtId="3" fontId="10" fillId="4" borderId="30" xfId="0" applyNumberFormat="1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2" fillId="3" borderId="16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22" xfId="0" applyFont="1" applyFill="1" applyBorder="1"/>
    <xf numFmtId="0" fontId="2" fillId="3" borderId="23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757575"/>
                </a:solidFill>
                <a:latin typeface="Calibri"/>
              </a:defRPr>
            </a:pPr>
            <a:r>
              <a:rPr lang="en-US" sz="1100" b="1" i="0">
                <a:solidFill>
                  <a:srgbClr val="757575"/>
                </a:solidFill>
                <a:latin typeface="Calibri"/>
              </a:rPr>
              <a:t>Figure 18.19: Percentage share of female employees registered in the retirement pension scheme, by type of employer, end of  2022 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xMode val="edge"/>
          <c:yMode val="edge"/>
          <c:x val="0.20952730089066732"/>
          <c:y val="0.17189400639988495"/>
          <c:w val="0.74516460852229538"/>
          <c:h val="0.71552353216121956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2F559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'18.17'!$AK$24:$AK$35</c:f>
              <c:strCache>
                <c:ptCount val="12"/>
                <c:pt idx="0">
                  <c:v>Schools/universitiy</c:v>
                </c:pt>
                <c:pt idx="1">
                  <c:v>Hospitals/health Care facilities</c:v>
                </c:pt>
                <c:pt idx="2">
                  <c:v>Government Offices</c:v>
                </c:pt>
                <c:pt idx="3">
                  <c:v>Independent Agencies</c:v>
                </c:pt>
                <c:pt idx="4">
                  <c:v>City councils</c:v>
                </c:pt>
                <c:pt idx="5">
                  <c:v>Judiciary</c:v>
                </c:pt>
                <c:pt idx="6">
                  <c:v>Atoll councils</c:v>
                </c:pt>
                <c:pt idx="7">
                  <c:v>Others</c:v>
                </c:pt>
                <c:pt idx="8">
                  <c:v>Island councils</c:v>
                </c:pt>
                <c:pt idx="9">
                  <c:v>State owned enterprises</c:v>
                </c:pt>
                <c:pt idx="10">
                  <c:v>Other Private Sector</c:v>
                </c:pt>
                <c:pt idx="11">
                  <c:v>Police/ NSS</c:v>
                </c:pt>
              </c:strCache>
            </c:strRef>
          </c:cat>
          <c:val>
            <c:numRef>
              <c:f>'18.17'!$AL$24:$AL$35</c:f>
              <c:numCache>
                <c:formatCode>#,##0</c:formatCode>
                <c:ptCount val="12"/>
                <c:pt idx="0">
                  <c:v>79.458299812282121</c:v>
                </c:pt>
                <c:pt idx="1">
                  <c:v>70.822281167108756</c:v>
                </c:pt>
                <c:pt idx="2">
                  <c:v>56.91573926868044</c:v>
                </c:pt>
                <c:pt idx="3">
                  <c:v>53.491379310344826</c:v>
                </c:pt>
                <c:pt idx="4">
                  <c:v>53.275529865125236</c:v>
                </c:pt>
                <c:pt idx="5">
                  <c:v>44.038668098818476</c:v>
                </c:pt>
                <c:pt idx="6">
                  <c:v>42.281879194630875</c:v>
                </c:pt>
                <c:pt idx="7">
                  <c:v>41.424968474148805</c:v>
                </c:pt>
                <c:pt idx="8">
                  <c:v>40.659340659340657</c:v>
                </c:pt>
                <c:pt idx="9">
                  <c:v>24.247342995169081</c:v>
                </c:pt>
                <c:pt idx="10">
                  <c:v>21.852562922441678</c:v>
                </c:pt>
                <c:pt idx="11">
                  <c:v>12.527729130180971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0E-4B22-8C97-017DF757F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221793"/>
        <c:axId val="1687327961"/>
      </c:barChart>
      <c:catAx>
        <c:axId val="3942217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7327961"/>
        <c:crosses val="autoZero"/>
        <c:auto val="1"/>
        <c:lblAlgn val="ctr"/>
        <c:lblOffset val="100"/>
        <c:noMultiLvlLbl val="1"/>
      </c:catAx>
      <c:valAx>
        <c:axId val="16873279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Calibri"/>
                  </a:rPr>
                  <a:t>% share of  females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221793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28575</xdr:rowOff>
    </xdr:from>
    <xdr:ext cx="8724900" cy="3648075"/>
    <xdr:graphicFrame macro="">
      <xdr:nvGraphicFramePr>
        <xdr:cNvPr id="18" name="Chart 18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L81"/>
  <sheetViews>
    <sheetView tabSelected="1" zoomScaleNormal="100" workbookViewId="0">
      <selection activeCell="AD11" sqref="AD11"/>
    </sheetView>
  </sheetViews>
  <sheetFormatPr defaultColWidth="14.42578125" defaultRowHeight="15" customHeight="1"/>
  <cols>
    <col min="1" max="1" width="29.28515625" style="30" customWidth="1"/>
    <col min="2" max="10" width="7.7109375" style="30" customWidth="1"/>
    <col min="11" max="13" width="8" style="30" hidden="1" customWidth="1"/>
    <col min="14" max="16" width="8" style="30" customWidth="1"/>
    <col min="17" max="19" width="8" style="30" hidden="1" customWidth="1"/>
    <col min="20" max="22" width="8" style="30" customWidth="1"/>
    <col min="23" max="23" width="30.5703125" style="30" customWidth="1"/>
    <col min="24" max="24" width="4.140625" style="30" customWidth="1"/>
    <col min="25" max="38" width="8" style="30" customWidth="1"/>
    <col min="39" max="16384" width="14.42578125" style="30"/>
  </cols>
  <sheetData>
    <row r="1" spans="1:38" ht="19.5" customHeight="1">
      <c r="A1" s="45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4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customHeight="1">
      <c r="A2" s="56" t="s">
        <v>38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2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4.25" customHeight="1">
      <c r="A4" s="46" t="s">
        <v>13</v>
      </c>
      <c r="B4" s="57">
        <v>2020</v>
      </c>
      <c r="C4" s="49"/>
      <c r="D4" s="50"/>
      <c r="E4" s="57">
        <v>2021</v>
      </c>
      <c r="F4" s="49"/>
      <c r="G4" s="50"/>
      <c r="H4" s="57">
        <v>2022</v>
      </c>
      <c r="I4" s="49"/>
      <c r="J4" s="50"/>
      <c r="K4" s="61" t="s">
        <v>14</v>
      </c>
      <c r="L4" s="51"/>
      <c r="M4" s="51"/>
      <c r="N4" s="51"/>
      <c r="O4" s="51"/>
      <c r="P4" s="52"/>
      <c r="Q4" s="62" t="s">
        <v>2</v>
      </c>
      <c r="R4" s="63"/>
      <c r="S4" s="63"/>
      <c r="T4" s="63"/>
      <c r="U4" s="63"/>
      <c r="V4" s="63"/>
      <c r="W4" s="53" t="s">
        <v>15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8" customHeight="1">
      <c r="A5" s="47"/>
      <c r="B5" s="25" t="s">
        <v>6</v>
      </c>
      <c r="C5" s="25" t="s">
        <v>7</v>
      </c>
      <c r="D5" s="26" t="s">
        <v>8</v>
      </c>
      <c r="E5" s="25" t="s">
        <v>6</v>
      </c>
      <c r="F5" s="25" t="s">
        <v>7</v>
      </c>
      <c r="G5" s="26" t="s">
        <v>8</v>
      </c>
      <c r="H5" s="25" t="s">
        <v>6</v>
      </c>
      <c r="I5" s="25" t="s">
        <v>7</v>
      </c>
      <c r="J5" s="26" t="s">
        <v>8</v>
      </c>
      <c r="K5" s="60" t="s">
        <v>0</v>
      </c>
      <c r="L5" s="54"/>
      <c r="M5" s="54"/>
      <c r="N5" s="54"/>
      <c r="O5" s="54"/>
      <c r="P5" s="55"/>
      <c r="Q5" s="58" t="s">
        <v>1</v>
      </c>
      <c r="R5" s="59"/>
      <c r="S5" s="59"/>
      <c r="T5" s="59"/>
      <c r="U5" s="59"/>
      <c r="V5" s="59"/>
      <c r="W5" s="47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1" customHeight="1">
      <c r="A6" s="48"/>
      <c r="B6" s="27" t="s">
        <v>3</v>
      </c>
      <c r="C6" s="27" t="s">
        <v>4</v>
      </c>
      <c r="D6" s="28" t="s">
        <v>5</v>
      </c>
      <c r="E6" s="27" t="s">
        <v>3</v>
      </c>
      <c r="F6" s="27" t="s">
        <v>4</v>
      </c>
      <c r="G6" s="28" t="s">
        <v>5</v>
      </c>
      <c r="H6" s="27" t="s">
        <v>3</v>
      </c>
      <c r="I6" s="27" t="s">
        <v>4</v>
      </c>
      <c r="J6" s="28" t="s">
        <v>5</v>
      </c>
      <c r="K6" s="3">
        <v>2017</v>
      </c>
      <c r="L6" s="3">
        <v>2018</v>
      </c>
      <c r="M6" s="25">
        <v>2019</v>
      </c>
      <c r="N6" s="25">
        <v>2020</v>
      </c>
      <c r="O6" s="3">
        <v>2021</v>
      </c>
      <c r="P6" s="35">
        <v>2022</v>
      </c>
      <c r="Q6" s="29">
        <v>2017</v>
      </c>
      <c r="R6" s="29">
        <v>2018</v>
      </c>
      <c r="S6" s="29">
        <v>2019</v>
      </c>
      <c r="T6" s="29">
        <v>2020</v>
      </c>
      <c r="U6" s="29">
        <v>2021</v>
      </c>
      <c r="V6" s="36">
        <v>2022</v>
      </c>
      <c r="W6" s="48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1" customHeight="1">
      <c r="A7" s="7" t="s">
        <v>6</v>
      </c>
      <c r="B7" s="9">
        <f t="shared" ref="B7:J7" si="0">SUM(B8:B19)</f>
        <v>94894</v>
      </c>
      <c r="C7" s="9">
        <f t="shared" si="0"/>
        <v>61288</v>
      </c>
      <c r="D7" s="10">
        <f t="shared" si="0"/>
        <v>33606</v>
      </c>
      <c r="E7" s="9">
        <f t="shared" si="0"/>
        <v>103768</v>
      </c>
      <c r="F7" s="9">
        <f t="shared" si="0"/>
        <v>67194</v>
      </c>
      <c r="G7" s="10">
        <f t="shared" si="0"/>
        <v>36574</v>
      </c>
      <c r="H7" s="9">
        <f t="shared" si="0"/>
        <v>110934</v>
      </c>
      <c r="I7" s="9">
        <f t="shared" si="0"/>
        <v>71912</v>
      </c>
      <c r="J7" s="10">
        <f t="shared" si="0"/>
        <v>39022</v>
      </c>
      <c r="K7" s="23" t="e">
        <f>#REF!/#REF!*100</f>
        <v>#REF!</v>
      </c>
      <c r="L7" s="23" t="e">
        <f>#REF!/#REF!*100</f>
        <v>#REF!</v>
      </c>
      <c r="M7" s="23" t="e">
        <f>#REF!/#REF!*100</f>
        <v>#REF!</v>
      </c>
      <c r="N7" s="23">
        <f t="shared" ref="N7:N19" si="1">B7/$B$7*100</f>
        <v>100</v>
      </c>
      <c r="O7" s="8">
        <f t="shared" ref="O7:O19" si="2">E7/$E$7*100</f>
        <v>100</v>
      </c>
      <c r="P7" s="37">
        <f t="shared" ref="P7:P19" si="3">H7/$H$7*100</f>
        <v>100</v>
      </c>
      <c r="Q7" s="8" t="e">
        <f>#REF!/#REF!*100</f>
        <v>#REF!</v>
      </c>
      <c r="R7" s="8" t="e">
        <f>#REF!/#REF!*100</f>
        <v>#REF!</v>
      </c>
      <c r="S7" s="8" t="e">
        <f>#REF!/#REF!*100</f>
        <v>#REF!</v>
      </c>
      <c r="T7" s="8">
        <f t="shared" ref="T7:T19" si="4">D7/B7*100</f>
        <v>35.414251691360889</v>
      </c>
      <c r="U7" s="8">
        <f t="shared" ref="U7" si="5">G7/E7*100</f>
        <v>35.245933235679594</v>
      </c>
      <c r="V7" s="38">
        <f>J7/H7*100</f>
        <v>35.175870337317683</v>
      </c>
      <c r="W7" s="4" t="s">
        <v>3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1" customHeight="1">
      <c r="A8" s="11" t="s">
        <v>16</v>
      </c>
      <c r="B8" s="12">
        <f t="shared" ref="B8:B19" si="6">SUM(C8:D8)</f>
        <v>13678</v>
      </c>
      <c r="C8" s="12">
        <v>6210</v>
      </c>
      <c r="D8" s="20">
        <v>7468</v>
      </c>
      <c r="E8" s="12">
        <f t="shared" ref="E8:E19" si="7">SUM(F8:G8)</f>
        <v>12614</v>
      </c>
      <c r="F8" s="12">
        <v>5478</v>
      </c>
      <c r="G8" s="20">
        <v>7136</v>
      </c>
      <c r="H8" s="12">
        <f t="shared" ref="H8:H19" si="8">SUM(I8:J8)</f>
        <v>12580</v>
      </c>
      <c r="I8" s="31">
        <v>5420</v>
      </c>
      <c r="J8" s="32">
        <v>7160</v>
      </c>
      <c r="K8" s="13" t="e">
        <f>#REF!/#REF!*100</f>
        <v>#REF!</v>
      </c>
      <c r="L8" s="13" t="e">
        <f>#REF!/#REF!*100</f>
        <v>#REF!</v>
      </c>
      <c r="M8" s="13" t="e">
        <f>#REF!/#REF!*100</f>
        <v>#REF!</v>
      </c>
      <c r="N8" s="13">
        <f t="shared" si="1"/>
        <v>14.413977701435284</v>
      </c>
      <c r="O8" s="13">
        <f t="shared" si="2"/>
        <v>12.155963302752294</v>
      </c>
      <c r="P8" s="39">
        <f t="shared" si="3"/>
        <v>11.340076081273551</v>
      </c>
      <c r="Q8" s="13" t="e">
        <f>#REF!/#REF!*100</f>
        <v>#REF!</v>
      </c>
      <c r="R8" s="13" t="e">
        <f>#REF!/#REF!*100</f>
        <v>#REF!</v>
      </c>
      <c r="S8" s="13" t="e">
        <f>#REF!/#REF!*100</f>
        <v>#REF!</v>
      </c>
      <c r="T8" s="13">
        <f t="shared" si="4"/>
        <v>54.598625530048253</v>
      </c>
      <c r="U8" s="13">
        <f t="shared" ref="U8" si="9">G8/E8*100</f>
        <v>56.57206278737911</v>
      </c>
      <c r="V8" s="41">
        <f t="shared" ref="V8:V19" si="10">J8/H8*100</f>
        <v>56.91573926868044</v>
      </c>
      <c r="W8" s="5" t="s">
        <v>17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1" customHeight="1">
      <c r="A9" s="11" t="s">
        <v>18</v>
      </c>
      <c r="B9" s="12">
        <f t="shared" si="6"/>
        <v>2194</v>
      </c>
      <c r="C9" s="12">
        <v>1071</v>
      </c>
      <c r="D9" s="20">
        <v>1123</v>
      </c>
      <c r="E9" s="12">
        <f t="shared" si="7"/>
        <v>2217</v>
      </c>
      <c r="F9" s="12">
        <v>1073</v>
      </c>
      <c r="G9" s="20">
        <v>1144</v>
      </c>
      <c r="H9" s="12">
        <f t="shared" si="8"/>
        <v>2320</v>
      </c>
      <c r="I9" s="31">
        <v>1079</v>
      </c>
      <c r="J9" s="32">
        <v>1241</v>
      </c>
      <c r="K9" s="13" t="e">
        <f>#REF!/#REF!*100</f>
        <v>#REF!</v>
      </c>
      <c r="L9" s="13" t="e">
        <f>#REF!/#REF!*100</f>
        <v>#REF!</v>
      </c>
      <c r="M9" s="13" t="e">
        <f>#REF!/#REF!*100</f>
        <v>#REF!</v>
      </c>
      <c r="N9" s="13">
        <f t="shared" si="1"/>
        <v>2.3120534491116405</v>
      </c>
      <c r="O9" s="13">
        <f t="shared" si="2"/>
        <v>2.1364968005550842</v>
      </c>
      <c r="P9" s="39">
        <f t="shared" si="3"/>
        <v>2.0913335857356623</v>
      </c>
      <c r="Q9" s="13" t="e">
        <f>#REF!/#REF!*100</f>
        <v>#REF!</v>
      </c>
      <c r="R9" s="13" t="e">
        <f>#REF!/#REF!*100</f>
        <v>#REF!</v>
      </c>
      <c r="S9" s="13" t="e">
        <f>#REF!/#REF!*100</f>
        <v>#REF!</v>
      </c>
      <c r="T9" s="13">
        <f t="shared" si="4"/>
        <v>51.185050136736557</v>
      </c>
      <c r="U9" s="13">
        <f t="shared" ref="U9" si="11">G9/E9*100</f>
        <v>51.601262967974733</v>
      </c>
      <c r="V9" s="41">
        <f t="shared" si="10"/>
        <v>53.491379310344826</v>
      </c>
      <c r="W9" s="5" t="s">
        <v>19</v>
      </c>
      <c r="X9" s="1"/>
      <c r="Y9" s="1"/>
      <c r="Z9" s="2"/>
      <c r="AA9" s="2"/>
      <c r="AB9" s="2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21" customHeight="1">
      <c r="A10" s="11" t="s">
        <v>20</v>
      </c>
      <c r="B10" s="12">
        <f t="shared" si="6"/>
        <v>699</v>
      </c>
      <c r="C10" s="12">
        <v>314</v>
      </c>
      <c r="D10" s="20">
        <v>385</v>
      </c>
      <c r="E10" s="12">
        <f t="shared" si="7"/>
        <v>1969</v>
      </c>
      <c r="F10" s="12">
        <v>1124</v>
      </c>
      <c r="G10" s="20">
        <v>845</v>
      </c>
      <c r="H10" s="12">
        <f t="shared" si="8"/>
        <v>1862</v>
      </c>
      <c r="I10" s="31">
        <v>1042</v>
      </c>
      <c r="J10" s="32">
        <v>820</v>
      </c>
      <c r="K10" s="13" t="e">
        <f>#REF!/#REF!*100</f>
        <v>#REF!</v>
      </c>
      <c r="L10" s="13" t="e">
        <f>#REF!/#REF!*100</f>
        <v>#REF!</v>
      </c>
      <c r="M10" s="13" t="e">
        <f>#REF!/#REF!*100</f>
        <v>#REF!</v>
      </c>
      <c r="N10" s="13">
        <f t="shared" si="1"/>
        <v>0.73661137690475686</v>
      </c>
      <c r="O10" s="13">
        <f t="shared" si="2"/>
        <v>1.8975021201141009</v>
      </c>
      <c r="P10" s="39">
        <f t="shared" si="3"/>
        <v>1.6784754899309502</v>
      </c>
      <c r="Q10" s="13" t="e">
        <f>#REF!/#REF!*100</f>
        <v>#REF!</v>
      </c>
      <c r="R10" s="13" t="e">
        <f>#REF!/#REF!*100</f>
        <v>#REF!</v>
      </c>
      <c r="S10" s="13" t="e">
        <f>#REF!/#REF!*100</f>
        <v>#REF!</v>
      </c>
      <c r="T10" s="13">
        <f t="shared" si="4"/>
        <v>55.078683834048633</v>
      </c>
      <c r="U10" s="13">
        <f t="shared" ref="U10" si="12">G10/E10*100</f>
        <v>42.915185373285929</v>
      </c>
      <c r="V10" s="41">
        <f t="shared" si="10"/>
        <v>44.038668098818476</v>
      </c>
      <c r="W10" s="5" t="s">
        <v>21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21" customHeight="1">
      <c r="A11" s="11" t="s">
        <v>22</v>
      </c>
      <c r="B11" s="12">
        <f t="shared" si="6"/>
        <v>912</v>
      </c>
      <c r="C11" s="12">
        <v>432</v>
      </c>
      <c r="D11" s="20">
        <v>480</v>
      </c>
      <c r="E11" s="12">
        <f t="shared" si="7"/>
        <v>1002</v>
      </c>
      <c r="F11" s="12">
        <v>480</v>
      </c>
      <c r="G11" s="20">
        <v>522</v>
      </c>
      <c r="H11" s="12">
        <f t="shared" si="8"/>
        <v>1038</v>
      </c>
      <c r="I11" s="31">
        <v>485</v>
      </c>
      <c r="J11" s="32">
        <v>553</v>
      </c>
      <c r="K11" s="13" t="e">
        <f>#REF!/#REF!*100</f>
        <v>#REF!</v>
      </c>
      <c r="L11" s="13" t="e">
        <f>#REF!/#REF!*100</f>
        <v>#REF!</v>
      </c>
      <c r="M11" s="13" t="e">
        <f>#REF!/#REF!*100</f>
        <v>#REF!</v>
      </c>
      <c r="N11" s="13">
        <f t="shared" si="1"/>
        <v>0.96107235441650685</v>
      </c>
      <c r="O11" s="13">
        <f t="shared" si="2"/>
        <v>0.96561560403978108</v>
      </c>
      <c r="P11" s="39">
        <f t="shared" si="3"/>
        <v>0.93569149223862846</v>
      </c>
      <c r="Q11" s="13" t="e">
        <f>#REF!/#REF!*100</f>
        <v>#REF!</v>
      </c>
      <c r="R11" s="13" t="e">
        <f>#REF!/#REF!*100</f>
        <v>#REF!</v>
      </c>
      <c r="S11" s="13" t="e">
        <f>#REF!/#REF!*100</f>
        <v>#REF!</v>
      </c>
      <c r="T11" s="13">
        <f t="shared" si="4"/>
        <v>52.631578947368418</v>
      </c>
      <c r="U11" s="13">
        <f t="shared" ref="U11" si="13">G11/E11*100</f>
        <v>52.095808383233532</v>
      </c>
      <c r="V11" s="41">
        <f t="shared" si="10"/>
        <v>53.275529865125236</v>
      </c>
      <c r="W11" s="5" t="s">
        <v>23</v>
      </c>
      <c r="X11" s="1"/>
      <c r="Y11" s="1"/>
      <c r="Z11" s="2"/>
      <c r="AA11" s="2"/>
      <c r="AB11" s="2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21" customHeight="1">
      <c r="A12" s="11" t="s">
        <v>24</v>
      </c>
      <c r="B12" s="12">
        <f t="shared" si="6"/>
        <v>522</v>
      </c>
      <c r="C12" s="12">
        <v>322</v>
      </c>
      <c r="D12" s="20">
        <v>200</v>
      </c>
      <c r="E12" s="12">
        <f t="shared" si="7"/>
        <v>497</v>
      </c>
      <c r="F12" s="12">
        <v>290</v>
      </c>
      <c r="G12" s="20">
        <v>207</v>
      </c>
      <c r="H12" s="12">
        <f t="shared" si="8"/>
        <v>447</v>
      </c>
      <c r="I12" s="31">
        <v>258</v>
      </c>
      <c r="J12" s="32">
        <v>189</v>
      </c>
      <c r="K12" s="13" t="e">
        <f>#REF!/#REF!*100</f>
        <v>#REF!</v>
      </c>
      <c r="L12" s="13" t="e">
        <f>#REF!/#REF!*100</f>
        <v>#REF!</v>
      </c>
      <c r="M12" s="13" t="e">
        <f>#REF!/#REF!*100</f>
        <v>#REF!</v>
      </c>
      <c r="N12" s="13">
        <f t="shared" si="1"/>
        <v>0.55008746601471115</v>
      </c>
      <c r="O12" s="13">
        <f t="shared" si="2"/>
        <v>0.47895304910955211</v>
      </c>
      <c r="P12" s="39">
        <f t="shared" si="3"/>
        <v>0.40294229001027637</v>
      </c>
      <c r="Q12" s="13" t="e">
        <f>#REF!/#REF!*100</f>
        <v>#REF!</v>
      </c>
      <c r="R12" s="13" t="e">
        <f>#REF!/#REF!*100</f>
        <v>#REF!</v>
      </c>
      <c r="S12" s="13" t="e">
        <f>#REF!/#REF!*100</f>
        <v>#REF!</v>
      </c>
      <c r="T12" s="13">
        <f t="shared" si="4"/>
        <v>38.314176245210732</v>
      </c>
      <c r="U12" s="13">
        <f t="shared" ref="U12" si="14">G12/E12*100</f>
        <v>41.649899396378274</v>
      </c>
      <c r="V12" s="41">
        <f t="shared" si="10"/>
        <v>42.281879194630875</v>
      </c>
      <c r="W12" s="5" t="s">
        <v>25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21" customHeight="1">
      <c r="A13" s="11" t="s">
        <v>26</v>
      </c>
      <c r="B13" s="12">
        <f t="shared" si="6"/>
        <v>2921</v>
      </c>
      <c r="C13" s="12">
        <v>1934</v>
      </c>
      <c r="D13" s="20">
        <v>987</v>
      </c>
      <c r="E13" s="12">
        <f t="shared" si="7"/>
        <v>3323</v>
      </c>
      <c r="F13" s="12">
        <v>1986</v>
      </c>
      <c r="G13" s="20">
        <v>1337</v>
      </c>
      <c r="H13" s="12">
        <f t="shared" si="8"/>
        <v>3640</v>
      </c>
      <c r="I13" s="31">
        <v>2160</v>
      </c>
      <c r="J13" s="32">
        <v>1480</v>
      </c>
      <c r="K13" s="13" t="e">
        <f>#REF!/#REF!*100</f>
        <v>#REF!</v>
      </c>
      <c r="L13" s="13" t="e">
        <f>#REF!/#REF!*100</f>
        <v>#REF!</v>
      </c>
      <c r="M13" s="13" t="e">
        <f>#REF!/#REF!*100</f>
        <v>#REF!</v>
      </c>
      <c r="N13" s="13">
        <f t="shared" si="1"/>
        <v>3.0781714333888339</v>
      </c>
      <c r="O13" s="13">
        <f t="shared" si="2"/>
        <v>3.2023359802636655</v>
      </c>
      <c r="P13" s="39">
        <f t="shared" si="3"/>
        <v>3.2812302810680225</v>
      </c>
      <c r="Q13" s="13" t="e">
        <f>#REF!/#REF!*100</f>
        <v>#REF!</v>
      </c>
      <c r="R13" s="13" t="e">
        <f>#REF!/#REF!*100</f>
        <v>#REF!</v>
      </c>
      <c r="S13" s="13" t="e">
        <f>#REF!/#REF!*100</f>
        <v>#REF!</v>
      </c>
      <c r="T13" s="13">
        <f t="shared" si="4"/>
        <v>33.789798014378633</v>
      </c>
      <c r="U13" s="13">
        <f t="shared" ref="U13" si="15">G13/E13*100</f>
        <v>40.234727655732769</v>
      </c>
      <c r="V13" s="41">
        <f t="shared" si="10"/>
        <v>40.659340659340657</v>
      </c>
      <c r="W13" s="5" t="s">
        <v>27</v>
      </c>
      <c r="X13" s="1"/>
      <c r="Y13" s="1"/>
      <c r="Z13" s="2"/>
      <c r="AA13" s="2"/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21" customHeight="1">
      <c r="A14" s="11" t="s">
        <v>28</v>
      </c>
      <c r="B14" s="12">
        <f t="shared" si="6"/>
        <v>7119</v>
      </c>
      <c r="C14" s="12">
        <v>2196</v>
      </c>
      <c r="D14" s="20">
        <v>4923</v>
      </c>
      <c r="E14" s="12">
        <f t="shared" si="7"/>
        <v>7345</v>
      </c>
      <c r="F14" s="12">
        <v>2226</v>
      </c>
      <c r="G14" s="20">
        <v>5119</v>
      </c>
      <c r="H14" s="12">
        <f t="shared" si="8"/>
        <v>7540</v>
      </c>
      <c r="I14" s="31">
        <v>2200</v>
      </c>
      <c r="J14" s="32">
        <v>5340</v>
      </c>
      <c r="K14" s="13" t="e">
        <f>#REF!/#REF!*100</f>
        <v>#REF!</v>
      </c>
      <c r="L14" s="13" t="e">
        <f>#REF!/#REF!*100</f>
        <v>#REF!</v>
      </c>
      <c r="M14" s="13" t="e">
        <f>#REF!/#REF!*100</f>
        <v>#REF!</v>
      </c>
      <c r="N14" s="13">
        <f t="shared" si="1"/>
        <v>7.5020549244420085</v>
      </c>
      <c r="O14" s="13">
        <f t="shared" si="2"/>
        <v>7.0782900316089732</v>
      </c>
      <c r="P14" s="39">
        <f t="shared" si="3"/>
        <v>6.7968341536409032</v>
      </c>
      <c r="Q14" s="13" t="e">
        <f>#REF!/#REF!*100</f>
        <v>#REF!</v>
      </c>
      <c r="R14" s="13" t="e">
        <f>#REF!/#REF!*100</f>
        <v>#REF!</v>
      </c>
      <c r="S14" s="13" t="e">
        <f>#REF!/#REF!*100</f>
        <v>#REF!</v>
      </c>
      <c r="T14" s="13">
        <f t="shared" si="4"/>
        <v>69.152970922882432</v>
      </c>
      <c r="U14" s="13">
        <f t="shared" ref="U14" si="16">G14/E14*100</f>
        <v>69.693669162695713</v>
      </c>
      <c r="V14" s="41">
        <f t="shared" si="10"/>
        <v>70.822281167108756</v>
      </c>
      <c r="W14" s="5" t="s">
        <v>29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21" customHeight="1">
      <c r="A15" s="11" t="s">
        <v>30</v>
      </c>
      <c r="B15" s="12">
        <f t="shared" si="6"/>
        <v>7428</v>
      </c>
      <c r="C15" s="12">
        <v>1693</v>
      </c>
      <c r="D15" s="20">
        <v>5735</v>
      </c>
      <c r="E15" s="12">
        <f t="shared" si="7"/>
        <v>7179</v>
      </c>
      <c r="F15" s="12">
        <v>1458</v>
      </c>
      <c r="G15" s="20">
        <v>5721</v>
      </c>
      <c r="H15" s="12">
        <f t="shared" si="8"/>
        <v>7458</v>
      </c>
      <c r="I15" s="31">
        <v>1532</v>
      </c>
      <c r="J15" s="32">
        <v>5926</v>
      </c>
      <c r="K15" s="13" t="e">
        <f>#REF!/#REF!*100</f>
        <v>#REF!</v>
      </c>
      <c r="L15" s="13" t="e">
        <f>#REF!/#REF!*100</f>
        <v>#REF!</v>
      </c>
      <c r="M15" s="13" t="e">
        <f>#REF!/#REF!*100</f>
        <v>#REF!</v>
      </c>
      <c r="N15" s="13">
        <f t="shared" si="1"/>
        <v>7.8276814129449699</v>
      </c>
      <c r="O15" s="13">
        <f t="shared" si="2"/>
        <v>6.9183177858299274</v>
      </c>
      <c r="P15" s="39">
        <f t="shared" si="3"/>
        <v>6.7229163286278331</v>
      </c>
      <c r="Q15" s="13" t="e">
        <f>#REF!/#REF!*100</f>
        <v>#REF!</v>
      </c>
      <c r="R15" s="13" t="e">
        <f>#REF!/#REF!*100</f>
        <v>#REF!</v>
      </c>
      <c r="S15" s="13" t="e">
        <f>#REF!/#REF!*100</f>
        <v>#REF!</v>
      </c>
      <c r="T15" s="13">
        <f t="shared" si="4"/>
        <v>77.207862143241783</v>
      </c>
      <c r="U15" s="13">
        <f t="shared" ref="U15" si="17">G15/E15*100</f>
        <v>79.690764730463854</v>
      </c>
      <c r="V15" s="41">
        <f t="shared" si="10"/>
        <v>79.458299812282121</v>
      </c>
      <c r="W15" s="5" t="s">
        <v>31</v>
      </c>
      <c r="X15" s="1"/>
      <c r="Y15" s="1"/>
      <c r="Z15" s="2"/>
      <c r="AA15" s="2"/>
      <c r="AB15" s="2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21" customHeight="1">
      <c r="A16" s="11" t="s">
        <v>32</v>
      </c>
      <c r="B16" s="12">
        <f t="shared" si="6"/>
        <v>8054</v>
      </c>
      <c r="C16" s="12">
        <v>7169</v>
      </c>
      <c r="D16" s="20">
        <v>885</v>
      </c>
      <c r="E16" s="12">
        <f t="shared" si="7"/>
        <v>8046</v>
      </c>
      <c r="F16" s="12">
        <v>7144</v>
      </c>
      <c r="G16" s="20">
        <v>902</v>
      </c>
      <c r="H16" s="12">
        <f t="shared" si="8"/>
        <v>8565</v>
      </c>
      <c r="I16" s="31">
        <v>7492</v>
      </c>
      <c r="J16" s="32">
        <v>1073</v>
      </c>
      <c r="K16" s="13" t="e">
        <f>#REF!/#REF!*100</f>
        <v>#REF!</v>
      </c>
      <c r="L16" s="13" t="e">
        <f>#REF!/#REF!*100</f>
        <v>#REF!</v>
      </c>
      <c r="M16" s="13" t="e">
        <f>#REF!/#REF!*100</f>
        <v>#REF!</v>
      </c>
      <c r="N16" s="13">
        <f t="shared" si="1"/>
        <v>8.4873648492001603</v>
      </c>
      <c r="O16" s="13">
        <f t="shared" si="2"/>
        <v>7.7538354791457857</v>
      </c>
      <c r="P16" s="39">
        <f t="shared" si="3"/>
        <v>7.7208069663042886</v>
      </c>
      <c r="Q16" s="13" t="e">
        <f>#REF!/#REF!*100</f>
        <v>#REF!</v>
      </c>
      <c r="R16" s="13" t="e">
        <f>#REF!/#REF!*100</f>
        <v>#REF!</v>
      </c>
      <c r="S16" s="13" t="e">
        <f>#REF!/#REF!*100</f>
        <v>#REF!</v>
      </c>
      <c r="T16" s="13">
        <f t="shared" si="4"/>
        <v>10.988328780730072</v>
      </c>
      <c r="U16" s="13">
        <f t="shared" ref="U16" si="18">G16/E16*100</f>
        <v>11.210539398458861</v>
      </c>
      <c r="V16" s="41">
        <f t="shared" si="10"/>
        <v>12.527729130180971</v>
      </c>
      <c r="W16" s="5" t="s">
        <v>33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1" customHeight="1">
      <c r="A17" s="11" t="s">
        <v>34</v>
      </c>
      <c r="B17" s="12">
        <f t="shared" si="6"/>
        <v>19639</v>
      </c>
      <c r="C17" s="12">
        <v>14859</v>
      </c>
      <c r="D17" s="20">
        <v>4780</v>
      </c>
      <c r="E17" s="12">
        <f t="shared" si="7"/>
        <v>22308</v>
      </c>
      <c r="F17" s="12">
        <v>17070</v>
      </c>
      <c r="G17" s="20">
        <v>5238</v>
      </c>
      <c r="H17" s="12">
        <f t="shared" si="8"/>
        <v>25875</v>
      </c>
      <c r="I17" s="31">
        <v>19601</v>
      </c>
      <c r="J17" s="32">
        <v>6274</v>
      </c>
      <c r="K17" s="13" t="e">
        <f>#REF!/#REF!*100</f>
        <v>#REF!</v>
      </c>
      <c r="L17" s="13" t="e">
        <f>#REF!/#REF!*100</f>
        <v>#REF!</v>
      </c>
      <c r="M17" s="13" t="e">
        <f>#REF!/#REF!*100</f>
        <v>#REF!</v>
      </c>
      <c r="N17" s="13">
        <f t="shared" si="1"/>
        <v>20.695723649545808</v>
      </c>
      <c r="O17" s="13">
        <f t="shared" si="2"/>
        <v>21.497956980957518</v>
      </c>
      <c r="P17" s="39">
        <f t="shared" si="3"/>
        <v>23.32467953918546</v>
      </c>
      <c r="Q17" s="13" t="e">
        <f>#REF!/#REF!*100</f>
        <v>#REF!</v>
      </c>
      <c r="R17" s="13" t="e">
        <f>#REF!/#REF!*100</f>
        <v>#REF!</v>
      </c>
      <c r="S17" s="13" t="e">
        <f>#REF!/#REF!*100</f>
        <v>#REF!</v>
      </c>
      <c r="T17" s="13">
        <f t="shared" si="4"/>
        <v>24.339324812872345</v>
      </c>
      <c r="U17" s="13">
        <f t="shared" ref="U17" si="19">G17/E17*100</f>
        <v>23.480365788058098</v>
      </c>
      <c r="V17" s="41">
        <f t="shared" si="10"/>
        <v>24.247342995169081</v>
      </c>
      <c r="W17" s="5" t="s">
        <v>35</v>
      </c>
      <c r="X17" s="1"/>
      <c r="Y17" s="1"/>
      <c r="Z17" s="2"/>
      <c r="AA17" s="2"/>
      <c r="AB17" s="2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1" customHeight="1">
      <c r="A18" s="11" t="s">
        <v>36</v>
      </c>
      <c r="B18" s="12">
        <f t="shared" si="6"/>
        <v>30825</v>
      </c>
      <c r="C18" s="12">
        <v>24651</v>
      </c>
      <c r="D18" s="20">
        <v>6174</v>
      </c>
      <c r="E18" s="12">
        <f t="shared" si="7"/>
        <v>35130</v>
      </c>
      <c r="F18" s="12">
        <v>27780</v>
      </c>
      <c r="G18" s="20">
        <v>7350</v>
      </c>
      <c r="H18" s="12">
        <f t="shared" si="8"/>
        <v>38023</v>
      </c>
      <c r="I18" s="31">
        <v>29714</v>
      </c>
      <c r="J18" s="32">
        <v>8309</v>
      </c>
      <c r="K18" s="13" t="e">
        <f>#REF!/#REF!*100</f>
        <v>#REF!</v>
      </c>
      <c r="L18" s="13" t="e">
        <f>#REF!/#REF!*100</f>
        <v>#REF!</v>
      </c>
      <c r="M18" s="13" t="e">
        <f>#REF!/#REF!*100</f>
        <v>#REF!</v>
      </c>
      <c r="N18" s="13">
        <f t="shared" si="1"/>
        <v>32.483613294834235</v>
      </c>
      <c r="O18" s="13">
        <f t="shared" si="2"/>
        <v>33.854367435047408</v>
      </c>
      <c r="P18" s="39">
        <f t="shared" si="3"/>
        <v>34.275334883804788</v>
      </c>
      <c r="Q18" s="13" t="e">
        <f>#REF!/#REF!*100</f>
        <v>#REF!</v>
      </c>
      <c r="R18" s="13" t="e">
        <f>#REF!/#REF!*100</f>
        <v>#REF!</v>
      </c>
      <c r="S18" s="13" t="e">
        <f>#REF!/#REF!*100</f>
        <v>#REF!</v>
      </c>
      <c r="T18" s="13">
        <f t="shared" si="4"/>
        <v>20.029197080291972</v>
      </c>
      <c r="U18" s="13">
        <f t="shared" ref="U18" si="20">G18/E18*100</f>
        <v>20.922288642186164</v>
      </c>
      <c r="V18" s="41">
        <f t="shared" si="10"/>
        <v>21.852562922441678</v>
      </c>
      <c r="W18" s="5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1" customHeight="1">
      <c r="A19" s="15" t="s">
        <v>11</v>
      </c>
      <c r="B19" s="16">
        <f t="shared" si="6"/>
        <v>903</v>
      </c>
      <c r="C19" s="16">
        <v>437</v>
      </c>
      <c r="D19" s="21">
        <v>466</v>
      </c>
      <c r="E19" s="16">
        <f t="shared" si="7"/>
        <v>2138</v>
      </c>
      <c r="F19" s="16">
        <f>826+259</f>
        <v>1085</v>
      </c>
      <c r="G19" s="21">
        <f>649+404</f>
        <v>1053</v>
      </c>
      <c r="H19" s="16">
        <f t="shared" si="8"/>
        <v>1586</v>
      </c>
      <c r="I19" s="33">
        <v>929</v>
      </c>
      <c r="J19" s="34">
        <v>657</v>
      </c>
      <c r="K19" s="17" t="e">
        <f>#REF!/#REF!*100</f>
        <v>#REF!</v>
      </c>
      <c r="L19" s="17" t="e">
        <f>#REF!/#REF!*100</f>
        <v>#REF!</v>
      </c>
      <c r="M19" s="17" t="e">
        <f>#REF!/#REF!*100</f>
        <v>#REF!</v>
      </c>
      <c r="N19" s="17">
        <f t="shared" si="1"/>
        <v>0.95158808776108073</v>
      </c>
      <c r="O19" s="17">
        <f t="shared" si="2"/>
        <v>2.0603654305759003</v>
      </c>
      <c r="P19" s="40">
        <f t="shared" si="3"/>
        <v>1.4296789081796384</v>
      </c>
      <c r="Q19" s="17" t="e">
        <f>#REF!/#REF!*100</f>
        <v>#REF!</v>
      </c>
      <c r="R19" s="17" t="e">
        <f>#REF!/#REF!*100</f>
        <v>#REF!</v>
      </c>
      <c r="S19" s="17" t="e">
        <f>#REF!/#REF!*100</f>
        <v>#REF!</v>
      </c>
      <c r="T19" s="17">
        <f t="shared" si="4"/>
        <v>51.605758582502773</v>
      </c>
      <c r="U19" s="17">
        <f t="shared" ref="U19" si="21">G19/E19*100</f>
        <v>49.251637043966326</v>
      </c>
      <c r="V19" s="42">
        <f t="shared" si="10"/>
        <v>41.424968474148805</v>
      </c>
      <c r="W19" s="6" t="s">
        <v>12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8.75" customHeight="1">
      <c r="A20" s="18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9" t="s">
        <v>10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8" customHeight="1">
      <c r="A21" s="1"/>
      <c r="B21" s="14"/>
      <c r="C21" s="1"/>
      <c r="D21" s="1"/>
      <c r="E21" s="14"/>
      <c r="F21" s="1"/>
      <c r="G21" s="1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4"/>
      <c r="C22" s="1"/>
      <c r="D22" s="1"/>
      <c r="E22" s="14"/>
      <c r="F22" s="1"/>
      <c r="G22" s="1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4"/>
      <c r="C23" s="1"/>
      <c r="D23" s="1"/>
      <c r="E23" s="14"/>
      <c r="F23" s="1"/>
      <c r="G23" s="1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4"/>
      <c r="C24" s="1"/>
      <c r="D24" s="1"/>
      <c r="E24" s="14"/>
      <c r="F24" s="1"/>
      <c r="G24" s="1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1" t="s">
        <v>30</v>
      </c>
      <c r="AL24" s="13">
        <v>79.458299812282121</v>
      </c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1" t="s">
        <v>28</v>
      </c>
      <c r="AL25" s="13">
        <v>70.822281167108756</v>
      </c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1" t="s">
        <v>16</v>
      </c>
      <c r="AL26" s="13">
        <v>56.91573926868044</v>
      </c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1" t="s">
        <v>18</v>
      </c>
      <c r="AL27" s="13">
        <v>53.491379310344826</v>
      </c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1" t="s">
        <v>22</v>
      </c>
      <c r="AL28" s="13">
        <v>53.275529865125236</v>
      </c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1" t="s">
        <v>20</v>
      </c>
      <c r="AL29" s="13">
        <v>44.038668098818476</v>
      </c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1" t="s">
        <v>24</v>
      </c>
      <c r="AL30" s="13">
        <v>42.281879194630875</v>
      </c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1" t="s">
        <v>11</v>
      </c>
      <c r="AL31" s="13">
        <v>41.424968474148805</v>
      </c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1" t="s">
        <v>26</v>
      </c>
      <c r="AL32" s="13">
        <v>40.659340659340657</v>
      </c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1" t="s">
        <v>34</v>
      </c>
      <c r="AL33" s="13">
        <v>24.247342995169081</v>
      </c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1" t="s">
        <v>36</v>
      </c>
      <c r="AL34" s="13">
        <v>21.852562922441678</v>
      </c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5" t="s">
        <v>32</v>
      </c>
      <c r="AL35" s="17">
        <v>12.527729130180971</v>
      </c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</sheetData>
  <sortState xmlns:xlrd2="http://schemas.microsoft.com/office/spreadsheetml/2017/richdata2" ref="AK24:AL35">
    <sortCondition descending="1" ref="AL24:AL35"/>
  </sortState>
  <mergeCells count="11">
    <mergeCell ref="Q5:V5"/>
    <mergeCell ref="W4:W6"/>
    <mergeCell ref="A1:W1"/>
    <mergeCell ref="A2:W2"/>
    <mergeCell ref="A4:A6"/>
    <mergeCell ref="K5:P5"/>
    <mergeCell ref="B4:D4"/>
    <mergeCell ref="E4:G4"/>
    <mergeCell ref="H4:J4"/>
    <mergeCell ref="K4:P4"/>
    <mergeCell ref="Q4:V4"/>
  </mergeCells>
  <pageMargins left="0.7" right="0.7" top="0.75" bottom="0.75" header="0" footer="0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18.17</vt:lpstr>
      <vt:lpstr>'18.17'!Print_Area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2023-07-05T03:27:43Z</cp:lastPrinted>
  <dcterms:modified xsi:type="dcterms:W3CDTF">2023-07-05T03:28:09Z</dcterms:modified>
</cp:coreProperties>
</file>