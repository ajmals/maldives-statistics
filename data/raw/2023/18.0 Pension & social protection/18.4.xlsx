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B254A609-75A9-407E-B298-442F1CBCA092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4" sheetId="4" r:id="rId1"/>
  </sheets>
  <definedNames>
    <definedName name="_xlnm.Print_Area" localSheetId="0">'18.4'!$A$1:$K$39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9" i="4" l="1"/>
  <c r="AM19" i="4"/>
  <c r="AK19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</calcChain>
</file>

<file path=xl/sharedStrings.xml><?xml version="1.0" encoding="utf-8"?>
<sst xmlns="http://schemas.openxmlformats.org/spreadsheetml/2006/main" count="42" uniqueCount="38">
  <si>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</si>
  <si>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</si>
  <si>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</si>
  <si>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</si>
  <si>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</si>
  <si>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</si>
  <si>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</si>
  <si>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</si>
  <si>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</si>
  <si>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</si>
  <si>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</si>
  <si>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</si>
  <si>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</si>
  <si>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</si>
  <si>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</si>
  <si>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</si>
  <si>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</si>
  <si>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</si>
  <si>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</si>
  <si>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</si>
  <si>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</si>
  <si>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</si>
  <si>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</si>
  <si>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</si>
  <si>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</si>
  <si>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</si>
  <si>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</si>
  <si>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</si>
  <si>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</si>
  <si>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r>
      <rPr>
        <b/>
        <sz val="11"/>
        <color rgb="FF000000"/>
        <rFont val="Calibri"/>
        <family val="2"/>
      </rP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</si>
  <si>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</si>
  <si>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</si>
  <si>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</si>
  <si>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</si>
  <si>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</si>
  <si>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</si>
  <si>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ތާވަލު  18.4 : އަސާސީ ޕެންޝަން ލިބޭ މީހުންގެ އަދަދު އަދި ޢުމުރުފުރާތައް، 2021 - 2022</t>
  </si>
  <si>
    <t>TABLE   18.4: NUMBER OF BENEFICIARIES OF BASIC PENSION SCHEME BY AGE,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</si>
</sst>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12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4" xfId="0" applyFont="1" applyFill="1" applyBorder="1"/>
    <xf numFmtId="0" fontId="4" fillId="2" borderId="14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164" fontId="3" fillId="2" borderId="4" xfId="0" applyNumberFormat="1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19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5" fillId="2" borderId="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left" vertical="center"/>
    </xf>
    <xf numFmtId="3" fontId="3" fillId="2" borderId="16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right" vertic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3" fontId="3" fillId="2" borderId="15" xfId="0" applyNumberFormat="1" applyFont="1" applyFill="1" applyBorder="1" applyAlignment="1">
      <alignment vertical="center"/>
    </xf>
    <xf numFmtId="0" fontId="6" fillId="2" borderId="4" xfId="0" applyFont="1" applyFill="1" applyBorder="1"/>
    <xf numFmtId="0" fontId="4" fillId="2" borderId="4" xfId="0" applyFont="1" applyFill="1" applyBorder="1" applyAlignment="1">
      <alignment horizontal="right" vertical="center"/>
    </xf>
    <xf numFmtId="1" fontId="3" fillId="2" borderId="4" xfId="0" applyNumberFormat="1" applyFont="1" applyFill="1" applyBorder="1"/>
    <xf numFmtId="165" fontId="3" fillId="2" borderId="4" xfId="0" applyNumberFormat="1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vertical="center"/>
    </xf>
    <xf numFmtId="3" fontId="3" fillId="4" borderId="14" xfId="0" applyNumberFormat="1" applyFont="1" applyFill="1" applyBorder="1" applyAlignment="1">
      <alignment vertical="center"/>
    </xf>
    <xf numFmtId="0" fontId="4" fillId="2" borderId="22" xfId="0" applyFont="1" applyFill="1" applyBorder="1" applyAlignment="1">
      <alignment horizontal="right" vertical="center"/>
    </xf>
    <xf numFmtId="3" fontId="3" fillId="2" borderId="21" xfId="0" applyNumberFormat="1" applyFont="1" applyFill="1" applyBorder="1" applyAlignment="1">
      <alignment vertical="center"/>
    </xf>
    <xf numFmtId="3" fontId="3" fillId="2" borderId="22" xfId="0" applyNumberFormat="1" applyFont="1" applyFill="1" applyBorder="1" applyAlignment="1">
      <alignment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2" fillId="3" borderId="13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2" fillId="3" borderId="11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3" fontId="3" fillId="2" borderId="2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746-4C76-A938-A47E6CEA7C52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746-4C76-A938-A47E6CEA7C5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220901436354608E-2"/>
                      <c:h val="0.117971830985915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46-4C76-A938-A47E6CEA7C5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41753343239227"/>
                      <c:h val="0.163042253521126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746-4C76-A938-A47E6CEA7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'18.4'!$AK$18:$AM$18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'18.4'!$AK$19:$AM$19</c:f>
              <c:numCache>
                <c:formatCode>#,##0</c:formatCode>
                <c:ptCount val="3"/>
                <c:pt idx="0">
                  <c:v>7257</c:v>
                </c:pt>
                <c:pt idx="1">
                  <c:v>5003</c:v>
                </c:pt>
                <c:pt idx="2">
                  <c:v>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6-4C76-A938-A47E6CEA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20</xdr:row>
      <xdr:rowOff>104775</xdr:rowOff>
    </xdr:from>
    <xdr:ext cx="6410325" cy="33813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590550</xdr:colOff>
      <xdr:row>21</xdr:row>
      <xdr:rowOff>104775</xdr:rowOff>
    </xdr:from>
    <xdr:ext cx="5991225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355150" y="3651413"/>
          <a:ext cx="598170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2022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O1000"/>
  <sheetViews>
    <sheetView tabSelected="1" zoomScaleNormal="100" workbookViewId="0">
      <selection activeCell="Q14" sqref="Q14"/>
    </sheetView>
  </sheetViews>
  <sheetFormatPr defaultColWidth="14.42578125" defaultRowHeight="15" customHeight="1" x14ac:dyDescent="0.25"/>
  <cols>
    <col min="1" max="1" width="10.85546875" style="25" customWidth="1"/>
    <col min="2" max="9" width="11" style="25" customWidth="1"/>
    <col min="10" max="10" width="14.5703125" style="25" customWidth="1"/>
    <col min="11" max="11" width="3.28515625" style="25" customWidth="1"/>
    <col min="12" max="36" width="8" style="25" customWidth="1"/>
    <col min="37" max="39" width="12.7109375" style="25" customWidth="1"/>
    <col min="40" max="40" width="8" style="25" customWidth="1"/>
    <col min="41" max="41" width="15.140625" style="25" customWidth="1"/>
    <col min="42" max="16384" width="14.42578125" style="25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6.5" customHeight="1" x14ac:dyDescent="0.25">
      <c r="A2" s="40" t="s">
        <v>36</v>
      </c>
      <c r="B2" s="31"/>
      <c r="C2" s="31"/>
      <c r="D2" s="31"/>
      <c r="E2" s="31"/>
      <c r="F2" s="31"/>
      <c r="G2" s="31"/>
      <c r="H2" s="31"/>
      <c r="I2" s="31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25" customHeight="1" x14ac:dyDescent="0.25">
      <c r="A3" s="41" t="s">
        <v>37</v>
      </c>
      <c r="B3" s="31"/>
      <c r="C3" s="31"/>
      <c r="D3" s="31"/>
      <c r="E3" s="31"/>
      <c r="F3" s="31"/>
      <c r="G3" s="31"/>
      <c r="H3" s="31"/>
      <c r="I3" s="31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1" customHeight="1" x14ac:dyDescent="0.55000000000000004">
      <c r="A5" s="33" t="s">
        <v>3</v>
      </c>
      <c r="B5" s="44" t="s">
        <v>29</v>
      </c>
      <c r="C5" s="44"/>
      <c r="D5" s="44"/>
      <c r="E5" s="44"/>
      <c r="F5" s="44"/>
      <c r="G5" s="44"/>
      <c r="H5" s="44"/>
      <c r="I5" s="44"/>
      <c r="J5" s="38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34"/>
      <c r="B6" s="45">
        <v>2021</v>
      </c>
      <c r="C6" s="43"/>
      <c r="D6" s="43"/>
      <c r="E6" s="37"/>
      <c r="F6" s="42">
        <v>2022</v>
      </c>
      <c r="G6" s="36"/>
      <c r="H6" s="36"/>
      <c r="I6" s="39"/>
      <c r="J6" s="34"/>
      <c r="K6" s="1"/>
      <c r="L6" s="1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35"/>
      <c r="B7" s="28" t="s">
        <v>0</v>
      </c>
      <c r="C7" s="28" t="s">
        <v>30</v>
      </c>
      <c r="D7" s="28" t="s">
        <v>31</v>
      </c>
      <c r="E7" s="5" t="s">
        <v>32</v>
      </c>
      <c r="F7" s="3" t="s">
        <v>0</v>
      </c>
      <c r="G7" s="2" t="s">
        <v>30</v>
      </c>
      <c r="H7" s="2" t="s">
        <v>31</v>
      </c>
      <c r="I7" s="4" t="s">
        <v>32</v>
      </c>
      <c r="J7" s="35"/>
      <c r="K7" s="1"/>
      <c r="L7" s="1"/>
      <c r="M7" s="1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.75" customHeight="1" x14ac:dyDescent="0.25">
      <c r="A8" s="7" t="s">
        <v>5</v>
      </c>
      <c r="B8" s="29">
        <f t="shared" ref="B8:B19" si="0">SUM(C8:E8)</f>
        <v>18788</v>
      </c>
      <c r="C8" s="29">
        <v>5987</v>
      </c>
      <c r="D8" s="29">
        <v>4478</v>
      </c>
      <c r="E8" s="46">
        <v>8323</v>
      </c>
      <c r="F8" s="8">
        <f t="shared" ref="F8:F19" si="1">SUM(G8:I8)</f>
        <v>19823</v>
      </c>
      <c r="G8" s="26">
        <v>6770</v>
      </c>
      <c r="H8" s="26">
        <v>4771</v>
      </c>
      <c r="I8" s="26">
        <v>8282</v>
      </c>
      <c r="J8" s="9" t="s">
        <v>6</v>
      </c>
      <c r="K8" s="1"/>
      <c r="L8" s="1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.75" customHeight="1" x14ac:dyDescent="0.25">
      <c r="A9" s="7" t="s">
        <v>7</v>
      </c>
      <c r="B9" s="29">
        <f t="shared" si="0"/>
        <v>18884</v>
      </c>
      <c r="C9" s="29">
        <v>6068</v>
      </c>
      <c r="D9" s="29">
        <v>4472</v>
      </c>
      <c r="E9" s="46">
        <v>8344</v>
      </c>
      <c r="F9" s="8">
        <f t="shared" si="1"/>
        <v>19904</v>
      </c>
      <c r="G9" s="26">
        <v>6876</v>
      </c>
      <c r="H9" s="26">
        <v>4792</v>
      </c>
      <c r="I9" s="26">
        <v>8236</v>
      </c>
      <c r="J9" s="9" t="s">
        <v>8</v>
      </c>
      <c r="K9" s="1"/>
      <c r="L9" s="1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.75" customHeight="1" x14ac:dyDescent="0.25">
      <c r="A10" s="7" t="s">
        <v>9</v>
      </c>
      <c r="B10" s="29">
        <f t="shared" si="0"/>
        <v>19003</v>
      </c>
      <c r="C10" s="29">
        <v>6170</v>
      </c>
      <c r="D10" s="29">
        <v>4529</v>
      </c>
      <c r="E10" s="46">
        <v>8304</v>
      </c>
      <c r="F10" s="8">
        <f t="shared" si="1"/>
        <v>19981</v>
      </c>
      <c r="G10" s="26">
        <v>7039</v>
      </c>
      <c r="H10" s="26">
        <v>4778</v>
      </c>
      <c r="I10" s="26">
        <v>8164</v>
      </c>
      <c r="J10" s="9" t="s">
        <v>10</v>
      </c>
      <c r="K10" s="1"/>
      <c r="L10" s="1"/>
      <c r="M10" s="1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4.75" customHeight="1" x14ac:dyDescent="0.25">
      <c r="A11" s="7" t="s">
        <v>11</v>
      </c>
      <c r="B11" s="29">
        <f t="shared" si="0"/>
        <v>19044</v>
      </c>
      <c r="C11" s="29">
        <v>6233</v>
      </c>
      <c r="D11" s="29">
        <v>4499</v>
      </c>
      <c r="E11" s="46">
        <v>8312</v>
      </c>
      <c r="F11" s="8">
        <f t="shared" si="1"/>
        <v>20120</v>
      </c>
      <c r="G11" s="26">
        <v>7140</v>
      </c>
      <c r="H11" s="26">
        <v>4813</v>
      </c>
      <c r="I11" s="26">
        <v>8167</v>
      </c>
      <c r="J11" s="9" t="s">
        <v>12</v>
      </c>
      <c r="K11" s="1"/>
      <c r="L11" s="1"/>
      <c r="M11" s="1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4.75" customHeight="1" x14ac:dyDescent="0.25">
      <c r="A12" s="7" t="s">
        <v>13</v>
      </c>
      <c r="B12" s="29">
        <f t="shared" si="0"/>
        <v>19072</v>
      </c>
      <c r="C12" s="29">
        <v>6293</v>
      </c>
      <c r="D12" s="29">
        <v>4541</v>
      </c>
      <c r="E12" s="46">
        <v>8238</v>
      </c>
      <c r="F12" s="8">
        <f t="shared" si="1"/>
        <v>20199</v>
      </c>
      <c r="G12" s="26">
        <v>7284</v>
      </c>
      <c r="H12" s="26">
        <v>4807</v>
      </c>
      <c r="I12" s="26">
        <v>8108</v>
      </c>
      <c r="J12" s="9" t="s">
        <v>14</v>
      </c>
      <c r="K12" s="1"/>
      <c r="L12" s="1"/>
      <c r="M12" s="1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4.75" customHeight="1" x14ac:dyDescent="0.25">
      <c r="A13" s="7" t="s">
        <v>15</v>
      </c>
      <c r="B13" s="29">
        <f t="shared" si="0"/>
        <v>19059</v>
      </c>
      <c r="C13" s="29">
        <v>6349</v>
      </c>
      <c r="D13" s="29">
        <v>4508</v>
      </c>
      <c r="E13" s="46">
        <v>8202</v>
      </c>
      <c r="F13" s="8">
        <f t="shared" si="1"/>
        <v>20323</v>
      </c>
      <c r="G13" s="26">
        <v>7332</v>
      </c>
      <c r="H13" s="26">
        <v>4862</v>
      </c>
      <c r="I13" s="26">
        <v>8129</v>
      </c>
      <c r="J13" s="9" t="s">
        <v>16</v>
      </c>
      <c r="K13" s="1"/>
      <c r="L13" s="1"/>
      <c r="M13" s="1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24.75" customHeight="1" x14ac:dyDescent="0.25">
      <c r="A14" s="7" t="s">
        <v>17</v>
      </c>
      <c r="B14" s="29">
        <f t="shared" si="0"/>
        <v>19106</v>
      </c>
      <c r="C14" s="29">
        <v>6441</v>
      </c>
      <c r="D14" s="29">
        <v>4534</v>
      </c>
      <c r="E14" s="46">
        <v>8131</v>
      </c>
      <c r="F14" s="8">
        <f t="shared" si="1"/>
        <v>20383</v>
      </c>
      <c r="G14" s="26">
        <v>7443</v>
      </c>
      <c r="H14" s="26">
        <v>4858</v>
      </c>
      <c r="I14" s="26">
        <v>8082</v>
      </c>
      <c r="J14" s="9" t="s">
        <v>18</v>
      </c>
      <c r="K14" s="1"/>
      <c r="L14" s="1"/>
      <c r="M14" s="1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24.75" customHeight="1" x14ac:dyDescent="0.25">
      <c r="A15" s="7" t="s">
        <v>19</v>
      </c>
      <c r="B15" s="29">
        <f t="shared" si="0"/>
        <v>19169</v>
      </c>
      <c r="C15" s="29">
        <v>6147</v>
      </c>
      <c r="D15" s="29">
        <v>4950</v>
      </c>
      <c r="E15" s="46">
        <v>8072</v>
      </c>
      <c r="F15" s="8">
        <f t="shared" si="1"/>
        <v>20433</v>
      </c>
      <c r="G15" s="26">
        <v>7520</v>
      </c>
      <c r="H15" s="26">
        <v>4879</v>
      </c>
      <c r="I15" s="26">
        <v>8034</v>
      </c>
      <c r="J15" s="9" t="s">
        <v>20</v>
      </c>
      <c r="K15" s="1"/>
      <c r="L15" s="1"/>
      <c r="M15" s="1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24.75" customHeight="1" x14ac:dyDescent="0.25">
      <c r="A16" s="7" t="s">
        <v>21</v>
      </c>
      <c r="B16" s="29">
        <f t="shared" si="0"/>
        <v>19225</v>
      </c>
      <c r="C16" s="29">
        <v>6205</v>
      </c>
      <c r="D16" s="29">
        <v>4665</v>
      </c>
      <c r="E16" s="46">
        <v>8355</v>
      </c>
      <c r="F16" s="8">
        <f t="shared" si="1"/>
        <v>20487</v>
      </c>
      <c r="G16" s="26">
        <v>7154</v>
      </c>
      <c r="H16" s="26">
        <v>4962</v>
      </c>
      <c r="I16" s="26">
        <v>8371</v>
      </c>
      <c r="J16" s="9" t="s">
        <v>22</v>
      </c>
      <c r="K16" s="1"/>
      <c r="L16" s="1"/>
      <c r="M16" s="1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24.75" customHeight="1" x14ac:dyDescent="0.25">
      <c r="A17" s="7" t="s">
        <v>23</v>
      </c>
      <c r="B17" s="29">
        <f t="shared" si="0"/>
        <v>19297</v>
      </c>
      <c r="C17" s="29">
        <v>6244</v>
      </c>
      <c r="D17" s="29">
        <v>4704</v>
      </c>
      <c r="E17" s="46">
        <v>8349</v>
      </c>
      <c r="F17" s="8">
        <f t="shared" si="1"/>
        <v>20538</v>
      </c>
      <c r="G17" s="26">
        <v>7217</v>
      </c>
      <c r="H17" s="26">
        <v>4965</v>
      </c>
      <c r="I17" s="26">
        <v>8356</v>
      </c>
      <c r="J17" s="9" t="s">
        <v>24</v>
      </c>
      <c r="K17" s="1"/>
      <c r="L17" s="1"/>
      <c r="M17" s="1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24.75" customHeight="1" x14ac:dyDescent="0.55000000000000004">
      <c r="A18" s="7" t="s">
        <v>25</v>
      </c>
      <c r="B18" s="29">
        <f t="shared" si="0"/>
        <v>19283</v>
      </c>
      <c r="C18" s="29">
        <v>6251</v>
      </c>
      <c r="D18" s="29">
        <v>4722</v>
      </c>
      <c r="E18" s="46">
        <v>8310</v>
      </c>
      <c r="F18" s="8">
        <f t="shared" si="1"/>
        <v>20574</v>
      </c>
      <c r="G18" s="26">
        <v>7227</v>
      </c>
      <c r="H18" s="26">
        <v>4999</v>
      </c>
      <c r="I18" s="26">
        <v>8348</v>
      </c>
      <c r="J18" s="11" t="s">
        <v>26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" t="s">
        <v>33</v>
      </c>
      <c r="AL18" s="2" t="s">
        <v>34</v>
      </c>
      <c r="AM18" s="4" t="s">
        <v>35</v>
      </c>
      <c r="AN18" s="1"/>
      <c r="AO18" s="1"/>
    </row>
    <row r="19" spans="1:41" ht="24.75" customHeight="1" x14ac:dyDescent="0.25">
      <c r="A19" s="12" t="s">
        <v>27</v>
      </c>
      <c r="B19" s="30">
        <f t="shared" si="0"/>
        <v>19331</v>
      </c>
      <c r="C19" s="30">
        <v>6289</v>
      </c>
      <c r="D19" s="30">
        <v>4750</v>
      </c>
      <c r="E19" s="20">
        <v>8292</v>
      </c>
      <c r="F19" s="13">
        <f t="shared" si="1"/>
        <v>20593</v>
      </c>
      <c r="G19" s="27">
        <v>7257</v>
      </c>
      <c r="H19" s="27">
        <v>5003</v>
      </c>
      <c r="I19" s="27">
        <v>8333</v>
      </c>
      <c r="J19" s="14" t="s">
        <v>28</v>
      </c>
      <c r="K19" s="1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0">
        <f>G19</f>
        <v>7257</v>
      </c>
      <c r="AL19" s="10">
        <f t="shared" ref="AL19:AM19" si="2">H19</f>
        <v>5003</v>
      </c>
      <c r="AM19" s="10">
        <f t="shared" si="2"/>
        <v>8333</v>
      </c>
      <c r="AN19" s="1"/>
      <c r="AO19" s="1"/>
    </row>
    <row r="20" spans="1:41" ht="17.25" customHeight="1" x14ac:dyDescent="0.45">
      <c r="A20" s="16" t="s">
        <v>1</v>
      </c>
      <c r="B20" s="15"/>
      <c r="C20" s="15"/>
      <c r="D20" s="15"/>
      <c r="E20" s="15"/>
      <c r="F20" s="15"/>
      <c r="G20" s="15"/>
      <c r="H20" s="15"/>
      <c r="I20" s="15"/>
      <c r="J20" s="17" t="s">
        <v>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"/>
    </row>
    <row r="21" spans="1:41" ht="18.75" customHeight="1" x14ac:dyDescent="0.5">
      <c r="A21" s="21"/>
      <c r="B21" s="1"/>
      <c r="C21" s="1"/>
      <c r="D21" s="1"/>
      <c r="E21" s="1"/>
      <c r="F21" s="1"/>
      <c r="G21" s="1"/>
      <c r="H21" s="1"/>
      <c r="I21" s="1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2"/>
      <c r="AL31" s="22"/>
      <c r="AM31" s="22"/>
      <c r="AN31" s="1"/>
      <c r="AO31" s="1"/>
    </row>
    <row r="32" spans="1:4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23"/>
      <c r="AJ32" s="23"/>
      <c r="AK32" s="23"/>
      <c r="AL32" s="23"/>
      <c r="AM32" s="23"/>
      <c r="AN32" s="24"/>
      <c r="AO32" s="1"/>
    </row>
    <row r="33" spans="1:4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2"/>
      <c r="AJ36" s="22"/>
      <c r="AK36" s="22"/>
      <c r="AL36" s="22"/>
      <c r="AM36" s="22"/>
      <c r="AN36" s="1"/>
      <c r="AO36" s="1"/>
    </row>
    <row r="37" spans="1:4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4"/>
      <c r="AJ37" s="24"/>
      <c r="AK37" s="24"/>
      <c r="AL37" s="24"/>
      <c r="AM37" s="24"/>
      <c r="AN37" s="1"/>
      <c r="AO37" s="1"/>
    </row>
    <row r="38" spans="1:4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6"/>
      <c r="AJ38" s="6"/>
      <c r="AK38" s="6"/>
      <c r="AL38" s="6"/>
      <c r="AM38" s="6"/>
      <c r="AN38" s="6"/>
      <c r="AO38" s="1"/>
    </row>
    <row r="39" spans="1:4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7">
    <mergeCell ref="B6:E6"/>
    <mergeCell ref="A2:J2"/>
    <mergeCell ref="A3:J3"/>
    <mergeCell ref="A5:A7"/>
    <mergeCell ref="J5:J7"/>
    <mergeCell ref="F6:I6"/>
    <mergeCell ref="B5:I5"/>
  </mergeCells>
  <pageMargins left="0.7" right="0.7" top="0.75" bottom="0.75" header="0" footer="0"/>
  <pageSetup paperSize="9" scale="69" orientation="landscape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2023-07-02T08:07:12Z</cp:lastPrinted>
  <dcterms:modified xsi:type="dcterms:W3CDTF">2023-07-02T08:12:01Z</dcterms:modified>
</cp:coreProperties>
</file>