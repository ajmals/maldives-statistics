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6C22DD77-6574-4CB0-834C-012DFC8BDAAC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5" sheetId="25" r:id="rId1"/>
  </sheets>
  <externalReferences>
    <externalReference r:id="rId2"/>
  </externalReferences>
  <definedNames>
    <definedName name="_xlnm.Print_Area" localSheetId="0">'18.25'!$A$1:$M$52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25" l="1"/>
  <c r="L8" i="25"/>
  <c r="AC38" i="25"/>
  <c r="AD38" i="25"/>
  <c r="AC39" i="25"/>
  <c r="AD39" i="25"/>
  <c r="AC40" i="25"/>
  <c r="AD40" i="25"/>
  <c r="AC41" i="25"/>
  <c r="AD41" i="25"/>
  <c r="AC42" i="25"/>
  <c r="AD42" i="25"/>
  <c r="AC43" i="25"/>
  <c r="AD43" i="25"/>
  <c r="AC44" i="25"/>
  <c r="AD44" i="25"/>
  <c r="AC45" i="25"/>
  <c r="AD45" i="25"/>
  <c r="AC46" i="25"/>
  <c r="AD46" i="25"/>
  <c r="AC47" i="25"/>
  <c r="AD47" i="25"/>
  <c r="AC48" i="25"/>
  <c r="AD48" i="25"/>
  <c r="AC49" i="25"/>
  <c r="AD49" i="25"/>
  <c r="AC50" i="25"/>
  <c r="AD50" i="25"/>
  <c r="AC51" i="25"/>
  <c r="AD51" i="25"/>
  <c r="AC52" i="25"/>
  <c r="AD52" i="25"/>
  <c r="AC53" i="25"/>
  <c r="AD53" i="25"/>
  <c r="AC54" i="25"/>
  <c r="AD54" i="25"/>
  <c r="AC55" i="25"/>
  <c r="AD55" i="25"/>
  <c r="AC56" i="25"/>
  <c r="AD56" i="25"/>
  <c r="AC57" i="25"/>
  <c r="AD57" i="25"/>
  <c r="AB57" i="25"/>
  <c r="AA57" i="25"/>
  <c r="Z57" i="25"/>
  <c r="Y57" i="25"/>
  <c r="X57" i="25"/>
  <c r="AB56" i="25"/>
  <c r="AA56" i="25"/>
  <c r="Z56" i="25"/>
  <c r="Y56" i="25"/>
  <c r="X56" i="25"/>
  <c r="AB55" i="25"/>
  <c r="AA55" i="25"/>
  <c r="Z55" i="25"/>
  <c r="Y55" i="25"/>
  <c r="X55" i="25"/>
  <c r="AB54" i="25"/>
  <c r="AA54" i="25"/>
  <c r="Z54" i="25"/>
  <c r="Y54" i="25"/>
  <c r="X54" i="25"/>
  <c r="AB53" i="25"/>
  <c r="AA53" i="25"/>
  <c r="Z53" i="25"/>
  <c r="Y53" i="25"/>
  <c r="X53" i="25"/>
  <c r="AB52" i="25"/>
  <c r="AA52" i="25"/>
  <c r="Z52" i="25"/>
  <c r="Y52" i="25"/>
  <c r="X52" i="25"/>
  <c r="AB51" i="25"/>
  <c r="AA51" i="25"/>
  <c r="Z51" i="25"/>
  <c r="Y51" i="25"/>
  <c r="X51" i="25"/>
  <c r="AB50" i="25"/>
  <c r="AA50" i="25"/>
  <c r="Z50" i="25"/>
  <c r="Y50" i="25"/>
  <c r="X50" i="25"/>
  <c r="AB49" i="25"/>
  <c r="AA49" i="25"/>
  <c r="Z49" i="25"/>
  <c r="Y49" i="25"/>
  <c r="X49" i="25"/>
  <c r="AB48" i="25"/>
  <c r="AA48" i="25"/>
  <c r="Z48" i="25"/>
  <c r="Y48" i="25"/>
  <c r="X48" i="25"/>
  <c r="AB47" i="25"/>
  <c r="AA47" i="25"/>
  <c r="Z47" i="25"/>
  <c r="Y47" i="25"/>
  <c r="X47" i="25"/>
  <c r="AB46" i="25"/>
  <c r="AA46" i="25"/>
  <c r="Z46" i="25"/>
  <c r="Y46" i="25"/>
  <c r="X46" i="25"/>
  <c r="AB45" i="25"/>
  <c r="AA45" i="25"/>
  <c r="Z45" i="25"/>
  <c r="Y45" i="25"/>
  <c r="X45" i="25"/>
  <c r="AB44" i="25"/>
  <c r="AA44" i="25"/>
  <c r="Z44" i="25"/>
  <c r="Y44" i="25"/>
  <c r="X44" i="25"/>
  <c r="AB43" i="25"/>
  <c r="AA43" i="25"/>
  <c r="Z43" i="25"/>
  <c r="Y43" i="25"/>
  <c r="X43" i="25"/>
  <c r="AB42" i="25"/>
  <c r="AA42" i="25"/>
  <c r="Z42" i="25"/>
  <c r="Y42" i="25"/>
  <c r="X42" i="25"/>
  <c r="AB41" i="25"/>
  <c r="AA41" i="25"/>
  <c r="Z41" i="25"/>
  <c r="Y41" i="25"/>
  <c r="X41" i="25"/>
  <c r="AB40" i="25"/>
  <c r="AA40" i="25"/>
  <c r="Z40" i="25"/>
  <c r="Y40" i="25"/>
  <c r="X40" i="25"/>
  <c r="AB39" i="25"/>
  <c r="AA39" i="25"/>
  <c r="Z39" i="25"/>
  <c r="Y39" i="25"/>
  <c r="X39" i="25"/>
  <c r="AB38" i="25"/>
  <c r="AA38" i="25"/>
  <c r="Z38" i="25"/>
  <c r="Y38" i="25"/>
  <c r="X38" i="25"/>
  <c r="K8" i="25"/>
  <c r="K6" i="25" s="1"/>
  <c r="J8" i="25"/>
  <c r="I8" i="25"/>
  <c r="I6" i="25" s="1"/>
  <c r="H8" i="25"/>
  <c r="H6" i="25" s="1"/>
  <c r="G8" i="25"/>
  <c r="F8" i="25"/>
  <c r="E8" i="25"/>
  <c r="E6" i="25" s="1"/>
  <c r="D8" i="25"/>
  <c r="D6" i="25" s="1"/>
  <c r="C8" i="25"/>
  <c r="C6" i="25" s="1"/>
  <c r="B8" i="25"/>
  <c r="J6" i="25"/>
  <c r="G6" i="25"/>
  <c r="F6" i="25"/>
  <c r="B6" i="25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<sst xmlns="http://schemas.openxmlformats.org/spreadsheetml/2006/main" count="77" uniqueCount="77">
  <si>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</si>
  <si>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</si>
  <si>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</si>
  <si>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</si>
  <si>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</si>
  <si>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</si>
  <si>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</si>
  <si>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</si>
  <si>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</si>
  <si>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</si>
  <si>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</si>
  <si>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</si>
  <si>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</si>
  <si>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</si>
  <si>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</si>
  <si>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</si>
  <si>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</si>
  <si>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</si>
  <si>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</si>
  <si>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</si>
  <si>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</si>
  <si>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</si>
  <si>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</si>
  <si>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</si>
  <si>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</si>
  <si>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</si>
  <si>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</si>
  <si>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</si>
  <si>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</si>
  <si>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</si>
  <si>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</si>
  <si>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</si>
  <si>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</si>
  <si>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</si>
  <si>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</si>
  <si>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</si>
  <si>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</si>
  <si>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</si>
  <si>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</si>
  <si>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</si>
  <si>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</si>
  <si>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</si>
  <si>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</si>
  <si>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</si>
  <si>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</si>
  <si>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</si>
  <si>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</si>
  <si>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</si>
  <si>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</si>
  <si>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</si>
  <si>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</si>
  <si>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</si>
  <si>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</si>
  <si>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</si>
  <si>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</si>
  <si>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</si>
  <si>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</si>
  <si>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</si>
  <si>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</si>
  <si>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</si>
  <si>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</si>
  <si>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</si>
  <si>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</si>
  <si>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</si>
  <si>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</si>
  <si>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</si>
  <si>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</si>
  <si>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</si>
  <si>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</si>
  <si>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 xml:space="preserve">މަޢުލޫމާތު ދެއްވީ:  އާސަންދަ ޕްރައިވެޓް ލިމިޓެޑް </t>
  </si>
  <si>
    <t>Source:  Aasandha Pvt Ltd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</si>
  <si>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</si>
  <si>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</si>
  <si>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</si>
  <si>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</si>
  <si>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Table 18.25:  EXPENDITURE UNDER HEALTH INSURANCE SCHEMES BY ATOLLS,  2014  - 2022</t>
  </si>
  <si>
    <t xml:space="preserve">ތާވަލް 18.25: އާސަންދައިގެ ދަށުން އަތޮޅުތަކުން ހިނގި ޚަރަދު، 2014 - 2022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</si>
</sst>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8" formatCode="_-* #,##0_-;\-* #,##0_-;_-* &quot;-&quot;??_-;_-@_-"/>
    <numFmt numFmtId="169" formatCode="0_);\(0\)"/>
  </numFmts>
  <fonts count="28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9"/>
      <color theme="1" tint="0.14999847407452621"/>
      <name val="A_Randhoo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2" fillId="0" borderId="1"/>
    <xf numFmtId="164" fontId="9" fillId="0" borderId="1"/>
    <xf numFmtId="43" fontId="1" fillId="0" borderId="1" applyFont="0" applyFill="0" applyBorder="0" applyAlignment="0" applyProtection="0"/>
    <xf numFmtId="0" fontId="9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48">
    <xf numFmtId="0" fontId="0" fillId="0" borderId="0" xfId="0"/>
    <xf numFmtId="3" fontId="4" fillId="2" borderId="1" xfId="1" applyNumberFormat="1" applyFont="1" applyFill="1"/>
    <xf numFmtId="166" fontId="10" fillId="2" borderId="1" xfId="0" applyNumberFormat="1" applyFont="1" applyFill="1" applyBorder="1"/>
    <xf numFmtId="166" fontId="0" fillId="2" borderId="0" xfId="0" applyNumberFormat="1" applyFill="1"/>
    <xf numFmtId="3" fontId="5" fillId="2" borderId="1" xfId="1" applyNumberFormat="1" applyFont="1" applyFill="1"/>
    <xf numFmtId="3" fontId="12" fillId="2" borderId="1" xfId="1" applyNumberFormat="1" applyFont="1" applyFill="1"/>
    <xf numFmtId="166" fontId="14" fillId="2" borderId="1" xfId="2" applyNumberFormat="1" applyFont="1" applyFill="1" applyAlignment="1">
      <alignment horizontal="left" vertical="center"/>
    </xf>
    <xf numFmtId="166" fontId="15" fillId="2" borderId="1" xfId="4" applyNumberFormat="1" applyFont="1" applyFill="1" applyAlignment="1">
      <alignment horizontal="right" vertical="center"/>
    </xf>
    <xf numFmtId="166" fontId="8" fillId="2" borderId="1" xfId="4" applyNumberFormat="1" applyFont="1" applyFill="1" applyAlignment="1">
      <alignment horizontal="right" vertical="center"/>
    </xf>
    <xf numFmtId="3" fontId="13" fillId="2" borderId="1" xfId="1" applyNumberFormat="1" applyFont="1" applyFill="1" applyAlignment="1">
      <alignment vertical="center"/>
    </xf>
    <xf numFmtId="0" fontId="17" fillId="2" borderId="0" xfId="0" applyFont="1" applyFill="1"/>
    <xf numFmtId="166" fontId="10" fillId="2" borderId="0" xfId="0" applyNumberFormat="1" applyFont="1" applyFill="1"/>
    <xf numFmtId="166" fontId="18" fillId="2" borderId="1" xfId="2" applyNumberFormat="1" applyFont="1" applyFill="1" applyAlignment="1">
      <alignment horizontal="left" vertical="center"/>
    </xf>
    <xf numFmtId="164" fontId="18" fillId="2" borderId="1" xfId="5" applyNumberFormat="1" applyFont="1" applyFill="1" applyBorder="1" applyAlignment="1" applyProtection="1">
      <alignment horizontal="right" vertical="center"/>
    </xf>
    <xf numFmtId="3" fontId="19" fillId="2" borderId="1" xfId="1" applyNumberFormat="1" applyFont="1" applyFill="1" applyAlignment="1">
      <alignment horizontal="right" vertical="center" indent="2"/>
    </xf>
    <xf numFmtId="166" fontId="20" fillId="2" borderId="0" xfId="0" applyNumberFormat="1" applyFont="1" applyFill="1"/>
    <xf numFmtId="166" fontId="21" fillId="2" borderId="0" xfId="0" applyNumberFormat="1" applyFont="1" applyFill="1"/>
    <xf numFmtId="0" fontId="21" fillId="2" borderId="1" xfId="0" applyFont="1" applyFill="1" applyBorder="1"/>
    <xf numFmtId="43" fontId="21" fillId="2" borderId="1" xfId="5" applyFont="1" applyFill="1" applyBorder="1"/>
    <xf numFmtId="166" fontId="21" fillId="2" borderId="1" xfId="0" applyNumberFormat="1" applyFont="1" applyFill="1" applyBorder="1"/>
    <xf numFmtId="4" fontId="21" fillId="2" borderId="1" xfId="5" applyNumberFormat="1" applyFont="1" applyFill="1" applyBorder="1" applyAlignment="1">
      <alignment horizontal="center" vertical="center"/>
    </xf>
    <xf numFmtId="3" fontId="22" fillId="2" borderId="1" xfId="1" applyNumberFormat="1" applyFont="1" applyFill="1"/>
    <xf numFmtId="164" fontId="23" fillId="2" borderId="1" xfId="5" applyNumberFormat="1" applyFont="1" applyFill="1" applyBorder="1" applyAlignment="1">
      <alignment horizontal="right" vertical="center"/>
    </xf>
    <xf numFmtId="168" fontId="24" fillId="2" borderId="1" xfId="5" applyNumberFormat="1" applyFont="1" applyFill="1"/>
    <xf numFmtId="168" fontId="24" fillId="2" borderId="1" xfId="5" applyNumberFormat="1" applyFont="1" applyFill="1" applyBorder="1"/>
    <xf numFmtId="3" fontId="25" fillId="2" borderId="1" xfId="1" applyNumberFormat="1" applyFont="1" applyFill="1" applyAlignment="1">
      <alignment horizontal="right" vertical="center" indent="2"/>
    </xf>
    <xf numFmtId="4" fontId="26" fillId="2" borderId="1" xfId="5" applyNumberFormat="1" applyFont="1" applyFill="1" applyBorder="1" applyAlignment="1">
      <alignment horizontal="center" vertical="center"/>
    </xf>
    <xf numFmtId="43" fontId="26" fillId="2" borderId="1" xfId="5" applyFont="1" applyFill="1" applyBorder="1"/>
    <xf numFmtId="166" fontId="26" fillId="2" borderId="1" xfId="0" applyNumberFormat="1" applyFont="1" applyFill="1" applyBorder="1"/>
    <xf numFmtId="0" fontId="26" fillId="2" borderId="1" xfId="0" applyFont="1" applyFill="1" applyBorder="1"/>
    <xf numFmtId="3" fontId="22" fillId="2" borderId="2" xfId="1" applyNumberFormat="1" applyFont="1" applyFill="1" applyBorder="1"/>
    <xf numFmtId="164" fontId="23" fillId="2" borderId="2" xfId="5" applyNumberFormat="1" applyFont="1" applyFill="1" applyBorder="1" applyAlignment="1">
      <alignment horizontal="right" vertical="center"/>
    </xf>
    <xf numFmtId="164" fontId="24" fillId="2" borderId="2" xfId="5" applyNumberFormat="1" applyFont="1" applyFill="1" applyBorder="1" applyAlignment="1">
      <alignment horizontal="right" vertical="center"/>
    </xf>
    <xf numFmtId="3" fontId="27" fillId="2" borderId="2" xfId="1" applyNumberFormat="1" applyFont="1" applyFill="1" applyBorder="1" applyAlignment="1">
      <alignment horizontal="right" vertical="center" indent="2"/>
    </xf>
    <xf numFmtId="166" fontId="0" fillId="2" borderId="0" xfId="0" applyNumberFormat="1" applyFill="1" applyAlignment="1">
      <alignment horizontal="right"/>
    </xf>
    <xf numFmtId="43" fontId="0" fillId="2" borderId="1" xfId="5" applyFont="1" applyFill="1"/>
    <xf numFmtId="166" fontId="10" fillId="2" borderId="1" xfId="2" applyNumberFormat="1" applyFont="1" applyFill="1"/>
    <xf numFmtId="169" fontId="0" fillId="2" borderId="1" xfId="5" applyNumberFormat="1" applyFont="1" applyFill="1"/>
    <xf numFmtId="3" fontId="12" fillId="2" borderId="2" xfId="1" applyNumberFormat="1" applyFont="1" applyFill="1" applyBorder="1"/>
    <xf numFmtId="3" fontId="3" fillId="2" borderId="1" xfId="1" applyNumberFormat="1" applyFont="1" applyFill="1" applyAlignment="1">
      <alignment horizontal="center" vertical="center" readingOrder="2"/>
    </xf>
    <xf numFmtId="3" fontId="6" fillId="2" borderId="1" xfId="1" applyNumberFormat="1" applyFont="1" applyFill="1" applyAlignment="1">
      <alignment horizontal="left" vertical="center"/>
    </xf>
    <xf numFmtId="3" fontId="6" fillId="2" borderId="2" xfId="1" applyNumberFormat="1" applyFont="1" applyFill="1" applyBorder="1" applyAlignment="1">
      <alignment horizontal="left" vertical="center"/>
    </xf>
    <xf numFmtId="166" fontId="11" fillId="2" borderId="1" xfId="2" applyNumberFormat="1" applyFont="1" applyFill="1" applyAlignment="1">
      <alignment horizontal="right" vertical="center" wrapText="1"/>
    </xf>
    <xf numFmtId="166" fontId="11" fillId="2" borderId="2" xfId="2" applyNumberFormat="1" applyFont="1" applyFill="1" applyBorder="1" applyAlignment="1">
      <alignment horizontal="right" vertical="center" wrapText="1"/>
    </xf>
    <xf numFmtId="3" fontId="5" fillId="2" borderId="2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3" fontId="16" fillId="2" borderId="1" xfId="1" applyNumberFormat="1" applyFont="1" applyFill="1" applyAlignment="1">
      <alignment horizontal="right" vertical="center" wrapText="1" indent="2"/>
    </xf>
    <xf numFmtId="3" fontId="16" fillId="2" borderId="2" xfId="1" applyNumberFormat="1" applyFont="1" applyFill="1" applyBorder="1" applyAlignment="1">
      <alignment horizontal="right" vertical="center" wrapText="1" indent="2"/>
    </xf>
  </cellXfs>
  <cellStyles count="14"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0 2" xfId="6" xr:uid="{C71C314A-D15E-4E30-8A14-8D449AD00B59}"/>
    <cellStyle name="Normal 39" xfId="8" xr:uid="{4F4E8F7A-67E6-4096-8E34-05E38D8ED152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8" xfId="13" xr:uid="{49593C51-6AD9-47F1-9876-4E87D3F435A6}"/>
    <cellStyle name="Normal 59" xfId="12" xr:uid="{35463A83-6A14-47E2-8F60-A12790F7E977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</a:t>
            </a:r>
            <a:r>
              <a:rPr lang="dv-MV" sz="1050" b="1" i="0" baseline="0">
                <a:latin typeface="+mn-lt"/>
              </a:rPr>
              <a:t>20</a:t>
            </a:r>
            <a:r>
              <a:rPr lang="en-US" sz="1050" b="1" i="0" baseline="0">
                <a:latin typeface="+mn-lt"/>
              </a:rPr>
              <a:t> - </a:t>
            </a:r>
            <a:r>
              <a:rPr lang="dv-MV" sz="1050" b="1" i="0" baseline="0">
                <a:latin typeface="+mn-lt"/>
              </a:rPr>
              <a:t>2022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'18.25'!$AB$37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'18.25'!$U$38:$U$57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'18.25'!$AB$38:$AB$57</c:f>
              <c:numCache>
                <c:formatCode>General_)</c:formatCode>
                <c:ptCount val="20"/>
                <c:pt idx="0">
                  <c:v>42511028.648000002</c:v>
                </c:pt>
                <c:pt idx="1">
                  <c:v>87106108.945999995</c:v>
                </c:pt>
                <c:pt idx="2">
                  <c:v>27517456.108000003</c:v>
                </c:pt>
                <c:pt idx="3">
                  <c:v>23643840.842</c:v>
                </c:pt>
                <c:pt idx="4">
                  <c:v>59567614.17400001</c:v>
                </c:pt>
                <c:pt idx="5">
                  <c:v>25655929.811999999</c:v>
                </c:pt>
                <c:pt idx="6">
                  <c:v>27942400.420000002</c:v>
                </c:pt>
                <c:pt idx="7">
                  <c:v>20342689.015000001</c:v>
                </c:pt>
                <c:pt idx="8">
                  <c:v>12008159.68</c:v>
                </c:pt>
                <c:pt idx="9">
                  <c:v>29868861.675999999</c:v>
                </c:pt>
                <c:pt idx="10">
                  <c:v>3448993.7300000004</c:v>
                </c:pt>
                <c:pt idx="11">
                  <c:v>10855208.769999998</c:v>
                </c:pt>
                <c:pt idx="12">
                  <c:v>14387088.829999998</c:v>
                </c:pt>
                <c:pt idx="13">
                  <c:v>16428599.425000001</c:v>
                </c:pt>
                <c:pt idx="14">
                  <c:v>23808645.879999999</c:v>
                </c:pt>
                <c:pt idx="15">
                  <c:v>50794534.460000008</c:v>
                </c:pt>
                <c:pt idx="16">
                  <c:v>29440804.519999996</c:v>
                </c:pt>
                <c:pt idx="17">
                  <c:v>52286749.170000002</c:v>
                </c:pt>
                <c:pt idx="18">
                  <c:v>30205366.392999999</c:v>
                </c:pt>
                <c:pt idx="19">
                  <c:v>137699477.97600001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B-40FE-9FEE-1370643DA620}"/>
            </c:ext>
          </c:extLst>
        </c:ser>
        <c:ser>
          <c:idx val="2"/>
          <c:order val="1"/>
          <c:tx>
            <c:strRef>
              <c:f>'18.25'!$AC$37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'18.25'!$U$38:$U$57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'18.25'!$AC$38:$AC$57</c:f>
              <c:numCache>
                <c:formatCode>General_)</c:formatCode>
                <c:ptCount val="20"/>
                <c:pt idx="0">
                  <c:v>41229421.620000005</c:v>
                </c:pt>
                <c:pt idx="1">
                  <c:v>105958272.70000002</c:v>
                </c:pt>
                <c:pt idx="2">
                  <c:v>29752743.100000001</c:v>
                </c:pt>
                <c:pt idx="3">
                  <c:v>23414246.520000003</c:v>
                </c:pt>
                <c:pt idx="4">
                  <c:v>55780460.480000004</c:v>
                </c:pt>
                <c:pt idx="5">
                  <c:v>25608416.110000003</c:v>
                </c:pt>
                <c:pt idx="6">
                  <c:v>26327557.609999999</c:v>
                </c:pt>
                <c:pt idx="7">
                  <c:v>20229516.299999997</c:v>
                </c:pt>
                <c:pt idx="8">
                  <c:v>12415359.02</c:v>
                </c:pt>
                <c:pt idx="9">
                  <c:v>30407880.360000003</c:v>
                </c:pt>
                <c:pt idx="10">
                  <c:v>3630063.0300000003</c:v>
                </c:pt>
                <c:pt idx="11">
                  <c:v>9990856.0899999999</c:v>
                </c:pt>
                <c:pt idx="12">
                  <c:v>13273690.779999999</c:v>
                </c:pt>
                <c:pt idx="13">
                  <c:v>15311144.699999999</c:v>
                </c:pt>
                <c:pt idx="14">
                  <c:v>24058552.030000001</c:v>
                </c:pt>
                <c:pt idx="15">
                  <c:v>47038499.760000005</c:v>
                </c:pt>
                <c:pt idx="16">
                  <c:v>30808424.960000001</c:v>
                </c:pt>
                <c:pt idx="17">
                  <c:v>43636279.200900003</c:v>
                </c:pt>
                <c:pt idx="18">
                  <c:v>30315608.859999999</c:v>
                </c:pt>
                <c:pt idx="19">
                  <c:v>150113676.64999998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B-40FE-9FEE-1370643DA620}"/>
            </c:ext>
          </c:extLst>
        </c:ser>
        <c:ser>
          <c:idx val="3"/>
          <c:order val="2"/>
          <c:tx>
            <c:strRef>
              <c:f>'18.25'!$AD$37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'18.25'!$U$38:$U$57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'18.25'!$AD$38:$AD$57</c:f>
              <c:numCache>
                <c:formatCode>General_)</c:formatCode>
                <c:ptCount val="20"/>
                <c:pt idx="0">
                  <c:v>42951407.969999999</c:v>
                </c:pt>
                <c:pt idx="1">
                  <c:v>121253541.48999999</c:v>
                </c:pt>
                <c:pt idx="2">
                  <c:v>34656334.549999997</c:v>
                </c:pt>
                <c:pt idx="3">
                  <c:v>26306259.119999997</c:v>
                </c:pt>
                <c:pt idx="4">
                  <c:v>67478231.180000007</c:v>
                </c:pt>
                <c:pt idx="5">
                  <c:v>29304323.180000007</c:v>
                </c:pt>
                <c:pt idx="6">
                  <c:v>30959571.039999999</c:v>
                </c:pt>
                <c:pt idx="7">
                  <c:v>21165979.760000002</c:v>
                </c:pt>
                <c:pt idx="8">
                  <c:v>13048614.539999999</c:v>
                </c:pt>
                <c:pt idx="9">
                  <c:v>33097189.898000006</c:v>
                </c:pt>
                <c:pt idx="10">
                  <c:v>3690326.27</c:v>
                </c:pt>
                <c:pt idx="11">
                  <c:v>12502296.09</c:v>
                </c:pt>
                <c:pt idx="12">
                  <c:v>16978604.119999997</c:v>
                </c:pt>
                <c:pt idx="13">
                  <c:v>16488463.48</c:v>
                </c:pt>
                <c:pt idx="14">
                  <c:v>28197213.939999998</c:v>
                </c:pt>
                <c:pt idx="15">
                  <c:v>58600261.460000008</c:v>
                </c:pt>
                <c:pt idx="16">
                  <c:v>37493968.349999994</c:v>
                </c:pt>
                <c:pt idx="17">
                  <c:v>57037692.870000005</c:v>
                </c:pt>
                <c:pt idx="18">
                  <c:v>36794336.82</c:v>
                </c:pt>
                <c:pt idx="19">
                  <c:v>182544223.68999997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B-40FE-9FEE-1370643DA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210000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31</xdr:row>
      <xdr:rowOff>71120</xdr:rowOff>
    </xdr:from>
    <xdr:to>
      <xdr:col>12</xdr:col>
      <xdr:colOff>590550</xdr:colOff>
      <xdr:row>49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00829-8C64-4DEE-B7E6-A399545CC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90DA-9CA3-4DE4-B4C5-C310DE0121E7}">
  <sheetPr>
    <tabColor rgb="FF92D050"/>
  </sheetPr>
  <dimension ref="A1:AD57"/>
  <sheetViews>
    <sheetView tabSelected="1" zoomScaleNormal="100" workbookViewId="0">
      <selection activeCell="L7" sqref="L7"/>
    </sheetView>
  </sheetViews>
  <sheetFormatPr defaultColWidth="9.140625" defaultRowHeight="15" x14ac:dyDescent="0.25"/>
  <cols>
    <col min="1" max="1" width="25" style="3" customWidth="1"/>
    <col min="2" max="3" width="20.7109375" style="34" hidden="1" customWidth="1"/>
    <col min="4" max="12" width="14.85546875" style="34" customWidth="1"/>
    <col min="13" max="13" width="30.5703125" style="3" customWidth="1"/>
    <col min="14" max="19" width="28.7109375" style="35" customWidth="1"/>
    <col min="20" max="20" width="27.140625" style="35" customWidth="1"/>
    <col min="21" max="21" width="11.28515625" style="3" customWidth="1"/>
    <col min="22" max="28" width="14.42578125" style="3" customWidth="1"/>
    <col min="29" max="30" width="13.5703125" style="3" customWidth="1"/>
    <col min="31" max="16384" width="9.140625" style="3"/>
  </cols>
  <sheetData>
    <row r="1" spans="1:20" s="1" customFormat="1" ht="21" x14ac:dyDescent="0.2">
      <c r="A1" s="39" t="s">
        <v>76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20" s="1" customFormat="1" x14ac:dyDescent="0.2">
      <c r="A2" s="44" t="s">
        <v>75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20" s="10" customFormat="1" ht="21" x14ac:dyDescent="0.55000000000000004">
      <c r="A3" s="40" t="s">
        <v>1</v>
      </c>
      <c r="B3" s="45" t="s">
        <v>71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6" t="s">
        <v>0</v>
      </c>
    </row>
    <row r="4" spans="1:20" s="11" customFormat="1" ht="12" customHeight="1" x14ac:dyDescent="0.15">
      <c r="A4" s="40"/>
      <c r="B4" s="42">
        <v>2012</v>
      </c>
      <c r="C4" s="42">
        <v>2013</v>
      </c>
      <c r="D4" s="42">
        <v>2014</v>
      </c>
      <c r="E4" s="42">
        <v>2015</v>
      </c>
      <c r="F4" s="42">
        <v>2016</v>
      </c>
      <c r="G4" s="42">
        <v>2017</v>
      </c>
      <c r="H4" s="42">
        <v>2018</v>
      </c>
      <c r="I4" s="42">
        <v>2019</v>
      </c>
      <c r="J4" s="42">
        <v>2020</v>
      </c>
      <c r="K4" s="42">
        <v>2021</v>
      </c>
      <c r="L4" s="42">
        <v>2022</v>
      </c>
      <c r="M4" s="46"/>
    </row>
    <row r="5" spans="1:20" s="2" customFormat="1" ht="12" customHeight="1" x14ac:dyDescent="0.15">
      <c r="A5" s="41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7"/>
    </row>
    <row r="6" spans="1:20" s="16" customFormat="1" ht="19.5" x14ac:dyDescent="0.25">
      <c r="A6" s="12" t="s">
        <v>2</v>
      </c>
      <c r="B6" s="13">
        <f t="shared" ref="B6:G6" si="0">B7+B8+B29</f>
        <v>782126477</v>
      </c>
      <c r="C6" s="13">
        <f t="shared" si="0"/>
        <v>744921544.64999926</v>
      </c>
      <c r="D6" s="13">
        <f t="shared" si="0"/>
        <v>1063054680.1289002</v>
      </c>
      <c r="E6" s="13">
        <f t="shared" si="0"/>
        <v>1400609841.9116001</v>
      </c>
      <c r="F6" s="13">
        <f t="shared" si="0"/>
        <v>1675199186.7772999</v>
      </c>
      <c r="G6" s="13">
        <f t="shared" si="0"/>
        <v>1797290685.4303999</v>
      </c>
      <c r="H6" s="13">
        <f>H7+H8+H29</f>
        <v>2164672440.9014001</v>
      </c>
      <c r="I6" s="13">
        <f>I7+I8+I29</f>
        <v>2433716952.1485</v>
      </c>
      <c r="J6" s="13">
        <f>J7+J8+J29</f>
        <v>2014669790.0486999</v>
      </c>
      <c r="K6" s="13">
        <f>K7+K8+K29</f>
        <v>2282636912.9889998</v>
      </c>
      <c r="L6" s="13">
        <f>L7+L8+L29</f>
        <v>2823096048.0652008</v>
      </c>
      <c r="M6" s="14" t="s">
        <v>3</v>
      </c>
      <c r="N6" s="15"/>
      <c r="O6" s="15"/>
      <c r="P6" s="15"/>
      <c r="Q6" s="15"/>
      <c r="R6" s="15"/>
      <c r="S6" s="15"/>
    </row>
    <row r="7" spans="1:20" s="19" customFormat="1" ht="19.5" x14ac:dyDescent="0.25">
      <c r="A7" s="12" t="s">
        <v>72</v>
      </c>
      <c r="B7" s="13">
        <v>448843963</v>
      </c>
      <c r="C7" s="13">
        <v>403043430</v>
      </c>
      <c r="D7" s="13">
        <v>529844339.34140003</v>
      </c>
      <c r="E7" s="13">
        <v>694778647.79130006</v>
      </c>
      <c r="F7" s="13">
        <v>899761456.66649997</v>
      </c>
      <c r="G7" s="13">
        <v>1040187042.5204</v>
      </c>
      <c r="H7" s="13">
        <v>1255240833.7985001</v>
      </c>
      <c r="I7" s="13">
        <v>1480247823.2519999</v>
      </c>
      <c r="J7" s="13">
        <v>1164428500.4761</v>
      </c>
      <c r="K7" s="13">
        <v>1327177554.8576999</v>
      </c>
      <c r="L7" s="13">
        <v>1630627599.4918005</v>
      </c>
      <c r="M7" s="14" t="s">
        <v>4</v>
      </c>
      <c r="N7" s="17"/>
      <c r="O7" s="17"/>
      <c r="P7" s="17"/>
      <c r="Q7" s="17"/>
      <c r="R7" s="17"/>
      <c r="S7" s="17"/>
      <c r="T7" s="18"/>
    </row>
    <row r="8" spans="1:20" s="19" customFormat="1" ht="19.5" x14ac:dyDescent="0.25">
      <c r="A8" s="12" t="s">
        <v>5</v>
      </c>
      <c r="B8" s="13">
        <f t="shared" ref="B8:C8" si="1">SUM(B9:B28)</f>
        <v>264760139</v>
      </c>
      <c r="C8" s="13">
        <f t="shared" si="1"/>
        <v>267510730.38999927</v>
      </c>
      <c r="D8" s="13">
        <f>SUM(D9:D28)</f>
        <v>364203693.46630007</v>
      </c>
      <c r="E8" s="13">
        <f t="shared" ref="E8:L8" si="2">SUM(E9:E28)</f>
        <v>483525096.47309995</v>
      </c>
      <c r="F8" s="13">
        <f t="shared" si="2"/>
        <v>552084045.86000001</v>
      </c>
      <c r="G8" s="13">
        <f t="shared" si="2"/>
        <v>582040521.90999997</v>
      </c>
      <c r="H8" s="13">
        <f t="shared" si="2"/>
        <v>642497891.10289991</v>
      </c>
      <c r="I8" s="13">
        <f t="shared" si="2"/>
        <v>673897012.7277</v>
      </c>
      <c r="J8" s="13">
        <f t="shared" si="2"/>
        <v>725519558.4749999</v>
      </c>
      <c r="K8" s="13">
        <f t="shared" si="2"/>
        <v>739300669.88089991</v>
      </c>
      <c r="L8" s="13">
        <f>SUM(L9:L28)</f>
        <v>870548839.81800008</v>
      </c>
      <c r="M8" s="14" t="s">
        <v>6</v>
      </c>
      <c r="N8" s="17"/>
      <c r="O8" s="17"/>
      <c r="P8" s="17"/>
      <c r="Q8" s="17"/>
      <c r="R8" s="17"/>
      <c r="S8" s="17"/>
      <c r="T8" s="20"/>
    </row>
    <row r="9" spans="1:20" s="28" customFormat="1" ht="17.25" x14ac:dyDescent="0.25">
      <c r="A9" s="21" t="s">
        <v>7</v>
      </c>
      <c r="B9" s="22">
        <v>15101822</v>
      </c>
      <c r="C9" s="22">
        <v>16574727.689999968</v>
      </c>
      <c r="D9" s="23">
        <v>21476572.449999999</v>
      </c>
      <c r="E9" s="23">
        <v>28247167.650000002</v>
      </c>
      <c r="F9" s="23">
        <v>30277717.990000002</v>
      </c>
      <c r="G9" s="23">
        <v>34032071.780000001</v>
      </c>
      <c r="H9" s="23">
        <v>37849375.519999996</v>
      </c>
      <c r="I9" s="23">
        <v>40448262.304399997</v>
      </c>
      <c r="J9" s="23">
        <v>42511028.648000002</v>
      </c>
      <c r="K9" s="24">
        <v>41229421.620000005</v>
      </c>
      <c r="L9" s="24">
        <v>42951407.969999999</v>
      </c>
      <c r="M9" s="25" t="s">
        <v>8</v>
      </c>
      <c r="N9" s="26"/>
      <c r="O9" s="26"/>
      <c r="P9" s="26"/>
      <c r="Q9" s="26"/>
      <c r="R9" s="26"/>
      <c r="S9" s="26"/>
      <c r="T9" s="27"/>
    </row>
    <row r="10" spans="1:20" s="28" customFormat="1" ht="17.25" x14ac:dyDescent="0.25">
      <c r="A10" s="21" t="s">
        <v>9</v>
      </c>
      <c r="B10" s="22">
        <v>41415958</v>
      </c>
      <c r="C10" s="22">
        <v>40695134.079999633</v>
      </c>
      <c r="D10" s="23">
        <v>47757008.690000005</v>
      </c>
      <c r="E10" s="23">
        <v>55532820.670000002</v>
      </c>
      <c r="F10" s="23">
        <v>60034554.979999997</v>
      </c>
      <c r="G10" s="23">
        <v>69991758.379999995</v>
      </c>
      <c r="H10" s="23">
        <v>73741273.559999987</v>
      </c>
      <c r="I10" s="23">
        <v>78971036.104199991</v>
      </c>
      <c r="J10" s="23">
        <v>87106108.945999995</v>
      </c>
      <c r="K10" s="24">
        <v>105958272.70000002</v>
      </c>
      <c r="L10" s="24">
        <v>121253541.48999999</v>
      </c>
      <c r="M10" s="25" t="s">
        <v>10</v>
      </c>
      <c r="N10" s="27"/>
      <c r="O10" s="27"/>
      <c r="P10" s="27"/>
      <c r="Q10" s="27"/>
      <c r="R10" s="27"/>
      <c r="S10" s="27"/>
      <c r="T10" s="27"/>
    </row>
    <row r="11" spans="1:20" s="28" customFormat="1" ht="17.25" x14ac:dyDescent="0.25">
      <c r="A11" s="21" t="s">
        <v>11</v>
      </c>
      <c r="B11" s="22">
        <v>13338409</v>
      </c>
      <c r="C11" s="22">
        <v>13893985.419999985</v>
      </c>
      <c r="D11" s="23">
        <v>18573633.770000003</v>
      </c>
      <c r="E11" s="23">
        <v>22929493.010000002</v>
      </c>
      <c r="F11" s="23">
        <v>21043099.035</v>
      </c>
      <c r="G11" s="23">
        <v>22385644.167000003</v>
      </c>
      <c r="H11" s="23">
        <v>24133600.373999998</v>
      </c>
      <c r="I11" s="23">
        <v>25952832.935399998</v>
      </c>
      <c r="J11" s="23">
        <v>27517456.108000003</v>
      </c>
      <c r="K11" s="24">
        <v>29752743.100000001</v>
      </c>
      <c r="L11" s="24">
        <v>34656334.549999997</v>
      </c>
      <c r="M11" s="25" t="s">
        <v>12</v>
      </c>
      <c r="N11" s="29"/>
      <c r="O11" s="29"/>
      <c r="P11" s="29"/>
      <c r="Q11" s="29"/>
      <c r="R11" s="29"/>
      <c r="S11" s="29"/>
      <c r="T11" s="27"/>
    </row>
    <row r="12" spans="1:20" s="28" customFormat="1" ht="17.25" x14ac:dyDescent="0.25">
      <c r="A12" s="21" t="s">
        <v>13</v>
      </c>
      <c r="B12" s="22">
        <v>9433955</v>
      </c>
      <c r="C12" s="22">
        <v>8314019.0199999837</v>
      </c>
      <c r="D12" s="23">
        <v>11788026.339999998</v>
      </c>
      <c r="E12" s="23">
        <v>16282824.6</v>
      </c>
      <c r="F12" s="23">
        <v>16255000.77</v>
      </c>
      <c r="G12" s="23">
        <v>17119918.760000002</v>
      </c>
      <c r="H12" s="23">
        <v>18665154.07</v>
      </c>
      <c r="I12" s="23">
        <v>21571553.8116</v>
      </c>
      <c r="J12" s="23">
        <v>23643840.842</v>
      </c>
      <c r="K12" s="24">
        <v>23414246.520000003</v>
      </c>
      <c r="L12" s="24">
        <v>26306259.119999997</v>
      </c>
      <c r="M12" s="25" t="s">
        <v>14</v>
      </c>
      <c r="N12" s="29"/>
      <c r="O12" s="29"/>
      <c r="P12" s="29"/>
      <c r="Q12" s="29"/>
      <c r="R12" s="29"/>
      <c r="S12" s="29"/>
      <c r="T12" s="27"/>
    </row>
    <row r="13" spans="1:20" s="28" customFormat="1" ht="17.25" x14ac:dyDescent="0.25">
      <c r="A13" s="21" t="s">
        <v>15</v>
      </c>
      <c r="B13" s="22">
        <v>19126765</v>
      </c>
      <c r="C13" s="22">
        <v>20668283.129999995</v>
      </c>
      <c r="D13" s="23">
        <v>29304498.352999996</v>
      </c>
      <c r="E13" s="23">
        <v>40394300.450999998</v>
      </c>
      <c r="F13" s="23">
        <v>43959957.414999999</v>
      </c>
      <c r="G13" s="23">
        <v>47021244.049999997</v>
      </c>
      <c r="H13" s="23">
        <v>49456949.840000004</v>
      </c>
      <c r="I13" s="23">
        <v>53008180.737800002</v>
      </c>
      <c r="J13" s="23">
        <v>59567614.17400001</v>
      </c>
      <c r="K13" s="24">
        <v>55780460.480000004</v>
      </c>
      <c r="L13" s="24">
        <v>67478231.180000007</v>
      </c>
      <c r="M13" s="25" t="s">
        <v>16</v>
      </c>
      <c r="N13" s="29"/>
      <c r="O13" s="29"/>
      <c r="P13" s="29"/>
      <c r="Q13" s="29"/>
      <c r="R13" s="29"/>
      <c r="S13" s="29"/>
      <c r="T13" s="27"/>
    </row>
    <row r="14" spans="1:20" s="28" customFormat="1" ht="17.25" x14ac:dyDescent="0.25">
      <c r="A14" s="21" t="s">
        <v>17</v>
      </c>
      <c r="B14" s="22">
        <v>10273872</v>
      </c>
      <c r="C14" s="22">
        <v>9666175.0999999773</v>
      </c>
      <c r="D14" s="23">
        <v>15482386.66</v>
      </c>
      <c r="E14" s="23">
        <v>21675172.101000004</v>
      </c>
      <c r="F14" s="23">
        <v>26651220.369999997</v>
      </c>
      <c r="G14" s="23">
        <v>30149104.175999999</v>
      </c>
      <c r="H14" s="23">
        <v>33634879.120000005</v>
      </c>
      <c r="I14" s="23">
        <v>27044367.550599996</v>
      </c>
      <c r="J14" s="23">
        <v>25655929.811999999</v>
      </c>
      <c r="K14" s="24">
        <v>25608416.110000003</v>
      </c>
      <c r="L14" s="24">
        <v>29304323.180000007</v>
      </c>
      <c r="M14" s="25" t="s">
        <v>18</v>
      </c>
      <c r="N14" s="29"/>
      <c r="O14" s="29"/>
      <c r="P14" s="29"/>
      <c r="Q14" s="29"/>
      <c r="R14" s="29"/>
      <c r="S14" s="29"/>
      <c r="T14" s="27"/>
    </row>
    <row r="15" spans="1:20" s="28" customFormat="1" ht="17.25" x14ac:dyDescent="0.25">
      <c r="A15" s="21" t="s">
        <v>19</v>
      </c>
      <c r="B15" s="22">
        <v>19693974</v>
      </c>
      <c r="C15" s="22">
        <v>17144245.799999915</v>
      </c>
      <c r="D15" s="23">
        <v>23688972.940000001</v>
      </c>
      <c r="E15" s="23">
        <v>27147750.810000002</v>
      </c>
      <c r="F15" s="23">
        <v>31816789.559999999</v>
      </c>
      <c r="G15" s="23">
        <v>38642931.219999999</v>
      </c>
      <c r="H15" s="23">
        <v>35692529.049999997</v>
      </c>
      <c r="I15" s="23">
        <v>32568445.948899999</v>
      </c>
      <c r="J15" s="23">
        <v>27942400.420000002</v>
      </c>
      <c r="K15" s="24">
        <v>26327557.609999999</v>
      </c>
      <c r="L15" s="24">
        <v>30959571.039999999</v>
      </c>
      <c r="M15" s="25" t="s">
        <v>20</v>
      </c>
      <c r="N15" s="27"/>
      <c r="O15" s="27"/>
      <c r="P15" s="27"/>
      <c r="Q15" s="27"/>
      <c r="R15" s="27"/>
      <c r="S15" s="27"/>
      <c r="T15" s="27"/>
    </row>
    <row r="16" spans="1:20" s="28" customFormat="1" ht="17.25" x14ac:dyDescent="0.25">
      <c r="A16" s="21" t="s">
        <v>21</v>
      </c>
      <c r="B16" s="22">
        <v>4089031</v>
      </c>
      <c r="C16" s="22">
        <v>4086512.3099999996</v>
      </c>
      <c r="D16" s="23">
        <v>7724957.6299999999</v>
      </c>
      <c r="E16" s="23">
        <v>12281541.290000001</v>
      </c>
      <c r="F16" s="23">
        <v>14543865.745000001</v>
      </c>
      <c r="G16" s="23">
        <v>15450866.840299999</v>
      </c>
      <c r="H16" s="23">
        <v>15019880.84</v>
      </c>
      <c r="I16" s="23">
        <v>17197161.118400004</v>
      </c>
      <c r="J16" s="23">
        <v>20342689.015000001</v>
      </c>
      <c r="K16" s="24">
        <v>20229516.299999997</v>
      </c>
      <c r="L16" s="24">
        <v>21165979.760000002</v>
      </c>
      <c r="M16" s="25" t="s">
        <v>22</v>
      </c>
      <c r="N16" s="29"/>
      <c r="O16" s="29"/>
      <c r="P16" s="29"/>
      <c r="Q16" s="29"/>
      <c r="R16" s="29"/>
      <c r="S16" s="29"/>
      <c r="T16" s="27"/>
    </row>
    <row r="17" spans="1:21" s="28" customFormat="1" ht="17.25" x14ac:dyDescent="0.25">
      <c r="A17" s="21" t="s">
        <v>23</v>
      </c>
      <c r="B17" s="22">
        <v>4155717</v>
      </c>
      <c r="C17" s="22">
        <v>3627549.2800000003</v>
      </c>
      <c r="D17" s="23">
        <v>3540685.44</v>
      </c>
      <c r="E17" s="23">
        <v>7471919.1500000004</v>
      </c>
      <c r="F17" s="23">
        <v>8698613.1500000004</v>
      </c>
      <c r="G17" s="23">
        <v>5947100.96</v>
      </c>
      <c r="H17" s="23">
        <v>10990868.449999999</v>
      </c>
      <c r="I17" s="23">
        <v>11972620.461000001</v>
      </c>
      <c r="J17" s="23">
        <v>12008159.68</v>
      </c>
      <c r="K17" s="24">
        <v>12415359.02</v>
      </c>
      <c r="L17" s="24">
        <v>13048614.539999999</v>
      </c>
      <c r="M17" s="25" t="s">
        <v>24</v>
      </c>
      <c r="N17" s="29"/>
      <c r="O17" s="29"/>
      <c r="P17" s="29"/>
      <c r="Q17" s="29"/>
      <c r="R17" s="29"/>
      <c r="S17" s="29"/>
      <c r="T17" s="27"/>
    </row>
    <row r="18" spans="1:21" s="28" customFormat="1" ht="17.25" x14ac:dyDescent="0.25">
      <c r="A18" s="21" t="s">
        <v>25</v>
      </c>
      <c r="B18" s="22">
        <v>8195340</v>
      </c>
      <c r="C18" s="22">
        <v>11106707.47999998</v>
      </c>
      <c r="D18" s="23">
        <v>13156080.83</v>
      </c>
      <c r="E18" s="23">
        <v>17498120.029999997</v>
      </c>
      <c r="F18" s="23">
        <v>21983644.324999999</v>
      </c>
      <c r="G18" s="23">
        <v>9181590.7400000021</v>
      </c>
      <c r="H18" s="23">
        <v>25909086.93</v>
      </c>
      <c r="I18" s="23">
        <v>27622860.336999997</v>
      </c>
      <c r="J18" s="23">
        <v>29868861.675999999</v>
      </c>
      <c r="K18" s="24">
        <v>30407880.360000003</v>
      </c>
      <c r="L18" s="24">
        <v>33097189.898000006</v>
      </c>
      <c r="M18" s="25" t="s">
        <v>26</v>
      </c>
      <c r="N18" s="27"/>
      <c r="O18" s="27"/>
      <c r="P18" s="27"/>
      <c r="Q18" s="27"/>
      <c r="R18" s="27"/>
      <c r="S18" s="27"/>
      <c r="T18" s="27"/>
    </row>
    <row r="19" spans="1:21" s="28" customFormat="1" ht="17.25" x14ac:dyDescent="0.25">
      <c r="A19" s="21" t="s">
        <v>27</v>
      </c>
      <c r="B19" s="22">
        <v>409251</v>
      </c>
      <c r="C19" s="22">
        <v>543378.02999999898</v>
      </c>
      <c r="D19" s="23">
        <v>563786.18999999994</v>
      </c>
      <c r="E19" s="23">
        <v>1773766.73</v>
      </c>
      <c r="F19" s="23">
        <v>2451686.34</v>
      </c>
      <c r="G19" s="23">
        <v>2580520.0900000003</v>
      </c>
      <c r="H19" s="23">
        <v>2433263.37</v>
      </c>
      <c r="I19" s="23">
        <v>2757929.4720000001</v>
      </c>
      <c r="J19" s="23">
        <v>3448993.7300000004</v>
      </c>
      <c r="K19" s="24">
        <v>3630063.0300000003</v>
      </c>
      <c r="L19" s="24">
        <v>3690326.27</v>
      </c>
      <c r="M19" s="25" t="s">
        <v>28</v>
      </c>
      <c r="N19" s="27"/>
      <c r="O19" s="27"/>
      <c r="P19" s="27"/>
      <c r="Q19" s="27"/>
      <c r="R19" s="27"/>
      <c r="S19" s="27"/>
      <c r="T19" s="27"/>
      <c r="U19" s="27"/>
    </row>
    <row r="20" spans="1:21" s="28" customFormat="1" ht="17.25" x14ac:dyDescent="0.25">
      <c r="A20" s="21" t="s">
        <v>29</v>
      </c>
      <c r="B20" s="22">
        <v>4320592</v>
      </c>
      <c r="C20" s="22">
        <v>4438872.0499999886</v>
      </c>
      <c r="D20" s="23">
        <v>9125266.5999999996</v>
      </c>
      <c r="E20" s="23">
        <v>12610137.149999999</v>
      </c>
      <c r="F20" s="23">
        <v>11946502.880000001</v>
      </c>
      <c r="G20" s="23">
        <v>7909169.9100000001</v>
      </c>
      <c r="H20" s="23">
        <v>11312990.07</v>
      </c>
      <c r="I20" s="23">
        <v>10031071.428399999</v>
      </c>
      <c r="J20" s="23">
        <v>10855208.769999998</v>
      </c>
      <c r="K20" s="24">
        <v>9990856.0899999999</v>
      </c>
      <c r="L20" s="24">
        <v>12502296.09</v>
      </c>
      <c r="M20" s="25" t="s">
        <v>30</v>
      </c>
      <c r="N20" s="27"/>
      <c r="O20" s="27"/>
      <c r="P20" s="27"/>
      <c r="Q20" s="27"/>
      <c r="R20" s="27"/>
      <c r="S20" s="27"/>
      <c r="T20" s="27"/>
    </row>
    <row r="21" spans="1:21" s="28" customFormat="1" ht="17.25" x14ac:dyDescent="0.25">
      <c r="A21" s="21" t="s">
        <v>31</v>
      </c>
      <c r="B21" s="22">
        <v>5387983</v>
      </c>
      <c r="C21" s="22">
        <v>4886885.8999999873</v>
      </c>
      <c r="D21" s="23">
        <v>6589192.25</v>
      </c>
      <c r="E21" s="23">
        <v>9723321.2799999993</v>
      </c>
      <c r="F21" s="23">
        <v>10153645.829999998</v>
      </c>
      <c r="G21" s="23">
        <v>6358160.0700000003</v>
      </c>
      <c r="H21" s="23">
        <v>13465688.68</v>
      </c>
      <c r="I21" s="23">
        <v>13925732.6666</v>
      </c>
      <c r="J21" s="23">
        <v>14387088.829999998</v>
      </c>
      <c r="K21" s="24">
        <v>13273690.779999999</v>
      </c>
      <c r="L21" s="24">
        <v>16978604.119999997</v>
      </c>
      <c r="M21" s="25" t="s">
        <v>32</v>
      </c>
      <c r="N21" s="27"/>
      <c r="O21" s="27"/>
      <c r="P21" s="27"/>
      <c r="Q21" s="27"/>
      <c r="R21" s="27"/>
      <c r="S21" s="27"/>
      <c r="T21" s="27"/>
    </row>
    <row r="22" spans="1:21" s="28" customFormat="1" ht="17.25" x14ac:dyDescent="0.25">
      <c r="A22" s="21" t="s">
        <v>33</v>
      </c>
      <c r="B22" s="22">
        <v>9032373</v>
      </c>
      <c r="C22" s="22">
        <v>9196467.5899999663</v>
      </c>
      <c r="D22" s="23">
        <v>9874084.1600000001</v>
      </c>
      <c r="E22" s="23">
        <v>12434694.649999999</v>
      </c>
      <c r="F22" s="23">
        <v>11807838.66</v>
      </c>
      <c r="G22" s="23">
        <v>13061458.859999999</v>
      </c>
      <c r="H22" s="23">
        <v>15100490.25</v>
      </c>
      <c r="I22" s="23">
        <v>17043507.483999997</v>
      </c>
      <c r="J22" s="23">
        <v>16428599.425000001</v>
      </c>
      <c r="K22" s="24">
        <v>15311144.699999999</v>
      </c>
      <c r="L22" s="24">
        <v>16488463.48</v>
      </c>
      <c r="M22" s="25" t="s">
        <v>34</v>
      </c>
      <c r="N22" s="29"/>
      <c r="O22" s="29"/>
      <c r="P22" s="29"/>
      <c r="Q22" s="29"/>
      <c r="R22" s="29"/>
      <c r="S22" s="29"/>
      <c r="T22" s="27"/>
    </row>
    <row r="23" spans="1:21" s="28" customFormat="1" ht="17.25" x14ac:dyDescent="0.25">
      <c r="A23" s="21" t="s">
        <v>35</v>
      </c>
      <c r="B23" s="22">
        <v>10105484</v>
      </c>
      <c r="C23" s="22">
        <v>10945367.059999999</v>
      </c>
      <c r="D23" s="23">
        <v>15424283.250000004</v>
      </c>
      <c r="E23" s="23">
        <v>20505081.599999994</v>
      </c>
      <c r="F23" s="23">
        <v>22462983.789999999</v>
      </c>
      <c r="G23" s="23">
        <v>23683245.52</v>
      </c>
      <c r="H23" s="23">
        <v>21574058.689999998</v>
      </c>
      <c r="I23" s="23">
        <v>23421048.300000004</v>
      </c>
      <c r="J23" s="23">
        <v>23808645.879999999</v>
      </c>
      <c r="K23" s="24">
        <v>24058552.030000001</v>
      </c>
      <c r="L23" s="24">
        <v>28197213.939999998</v>
      </c>
      <c r="M23" s="25" t="s">
        <v>36</v>
      </c>
      <c r="N23" s="27"/>
      <c r="O23" s="27"/>
      <c r="P23" s="27"/>
      <c r="Q23" s="27"/>
      <c r="R23" s="27"/>
      <c r="S23" s="27"/>
      <c r="T23" s="27"/>
    </row>
    <row r="24" spans="1:21" s="28" customFormat="1" ht="17.25" x14ac:dyDescent="0.25">
      <c r="A24" s="21" t="s">
        <v>37</v>
      </c>
      <c r="B24" s="22">
        <v>12373132</v>
      </c>
      <c r="C24" s="22">
        <v>11644595.34999999</v>
      </c>
      <c r="D24" s="23">
        <v>19121149.300000001</v>
      </c>
      <c r="E24" s="23">
        <v>27347316.960000001</v>
      </c>
      <c r="F24" s="23">
        <v>30750547.939999998</v>
      </c>
      <c r="G24" s="23">
        <v>32945144.069999997</v>
      </c>
      <c r="H24" s="23">
        <v>34810489.399999999</v>
      </c>
      <c r="I24" s="23">
        <v>42832104.030000001</v>
      </c>
      <c r="J24" s="23">
        <v>50794534.460000008</v>
      </c>
      <c r="K24" s="24">
        <v>47038499.760000005</v>
      </c>
      <c r="L24" s="24">
        <v>58600261.460000008</v>
      </c>
      <c r="M24" s="25" t="s">
        <v>38</v>
      </c>
      <c r="N24" s="29"/>
      <c r="O24" s="29"/>
      <c r="P24" s="29"/>
      <c r="Q24" s="29"/>
      <c r="R24" s="29"/>
      <c r="S24" s="29"/>
      <c r="T24" s="27"/>
    </row>
    <row r="25" spans="1:21" s="28" customFormat="1" ht="17.25" x14ac:dyDescent="0.25">
      <c r="A25" s="21" t="s">
        <v>39</v>
      </c>
      <c r="B25" s="22">
        <v>12513632</v>
      </c>
      <c r="C25" s="22">
        <v>11341319.889999969</v>
      </c>
      <c r="D25" s="23">
        <v>14483951.450000001</v>
      </c>
      <c r="E25" s="23">
        <v>21910210.289999999</v>
      </c>
      <c r="F25" s="23">
        <v>25050862.829999998</v>
      </c>
      <c r="G25" s="23">
        <v>28968304</v>
      </c>
      <c r="H25" s="23">
        <v>27993704.789999999</v>
      </c>
      <c r="I25" s="23">
        <v>31369978.870000001</v>
      </c>
      <c r="J25" s="23">
        <v>29440804.519999996</v>
      </c>
      <c r="K25" s="24">
        <v>30808424.960000001</v>
      </c>
      <c r="L25" s="24">
        <v>37493968.349999994</v>
      </c>
      <c r="M25" s="25" t="s">
        <v>40</v>
      </c>
      <c r="N25" s="29"/>
      <c r="O25" s="29"/>
      <c r="P25" s="29"/>
      <c r="Q25" s="29"/>
      <c r="R25" s="29"/>
      <c r="S25" s="29"/>
      <c r="T25" s="27"/>
    </row>
    <row r="26" spans="1:21" s="28" customFormat="1" ht="17.25" x14ac:dyDescent="0.25">
      <c r="A26" s="21" t="s">
        <v>41</v>
      </c>
      <c r="B26" s="22">
        <v>21084401</v>
      </c>
      <c r="C26" s="22">
        <v>22821907.67999997</v>
      </c>
      <c r="D26" s="23">
        <v>27642128.069999993</v>
      </c>
      <c r="E26" s="23">
        <v>34260241.729999997</v>
      </c>
      <c r="F26" s="23">
        <v>39536598.640000008</v>
      </c>
      <c r="G26" s="23">
        <v>44492550.350000001</v>
      </c>
      <c r="H26" s="23">
        <v>46107004.269999996</v>
      </c>
      <c r="I26" s="23">
        <v>52074088.550000012</v>
      </c>
      <c r="J26" s="23">
        <v>52286749.170000002</v>
      </c>
      <c r="K26" s="24">
        <v>43636279.200900003</v>
      </c>
      <c r="L26" s="24">
        <v>57037692.870000005</v>
      </c>
      <c r="M26" s="25" t="s">
        <v>42</v>
      </c>
      <c r="N26" s="29"/>
      <c r="O26" s="29"/>
      <c r="P26" s="29"/>
      <c r="Q26" s="29"/>
      <c r="R26" s="29"/>
      <c r="S26" s="29"/>
      <c r="T26" s="27"/>
    </row>
    <row r="27" spans="1:21" s="28" customFormat="1" ht="17.25" x14ac:dyDescent="0.25">
      <c r="A27" s="21" t="s">
        <v>43</v>
      </c>
      <c r="B27" s="22">
        <v>12733438</v>
      </c>
      <c r="C27" s="22">
        <v>10712175.139999989</v>
      </c>
      <c r="D27" s="23">
        <v>12905259.859999999</v>
      </c>
      <c r="E27" s="23">
        <v>19379941.390000001</v>
      </c>
      <c r="F27" s="23">
        <v>20312685.899999999</v>
      </c>
      <c r="G27" s="23">
        <v>15456736.35</v>
      </c>
      <c r="H27" s="23">
        <v>23428238.91</v>
      </c>
      <c r="I27" s="23">
        <v>26813330.047800001</v>
      </c>
      <c r="J27" s="23">
        <v>30205366.392999999</v>
      </c>
      <c r="K27" s="24">
        <v>30315608.859999999</v>
      </c>
      <c r="L27" s="24">
        <v>36794336.82</v>
      </c>
      <c r="M27" s="25" t="s">
        <v>44</v>
      </c>
      <c r="N27" s="27"/>
      <c r="O27" s="27"/>
      <c r="P27" s="27"/>
      <c r="Q27" s="27"/>
      <c r="R27" s="27"/>
      <c r="S27" s="27"/>
      <c r="T27" s="27"/>
    </row>
    <row r="28" spans="1:21" s="28" customFormat="1" ht="17.25" x14ac:dyDescent="0.25">
      <c r="A28" s="21" t="s">
        <v>45</v>
      </c>
      <c r="B28" s="22">
        <v>31975010</v>
      </c>
      <c r="C28" s="22">
        <v>35202422.390000001</v>
      </c>
      <c r="D28" s="23">
        <v>55981769.233300008</v>
      </c>
      <c r="E28" s="23">
        <v>74119274.931099996</v>
      </c>
      <c r="F28" s="23">
        <v>102346229.71000001</v>
      </c>
      <c r="G28" s="23">
        <v>116663001.61669999</v>
      </c>
      <c r="H28" s="23">
        <v>121178364.9189</v>
      </c>
      <c r="I28" s="23">
        <v>117270900.5696</v>
      </c>
      <c r="J28" s="23">
        <v>137699477.97600001</v>
      </c>
      <c r="K28" s="24">
        <v>150113676.64999998</v>
      </c>
      <c r="L28" s="24">
        <v>182544223.68999997</v>
      </c>
      <c r="M28" s="25" t="s">
        <v>46</v>
      </c>
      <c r="N28" s="27"/>
      <c r="O28" s="27"/>
      <c r="P28" s="27"/>
      <c r="Q28" s="27"/>
      <c r="R28" s="27"/>
      <c r="S28" s="27"/>
      <c r="T28" s="27"/>
    </row>
    <row r="29" spans="1:21" s="28" customFormat="1" ht="19.5" x14ac:dyDescent="0.25">
      <c r="A29" s="30" t="s">
        <v>73</v>
      </c>
      <c r="B29" s="31">
        <v>68522375</v>
      </c>
      <c r="C29" s="31">
        <v>74367384.260000005</v>
      </c>
      <c r="D29" s="32">
        <v>169006647.32120001</v>
      </c>
      <c r="E29" s="32">
        <v>222306097.64719999</v>
      </c>
      <c r="F29" s="32">
        <v>223353684.25080001</v>
      </c>
      <c r="G29" s="32">
        <v>175063121</v>
      </c>
      <c r="H29" s="32">
        <v>266933716</v>
      </c>
      <c r="I29" s="32">
        <v>279572116.1688</v>
      </c>
      <c r="J29" s="32">
        <v>124721731.0976</v>
      </c>
      <c r="K29" s="32">
        <v>216158688.25040001</v>
      </c>
      <c r="L29" s="32">
        <v>321919608.7554</v>
      </c>
      <c r="M29" s="33" t="s">
        <v>74</v>
      </c>
      <c r="N29" s="27"/>
      <c r="O29" s="27"/>
      <c r="P29" s="27"/>
      <c r="Q29" s="27"/>
      <c r="R29" s="27"/>
      <c r="S29" s="27"/>
      <c r="T29" s="27"/>
    </row>
    <row r="30" spans="1:21" ht="17.25" x14ac:dyDescent="0.25">
      <c r="A30" s="9" t="s">
        <v>67</v>
      </c>
      <c r="M30" s="8" t="s">
        <v>68</v>
      </c>
    </row>
    <row r="31" spans="1:21" ht="17.25" x14ac:dyDescent="0.25">
      <c r="A31" s="6" t="s">
        <v>70</v>
      </c>
      <c r="M31" s="7" t="s">
        <v>69</v>
      </c>
    </row>
    <row r="32" spans="1:21" ht="17.25" x14ac:dyDescent="0.25">
      <c r="A32" s="6"/>
      <c r="M32" s="7"/>
    </row>
    <row r="33" spans="1:30" ht="17.25" x14ac:dyDescent="0.25">
      <c r="A33" s="36"/>
      <c r="M33" s="7"/>
    </row>
    <row r="35" spans="1:30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V35" s="37"/>
    </row>
    <row r="36" spans="1:30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4"/>
      <c r="V36" s="13"/>
    </row>
    <row r="37" spans="1:30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N37" s="3"/>
      <c r="O37" s="3"/>
      <c r="P37" s="3"/>
      <c r="Q37" s="3"/>
      <c r="R37" s="3"/>
      <c r="S37" s="3"/>
      <c r="T37" s="3"/>
      <c r="V37" s="3">
        <v>2014</v>
      </c>
      <c r="W37" s="3">
        <v>2015</v>
      </c>
      <c r="X37" s="3">
        <v>2016</v>
      </c>
      <c r="Y37" s="3">
        <v>2017</v>
      </c>
      <c r="Z37" s="3">
        <v>2018</v>
      </c>
      <c r="AA37" s="3">
        <v>2019</v>
      </c>
      <c r="AB37" s="3">
        <v>2020</v>
      </c>
      <c r="AC37" s="3">
        <v>2021</v>
      </c>
      <c r="AD37" s="3">
        <v>2022</v>
      </c>
    </row>
    <row r="38" spans="1:30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N38" s="3"/>
      <c r="O38" s="3"/>
      <c r="P38" s="3"/>
      <c r="Q38" s="3"/>
      <c r="R38" s="3"/>
      <c r="S38" s="3"/>
      <c r="T38" s="3"/>
      <c r="U38" s="5" t="s">
        <v>47</v>
      </c>
      <c r="V38" s="3">
        <v>21476572.449999999</v>
      </c>
      <c r="W38" s="22">
        <v>28247167.650000002</v>
      </c>
      <c r="X38" s="3">
        <f>F9</f>
        <v>30277717.990000002</v>
      </c>
      <c r="Y38" s="3">
        <f>G9</f>
        <v>34032071.780000001</v>
      </c>
      <c r="Z38" s="3">
        <f>H9</f>
        <v>37849375.519999996</v>
      </c>
      <c r="AA38" s="3">
        <f>I9</f>
        <v>40448262.304399997</v>
      </c>
      <c r="AB38" s="3">
        <f>J9</f>
        <v>42511028.648000002</v>
      </c>
      <c r="AC38" s="3">
        <f t="shared" ref="AC38:AD53" si="3">K9</f>
        <v>41229421.620000005</v>
      </c>
      <c r="AD38" s="3">
        <f t="shared" si="3"/>
        <v>42951407.969999999</v>
      </c>
    </row>
    <row r="39" spans="1:30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N39" s="3"/>
      <c r="O39" s="3"/>
      <c r="P39" s="3"/>
      <c r="Q39" s="3"/>
      <c r="R39" s="3"/>
      <c r="S39" s="3"/>
      <c r="T39" s="3"/>
      <c r="U39" s="5" t="s">
        <v>48</v>
      </c>
      <c r="V39" s="3">
        <v>47757008.690000005</v>
      </c>
      <c r="W39" s="22">
        <v>55532820.670000002</v>
      </c>
      <c r="X39" s="3">
        <f t="shared" ref="X39:AB57" si="4">F10</f>
        <v>60034554.979999997</v>
      </c>
      <c r="Y39" s="3">
        <f t="shared" si="4"/>
        <v>69991758.379999995</v>
      </c>
      <c r="Z39" s="3">
        <f t="shared" si="4"/>
        <v>73741273.559999987</v>
      </c>
      <c r="AA39" s="3">
        <f t="shared" si="4"/>
        <v>78971036.104199991</v>
      </c>
      <c r="AB39" s="3">
        <f t="shared" si="4"/>
        <v>87106108.945999995</v>
      </c>
      <c r="AC39" s="3">
        <f t="shared" si="3"/>
        <v>105958272.70000002</v>
      </c>
      <c r="AD39" s="3">
        <f t="shared" si="3"/>
        <v>121253541.48999999</v>
      </c>
    </row>
    <row r="40" spans="1:30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N40" s="3"/>
      <c r="O40" s="3"/>
      <c r="P40" s="3"/>
      <c r="Q40" s="3"/>
      <c r="R40" s="3"/>
      <c r="S40" s="3"/>
      <c r="T40" s="3"/>
      <c r="U40" s="5" t="s">
        <v>49</v>
      </c>
      <c r="V40" s="3">
        <v>18573633.770000003</v>
      </c>
      <c r="W40" s="22">
        <v>22929493.010000002</v>
      </c>
      <c r="X40" s="3">
        <f t="shared" si="4"/>
        <v>21043099.035</v>
      </c>
      <c r="Y40" s="3">
        <f t="shared" si="4"/>
        <v>22385644.167000003</v>
      </c>
      <c r="Z40" s="3">
        <f t="shared" si="4"/>
        <v>24133600.373999998</v>
      </c>
      <c r="AA40" s="3">
        <f t="shared" si="4"/>
        <v>25952832.935399998</v>
      </c>
      <c r="AB40" s="3">
        <f t="shared" si="4"/>
        <v>27517456.108000003</v>
      </c>
      <c r="AC40" s="3">
        <f t="shared" si="3"/>
        <v>29752743.100000001</v>
      </c>
      <c r="AD40" s="3">
        <f t="shared" si="3"/>
        <v>34656334.549999997</v>
      </c>
    </row>
    <row r="41" spans="1:30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N41" s="3"/>
      <c r="O41" s="3"/>
      <c r="P41" s="3"/>
      <c r="Q41" s="3"/>
      <c r="R41" s="3"/>
      <c r="S41" s="3"/>
      <c r="T41" s="3"/>
      <c r="U41" s="5" t="s">
        <v>50</v>
      </c>
      <c r="V41" s="3">
        <v>11788026.339999998</v>
      </c>
      <c r="W41" s="22">
        <v>16282824.6</v>
      </c>
      <c r="X41" s="3">
        <f t="shared" si="4"/>
        <v>16255000.77</v>
      </c>
      <c r="Y41" s="3">
        <f t="shared" si="4"/>
        <v>17119918.760000002</v>
      </c>
      <c r="Z41" s="3">
        <f t="shared" si="4"/>
        <v>18665154.07</v>
      </c>
      <c r="AA41" s="3">
        <f t="shared" si="4"/>
        <v>21571553.8116</v>
      </c>
      <c r="AB41" s="3">
        <f t="shared" si="4"/>
        <v>23643840.842</v>
      </c>
      <c r="AC41" s="3">
        <f t="shared" si="3"/>
        <v>23414246.520000003</v>
      </c>
      <c r="AD41" s="3">
        <f t="shared" si="3"/>
        <v>26306259.119999997</v>
      </c>
    </row>
    <row r="42" spans="1:30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N42" s="3"/>
      <c r="O42" s="3"/>
      <c r="P42" s="3"/>
      <c r="Q42" s="3"/>
      <c r="R42" s="3"/>
      <c r="S42" s="3"/>
      <c r="T42" s="3"/>
      <c r="U42" s="5" t="s">
        <v>51</v>
      </c>
      <c r="V42" s="3">
        <v>29304498.352999996</v>
      </c>
      <c r="W42" s="22">
        <v>40394300.450999998</v>
      </c>
      <c r="X42" s="3">
        <f t="shared" si="4"/>
        <v>43959957.414999999</v>
      </c>
      <c r="Y42" s="3">
        <f t="shared" si="4"/>
        <v>47021244.049999997</v>
      </c>
      <c r="Z42" s="3">
        <f t="shared" si="4"/>
        <v>49456949.840000004</v>
      </c>
      <c r="AA42" s="3">
        <f t="shared" si="4"/>
        <v>53008180.737800002</v>
      </c>
      <c r="AB42" s="3">
        <f t="shared" si="4"/>
        <v>59567614.17400001</v>
      </c>
      <c r="AC42" s="3">
        <f t="shared" si="3"/>
        <v>55780460.480000004</v>
      </c>
      <c r="AD42" s="3">
        <f t="shared" si="3"/>
        <v>67478231.180000007</v>
      </c>
    </row>
    <row r="43" spans="1:30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N43" s="3"/>
      <c r="O43" s="3"/>
      <c r="P43" s="3"/>
      <c r="Q43" s="3"/>
      <c r="R43" s="3"/>
      <c r="S43" s="3"/>
      <c r="T43" s="3"/>
      <c r="U43" s="5" t="s">
        <v>52</v>
      </c>
      <c r="V43" s="3">
        <v>15482386.66</v>
      </c>
      <c r="W43" s="22">
        <v>21675172.101000004</v>
      </c>
      <c r="X43" s="3">
        <f t="shared" si="4"/>
        <v>26651220.369999997</v>
      </c>
      <c r="Y43" s="3">
        <f t="shared" si="4"/>
        <v>30149104.175999999</v>
      </c>
      <c r="Z43" s="3">
        <f t="shared" si="4"/>
        <v>33634879.120000005</v>
      </c>
      <c r="AA43" s="3">
        <f t="shared" si="4"/>
        <v>27044367.550599996</v>
      </c>
      <c r="AB43" s="3">
        <f t="shared" si="4"/>
        <v>25655929.811999999</v>
      </c>
      <c r="AC43" s="3">
        <f t="shared" si="3"/>
        <v>25608416.110000003</v>
      </c>
      <c r="AD43" s="3">
        <f t="shared" si="3"/>
        <v>29304323.180000007</v>
      </c>
    </row>
    <row r="44" spans="1:30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N44" s="3"/>
      <c r="O44" s="3"/>
      <c r="P44" s="3"/>
      <c r="Q44" s="3"/>
      <c r="R44" s="3"/>
      <c r="S44" s="3"/>
      <c r="T44" s="3"/>
      <c r="U44" s="5" t="s">
        <v>53</v>
      </c>
      <c r="V44" s="3">
        <v>23688972.940000001</v>
      </c>
      <c r="W44" s="22">
        <v>27147750.810000002</v>
      </c>
      <c r="X44" s="3">
        <f t="shared" si="4"/>
        <v>31816789.559999999</v>
      </c>
      <c r="Y44" s="3">
        <f t="shared" si="4"/>
        <v>38642931.219999999</v>
      </c>
      <c r="Z44" s="3">
        <f t="shared" si="4"/>
        <v>35692529.049999997</v>
      </c>
      <c r="AA44" s="3">
        <f t="shared" si="4"/>
        <v>32568445.948899999</v>
      </c>
      <c r="AB44" s="3">
        <f t="shared" si="4"/>
        <v>27942400.420000002</v>
      </c>
      <c r="AC44" s="3">
        <f t="shared" si="3"/>
        <v>26327557.609999999</v>
      </c>
      <c r="AD44" s="3">
        <f t="shared" si="3"/>
        <v>30959571.039999999</v>
      </c>
    </row>
    <row r="45" spans="1:30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N45" s="3"/>
      <c r="O45" s="3"/>
      <c r="P45" s="3"/>
      <c r="Q45" s="3"/>
      <c r="R45" s="3"/>
      <c r="S45" s="3"/>
      <c r="T45" s="3"/>
      <c r="U45" s="5" t="s">
        <v>54</v>
      </c>
      <c r="V45" s="3">
        <v>7724957.6299999999</v>
      </c>
      <c r="W45" s="22">
        <v>12281541.290000001</v>
      </c>
      <c r="X45" s="3">
        <f t="shared" si="4"/>
        <v>14543865.745000001</v>
      </c>
      <c r="Y45" s="3">
        <f t="shared" si="4"/>
        <v>15450866.840299999</v>
      </c>
      <c r="Z45" s="3">
        <f t="shared" si="4"/>
        <v>15019880.84</v>
      </c>
      <c r="AA45" s="3">
        <f t="shared" si="4"/>
        <v>17197161.118400004</v>
      </c>
      <c r="AB45" s="3">
        <f t="shared" si="4"/>
        <v>20342689.015000001</v>
      </c>
      <c r="AC45" s="3">
        <f t="shared" si="3"/>
        <v>20229516.299999997</v>
      </c>
      <c r="AD45" s="3">
        <f t="shared" si="3"/>
        <v>21165979.760000002</v>
      </c>
    </row>
    <row r="46" spans="1:30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N46" s="3"/>
      <c r="O46" s="3"/>
      <c r="P46" s="3"/>
      <c r="Q46" s="3"/>
      <c r="R46" s="3"/>
      <c r="S46" s="3"/>
      <c r="T46" s="3"/>
      <c r="U46" s="5" t="s">
        <v>55</v>
      </c>
      <c r="V46" s="3">
        <v>3540685.44</v>
      </c>
      <c r="W46" s="22">
        <v>7471919.1500000004</v>
      </c>
      <c r="X46" s="3">
        <f t="shared" si="4"/>
        <v>8698613.1500000004</v>
      </c>
      <c r="Y46" s="3">
        <f t="shared" si="4"/>
        <v>5947100.96</v>
      </c>
      <c r="Z46" s="3">
        <f t="shared" si="4"/>
        <v>10990868.449999999</v>
      </c>
      <c r="AA46" s="3">
        <f t="shared" si="4"/>
        <v>11972620.461000001</v>
      </c>
      <c r="AB46" s="3">
        <f t="shared" si="4"/>
        <v>12008159.68</v>
      </c>
      <c r="AC46" s="3">
        <f t="shared" si="3"/>
        <v>12415359.02</v>
      </c>
      <c r="AD46" s="3">
        <f t="shared" si="3"/>
        <v>13048614.539999999</v>
      </c>
    </row>
    <row r="47" spans="1:30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N47" s="3"/>
      <c r="O47" s="3"/>
      <c r="P47" s="3"/>
      <c r="Q47" s="3"/>
      <c r="R47" s="3"/>
      <c r="S47" s="3"/>
      <c r="T47" s="3"/>
      <c r="U47" s="5" t="s">
        <v>56</v>
      </c>
      <c r="V47" s="3">
        <v>13156080.83</v>
      </c>
      <c r="W47" s="22">
        <v>17498120.029999997</v>
      </c>
      <c r="X47" s="3">
        <f t="shared" si="4"/>
        <v>21983644.324999999</v>
      </c>
      <c r="Y47" s="3">
        <f t="shared" si="4"/>
        <v>9181590.7400000021</v>
      </c>
      <c r="Z47" s="3">
        <f t="shared" si="4"/>
        <v>25909086.93</v>
      </c>
      <c r="AA47" s="3">
        <f t="shared" si="4"/>
        <v>27622860.336999997</v>
      </c>
      <c r="AB47" s="3">
        <f t="shared" si="4"/>
        <v>29868861.675999999</v>
      </c>
      <c r="AC47" s="3">
        <f t="shared" si="3"/>
        <v>30407880.360000003</v>
      </c>
      <c r="AD47" s="3">
        <f t="shared" si="3"/>
        <v>33097189.898000006</v>
      </c>
    </row>
    <row r="48" spans="1:30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N48" s="3"/>
      <c r="O48" s="3"/>
      <c r="P48" s="3"/>
      <c r="Q48" s="3"/>
      <c r="R48" s="3"/>
      <c r="S48" s="3"/>
      <c r="T48" s="3"/>
      <c r="U48" s="5" t="s">
        <v>57</v>
      </c>
      <c r="V48" s="3">
        <v>563786.18999999994</v>
      </c>
      <c r="W48" s="22">
        <v>1773766.73</v>
      </c>
      <c r="X48" s="3">
        <f t="shared" si="4"/>
        <v>2451686.34</v>
      </c>
      <c r="Y48" s="3">
        <f t="shared" si="4"/>
        <v>2580520.0900000003</v>
      </c>
      <c r="Z48" s="3">
        <f t="shared" si="4"/>
        <v>2433263.37</v>
      </c>
      <c r="AA48" s="3">
        <f t="shared" si="4"/>
        <v>2757929.4720000001</v>
      </c>
      <c r="AB48" s="3">
        <f t="shared" si="4"/>
        <v>3448993.7300000004</v>
      </c>
      <c r="AC48" s="3">
        <f t="shared" si="3"/>
        <v>3630063.0300000003</v>
      </c>
      <c r="AD48" s="3">
        <f t="shared" si="3"/>
        <v>3690326.27</v>
      </c>
    </row>
    <row r="49" spans="2:30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N49" s="3"/>
      <c r="O49" s="3"/>
      <c r="P49" s="3"/>
      <c r="Q49" s="3"/>
      <c r="R49" s="3"/>
      <c r="S49" s="3"/>
      <c r="T49" s="3"/>
      <c r="U49" s="5" t="s">
        <v>58</v>
      </c>
      <c r="V49" s="3">
        <v>9125266.5999999996</v>
      </c>
      <c r="W49" s="22">
        <v>12610137.149999999</v>
      </c>
      <c r="X49" s="3">
        <f t="shared" si="4"/>
        <v>11946502.880000001</v>
      </c>
      <c r="Y49" s="3">
        <f t="shared" si="4"/>
        <v>7909169.9100000001</v>
      </c>
      <c r="Z49" s="3">
        <f t="shared" si="4"/>
        <v>11312990.07</v>
      </c>
      <c r="AA49" s="3">
        <f t="shared" si="4"/>
        <v>10031071.428399999</v>
      </c>
      <c r="AB49" s="3">
        <f t="shared" si="4"/>
        <v>10855208.769999998</v>
      </c>
      <c r="AC49" s="3">
        <f t="shared" si="3"/>
        <v>9990856.0899999999</v>
      </c>
      <c r="AD49" s="3">
        <f t="shared" si="3"/>
        <v>12502296.09</v>
      </c>
    </row>
    <row r="50" spans="2:30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N50" s="3"/>
      <c r="O50" s="3"/>
      <c r="P50" s="3"/>
      <c r="Q50" s="3"/>
      <c r="R50" s="3"/>
      <c r="S50" s="3"/>
      <c r="T50" s="3"/>
      <c r="U50" s="5" t="s">
        <v>59</v>
      </c>
      <c r="V50" s="3">
        <v>6589192.25</v>
      </c>
      <c r="W50" s="22">
        <v>9723321.2799999993</v>
      </c>
      <c r="X50" s="3">
        <f t="shared" si="4"/>
        <v>10153645.829999998</v>
      </c>
      <c r="Y50" s="3">
        <f t="shared" si="4"/>
        <v>6358160.0700000003</v>
      </c>
      <c r="Z50" s="3">
        <f t="shared" si="4"/>
        <v>13465688.68</v>
      </c>
      <c r="AA50" s="3">
        <f t="shared" si="4"/>
        <v>13925732.6666</v>
      </c>
      <c r="AB50" s="3">
        <f t="shared" si="4"/>
        <v>14387088.829999998</v>
      </c>
      <c r="AC50" s="3">
        <f t="shared" si="3"/>
        <v>13273690.779999999</v>
      </c>
      <c r="AD50" s="3">
        <f t="shared" si="3"/>
        <v>16978604.119999997</v>
      </c>
    </row>
    <row r="51" spans="2:30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N51" s="3"/>
      <c r="O51" s="3"/>
      <c r="P51" s="3"/>
      <c r="Q51" s="3"/>
      <c r="R51" s="3"/>
      <c r="S51" s="3"/>
      <c r="T51" s="3"/>
      <c r="U51" s="5" t="s">
        <v>60</v>
      </c>
      <c r="V51" s="3">
        <v>9874084.1600000001</v>
      </c>
      <c r="W51" s="22">
        <v>12434694.649999999</v>
      </c>
      <c r="X51" s="3">
        <f t="shared" si="4"/>
        <v>11807838.66</v>
      </c>
      <c r="Y51" s="3">
        <f t="shared" si="4"/>
        <v>13061458.859999999</v>
      </c>
      <c r="Z51" s="3">
        <f t="shared" si="4"/>
        <v>15100490.25</v>
      </c>
      <c r="AA51" s="3">
        <f t="shared" si="4"/>
        <v>17043507.483999997</v>
      </c>
      <c r="AB51" s="3">
        <f t="shared" si="4"/>
        <v>16428599.425000001</v>
      </c>
      <c r="AC51" s="3">
        <f t="shared" si="3"/>
        <v>15311144.699999999</v>
      </c>
      <c r="AD51" s="3">
        <f t="shared" si="3"/>
        <v>16488463.48</v>
      </c>
    </row>
    <row r="52" spans="2:30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N52" s="3"/>
      <c r="O52" s="3"/>
      <c r="P52" s="3"/>
      <c r="Q52" s="3"/>
      <c r="R52" s="3"/>
      <c r="S52" s="3"/>
      <c r="T52" s="3"/>
      <c r="U52" s="5" t="s">
        <v>61</v>
      </c>
      <c r="V52" s="3">
        <v>15424283.250000004</v>
      </c>
      <c r="W52" s="22">
        <v>20505081.599999994</v>
      </c>
      <c r="X52" s="3">
        <f t="shared" si="4"/>
        <v>22462983.789999999</v>
      </c>
      <c r="Y52" s="3">
        <f t="shared" si="4"/>
        <v>23683245.52</v>
      </c>
      <c r="Z52" s="3">
        <f t="shared" si="4"/>
        <v>21574058.689999998</v>
      </c>
      <c r="AA52" s="3">
        <f t="shared" si="4"/>
        <v>23421048.300000004</v>
      </c>
      <c r="AB52" s="3">
        <f t="shared" si="4"/>
        <v>23808645.879999999</v>
      </c>
      <c r="AC52" s="3">
        <f t="shared" si="3"/>
        <v>24058552.030000001</v>
      </c>
      <c r="AD52" s="3">
        <f t="shared" si="3"/>
        <v>28197213.939999998</v>
      </c>
    </row>
    <row r="53" spans="2:30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N53" s="3"/>
      <c r="O53" s="3"/>
      <c r="P53" s="3"/>
      <c r="Q53" s="3"/>
      <c r="R53" s="3"/>
      <c r="S53" s="3"/>
      <c r="T53" s="3"/>
      <c r="U53" s="5" t="s">
        <v>62</v>
      </c>
      <c r="V53" s="3">
        <v>19121149.300000001</v>
      </c>
      <c r="W53" s="22">
        <v>27347316.960000001</v>
      </c>
      <c r="X53" s="3">
        <f t="shared" si="4"/>
        <v>30750547.939999998</v>
      </c>
      <c r="Y53" s="3">
        <f t="shared" si="4"/>
        <v>32945144.069999997</v>
      </c>
      <c r="Z53" s="3">
        <f t="shared" si="4"/>
        <v>34810489.399999999</v>
      </c>
      <c r="AA53" s="3">
        <f t="shared" si="4"/>
        <v>42832104.030000001</v>
      </c>
      <c r="AB53" s="3">
        <f t="shared" si="4"/>
        <v>50794534.460000008</v>
      </c>
      <c r="AC53" s="3">
        <f t="shared" si="3"/>
        <v>47038499.760000005</v>
      </c>
      <c r="AD53" s="3">
        <f t="shared" si="3"/>
        <v>58600261.460000008</v>
      </c>
    </row>
    <row r="54" spans="2:30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N54" s="3"/>
      <c r="O54" s="3"/>
      <c r="P54" s="3"/>
      <c r="Q54" s="3"/>
      <c r="R54" s="3"/>
      <c r="S54" s="3"/>
      <c r="T54" s="3"/>
      <c r="U54" s="5" t="s">
        <v>63</v>
      </c>
      <c r="V54" s="3">
        <v>14483951.450000001</v>
      </c>
      <c r="W54" s="22">
        <v>21910210.289999999</v>
      </c>
      <c r="X54" s="3">
        <f t="shared" si="4"/>
        <v>25050862.829999998</v>
      </c>
      <c r="Y54" s="3">
        <f t="shared" si="4"/>
        <v>28968304</v>
      </c>
      <c r="Z54" s="3">
        <f t="shared" si="4"/>
        <v>27993704.789999999</v>
      </c>
      <c r="AA54" s="3">
        <f t="shared" si="4"/>
        <v>31369978.870000001</v>
      </c>
      <c r="AB54" s="3">
        <f t="shared" si="4"/>
        <v>29440804.519999996</v>
      </c>
      <c r="AC54" s="3">
        <f t="shared" ref="AC54:AC57" si="5">K25</f>
        <v>30808424.960000001</v>
      </c>
      <c r="AD54" s="3">
        <f t="shared" ref="AD54:AD57" si="6">L25</f>
        <v>37493968.349999994</v>
      </c>
    </row>
    <row r="55" spans="2:30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N55" s="3"/>
      <c r="O55" s="3"/>
      <c r="P55" s="3"/>
      <c r="Q55" s="3"/>
      <c r="R55" s="3"/>
      <c r="S55" s="3"/>
      <c r="T55" s="3"/>
      <c r="U55" s="5" t="s">
        <v>64</v>
      </c>
      <c r="V55" s="3">
        <v>27642128.069999993</v>
      </c>
      <c r="W55" s="22">
        <v>34260241.729999997</v>
      </c>
      <c r="X55" s="3">
        <f t="shared" si="4"/>
        <v>39536598.640000008</v>
      </c>
      <c r="Y55" s="3">
        <f t="shared" si="4"/>
        <v>44492550.350000001</v>
      </c>
      <c r="Z55" s="3">
        <f t="shared" si="4"/>
        <v>46107004.269999996</v>
      </c>
      <c r="AA55" s="3">
        <f t="shared" si="4"/>
        <v>52074088.550000012</v>
      </c>
      <c r="AB55" s="3">
        <f t="shared" si="4"/>
        <v>52286749.170000002</v>
      </c>
      <c r="AC55" s="3">
        <f t="shared" si="5"/>
        <v>43636279.200900003</v>
      </c>
      <c r="AD55" s="3">
        <f t="shared" si="6"/>
        <v>57037692.870000005</v>
      </c>
    </row>
    <row r="56" spans="2:30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N56" s="3"/>
      <c r="O56" s="3"/>
      <c r="P56" s="3"/>
      <c r="Q56" s="3"/>
      <c r="R56" s="3"/>
      <c r="S56" s="3"/>
      <c r="T56" s="3"/>
      <c r="U56" s="5" t="s">
        <v>65</v>
      </c>
      <c r="V56" s="3">
        <v>12905259.859999999</v>
      </c>
      <c r="W56" s="22">
        <v>19379941.390000001</v>
      </c>
      <c r="X56" s="3">
        <f t="shared" si="4"/>
        <v>20312685.899999999</v>
      </c>
      <c r="Y56" s="3">
        <f t="shared" si="4"/>
        <v>15456736.35</v>
      </c>
      <c r="Z56" s="3">
        <f t="shared" si="4"/>
        <v>23428238.91</v>
      </c>
      <c r="AA56" s="3">
        <f t="shared" si="4"/>
        <v>26813330.047800001</v>
      </c>
      <c r="AB56" s="3">
        <f t="shared" si="4"/>
        <v>30205366.392999999</v>
      </c>
      <c r="AC56" s="3">
        <f t="shared" si="5"/>
        <v>30315608.859999999</v>
      </c>
      <c r="AD56" s="3">
        <f t="shared" si="6"/>
        <v>36794336.82</v>
      </c>
    </row>
    <row r="57" spans="2:30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N57" s="3"/>
      <c r="O57" s="3"/>
      <c r="P57" s="3"/>
      <c r="Q57" s="3"/>
      <c r="R57" s="3"/>
      <c r="S57" s="3"/>
      <c r="T57" s="3"/>
      <c r="U57" s="38" t="s">
        <v>66</v>
      </c>
      <c r="V57" s="3">
        <v>55981769.233300008</v>
      </c>
      <c r="W57" s="22">
        <v>74119274.931099996</v>
      </c>
      <c r="X57" s="3">
        <f t="shared" si="4"/>
        <v>102346229.71000001</v>
      </c>
      <c r="Y57" s="3">
        <f t="shared" si="4"/>
        <v>116663001.61669999</v>
      </c>
      <c r="Z57" s="3">
        <f t="shared" si="4"/>
        <v>121178364.9189</v>
      </c>
      <c r="AA57" s="3">
        <f t="shared" si="4"/>
        <v>117270900.5696</v>
      </c>
      <c r="AB57" s="3">
        <f t="shared" si="4"/>
        <v>137699477.97600001</v>
      </c>
      <c r="AC57" s="3">
        <f t="shared" si="5"/>
        <v>150113676.64999998</v>
      </c>
      <c r="AD57" s="3">
        <f t="shared" si="6"/>
        <v>182544223.68999997</v>
      </c>
    </row>
  </sheetData>
  <mergeCells count="16">
    <mergeCell ref="L4:L5"/>
    <mergeCell ref="A1:M1"/>
    <mergeCell ref="A2:M2"/>
    <mergeCell ref="A3:A5"/>
    <mergeCell ref="B3:L3"/>
    <mergeCell ref="M3:M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ageMargins left="0.7" right="0.7" top="0.75" bottom="0.75" header="0.3" footer="0.3"/>
  <pageSetup paperSize="9" scale="46" orientation="portrait" r:id="rId1"/>
  <ignoredErrors>
    <ignoredError sqref="D8:K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18.25</vt:lpstr>
      <vt:lpstr>'18.25'!Print_Area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2023-07-05T05:09:08Z</cp:lastPrinted>
  <dcterms:modified xsi:type="dcterms:W3CDTF">2023-07-05T05:09:30Z</dcterms:modified>
</cp:coreProperties>
</file>