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FFDE3FEB-A59D-4023-815B-278F34EE65AF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5" sheetId="5" r:id="rId1"/>
  </sheets>
  <definedNames>
    <definedName name="_xlnm.Print_Area" localSheetId="0">'18.5'!$A$1:$M$39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5" l="1"/>
  <c r="B19" i="5"/>
  <c r="G18" i="5"/>
  <c r="B18" i="5"/>
  <c r="G17" i="5"/>
  <c r="B17" i="5"/>
  <c r="G16" i="5"/>
  <c r="B16" i="5"/>
  <c r="G15" i="5"/>
  <c r="B15" i="5"/>
  <c r="G14" i="5"/>
  <c r="B14" i="5"/>
  <c r="G13" i="5"/>
  <c r="B13" i="5"/>
  <c r="G12" i="5"/>
  <c r="B12" i="5"/>
  <c r="G11" i="5"/>
  <c r="B11" i="5"/>
  <c r="G10" i="5"/>
  <c r="B10" i="5"/>
  <c r="G9" i="5"/>
  <c r="B9" i="5"/>
  <c r="G8" i="5"/>
  <c r="B8" i="5"/>
</calcChain>
</file>

<file path=xl/sharedStrings.xml><?xml version="1.0" encoding="utf-8"?>
<sst xmlns="http://schemas.openxmlformats.org/spreadsheetml/2006/main" count="41" uniqueCount="36">
  <si>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</si>
  <si>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</si>
  <si>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</si>
  <si>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</si>
  <si>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</si>
  <si>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</si>
  <si>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</si>
  <si>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</si>
  <si>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</si>
  <si>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</si>
  <si>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</si>
  <si>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</si>
  <si>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</si>
  <si>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</si>
  <si>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</si>
  <si>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</si>
  <si>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</si>
  <si>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</si>
  <si>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</si>
  <si>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</si>
  <si>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</si>
  <si>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</si>
  <si>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</si>
  <si>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</si>
  <si>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</si>
  <si>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</si>
  <si>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</si>
  <si>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</si>
  <si>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</si>
  <si>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</si>
  <si>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</si>
  <si>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r>
      <rPr>
        <b/>
        <sz val="11"/>
        <color rgb="FF000000"/>
        <rFont val="Calibri"/>
        <family val="2"/>
      </rP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</si>
  <si>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&lt; 65</t>
  </si>
  <si>
    <t>75+</t>
  </si>
  <si>
    <t>TABLE   18.5: NUMBER OF BENEFICIARIES OF RETIREMENT PENSION SCHEME BY AGE, 2021 - 2022</t>
  </si>
  <si>
    <t>ތާވަލު  18.5 :ރިޓާޔަމަންޓް ޕެންޝަން ލިބޭ މީހުންގެ އަދަދު އަދި ޢުމުރުފުރާތައް،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</si>
</sst>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/>
    </xf>
    <xf numFmtId="0" fontId="3" fillId="2" borderId="14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14" fontId="3" fillId="2" borderId="4" xfId="0" applyNumberFormat="1" applyFont="1" applyFill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right" vertical="center" wrapText="1"/>
    </xf>
    <xf numFmtId="0" fontId="4" fillId="2" borderId="16" xfId="0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vertical="center" wrapText="1"/>
    </xf>
    <xf numFmtId="164" fontId="3" fillId="2" borderId="15" xfId="0" applyNumberFormat="1" applyFont="1" applyFill="1" applyBorder="1" applyAlignment="1">
      <alignment vertical="center" wrapText="1"/>
    </xf>
    <xf numFmtId="3" fontId="3" fillId="2" borderId="16" xfId="0" applyNumberFormat="1" applyFont="1" applyFill="1" applyBorder="1" applyAlignment="1">
      <alignment vertical="center" wrapText="1"/>
    </xf>
    <xf numFmtId="0" fontId="6" fillId="2" borderId="4" xfId="0" applyFont="1" applyFill="1" applyBorder="1" applyAlignment="1">
      <alignment wrapText="1"/>
    </xf>
    <xf numFmtId="2" fontId="3" fillId="2" borderId="4" xfId="0" applyNumberFormat="1" applyFont="1" applyFill="1" applyBorder="1" applyAlignment="1">
      <alignment wrapText="1"/>
    </xf>
    <xf numFmtId="0" fontId="0" fillId="3" borderId="0" xfId="0" applyFill="1"/>
    <xf numFmtId="164" fontId="3" fillId="4" borderId="4" xfId="0" applyNumberFormat="1" applyFont="1" applyFill="1" applyBorder="1" applyAlignment="1">
      <alignment vertical="center" wrapText="1"/>
    </xf>
    <xf numFmtId="164" fontId="3" fillId="4" borderId="14" xfId="0" applyNumberFormat="1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right" vertical="center" wrapText="1"/>
    </xf>
    <xf numFmtId="164" fontId="3" fillId="2" borderId="19" xfId="0" applyNumberFormat="1" applyFont="1" applyFill="1" applyBorder="1" applyAlignment="1">
      <alignment vertical="center" wrapText="1"/>
    </xf>
    <xf numFmtId="164" fontId="3" fillId="2" borderId="20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vertical="center" wrapText="1"/>
    </xf>
    <xf numFmtId="164" fontId="3" fillId="2" borderId="18" xfId="0" applyNumberFormat="1" applyFont="1" applyFill="1" applyBorder="1" applyAlignment="1">
      <alignment vertical="center" wrapText="1"/>
    </xf>
    <xf numFmtId="3" fontId="3" fillId="2" borderId="20" xfId="0" applyNumberFormat="1" applyFont="1" applyFill="1" applyBorder="1" applyAlignment="1">
      <alignment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2" fillId="3" borderId="13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9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2" fillId="3" borderId="11" xfId="0" applyFont="1" applyFill="1" applyBorder="1"/>
    <xf numFmtId="0" fontId="4" fillId="2" borderId="11" xfId="0" applyFont="1" applyFill="1" applyBorder="1" applyAlignment="1">
      <alignment horizontal="center" wrapText="1"/>
    </xf>
    <xf numFmtId="0" fontId="4" fillId="2" borderId="12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8170167886122355"/>
          <c:y val="0.19600135466937602"/>
          <c:w val="0.37867997808685128"/>
          <c:h val="0.7842340191347048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EBEB"/>
              </a:solidFill>
            </c:spPr>
            <c:extLst>
              <c:ext xmlns:c16="http://schemas.microsoft.com/office/drawing/2014/chart" uri="{C3380CC4-5D6E-409C-BE32-E72D297353CC}">
                <c16:uniqueId val="{00000001-D0D5-4741-ABEF-049C0AF4E0EF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D0D5-4741-ABEF-049C0AF4E0EF}"/>
              </c:ext>
            </c:extLst>
          </c:dPt>
          <c:dPt>
            <c:idx val="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D0D5-4741-ABEF-049C0AF4E0EF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D0D5-4741-ABEF-049C0AF4E0EF}"/>
              </c:ext>
            </c:extLst>
          </c:dPt>
          <c:dLbls>
            <c:dLbl>
              <c:idx val="0"/>
              <c:layout>
                <c:manualLayout>
                  <c:x val="1.1448770356809758E-2"/>
                  <c:y val="-0.1378659112370160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chemeClr val="tx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258916776750313E-2"/>
                      <c:h val="0.1224173748819641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0D5-4741-ABEF-049C0AF4E0EF}"/>
                </c:ext>
              </c:extLst>
            </c:dLbl>
            <c:dLbl>
              <c:idx val="1"/>
              <c:layout>
                <c:manualLayout>
                  <c:x val="-9.3350946719506889E-2"/>
                  <c:y val="4.53257790368271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5-4741-ABEF-049C0AF4E0EF}"/>
                </c:ext>
              </c:extLst>
            </c:dLbl>
            <c:dLbl>
              <c:idx val="2"/>
              <c:layout>
                <c:manualLayout>
                  <c:x val="1.7613386173491853E-3"/>
                  <c:y val="2.64400377714825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0D5-4741-ABEF-049C0AF4E0EF}"/>
                </c:ext>
              </c:extLst>
            </c:dLbl>
            <c:dLbl>
              <c:idx val="3"/>
              <c:layout>
                <c:manualLayout>
                  <c:x val="-5.2840158520476204E-3"/>
                  <c:y val="-1.88857412653446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D5-4741-ABEF-049C0AF4E0E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'18.5'!$H$7:$K$7</c:f>
              <c:strCache>
                <c:ptCount val="4"/>
                <c:pt idx="0">
                  <c:v>&lt; 65</c:v>
                </c:pt>
                <c:pt idx="1">
                  <c:v>65-69</c:v>
                </c:pt>
                <c:pt idx="2">
                  <c:v>70-74</c:v>
                </c:pt>
                <c:pt idx="3">
                  <c:v>75+</c:v>
                </c:pt>
              </c:strCache>
            </c:strRef>
          </c:cat>
          <c:val>
            <c:numRef>
              <c:f>'18.5'!$H$19:$K$19</c:f>
              <c:numCache>
                <c:formatCode>_(* #,##0_);_(* \(#,##0\);_(* "-"??_);_(@_)</c:formatCode>
                <c:ptCount val="4"/>
                <c:pt idx="0">
                  <c:v>18</c:v>
                </c:pt>
                <c:pt idx="1">
                  <c:v>1283</c:v>
                </c:pt>
                <c:pt idx="2">
                  <c:v>259</c:v>
                </c:pt>
                <c:pt idx="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5-4741-ABEF-049C0AF4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85725</xdr:rowOff>
    </xdr:from>
    <xdr:ext cx="7210425" cy="3362325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0.12021</cdr:x>
      <cdr:y>0.03966</cdr:y>
    </cdr:from>
    <cdr:to>
      <cdr:x>0.95879</cdr:x>
      <cdr:y>0.14448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F81A318-CE6B-782D-8264-81F5EE1E3A9F}"/>
            </a:ext>
          </a:extLst>
        </cdr:cNvPr>
        <cdr:cNvSpPr txBox="1"/>
      </cdr:nvSpPr>
      <cdr:spPr>
        <a:xfrm xmlns:a="http://schemas.openxmlformats.org/drawingml/2006/main">
          <a:off x="866775" y="133350"/>
          <a:ext cx="6046531" cy="3524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+mn-lt"/>
              <a:ea typeface="+mn-ea"/>
              <a:cs typeface="+mn-cs"/>
            </a:rPr>
            <a:t>Figure 18.7: Percentage share of beneficiaries of retirement pension scheme by age group, 2022</a:t>
          </a:r>
          <a:endParaRPr lang="en-US">
            <a:effectLst/>
          </a:endParaRPr>
        </a:p>
        <a:p xmlns:a="http://schemas.openxmlformats.org/drawingml/2006/main">
          <a:pPr algn="ctr"/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J1000"/>
  <sheetViews>
    <sheetView tabSelected="1" zoomScale="124" zoomScaleNormal="124" workbookViewId="0">
      <selection activeCell="P11" sqref="P11"/>
    </sheetView>
  </sheetViews>
  <sheetFormatPr defaultColWidth="14.42578125" defaultRowHeight="15" customHeight="1" x14ac:dyDescent="0.25"/>
  <cols>
    <col min="1" max="1" width="9.85546875" style="21" customWidth="1"/>
    <col min="2" max="11" width="10.85546875" style="21" customWidth="1"/>
    <col min="12" max="12" width="13.42578125" style="21" customWidth="1"/>
    <col min="13" max="13" width="3.7109375" style="21" customWidth="1"/>
    <col min="14" max="26" width="8" style="21" customWidth="1"/>
    <col min="27" max="27" width="11.85546875" style="21" customWidth="1"/>
    <col min="28" max="35" width="8" style="21" customWidth="1"/>
    <col min="36" max="36" width="14.42578125" style="21" customWidth="1"/>
    <col min="37" max="16384" width="14.42578125" style="21"/>
  </cols>
  <sheetData>
    <row r="1" spans="1:36" ht="4.5" customHeight="1" x14ac:dyDescent="0.25">
      <c r="A1" s="1"/>
      <c r="B1" s="11"/>
      <c r="C1" s="11"/>
      <c r="D1" s="11"/>
      <c r="E1" s="11"/>
      <c r="F1" s="11"/>
      <c r="G1" s="11"/>
      <c r="H1" s="11"/>
      <c r="I1" s="11"/>
      <c r="J1" s="11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21" customHeight="1" x14ac:dyDescent="0.55000000000000004">
      <c r="A2" s="32" t="s">
        <v>35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"/>
      <c r="AH2" s="1"/>
      <c r="AI2" s="1"/>
      <c r="AJ2" s="1"/>
    </row>
    <row r="3" spans="1:36" ht="15.75" customHeight="1" x14ac:dyDescent="0.25">
      <c r="A3" s="40" t="s">
        <v>34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9" customHeight="1" x14ac:dyDescent="0.25">
      <c r="A4" s="1"/>
      <c r="B4" s="11"/>
      <c r="C4" s="11"/>
      <c r="D4" s="11"/>
      <c r="E4" s="11"/>
      <c r="F4" s="11"/>
      <c r="G4" s="11"/>
      <c r="H4" s="11"/>
      <c r="I4" s="11"/>
      <c r="J4" s="11"/>
      <c r="K4" s="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8" customHeight="1" x14ac:dyDescent="0.55000000000000004">
      <c r="A5" s="33" t="s">
        <v>3</v>
      </c>
      <c r="B5" s="44" t="s">
        <v>31</v>
      </c>
      <c r="C5" s="44"/>
      <c r="D5" s="44"/>
      <c r="E5" s="44"/>
      <c r="F5" s="44"/>
      <c r="G5" s="44"/>
      <c r="H5" s="44"/>
      <c r="I5" s="44"/>
      <c r="J5" s="44"/>
      <c r="K5" s="44"/>
      <c r="L5" s="38" t="s">
        <v>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" customHeight="1" x14ac:dyDescent="0.25">
      <c r="A6" s="34"/>
      <c r="B6" s="42">
        <v>2021</v>
      </c>
      <c r="C6" s="41"/>
      <c r="D6" s="41"/>
      <c r="E6" s="41"/>
      <c r="F6" s="37"/>
      <c r="G6" s="43">
        <v>2022</v>
      </c>
      <c r="H6" s="36"/>
      <c r="I6" s="36"/>
      <c r="J6" s="36"/>
      <c r="K6" s="39"/>
      <c r="L6" s="3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" customHeight="1" x14ac:dyDescent="0.25">
      <c r="A7" s="35"/>
      <c r="B7" s="24" t="s">
        <v>0</v>
      </c>
      <c r="C7" s="24" t="s">
        <v>32</v>
      </c>
      <c r="D7" s="24" t="s">
        <v>29</v>
      </c>
      <c r="E7" s="24" t="s">
        <v>30</v>
      </c>
      <c r="F7" s="14" t="s">
        <v>33</v>
      </c>
      <c r="G7" s="15" t="s">
        <v>0</v>
      </c>
      <c r="H7" s="13" t="s">
        <v>32</v>
      </c>
      <c r="I7" s="13" t="s">
        <v>29</v>
      </c>
      <c r="J7" s="13" t="s">
        <v>30</v>
      </c>
      <c r="K7" s="13" t="s">
        <v>33</v>
      </c>
      <c r="L7" s="35"/>
      <c r="M7" s="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21" customHeight="1" x14ac:dyDescent="0.25">
      <c r="A8" s="2" t="s">
        <v>5</v>
      </c>
      <c r="B8" s="27">
        <f t="shared" ref="B8:B19" si="0">SUM(C8:F8)</f>
        <v>1488</v>
      </c>
      <c r="C8" s="25">
        <v>15</v>
      </c>
      <c r="D8" s="25">
        <v>1112</v>
      </c>
      <c r="E8" s="25">
        <v>282</v>
      </c>
      <c r="F8" s="28">
        <v>79</v>
      </c>
      <c r="G8" s="16">
        <f t="shared" ref="G8:G19" si="1">SUM(H8:K8)</f>
        <v>1651</v>
      </c>
      <c r="H8" s="22">
        <v>15</v>
      </c>
      <c r="I8" s="22">
        <v>1276</v>
      </c>
      <c r="J8" s="22">
        <v>261</v>
      </c>
      <c r="K8" s="22">
        <v>99</v>
      </c>
      <c r="L8" s="3" t="s">
        <v>6</v>
      </c>
      <c r="M8" s="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21" customHeight="1" x14ac:dyDescent="0.25">
      <c r="A9" s="2" t="s">
        <v>7</v>
      </c>
      <c r="B9" s="27">
        <f t="shared" si="0"/>
        <v>1765</v>
      </c>
      <c r="C9" s="25">
        <v>14</v>
      </c>
      <c r="D9" s="25">
        <v>1257</v>
      </c>
      <c r="E9" s="25">
        <v>396</v>
      </c>
      <c r="F9" s="28">
        <v>98</v>
      </c>
      <c r="G9" s="16">
        <f t="shared" si="1"/>
        <v>1684</v>
      </c>
      <c r="H9" s="22">
        <v>5</v>
      </c>
      <c r="I9" s="22">
        <v>1311</v>
      </c>
      <c r="J9" s="22">
        <v>267</v>
      </c>
      <c r="K9" s="22">
        <v>101</v>
      </c>
      <c r="L9" s="3" t="s">
        <v>8</v>
      </c>
      <c r="M9" s="1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1" customHeight="1" x14ac:dyDescent="0.25">
      <c r="A10" s="2" t="s">
        <v>9</v>
      </c>
      <c r="B10" s="27">
        <f t="shared" si="0"/>
        <v>1495</v>
      </c>
      <c r="C10" s="25">
        <v>15</v>
      </c>
      <c r="D10" s="25">
        <v>1120</v>
      </c>
      <c r="E10" s="25">
        <v>280</v>
      </c>
      <c r="F10" s="28">
        <v>80</v>
      </c>
      <c r="G10" s="16">
        <f t="shared" si="1"/>
        <v>1646</v>
      </c>
      <c r="H10" s="22">
        <v>12</v>
      </c>
      <c r="I10" s="22">
        <v>1276</v>
      </c>
      <c r="J10" s="22">
        <v>259</v>
      </c>
      <c r="K10" s="22">
        <v>99</v>
      </c>
      <c r="L10" s="3" t="s">
        <v>10</v>
      </c>
      <c r="M10" s="1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21" customHeight="1" x14ac:dyDescent="0.25">
      <c r="A11" s="2" t="s">
        <v>11</v>
      </c>
      <c r="B11" s="27">
        <f t="shared" si="0"/>
        <v>1494</v>
      </c>
      <c r="C11" s="25">
        <v>18</v>
      </c>
      <c r="D11" s="25">
        <v>1119</v>
      </c>
      <c r="E11" s="25">
        <v>276</v>
      </c>
      <c r="F11" s="28">
        <v>81</v>
      </c>
      <c r="G11" s="16">
        <f t="shared" si="1"/>
        <v>1665</v>
      </c>
      <c r="H11" s="22">
        <v>20</v>
      </c>
      <c r="I11" s="22">
        <v>1284</v>
      </c>
      <c r="J11" s="22">
        <v>264</v>
      </c>
      <c r="K11" s="22">
        <v>97</v>
      </c>
      <c r="L11" s="3" t="s">
        <v>12</v>
      </c>
      <c r="M11" s="1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21" customHeight="1" x14ac:dyDescent="0.25">
      <c r="A12" s="2" t="s">
        <v>13</v>
      </c>
      <c r="B12" s="27">
        <f t="shared" si="0"/>
        <v>1482</v>
      </c>
      <c r="C12" s="25">
        <v>18</v>
      </c>
      <c r="D12" s="25">
        <v>1117</v>
      </c>
      <c r="E12" s="25">
        <v>269</v>
      </c>
      <c r="F12" s="28">
        <v>78</v>
      </c>
      <c r="G12" s="16">
        <f t="shared" si="1"/>
        <v>1669</v>
      </c>
      <c r="H12" s="22">
        <v>20</v>
      </c>
      <c r="I12" s="22">
        <v>1297</v>
      </c>
      <c r="J12" s="22">
        <v>256</v>
      </c>
      <c r="K12" s="22">
        <v>96</v>
      </c>
      <c r="L12" s="3" t="s">
        <v>14</v>
      </c>
      <c r="M12" s="1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21" customHeight="1" x14ac:dyDescent="0.25">
      <c r="A13" s="2" t="s">
        <v>15</v>
      </c>
      <c r="B13" s="27">
        <f t="shared" si="0"/>
        <v>1482</v>
      </c>
      <c r="C13" s="25">
        <v>19</v>
      </c>
      <c r="D13" s="25">
        <v>1117</v>
      </c>
      <c r="E13" s="25">
        <v>266</v>
      </c>
      <c r="F13" s="28">
        <v>80</v>
      </c>
      <c r="G13" s="16">
        <f t="shared" si="1"/>
        <v>1689</v>
      </c>
      <c r="H13" s="22">
        <v>7</v>
      </c>
      <c r="I13" s="22">
        <v>1329</v>
      </c>
      <c r="J13" s="22">
        <v>257</v>
      </c>
      <c r="K13" s="22">
        <v>96</v>
      </c>
      <c r="L13" s="3" t="s">
        <v>16</v>
      </c>
      <c r="M13" s="1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21" customHeight="1" x14ac:dyDescent="0.25">
      <c r="A14" s="2" t="s">
        <v>17</v>
      </c>
      <c r="B14" s="27">
        <f t="shared" si="0"/>
        <v>1450</v>
      </c>
      <c r="C14" s="25">
        <v>9</v>
      </c>
      <c r="D14" s="25">
        <v>1101</v>
      </c>
      <c r="E14" s="25">
        <v>260</v>
      </c>
      <c r="F14" s="28">
        <v>80</v>
      </c>
      <c r="G14" s="16">
        <f t="shared" si="1"/>
        <v>1691</v>
      </c>
      <c r="H14" s="22">
        <v>9</v>
      </c>
      <c r="I14" s="22">
        <v>1343</v>
      </c>
      <c r="J14" s="22">
        <v>246</v>
      </c>
      <c r="K14" s="22">
        <v>93</v>
      </c>
      <c r="L14" s="3" t="s">
        <v>18</v>
      </c>
      <c r="M14" s="1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21" customHeight="1" x14ac:dyDescent="0.25">
      <c r="A15" s="2" t="s">
        <v>19</v>
      </c>
      <c r="B15" s="27">
        <f t="shared" si="0"/>
        <v>1463</v>
      </c>
      <c r="C15" s="25">
        <v>10</v>
      </c>
      <c r="D15" s="25">
        <v>1100</v>
      </c>
      <c r="E15" s="25">
        <v>269</v>
      </c>
      <c r="F15" s="28">
        <v>84</v>
      </c>
      <c r="G15" s="16">
        <f t="shared" si="1"/>
        <v>1693</v>
      </c>
      <c r="H15" s="22">
        <v>12</v>
      </c>
      <c r="I15" s="22">
        <v>1335</v>
      </c>
      <c r="J15" s="22">
        <v>250</v>
      </c>
      <c r="K15" s="22">
        <v>96</v>
      </c>
      <c r="L15" s="3" t="s">
        <v>20</v>
      </c>
      <c r="M15" s="1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21" customHeight="1" x14ac:dyDescent="0.25">
      <c r="A16" s="2" t="s">
        <v>21</v>
      </c>
      <c r="B16" s="27">
        <f t="shared" si="0"/>
        <v>1481</v>
      </c>
      <c r="C16" s="25">
        <v>22</v>
      </c>
      <c r="D16" s="25">
        <v>1103</v>
      </c>
      <c r="E16" s="25">
        <v>266</v>
      </c>
      <c r="F16" s="28">
        <v>90</v>
      </c>
      <c r="G16" s="16">
        <f t="shared" si="1"/>
        <v>1697</v>
      </c>
      <c r="H16" s="22">
        <v>20</v>
      </c>
      <c r="I16" s="22">
        <v>1306</v>
      </c>
      <c r="J16" s="22">
        <v>266</v>
      </c>
      <c r="K16" s="22">
        <v>105</v>
      </c>
      <c r="L16" s="3" t="s">
        <v>22</v>
      </c>
      <c r="M16" s="1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1" customHeight="1" x14ac:dyDescent="0.25">
      <c r="A17" s="2" t="s">
        <v>23</v>
      </c>
      <c r="B17" s="27">
        <f t="shared" si="0"/>
        <v>1468</v>
      </c>
      <c r="C17" s="25">
        <v>16</v>
      </c>
      <c r="D17" s="25">
        <v>1096</v>
      </c>
      <c r="E17" s="25">
        <v>266</v>
      </c>
      <c r="F17" s="28">
        <v>90</v>
      </c>
      <c r="G17" s="16">
        <f t="shared" si="1"/>
        <v>1681</v>
      </c>
      <c r="H17" s="22">
        <v>14</v>
      </c>
      <c r="I17" s="22">
        <v>1300</v>
      </c>
      <c r="J17" s="22">
        <v>264</v>
      </c>
      <c r="K17" s="22">
        <v>103</v>
      </c>
      <c r="L17" s="3" t="s">
        <v>24</v>
      </c>
      <c r="M17" s="1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1" customHeight="1" x14ac:dyDescent="0.55000000000000004">
      <c r="A18" s="2" t="s">
        <v>25</v>
      </c>
      <c r="B18" s="27">
        <f t="shared" si="0"/>
        <v>1473</v>
      </c>
      <c r="C18" s="25">
        <v>11</v>
      </c>
      <c r="D18" s="25">
        <v>1106</v>
      </c>
      <c r="E18" s="25">
        <v>264</v>
      </c>
      <c r="F18" s="28">
        <v>92</v>
      </c>
      <c r="G18" s="16">
        <f t="shared" si="1"/>
        <v>1663</v>
      </c>
      <c r="H18" s="22">
        <v>15</v>
      </c>
      <c r="I18" s="22">
        <v>1282</v>
      </c>
      <c r="J18" s="22">
        <v>261</v>
      </c>
      <c r="K18" s="22">
        <v>105</v>
      </c>
      <c r="L18" s="4" t="s">
        <v>26</v>
      </c>
      <c r="M18" s="1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21" customHeight="1" x14ac:dyDescent="0.25">
      <c r="A19" s="5" t="s">
        <v>27</v>
      </c>
      <c r="B19" s="29">
        <f t="shared" si="0"/>
        <v>1483</v>
      </c>
      <c r="C19" s="26">
        <v>19</v>
      </c>
      <c r="D19" s="26">
        <v>1111</v>
      </c>
      <c r="E19" s="26">
        <v>255</v>
      </c>
      <c r="F19" s="17">
        <v>98</v>
      </c>
      <c r="G19" s="18">
        <f t="shared" si="1"/>
        <v>1666</v>
      </c>
      <c r="H19" s="23">
        <v>18</v>
      </c>
      <c r="I19" s="23">
        <v>1283</v>
      </c>
      <c r="J19" s="23">
        <v>259</v>
      </c>
      <c r="K19" s="23">
        <v>106</v>
      </c>
      <c r="L19" s="6" t="s">
        <v>28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75" customHeight="1" x14ac:dyDescent="0.45">
      <c r="A20" s="8" t="s">
        <v>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9" t="s">
        <v>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customHeight="1" x14ac:dyDescent="0.25">
      <c r="A22" s="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customHeight="1" x14ac:dyDescent="0.25">
      <c r="A23" s="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75" customHeight="1" x14ac:dyDescent="0.25">
      <c r="A24" s="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customHeight="1" x14ac:dyDescent="0.25">
      <c r="A25" s="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customHeight="1" x14ac:dyDescent="0.25">
      <c r="A26" s="1"/>
      <c r="B26" s="11"/>
      <c r="C26" s="20"/>
      <c r="D26" s="11"/>
      <c r="E26" s="11"/>
      <c r="F26" s="11"/>
      <c r="G26" s="11"/>
      <c r="H26" s="20"/>
      <c r="I26" s="11"/>
      <c r="J26" s="11"/>
      <c r="K26" s="1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customHeight="1" x14ac:dyDescent="0.25">
      <c r="A27" s="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7"/>
      <c r="AF27" s="1"/>
      <c r="AG27" s="1"/>
      <c r="AH27" s="1"/>
      <c r="AI27" s="1"/>
      <c r="AJ27" s="1"/>
    </row>
    <row r="28" spans="1:36" ht="15.75" customHeight="1" x14ac:dyDescent="0.25">
      <c r="A28" s="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customHeight="1" x14ac:dyDescent="0.25">
      <c r="A29" s="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customHeight="1" x14ac:dyDescent="0.25">
      <c r="A30" s="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customHeight="1" x14ac:dyDescent="0.25">
      <c r="A31" s="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75" customHeight="1" x14ac:dyDescent="0.25">
      <c r="A32" s="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customHeight="1" x14ac:dyDescent="0.25">
      <c r="A33" s="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customHeight="1" x14ac:dyDescent="0.25">
      <c r="A34" s="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customHeight="1" x14ac:dyDescent="0.25">
      <c r="A35" s="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customHeight="1" x14ac:dyDescent="0.25">
      <c r="A36" s="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customHeight="1" x14ac:dyDescent="0.25">
      <c r="A37" s="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customHeight="1" x14ac:dyDescent="0.25">
      <c r="A38" s="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customHeight="1" x14ac:dyDescent="0.25">
      <c r="A39" s="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">
    <mergeCell ref="B6:F6"/>
    <mergeCell ref="A2:L2"/>
    <mergeCell ref="A3:L3"/>
    <mergeCell ref="A5:A7"/>
    <mergeCell ref="L5:L7"/>
    <mergeCell ref="G6:K6"/>
    <mergeCell ref="B5:K5"/>
  </mergeCells>
  <pageMargins left="0.7" right="0.7" top="0.75" bottom="0.75" header="0" footer="0"/>
  <pageSetup paperSize="9" scale="75" orientation="landscape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18.5</vt:lpstr>
      <vt:lpstr>'18.5'!Print_Area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2023-07-02T08:15:39Z</cp:lastPrinted>
  <dcterms:modified xsi:type="dcterms:W3CDTF">2023-07-02T08:15:54Z</dcterms:modified>
</cp:coreProperties>
</file>