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3DDB395E-2FF7-4FF2-BE5C-1D125AB6196F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4" sheetId="14" r:id="rId1"/>
  </sheets>
  <definedNames>
    <definedName name="_xlnm.Print_Area" localSheetId="0">'18.14'!$A$1:$J$34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4" l="1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F6" i="14"/>
  <c r="E6" i="14"/>
  <c r="D6" i="14"/>
  <c r="C6" i="14"/>
  <c r="B6" i="14"/>
  <c r="G6" i="14" l="1"/>
  <c r="H26" i="14" s="1"/>
  <c r="H18" i="14" l="1"/>
  <c r="H10" i="14"/>
  <c r="H14" i="14"/>
  <c r="H22" i="14"/>
  <c r="H30" i="14"/>
  <c r="H31" i="14"/>
  <c r="H27" i="14"/>
  <c r="H23" i="14"/>
  <c r="H19" i="14"/>
  <c r="H15" i="14"/>
  <c r="H11" i="14"/>
  <c r="H7" i="14"/>
  <c r="H6" i="14"/>
  <c r="H28" i="14"/>
  <c r="H24" i="14"/>
  <c r="H20" i="14"/>
  <c r="H16" i="14"/>
  <c r="H12" i="14"/>
  <c r="H8" i="14"/>
  <c r="H13" i="14"/>
  <c r="H25" i="14"/>
  <c r="H9" i="14"/>
  <c r="H17" i="14"/>
  <c r="H21" i="14"/>
  <c r="H29" i="14"/>
</calcChain>
</file>

<file path=xl/sharedStrings.xml><?xml version="1.0" encoding="utf-8"?>
<sst xmlns="http://schemas.openxmlformats.org/spreadsheetml/2006/main" count="67" uniqueCount="66">
  <si>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</si>
  <si>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</si>
  <si>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</si>
  <si>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</si>
  <si>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</si>
  <si>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</si>
  <si>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</si>
  <si>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</si>
  <si>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</si>
  <si>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</si>
  <si>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</si>
  <si>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</si>
  <si>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</si>
  <si>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</si>
  <si>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</si>
  <si>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</si>
  <si>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</si>
  <si>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</si>
  <si>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</si>
  <si>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</si>
  <si>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</si>
  <si>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</si>
  <si>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</si>
  <si>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</si>
  <si>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</si>
  <si>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</si>
  <si>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</si>
  <si>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</si>
  <si>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</si>
  <si>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</si>
  <si>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</si>
  <si>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</si>
  <si>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</si>
  <si>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</si>
  <si>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</si>
  <si>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</si>
  <si>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</si>
  <si>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</si>
  <si>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</si>
  <si>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</si>
  <si>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</si>
  <si>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</si>
  <si>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</si>
  <si>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</si>
  <si>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</si>
  <si>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</si>
  <si>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</si>
  <si>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</si>
  <si>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</si>
  <si>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</si>
  <si>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</si>
  <si>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</si>
  <si>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</si>
  <si>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</si>
  <si>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</si>
  <si>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</si>
  <si>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</si>
  <si>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</si>
  <si>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</si>
  <si>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</si>
  <si>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</si>
  <si>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</si>
  <si>
    <t>ތާވަލު  18.14 : އެކި ދާއިރާތަކުން ރިޓާޔަމަންޓް ޕެންޝަން ސްކީމްގައި ރެޖިސްޓަރކޮށްފައިވާ މުވައްޒަފުންގެ ޢަދަދު، ތަނުގެމުވައްޒަފުންގެ ގިންތިން، 2022</t>
  </si>
  <si>
    <t>TABLE   18.14: EMPLOYEES  REGISTERED IN THE RETIREMENT PENSION SCHEME, BY EMPLOYMENT SIZE, END  2022</t>
  </si>
  <si>
    <t>Employment size</t>
  </si>
  <si>
    <t xml:space="preserve">Note: The Difference between values in this table  is due to  some members having multiple contracts with more than one employer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</si>
</sst>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0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i/>
      <sz val="10"/>
      <color rgb="FF000000"/>
      <name val="Calibri"/>
    </font>
    <font>
      <sz val="10"/>
      <color rgb="FF000000"/>
      <name val="Faruma"/>
    </font>
    <font>
      <sz val="9"/>
      <color rgb="FF000000"/>
      <name val="Faruma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5" fillId="2" borderId="4" xfId="0" applyFont="1" applyFill="1" applyBorder="1"/>
    <xf numFmtId="0" fontId="5" fillId="2" borderId="11" xfId="0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3" fontId="3" fillId="2" borderId="11" xfId="0" applyNumberFormat="1" applyFont="1" applyFill="1" applyBorder="1" applyAlignment="1">
      <alignment horizontal="right" vertical="center"/>
    </xf>
    <xf numFmtId="0" fontId="8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0" fontId="6" fillId="2" borderId="4" xfId="0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165" fontId="3" fillId="2" borderId="1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165" fontId="3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right" vertical="center"/>
    </xf>
    <xf numFmtId="165" fontId="4" fillId="2" borderId="15" xfId="0" applyNumberFormat="1" applyFont="1" applyFill="1" applyBorder="1" applyAlignment="1">
      <alignment horizontal="center" vertical="center"/>
    </xf>
    <xf numFmtId="0" fontId="9" fillId="2" borderId="4" xfId="0" applyFont="1" applyFill="1" applyBorder="1"/>
    <xf numFmtId="0" fontId="6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0" fillId="3" borderId="0" xfId="0" applyFill="1"/>
    <xf numFmtId="3" fontId="3" fillId="4" borderId="4" xfId="0" applyNumberFormat="1" applyFont="1" applyFill="1" applyBorder="1" applyAlignment="1">
      <alignment horizontal="right" vertical="center"/>
    </xf>
    <xf numFmtId="3" fontId="3" fillId="4" borderId="11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9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2" fillId="3" borderId="17" xfId="0" applyFont="1" applyFill="1" applyBorder="1"/>
    <xf numFmtId="0" fontId="4" fillId="2" borderId="16" xfId="0" applyFont="1" applyFill="1" applyBorder="1" applyAlignment="1">
      <alignment horizontal="center" vertical="center"/>
    </xf>
    <xf numFmtId="0" fontId="2" fillId="3" borderId="1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C45"/>
  <sheetViews>
    <sheetView tabSelected="1" zoomScaleNormal="100" workbookViewId="0">
      <selection activeCell="M26" sqref="M26"/>
    </sheetView>
  </sheetViews>
  <sheetFormatPr defaultColWidth="14.42578125" defaultRowHeight="15" customHeight="1"/>
  <cols>
    <col min="1" max="1" width="51.5703125" style="27" customWidth="1"/>
    <col min="2" max="7" width="11.42578125" style="27" customWidth="1"/>
    <col min="8" max="8" width="12.140625" style="27" customWidth="1"/>
    <col min="9" max="9" width="41.42578125" style="27" customWidth="1"/>
    <col min="10" max="10" width="5.85546875" style="27" customWidth="1"/>
    <col min="11" max="29" width="12.7109375" style="27" customWidth="1"/>
    <col min="30" max="16384" width="14.42578125" style="27"/>
  </cols>
  <sheetData>
    <row r="1" spans="1:29" ht="21" customHeight="1">
      <c r="A1" s="33" t="s">
        <v>62</v>
      </c>
      <c r="B1" s="31"/>
      <c r="C1" s="31"/>
      <c r="D1" s="31"/>
      <c r="E1" s="31"/>
      <c r="F1" s="31"/>
      <c r="G1" s="31"/>
      <c r="H1" s="31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40" t="s">
        <v>63</v>
      </c>
      <c r="B2" s="31"/>
      <c r="C2" s="31"/>
      <c r="D2" s="31"/>
      <c r="E2" s="31"/>
      <c r="F2" s="31"/>
      <c r="G2" s="31"/>
      <c r="H2" s="31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2"/>
      <c r="C3" s="12"/>
      <c r="D3" s="12"/>
      <c r="E3" s="12"/>
      <c r="F3" s="12"/>
      <c r="G3" s="12"/>
      <c r="H3" s="1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>
      <c r="A4" s="34" t="s">
        <v>5</v>
      </c>
      <c r="B4" s="36" t="s">
        <v>64</v>
      </c>
      <c r="C4" s="37"/>
      <c r="D4" s="37"/>
      <c r="E4" s="37"/>
      <c r="F4" s="37"/>
      <c r="G4" s="39"/>
      <c r="H4" s="42" t="s">
        <v>0</v>
      </c>
      <c r="I4" s="38" t="s">
        <v>55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</row>
    <row r="5" spans="1:29" ht="15" customHeight="1">
      <c r="A5" s="41"/>
      <c r="B5" s="17" t="s">
        <v>56</v>
      </c>
      <c r="C5" s="17" t="s">
        <v>57</v>
      </c>
      <c r="D5" s="17" t="s">
        <v>58</v>
      </c>
      <c r="E5" s="17" t="s">
        <v>59</v>
      </c>
      <c r="F5" s="22" t="s">
        <v>60</v>
      </c>
      <c r="G5" s="22" t="s">
        <v>2</v>
      </c>
      <c r="H5" s="43"/>
      <c r="I5" s="3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"/>
      <c r="AB5" s="1"/>
      <c r="AC5" s="1"/>
    </row>
    <row r="6" spans="1:29" ht="21" customHeight="1">
      <c r="A6" s="18" t="s">
        <v>2</v>
      </c>
      <c r="B6" s="14">
        <f t="shared" ref="B6:G6" si="0">SUM(B7:B31)</f>
        <v>4165</v>
      </c>
      <c r="C6" s="14">
        <f t="shared" si="0"/>
        <v>14020</v>
      </c>
      <c r="D6" s="14">
        <f t="shared" si="0"/>
        <v>11588</v>
      </c>
      <c r="E6" s="14">
        <f t="shared" si="0"/>
        <v>27594</v>
      </c>
      <c r="F6" s="14">
        <f t="shared" si="0"/>
        <v>54249</v>
      </c>
      <c r="G6" s="14">
        <f t="shared" si="0"/>
        <v>111616</v>
      </c>
      <c r="H6" s="23">
        <f>G6/G6*100</f>
        <v>100</v>
      </c>
      <c r="I6" s="4" t="s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  <c r="AB6" s="1"/>
      <c r="AC6" s="1"/>
    </row>
    <row r="7" spans="1:29" ht="21" customHeight="1">
      <c r="A7" s="7" t="s">
        <v>6</v>
      </c>
      <c r="B7" s="28">
        <v>9</v>
      </c>
      <c r="C7" s="28">
        <v>31</v>
      </c>
      <c r="D7" s="28">
        <v>66</v>
      </c>
      <c r="E7" s="28">
        <v>104</v>
      </c>
      <c r="F7" s="28">
        <v>0</v>
      </c>
      <c r="G7" s="8">
        <f t="shared" ref="G7:G31" si="1">SUM(B7:F7)</f>
        <v>210</v>
      </c>
      <c r="H7" s="19">
        <f t="shared" ref="H7:H31" si="2">G7/$G$6*100</f>
        <v>0.18814506880733944</v>
      </c>
      <c r="I7" s="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>
      <c r="A8" s="7" t="s">
        <v>8</v>
      </c>
      <c r="B8" s="28">
        <v>12</v>
      </c>
      <c r="C8" s="28">
        <v>129</v>
      </c>
      <c r="D8" s="28">
        <v>53</v>
      </c>
      <c r="E8" s="28">
        <v>259</v>
      </c>
      <c r="F8" s="28">
        <v>5449</v>
      </c>
      <c r="G8" s="8">
        <f t="shared" si="1"/>
        <v>5902</v>
      </c>
      <c r="H8" s="19">
        <f t="shared" si="2"/>
        <v>5.2877723623853212</v>
      </c>
      <c r="I8" s="5" t="s">
        <v>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>
      <c r="A9" s="7" t="s">
        <v>10</v>
      </c>
      <c r="B9" s="28">
        <v>7</v>
      </c>
      <c r="C9" s="28">
        <v>11</v>
      </c>
      <c r="D9" s="28">
        <v>0</v>
      </c>
      <c r="E9" s="28">
        <v>0</v>
      </c>
      <c r="F9" s="28">
        <v>0</v>
      </c>
      <c r="G9" s="8">
        <f t="shared" si="1"/>
        <v>18</v>
      </c>
      <c r="H9" s="19">
        <f t="shared" si="2"/>
        <v>1.6126720183486241E-2</v>
      </c>
      <c r="I9" s="5" t="s">
        <v>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>
      <c r="A10" s="7" t="s">
        <v>12</v>
      </c>
      <c r="B10" s="28">
        <v>35</v>
      </c>
      <c r="C10" s="28">
        <v>11</v>
      </c>
      <c r="D10" s="28">
        <v>0</v>
      </c>
      <c r="E10" s="28">
        <v>0</v>
      </c>
      <c r="F10" s="28">
        <v>0</v>
      </c>
      <c r="G10" s="8">
        <f t="shared" si="1"/>
        <v>46</v>
      </c>
      <c r="H10" s="19">
        <f t="shared" si="2"/>
        <v>4.121272935779817E-2</v>
      </c>
      <c r="I10" s="5" t="s">
        <v>13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>
      <c r="A11" s="7" t="s">
        <v>14</v>
      </c>
      <c r="B11" s="28">
        <v>325</v>
      </c>
      <c r="C11" s="28">
        <v>520</v>
      </c>
      <c r="D11" s="28">
        <v>250</v>
      </c>
      <c r="E11" s="28">
        <v>609</v>
      </c>
      <c r="F11" s="28">
        <v>1128</v>
      </c>
      <c r="G11" s="8">
        <f t="shared" si="1"/>
        <v>2832</v>
      </c>
      <c r="H11" s="19">
        <f t="shared" si="2"/>
        <v>2.5372706422018347</v>
      </c>
      <c r="I11" s="5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>
      <c r="A12" s="7" t="s">
        <v>16</v>
      </c>
      <c r="B12" s="28">
        <v>49</v>
      </c>
      <c r="C12" s="28">
        <v>83</v>
      </c>
      <c r="D12" s="28">
        <v>82</v>
      </c>
      <c r="E12" s="28">
        <v>0</v>
      </c>
      <c r="F12" s="28">
        <v>0</v>
      </c>
      <c r="G12" s="8">
        <f t="shared" si="1"/>
        <v>214</v>
      </c>
      <c r="H12" s="19">
        <f t="shared" si="2"/>
        <v>0.19172878440366972</v>
      </c>
      <c r="I12" s="5" t="s">
        <v>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>
      <c r="A13" s="20" t="s">
        <v>18</v>
      </c>
      <c r="B13" s="30">
        <v>102</v>
      </c>
      <c r="C13" s="30">
        <v>590</v>
      </c>
      <c r="D13" s="30">
        <v>372</v>
      </c>
      <c r="E13" s="30">
        <v>814</v>
      </c>
      <c r="F13" s="30">
        <v>3671</v>
      </c>
      <c r="G13" s="8">
        <f t="shared" si="1"/>
        <v>5549</v>
      </c>
      <c r="H13" s="19">
        <f t="shared" si="2"/>
        <v>4.9715094610091741</v>
      </c>
      <c r="I13" s="16" t="s">
        <v>19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>
      <c r="A14" s="7" t="s">
        <v>20</v>
      </c>
      <c r="B14" s="28">
        <v>24</v>
      </c>
      <c r="C14" s="28">
        <v>66</v>
      </c>
      <c r="D14" s="28">
        <v>61</v>
      </c>
      <c r="E14" s="28">
        <v>197</v>
      </c>
      <c r="F14" s="28">
        <v>907</v>
      </c>
      <c r="G14" s="8">
        <f t="shared" si="1"/>
        <v>1255</v>
      </c>
      <c r="H14" s="19">
        <f t="shared" si="2"/>
        <v>1.1243907683486238</v>
      </c>
      <c r="I14" s="5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>
      <c r="A15" s="7" t="s">
        <v>22</v>
      </c>
      <c r="B15" s="28">
        <v>26</v>
      </c>
      <c r="C15" s="28">
        <v>75</v>
      </c>
      <c r="D15" s="28">
        <v>84</v>
      </c>
      <c r="E15" s="28">
        <v>0</v>
      </c>
      <c r="F15" s="28">
        <v>0</v>
      </c>
      <c r="G15" s="8">
        <f t="shared" si="1"/>
        <v>185</v>
      </c>
      <c r="H15" s="19">
        <f t="shared" si="2"/>
        <v>0.16574684633027523</v>
      </c>
      <c r="I15" s="5" t="s">
        <v>23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>
      <c r="A16" s="7" t="s">
        <v>24</v>
      </c>
      <c r="B16" s="28">
        <v>176</v>
      </c>
      <c r="C16" s="28">
        <v>5327</v>
      </c>
      <c r="D16" s="28">
        <v>4638</v>
      </c>
      <c r="E16" s="28">
        <v>9987</v>
      </c>
      <c r="F16" s="28">
        <v>21925</v>
      </c>
      <c r="G16" s="8">
        <f t="shared" si="1"/>
        <v>42053</v>
      </c>
      <c r="H16" s="19">
        <f t="shared" si="2"/>
        <v>37.67649799311927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>
      <c r="A17" s="7" t="s">
        <v>26</v>
      </c>
      <c r="B17" s="28">
        <v>102</v>
      </c>
      <c r="C17" s="28">
        <v>390</v>
      </c>
      <c r="D17" s="28">
        <v>80</v>
      </c>
      <c r="E17" s="28">
        <v>167</v>
      </c>
      <c r="F17" s="28">
        <v>820</v>
      </c>
      <c r="G17" s="8">
        <f t="shared" si="1"/>
        <v>1559</v>
      </c>
      <c r="H17" s="19">
        <f t="shared" si="2"/>
        <v>1.3967531536697249</v>
      </c>
      <c r="I17" s="5" t="s">
        <v>27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>
      <c r="A18" s="7" t="s">
        <v>28</v>
      </c>
      <c r="B18" s="28">
        <v>593</v>
      </c>
      <c r="C18" s="28">
        <v>1669</v>
      </c>
      <c r="D18" s="28">
        <v>3323</v>
      </c>
      <c r="E18" s="28">
        <v>11288</v>
      </c>
      <c r="F18" s="28">
        <v>3796</v>
      </c>
      <c r="G18" s="8">
        <f t="shared" si="1"/>
        <v>20669</v>
      </c>
      <c r="H18" s="19">
        <f t="shared" si="2"/>
        <v>18.517954415137613</v>
      </c>
      <c r="I18" s="5" t="s">
        <v>29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>
      <c r="A19" s="7" t="s">
        <v>61</v>
      </c>
      <c r="B19" s="28">
        <v>26</v>
      </c>
      <c r="C19" s="28">
        <v>85</v>
      </c>
      <c r="D19" s="28">
        <v>0</v>
      </c>
      <c r="E19" s="28">
        <v>0</v>
      </c>
      <c r="F19" s="28">
        <v>0</v>
      </c>
      <c r="G19" s="8">
        <f t="shared" si="1"/>
        <v>111</v>
      </c>
      <c r="H19" s="19">
        <f t="shared" si="2"/>
        <v>9.9448107798165125E-2</v>
      </c>
      <c r="I19" s="5" t="s">
        <v>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>
      <c r="A20" s="7" t="s">
        <v>31</v>
      </c>
      <c r="B20" s="28">
        <v>7</v>
      </c>
      <c r="C20" s="28">
        <v>36</v>
      </c>
      <c r="D20" s="28">
        <v>0</v>
      </c>
      <c r="E20" s="28">
        <v>0</v>
      </c>
      <c r="F20" s="28">
        <v>641</v>
      </c>
      <c r="G20" s="8">
        <f t="shared" si="1"/>
        <v>684</v>
      </c>
      <c r="H20" s="19">
        <f t="shared" si="2"/>
        <v>0.61281536697247707</v>
      </c>
      <c r="I20" s="5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>
      <c r="A21" s="7" t="s">
        <v>35</v>
      </c>
      <c r="B21" s="28">
        <v>2</v>
      </c>
      <c r="C21" s="28">
        <v>0</v>
      </c>
      <c r="D21" s="28">
        <v>0</v>
      </c>
      <c r="E21" s="28">
        <v>0</v>
      </c>
      <c r="F21" s="28">
        <v>0</v>
      </c>
      <c r="G21" s="8">
        <f t="shared" si="1"/>
        <v>2</v>
      </c>
      <c r="H21" s="19">
        <f t="shared" si="2"/>
        <v>1.7918577981651377E-3</v>
      </c>
      <c r="I21" s="24" t="s">
        <v>34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>
      <c r="A22" s="7" t="s">
        <v>37</v>
      </c>
      <c r="B22" s="28">
        <v>24</v>
      </c>
      <c r="C22" s="28">
        <v>114</v>
      </c>
      <c r="D22" s="28">
        <v>0</v>
      </c>
      <c r="E22" s="28">
        <v>0</v>
      </c>
      <c r="F22" s="28">
        <v>0</v>
      </c>
      <c r="G22" s="8">
        <f t="shared" si="1"/>
        <v>138</v>
      </c>
      <c r="H22" s="19">
        <f t="shared" si="2"/>
        <v>0.12363818807339449</v>
      </c>
      <c r="I22" s="5" t="s">
        <v>36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>
      <c r="A23" s="7" t="s">
        <v>39</v>
      </c>
      <c r="B23" s="28">
        <v>83</v>
      </c>
      <c r="C23" s="28">
        <v>73</v>
      </c>
      <c r="D23" s="28">
        <v>0</v>
      </c>
      <c r="E23" s="28">
        <v>0</v>
      </c>
      <c r="F23" s="28">
        <v>0</v>
      </c>
      <c r="G23" s="8">
        <f t="shared" si="1"/>
        <v>156</v>
      </c>
      <c r="H23" s="19">
        <f t="shared" si="2"/>
        <v>0.13976490825688073</v>
      </c>
      <c r="I23" s="5" t="s">
        <v>38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>
      <c r="A24" s="7" t="s">
        <v>41</v>
      </c>
      <c r="B24" s="28">
        <v>0</v>
      </c>
      <c r="C24" s="28">
        <v>25</v>
      </c>
      <c r="D24" s="28">
        <v>66</v>
      </c>
      <c r="E24" s="28">
        <v>0</v>
      </c>
      <c r="F24" s="28">
        <v>0</v>
      </c>
      <c r="G24" s="8">
        <f t="shared" si="1"/>
        <v>91</v>
      </c>
      <c r="H24" s="19">
        <f t="shared" si="2"/>
        <v>8.1529529816513763E-2</v>
      </c>
      <c r="I24" s="5" t="s">
        <v>40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>
      <c r="A25" s="7" t="s">
        <v>43</v>
      </c>
      <c r="B25" s="28">
        <v>103</v>
      </c>
      <c r="C25" s="28">
        <v>512</v>
      </c>
      <c r="D25" s="28">
        <v>707</v>
      </c>
      <c r="E25" s="28">
        <v>1061</v>
      </c>
      <c r="F25" s="28">
        <v>681</v>
      </c>
      <c r="G25" s="8">
        <f t="shared" si="1"/>
        <v>3064</v>
      </c>
      <c r="H25" s="19">
        <f t="shared" si="2"/>
        <v>2.7451261467889907</v>
      </c>
      <c r="I25" s="5" t="s">
        <v>42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>
      <c r="A26" s="7" t="s">
        <v>45</v>
      </c>
      <c r="B26" s="28">
        <v>88</v>
      </c>
      <c r="C26" s="28">
        <v>280</v>
      </c>
      <c r="D26" s="28">
        <v>142</v>
      </c>
      <c r="E26" s="28">
        <v>493</v>
      </c>
      <c r="F26" s="28">
        <v>3968</v>
      </c>
      <c r="G26" s="8">
        <f t="shared" si="1"/>
        <v>4971</v>
      </c>
      <c r="H26" s="19">
        <f t="shared" si="2"/>
        <v>4.4536625573394497</v>
      </c>
      <c r="I26" s="5" t="s">
        <v>44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>
      <c r="A27" s="7" t="s">
        <v>47</v>
      </c>
      <c r="B27" s="28">
        <v>674</v>
      </c>
      <c r="C27" s="28">
        <v>1288</v>
      </c>
      <c r="D27" s="28">
        <v>461</v>
      </c>
      <c r="E27" s="28">
        <v>858</v>
      </c>
      <c r="F27" s="28">
        <v>0</v>
      </c>
      <c r="G27" s="8">
        <f t="shared" si="1"/>
        <v>3281</v>
      </c>
      <c r="H27" s="19">
        <f t="shared" si="2"/>
        <v>2.9395427178899083</v>
      </c>
      <c r="I27" s="5" t="s">
        <v>46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>
      <c r="A28" s="7" t="s">
        <v>49</v>
      </c>
      <c r="B28" s="28">
        <v>34</v>
      </c>
      <c r="C28" s="28">
        <v>206</v>
      </c>
      <c r="D28" s="28">
        <v>106</v>
      </c>
      <c r="E28" s="28">
        <v>159</v>
      </c>
      <c r="F28" s="28">
        <v>1100</v>
      </c>
      <c r="G28" s="8">
        <f t="shared" si="1"/>
        <v>1605</v>
      </c>
      <c r="H28" s="19">
        <f t="shared" si="2"/>
        <v>1.4379658830275228</v>
      </c>
      <c r="I28" s="5" t="s">
        <v>48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>
      <c r="A29" s="7" t="s">
        <v>51</v>
      </c>
      <c r="B29" s="28">
        <v>6</v>
      </c>
      <c r="C29" s="28">
        <v>27</v>
      </c>
      <c r="D29" s="28">
        <v>0</v>
      </c>
      <c r="E29" s="28">
        <v>0</v>
      </c>
      <c r="F29" s="28">
        <v>0</v>
      </c>
      <c r="G29" s="8">
        <f t="shared" si="1"/>
        <v>33</v>
      </c>
      <c r="H29" s="19">
        <f t="shared" si="2"/>
        <v>2.9565653669724773E-2</v>
      </c>
      <c r="I29" s="5" t="s">
        <v>50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>
      <c r="A30" s="7" t="s">
        <v>53</v>
      </c>
      <c r="B30" s="28">
        <v>397</v>
      </c>
      <c r="C30" s="28">
        <v>744</v>
      </c>
      <c r="D30" s="28">
        <v>521</v>
      </c>
      <c r="E30" s="28">
        <v>207</v>
      </c>
      <c r="F30" s="28">
        <v>2273</v>
      </c>
      <c r="G30" s="8">
        <f t="shared" si="1"/>
        <v>4142</v>
      </c>
      <c r="H30" s="19">
        <f t="shared" si="2"/>
        <v>3.7109375</v>
      </c>
      <c r="I30" s="5" t="s">
        <v>52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>
      <c r="A31" s="9" t="s">
        <v>33</v>
      </c>
      <c r="B31" s="29">
        <v>1261</v>
      </c>
      <c r="C31" s="29">
        <v>1728</v>
      </c>
      <c r="D31" s="29">
        <v>576</v>
      </c>
      <c r="E31" s="29">
        <v>1391</v>
      </c>
      <c r="F31" s="29">
        <v>7890</v>
      </c>
      <c r="G31" s="10">
        <f t="shared" si="1"/>
        <v>12846</v>
      </c>
      <c r="H31" s="21">
        <f t="shared" si="2"/>
        <v>11.50910263761468</v>
      </c>
      <c r="I31" s="6" t="s">
        <v>54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.75" customHeight="1">
      <c r="A32" s="25" t="s">
        <v>65</v>
      </c>
      <c r="B32" s="8"/>
      <c r="C32" s="8"/>
      <c r="D32" s="8"/>
      <c r="E32" s="8"/>
      <c r="F32" s="8"/>
      <c r="G32" s="12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3" t="s">
        <v>3</v>
      </c>
      <c r="B33" s="12"/>
      <c r="C33" s="12"/>
      <c r="D33" s="12"/>
      <c r="E33" s="12"/>
      <c r="F33" s="12"/>
      <c r="G33" s="12"/>
      <c r="H33" s="15"/>
      <c r="I33" s="11" t="s">
        <v>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2"/>
      <c r="C34" s="12"/>
      <c r="D34" s="12"/>
      <c r="E34" s="12"/>
      <c r="F34" s="12"/>
      <c r="G34" s="12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2"/>
      <c r="C35" s="12"/>
      <c r="D35" s="12"/>
      <c r="E35" s="12"/>
      <c r="F35" s="12"/>
      <c r="G35" s="12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2"/>
      <c r="C36" s="12"/>
      <c r="D36" s="12"/>
      <c r="E36" s="12"/>
      <c r="F36" s="12"/>
      <c r="G36" s="12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2"/>
      <c r="C37" s="12"/>
      <c r="D37" s="12"/>
      <c r="E37" s="12"/>
      <c r="F37" s="12"/>
      <c r="G37" s="12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2"/>
      <c r="C38" s="12"/>
      <c r="D38" s="12"/>
      <c r="E38" s="12"/>
      <c r="F38" s="12"/>
      <c r="G38" s="12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2"/>
      <c r="C39" s="12"/>
      <c r="D39" s="12"/>
      <c r="E39" s="12"/>
      <c r="F39" s="12"/>
      <c r="G39" s="12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2"/>
      <c r="C40" s="12"/>
      <c r="D40" s="12"/>
      <c r="E40" s="12"/>
      <c r="F40" s="12"/>
      <c r="G40" s="12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2"/>
      <c r="C41" s="12"/>
      <c r="D41" s="12"/>
      <c r="E41" s="12"/>
      <c r="F41" s="12"/>
      <c r="G41" s="12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2"/>
      <c r="C42" s="12"/>
      <c r="D42" s="12"/>
      <c r="E42" s="12"/>
      <c r="F42" s="12"/>
      <c r="G42" s="12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2"/>
      <c r="C43" s="12"/>
      <c r="D43" s="12"/>
      <c r="E43" s="12"/>
      <c r="F43" s="12"/>
      <c r="G43" s="12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2"/>
      <c r="C44" s="12"/>
      <c r="D44" s="12"/>
      <c r="E44" s="12"/>
      <c r="F44" s="12"/>
      <c r="G44" s="12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2"/>
      <c r="C45" s="12"/>
      <c r="D45" s="12"/>
      <c r="E45" s="12"/>
      <c r="F45" s="12"/>
      <c r="G45" s="12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</sheetData>
  <mergeCells count="6">
    <mergeCell ref="A1:I1"/>
    <mergeCell ref="A2:I2"/>
    <mergeCell ref="A4:A5"/>
    <mergeCell ref="B4:G4"/>
    <mergeCell ref="H4:H5"/>
    <mergeCell ref="I4:I5"/>
  </mergeCells>
  <pageMargins left="0.7" right="0.7" top="0.75" bottom="0.75" header="0" footer="0"/>
  <pageSetup paperSize="9" scale="71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2023-07-05T03:35:44Z</cp:lastPrinted>
  <dcterms:modified xsi:type="dcterms:W3CDTF">2023-07-05T03:35:53Z</dcterms:modified>
</cp:coreProperties>
</file>