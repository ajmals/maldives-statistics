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1A5DCF9F-9695-47E7-A107-8525E47A5405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8" sheetId="8" r:id="rId1"/>
  </sheets>
  <definedNames>
    <definedName name="_xlnm.Print_Area" localSheetId="0">'18.8'!$A$1:$H$25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G7" i="8"/>
  <c r="F7" i="8"/>
  <c r="E7" i="8"/>
  <c r="D7" i="8"/>
  <c r="C7" i="8"/>
  <c r="B7" i="8" l="1"/>
</calcChain>
</file>

<file path=xl/sharedStrings.xml><?xml version="1.0" encoding="utf-8"?>
<sst xmlns="http://schemas.openxmlformats.org/spreadsheetml/2006/main" count="25" uniqueCount="24">
  <si>
    <t>Type of pension</t>
  </si>
  <si>
    <t>ޕެންޝަންގެ ބާވަތް</t>
  </si>
  <si>
    <t>ޖުމްލަ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</si>
  <si>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</si>
  <si>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</si>
  <si>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</si>
  <si>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</si>
  <si>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</si>
  <si>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</si>
  <si>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</si>
  <si>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</si>
  <si>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</si>
  <si>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</si>
  <si>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&lt; 55</t>
  </si>
  <si>
    <t>55-64</t>
  </si>
  <si>
    <t>75 +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</si>
  <si>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</si>
  <si>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ތާވަލު 18.8:  އެކި ޕެންޝަން ސްކީމްތަކުން ޕެންޝަން ލިބޭ މީހުންގެ އަދަދު އަދި އުމުރުފުރާ، 2022</t>
  </si>
  <si>
    <t>TABLE 18.8: NUMBER OF BEFEFICIARIES BY AGE GROUP FOR  DIFFERENT  PENSION SCHEMES, 2022</t>
  </si>
  <si>
    <t>Age groups, ( as of end year)</t>
  </si>
  <si>
    <t>All ages</t>
  </si>
  <si>
    <t xml:space="preserve">Total </t>
  </si>
  <si>
    <t>Senior Citizen Allowance was introduced in February 2014 and discontinued in March 2019.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</si>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</sst>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sz val="8"/>
      <color rgb="FF000000"/>
      <name val="Faruma"/>
    </font>
    <font>
      <b/>
      <sz val="12"/>
      <color rgb="FF000000"/>
      <name val="Faruma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right" vertical="center"/>
    </xf>
    <xf numFmtId="0" fontId="5" fillId="2" borderId="4" xfId="0" applyFont="1" applyFill="1" applyBorder="1"/>
    <xf numFmtId="0" fontId="5" fillId="2" borderId="11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37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164" fontId="4" fillId="2" borderId="11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1" xfId="0" applyNumberFormat="1" applyFont="1" applyFill="1" applyBorder="1" applyAlignment="1">
      <alignment horizontal="right" vertical="center"/>
    </xf>
    <xf numFmtId="37" fontId="4" fillId="2" borderId="4" xfId="0" applyNumberFormat="1" applyFont="1" applyFill="1" applyBorder="1" applyAlignment="1">
      <alignment horizontal="right" vertical="center"/>
    </xf>
    <xf numFmtId="0" fontId="0" fillId="3" borderId="0" xfId="0" applyFill="1"/>
    <xf numFmtId="3" fontId="3" fillId="4" borderId="4" xfId="0" applyNumberFormat="1" applyFont="1" applyFill="1" applyBorder="1" applyAlignment="1">
      <alignment horizontal="right"/>
    </xf>
    <xf numFmtId="3" fontId="3" fillId="4" borderId="11" xfId="0" applyNumberFormat="1" applyFont="1" applyFill="1" applyBorder="1" applyAlignment="1">
      <alignment horizontal="right"/>
    </xf>
    <xf numFmtId="164" fontId="12" fillId="4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2" fillId="3" borderId="13" xfId="0" applyFont="1" applyFill="1" applyBorder="1"/>
    <xf numFmtId="0" fontId="1" fillId="2" borderId="1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1680337002975723"/>
          <c:y val="0.2220432947448967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9C4-4B45-9619-7F440289EDA9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19C4-4B45-9619-7F440289EDA9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9C4-4B45-9619-7F440289EDA9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9C4-4B45-9619-7F440289EDA9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19C4-4B45-9619-7F440289EDA9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9C4-4B45-9619-7F440289EDA9}"/>
                </c:ext>
              </c:extLst>
            </c:dLbl>
            <c:dLbl>
              <c:idx val="2"/>
              <c:layout>
                <c:manualLayout>
                  <c:x val="-4.1472265422499467E-3"/>
                  <c:y val="2.50783699059561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C4-4B45-9619-7F440289EDA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9C4-4B45-9619-7F440289EDA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9C4-4B45-9619-7F440289EDA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'18.8'!$C$6:$G$6</c:f>
              <c:strCache>
                <c:ptCount val="5"/>
                <c:pt idx="0">
                  <c:v> &lt; 55 </c:v>
                </c:pt>
                <c:pt idx="1">
                  <c:v> 55-64 </c:v>
                </c:pt>
                <c:pt idx="2">
                  <c:v> 65-69 </c:v>
                </c:pt>
                <c:pt idx="3">
                  <c:v> 70-74 </c:v>
                </c:pt>
                <c:pt idx="4">
                  <c:v> 75 + 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1025</c:v>
                </c:pt>
                <c:pt idx="1">
                  <c:v>2426</c:v>
                </c:pt>
                <c:pt idx="2">
                  <c:v>9760</c:v>
                </c:pt>
                <c:pt idx="3">
                  <c:v>6188</c:v>
                </c:pt>
                <c:pt idx="4">
                  <c:v>10049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4-4B45-9619-7F440289E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12</xdr:row>
      <xdr:rowOff>66675</xdr:rowOff>
    </xdr:from>
    <xdr:ext cx="6124575" cy="3038475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466725</xdr:colOff>
      <xdr:row>13</xdr:row>
      <xdr:rowOff>85725</xdr:rowOff>
    </xdr:from>
    <xdr:ext cx="4943475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2114550" y="3581400"/>
          <a:ext cx="4943475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Percentage of beneficiaries under different pension schemes by age-groups, end 2022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C977"/>
  <sheetViews>
    <sheetView tabSelected="1" zoomScale="112" zoomScaleNormal="112" workbookViewId="0">
      <selection activeCell="N7" sqref="N7"/>
    </sheetView>
  </sheetViews>
  <sheetFormatPr defaultColWidth="14.42578125" defaultRowHeight="15" customHeight="1" x14ac:dyDescent="0.25"/>
  <cols>
    <col min="1" max="1" width="24.7109375" style="21" customWidth="1"/>
    <col min="2" max="2" width="9.42578125" style="21" customWidth="1"/>
    <col min="3" max="7" width="14.7109375" style="21" customWidth="1"/>
    <col min="8" max="8" width="25.5703125" style="21" customWidth="1"/>
    <col min="9" max="9" width="3" style="21" customWidth="1"/>
    <col min="10" max="26" width="8" style="21" customWidth="1"/>
    <col min="27" max="16384" width="14.42578125" style="2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55000000000000004">
      <c r="A2" s="37" t="s">
        <v>17</v>
      </c>
      <c r="B2" s="26"/>
      <c r="C2" s="26"/>
      <c r="D2" s="26"/>
      <c r="E2" s="26"/>
      <c r="F2" s="26"/>
      <c r="G2" s="26"/>
      <c r="H2" s="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5">
      <c r="A3" s="38" t="s">
        <v>18</v>
      </c>
      <c r="B3" s="26"/>
      <c r="C3" s="26"/>
      <c r="D3" s="26"/>
      <c r="E3" s="26"/>
      <c r="F3" s="26"/>
      <c r="G3" s="26"/>
      <c r="H3" s="2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x14ac:dyDescent="0.25">
      <c r="A5" s="28" t="s">
        <v>0</v>
      </c>
      <c r="B5" s="30" t="s">
        <v>19</v>
      </c>
      <c r="C5" s="31"/>
      <c r="D5" s="31"/>
      <c r="E5" s="31"/>
      <c r="F5" s="31"/>
      <c r="G5" s="33"/>
      <c r="H5" s="32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 x14ac:dyDescent="0.25">
      <c r="A6" s="29"/>
      <c r="B6" s="4" t="s">
        <v>20</v>
      </c>
      <c r="C6" s="17" t="s">
        <v>13</v>
      </c>
      <c r="D6" s="17" t="s">
        <v>14</v>
      </c>
      <c r="E6" s="17" t="s">
        <v>11</v>
      </c>
      <c r="F6" s="17" t="s">
        <v>12</v>
      </c>
      <c r="G6" s="17" t="s">
        <v>15</v>
      </c>
      <c r="H6" s="2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25">
      <c r="A7" s="7" t="s">
        <v>21</v>
      </c>
      <c r="B7" s="8">
        <f t="shared" ref="B7:B10" si="0">SUM(C7:G7)</f>
        <v>29448</v>
      </c>
      <c r="C7" s="18">
        <f t="shared" ref="C7:G7" si="1">SUM(C8:C10)</f>
        <v>1025</v>
      </c>
      <c r="D7" s="18">
        <f t="shared" si="1"/>
        <v>2426</v>
      </c>
      <c r="E7" s="18">
        <f t="shared" si="1"/>
        <v>9760</v>
      </c>
      <c r="F7" s="18">
        <f t="shared" si="1"/>
        <v>6188</v>
      </c>
      <c r="G7" s="18">
        <f t="shared" si="1"/>
        <v>10049</v>
      </c>
      <c r="H7" s="2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55000000000000004">
      <c r="A8" s="3" t="s">
        <v>3</v>
      </c>
      <c r="B8" s="8">
        <f t="shared" si="0"/>
        <v>20593</v>
      </c>
      <c r="C8" s="24" t="s">
        <v>23</v>
      </c>
      <c r="D8" s="24" t="s">
        <v>23</v>
      </c>
      <c r="E8" s="25">
        <v>7257</v>
      </c>
      <c r="F8" s="25">
        <v>5003</v>
      </c>
      <c r="G8" s="25">
        <v>8333</v>
      </c>
      <c r="H8" s="5" t="s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55000000000000004">
      <c r="A9" s="3" t="s">
        <v>5</v>
      </c>
      <c r="B9" s="8">
        <f t="shared" si="0"/>
        <v>1666</v>
      </c>
      <c r="C9" s="22">
        <v>13</v>
      </c>
      <c r="D9" s="22">
        <v>5</v>
      </c>
      <c r="E9" s="25">
        <v>1283</v>
      </c>
      <c r="F9" s="25">
        <v>259</v>
      </c>
      <c r="G9" s="25">
        <v>106</v>
      </c>
      <c r="H9" s="5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55000000000000004">
      <c r="A10" s="15" t="s">
        <v>7</v>
      </c>
      <c r="B10" s="19">
        <f t="shared" si="0"/>
        <v>7189</v>
      </c>
      <c r="C10" s="23">
        <v>1012</v>
      </c>
      <c r="D10" s="23">
        <v>2421</v>
      </c>
      <c r="E10" s="23">
        <v>1220</v>
      </c>
      <c r="F10" s="23">
        <v>926</v>
      </c>
      <c r="G10" s="23">
        <v>1610</v>
      </c>
      <c r="H10" s="6" t="s">
        <v>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25">
      <c r="A11" s="35" t="s">
        <v>22</v>
      </c>
      <c r="B11" s="26"/>
      <c r="C11" s="26"/>
      <c r="D11" s="27"/>
      <c r="E11" s="36" t="s">
        <v>16</v>
      </c>
      <c r="F11" s="26"/>
      <c r="G11" s="26"/>
      <c r="H11" s="27"/>
      <c r="I11" s="3"/>
      <c r="J11" s="3"/>
      <c r="K11" s="3"/>
      <c r="L11" s="3"/>
      <c r="M11" s="3"/>
      <c r="N11" s="3"/>
      <c r="O11" s="3"/>
      <c r="P11" s="3"/>
      <c r="Q11" s="3"/>
      <c r="R11" s="1"/>
      <c r="S11" s="9"/>
      <c r="T11" s="9"/>
      <c r="U11" s="9"/>
      <c r="V11" s="9"/>
      <c r="W11" s="9"/>
      <c r="X11" s="9"/>
      <c r="Y11" s="9"/>
      <c r="Z11" s="9"/>
    </row>
    <row r="12" spans="1:26" ht="18" x14ac:dyDescent="0.45">
      <c r="A12" s="10" t="s">
        <v>9</v>
      </c>
      <c r="B12" s="9"/>
      <c r="C12" s="9"/>
      <c r="D12" s="9"/>
      <c r="E12" s="9"/>
      <c r="F12" s="9"/>
      <c r="G12" s="9"/>
      <c r="H12" s="11" t="s">
        <v>10</v>
      </c>
      <c r="I12" s="9"/>
      <c r="J12" s="9"/>
      <c r="K12" s="9"/>
      <c r="L12" s="9"/>
      <c r="M12" s="9"/>
      <c r="N12" s="9"/>
      <c r="O12" s="9"/>
      <c r="P12" s="9"/>
      <c r="Q12" s="9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55000000000000004">
      <c r="A15" s="37"/>
      <c r="B15" s="26"/>
      <c r="C15" s="26"/>
      <c r="D15" s="26"/>
      <c r="E15" s="26"/>
      <c r="F15" s="26"/>
      <c r="G15" s="26"/>
      <c r="H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38"/>
      <c r="B16" s="26"/>
      <c r="C16" s="26"/>
      <c r="D16" s="26"/>
      <c r="E16" s="26"/>
      <c r="F16" s="26"/>
      <c r="G16" s="26"/>
      <c r="H16" s="2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 x14ac:dyDescent="0.25">
      <c r="A18" s="39"/>
      <c r="B18" s="34"/>
      <c r="C18" s="26"/>
      <c r="D18" s="26"/>
      <c r="E18" s="26"/>
      <c r="F18" s="26"/>
      <c r="G18" s="27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5">
      <c r="A19" s="40"/>
      <c r="B19" s="16"/>
      <c r="C19" s="13"/>
      <c r="D19" s="13"/>
      <c r="E19" s="13"/>
      <c r="F19" s="13"/>
      <c r="G19" s="13"/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5">
      <c r="A20" s="7"/>
      <c r="B20" s="20"/>
      <c r="C20" s="20"/>
      <c r="D20" s="20"/>
      <c r="E20" s="20"/>
      <c r="F20" s="20"/>
      <c r="G20" s="20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x14ac:dyDescent="0.55000000000000004">
      <c r="A21" s="3"/>
      <c r="B21" s="20"/>
      <c r="C21" s="12"/>
      <c r="D21" s="12"/>
      <c r="E21" s="14"/>
      <c r="F21" s="14"/>
      <c r="G21" s="14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x14ac:dyDescent="0.55000000000000004">
      <c r="A22" s="3"/>
      <c r="B22" s="20"/>
      <c r="C22" s="12"/>
      <c r="D22" s="12"/>
      <c r="E22" s="14"/>
      <c r="F22" s="14"/>
      <c r="G22" s="12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 x14ac:dyDescent="0.55000000000000004">
      <c r="A23" s="3"/>
      <c r="B23" s="20"/>
      <c r="C23" s="14"/>
      <c r="D23" s="14"/>
      <c r="E23" s="14"/>
      <c r="F23" s="14"/>
      <c r="G23" s="14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 x14ac:dyDescent="0.55000000000000004">
      <c r="A24" s="3"/>
      <c r="B24" s="20"/>
      <c r="C24" s="12"/>
      <c r="D24" s="12"/>
      <c r="E24" s="14"/>
      <c r="F24" s="14"/>
      <c r="G24" s="14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12">
    <mergeCell ref="A15:H15"/>
    <mergeCell ref="A16:H16"/>
    <mergeCell ref="A18:A19"/>
    <mergeCell ref="B18:G18"/>
    <mergeCell ref="H18:H19"/>
    <mergeCell ref="A11:D11"/>
    <mergeCell ref="E11:H11"/>
    <mergeCell ref="A2:H2"/>
    <mergeCell ref="A3:H3"/>
    <mergeCell ref="A5:A6"/>
    <mergeCell ref="B5:G5"/>
    <mergeCell ref="H5:H6"/>
  </mergeCells>
  <pageMargins left="0.7" right="0.7" top="0.75" bottom="0.75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2023-07-05T03:03:27Z</cp:lastPrinted>
  <dcterms:modified xsi:type="dcterms:W3CDTF">2023-07-05T03:03:32Z</dcterms:modified>
</cp:coreProperties>
</file>