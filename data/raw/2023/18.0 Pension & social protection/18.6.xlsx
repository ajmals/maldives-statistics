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ension and Social Protection\"/>
    </mc:Choice>
  </mc:AlternateContent>
  <xr:revisionPtr revIDLastSave="0" documentId="13_ncr:1_{2E1D928E-FCE9-4C3F-B4D2-179447337456}" xr6:coauthVersionLast="47" xr6:coauthVersionMax="47" xr10:uidLastSave="{00000000-0000-0000-0000-000000000000}"/>
  <bookViews>
    <workbookView xWindow="-120" yWindow="-120" windowWidth="29040" windowHeight="15840" tabRatio="805" xr2:uid="{00000000-000D-0000-FFFF-FFFF00000000}"/>
  </bookViews>
  <sheets>
    <sheet name="18.6" sheetId="6" r:id="rId1"/>
  </sheets>
  <definedNames>
    <definedName name="_xlnm.Print_Area" localSheetId="0">'18.6'!$A$1:$P$36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6" l="1"/>
  <c r="B18" i="6"/>
  <c r="H17" i="6"/>
  <c r="B17" i="6"/>
  <c r="H16" i="6"/>
  <c r="B16" i="6"/>
  <c r="H15" i="6"/>
  <c r="B15" i="6"/>
  <c r="H14" i="6"/>
  <c r="B14" i="6"/>
  <c r="H13" i="6"/>
  <c r="B13" i="6"/>
  <c r="H12" i="6"/>
  <c r="B12" i="6"/>
  <c r="H11" i="6"/>
  <c r="B11" i="6"/>
  <c r="H10" i="6"/>
  <c r="B10" i="6"/>
  <c r="H9" i="6"/>
  <c r="B9" i="6"/>
  <c r="H8" i="6"/>
  <c r="B8" i="6"/>
  <c r="H7" i="6"/>
  <c r="B7" i="6"/>
</calcChain>
</file>

<file path=xl/sharedStrings.xml><?xml version="1.0" encoding="utf-8"?>
<sst xmlns="http://schemas.openxmlformats.org/spreadsheetml/2006/main" count="44" uniqueCount="38">
  <si>
    <t>Total</t>
  </si>
  <si>
    <t>Source: Maldives Pension Administration</t>
  </si>
  <si>
    <t>މަޢުލޫމާތު ދެއްވި ފަރާތް: މޯލްޑިވްސް ޕެންޝަން އެޑްމިނިސްޓްރޭޝަން</t>
  </si>
  <si>
    <t>Month</t>
  </si>
  <si>
    <t>މަސް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</si>
  <si>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</si>
  <si>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</si>
  <si>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</si>
  <si>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</si>
  <si>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</si>
  <si>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</si>
  <si>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</si>
  <si>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</si>
  <si>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</si>
  <si>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</si>
  <si>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</si>
  <si>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</si>
  <si>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</si>
  <si>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</si>
  <si>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</si>
  <si>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</si>
  <si>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</si>
  <si>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</si>
  <si>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</si>
  <si>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</si>
  <si>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</si>
  <si>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</si>
  <si>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</si>
  <si>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</si>
  <si>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65-69</t>
  </si>
  <si>
    <t>70-74</t>
  </si>
  <si>
    <r>
      <rPr>
        <b/>
        <sz val="11"/>
        <color rgb="FF000000"/>
        <rFont val="Calibri"/>
        <family val="2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</si>
  <si>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r>
      <rPr>
        <b/>
        <sz val="11"/>
        <color rgb="FF000000"/>
        <rFont val="Calibri"/>
        <family val="2"/>
      </rPr>
      <t xml:space="preserve">Age Groups   </t>
    </r>
    <r>
      <rPr>
        <b/>
        <sz val="11"/>
        <color rgb="FF000000"/>
        <rFont val="Faruma"/>
      </rPr>
      <t>ޢުމުރުފުރާ</t>
    </r>
    <r>
      <rPr>
        <b/>
        <sz val="11"/>
        <color rgb="FF000000"/>
        <rFont val="Calibri"/>
        <family val="2"/>
      </rPr>
      <t xml:space="preserve"> </t>
    </r>
  </si>
  <si>
    <t>&lt; 55</t>
  </si>
  <si>
    <t>55-64</t>
  </si>
  <si>
    <t>75 +</t>
  </si>
  <si>
    <t>TABLE   18.6: NUMBER OF BENEFICIARIES OF OTHER PENSION SCHEMES BY AGE, 2021 - 2022</t>
  </si>
  <si>
    <t>ތާވަލު  18.6 :އެހެނިހެން ޕެންޝަން ލިބޭ މީހުންގެ އަދަދު އަދި ޢުމުރުފުރާތައް، 2021 - 2022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</si>
</sst>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??_);_(@_)"/>
    <numFmt numFmtId="165" formatCode="0.0"/>
  </numFmts>
  <fonts count="9" x14ac:knownFonts="1">
    <font>
      <sz val="11"/>
      <color rgb="FF000000"/>
      <name val="Calibri"/>
      <scheme val="minor"/>
    </font>
    <font>
      <b/>
      <sz val="11"/>
      <color rgb="FF000000"/>
      <name val="Faruma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4" xfId="0" applyFont="1" applyFill="1" applyBorder="1"/>
    <xf numFmtId="0" fontId="3" fillId="2" borderId="4" xfId="0" applyFont="1" applyFill="1" applyBorder="1" applyAlignment="1">
      <alignment vertical="center"/>
    </xf>
    <xf numFmtId="0" fontId="4" fillId="2" borderId="15" xfId="0" applyFont="1" applyFill="1" applyBorder="1" applyAlignment="1">
      <alignment horizontal="right" vertical="center"/>
    </xf>
    <xf numFmtId="0" fontId="4" fillId="2" borderId="16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right" vertical="center"/>
    </xf>
    <xf numFmtId="0" fontId="6" fillId="2" borderId="4" xfId="0" applyFont="1" applyFill="1" applyBorder="1"/>
    <xf numFmtId="0" fontId="7" fillId="2" borderId="4" xfId="0" applyFont="1" applyFill="1" applyBorder="1"/>
    <xf numFmtId="14" fontId="3" fillId="2" borderId="4" xfId="0" applyNumberFormat="1" applyFont="1" applyFill="1" applyBorder="1"/>
    <xf numFmtId="165" fontId="3" fillId="2" borderId="4" xfId="0" applyNumberFormat="1" applyFont="1" applyFill="1" applyBorder="1"/>
    <xf numFmtId="164" fontId="3" fillId="2" borderId="4" xfId="0" applyNumberFormat="1" applyFont="1" applyFill="1" applyBorder="1" applyAlignment="1">
      <alignment horizontal="right" vertical="center" wrapText="1"/>
    </xf>
    <xf numFmtId="164" fontId="3" fillId="2" borderId="17" xfId="0" applyNumberFormat="1" applyFont="1" applyFill="1" applyBorder="1" applyAlignment="1">
      <alignment horizontal="right" vertical="center"/>
    </xf>
    <xf numFmtId="164" fontId="3" fillId="2" borderId="13" xfId="0" applyNumberFormat="1" applyFont="1" applyFill="1" applyBorder="1" applyAlignment="1">
      <alignment horizontal="right" vertical="center" wrapText="1"/>
    </xf>
    <xf numFmtId="164" fontId="3" fillId="2" borderId="14" xfId="0" applyNumberFormat="1" applyFont="1" applyFill="1" applyBorder="1" applyAlignment="1">
      <alignment horizontal="right" vertical="center"/>
    </xf>
    <xf numFmtId="164" fontId="4" fillId="2" borderId="4" xfId="0" applyNumberFormat="1" applyFont="1" applyFill="1" applyBorder="1" applyAlignment="1">
      <alignment horizontal="right"/>
    </xf>
    <xf numFmtId="0" fontId="0" fillId="3" borderId="0" xfId="0" applyFill="1"/>
    <xf numFmtId="164" fontId="3" fillId="4" borderId="4" xfId="0" applyNumberFormat="1" applyFont="1" applyFill="1" applyBorder="1" applyAlignment="1">
      <alignment horizontal="right" vertical="center" wrapText="1"/>
    </xf>
    <xf numFmtId="164" fontId="3" fillId="4" borderId="13" xfId="0" applyNumberFormat="1" applyFont="1" applyFill="1" applyBorder="1" applyAlignment="1">
      <alignment horizontal="right" vertical="center" wrapText="1"/>
    </xf>
    <xf numFmtId="0" fontId="2" fillId="3" borderId="2" xfId="0" applyFont="1" applyFill="1" applyBorder="1"/>
    <xf numFmtId="0" fontId="2" fillId="3" borderId="3" xfId="0" applyFont="1" applyFill="1" applyBorder="1"/>
    <xf numFmtId="0" fontId="1" fillId="2" borderId="1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 vertical="center"/>
    </xf>
    <xf numFmtId="0" fontId="2" fillId="3" borderId="8" xfId="0" applyFont="1" applyFill="1" applyBorder="1"/>
    <xf numFmtId="0" fontId="2" fillId="3" borderId="12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9" xfId="0" applyFont="1" applyFill="1" applyBorder="1"/>
    <xf numFmtId="0" fontId="1" fillId="2" borderId="5" xfId="0" applyFont="1" applyFill="1" applyBorder="1" applyAlignment="1">
      <alignment horizontal="right" vertical="center"/>
    </xf>
    <xf numFmtId="0" fontId="2" fillId="3" borderId="10" xfId="0" applyFont="1" applyFill="1" applyBorder="1"/>
    <xf numFmtId="0" fontId="8" fillId="2" borderId="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9868772590221998"/>
          <c:y val="0.14821673468164573"/>
          <c:w val="0.44931851478093066"/>
          <c:h val="0.81731864805242904"/>
        </c:manualLayout>
      </c:layout>
      <c:doughnutChart>
        <c:varyColors val="1"/>
        <c:ser>
          <c:idx val="0"/>
          <c:order val="0"/>
          <c:spPr>
            <a:solidFill>
              <a:schemeClr val="accent5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47EA-4FD2-978C-A35F9146B315}"/>
              </c:ext>
            </c:extLst>
          </c:dPt>
          <c:dPt>
            <c:idx val="2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47EA-4FD2-978C-A35F9146B315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47EA-4FD2-978C-A35F9146B315}"/>
              </c:ext>
            </c:extLst>
          </c:dPt>
          <c:dPt>
            <c:idx val="4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4-47EA-4FD2-978C-A35F9146B315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47EA-4FD2-978C-A35F9146B315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47EA-4FD2-978C-A35F9146B315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>
                      <a:solidFill>
                        <a:schemeClr val="bg2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662714097496706"/>
                      <c:h val="0.2023406478578892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7EA-4FD2-978C-A35F9146B31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'18.6'!$I$6:$M$6</c:f>
              <c:strCache>
                <c:ptCount val="5"/>
                <c:pt idx="0">
                  <c:v>&lt; 55</c:v>
                </c:pt>
                <c:pt idx="1">
                  <c:v>55-64</c:v>
                </c:pt>
                <c:pt idx="2">
                  <c:v>65-69</c:v>
                </c:pt>
                <c:pt idx="3">
                  <c:v>70-74</c:v>
                </c:pt>
                <c:pt idx="4">
                  <c:v>75 +</c:v>
                </c:pt>
              </c:strCache>
            </c:strRef>
          </c:cat>
          <c:val>
            <c:numRef>
              <c:f>'18.6'!$I$18:$M$18</c:f>
              <c:numCache>
                <c:formatCode>_(* #,##0_);_(* \(#,##0\);_(* "-"??_);_(@_)</c:formatCode>
                <c:ptCount val="5"/>
                <c:pt idx="0">
                  <c:v>1012</c:v>
                </c:pt>
                <c:pt idx="1">
                  <c:v>2421</c:v>
                </c:pt>
                <c:pt idx="2">
                  <c:v>1220</c:v>
                </c:pt>
                <c:pt idx="3">
                  <c:v>926</c:v>
                </c:pt>
                <c:pt idx="4">
                  <c:v>1610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EA-4FD2-978C-A35F9146B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</xdr:colOff>
      <xdr:row>20</xdr:row>
      <xdr:rowOff>82550</xdr:rowOff>
    </xdr:from>
    <xdr:ext cx="7229475" cy="3038475"/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</xdr:col>
      <xdr:colOff>346075</xdr:colOff>
      <xdr:row>20</xdr:row>
      <xdr:rowOff>200025</xdr:rowOff>
    </xdr:from>
    <xdr:to>
      <xdr:col>11</xdr:col>
      <xdr:colOff>184151</xdr:colOff>
      <xdr:row>22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E215FC-2D25-9928-DD07-0FBB37748D85}"/>
            </a:ext>
          </a:extLst>
        </xdr:cNvPr>
        <xdr:cNvSpPr txBox="1"/>
      </xdr:nvSpPr>
      <xdr:spPr>
        <a:xfrm>
          <a:off x="1584325" y="4962525"/>
          <a:ext cx="5553076" cy="384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18.6: Percentage share of beneficiaries of Other pension scheme by age group, 2022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0.14361</cdr:x>
      <cdr:y>0.05016</cdr:y>
    </cdr:from>
    <cdr:to>
      <cdr:x>0.78261</cdr:x>
      <cdr:y>0.1442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6B0BDFE-79F3-A279-BE1A-77968C5D5042}"/>
            </a:ext>
          </a:extLst>
        </cdr:cNvPr>
        <cdr:cNvSpPr txBox="1"/>
      </cdr:nvSpPr>
      <cdr:spPr>
        <a:xfrm xmlns:a="http://schemas.openxmlformats.org/drawingml/2006/main">
          <a:off x="1038225" y="152400"/>
          <a:ext cx="4619625" cy="2857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Y1000"/>
  <sheetViews>
    <sheetView tabSelected="1" zoomScaleNormal="100" workbookViewId="0">
      <selection activeCell="U27" sqref="U27"/>
    </sheetView>
  </sheetViews>
  <sheetFormatPr defaultColWidth="14.42578125" defaultRowHeight="15" customHeight="1" x14ac:dyDescent="0.25"/>
  <cols>
    <col min="1" max="1" width="9" style="18" customWidth="1"/>
    <col min="2" max="13" width="9.42578125" style="18" customWidth="1"/>
    <col min="14" max="14" width="12.7109375" style="18" customWidth="1"/>
    <col min="15" max="15" width="1.7109375" style="18" customWidth="1"/>
    <col min="16" max="18" width="8" style="18" customWidth="1"/>
    <col min="19" max="19" width="26.140625" style="18" customWidth="1"/>
    <col min="20" max="23" width="8" style="18" customWidth="1"/>
    <col min="24" max="16384" width="14.42578125" style="18"/>
  </cols>
  <sheetData>
    <row r="1" spans="1:23" ht="21" customHeight="1" x14ac:dyDescent="0.55000000000000004">
      <c r="A1" s="23" t="s">
        <v>37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2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32" t="s">
        <v>36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2"/>
      <c r="O2" s="1"/>
      <c r="P2" s="1"/>
      <c r="Q2" s="1"/>
      <c r="R2" s="1"/>
      <c r="S2" s="1"/>
      <c r="T2" s="1"/>
      <c r="U2" s="1"/>
      <c r="V2" s="1"/>
      <c r="W2" s="1"/>
    </row>
    <row r="3" spans="1:23" ht="5.2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4" t="s">
        <v>3</v>
      </c>
      <c r="B4" s="34">
        <v>2021</v>
      </c>
      <c r="C4" s="27"/>
      <c r="D4" s="27"/>
      <c r="E4" s="27"/>
      <c r="F4" s="27"/>
      <c r="G4" s="28"/>
      <c r="H4" s="34">
        <v>2022</v>
      </c>
      <c r="I4" s="27"/>
      <c r="J4" s="27"/>
      <c r="K4" s="27"/>
      <c r="L4" s="27"/>
      <c r="M4" s="28"/>
      <c r="N4" s="30" t="s">
        <v>4</v>
      </c>
      <c r="O4" s="1"/>
      <c r="P4" s="1"/>
      <c r="Q4" s="1"/>
      <c r="R4" s="1"/>
      <c r="S4" s="1"/>
      <c r="T4" s="1"/>
      <c r="U4" s="1"/>
      <c r="V4" s="1"/>
      <c r="W4" s="1"/>
    </row>
    <row r="5" spans="1:23" ht="21" customHeight="1" x14ac:dyDescent="0.55000000000000004">
      <c r="A5" s="25"/>
      <c r="B5" s="33" t="s">
        <v>31</v>
      </c>
      <c r="C5" s="29"/>
      <c r="D5" s="29"/>
      <c r="E5" s="29"/>
      <c r="F5" s="29"/>
      <c r="G5" s="31"/>
      <c r="H5" s="33" t="s">
        <v>32</v>
      </c>
      <c r="I5" s="29"/>
      <c r="J5" s="29"/>
      <c r="K5" s="29"/>
      <c r="L5" s="29"/>
      <c r="M5" s="31"/>
      <c r="N5" s="25"/>
      <c r="O5" s="1"/>
      <c r="P5" s="11"/>
      <c r="Q5" s="11"/>
      <c r="R5" s="11"/>
      <c r="S5" s="11"/>
      <c r="T5" s="11"/>
      <c r="U5" s="11"/>
      <c r="V5" s="11"/>
      <c r="W5" s="1"/>
    </row>
    <row r="6" spans="1:23" ht="14.25" customHeight="1" x14ac:dyDescent="0.25">
      <c r="A6" s="26"/>
      <c r="B6" s="4" t="s">
        <v>0</v>
      </c>
      <c r="C6" s="3" t="s">
        <v>33</v>
      </c>
      <c r="D6" s="3" t="s">
        <v>34</v>
      </c>
      <c r="E6" s="3" t="s">
        <v>29</v>
      </c>
      <c r="F6" s="3" t="s">
        <v>30</v>
      </c>
      <c r="G6" s="3" t="s">
        <v>35</v>
      </c>
      <c r="H6" s="4" t="s">
        <v>0</v>
      </c>
      <c r="I6" s="3" t="s">
        <v>33</v>
      </c>
      <c r="J6" s="3" t="s">
        <v>34</v>
      </c>
      <c r="K6" s="3" t="s">
        <v>29</v>
      </c>
      <c r="L6" s="3" t="s">
        <v>30</v>
      </c>
      <c r="M6" s="3" t="s">
        <v>35</v>
      </c>
      <c r="N6" s="26"/>
      <c r="O6" s="1"/>
      <c r="P6" s="11"/>
      <c r="Q6" s="11"/>
      <c r="R6" s="11"/>
      <c r="S6" s="11"/>
      <c r="T6" s="11"/>
      <c r="U6" s="11"/>
      <c r="V6" s="11"/>
      <c r="W6" s="1"/>
    </row>
    <row r="7" spans="1:23" ht="15" customHeight="1" x14ac:dyDescent="0.25">
      <c r="A7" s="5" t="s">
        <v>5</v>
      </c>
      <c r="B7" s="14">
        <f t="shared" ref="B7:B18" si="0">SUM(C7:G7)</f>
        <v>7179</v>
      </c>
      <c r="C7" s="13">
        <v>1474</v>
      </c>
      <c r="D7" s="13">
        <v>2100</v>
      </c>
      <c r="E7" s="13">
        <v>1078</v>
      </c>
      <c r="F7" s="13">
        <v>920</v>
      </c>
      <c r="G7" s="13">
        <v>1607</v>
      </c>
      <c r="H7" s="14">
        <f t="shared" ref="H7:H18" si="1">SUM(I7:M7)</f>
        <v>7174</v>
      </c>
      <c r="I7" s="19">
        <v>1244</v>
      </c>
      <c r="J7" s="19">
        <v>2230</v>
      </c>
      <c r="K7" s="19">
        <v>1154</v>
      </c>
      <c r="L7" s="19">
        <v>919</v>
      </c>
      <c r="M7" s="19">
        <v>1627</v>
      </c>
      <c r="N7" s="6" t="s">
        <v>6</v>
      </c>
      <c r="O7" s="1"/>
      <c r="P7" s="11"/>
      <c r="Q7" s="11"/>
      <c r="R7" s="11"/>
      <c r="S7" s="11"/>
      <c r="T7" s="11"/>
      <c r="U7" s="11"/>
      <c r="V7" s="11"/>
      <c r="W7" s="1"/>
    </row>
    <row r="8" spans="1:23" ht="21" customHeight="1" x14ac:dyDescent="0.25">
      <c r="A8" s="5" t="s">
        <v>7</v>
      </c>
      <c r="B8" s="14">
        <f t="shared" si="0"/>
        <v>7167</v>
      </c>
      <c r="C8" s="13">
        <v>1452</v>
      </c>
      <c r="D8" s="13">
        <v>2111</v>
      </c>
      <c r="E8" s="13">
        <v>1098</v>
      </c>
      <c r="F8" s="13">
        <v>907</v>
      </c>
      <c r="G8" s="13">
        <v>1599</v>
      </c>
      <c r="H8" s="14">
        <f t="shared" si="1"/>
        <v>7169</v>
      </c>
      <c r="I8" s="19">
        <v>1224</v>
      </c>
      <c r="J8" s="19">
        <v>2250</v>
      </c>
      <c r="K8" s="19">
        <v>1169</v>
      </c>
      <c r="L8" s="19">
        <v>921</v>
      </c>
      <c r="M8" s="19">
        <v>1605</v>
      </c>
      <c r="N8" s="6" t="s">
        <v>8</v>
      </c>
      <c r="O8" s="1"/>
      <c r="P8" s="11"/>
      <c r="Q8" s="11"/>
      <c r="R8" s="11"/>
      <c r="S8" s="11"/>
      <c r="T8" s="11"/>
      <c r="U8" s="11"/>
      <c r="V8" s="11"/>
      <c r="W8" s="1"/>
    </row>
    <row r="9" spans="1:23" ht="21" customHeight="1" x14ac:dyDescent="0.25">
      <c r="A9" s="5" t="s">
        <v>9</v>
      </c>
      <c r="B9" s="14">
        <f t="shared" si="0"/>
        <v>7165</v>
      </c>
      <c r="C9" s="13">
        <v>1452</v>
      </c>
      <c r="D9" s="13">
        <v>2116</v>
      </c>
      <c r="E9" s="13">
        <v>1096</v>
      </c>
      <c r="F9" s="13">
        <v>913</v>
      </c>
      <c r="G9" s="13">
        <v>1588</v>
      </c>
      <c r="H9" s="14">
        <f t="shared" si="1"/>
        <v>7158</v>
      </c>
      <c r="I9" s="19">
        <v>1224</v>
      </c>
      <c r="J9" s="19">
        <v>2258</v>
      </c>
      <c r="K9" s="19">
        <v>1177</v>
      </c>
      <c r="L9" s="19">
        <v>916</v>
      </c>
      <c r="M9" s="19">
        <v>1583</v>
      </c>
      <c r="N9" s="6" t="s">
        <v>10</v>
      </c>
      <c r="O9" s="1"/>
      <c r="P9" s="11"/>
      <c r="Q9" s="11"/>
      <c r="R9" s="11"/>
      <c r="S9" s="11"/>
      <c r="T9" s="11"/>
      <c r="U9" s="11"/>
      <c r="V9" s="11"/>
      <c r="W9" s="1"/>
    </row>
    <row r="10" spans="1:23" ht="21" customHeight="1" x14ac:dyDescent="0.25">
      <c r="A10" s="5" t="s">
        <v>11</v>
      </c>
      <c r="B10" s="14">
        <f t="shared" si="0"/>
        <v>7198</v>
      </c>
      <c r="C10" s="13">
        <v>1427</v>
      </c>
      <c r="D10" s="13">
        <v>2135</v>
      </c>
      <c r="E10" s="13">
        <v>1114</v>
      </c>
      <c r="F10" s="13">
        <v>918</v>
      </c>
      <c r="G10" s="13">
        <v>1604</v>
      </c>
      <c r="H10" s="14">
        <f t="shared" si="1"/>
        <v>7185</v>
      </c>
      <c r="I10" s="19">
        <v>1181</v>
      </c>
      <c r="J10" s="19">
        <v>2293</v>
      </c>
      <c r="K10" s="19">
        <v>1183</v>
      </c>
      <c r="L10" s="19">
        <v>936</v>
      </c>
      <c r="M10" s="19">
        <v>1592</v>
      </c>
      <c r="N10" s="6" t="s">
        <v>12</v>
      </c>
      <c r="O10" s="1"/>
      <c r="P10" s="11"/>
      <c r="Q10" s="11"/>
      <c r="R10" s="11"/>
      <c r="S10" s="11"/>
      <c r="T10" s="11"/>
      <c r="U10" s="11"/>
      <c r="V10" s="11"/>
      <c r="W10" s="1"/>
    </row>
    <row r="11" spans="1:23" ht="21" customHeight="1" x14ac:dyDescent="0.25">
      <c r="A11" s="5" t="s">
        <v>13</v>
      </c>
      <c r="B11" s="14">
        <f t="shared" si="0"/>
        <v>7164</v>
      </c>
      <c r="C11" s="13">
        <v>1429</v>
      </c>
      <c r="D11" s="13">
        <v>2136</v>
      </c>
      <c r="E11" s="13">
        <v>1111</v>
      </c>
      <c r="F11" s="13">
        <v>908</v>
      </c>
      <c r="G11" s="13">
        <v>1580</v>
      </c>
      <c r="H11" s="14">
        <f t="shared" si="1"/>
        <v>7164</v>
      </c>
      <c r="I11" s="19">
        <v>1181</v>
      </c>
      <c r="J11" s="19">
        <v>2303</v>
      </c>
      <c r="K11" s="19">
        <v>1188</v>
      </c>
      <c r="L11" s="19">
        <v>921</v>
      </c>
      <c r="M11" s="19">
        <v>1571</v>
      </c>
      <c r="N11" s="6" t="s">
        <v>14</v>
      </c>
      <c r="O11" s="1"/>
      <c r="P11" s="11"/>
      <c r="Q11" s="11"/>
      <c r="R11" s="11"/>
      <c r="S11" s="11"/>
      <c r="T11" s="11"/>
      <c r="U11" s="11"/>
      <c r="V11" s="11"/>
      <c r="W11" s="1"/>
    </row>
    <row r="12" spans="1:23" ht="21" customHeight="1" x14ac:dyDescent="0.25">
      <c r="A12" s="5" t="s">
        <v>15</v>
      </c>
      <c r="B12" s="14">
        <f t="shared" si="0"/>
        <v>7143</v>
      </c>
      <c r="C12" s="13">
        <v>1393</v>
      </c>
      <c r="D12" s="13">
        <v>2152</v>
      </c>
      <c r="E12" s="13">
        <v>1123</v>
      </c>
      <c r="F12" s="13">
        <v>899</v>
      </c>
      <c r="G12" s="13">
        <v>1576</v>
      </c>
      <c r="H12" s="14">
        <f t="shared" si="1"/>
        <v>7165</v>
      </c>
      <c r="I12" s="19">
        <v>1133</v>
      </c>
      <c r="J12" s="19">
        <v>2340</v>
      </c>
      <c r="K12" s="19">
        <v>1190</v>
      </c>
      <c r="L12" s="19">
        <v>925</v>
      </c>
      <c r="M12" s="19">
        <v>1577</v>
      </c>
      <c r="N12" s="6" t="s">
        <v>16</v>
      </c>
      <c r="O12" s="1"/>
      <c r="P12" s="11"/>
      <c r="Q12" s="11"/>
      <c r="R12" s="11"/>
      <c r="S12" s="11"/>
      <c r="T12" s="11"/>
      <c r="U12" s="11"/>
      <c r="V12" s="11"/>
      <c r="W12" s="1"/>
    </row>
    <row r="13" spans="1:23" ht="21" customHeight="1" x14ac:dyDescent="0.25">
      <c r="A13" s="5" t="s">
        <v>17</v>
      </c>
      <c r="B13" s="14">
        <f t="shared" si="0"/>
        <v>7168</v>
      </c>
      <c r="C13" s="13">
        <v>1392</v>
      </c>
      <c r="D13" s="13">
        <v>2160</v>
      </c>
      <c r="E13" s="13">
        <v>1128</v>
      </c>
      <c r="F13" s="13">
        <v>912</v>
      </c>
      <c r="G13" s="13">
        <v>1576</v>
      </c>
      <c r="H13" s="14">
        <f t="shared" si="1"/>
        <v>7200</v>
      </c>
      <c r="I13" s="19">
        <v>1136</v>
      </c>
      <c r="J13" s="19">
        <v>2347</v>
      </c>
      <c r="K13" s="19">
        <v>1204</v>
      </c>
      <c r="L13" s="19">
        <v>937</v>
      </c>
      <c r="M13" s="19">
        <v>1576</v>
      </c>
      <c r="N13" s="6" t="s">
        <v>18</v>
      </c>
      <c r="O13" s="1"/>
      <c r="P13" s="11"/>
      <c r="Q13" s="11"/>
      <c r="R13" s="11"/>
      <c r="S13" s="11"/>
      <c r="T13" s="11"/>
      <c r="U13" s="11"/>
      <c r="V13" s="11"/>
      <c r="W13" s="1"/>
    </row>
    <row r="14" spans="1:23" ht="21" customHeight="1" x14ac:dyDescent="0.25">
      <c r="A14" s="5" t="s">
        <v>19</v>
      </c>
      <c r="B14" s="14">
        <f t="shared" si="0"/>
        <v>7139</v>
      </c>
      <c r="C14" s="13">
        <v>1361</v>
      </c>
      <c r="D14" s="13">
        <v>2193</v>
      </c>
      <c r="E14" s="13">
        <v>1070</v>
      </c>
      <c r="F14" s="13">
        <v>957</v>
      </c>
      <c r="G14" s="13">
        <v>1558</v>
      </c>
      <c r="H14" s="14">
        <f t="shared" si="1"/>
        <v>7176</v>
      </c>
      <c r="I14" s="19">
        <v>1118</v>
      </c>
      <c r="J14" s="19">
        <v>2357</v>
      </c>
      <c r="K14" s="19">
        <v>1213</v>
      </c>
      <c r="L14" s="19">
        <v>927</v>
      </c>
      <c r="M14" s="19">
        <v>1561</v>
      </c>
      <c r="N14" s="6" t="s">
        <v>20</v>
      </c>
      <c r="O14" s="1"/>
      <c r="P14" s="11"/>
      <c r="Q14" s="11"/>
      <c r="R14" s="11"/>
      <c r="S14" s="11"/>
      <c r="T14" s="11"/>
      <c r="U14" s="11"/>
      <c r="V14" s="11"/>
      <c r="W14" s="1"/>
    </row>
    <row r="15" spans="1:23" ht="21" customHeight="1" x14ac:dyDescent="0.25">
      <c r="A15" s="5" t="s">
        <v>21</v>
      </c>
      <c r="B15" s="14">
        <f t="shared" si="0"/>
        <v>7137</v>
      </c>
      <c r="C15" s="13">
        <v>1320</v>
      </c>
      <c r="D15" s="13">
        <v>2180</v>
      </c>
      <c r="E15" s="13">
        <v>1117</v>
      </c>
      <c r="F15" s="13">
        <v>900</v>
      </c>
      <c r="G15" s="13">
        <v>1620</v>
      </c>
      <c r="H15" s="14">
        <f t="shared" si="1"/>
        <v>7165</v>
      </c>
      <c r="I15" s="19">
        <v>1071</v>
      </c>
      <c r="J15" s="19">
        <v>2364</v>
      </c>
      <c r="K15" s="19">
        <v>1186</v>
      </c>
      <c r="L15" s="19">
        <v>929</v>
      </c>
      <c r="M15" s="19">
        <v>1615</v>
      </c>
      <c r="N15" s="6" t="s">
        <v>22</v>
      </c>
      <c r="O15" s="1"/>
      <c r="P15" s="11"/>
      <c r="Q15" s="11"/>
      <c r="R15" s="11"/>
      <c r="S15" s="11"/>
      <c r="T15" s="11"/>
      <c r="U15" s="11"/>
      <c r="V15" s="11"/>
      <c r="W15" s="1"/>
    </row>
    <row r="16" spans="1:23" ht="21" customHeight="1" x14ac:dyDescent="0.25">
      <c r="A16" s="5" t="s">
        <v>23</v>
      </c>
      <c r="B16" s="14">
        <f t="shared" si="0"/>
        <v>7156</v>
      </c>
      <c r="C16" s="13">
        <v>1297</v>
      </c>
      <c r="D16" s="13">
        <v>2192</v>
      </c>
      <c r="E16" s="13">
        <v>1123</v>
      </c>
      <c r="F16" s="13">
        <v>916</v>
      </c>
      <c r="G16" s="13">
        <v>1628</v>
      </c>
      <c r="H16" s="14">
        <f t="shared" si="1"/>
        <v>7143</v>
      </c>
      <c r="I16" s="19">
        <v>1054</v>
      </c>
      <c r="J16" s="19">
        <v>2355</v>
      </c>
      <c r="K16" s="19">
        <v>1205</v>
      </c>
      <c r="L16" s="19">
        <v>935</v>
      </c>
      <c r="M16" s="19">
        <v>1594</v>
      </c>
      <c r="N16" s="6" t="s">
        <v>24</v>
      </c>
      <c r="O16" s="1"/>
      <c r="P16" s="11"/>
      <c r="Q16" s="11"/>
      <c r="R16" s="11"/>
      <c r="S16" s="11"/>
      <c r="T16" s="11"/>
      <c r="U16" s="11"/>
      <c r="V16" s="11"/>
      <c r="W16" s="1"/>
    </row>
    <row r="17" spans="1:23" ht="21" customHeight="1" x14ac:dyDescent="0.25">
      <c r="A17" s="5" t="s">
        <v>25</v>
      </c>
      <c r="B17" s="14">
        <f t="shared" si="0"/>
        <v>7138</v>
      </c>
      <c r="C17" s="13">
        <v>1281</v>
      </c>
      <c r="D17" s="13">
        <v>2206</v>
      </c>
      <c r="E17" s="13">
        <v>1131</v>
      </c>
      <c r="F17" s="13">
        <v>911</v>
      </c>
      <c r="G17" s="13">
        <v>1609</v>
      </c>
      <c r="H17" s="14">
        <f t="shared" si="1"/>
        <v>7182</v>
      </c>
      <c r="I17" s="19">
        <v>1035</v>
      </c>
      <c r="J17" s="19">
        <v>2392</v>
      </c>
      <c r="K17" s="19">
        <v>1213</v>
      </c>
      <c r="L17" s="19">
        <v>928</v>
      </c>
      <c r="M17" s="19">
        <v>1614</v>
      </c>
      <c r="N17" s="6" t="s">
        <v>26</v>
      </c>
      <c r="O17" s="1"/>
      <c r="P17" s="11"/>
      <c r="Q17" s="11"/>
      <c r="R17" s="11"/>
      <c r="S17" s="11"/>
      <c r="T17" s="11"/>
      <c r="U17" s="11"/>
      <c r="V17" s="11"/>
      <c r="W17" s="1"/>
    </row>
    <row r="18" spans="1:23" ht="21" customHeight="1" x14ac:dyDescent="0.25">
      <c r="A18" s="7" t="s">
        <v>27</v>
      </c>
      <c r="B18" s="16">
        <f t="shared" si="0"/>
        <v>7148</v>
      </c>
      <c r="C18" s="15">
        <v>1264</v>
      </c>
      <c r="D18" s="15">
        <v>2223</v>
      </c>
      <c r="E18" s="15">
        <v>1139</v>
      </c>
      <c r="F18" s="15">
        <v>906</v>
      </c>
      <c r="G18" s="15">
        <v>1616</v>
      </c>
      <c r="H18" s="16">
        <f t="shared" si="1"/>
        <v>7189</v>
      </c>
      <c r="I18" s="20">
        <v>1012</v>
      </c>
      <c r="J18" s="20">
        <v>2421</v>
      </c>
      <c r="K18" s="20">
        <v>1220</v>
      </c>
      <c r="L18" s="20">
        <v>926</v>
      </c>
      <c r="M18" s="20">
        <v>1610</v>
      </c>
      <c r="N18" s="8" t="s">
        <v>28</v>
      </c>
      <c r="O18" s="1"/>
      <c r="P18" s="11"/>
      <c r="Q18" s="11"/>
      <c r="R18" s="11"/>
      <c r="S18" s="11"/>
      <c r="T18" s="11"/>
      <c r="U18" s="11"/>
      <c r="V18" s="11"/>
      <c r="W18" s="1"/>
    </row>
    <row r="19" spans="1:23" ht="19.5" customHeight="1" x14ac:dyDescent="0.45">
      <c r="A19" s="9" t="s">
        <v>1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0" t="s">
        <v>2</v>
      </c>
      <c r="O19" s="1"/>
      <c r="P19" s="11"/>
      <c r="Q19" s="11"/>
      <c r="R19" s="11"/>
      <c r="S19" s="11"/>
      <c r="T19" s="11"/>
      <c r="U19" s="11"/>
      <c r="V19" s="11"/>
      <c r="W19" s="1"/>
    </row>
    <row r="20" spans="1:23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1"/>
      <c r="Q20" s="11"/>
      <c r="R20" s="11"/>
      <c r="S20" s="11"/>
      <c r="T20" s="11"/>
      <c r="U20" s="11"/>
      <c r="V20" s="11"/>
      <c r="W20" s="1"/>
    </row>
    <row r="21" spans="1:23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5.75" customHeight="1" x14ac:dyDescent="0.25">
      <c r="A23" s="1"/>
      <c r="B23" s="1"/>
      <c r="C23" s="12"/>
      <c r="D23" s="12"/>
      <c r="E23" s="12"/>
      <c r="F23" s="12"/>
      <c r="G23" s="12"/>
      <c r="H23" s="1"/>
      <c r="I23" s="12"/>
      <c r="J23" s="12"/>
      <c r="K23" s="12"/>
      <c r="L23" s="12"/>
      <c r="M23" s="12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30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5.75" customHeight="1" x14ac:dyDescent="0.25">
      <c r="A31" s="1"/>
      <c r="B31" s="1"/>
      <c r="C31" s="17"/>
      <c r="D31" s="1"/>
      <c r="E31" s="1"/>
      <c r="F31" s="1"/>
      <c r="G31" s="1"/>
      <c r="H31" s="1"/>
      <c r="I31" s="17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25.5" customHeight="1" x14ac:dyDescent="0.25">
      <c r="A32" s="2"/>
      <c r="B32" s="2"/>
      <c r="C32" s="2"/>
      <c r="D32" s="2"/>
      <c r="E32" s="2"/>
      <c r="F32" s="1"/>
      <c r="G32" s="1"/>
      <c r="H32" s="2"/>
      <c r="I32" s="2"/>
      <c r="J32" s="2"/>
      <c r="K32" s="2"/>
      <c r="L32" s="1"/>
      <c r="M32" s="1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25.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25.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</sheetData>
  <mergeCells count="8">
    <mergeCell ref="A1:N1"/>
    <mergeCell ref="A2:N2"/>
    <mergeCell ref="A4:A6"/>
    <mergeCell ref="N4:N6"/>
    <mergeCell ref="H5:M5"/>
    <mergeCell ref="H4:M4"/>
    <mergeCell ref="B5:G5"/>
    <mergeCell ref="B4:G4"/>
  </mergeCells>
  <pageMargins left="0.7" right="0.7" top="0.75" bottom="0.75" header="0" footer="0"/>
  <pageSetup paperSize="9" scale="75" orientation="landscape" r:id="rId1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18.6</vt:lpstr>
      <vt:lpstr>'18.6'!Print_Area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2023-07-02T08:50:50Z</cp:lastPrinted>
  <dcterms:modified xsi:type="dcterms:W3CDTF">2023-07-02T08:51:00Z</dcterms:modified>
</cp:coreProperties>
</file>