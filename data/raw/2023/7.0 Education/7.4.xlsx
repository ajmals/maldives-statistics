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C0EA3D85-765A-400F-8D70-0D69B6E609DB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4" sheetId="37" r:id="rId1"/>
  </sheets>
  <definedNames>
    <definedName name="_xlnm.Print_Area" localSheetId="0">'7.4'!$A$1:$T$20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7" l="1"/>
  <c r="C11" i="37"/>
  <c r="C13" i="37"/>
  <c r="C14" i="37"/>
  <c r="C16" i="37"/>
  <c r="C1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D8" i="37"/>
  <c r="E8" i="37"/>
  <c r="F8" i="37"/>
  <c r="G8" i="37"/>
  <c r="H8" i="37"/>
  <c r="C8" i="37" s="1"/>
  <c r="I8" i="37"/>
  <c r="J8" i="37"/>
  <c r="K8" i="37"/>
  <c r="L8" i="37"/>
  <c r="M8" i="37"/>
  <c r="N8" i="37"/>
  <c r="O8" i="37"/>
  <c r="P8" i="37"/>
  <c r="Q8" i="37"/>
  <c r="R8" i="37"/>
  <c r="S8" i="37"/>
  <c r="H6" i="37"/>
  <c r="S9" i="37"/>
  <c r="S6" i="37" s="1"/>
  <c r="R9" i="37"/>
  <c r="R6" i="37" s="1"/>
  <c r="Q9" i="37"/>
  <c r="Q6" i="37" s="1"/>
  <c r="P9" i="37"/>
  <c r="O9" i="37"/>
  <c r="N9" i="37"/>
  <c r="M9" i="37"/>
  <c r="M6" i="37" s="1"/>
  <c r="L9" i="37"/>
  <c r="K9" i="37"/>
  <c r="J9" i="37"/>
  <c r="J6" i="37" s="1"/>
  <c r="I9" i="37"/>
  <c r="H9" i="37"/>
  <c r="G9" i="37"/>
  <c r="G6" i="37" s="1"/>
  <c r="F9" i="37"/>
  <c r="F6" i="37" s="1"/>
  <c r="E9" i="37"/>
  <c r="E6" i="37" s="1"/>
  <c r="D9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 s="1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D15" i="37"/>
  <c r="C9" i="37" l="1"/>
  <c r="P6" i="37"/>
  <c r="K6" i="37"/>
  <c r="C15" i="37"/>
  <c r="L6" i="37"/>
  <c r="I6" i="37"/>
  <c r="C7" i="37"/>
  <c r="D6" i="37"/>
  <c r="N6" i="37"/>
  <c r="O6" i="37"/>
  <c r="C6" i="37"/>
</calcChain>
</file>

<file path=xl/sharedStrings.xml><?xml version="1.0" encoding="utf-8"?>
<sst xmlns="http://schemas.openxmlformats.org/spreadsheetml/2006/main" count="37" uniqueCount="27">
  <si>
    <t>Total</t>
  </si>
  <si>
    <t>Government</t>
  </si>
  <si>
    <t>Private</t>
  </si>
  <si>
    <t>Community</t>
  </si>
  <si>
    <t>N</t>
  </si>
  <si>
    <t>Source: Ministry of Education</t>
  </si>
  <si>
    <t>cnwxEkuaiDea cfoa IrcTcsinim :ctWrwf ivcaed utWmUluAwm</t>
  </si>
  <si>
    <t>Male</t>
  </si>
  <si>
    <t>Female</t>
  </si>
  <si>
    <t xml:space="preserve">Total </t>
  </si>
  <si>
    <t>LKG</t>
  </si>
  <si>
    <t>UKG</t>
  </si>
  <si>
    <t>Number of students by Grade, sector and Gender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</si>
  <si>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</si>
  <si>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</si>
  <si>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</si>
  <si>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</si>
  <si>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</si>
  <si>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</si>
  <si>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</si>
  <si>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</si>
  <si>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</si>
  <si>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</si>
  <si>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</si>
  <si>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</si>
  <si>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</si>
  <si>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TABLE7.4: NUMBER OF STUDENTS BY GRADE, SECTOR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</si>
</sst>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70" formatCode="#,##0.0_);[Red]\(#,##0.0\)"/>
    <numFmt numFmtId="171" formatCode="_(\ ###0_);_(\ \(###0\);_(\ &quot;&quot;_);_(@_)"/>
    <numFmt numFmtId="174" formatCode="_-* #,##0.00\ &quot;ރ.&quot;_-;_-* #,##0.00\ &quot;ރ.&quot;\-;_-* &quot;-&quot;??\ &quot;ރ.&quot;_-;_-@_-"/>
    <numFmt numFmtId="175" formatCode="&quot;Rf&quot;#,##0;\-&quot;Rf&quot;#,##0"/>
    <numFmt numFmtId="176" formatCode="0.0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9"/>
      <color theme="1"/>
      <name val="Arial"/>
      <family val="2"/>
    </font>
    <font>
      <i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A_Faseyha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4"/>
      <color theme="1"/>
      <name val="Times New Roman"/>
      <family val="1"/>
    </font>
    <font>
      <sz val="11"/>
      <color rgb="FFFFFFFF"/>
      <name val="Trebuchet MS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FFF2C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0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2" fillId="0" borderId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3" fillId="0" borderId="0"/>
    <xf numFmtId="176" fontId="18" fillId="0" borderId="0"/>
    <xf numFmtId="174" fontId="3" fillId="0" borderId="0"/>
    <xf numFmtId="0" fontId="10" fillId="0" borderId="0"/>
    <xf numFmtId="0" fontId="10" fillId="0" borderId="0"/>
    <xf numFmtId="174" fontId="3" fillId="0" borderId="0"/>
    <xf numFmtId="0" fontId="10" fillId="0" borderId="0"/>
    <xf numFmtId="0" fontId="10" fillId="0" borderId="0"/>
    <xf numFmtId="174" fontId="3" fillId="0" borderId="0"/>
    <xf numFmtId="174" fontId="3" fillId="0" borderId="0"/>
    <xf numFmtId="175" fontId="3" fillId="0" borderId="0"/>
    <xf numFmtId="175" fontId="3" fillId="0" borderId="0"/>
    <xf numFmtId="164" fontId="3" fillId="0" borderId="0"/>
    <xf numFmtId="40" fontId="10" fillId="0" borderId="0" applyFont="0" applyFill="0" applyBorder="0" applyAlignment="0" applyProtection="0"/>
    <xf numFmtId="174" fontId="3" fillId="0" borderId="0"/>
    <xf numFmtId="175" fontId="3" fillId="0" borderId="0"/>
    <xf numFmtId="175" fontId="3" fillId="0" borderId="0"/>
    <xf numFmtId="164" fontId="3" fillId="0" borderId="0"/>
  </cellStyleXfs>
  <cellXfs count="43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0" fontId="0" fillId="2" borderId="0" xfId="0" applyFill="1"/>
    <xf numFmtId="164" fontId="11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167" fontId="6" fillId="10" borderId="0" xfId="1" applyNumberFormat="1" applyFont="1" applyFill="1" applyBorder="1" applyAlignment="1">
      <alignment horizontal="center"/>
    </xf>
    <xf numFmtId="167" fontId="6" fillId="9" borderId="0" xfId="1" applyNumberFormat="1" applyFont="1" applyFill="1" applyBorder="1" applyAlignment="1">
      <alignment horizontal="center"/>
    </xf>
    <xf numFmtId="167" fontId="6" fillId="7" borderId="0" xfId="1" applyNumberFormat="1" applyFont="1" applyFill="1" applyBorder="1" applyAlignment="1">
      <alignment horizontal="center"/>
    </xf>
    <xf numFmtId="167" fontId="6" fillId="8" borderId="0" xfId="1" applyNumberFormat="1" applyFont="1" applyFill="1" applyBorder="1" applyAlignment="1">
      <alignment horizontal="center"/>
    </xf>
    <xf numFmtId="167" fontId="6" fillId="10" borderId="1" xfId="1" applyNumberFormat="1" applyFont="1" applyFill="1" applyBorder="1" applyAlignment="1">
      <alignment horizontal="center"/>
    </xf>
    <xf numFmtId="167" fontId="6" fillId="9" borderId="1" xfId="1" applyNumberFormat="1" applyFont="1" applyFill="1" applyBorder="1" applyAlignment="1">
      <alignment horizontal="center"/>
    </xf>
    <xf numFmtId="0" fontId="7" fillId="6" borderId="5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right" vertical="center"/>
    </xf>
    <xf numFmtId="167" fontId="8" fillId="10" borderId="0" xfId="1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 indent="2"/>
    </xf>
    <xf numFmtId="0" fontId="4" fillId="10" borderId="0" xfId="0" applyFont="1" applyFill="1" applyAlignment="1">
      <alignment horizontal="left" vertical="center" indent="2"/>
    </xf>
    <xf numFmtId="0" fontId="4" fillId="10" borderId="1" xfId="0" applyFont="1" applyFill="1" applyBorder="1" applyAlignment="1">
      <alignment horizontal="left" vertical="center" indent="2"/>
    </xf>
    <xf numFmtId="0" fontId="4" fillId="10" borderId="2" xfId="0" applyFont="1" applyFill="1" applyBorder="1" applyAlignment="1">
      <alignment horizontal="left" vertical="center" indent="2"/>
    </xf>
    <xf numFmtId="167" fontId="8" fillId="10" borderId="2" xfId="1" applyNumberFormat="1" applyFont="1" applyFill="1" applyBorder="1" applyAlignment="1">
      <alignment horizontal="right" vertical="center"/>
    </xf>
    <xf numFmtId="0" fontId="4" fillId="10" borderId="4" xfId="0" applyFont="1" applyFill="1" applyBorder="1" applyAlignment="1">
      <alignment horizontal="left" vertical="center" indent="2"/>
    </xf>
    <xf numFmtId="167" fontId="8" fillId="10" borderId="4" xfId="1" applyNumberFormat="1" applyFont="1" applyFill="1" applyBorder="1" applyAlignment="1">
      <alignment horizontal="right" vertical="center"/>
    </xf>
    <xf numFmtId="167" fontId="6" fillId="10" borderId="4" xfId="1" applyNumberFormat="1" applyFont="1" applyFill="1" applyBorder="1" applyAlignment="1">
      <alignment horizontal="center"/>
    </xf>
    <xf numFmtId="167" fontId="6" fillId="7" borderId="4" xfId="1" applyNumberFormat="1" applyFont="1" applyFill="1" applyBorder="1" applyAlignment="1">
      <alignment horizontal="center"/>
    </xf>
    <xf numFmtId="167" fontId="6" fillId="8" borderId="4" xfId="1" applyNumberFormat="1" applyFont="1" applyFill="1" applyBorder="1" applyAlignment="1">
      <alignment horizontal="center"/>
    </xf>
    <xf numFmtId="0" fontId="7" fillId="10" borderId="3" xfId="0" applyFont="1" applyFill="1" applyBorder="1" applyAlignment="1">
      <alignment horizontal="left" vertical="center" indent="2"/>
    </xf>
    <xf numFmtId="167" fontId="8" fillId="10" borderId="3" xfId="1" applyNumberFormat="1" applyFont="1" applyFill="1" applyBorder="1" applyAlignment="1">
      <alignment horizontal="center"/>
    </xf>
    <xf numFmtId="167" fontId="8" fillId="9" borderId="3" xfId="1" applyNumberFormat="1" applyFont="1" applyFill="1" applyBorder="1" applyAlignment="1">
      <alignment horizontal="center"/>
    </xf>
    <xf numFmtId="0" fontId="7" fillId="10" borderId="0" xfId="0" applyFont="1" applyFill="1" applyAlignment="1">
      <alignment horizontal="left" vertical="center" indent="2"/>
    </xf>
    <xf numFmtId="167" fontId="8" fillId="10" borderId="0" xfId="1" applyNumberFormat="1" applyFont="1" applyFill="1" applyBorder="1" applyAlignment="1">
      <alignment horizontal="center"/>
    </xf>
    <xf numFmtId="167" fontId="8" fillId="9" borderId="0" xfId="1" applyNumberFormat="1" applyFont="1" applyFill="1" applyBorder="1" applyAlignment="1">
      <alignment horizontal="center"/>
    </xf>
    <xf numFmtId="171" fontId="14" fillId="2" borderId="0" xfId="0" applyNumberFormat="1" applyFont="1" applyFill="1" applyAlignment="1">
      <alignment horizontal="center"/>
    </xf>
    <xf numFmtId="0" fontId="6" fillId="9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1" xfId="0" applyFont="1" applyFill="1" applyBorder="1"/>
    <xf numFmtId="0" fontId="15" fillId="3" borderId="0" xfId="0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2" fillId="2" borderId="4" xfId="0" applyFont="1" applyFill="1" applyBorder="1"/>
    <xf numFmtId="0" fontId="6" fillId="7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left" vertical="center"/>
    </xf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D9AB-6A97-4C80-A194-5469B5D03ABE}">
  <sheetPr>
    <tabColor theme="4" tint="-0.249977111117893"/>
  </sheetPr>
  <dimension ref="A1:V71"/>
  <sheetViews>
    <sheetView tabSelected="1" zoomScaleNormal="100" workbookViewId="0">
      <selection activeCell="P40" sqref="P40:P41"/>
    </sheetView>
  </sheetViews>
  <sheetFormatPr defaultColWidth="14.42578125" defaultRowHeight="15" x14ac:dyDescent="0.25"/>
  <cols>
    <col min="1" max="1" width="16" style="2" customWidth="1"/>
    <col min="2" max="2" width="13.7109375" style="2" customWidth="1"/>
    <col min="3" max="18" width="10" style="2" customWidth="1"/>
    <col min="19" max="19" width="10.140625" style="2" customWidth="1"/>
    <col min="20" max="20" width="7.28515625" style="2" customWidth="1"/>
    <col min="21" max="16384" width="14.42578125" style="2"/>
  </cols>
  <sheetData>
    <row r="1" spans="1:22" x14ac:dyDescent="0.25">
      <c r="A1" s="5"/>
      <c r="V1" s="4"/>
    </row>
    <row r="2" spans="1:22" ht="18.75" x14ac:dyDescent="0.3">
      <c r="A2" s="34" t="s">
        <v>26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V2" s="4"/>
    </row>
    <row r="3" spans="1:22" x14ac:dyDescent="0.25">
      <c r="A3" s="5"/>
      <c r="B3" s="5"/>
    </row>
    <row r="4" spans="1:22" ht="16.5" x14ac:dyDescent="0.25">
      <c r="A4" s="5"/>
      <c r="B4" s="5"/>
      <c r="C4" s="38" t="s">
        <v>12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1:22" x14ac:dyDescent="0.25">
      <c r="A5" s="8"/>
      <c r="B5" s="18"/>
      <c r="C5" s="15" t="s">
        <v>0</v>
      </c>
      <c r="D5" s="16" t="s">
        <v>13</v>
      </c>
      <c r="E5" s="16" t="s">
        <v>4</v>
      </c>
      <c r="F5" s="16" t="s">
        <v>10</v>
      </c>
      <c r="G5" s="16" t="s">
        <v>11</v>
      </c>
      <c r="H5" s="16" t="s">
        <v>14</v>
      </c>
      <c r="I5" s="16" t="s">
        <v>15</v>
      </c>
      <c r="J5" s="16" t="s">
        <v>16</v>
      </c>
      <c r="K5" s="16" t="s">
        <v>17</v>
      </c>
      <c r="L5" s="16" t="s">
        <v>18</v>
      </c>
      <c r="M5" s="16" t="s">
        <v>19</v>
      </c>
      <c r="N5" s="16" t="s">
        <v>20</v>
      </c>
      <c r="O5" s="16" t="s">
        <v>21</v>
      </c>
      <c r="P5" s="16" t="s">
        <v>22</v>
      </c>
      <c r="Q5" s="16" t="s">
        <v>23</v>
      </c>
      <c r="R5" s="16" t="s">
        <v>24</v>
      </c>
      <c r="S5" s="16" t="s">
        <v>25</v>
      </c>
    </row>
    <row r="6" spans="1:22" x14ac:dyDescent="0.25">
      <c r="A6" s="39" t="s">
        <v>0</v>
      </c>
      <c r="B6" s="21" t="s">
        <v>9</v>
      </c>
      <c r="C6" s="22">
        <f>SUM(D6:S6)</f>
        <v>94192</v>
      </c>
      <c r="D6" s="22">
        <f>D9+D12+D15</f>
        <v>1886</v>
      </c>
      <c r="E6" s="22">
        <f t="shared" ref="E6:S6" si="0">E9+E12+E15</f>
        <v>2809</v>
      </c>
      <c r="F6" s="22">
        <f t="shared" si="0"/>
        <v>7080</v>
      </c>
      <c r="G6" s="22">
        <f t="shared" si="0"/>
        <v>8815</v>
      </c>
      <c r="H6" s="22">
        <f t="shared" si="0"/>
        <v>7261</v>
      </c>
      <c r="I6" s="22">
        <f t="shared" si="0"/>
        <v>7257</v>
      </c>
      <c r="J6" s="22">
        <f t="shared" si="0"/>
        <v>7561</v>
      </c>
      <c r="K6" s="22">
        <f t="shared" si="0"/>
        <v>7666</v>
      </c>
      <c r="L6" s="22">
        <f t="shared" si="0"/>
        <v>7359</v>
      </c>
      <c r="M6" s="22">
        <f t="shared" si="0"/>
        <v>7443</v>
      </c>
      <c r="N6" s="22">
        <f t="shared" si="0"/>
        <v>7210</v>
      </c>
      <c r="O6" s="22">
        <f t="shared" si="0"/>
        <v>6752</v>
      </c>
      <c r="P6" s="22">
        <f t="shared" si="0"/>
        <v>6035</v>
      </c>
      <c r="Q6" s="22">
        <f t="shared" si="0"/>
        <v>5647</v>
      </c>
      <c r="R6" s="22">
        <f t="shared" si="0"/>
        <v>1686</v>
      </c>
      <c r="S6" s="22">
        <f t="shared" si="0"/>
        <v>1725</v>
      </c>
    </row>
    <row r="7" spans="1:22" x14ac:dyDescent="0.25">
      <c r="A7" s="36"/>
      <c r="B7" s="19" t="s">
        <v>7</v>
      </c>
      <c r="C7" s="17">
        <f t="shared" ref="C7:C17" si="1">SUM(D7:S7)</f>
        <v>48171</v>
      </c>
      <c r="D7" s="17">
        <f t="shared" ref="D7:S7" si="2">D10+D13+D16</f>
        <v>969</v>
      </c>
      <c r="E7" s="17">
        <f t="shared" si="2"/>
        <v>1471</v>
      </c>
      <c r="F7" s="17">
        <f t="shared" si="2"/>
        <v>3558</v>
      </c>
      <c r="G7" s="17">
        <f t="shared" si="2"/>
        <v>4455</v>
      </c>
      <c r="H7" s="17">
        <f t="shared" si="2"/>
        <v>3707</v>
      </c>
      <c r="I7" s="17">
        <f t="shared" si="2"/>
        <v>3780</v>
      </c>
      <c r="J7" s="17">
        <f t="shared" si="2"/>
        <v>3970</v>
      </c>
      <c r="K7" s="17">
        <f t="shared" si="2"/>
        <v>4063</v>
      </c>
      <c r="L7" s="17">
        <f t="shared" si="2"/>
        <v>3828</v>
      </c>
      <c r="M7" s="17">
        <f t="shared" si="2"/>
        <v>3779</v>
      </c>
      <c r="N7" s="17">
        <f t="shared" si="2"/>
        <v>3684</v>
      </c>
      <c r="O7" s="17">
        <f t="shared" si="2"/>
        <v>3507</v>
      </c>
      <c r="P7" s="17">
        <f t="shared" si="2"/>
        <v>3073</v>
      </c>
      <c r="Q7" s="17">
        <f t="shared" si="2"/>
        <v>2848</v>
      </c>
      <c r="R7" s="17">
        <f t="shared" si="2"/>
        <v>741</v>
      </c>
      <c r="S7" s="17">
        <f t="shared" si="2"/>
        <v>738</v>
      </c>
    </row>
    <row r="8" spans="1:22" x14ac:dyDescent="0.25">
      <c r="A8" s="40"/>
      <c r="B8" s="23" t="s">
        <v>8</v>
      </c>
      <c r="C8" s="24">
        <f t="shared" si="1"/>
        <v>46021</v>
      </c>
      <c r="D8" s="24">
        <f t="shared" ref="D8:S8" si="3">D11+D14+D17</f>
        <v>917</v>
      </c>
      <c r="E8" s="24">
        <f t="shared" si="3"/>
        <v>1338</v>
      </c>
      <c r="F8" s="24">
        <f t="shared" si="3"/>
        <v>3522</v>
      </c>
      <c r="G8" s="24">
        <f t="shared" si="3"/>
        <v>4360</v>
      </c>
      <c r="H8" s="24">
        <f t="shared" si="3"/>
        <v>3554</v>
      </c>
      <c r="I8" s="24">
        <f t="shared" si="3"/>
        <v>3477</v>
      </c>
      <c r="J8" s="24">
        <f t="shared" si="3"/>
        <v>3591</v>
      </c>
      <c r="K8" s="24">
        <f t="shared" si="3"/>
        <v>3603</v>
      </c>
      <c r="L8" s="24">
        <f t="shared" si="3"/>
        <v>3531</v>
      </c>
      <c r="M8" s="24">
        <f t="shared" si="3"/>
        <v>3664</v>
      </c>
      <c r="N8" s="24">
        <f t="shared" si="3"/>
        <v>3526</v>
      </c>
      <c r="O8" s="24">
        <f t="shared" si="3"/>
        <v>3245</v>
      </c>
      <c r="P8" s="24">
        <f t="shared" si="3"/>
        <v>2962</v>
      </c>
      <c r="Q8" s="24">
        <f t="shared" si="3"/>
        <v>2799</v>
      </c>
      <c r="R8" s="24">
        <f t="shared" si="3"/>
        <v>945</v>
      </c>
      <c r="S8" s="24">
        <f t="shared" si="3"/>
        <v>987</v>
      </c>
    </row>
    <row r="9" spans="1:22" x14ac:dyDescent="0.25">
      <c r="A9" s="41" t="s">
        <v>1</v>
      </c>
      <c r="B9" s="28" t="s">
        <v>9</v>
      </c>
      <c r="C9" s="29">
        <f t="shared" si="1"/>
        <v>78981</v>
      </c>
      <c r="D9" s="30">
        <f>SUM(D10:D11)</f>
        <v>57</v>
      </c>
      <c r="E9" s="30">
        <f t="shared" ref="E9" si="4">SUM(E10:E11)</f>
        <v>70</v>
      </c>
      <c r="F9" s="30">
        <f t="shared" ref="F9" si="5">SUM(F10:F11)</f>
        <v>4947</v>
      </c>
      <c r="G9" s="30">
        <f t="shared" ref="G9" si="6">SUM(G10:G11)</f>
        <v>6190</v>
      </c>
      <c r="H9" s="30">
        <f t="shared" ref="H9" si="7">SUM(H10:H11)</f>
        <v>6716</v>
      </c>
      <c r="I9" s="30">
        <f t="shared" ref="I9" si="8">SUM(I10:I11)</f>
        <v>6717</v>
      </c>
      <c r="J9" s="30">
        <f t="shared" ref="J9" si="9">SUM(J10:J11)</f>
        <v>7049</v>
      </c>
      <c r="K9" s="30">
        <f t="shared" ref="K9" si="10">SUM(K10:K11)</f>
        <v>7180</v>
      </c>
      <c r="L9" s="30">
        <f t="shared" ref="L9" si="11">SUM(L10:L11)</f>
        <v>6895</v>
      </c>
      <c r="M9" s="30">
        <f t="shared" ref="M9" si="12">SUM(M10:M11)</f>
        <v>6983</v>
      </c>
      <c r="N9" s="30">
        <f t="shared" ref="N9" si="13">SUM(N10:N11)</f>
        <v>6803</v>
      </c>
      <c r="O9" s="30">
        <f t="shared" ref="O9" si="14">SUM(O10:O11)</f>
        <v>6357</v>
      </c>
      <c r="P9" s="30">
        <f t="shared" ref="P9" si="15">SUM(P10:P11)</f>
        <v>5651</v>
      </c>
      <c r="Q9" s="30">
        <f t="shared" ref="Q9" si="16">SUM(Q10:Q11)</f>
        <v>5281</v>
      </c>
      <c r="R9" s="30">
        <f t="shared" ref="R9" si="17">SUM(R10:R11)</f>
        <v>989</v>
      </c>
      <c r="S9" s="30">
        <f t="shared" ref="S9" si="18">SUM(S10:S11)</f>
        <v>1096</v>
      </c>
    </row>
    <row r="10" spans="1:22" x14ac:dyDescent="0.25">
      <c r="A10" s="36"/>
      <c r="B10" s="19" t="s">
        <v>7</v>
      </c>
      <c r="C10" s="9">
        <f t="shared" si="1"/>
        <v>40561</v>
      </c>
      <c r="D10" s="11">
        <v>32</v>
      </c>
      <c r="E10" s="11">
        <v>36</v>
      </c>
      <c r="F10" s="11">
        <v>2494</v>
      </c>
      <c r="G10" s="11">
        <v>3132</v>
      </c>
      <c r="H10" s="11">
        <v>3436</v>
      </c>
      <c r="I10" s="11">
        <v>3504</v>
      </c>
      <c r="J10" s="11">
        <v>3709</v>
      </c>
      <c r="K10" s="11">
        <v>3809</v>
      </c>
      <c r="L10" s="11">
        <v>3590</v>
      </c>
      <c r="M10" s="11">
        <v>3554</v>
      </c>
      <c r="N10" s="11">
        <v>3489</v>
      </c>
      <c r="O10" s="11">
        <v>3319</v>
      </c>
      <c r="P10" s="11">
        <v>2888</v>
      </c>
      <c r="Q10" s="11">
        <v>2675</v>
      </c>
      <c r="R10" s="11">
        <v>428</v>
      </c>
      <c r="S10" s="11">
        <v>466</v>
      </c>
    </row>
    <row r="11" spans="1:22" x14ac:dyDescent="0.25">
      <c r="A11" s="40"/>
      <c r="B11" s="23" t="s">
        <v>8</v>
      </c>
      <c r="C11" s="25">
        <f t="shared" si="1"/>
        <v>38420</v>
      </c>
      <c r="D11" s="26">
        <v>25</v>
      </c>
      <c r="E11" s="26">
        <v>34</v>
      </c>
      <c r="F11" s="26">
        <v>2453</v>
      </c>
      <c r="G11" s="26">
        <v>3058</v>
      </c>
      <c r="H11" s="26">
        <v>3280</v>
      </c>
      <c r="I11" s="26">
        <v>3213</v>
      </c>
      <c r="J11" s="26">
        <v>3340</v>
      </c>
      <c r="K11" s="26">
        <v>3371</v>
      </c>
      <c r="L11" s="26">
        <v>3305</v>
      </c>
      <c r="M11" s="26">
        <v>3429</v>
      </c>
      <c r="N11" s="26">
        <v>3314</v>
      </c>
      <c r="O11" s="26">
        <v>3038</v>
      </c>
      <c r="P11" s="26">
        <v>2763</v>
      </c>
      <c r="Q11" s="26">
        <v>2606</v>
      </c>
      <c r="R11" s="26">
        <v>561</v>
      </c>
      <c r="S11" s="26">
        <v>630</v>
      </c>
    </row>
    <row r="12" spans="1:22" x14ac:dyDescent="0.25">
      <c r="A12" s="42" t="s">
        <v>2</v>
      </c>
      <c r="B12" s="28" t="s">
        <v>9</v>
      </c>
      <c r="C12" s="29">
        <f t="shared" si="1"/>
        <v>11373</v>
      </c>
      <c r="D12" s="30">
        <f>SUM(D13:D14)</f>
        <v>1604</v>
      </c>
      <c r="E12" s="30">
        <f t="shared" ref="E12" si="19">SUM(E13:E14)</f>
        <v>2338</v>
      </c>
      <c r="F12" s="30">
        <f t="shared" ref="F12" si="20">SUM(F13:F14)</f>
        <v>1536</v>
      </c>
      <c r="G12" s="30">
        <f t="shared" ref="G12" si="21">SUM(G13:G14)</f>
        <v>1933</v>
      </c>
      <c r="H12" s="30">
        <f t="shared" ref="H12" si="22">SUM(H13:H14)</f>
        <v>427</v>
      </c>
      <c r="I12" s="30">
        <f t="shared" ref="I12" si="23">SUM(I13:I14)</f>
        <v>403</v>
      </c>
      <c r="J12" s="30">
        <f t="shared" ref="J12" si="24">SUM(J13:J14)</f>
        <v>389</v>
      </c>
      <c r="K12" s="30">
        <f t="shared" ref="K12" si="25">SUM(K13:K14)</f>
        <v>365</v>
      </c>
      <c r="L12" s="30">
        <f t="shared" ref="L12" si="26">SUM(L13:L14)</f>
        <v>346</v>
      </c>
      <c r="M12" s="30">
        <f t="shared" ref="M12" si="27">SUM(M13:M14)</f>
        <v>334</v>
      </c>
      <c r="N12" s="30">
        <f t="shared" ref="N12" si="28">SUM(N13:N14)</f>
        <v>286</v>
      </c>
      <c r="O12" s="30">
        <f t="shared" ref="O12" si="29">SUM(O13:O14)</f>
        <v>226</v>
      </c>
      <c r="P12" s="30">
        <f t="shared" ref="P12" si="30">SUM(P13:P14)</f>
        <v>185</v>
      </c>
      <c r="Q12" s="30">
        <f t="shared" ref="Q12" si="31">SUM(Q13:Q14)</f>
        <v>172</v>
      </c>
      <c r="R12" s="30">
        <f t="shared" ref="R12" si="32">SUM(R13:R14)</f>
        <v>452</v>
      </c>
      <c r="S12" s="30">
        <f t="shared" ref="S12" si="33">SUM(S13:S14)</f>
        <v>377</v>
      </c>
    </row>
    <row r="13" spans="1:22" x14ac:dyDescent="0.25">
      <c r="A13" s="36"/>
      <c r="B13" s="19" t="s">
        <v>7</v>
      </c>
      <c r="C13" s="9">
        <f t="shared" si="1"/>
        <v>5735</v>
      </c>
      <c r="D13" s="12">
        <v>823</v>
      </c>
      <c r="E13" s="12">
        <v>1212</v>
      </c>
      <c r="F13" s="12">
        <v>746</v>
      </c>
      <c r="G13" s="12">
        <v>961</v>
      </c>
      <c r="H13" s="12">
        <v>209</v>
      </c>
      <c r="I13" s="12">
        <v>218</v>
      </c>
      <c r="J13" s="12">
        <v>200</v>
      </c>
      <c r="K13" s="12">
        <v>197</v>
      </c>
      <c r="L13" s="12">
        <v>176</v>
      </c>
      <c r="M13" s="12">
        <v>164</v>
      </c>
      <c r="N13" s="12">
        <v>142</v>
      </c>
      <c r="O13" s="12">
        <v>122</v>
      </c>
      <c r="P13" s="12">
        <v>105</v>
      </c>
      <c r="Q13" s="12">
        <v>95</v>
      </c>
      <c r="R13" s="12">
        <v>195</v>
      </c>
      <c r="S13" s="12">
        <v>170</v>
      </c>
    </row>
    <row r="14" spans="1:22" x14ac:dyDescent="0.25">
      <c r="A14" s="40"/>
      <c r="B14" s="23" t="s">
        <v>8</v>
      </c>
      <c r="C14" s="25">
        <f t="shared" si="1"/>
        <v>5638</v>
      </c>
      <c r="D14" s="27">
        <v>781</v>
      </c>
      <c r="E14" s="27">
        <v>1126</v>
      </c>
      <c r="F14" s="27">
        <v>790</v>
      </c>
      <c r="G14" s="27">
        <v>972</v>
      </c>
      <c r="H14" s="27">
        <v>218</v>
      </c>
      <c r="I14" s="27">
        <v>185</v>
      </c>
      <c r="J14" s="27">
        <v>189</v>
      </c>
      <c r="K14" s="27">
        <v>168</v>
      </c>
      <c r="L14" s="27">
        <v>170</v>
      </c>
      <c r="M14" s="27">
        <v>170</v>
      </c>
      <c r="N14" s="27">
        <v>144</v>
      </c>
      <c r="O14" s="27">
        <v>104</v>
      </c>
      <c r="P14" s="27">
        <v>80</v>
      </c>
      <c r="Q14" s="27">
        <v>77</v>
      </c>
      <c r="R14" s="27">
        <v>257</v>
      </c>
      <c r="S14" s="27">
        <v>207</v>
      </c>
    </row>
    <row r="15" spans="1:22" x14ac:dyDescent="0.25">
      <c r="A15" s="35" t="s">
        <v>3</v>
      </c>
      <c r="B15" s="31" t="s">
        <v>9</v>
      </c>
      <c r="C15" s="32">
        <f t="shared" si="1"/>
        <v>3838</v>
      </c>
      <c r="D15" s="33">
        <f>SUM(D16:D17)</f>
        <v>225</v>
      </c>
      <c r="E15" s="33">
        <f t="shared" ref="E15:S15" si="34">SUM(E16:E17)</f>
        <v>401</v>
      </c>
      <c r="F15" s="33">
        <f t="shared" si="34"/>
        <v>597</v>
      </c>
      <c r="G15" s="33">
        <f t="shared" si="34"/>
        <v>692</v>
      </c>
      <c r="H15" s="33">
        <f t="shared" si="34"/>
        <v>118</v>
      </c>
      <c r="I15" s="33">
        <f t="shared" si="34"/>
        <v>137</v>
      </c>
      <c r="J15" s="33">
        <f t="shared" si="34"/>
        <v>123</v>
      </c>
      <c r="K15" s="33">
        <f t="shared" si="34"/>
        <v>121</v>
      </c>
      <c r="L15" s="33">
        <f t="shared" si="34"/>
        <v>118</v>
      </c>
      <c r="M15" s="33">
        <f t="shared" si="34"/>
        <v>126</v>
      </c>
      <c r="N15" s="33">
        <f t="shared" si="34"/>
        <v>121</v>
      </c>
      <c r="O15" s="33">
        <f t="shared" si="34"/>
        <v>169</v>
      </c>
      <c r="P15" s="33">
        <f t="shared" si="34"/>
        <v>199</v>
      </c>
      <c r="Q15" s="33">
        <f t="shared" si="34"/>
        <v>194</v>
      </c>
      <c r="R15" s="33">
        <f t="shared" si="34"/>
        <v>245</v>
      </c>
      <c r="S15" s="33">
        <f t="shared" si="34"/>
        <v>252</v>
      </c>
    </row>
    <row r="16" spans="1:22" x14ac:dyDescent="0.25">
      <c r="A16" s="36"/>
      <c r="B16" s="19" t="s">
        <v>7</v>
      </c>
      <c r="C16" s="9">
        <f t="shared" si="1"/>
        <v>1875</v>
      </c>
      <c r="D16" s="10">
        <v>114</v>
      </c>
      <c r="E16" s="10">
        <v>223</v>
      </c>
      <c r="F16" s="10">
        <v>318</v>
      </c>
      <c r="G16" s="10">
        <v>362</v>
      </c>
      <c r="H16" s="10">
        <v>62</v>
      </c>
      <c r="I16" s="10">
        <v>58</v>
      </c>
      <c r="J16" s="10">
        <v>61</v>
      </c>
      <c r="K16" s="10">
        <v>57</v>
      </c>
      <c r="L16" s="10">
        <v>62</v>
      </c>
      <c r="M16" s="10">
        <v>61</v>
      </c>
      <c r="N16" s="10">
        <v>53</v>
      </c>
      <c r="O16" s="10">
        <v>66</v>
      </c>
      <c r="P16" s="10">
        <v>80</v>
      </c>
      <c r="Q16" s="10">
        <v>78</v>
      </c>
      <c r="R16" s="10">
        <v>118</v>
      </c>
      <c r="S16" s="10">
        <v>102</v>
      </c>
    </row>
    <row r="17" spans="1:19" x14ac:dyDescent="0.25">
      <c r="A17" s="37"/>
      <c r="B17" s="20" t="s">
        <v>8</v>
      </c>
      <c r="C17" s="13">
        <f t="shared" si="1"/>
        <v>1963</v>
      </c>
      <c r="D17" s="14">
        <v>111</v>
      </c>
      <c r="E17" s="14">
        <v>178</v>
      </c>
      <c r="F17" s="14">
        <v>279</v>
      </c>
      <c r="G17" s="14">
        <v>330</v>
      </c>
      <c r="H17" s="14">
        <v>56</v>
      </c>
      <c r="I17" s="14">
        <v>79</v>
      </c>
      <c r="J17" s="14">
        <v>62</v>
      </c>
      <c r="K17" s="14">
        <v>64</v>
      </c>
      <c r="L17" s="14">
        <v>56</v>
      </c>
      <c r="M17" s="14">
        <v>65</v>
      </c>
      <c r="N17" s="14">
        <v>68</v>
      </c>
      <c r="O17" s="14">
        <v>103</v>
      </c>
      <c r="P17" s="14">
        <v>119</v>
      </c>
      <c r="Q17" s="14">
        <v>116</v>
      </c>
      <c r="R17" s="14">
        <v>127</v>
      </c>
      <c r="S17" s="14">
        <v>150</v>
      </c>
    </row>
    <row r="18" spans="1:19" ht="15.75" x14ac:dyDescent="0.25">
      <c r="A18" s="1" t="s">
        <v>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7"/>
      <c r="R18" s="7"/>
      <c r="S18" s="3" t="s">
        <v>6</v>
      </c>
    </row>
    <row r="19" spans="1:19" x14ac:dyDescent="0.25">
      <c r="A19" s="5"/>
      <c r="B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</row>
    <row r="20" spans="1:19" x14ac:dyDescent="0.25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7"/>
      <c r="P20" s="7"/>
      <c r="Q20" s="7"/>
      <c r="R20" s="7"/>
      <c r="S20" s="7"/>
    </row>
    <row r="21" spans="1:19" x14ac:dyDescent="0.25">
      <c r="A21" s="5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7"/>
      <c r="R21" s="7"/>
      <c r="S21" s="7"/>
    </row>
    <row r="22" spans="1:19" x14ac:dyDescent="0.25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7"/>
      <c r="R22" s="7"/>
      <c r="S22" s="7"/>
    </row>
    <row r="23" spans="1:19" x14ac:dyDescent="0.25">
      <c r="A23" s="5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7"/>
      <c r="P23" s="7"/>
      <c r="Q23" s="7"/>
      <c r="R23" s="7"/>
      <c r="S23" s="7"/>
    </row>
    <row r="24" spans="1:19" x14ac:dyDescent="0.25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7"/>
      <c r="R24" s="7"/>
      <c r="S24" s="7"/>
    </row>
    <row r="25" spans="1:19" x14ac:dyDescent="0.25">
      <c r="A25" s="5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7"/>
      <c r="P25" s="7"/>
      <c r="Q25" s="7"/>
      <c r="R25" s="7"/>
      <c r="S25" s="7"/>
    </row>
    <row r="26" spans="1:19" x14ac:dyDescent="0.25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7"/>
      <c r="P26" s="7"/>
      <c r="Q26" s="7"/>
      <c r="R26" s="7"/>
      <c r="S26" s="7"/>
    </row>
    <row r="27" spans="1:19" x14ac:dyDescent="0.25">
      <c r="A27" s="5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7"/>
      <c r="P27" s="7"/>
      <c r="Q27" s="7"/>
      <c r="R27" s="7"/>
      <c r="S27" s="7"/>
    </row>
    <row r="28" spans="1:19" x14ac:dyDescent="0.25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7"/>
    </row>
    <row r="29" spans="1:19" x14ac:dyDescent="0.25">
      <c r="A29" s="5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  <c r="O29" s="7"/>
      <c r="P29" s="7"/>
      <c r="Q29" s="7"/>
      <c r="R29" s="7"/>
      <c r="S29" s="7"/>
    </row>
    <row r="30" spans="1:19" x14ac:dyDescent="0.25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7"/>
      <c r="P30" s="7"/>
      <c r="Q30" s="7"/>
      <c r="R30" s="7"/>
      <c r="S30" s="7"/>
    </row>
    <row r="31" spans="1:19" x14ac:dyDescent="0.25">
      <c r="A31" s="5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7"/>
      <c r="R31" s="7"/>
      <c r="S31" s="7"/>
    </row>
    <row r="32" spans="1:19" x14ac:dyDescent="0.25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7"/>
      <c r="R32" s="7"/>
      <c r="S32" s="7"/>
    </row>
    <row r="33" spans="1:19" x14ac:dyDescent="0.25">
      <c r="A33" s="5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7"/>
      <c r="R33" s="7"/>
      <c r="S33" s="7"/>
    </row>
    <row r="34" spans="1:19" x14ac:dyDescent="0.25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7"/>
      <c r="P34" s="7"/>
      <c r="Q34" s="7"/>
      <c r="R34" s="7"/>
      <c r="S34" s="7"/>
    </row>
    <row r="35" spans="1:19" x14ac:dyDescent="0.25">
      <c r="A35" s="5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  <c r="O35" s="7"/>
      <c r="P35" s="7"/>
      <c r="Q35" s="7"/>
      <c r="R35" s="7"/>
      <c r="S35" s="7"/>
    </row>
    <row r="36" spans="1:19" x14ac:dyDescent="0.25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7"/>
      <c r="P36" s="7"/>
      <c r="Q36" s="7"/>
      <c r="R36" s="7"/>
      <c r="S36" s="7"/>
    </row>
    <row r="37" spans="1:19" x14ac:dyDescent="0.25">
      <c r="A37" s="5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7"/>
      <c r="P37" s="7"/>
      <c r="Q37" s="7"/>
      <c r="R37" s="7"/>
      <c r="S37" s="7"/>
    </row>
    <row r="38" spans="1:19" x14ac:dyDescent="0.25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7"/>
      <c r="O38" s="7"/>
      <c r="P38" s="7"/>
      <c r="Q38" s="7"/>
      <c r="R38" s="7"/>
      <c r="S38" s="7"/>
    </row>
    <row r="39" spans="1:19" x14ac:dyDescent="0.25">
      <c r="A39" s="5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7"/>
      <c r="O39" s="7"/>
      <c r="P39" s="7"/>
      <c r="Q39" s="7"/>
      <c r="R39" s="7"/>
      <c r="S39" s="7"/>
    </row>
    <row r="40" spans="1:19" x14ac:dyDescent="0.25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  <c r="O40" s="7"/>
      <c r="P40" s="7"/>
      <c r="Q40" s="7"/>
      <c r="R40" s="7"/>
      <c r="S40" s="7"/>
    </row>
    <row r="41" spans="1:19" x14ac:dyDescent="0.25">
      <c r="A41" s="5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7"/>
      <c r="O41" s="7"/>
      <c r="P41" s="7"/>
      <c r="Q41" s="7"/>
      <c r="R41" s="7"/>
      <c r="S41" s="7"/>
    </row>
    <row r="42" spans="1:19" x14ac:dyDescent="0.25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7"/>
      <c r="O42" s="7"/>
      <c r="P42" s="7"/>
      <c r="Q42" s="7"/>
      <c r="R42" s="7"/>
      <c r="S42" s="7"/>
    </row>
    <row r="43" spans="1:19" x14ac:dyDescent="0.25">
      <c r="A43" s="5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7"/>
      <c r="O43" s="7"/>
      <c r="P43" s="7"/>
      <c r="Q43" s="7"/>
      <c r="R43" s="7"/>
      <c r="S43" s="7"/>
    </row>
    <row r="44" spans="1:19" x14ac:dyDescent="0.25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7"/>
      <c r="O44" s="7"/>
      <c r="P44" s="7"/>
      <c r="Q44" s="7"/>
      <c r="R44" s="7"/>
      <c r="S44" s="7"/>
    </row>
    <row r="45" spans="1:19" x14ac:dyDescent="0.25">
      <c r="A45" s="5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7"/>
      <c r="O45" s="7"/>
      <c r="P45" s="7"/>
      <c r="Q45" s="7"/>
      <c r="R45" s="7"/>
      <c r="S45" s="7"/>
    </row>
    <row r="46" spans="1:19" x14ac:dyDescent="0.25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7"/>
      <c r="O46" s="7"/>
      <c r="P46" s="7"/>
      <c r="Q46" s="7"/>
      <c r="R46" s="7"/>
      <c r="S46" s="7"/>
    </row>
    <row r="47" spans="1:19" x14ac:dyDescent="0.25">
      <c r="A47" s="5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7"/>
      <c r="O47" s="7"/>
      <c r="P47" s="7"/>
      <c r="Q47" s="7"/>
      <c r="R47" s="7"/>
      <c r="S47" s="7"/>
    </row>
    <row r="48" spans="1:19" x14ac:dyDescent="0.25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7"/>
      <c r="O48" s="7"/>
      <c r="P48" s="7"/>
      <c r="Q48" s="7"/>
      <c r="R48" s="7"/>
      <c r="S48" s="7"/>
    </row>
    <row r="49" spans="1:19" x14ac:dyDescent="0.25">
      <c r="A49" s="5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7"/>
      <c r="O49" s="7"/>
      <c r="P49" s="7"/>
      <c r="Q49" s="7"/>
      <c r="R49" s="7"/>
      <c r="S49" s="7"/>
    </row>
    <row r="50" spans="1:19" x14ac:dyDescent="0.25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/>
      <c r="O50" s="7"/>
      <c r="P50" s="7"/>
      <c r="Q50" s="7"/>
      <c r="R50" s="7"/>
      <c r="S50" s="7"/>
    </row>
    <row r="51" spans="1:19" x14ac:dyDescent="0.25">
      <c r="A51" s="5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/>
      <c r="O51" s="7"/>
      <c r="P51" s="7"/>
      <c r="Q51" s="7"/>
      <c r="R51" s="7"/>
      <c r="S51" s="7"/>
    </row>
    <row r="52" spans="1:19" x14ac:dyDescent="0.25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/>
      <c r="O52" s="7"/>
      <c r="P52" s="7"/>
      <c r="Q52" s="7"/>
      <c r="R52" s="7"/>
      <c r="S52" s="7"/>
    </row>
    <row r="53" spans="1:19" x14ac:dyDescent="0.25">
      <c r="A53" s="5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  <c r="O53" s="7"/>
      <c r="P53" s="7"/>
      <c r="Q53" s="7"/>
      <c r="R53" s="7"/>
      <c r="S53" s="7"/>
    </row>
    <row r="54" spans="1:19" x14ac:dyDescent="0.25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  <c r="O54" s="7"/>
      <c r="P54" s="7"/>
      <c r="Q54" s="7"/>
      <c r="R54" s="7"/>
      <c r="S54" s="7"/>
    </row>
    <row r="55" spans="1:19" x14ac:dyDescent="0.25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  <c r="O55" s="7"/>
      <c r="P55" s="7"/>
      <c r="Q55" s="7"/>
      <c r="R55" s="7"/>
      <c r="S55" s="7"/>
    </row>
    <row r="56" spans="1:19" x14ac:dyDescent="0.25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7"/>
      <c r="O56" s="7"/>
      <c r="P56" s="7"/>
      <c r="Q56" s="7"/>
      <c r="R56" s="7"/>
      <c r="S56" s="7"/>
    </row>
    <row r="57" spans="1:19" x14ac:dyDescent="0.25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7"/>
      <c r="O57" s="7"/>
      <c r="P57" s="7"/>
      <c r="Q57" s="7"/>
      <c r="R57" s="7"/>
      <c r="S57" s="7"/>
    </row>
    <row r="58" spans="1:19" x14ac:dyDescent="0.25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7"/>
      <c r="O58" s="7"/>
      <c r="P58" s="7"/>
      <c r="Q58" s="7"/>
      <c r="R58" s="7"/>
      <c r="S58" s="7"/>
    </row>
    <row r="59" spans="1:19" x14ac:dyDescent="0.25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  <c r="O59" s="7"/>
      <c r="P59" s="7"/>
      <c r="Q59" s="7"/>
      <c r="R59" s="7"/>
      <c r="S59" s="7"/>
    </row>
    <row r="60" spans="1:19" x14ac:dyDescent="0.25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7"/>
      <c r="O60" s="7"/>
      <c r="P60" s="7"/>
      <c r="Q60" s="7"/>
      <c r="R60" s="7"/>
      <c r="S60" s="7"/>
    </row>
    <row r="61" spans="1:19" x14ac:dyDescent="0.25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  <c r="O61" s="7"/>
      <c r="P61" s="7"/>
      <c r="Q61" s="7"/>
      <c r="R61" s="7"/>
      <c r="S61" s="7"/>
    </row>
    <row r="62" spans="1:19" x14ac:dyDescent="0.25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7"/>
      <c r="O62" s="7"/>
      <c r="P62" s="7"/>
      <c r="Q62" s="7"/>
      <c r="R62" s="7"/>
      <c r="S62" s="7"/>
    </row>
    <row r="63" spans="1:19" x14ac:dyDescent="0.25">
      <c r="A63" s="5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7"/>
      <c r="O63" s="7"/>
      <c r="P63" s="7"/>
      <c r="Q63" s="7"/>
      <c r="R63" s="7"/>
      <c r="S63" s="7"/>
    </row>
    <row r="64" spans="1:19" x14ac:dyDescent="0.25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7"/>
      <c r="O64" s="7"/>
      <c r="P64" s="7"/>
      <c r="Q64" s="7"/>
      <c r="R64" s="7"/>
      <c r="S64" s="7"/>
    </row>
    <row r="65" spans="1:19" x14ac:dyDescent="0.25">
      <c r="A65" s="5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7"/>
      <c r="O65" s="7"/>
      <c r="P65" s="7"/>
      <c r="Q65" s="7"/>
      <c r="R65" s="7"/>
      <c r="S65" s="7"/>
    </row>
    <row r="66" spans="1:19" x14ac:dyDescent="0.25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7"/>
      <c r="O66" s="7"/>
      <c r="P66" s="7"/>
      <c r="Q66" s="7"/>
      <c r="R66" s="7"/>
      <c r="S66" s="7"/>
    </row>
    <row r="67" spans="1:19" x14ac:dyDescent="0.25">
      <c r="A67" s="5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  <c r="O67" s="7"/>
      <c r="P67" s="7"/>
      <c r="Q67" s="7"/>
      <c r="R67" s="7"/>
      <c r="S67" s="7"/>
    </row>
    <row r="68" spans="1:19" x14ac:dyDescent="0.25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  <c r="O68" s="7"/>
      <c r="P68" s="7"/>
      <c r="Q68" s="7"/>
      <c r="R68" s="7"/>
      <c r="S68" s="7"/>
    </row>
    <row r="69" spans="1:19" x14ac:dyDescent="0.25">
      <c r="A69" s="5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  <c r="O69" s="7"/>
      <c r="P69" s="7"/>
      <c r="Q69" s="7"/>
      <c r="R69" s="7"/>
      <c r="S69" s="7"/>
    </row>
    <row r="70" spans="1:19" x14ac:dyDescent="0.25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  <c r="O70" s="7"/>
      <c r="P70" s="7"/>
      <c r="Q70" s="7"/>
      <c r="R70" s="7"/>
      <c r="S70" s="7"/>
    </row>
    <row r="71" spans="1:19" x14ac:dyDescent="0.25">
      <c r="A71" s="5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  <c r="O71" s="7"/>
      <c r="P71" s="7"/>
      <c r="Q71" s="7"/>
      <c r="R71" s="7"/>
      <c r="S71" s="7"/>
    </row>
  </sheetData>
  <mergeCells count="6">
    <mergeCell ref="A2:S2"/>
    <mergeCell ref="A15:A17"/>
    <mergeCell ref="C4:S4"/>
    <mergeCell ref="A6:A8"/>
    <mergeCell ref="A9:A11"/>
    <mergeCell ref="A12:A14"/>
  </mergeCells>
  <pageMargins left="0.7" right="0.7" top="0.75" bottom="0.75" header="0.3" footer="0.3"/>
  <pageSetup scale="42" orientation="portrait" r:id="rId1"/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7.4</vt:lpstr>
      <vt:lpstr>'7.4'!Print_Area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2024-05-15T07:08:03Z</cp:lastPrinted>
  <dcterms:created xsi:type="dcterms:W3CDTF">2019-02-28T08:20:57Z</dcterms:created>
  <dcterms:modified xsi:type="dcterms:W3CDTF">2024-05-15T07:08:15Z</dcterms:modified>
</cp:coreProperties>
</file>