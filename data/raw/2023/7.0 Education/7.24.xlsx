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Edu\"/>
    </mc:Choice>
  </mc:AlternateContent>
  <xr:revisionPtr revIDLastSave="0" documentId="13_ncr:1_{D652A8E4-5C5F-445F-87A3-7B00D260157C}" xr6:coauthVersionLast="47" xr6:coauthVersionMax="47" xr10:uidLastSave="{00000000-0000-0000-0000-000000000000}"/>
  <bookViews>
    <workbookView xWindow="-120" yWindow="-120" windowWidth="29040" windowHeight="15720" tabRatio="765" xr2:uid="{00000000-000D-0000-FFFF-FFFF00000000}"/>
  </bookViews>
  <sheets>
    <sheet name="7.24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" i="17" l="1"/>
  <c r="O27" i="17"/>
  <c r="S26" i="17"/>
  <c r="O26" i="17"/>
  <c r="S25" i="17"/>
  <c r="O25" i="17"/>
  <c r="S24" i="17"/>
  <c r="O24" i="17"/>
  <c r="S23" i="17"/>
  <c r="O23" i="17"/>
  <c r="S22" i="17"/>
  <c r="O22" i="17"/>
  <c r="S21" i="17"/>
  <c r="O21" i="17"/>
  <c r="S20" i="17"/>
  <c r="O20" i="17"/>
  <c r="S19" i="17"/>
  <c r="O19" i="17"/>
  <c r="S18" i="17"/>
  <c r="O18" i="17"/>
  <c r="S17" i="17"/>
  <c r="O17" i="17"/>
  <c r="S16" i="17"/>
  <c r="S14" i="17" s="1"/>
  <c r="O16" i="17"/>
  <c r="S15" i="17"/>
  <c r="O15" i="17"/>
  <c r="U14" i="17"/>
  <c r="T14" i="17"/>
  <c r="T6" i="17" s="1"/>
  <c r="Q14" i="17"/>
  <c r="P14" i="17"/>
  <c r="S13" i="17"/>
  <c r="O13" i="17"/>
  <c r="S12" i="17"/>
  <c r="S11" i="17"/>
  <c r="O11" i="17"/>
  <c r="S10" i="17"/>
  <c r="O10" i="17"/>
  <c r="S9" i="17"/>
  <c r="O9" i="17"/>
  <c r="S8" i="17"/>
  <c r="O8" i="17"/>
  <c r="U7" i="17"/>
  <c r="T7" i="17"/>
  <c r="Q7" i="17"/>
  <c r="P7" i="17"/>
  <c r="Q6" i="17" l="1"/>
  <c r="O7" i="17"/>
  <c r="O14" i="17"/>
  <c r="U6" i="17"/>
  <c r="S7" i="17"/>
  <c r="P6" i="17"/>
  <c r="O6" i="17" s="1"/>
  <c r="S6" i="17"/>
  <c r="K27" i="17" l="1"/>
  <c r="G27" i="17"/>
  <c r="D27" i="17"/>
  <c r="K26" i="17"/>
  <c r="G26" i="17"/>
  <c r="D26" i="17"/>
  <c r="K25" i="17"/>
  <c r="K24" i="17"/>
  <c r="G24" i="17"/>
  <c r="K23" i="17"/>
  <c r="G23" i="17"/>
  <c r="D23" i="17"/>
  <c r="K22" i="17"/>
  <c r="G22" i="17"/>
  <c r="D22" i="17"/>
  <c r="K21" i="17"/>
  <c r="G21" i="17"/>
  <c r="D21" i="17"/>
  <c r="K20" i="17"/>
  <c r="G20" i="17"/>
  <c r="D20" i="17"/>
  <c r="K19" i="17"/>
  <c r="G19" i="17"/>
  <c r="D19" i="17"/>
  <c r="K18" i="17"/>
  <c r="G18" i="17"/>
  <c r="D18" i="17"/>
  <c r="K17" i="17"/>
  <c r="G17" i="17"/>
  <c r="D17" i="17"/>
  <c r="K16" i="17"/>
  <c r="G16" i="17"/>
  <c r="D16" i="17"/>
  <c r="K15" i="17"/>
  <c r="G15" i="17"/>
  <c r="D15" i="17"/>
  <c r="M14" i="17"/>
  <c r="L14" i="17"/>
  <c r="I14" i="17"/>
  <c r="H14" i="17"/>
  <c r="F14" i="17"/>
  <c r="E14" i="17"/>
  <c r="K13" i="17"/>
  <c r="G13" i="17"/>
  <c r="D13" i="17"/>
  <c r="K11" i="17"/>
  <c r="G11" i="17"/>
  <c r="D11" i="17"/>
  <c r="K10" i="17"/>
  <c r="G10" i="17"/>
  <c r="D10" i="17"/>
  <c r="K9" i="17"/>
  <c r="G9" i="17"/>
  <c r="D9" i="17"/>
  <c r="K8" i="17"/>
  <c r="G8" i="17"/>
  <c r="D8" i="17"/>
  <c r="M7" i="17"/>
  <c r="L7" i="17"/>
  <c r="K7" i="17" s="1"/>
  <c r="I7" i="17"/>
  <c r="H7" i="17"/>
  <c r="F7" i="17"/>
  <c r="E7" i="17"/>
  <c r="I6" i="17" l="1"/>
  <c r="E6" i="17"/>
  <c r="D7" i="17"/>
  <c r="M6" i="17"/>
  <c r="F6" i="17"/>
  <c r="H6" i="17"/>
  <c r="D14" i="17"/>
  <c r="K14" i="17"/>
  <c r="G7" i="17"/>
  <c r="L6" i="17"/>
  <c r="G14" i="17"/>
  <c r="G6" i="17" l="1"/>
  <c r="D6" i="17"/>
  <c r="K6" i="17"/>
</calcChain>
</file>

<file path=xl/sharedStrings.xml><?xml version="1.0" encoding="utf-8"?>
<sst xmlns="http://schemas.openxmlformats.org/spreadsheetml/2006/main" count="82" uniqueCount="54">
  <si>
    <t>Total</t>
  </si>
  <si>
    <t>cnehcnwa</t>
  </si>
  <si>
    <t>cnehirif</t>
  </si>
  <si>
    <t>Both Sexes</t>
  </si>
  <si>
    <t>Male</t>
  </si>
  <si>
    <t>Female</t>
  </si>
  <si>
    <t>cscnijed</t>
  </si>
  <si>
    <t>Type of Training</t>
  </si>
  <si>
    <t>ctwvWb egunIrcmwt</t>
  </si>
  <si>
    <t>މުޅިޖުމްލަ</t>
  </si>
  <si>
    <t>Maldives Polytechnic</t>
  </si>
  <si>
    <t>މޯލްޑިވްސް ޕޮލިޓެކްނިކް</t>
  </si>
  <si>
    <t xml:space="preserve">   Advanced Diploma (2 1/2 Years)</t>
  </si>
  <si>
    <t xml:space="preserve">   Diploma (2 Years)</t>
  </si>
  <si>
    <t xml:space="preserve">   Diploma (1 1/2 Years) </t>
  </si>
  <si>
    <t xml:space="preserve">   Advance Certificate  (1 1/2 Years)</t>
  </si>
  <si>
    <t xml:space="preserve">   Certificate III Course (15 weeks)</t>
  </si>
  <si>
    <t xml:space="preserve">Regional Youth Vocational Training Centres ( RYVTC )  </t>
  </si>
  <si>
    <t xml:space="preserve">   Advance Certificate Course (1 1/2 years)</t>
  </si>
  <si>
    <t xml:space="preserve">   Certificate 1 Course (1 Month)</t>
  </si>
  <si>
    <t>Short Courses</t>
  </si>
  <si>
    <t>ކުރުކޯސްތައް</t>
  </si>
  <si>
    <t>Mobile Courses</t>
  </si>
  <si>
    <t>މޮބައިލް ކޯސްތައް</t>
  </si>
  <si>
    <t>IHDP Project Courses</t>
  </si>
  <si>
    <t>އައި.އެޗް.ޑީ.ޕީ ޕްރޮޖެކްޓް ކޯސްތައް</t>
  </si>
  <si>
    <t>Online</t>
  </si>
  <si>
    <t>އޮންލައިން ކޯސްތައް</t>
  </si>
  <si>
    <t xml:space="preserve">Out Reach Centre </t>
  </si>
  <si>
    <t>އައުޓްރީޗް ސެންޓަރ</t>
  </si>
  <si>
    <t>Hunaru Project Courses</t>
  </si>
  <si>
    <t>ހުނަރު ޕްރޮޖެކްޓް ކޯސްތައް</t>
  </si>
  <si>
    <t>School Polytechnic Program Courses</t>
  </si>
  <si>
    <t>ސްކޫލް ޕޮލިޓެކްނިކް ޕްރޮގްރާމް ކޯސްތައް</t>
  </si>
  <si>
    <t>އައި.އެޗް.ޑީ.ޕީ: އިންޓަރގްރޭޓެޑް ހިއުމަން ޑިވެލޮޕްމަންޓް ޕްރޮޖެކްޓް</t>
  </si>
  <si>
    <t>Source: Maldives Polytechnic</t>
  </si>
  <si>
    <t>މައުލޫމާތު ދެއްވި ފަރާތް މޯލްޑިވްސް ޕޮލިޓެކްނިކް</t>
  </si>
  <si>
    <t>TVET National Certificate</t>
  </si>
  <si>
    <t>ތިޓެވް ނެޝަނަލް ސެޓްފިކެޓް</t>
  </si>
  <si>
    <t>Community Based Training</t>
  </si>
  <si>
    <t>ކޮމިއުނިޓީ ބޭސްޑް ޓަރޭނިންގ</t>
  </si>
  <si>
    <r>
      <t xml:space="preserve">( urwhwa  2 1/2) </t>
    </r>
    <r>
      <rPr>
        <sz val="10"/>
        <color theme="1"/>
        <rFont val="Faruma"/>
      </rPr>
      <t>އެޑްވާންސްޑް ޑިޕްލޮމާ ކޯސް</t>
    </r>
  </si>
  <si>
    <r>
      <t xml:space="preserve">( urwhwa 2 ) </t>
    </r>
    <r>
      <rPr>
        <sz val="10"/>
        <color theme="1"/>
        <rFont val="Faruma"/>
      </rPr>
      <t xml:space="preserve">ޑިޕްލޮމާ ކޯސް </t>
    </r>
    <r>
      <rPr>
        <sz val="10"/>
        <color theme="1"/>
        <rFont val="A_Waheed"/>
      </rPr>
      <t xml:space="preserve">  </t>
    </r>
  </si>
  <si>
    <r>
      <t xml:space="preserve">( urwhwa 1 1/2 ) </t>
    </r>
    <r>
      <rPr>
        <sz val="10"/>
        <color theme="1"/>
        <rFont val="Faruma"/>
      </rPr>
      <t>ޑިޕްލޮމާ ކޯސް</t>
    </r>
    <r>
      <rPr>
        <sz val="10"/>
        <color theme="1"/>
        <rFont val="A_Waheed"/>
      </rPr>
      <t xml:space="preserve">  </t>
    </r>
  </si>
  <si>
    <r>
      <t xml:space="preserve">(urwhwa 1 1/2  ) </t>
    </r>
    <r>
      <rPr>
        <sz val="10"/>
        <color theme="1"/>
        <rFont val="Faruma"/>
      </rPr>
      <t>އެޑްވާންސްޑް ސެޓްފިކެޓް ކޯސް</t>
    </r>
    <r>
      <rPr>
        <sz val="10"/>
        <color theme="1"/>
        <rFont val="A_Waheed"/>
      </rPr>
      <t xml:space="preserve">  </t>
    </r>
  </si>
  <si>
    <r>
      <t xml:space="preserve">(Wtcfwh 15 ) </t>
    </r>
    <r>
      <rPr>
        <sz val="10"/>
        <color theme="1"/>
        <rFont val="Faruma"/>
      </rPr>
      <t>ސެޓްފިކެޓް ޓްރީ ކޯސް</t>
    </r>
    <r>
      <rPr>
        <sz val="10"/>
        <color theme="1"/>
        <rFont val="A_Waheed"/>
      </rPr>
      <t xml:space="preserve"> </t>
    </r>
  </si>
  <si>
    <r>
      <t xml:space="preserve">(Is.IT.Iv.iawv.crWa ) </t>
    </r>
    <r>
      <rPr>
        <b/>
        <sz val="10"/>
        <color theme="1"/>
        <rFont val="Faruma"/>
      </rPr>
      <t>ރީޖަނަލް ޔޫތު ވޮކޭޝަނަލް ޓްރޭނިންގ ސެންޓަރުތައް</t>
    </r>
  </si>
  <si>
    <r>
      <t xml:space="preserve">(urwhwa 1 1/2  ) </t>
    </r>
    <r>
      <rPr>
        <sz val="10"/>
        <color theme="1"/>
        <rFont val="Faruma"/>
      </rPr>
      <t>އެޑްވާންސްޑް ސެޓްފިކެޓް ކޯސް</t>
    </r>
    <r>
      <rPr>
        <sz val="10"/>
        <color theme="1"/>
        <rFont val="A_Waheed"/>
      </rPr>
      <t xml:space="preserve"> </t>
    </r>
  </si>
  <si>
    <r>
      <t xml:space="preserve">(Wtcfwh 1 ) </t>
    </r>
    <r>
      <rPr>
        <sz val="10"/>
        <color theme="1"/>
        <rFont val="Faruma"/>
      </rPr>
      <t>ސެޓްފިކެޓް ވަން ކޯސް</t>
    </r>
    <r>
      <rPr>
        <sz val="10"/>
        <color theme="1"/>
        <rFont val="A_Waheed"/>
      </rPr>
      <t xml:space="preserve"> </t>
    </r>
  </si>
  <si>
    <r>
      <t xml:space="preserve">IHDP: </t>
    </r>
    <r>
      <rPr>
        <i/>
        <sz val="10"/>
        <color theme="1"/>
        <rFont val="Calibri"/>
        <family val="2"/>
        <scheme val="minor"/>
      </rPr>
      <t>Intergrated Human development Project</t>
    </r>
  </si>
  <si>
    <t xml:space="preserve"> Advance Certificate  (1 Years)</t>
  </si>
  <si>
    <r>
      <t xml:space="preserve">(urwhwa 1  ) </t>
    </r>
    <r>
      <rPr>
        <sz val="10"/>
        <color theme="1"/>
        <rFont val="Faruma"/>
        <family val="3"/>
      </rPr>
      <t>އެޑްވާންސްޑް ސެޓްފިކެޓް ކޯސް</t>
    </r>
  </si>
  <si>
    <t xml:space="preserve"> 2022 - 2018 ,udwdwA egcnidukWvwyik cniaWriaWd egumIluAwt Incnwf cnutogeguscnij  : 7.24 ulwvWt</t>
  </si>
  <si>
    <t>Table 7.24: STUDENT ENROLMENT IN TECHNICAL EDUCATION BY SEX,  2018 - 2022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</si>
</sst>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_Randhoo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10"/>
      <color theme="1"/>
      <name val="Faruma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name val="MS Sans Serif"/>
      <family val="2"/>
    </font>
    <font>
      <b/>
      <sz val="10"/>
      <color theme="1"/>
      <name val="Faruma"/>
    </font>
    <font>
      <i/>
      <sz val="10"/>
      <color theme="1"/>
      <name val="Calibri"/>
      <family val="2"/>
      <scheme val="minor"/>
    </font>
    <font>
      <b/>
      <sz val="10"/>
      <color theme="1"/>
      <name val="A_Waheed"/>
    </font>
    <font>
      <sz val="10"/>
      <color theme="1"/>
      <name val="A_Waheed"/>
    </font>
    <font>
      <b/>
      <sz val="10"/>
      <color theme="1"/>
      <name val="Courier"/>
      <family val="3"/>
    </font>
    <font>
      <b/>
      <i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0"/>
      <color theme="1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16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4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21" fillId="0" borderId="0"/>
    <xf numFmtId="0" fontId="1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23" fillId="0" borderId="0"/>
    <xf numFmtId="168" fontId="4" fillId="0" borderId="0"/>
    <xf numFmtId="0" fontId="14" fillId="0" borderId="0"/>
    <xf numFmtId="0" fontId="14" fillId="0" borderId="0"/>
    <xf numFmtId="168" fontId="4" fillId="0" borderId="0"/>
    <xf numFmtId="0" fontId="14" fillId="0" borderId="0"/>
    <xf numFmtId="0" fontId="14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14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57">
    <xf numFmtId="0" fontId="0" fillId="0" borderId="0" xfId="0"/>
    <xf numFmtId="164" fontId="15" fillId="2" borderId="0" xfId="6" applyFont="1" applyFill="1" applyAlignment="1">
      <alignment horizontal="right" vertical="center"/>
    </xf>
    <xf numFmtId="164" fontId="15" fillId="2" borderId="1" xfId="6" applyFont="1" applyFill="1" applyBorder="1" applyAlignment="1">
      <alignment horizontal="right" vertical="center"/>
    </xf>
    <xf numFmtId="164" fontId="11" fillId="2" borderId="0" xfId="6" applyFont="1" applyFill="1" applyAlignment="1">
      <alignment horizontal="right" vertical="center"/>
    </xf>
    <xf numFmtId="164" fontId="11" fillId="2" borderId="0" xfId="6" applyFont="1" applyFill="1" applyAlignment="1">
      <alignment horizontal="right"/>
    </xf>
    <xf numFmtId="164" fontId="6" fillId="2" borderId="8" xfId="6" applyFont="1" applyFill="1" applyBorder="1" applyAlignment="1">
      <alignment horizontal="center"/>
    </xf>
    <xf numFmtId="164" fontId="17" fillId="2" borderId="0" xfId="6" applyFont="1" applyFill="1" applyAlignment="1">
      <alignment horizontal="right" vertical="center"/>
    </xf>
    <xf numFmtId="164" fontId="6" fillId="2" borderId="0" xfId="6" applyFont="1" applyFill="1" applyAlignment="1">
      <alignment horizontal="left" vertical="center"/>
    </xf>
    <xf numFmtId="164" fontId="6" fillId="2" borderId="1" xfId="6" applyFont="1" applyFill="1" applyBorder="1" applyAlignment="1">
      <alignment horizontal="left" vertical="center"/>
    </xf>
    <xf numFmtId="164" fontId="9" fillId="2" borderId="0" xfId="6" applyFont="1" applyFill="1" applyAlignment="1">
      <alignment horizontal="left" vertical="center" indent="1"/>
    </xf>
    <xf numFmtId="164" fontId="10" fillId="2" borderId="0" xfId="7" applyNumberFormat="1" applyFont="1" applyFill="1"/>
    <xf numFmtId="164" fontId="12" fillId="2" borderId="2" xfId="6" applyFont="1" applyFill="1" applyBorder="1" applyAlignment="1">
      <alignment horizontal="center"/>
    </xf>
    <xf numFmtId="164" fontId="6" fillId="2" borderId="2" xfId="6" applyFont="1" applyFill="1" applyBorder="1" applyAlignment="1">
      <alignment horizontal="center"/>
    </xf>
    <xf numFmtId="164" fontId="8" fillId="2" borderId="1" xfId="6" applyFont="1" applyFill="1" applyBorder="1" applyAlignment="1">
      <alignment horizontal="right" vertical="center"/>
    </xf>
    <xf numFmtId="164" fontId="10" fillId="2" borderId="0" xfId="7" applyNumberFormat="1" applyFont="1" applyFill="1" applyAlignment="1">
      <alignment horizontal="center" vertical="center"/>
    </xf>
    <xf numFmtId="164" fontId="12" fillId="2" borderId="1" xfId="6" applyFont="1" applyFill="1" applyBorder="1" applyAlignment="1">
      <alignment horizontal="right" vertical="center" wrapText="1"/>
    </xf>
    <xf numFmtId="164" fontId="6" fillId="2" borderId="1" xfId="6" applyFont="1" applyFill="1" applyBorder="1" applyAlignment="1">
      <alignment horizontal="right" vertical="center" wrapText="1"/>
    </xf>
    <xf numFmtId="164" fontId="6" fillId="2" borderId="0" xfId="6" applyFont="1" applyFill="1" applyAlignment="1">
      <alignment horizontal="right" vertical="center"/>
    </xf>
    <xf numFmtId="38" fontId="6" fillId="2" borderId="0" xfId="1" applyNumberFormat="1" applyFont="1" applyFill="1" applyBorder="1" applyAlignment="1">
      <alignment horizontal="right" vertical="center"/>
    </xf>
    <xf numFmtId="164" fontId="9" fillId="2" borderId="0" xfId="6" applyFont="1" applyFill="1" applyAlignment="1">
      <alignment horizontal="left" vertical="center"/>
    </xf>
    <xf numFmtId="164" fontId="9" fillId="2" borderId="0" xfId="6" quotePrefix="1" applyFont="1" applyFill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4" fontId="18" fillId="2" borderId="0" xfId="6" applyFont="1" applyFill="1" applyAlignment="1">
      <alignment horizontal="right" vertical="center"/>
    </xf>
    <xf numFmtId="164" fontId="19" fillId="2" borderId="0" xfId="7" applyNumberFormat="1" applyFont="1" applyFill="1"/>
    <xf numFmtId="164" fontId="9" fillId="2" borderId="0" xfId="6" applyFont="1" applyFill="1" applyAlignment="1">
      <alignment horizontal="right" vertical="center"/>
    </xf>
    <xf numFmtId="164" fontId="6" fillId="2" borderId="1" xfId="6" applyFont="1" applyFill="1" applyBorder="1" applyAlignment="1">
      <alignment horizontal="right" vertical="center"/>
    </xf>
    <xf numFmtId="38" fontId="6" fillId="2" borderId="1" xfId="1" applyNumberFormat="1" applyFont="1" applyFill="1" applyBorder="1" applyAlignment="1">
      <alignment horizontal="right" vertical="center"/>
    </xf>
    <xf numFmtId="164" fontId="20" fillId="2" borderId="0" xfId="6" applyFont="1" applyFill="1" applyAlignment="1">
      <alignment horizontal="left" vertical="center"/>
    </xf>
    <xf numFmtId="164" fontId="16" fillId="2" borderId="0" xfId="6" applyFont="1" applyFill="1"/>
    <xf numFmtId="164" fontId="7" fillId="2" borderId="0" xfId="6" applyFont="1" applyFill="1"/>
    <xf numFmtId="164" fontId="7" fillId="2" borderId="0" xfId="6" applyFont="1" applyFill="1" applyAlignment="1">
      <alignment horizontal="right"/>
    </xf>
    <xf numFmtId="164" fontId="10" fillId="2" borderId="0" xfId="6" applyFont="1" applyFill="1"/>
    <xf numFmtId="164" fontId="10" fillId="2" borderId="0" xfId="6" applyFont="1" applyFill="1" applyAlignment="1">
      <alignment horizontal="right"/>
    </xf>
    <xf numFmtId="164" fontId="10" fillId="2" borderId="0" xfId="7" applyNumberFormat="1" applyFont="1" applyFill="1" applyAlignment="1">
      <alignment horizontal="right"/>
    </xf>
    <xf numFmtId="164" fontId="8" fillId="2" borderId="5" xfId="6" applyFont="1" applyFill="1" applyBorder="1" applyAlignment="1">
      <alignment horizontal="right" vertical="center"/>
    </xf>
    <xf numFmtId="164" fontId="6" fillId="2" borderId="5" xfId="6" applyFont="1" applyFill="1" applyBorder="1" applyAlignment="1">
      <alignment horizontal="right" vertical="center" wrapText="1"/>
    </xf>
    <xf numFmtId="38" fontId="6" fillId="2" borderId="4" xfId="1" applyNumberFormat="1" applyFont="1" applyFill="1" applyBorder="1" applyAlignment="1">
      <alignment horizontal="right" vertical="center"/>
    </xf>
    <xf numFmtId="38" fontId="9" fillId="2" borderId="4" xfId="1" applyNumberFormat="1" applyFont="1" applyFill="1" applyBorder="1" applyAlignment="1">
      <alignment horizontal="right" vertical="center"/>
    </xf>
    <xf numFmtId="38" fontId="6" fillId="2" borderId="5" xfId="1" applyNumberFormat="1" applyFont="1" applyFill="1" applyBorder="1" applyAlignment="1">
      <alignment horizontal="right" vertical="center"/>
    </xf>
    <xf numFmtId="164" fontId="8" fillId="2" borderId="7" xfId="6" applyFont="1" applyFill="1" applyBorder="1" applyAlignment="1">
      <alignment horizontal="right" vertical="center"/>
    </xf>
    <xf numFmtId="164" fontId="6" fillId="2" borderId="7" xfId="6" applyFont="1" applyFill="1" applyBorder="1" applyAlignment="1">
      <alignment horizontal="right" vertical="center" wrapText="1"/>
    </xf>
    <xf numFmtId="38" fontId="6" fillId="2" borderId="6" xfId="1" applyNumberFormat="1" applyFont="1" applyFill="1" applyBorder="1" applyAlignment="1">
      <alignment horizontal="right" vertical="center"/>
    </xf>
    <xf numFmtId="38" fontId="9" fillId="2" borderId="6" xfId="1" applyNumberFormat="1" applyFont="1" applyFill="1" applyBorder="1" applyAlignment="1">
      <alignment horizontal="right" vertical="center"/>
    </xf>
    <xf numFmtId="38" fontId="6" fillId="2" borderId="7" xfId="1" applyNumberFormat="1" applyFont="1" applyFill="1" applyBorder="1" applyAlignment="1">
      <alignment horizontal="right" vertical="center"/>
    </xf>
    <xf numFmtId="164" fontId="8" fillId="2" borderId="0" xfId="6" applyFont="1" applyFill="1" applyAlignment="1">
      <alignment horizontal="right" vertical="center"/>
    </xf>
    <xf numFmtId="164" fontId="8" fillId="2" borderId="4" xfId="6" applyFont="1" applyFill="1" applyBorder="1" applyAlignment="1">
      <alignment horizontal="right" vertical="center"/>
    </xf>
    <xf numFmtId="164" fontId="6" fillId="2" borderId="8" xfId="6" applyFont="1" applyFill="1" applyBorder="1" applyAlignment="1">
      <alignment horizontal="center"/>
    </xf>
    <xf numFmtId="164" fontId="5" fillId="2" borderId="0" xfId="6" applyFont="1" applyFill="1" applyAlignment="1">
      <alignment horizontal="center" vertical="center"/>
    </xf>
    <xf numFmtId="164" fontId="2" fillId="2" borderId="1" xfId="6" applyFont="1" applyFill="1" applyBorder="1" applyAlignment="1">
      <alignment horizontal="center" vertical="top"/>
    </xf>
    <xf numFmtId="164" fontId="6" fillId="2" borderId="9" xfId="6" applyFont="1" applyFill="1" applyBorder="1" applyAlignment="1">
      <alignment horizontal="center"/>
    </xf>
    <xf numFmtId="164" fontId="6" fillId="2" borderId="3" xfId="6" applyFont="1" applyFill="1" applyBorder="1" applyAlignment="1">
      <alignment horizontal="center"/>
    </xf>
    <xf numFmtId="164" fontId="17" fillId="2" borderId="2" xfId="6" applyFont="1" applyFill="1" applyBorder="1" applyAlignment="1">
      <alignment horizontal="right" vertical="center"/>
    </xf>
    <xf numFmtId="164" fontId="17" fillId="2" borderId="0" xfId="6" applyFont="1" applyFill="1" applyAlignment="1">
      <alignment horizontal="right" vertical="center"/>
    </xf>
    <xf numFmtId="164" fontId="17" fillId="2" borderId="1" xfId="6" applyFont="1" applyFill="1" applyBorder="1" applyAlignment="1">
      <alignment horizontal="right" vertical="center"/>
    </xf>
    <xf numFmtId="164" fontId="6" fillId="2" borderId="2" xfId="6" applyFont="1" applyFill="1" applyBorder="1" applyAlignment="1">
      <alignment horizontal="left" vertical="center"/>
    </xf>
    <xf numFmtId="164" fontId="6" fillId="2" borderId="0" xfId="6" applyFont="1" applyFill="1" applyAlignment="1">
      <alignment horizontal="left" vertical="center"/>
    </xf>
    <xf numFmtId="164" fontId="6" fillId="2" borderId="1" xfId="6" applyFont="1" applyFill="1" applyBorder="1" applyAlignment="1">
      <alignment horizontal="left" vertical="center"/>
    </xf>
  </cellXfs>
  <cellStyles count="165">
    <cellStyle name="1" xfId="146" xr:uid="{DAE6356A-5F0B-40FC-8440-D38CCA2D7FE4}"/>
    <cellStyle name="Comma" xfId="1" builtinId="3"/>
    <cellStyle name="Comma 2" xfId="10" xr:uid="{00000000-0005-0000-0000-000001000000}"/>
    <cellStyle name="Comma 3" xfId="17" xr:uid="{64DE3F2C-7ADF-4CAC-A603-85C0B4A7FA05}"/>
    <cellStyle name="Comma 3 2" xfId="160" xr:uid="{52609CA5-C878-41A4-BEB0-99B40943D317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3" xfId="117" xr:uid="{B0F1B220-AC0F-4F7B-B3F3-EBE8B4C78D36}"/>
    <cellStyle name="Normal 3 3 2" xfId="154" xr:uid="{175BACD0-D76D-4E78-A620-34DE1309B5E9}"/>
    <cellStyle name="Normal 3 4" xfId="152" xr:uid="{0F9FD451-3C21-4663-8079-E41CE7CF7E15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5" xfId="29" xr:uid="{29E1426B-D9B9-4D10-9F91-A92B2F51AB44}"/>
    <cellStyle name="Normal 5 2" xfId="119" xr:uid="{CD7148B3-1CA5-4C01-BF43-61071BF5D107}"/>
    <cellStyle name="Normal 5 3" xfId="156" xr:uid="{BA5D37C8-0141-407A-9B6F-3CB14360AAB2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3" xfId="123" xr:uid="{5788FEC5-5155-484E-BE05-0F7C41AF7BCF}"/>
    <cellStyle name="Normal 6 3 2" xfId="162" xr:uid="{2A1F4FF1-EB06-4F10-B32E-D94C80895944}"/>
    <cellStyle name="Normal 6 4" xfId="8" xr:uid="{00000000-0005-0000-0000-00000B000000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 b="1">
                <a:effectLst/>
                <a:latin typeface="+mn-lt"/>
              </a:rPr>
              <a:t>Figure 7.21: Percentage share</a:t>
            </a:r>
            <a:r>
              <a:rPr lang="en-US" sz="1100" b="1" baseline="0">
                <a:effectLst/>
                <a:latin typeface="+mn-lt"/>
              </a:rPr>
              <a:t> of </a:t>
            </a:r>
            <a:r>
              <a:rPr lang="en-US" sz="1100" b="1">
                <a:effectLst/>
                <a:latin typeface="+mn-lt"/>
              </a:rPr>
              <a:t>Student enrolment in technical Education by sex, 2022</a:t>
            </a:r>
            <a:endParaRPr lang="en-US" sz="11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9.2758354103747415E-2"/>
          <c:y val="2.8047465734793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1277755909735011"/>
          <c:y val="0.11131420780816415"/>
          <c:w val="0.33150098238822051"/>
          <c:h val="0.80193188882750188"/>
        </c:manualLayout>
      </c:layout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'7.24'!$T$5:$U$5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'7.24'!$T$6:$U$6</c:f>
              <c:numCache>
                <c:formatCode>#,##0_);[Red]\(#,##0\)</c:formatCode>
                <c:ptCount val="2"/>
                <c:pt idx="0">
                  <c:v>998</c:v>
                </c:pt>
                <c:pt idx="1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79-4CFC-B04C-B7199FA61F6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27</xdr:row>
      <xdr:rowOff>207352</xdr:rowOff>
    </xdr:from>
    <xdr:to>
      <xdr:col>12</xdr:col>
      <xdr:colOff>219074</xdr:colOff>
      <xdr:row>45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W365"/>
  <sheetViews>
    <sheetView tabSelected="1" topLeftCell="B1" zoomScaleNormal="100" zoomScaleSheetLayoutView="62" workbookViewId="0">
      <selection activeCell="AC32" sqref="AC32"/>
    </sheetView>
  </sheetViews>
  <sheetFormatPr defaultRowHeight="12" x14ac:dyDescent="0.15"/>
  <cols>
    <col min="1" max="1" width="43.140625" style="10" customWidth="1"/>
    <col min="2" max="2" width="0.140625" style="10" customWidth="1"/>
    <col min="3" max="3" width="1.85546875" style="33" customWidth="1"/>
    <col min="4" max="4" width="11" style="10" customWidth="1"/>
    <col min="5" max="5" width="7.7109375" style="10" customWidth="1"/>
    <col min="6" max="6" width="8.140625" style="33" customWidth="1"/>
    <col min="7" max="7" width="11" style="10" customWidth="1"/>
    <col min="8" max="8" width="7.7109375" style="10" customWidth="1"/>
    <col min="9" max="9" width="8.140625" style="33" customWidth="1"/>
    <col min="10" max="10" width="1.7109375" style="33" customWidth="1"/>
    <col min="11" max="11" width="11" style="10" customWidth="1"/>
    <col min="12" max="12" width="7.7109375" style="10" customWidth="1"/>
    <col min="13" max="13" width="8.140625" style="33" customWidth="1"/>
    <col min="14" max="14" width="2.28515625" style="33" customWidth="1"/>
    <col min="15" max="17" width="8.140625" style="33" customWidth="1"/>
    <col min="18" max="18" width="1.7109375" style="33" customWidth="1"/>
    <col min="19" max="19" width="8.140625" style="33" customWidth="1"/>
    <col min="20" max="20" width="8.85546875" style="33" customWidth="1"/>
    <col min="21" max="21" width="11" style="10" customWidth="1"/>
    <col min="22" max="22" width="54.5703125" style="10" customWidth="1"/>
    <col min="23" max="23" width="2.85546875" style="10" customWidth="1"/>
    <col min="24" max="261" width="9.140625" style="10"/>
    <col min="262" max="262" width="43.28515625" style="10" customWidth="1"/>
    <col min="263" max="263" width="5.85546875" style="10" customWidth="1"/>
    <col min="264" max="264" width="6.28515625" style="10" customWidth="1"/>
    <col min="265" max="265" width="7.7109375" style="10" customWidth="1"/>
    <col min="266" max="266" width="8.140625" style="10" customWidth="1"/>
    <col min="267" max="267" width="2.5703125" style="10" customWidth="1"/>
    <col min="268" max="268" width="6.5703125" style="10" customWidth="1"/>
    <col min="269" max="269" width="48.85546875" style="10" customWidth="1"/>
    <col min="270" max="270" width="49.7109375" style="10" customWidth="1"/>
    <col min="271" max="517" width="9.140625" style="10"/>
    <col min="518" max="518" width="43.28515625" style="10" customWidth="1"/>
    <col min="519" max="519" width="5.85546875" style="10" customWidth="1"/>
    <col min="520" max="520" width="6.28515625" style="10" customWidth="1"/>
    <col min="521" max="521" width="7.7109375" style="10" customWidth="1"/>
    <col min="522" max="522" width="8.140625" style="10" customWidth="1"/>
    <col min="523" max="523" width="2.5703125" style="10" customWidth="1"/>
    <col min="524" max="524" width="6.5703125" style="10" customWidth="1"/>
    <col min="525" max="525" width="48.85546875" style="10" customWidth="1"/>
    <col min="526" max="526" width="49.7109375" style="10" customWidth="1"/>
    <col min="527" max="773" width="9.140625" style="10"/>
    <col min="774" max="774" width="43.28515625" style="10" customWidth="1"/>
    <col min="775" max="775" width="5.85546875" style="10" customWidth="1"/>
    <col min="776" max="776" width="6.28515625" style="10" customWidth="1"/>
    <col min="777" max="777" width="7.7109375" style="10" customWidth="1"/>
    <col min="778" max="778" width="8.140625" style="10" customWidth="1"/>
    <col min="779" max="779" width="2.5703125" style="10" customWidth="1"/>
    <col min="780" max="780" width="6.5703125" style="10" customWidth="1"/>
    <col min="781" max="781" width="48.85546875" style="10" customWidth="1"/>
    <col min="782" max="782" width="49.7109375" style="10" customWidth="1"/>
    <col min="783" max="1029" width="9.140625" style="10"/>
    <col min="1030" max="1030" width="43.28515625" style="10" customWidth="1"/>
    <col min="1031" max="1031" width="5.85546875" style="10" customWidth="1"/>
    <col min="1032" max="1032" width="6.28515625" style="10" customWidth="1"/>
    <col min="1033" max="1033" width="7.7109375" style="10" customWidth="1"/>
    <col min="1034" max="1034" width="8.140625" style="10" customWidth="1"/>
    <col min="1035" max="1035" width="2.5703125" style="10" customWidth="1"/>
    <col min="1036" max="1036" width="6.5703125" style="10" customWidth="1"/>
    <col min="1037" max="1037" width="48.85546875" style="10" customWidth="1"/>
    <col min="1038" max="1038" width="49.7109375" style="10" customWidth="1"/>
    <col min="1039" max="1285" width="9.140625" style="10"/>
    <col min="1286" max="1286" width="43.28515625" style="10" customWidth="1"/>
    <col min="1287" max="1287" width="5.85546875" style="10" customWidth="1"/>
    <col min="1288" max="1288" width="6.28515625" style="10" customWidth="1"/>
    <col min="1289" max="1289" width="7.7109375" style="10" customWidth="1"/>
    <col min="1290" max="1290" width="8.140625" style="10" customWidth="1"/>
    <col min="1291" max="1291" width="2.5703125" style="10" customWidth="1"/>
    <col min="1292" max="1292" width="6.5703125" style="10" customWidth="1"/>
    <col min="1293" max="1293" width="48.85546875" style="10" customWidth="1"/>
    <col min="1294" max="1294" width="49.7109375" style="10" customWidth="1"/>
    <col min="1295" max="1541" width="9.140625" style="10"/>
    <col min="1542" max="1542" width="43.28515625" style="10" customWidth="1"/>
    <col min="1543" max="1543" width="5.85546875" style="10" customWidth="1"/>
    <col min="1544" max="1544" width="6.28515625" style="10" customWidth="1"/>
    <col min="1545" max="1545" width="7.7109375" style="10" customWidth="1"/>
    <col min="1546" max="1546" width="8.140625" style="10" customWidth="1"/>
    <col min="1547" max="1547" width="2.5703125" style="10" customWidth="1"/>
    <col min="1548" max="1548" width="6.5703125" style="10" customWidth="1"/>
    <col min="1549" max="1549" width="48.85546875" style="10" customWidth="1"/>
    <col min="1550" max="1550" width="49.7109375" style="10" customWidth="1"/>
    <col min="1551" max="1797" width="9.140625" style="10"/>
    <col min="1798" max="1798" width="43.28515625" style="10" customWidth="1"/>
    <col min="1799" max="1799" width="5.85546875" style="10" customWidth="1"/>
    <col min="1800" max="1800" width="6.28515625" style="10" customWidth="1"/>
    <col min="1801" max="1801" width="7.7109375" style="10" customWidth="1"/>
    <col min="1802" max="1802" width="8.140625" style="10" customWidth="1"/>
    <col min="1803" max="1803" width="2.5703125" style="10" customWidth="1"/>
    <col min="1804" max="1804" width="6.5703125" style="10" customWidth="1"/>
    <col min="1805" max="1805" width="48.85546875" style="10" customWidth="1"/>
    <col min="1806" max="1806" width="49.7109375" style="10" customWidth="1"/>
    <col min="1807" max="2053" width="9.140625" style="10"/>
    <col min="2054" max="2054" width="43.28515625" style="10" customWidth="1"/>
    <col min="2055" max="2055" width="5.85546875" style="10" customWidth="1"/>
    <col min="2056" max="2056" width="6.28515625" style="10" customWidth="1"/>
    <col min="2057" max="2057" width="7.7109375" style="10" customWidth="1"/>
    <col min="2058" max="2058" width="8.140625" style="10" customWidth="1"/>
    <col min="2059" max="2059" width="2.5703125" style="10" customWidth="1"/>
    <col min="2060" max="2060" width="6.5703125" style="10" customWidth="1"/>
    <col min="2061" max="2061" width="48.85546875" style="10" customWidth="1"/>
    <col min="2062" max="2062" width="49.7109375" style="10" customWidth="1"/>
    <col min="2063" max="2309" width="9.140625" style="10"/>
    <col min="2310" max="2310" width="43.28515625" style="10" customWidth="1"/>
    <col min="2311" max="2311" width="5.85546875" style="10" customWidth="1"/>
    <col min="2312" max="2312" width="6.28515625" style="10" customWidth="1"/>
    <col min="2313" max="2313" width="7.7109375" style="10" customWidth="1"/>
    <col min="2314" max="2314" width="8.140625" style="10" customWidth="1"/>
    <col min="2315" max="2315" width="2.5703125" style="10" customWidth="1"/>
    <col min="2316" max="2316" width="6.5703125" style="10" customWidth="1"/>
    <col min="2317" max="2317" width="48.85546875" style="10" customWidth="1"/>
    <col min="2318" max="2318" width="49.7109375" style="10" customWidth="1"/>
    <col min="2319" max="2565" width="9.140625" style="10"/>
    <col min="2566" max="2566" width="43.28515625" style="10" customWidth="1"/>
    <col min="2567" max="2567" width="5.85546875" style="10" customWidth="1"/>
    <col min="2568" max="2568" width="6.28515625" style="10" customWidth="1"/>
    <col min="2569" max="2569" width="7.7109375" style="10" customWidth="1"/>
    <col min="2570" max="2570" width="8.140625" style="10" customWidth="1"/>
    <col min="2571" max="2571" width="2.5703125" style="10" customWidth="1"/>
    <col min="2572" max="2572" width="6.5703125" style="10" customWidth="1"/>
    <col min="2573" max="2573" width="48.85546875" style="10" customWidth="1"/>
    <col min="2574" max="2574" width="49.7109375" style="10" customWidth="1"/>
    <col min="2575" max="2821" width="9.140625" style="10"/>
    <col min="2822" max="2822" width="43.28515625" style="10" customWidth="1"/>
    <col min="2823" max="2823" width="5.85546875" style="10" customWidth="1"/>
    <col min="2824" max="2824" width="6.28515625" style="10" customWidth="1"/>
    <col min="2825" max="2825" width="7.7109375" style="10" customWidth="1"/>
    <col min="2826" max="2826" width="8.140625" style="10" customWidth="1"/>
    <col min="2827" max="2827" width="2.5703125" style="10" customWidth="1"/>
    <col min="2828" max="2828" width="6.5703125" style="10" customWidth="1"/>
    <col min="2829" max="2829" width="48.85546875" style="10" customWidth="1"/>
    <col min="2830" max="2830" width="49.7109375" style="10" customWidth="1"/>
    <col min="2831" max="3077" width="9.140625" style="10"/>
    <col min="3078" max="3078" width="43.28515625" style="10" customWidth="1"/>
    <col min="3079" max="3079" width="5.85546875" style="10" customWidth="1"/>
    <col min="3080" max="3080" width="6.28515625" style="10" customWidth="1"/>
    <col min="3081" max="3081" width="7.7109375" style="10" customWidth="1"/>
    <col min="3082" max="3082" width="8.140625" style="10" customWidth="1"/>
    <col min="3083" max="3083" width="2.5703125" style="10" customWidth="1"/>
    <col min="3084" max="3084" width="6.5703125" style="10" customWidth="1"/>
    <col min="3085" max="3085" width="48.85546875" style="10" customWidth="1"/>
    <col min="3086" max="3086" width="49.7109375" style="10" customWidth="1"/>
    <col min="3087" max="3333" width="9.140625" style="10"/>
    <col min="3334" max="3334" width="43.28515625" style="10" customWidth="1"/>
    <col min="3335" max="3335" width="5.85546875" style="10" customWidth="1"/>
    <col min="3336" max="3336" width="6.28515625" style="10" customWidth="1"/>
    <col min="3337" max="3337" width="7.7109375" style="10" customWidth="1"/>
    <col min="3338" max="3338" width="8.140625" style="10" customWidth="1"/>
    <col min="3339" max="3339" width="2.5703125" style="10" customWidth="1"/>
    <col min="3340" max="3340" width="6.5703125" style="10" customWidth="1"/>
    <col min="3341" max="3341" width="48.85546875" style="10" customWidth="1"/>
    <col min="3342" max="3342" width="49.7109375" style="10" customWidth="1"/>
    <col min="3343" max="3589" width="9.140625" style="10"/>
    <col min="3590" max="3590" width="43.28515625" style="10" customWidth="1"/>
    <col min="3591" max="3591" width="5.85546875" style="10" customWidth="1"/>
    <col min="3592" max="3592" width="6.28515625" style="10" customWidth="1"/>
    <col min="3593" max="3593" width="7.7109375" style="10" customWidth="1"/>
    <col min="3594" max="3594" width="8.140625" style="10" customWidth="1"/>
    <col min="3595" max="3595" width="2.5703125" style="10" customWidth="1"/>
    <col min="3596" max="3596" width="6.5703125" style="10" customWidth="1"/>
    <col min="3597" max="3597" width="48.85546875" style="10" customWidth="1"/>
    <col min="3598" max="3598" width="49.7109375" style="10" customWidth="1"/>
    <col min="3599" max="3845" width="9.140625" style="10"/>
    <col min="3846" max="3846" width="43.28515625" style="10" customWidth="1"/>
    <col min="3847" max="3847" width="5.85546875" style="10" customWidth="1"/>
    <col min="3848" max="3848" width="6.28515625" style="10" customWidth="1"/>
    <col min="3849" max="3849" width="7.7109375" style="10" customWidth="1"/>
    <col min="3850" max="3850" width="8.140625" style="10" customWidth="1"/>
    <col min="3851" max="3851" width="2.5703125" style="10" customWidth="1"/>
    <col min="3852" max="3852" width="6.5703125" style="10" customWidth="1"/>
    <col min="3853" max="3853" width="48.85546875" style="10" customWidth="1"/>
    <col min="3854" max="3854" width="49.7109375" style="10" customWidth="1"/>
    <col min="3855" max="4101" width="9.140625" style="10"/>
    <col min="4102" max="4102" width="43.28515625" style="10" customWidth="1"/>
    <col min="4103" max="4103" width="5.85546875" style="10" customWidth="1"/>
    <col min="4104" max="4104" width="6.28515625" style="10" customWidth="1"/>
    <col min="4105" max="4105" width="7.7109375" style="10" customWidth="1"/>
    <col min="4106" max="4106" width="8.140625" style="10" customWidth="1"/>
    <col min="4107" max="4107" width="2.5703125" style="10" customWidth="1"/>
    <col min="4108" max="4108" width="6.5703125" style="10" customWidth="1"/>
    <col min="4109" max="4109" width="48.85546875" style="10" customWidth="1"/>
    <col min="4110" max="4110" width="49.7109375" style="10" customWidth="1"/>
    <col min="4111" max="4357" width="9.140625" style="10"/>
    <col min="4358" max="4358" width="43.28515625" style="10" customWidth="1"/>
    <col min="4359" max="4359" width="5.85546875" style="10" customWidth="1"/>
    <col min="4360" max="4360" width="6.28515625" style="10" customWidth="1"/>
    <col min="4361" max="4361" width="7.7109375" style="10" customWidth="1"/>
    <col min="4362" max="4362" width="8.140625" style="10" customWidth="1"/>
    <col min="4363" max="4363" width="2.5703125" style="10" customWidth="1"/>
    <col min="4364" max="4364" width="6.5703125" style="10" customWidth="1"/>
    <col min="4365" max="4365" width="48.85546875" style="10" customWidth="1"/>
    <col min="4366" max="4366" width="49.7109375" style="10" customWidth="1"/>
    <col min="4367" max="4613" width="9.140625" style="10"/>
    <col min="4614" max="4614" width="43.28515625" style="10" customWidth="1"/>
    <col min="4615" max="4615" width="5.85546875" style="10" customWidth="1"/>
    <col min="4616" max="4616" width="6.28515625" style="10" customWidth="1"/>
    <col min="4617" max="4617" width="7.7109375" style="10" customWidth="1"/>
    <col min="4618" max="4618" width="8.140625" style="10" customWidth="1"/>
    <col min="4619" max="4619" width="2.5703125" style="10" customWidth="1"/>
    <col min="4620" max="4620" width="6.5703125" style="10" customWidth="1"/>
    <col min="4621" max="4621" width="48.85546875" style="10" customWidth="1"/>
    <col min="4622" max="4622" width="49.7109375" style="10" customWidth="1"/>
    <col min="4623" max="4869" width="9.140625" style="10"/>
    <col min="4870" max="4870" width="43.28515625" style="10" customWidth="1"/>
    <col min="4871" max="4871" width="5.85546875" style="10" customWidth="1"/>
    <col min="4872" max="4872" width="6.28515625" style="10" customWidth="1"/>
    <col min="4873" max="4873" width="7.7109375" style="10" customWidth="1"/>
    <col min="4874" max="4874" width="8.140625" style="10" customWidth="1"/>
    <col min="4875" max="4875" width="2.5703125" style="10" customWidth="1"/>
    <col min="4876" max="4876" width="6.5703125" style="10" customWidth="1"/>
    <col min="4877" max="4877" width="48.85546875" style="10" customWidth="1"/>
    <col min="4878" max="4878" width="49.7109375" style="10" customWidth="1"/>
    <col min="4879" max="5125" width="9.140625" style="10"/>
    <col min="5126" max="5126" width="43.28515625" style="10" customWidth="1"/>
    <col min="5127" max="5127" width="5.85546875" style="10" customWidth="1"/>
    <col min="5128" max="5128" width="6.28515625" style="10" customWidth="1"/>
    <col min="5129" max="5129" width="7.7109375" style="10" customWidth="1"/>
    <col min="5130" max="5130" width="8.140625" style="10" customWidth="1"/>
    <col min="5131" max="5131" width="2.5703125" style="10" customWidth="1"/>
    <col min="5132" max="5132" width="6.5703125" style="10" customWidth="1"/>
    <col min="5133" max="5133" width="48.85546875" style="10" customWidth="1"/>
    <col min="5134" max="5134" width="49.7109375" style="10" customWidth="1"/>
    <col min="5135" max="5381" width="9.140625" style="10"/>
    <col min="5382" max="5382" width="43.28515625" style="10" customWidth="1"/>
    <col min="5383" max="5383" width="5.85546875" style="10" customWidth="1"/>
    <col min="5384" max="5384" width="6.28515625" style="10" customWidth="1"/>
    <col min="5385" max="5385" width="7.7109375" style="10" customWidth="1"/>
    <col min="5386" max="5386" width="8.140625" style="10" customWidth="1"/>
    <col min="5387" max="5387" width="2.5703125" style="10" customWidth="1"/>
    <col min="5388" max="5388" width="6.5703125" style="10" customWidth="1"/>
    <col min="5389" max="5389" width="48.85546875" style="10" customWidth="1"/>
    <col min="5390" max="5390" width="49.7109375" style="10" customWidth="1"/>
    <col min="5391" max="5637" width="9.140625" style="10"/>
    <col min="5638" max="5638" width="43.28515625" style="10" customWidth="1"/>
    <col min="5639" max="5639" width="5.85546875" style="10" customWidth="1"/>
    <col min="5640" max="5640" width="6.28515625" style="10" customWidth="1"/>
    <col min="5641" max="5641" width="7.7109375" style="10" customWidth="1"/>
    <col min="5642" max="5642" width="8.140625" style="10" customWidth="1"/>
    <col min="5643" max="5643" width="2.5703125" style="10" customWidth="1"/>
    <col min="5644" max="5644" width="6.5703125" style="10" customWidth="1"/>
    <col min="5645" max="5645" width="48.85546875" style="10" customWidth="1"/>
    <col min="5646" max="5646" width="49.7109375" style="10" customWidth="1"/>
    <col min="5647" max="5893" width="9.140625" style="10"/>
    <col min="5894" max="5894" width="43.28515625" style="10" customWidth="1"/>
    <col min="5895" max="5895" width="5.85546875" style="10" customWidth="1"/>
    <col min="5896" max="5896" width="6.28515625" style="10" customWidth="1"/>
    <col min="5897" max="5897" width="7.7109375" style="10" customWidth="1"/>
    <col min="5898" max="5898" width="8.140625" style="10" customWidth="1"/>
    <col min="5899" max="5899" width="2.5703125" style="10" customWidth="1"/>
    <col min="5900" max="5900" width="6.5703125" style="10" customWidth="1"/>
    <col min="5901" max="5901" width="48.85546875" style="10" customWidth="1"/>
    <col min="5902" max="5902" width="49.7109375" style="10" customWidth="1"/>
    <col min="5903" max="6149" width="9.140625" style="10"/>
    <col min="6150" max="6150" width="43.28515625" style="10" customWidth="1"/>
    <col min="6151" max="6151" width="5.85546875" style="10" customWidth="1"/>
    <col min="6152" max="6152" width="6.28515625" style="10" customWidth="1"/>
    <col min="6153" max="6153" width="7.7109375" style="10" customWidth="1"/>
    <col min="6154" max="6154" width="8.140625" style="10" customWidth="1"/>
    <col min="6155" max="6155" width="2.5703125" style="10" customWidth="1"/>
    <col min="6156" max="6156" width="6.5703125" style="10" customWidth="1"/>
    <col min="6157" max="6157" width="48.85546875" style="10" customWidth="1"/>
    <col min="6158" max="6158" width="49.7109375" style="10" customWidth="1"/>
    <col min="6159" max="6405" width="9.140625" style="10"/>
    <col min="6406" max="6406" width="43.28515625" style="10" customWidth="1"/>
    <col min="6407" max="6407" width="5.85546875" style="10" customWidth="1"/>
    <col min="6408" max="6408" width="6.28515625" style="10" customWidth="1"/>
    <col min="6409" max="6409" width="7.7109375" style="10" customWidth="1"/>
    <col min="6410" max="6410" width="8.140625" style="10" customWidth="1"/>
    <col min="6411" max="6411" width="2.5703125" style="10" customWidth="1"/>
    <col min="6412" max="6412" width="6.5703125" style="10" customWidth="1"/>
    <col min="6413" max="6413" width="48.85546875" style="10" customWidth="1"/>
    <col min="6414" max="6414" width="49.7109375" style="10" customWidth="1"/>
    <col min="6415" max="6661" width="9.140625" style="10"/>
    <col min="6662" max="6662" width="43.28515625" style="10" customWidth="1"/>
    <col min="6663" max="6663" width="5.85546875" style="10" customWidth="1"/>
    <col min="6664" max="6664" width="6.28515625" style="10" customWidth="1"/>
    <col min="6665" max="6665" width="7.7109375" style="10" customWidth="1"/>
    <col min="6666" max="6666" width="8.140625" style="10" customWidth="1"/>
    <col min="6667" max="6667" width="2.5703125" style="10" customWidth="1"/>
    <col min="6668" max="6668" width="6.5703125" style="10" customWidth="1"/>
    <col min="6669" max="6669" width="48.85546875" style="10" customWidth="1"/>
    <col min="6670" max="6670" width="49.7109375" style="10" customWidth="1"/>
    <col min="6671" max="6917" width="9.140625" style="10"/>
    <col min="6918" max="6918" width="43.28515625" style="10" customWidth="1"/>
    <col min="6919" max="6919" width="5.85546875" style="10" customWidth="1"/>
    <col min="6920" max="6920" width="6.28515625" style="10" customWidth="1"/>
    <col min="6921" max="6921" width="7.7109375" style="10" customWidth="1"/>
    <col min="6922" max="6922" width="8.140625" style="10" customWidth="1"/>
    <col min="6923" max="6923" width="2.5703125" style="10" customWidth="1"/>
    <col min="6924" max="6924" width="6.5703125" style="10" customWidth="1"/>
    <col min="6925" max="6925" width="48.85546875" style="10" customWidth="1"/>
    <col min="6926" max="6926" width="49.7109375" style="10" customWidth="1"/>
    <col min="6927" max="7173" width="9.140625" style="10"/>
    <col min="7174" max="7174" width="43.28515625" style="10" customWidth="1"/>
    <col min="7175" max="7175" width="5.85546875" style="10" customWidth="1"/>
    <col min="7176" max="7176" width="6.28515625" style="10" customWidth="1"/>
    <col min="7177" max="7177" width="7.7109375" style="10" customWidth="1"/>
    <col min="7178" max="7178" width="8.140625" style="10" customWidth="1"/>
    <col min="7179" max="7179" width="2.5703125" style="10" customWidth="1"/>
    <col min="7180" max="7180" width="6.5703125" style="10" customWidth="1"/>
    <col min="7181" max="7181" width="48.85546875" style="10" customWidth="1"/>
    <col min="7182" max="7182" width="49.7109375" style="10" customWidth="1"/>
    <col min="7183" max="7429" width="9.140625" style="10"/>
    <col min="7430" max="7430" width="43.28515625" style="10" customWidth="1"/>
    <col min="7431" max="7431" width="5.85546875" style="10" customWidth="1"/>
    <col min="7432" max="7432" width="6.28515625" style="10" customWidth="1"/>
    <col min="7433" max="7433" width="7.7109375" style="10" customWidth="1"/>
    <col min="7434" max="7434" width="8.140625" style="10" customWidth="1"/>
    <col min="7435" max="7435" width="2.5703125" style="10" customWidth="1"/>
    <col min="7436" max="7436" width="6.5703125" style="10" customWidth="1"/>
    <col min="7437" max="7437" width="48.85546875" style="10" customWidth="1"/>
    <col min="7438" max="7438" width="49.7109375" style="10" customWidth="1"/>
    <col min="7439" max="7685" width="9.140625" style="10"/>
    <col min="7686" max="7686" width="43.28515625" style="10" customWidth="1"/>
    <col min="7687" max="7687" width="5.85546875" style="10" customWidth="1"/>
    <col min="7688" max="7688" width="6.28515625" style="10" customWidth="1"/>
    <col min="7689" max="7689" width="7.7109375" style="10" customWidth="1"/>
    <col min="7690" max="7690" width="8.140625" style="10" customWidth="1"/>
    <col min="7691" max="7691" width="2.5703125" style="10" customWidth="1"/>
    <col min="7692" max="7692" width="6.5703125" style="10" customWidth="1"/>
    <col min="7693" max="7693" width="48.85546875" style="10" customWidth="1"/>
    <col min="7694" max="7694" width="49.7109375" style="10" customWidth="1"/>
    <col min="7695" max="7941" width="9.140625" style="10"/>
    <col min="7942" max="7942" width="43.28515625" style="10" customWidth="1"/>
    <col min="7943" max="7943" width="5.85546875" style="10" customWidth="1"/>
    <col min="7944" max="7944" width="6.28515625" style="10" customWidth="1"/>
    <col min="7945" max="7945" width="7.7109375" style="10" customWidth="1"/>
    <col min="7946" max="7946" width="8.140625" style="10" customWidth="1"/>
    <col min="7947" max="7947" width="2.5703125" style="10" customWidth="1"/>
    <col min="7948" max="7948" width="6.5703125" style="10" customWidth="1"/>
    <col min="7949" max="7949" width="48.85546875" style="10" customWidth="1"/>
    <col min="7950" max="7950" width="49.7109375" style="10" customWidth="1"/>
    <col min="7951" max="8197" width="9.140625" style="10"/>
    <col min="8198" max="8198" width="43.28515625" style="10" customWidth="1"/>
    <col min="8199" max="8199" width="5.85546875" style="10" customWidth="1"/>
    <col min="8200" max="8200" width="6.28515625" style="10" customWidth="1"/>
    <col min="8201" max="8201" width="7.7109375" style="10" customWidth="1"/>
    <col min="8202" max="8202" width="8.140625" style="10" customWidth="1"/>
    <col min="8203" max="8203" width="2.5703125" style="10" customWidth="1"/>
    <col min="8204" max="8204" width="6.5703125" style="10" customWidth="1"/>
    <col min="8205" max="8205" width="48.85546875" style="10" customWidth="1"/>
    <col min="8206" max="8206" width="49.7109375" style="10" customWidth="1"/>
    <col min="8207" max="8453" width="9.140625" style="10"/>
    <col min="8454" max="8454" width="43.28515625" style="10" customWidth="1"/>
    <col min="8455" max="8455" width="5.85546875" style="10" customWidth="1"/>
    <col min="8456" max="8456" width="6.28515625" style="10" customWidth="1"/>
    <col min="8457" max="8457" width="7.7109375" style="10" customWidth="1"/>
    <col min="8458" max="8458" width="8.140625" style="10" customWidth="1"/>
    <col min="8459" max="8459" width="2.5703125" style="10" customWidth="1"/>
    <col min="8460" max="8460" width="6.5703125" style="10" customWidth="1"/>
    <col min="8461" max="8461" width="48.85546875" style="10" customWidth="1"/>
    <col min="8462" max="8462" width="49.7109375" style="10" customWidth="1"/>
    <col min="8463" max="8709" width="9.140625" style="10"/>
    <col min="8710" max="8710" width="43.28515625" style="10" customWidth="1"/>
    <col min="8711" max="8711" width="5.85546875" style="10" customWidth="1"/>
    <col min="8712" max="8712" width="6.28515625" style="10" customWidth="1"/>
    <col min="8713" max="8713" width="7.7109375" style="10" customWidth="1"/>
    <col min="8714" max="8714" width="8.140625" style="10" customWidth="1"/>
    <col min="8715" max="8715" width="2.5703125" style="10" customWidth="1"/>
    <col min="8716" max="8716" width="6.5703125" style="10" customWidth="1"/>
    <col min="8717" max="8717" width="48.85546875" style="10" customWidth="1"/>
    <col min="8718" max="8718" width="49.7109375" style="10" customWidth="1"/>
    <col min="8719" max="8965" width="9.140625" style="10"/>
    <col min="8966" max="8966" width="43.28515625" style="10" customWidth="1"/>
    <col min="8967" max="8967" width="5.85546875" style="10" customWidth="1"/>
    <col min="8968" max="8968" width="6.28515625" style="10" customWidth="1"/>
    <col min="8969" max="8969" width="7.7109375" style="10" customWidth="1"/>
    <col min="8970" max="8970" width="8.140625" style="10" customWidth="1"/>
    <col min="8971" max="8971" width="2.5703125" style="10" customWidth="1"/>
    <col min="8972" max="8972" width="6.5703125" style="10" customWidth="1"/>
    <col min="8973" max="8973" width="48.85546875" style="10" customWidth="1"/>
    <col min="8974" max="8974" width="49.7109375" style="10" customWidth="1"/>
    <col min="8975" max="9221" width="9.140625" style="10"/>
    <col min="9222" max="9222" width="43.28515625" style="10" customWidth="1"/>
    <col min="9223" max="9223" width="5.85546875" style="10" customWidth="1"/>
    <col min="9224" max="9224" width="6.28515625" style="10" customWidth="1"/>
    <col min="9225" max="9225" width="7.7109375" style="10" customWidth="1"/>
    <col min="9226" max="9226" width="8.140625" style="10" customWidth="1"/>
    <col min="9227" max="9227" width="2.5703125" style="10" customWidth="1"/>
    <col min="9228" max="9228" width="6.5703125" style="10" customWidth="1"/>
    <col min="9229" max="9229" width="48.85546875" style="10" customWidth="1"/>
    <col min="9230" max="9230" width="49.7109375" style="10" customWidth="1"/>
    <col min="9231" max="9477" width="9.140625" style="10"/>
    <col min="9478" max="9478" width="43.28515625" style="10" customWidth="1"/>
    <col min="9479" max="9479" width="5.85546875" style="10" customWidth="1"/>
    <col min="9480" max="9480" width="6.28515625" style="10" customWidth="1"/>
    <col min="9481" max="9481" width="7.7109375" style="10" customWidth="1"/>
    <col min="9482" max="9482" width="8.140625" style="10" customWidth="1"/>
    <col min="9483" max="9483" width="2.5703125" style="10" customWidth="1"/>
    <col min="9484" max="9484" width="6.5703125" style="10" customWidth="1"/>
    <col min="9485" max="9485" width="48.85546875" style="10" customWidth="1"/>
    <col min="9486" max="9486" width="49.7109375" style="10" customWidth="1"/>
    <col min="9487" max="9733" width="9.140625" style="10"/>
    <col min="9734" max="9734" width="43.28515625" style="10" customWidth="1"/>
    <col min="9735" max="9735" width="5.85546875" style="10" customWidth="1"/>
    <col min="9736" max="9736" width="6.28515625" style="10" customWidth="1"/>
    <col min="9737" max="9737" width="7.7109375" style="10" customWidth="1"/>
    <col min="9738" max="9738" width="8.140625" style="10" customWidth="1"/>
    <col min="9739" max="9739" width="2.5703125" style="10" customWidth="1"/>
    <col min="9740" max="9740" width="6.5703125" style="10" customWidth="1"/>
    <col min="9741" max="9741" width="48.85546875" style="10" customWidth="1"/>
    <col min="9742" max="9742" width="49.7109375" style="10" customWidth="1"/>
    <col min="9743" max="9989" width="9.140625" style="10"/>
    <col min="9990" max="9990" width="43.28515625" style="10" customWidth="1"/>
    <col min="9991" max="9991" width="5.85546875" style="10" customWidth="1"/>
    <col min="9992" max="9992" width="6.28515625" style="10" customWidth="1"/>
    <col min="9993" max="9993" width="7.7109375" style="10" customWidth="1"/>
    <col min="9994" max="9994" width="8.140625" style="10" customWidth="1"/>
    <col min="9995" max="9995" width="2.5703125" style="10" customWidth="1"/>
    <col min="9996" max="9996" width="6.5703125" style="10" customWidth="1"/>
    <col min="9997" max="9997" width="48.85546875" style="10" customWidth="1"/>
    <col min="9998" max="9998" width="49.7109375" style="10" customWidth="1"/>
    <col min="9999" max="10245" width="9.140625" style="10"/>
    <col min="10246" max="10246" width="43.28515625" style="10" customWidth="1"/>
    <col min="10247" max="10247" width="5.85546875" style="10" customWidth="1"/>
    <col min="10248" max="10248" width="6.28515625" style="10" customWidth="1"/>
    <col min="10249" max="10249" width="7.7109375" style="10" customWidth="1"/>
    <col min="10250" max="10250" width="8.140625" style="10" customWidth="1"/>
    <col min="10251" max="10251" width="2.5703125" style="10" customWidth="1"/>
    <col min="10252" max="10252" width="6.5703125" style="10" customWidth="1"/>
    <col min="10253" max="10253" width="48.85546875" style="10" customWidth="1"/>
    <col min="10254" max="10254" width="49.7109375" style="10" customWidth="1"/>
    <col min="10255" max="10501" width="9.140625" style="10"/>
    <col min="10502" max="10502" width="43.28515625" style="10" customWidth="1"/>
    <col min="10503" max="10503" width="5.85546875" style="10" customWidth="1"/>
    <col min="10504" max="10504" width="6.28515625" style="10" customWidth="1"/>
    <col min="10505" max="10505" width="7.7109375" style="10" customWidth="1"/>
    <col min="10506" max="10506" width="8.140625" style="10" customWidth="1"/>
    <col min="10507" max="10507" width="2.5703125" style="10" customWidth="1"/>
    <col min="10508" max="10508" width="6.5703125" style="10" customWidth="1"/>
    <col min="10509" max="10509" width="48.85546875" style="10" customWidth="1"/>
    <col min="10510" max="10510" width="49.7109375" style="10" customWidth="1"/>
    <col min="10511" max="10757" width="9.140625" style="10"/>
    <col min="10758" max="10758" width="43.28515625" style="10" customWidth="1"/>
    <col min="10759" max="10759" width="5.85546875" style="10" customWidth="1"/>
    <col min="10760" max="10760" width="6.28515625" style="10" customWidth="1"/>
    <col min="10761" max="10761" width="7.7109375" style="10" customWidth="1"/>
    <col min="10762" max="10762" width="8.140625" style="10" customWidth="1"/>
    <col min="10763" max="10763" width="2.5703125" style="10" customWidth="1"/>
    <col min="10764" max="10764" width="6.5703125" style="10" customWidth="1"/>
    <col min="10765" max="10765" width="48.85546875" style="10" customWidth="1"/>
    <col min="10766" max="10766" width="49.7109375" style="10" customWidth="1"/>
    <col min="10767" max="11013" width="9.140625" style="10"/>
    <col min="11014" max="11014" width="43.28515625" style="10" customWidth="1"/>
    <col min="11015" max="11015" width="5.85546875" style="10" customWidth="1"/>
    <col min="11016" max="11016" width="6.28515625" style="10" customWidth="1"/>
    <col min="11017" max="11017" width="7.7109375" style="10" customWidth="1"/>
    <col min="11018" max="11018" width="8.140625" style="10" customWidth="1"/>
    <col min="11019" max="11019" width="2.5703125" style="10" customWidth="1"/>
    <col min="11020" max="11020" width="6.5703125" style="10" customWidth="1"/>
    <col min="11021" max="11021" width="48.85546875" style="10" customWidth="1"/>
    <col min="11022" max="11022" width="49.7109375" style="10" customWidth="1"/>
    <col min="11023" max="11269" width="9.140625" style="10"/>
    <col min="11270" max="11270" width="43.28515625" style="10" customWidth="1"/>
    <col min="11271" max="11271" width="5.85546875" style="10" customWidth="1"/>
    <col min="11272" max="11272" width="6.28515625" style="10" customWidth="1"/>
    <col min="11273" max="11273" width="7.7109375" style="10" customWidth="1"/>
    <col min="11274" max="11274" width="8.140625" style="10" customWidth="1"/>
    <col min="11275" max="11275" width="2.5703125" style="10" customWidth="1"/>
    <col min="11276" max="11276" width="6.5703125" style="10" customWidth="1"/>
    <col min="11277" max="11277" width="48.85546875" style="10" customWidth="1"/>
    <col min="11278" max="11278" width="49.7109375" style="10" customWidth="1"/>
    <col min="11279" max="11525" width="9.140625" style="10"/>
    <col min="11526" max="11526" width="43.28515625" style="10" customWidth="1"/>
    <col min="11527" max="11527" width="5.85546875" style="10" customWidth="1"/>
    <col min="11528" max="11528" width="6.28515625" style="10" customWidth="1"/>
    <col min="11529" max="11529" width="7.7109375" style="10" customWidth="1"/>
    <col min="11530" max="11530" width="8.140625" style="10" customWidth="1"/>
    <col min="11531" max="11531" width="2.5703125" style="10" customWidth="1"/>
    <col min="11532" max="11532" width="6.5703125" style="10" customWidth="1"/>
    <col min="11533" max="11533" width="48.85546875" style="10" customWidth="1"/>
    <col min="11534" max="11534" width="49.7109375" style="10" customWidth="1"/>
    <col min="11535" max="11781" width="9.140625" style="10"/>
    <col min="11782" max="11782" width="43.28515625" style="10" customWidth="1"/>
    <col min="11783" max="11783" width="5.85546875" style="10" customWidth="1"/>
    <col min="11784" max="11784" width="6.28515625" style="10" customWidth="1"/>
    <col min="11785" max="11785" width="7.7109375" style="10" customWidth="1"/>
    <col min="11786" max="11786" width="8.140625" style="10" customWidth="1"/>
    <col min="11787" max="11787" width="2.5703125" style="10" customWidth="1"/>
    <col min="11788" max="11788" width="6.5703125" style="10" customWidth="1"/>
    <col min="11789" max="11789" width="48.85546875" style="10" customWidth="1"/>
    <col min="11790" max="11790" width="49.7109375" style="10" customWidth="1"/>
    <col min="11791" max="12037" width="9.140625" style="10"/>
    <col min="12038" max="12038" width="43.28515625" style="10" customWidth="1"/>
    <col min="12039" max="12039" width="5.85546875" style="10" customWidth="1"/>
    <col min="12040" max="12040" width="6.28515625" style="10" customWidth="1"/>
    <col min="12041" max="12041" width="7.7109375" style="10" customWidth="1"/>
    <col min="12042" max="12042" width="8.140625" style="10" customWidth="1"/>
    <col min="12043" max="12043" width="2.5703125" style="10" customWidth="1"/>
    <col min="12044" max="12044" width="6.5703125" style="10" customWidth="1"/>
    <col min="12045" max="12045" width="48.85546875" style="10" customWidth="1"/>
    <col min="12046" max="12046" width="49.7109375" style="10" customWidth="1"/>
    <col min="12047" max="12293" width="9.140625" style="10"/>
    <col min="12294" max="12294" width="43.28515625" style="10" customWidth="1"/>
    <col min="12295" max="12295" width="5.85546875" style="10" customWidth="1"/>
    <col min="12296" max="12296" width="6.28515625" style="10" customWidth="1"/>
    <col min="12297" max="12297" width="7.7109375" style="10" customWidth="1"/>
    <col min="12298" max="12298" width="8.140625" style="10" customWidth="1"/>
    <col min="12299" max="12299" width="2.5703125" style="10" customWidth="1"/>
    <col min="12300" max="12300" width="6.5703125" style="10" customWidth="1"/>
    <col min="12301" max="12301" width="48.85546875" style="10" customWidth="1"/>
    <col min="12302" max="12302" width="49.7109375" style="10" customWidth="1"/>
    <col min="12303" max="12549" width="9.140625" style="10"/>
    <col min="12550" max="12550" width="43.28515625" style="10" customWidth="1"/>
    <col min="12551" max="12551" width="5.85546875" style="10" customWidth="1"/>
    <col min="12552" max="12552" width="6.28515625" style="10" customWidth="1"/>
    <col min="12553" max="12553" width="7.7109375" style="10" customWidth="1"/>
    <col min="12554" max="12554" width="8.140625" style="10" customWidth="1"/>
    <col min="12555" max="12555" width="2.5703125" style="10" customWidth="1"/>
    <col min="12556" max="12556" width="6.5703125" style="10" customWidth="1"/>
    <col min="12557" max="12557" width="48.85546875" style="10" customWidth="1"/>
    <col min="12558" max="12558" width="49.7109375" style="10" customWidth="1"/>
    <col min="12559" max="12805" width="9.140625" style="10"/>
    <col min="12806" max="12806" width="43.28515625" style="10" customWidth="1"/>
    <col min="12807" max="12807" width="5.85546875" style="10" customWidth="1"/>
    <col min="12808" max="12808" width="6.28515625" style="10" customWidth="1"/>
    <col min="12809" max="12809" width="7.7109375" style="10" customWidth="1"/>
    <col min="12810" max="12810" width="8.140625" style="10" customWidth="1"/>
    <col min="12811" max="12811" width="2.5703125" style="10" customWidth="1"/>
    <col min="12812" max="12812" width="6.5703125" style="10" customWidth="1"/>
    <col min="12813" max="12813" width="48.85546875" style="10" customWidth="1"/>
    <col min="12814" max="12814" width="49.7109375" style="10" customWidth="1"/>
    <col min="12815" max="13061" width="9.140625" style="10"/>
    <col min="13062" max="13062" width="43.28515625" style="10" customWidth="1"/>
    <col min="13063" max="13063" width="5.85546875" style="10" customWidth="1"/>
    <col min="13064" max="13064" width="6.28515625" style="10" customWidth="1"/>
    <col min="13065" max="13065" width="7.7109375" style="10" customWidth="1"/>
    <col min="13066" max="13066" width="8.140625" style="10" customWidth="1"/>
    <col min="13067" max="13067" width="2.5703125" style="10" customWidth="1"/>
    <col min="13068" max="13068" width="6.5703125" style="10" customWidth="1"/>
    <col min="13069" max="13069" width="48.85546875" style="10" customWidth="1"/>
    <col min="13070" max="13070" width="49.7109375" style="10" customWidth="1"/>
    <col min="13071" max="13317" width="9.140625" style="10"/>
    <col min="13318" max="13318" width="43.28515625" style="10" customWidth="1"/>
    <col min="13319" max="13319" width="5.85546875" style="10" customWidth="1"/>
    <col min="13320" max="13320" width="6.28515625" style="10" customWidth="1"/>
    <col min="13321" max="13321" width="7.7109375" style="10" customWidth="1"/>
    <col min="13322" max="13322" width="8.140625" style="10" customWidth="1"/>
    <col min="13323" max="13323" width="2.5703125" style="10" customWidth="1"/>
    <col min="13324" max="13324" width="6.5703125" style="10" customWidth="1"/>
    <col min="13325" max="13325" width="48.85546875" style="10" customWidth="1"/>
    <col min="13326" max="13326" width="49.7109375" style="10" customWidth="1"/>
    <col min="13327" max="13573" width="9.140625" style="10"/>
    <col min="13574" max="13574" width="43.28515625" style="10" customWidth="1"/>
    <col min="13575" max="13575" width="5.85546875" style="10" customWidth="1"/>
    <col min="13576" max="13576" width="6.28515625" style="10" customWidth="1"/>
    <col min="13577" max="13577" width="7.7109375" style="10" customWidth="1"/>
    <col min="13578" max="13578" width="8.140625" style="10" customWidth="1"/>
    <col min="13579" max="13579" width="2.5703125" style="10" customWidth="1"/>
    <col min="13580" max="13580" width="6.5703125" style="10" customWidth="1"/>
    <col min="13581" max="13581" width="48.85546875" style="10" customWidth="1"/>
    <col min="13582" max="13582" width="49.7109375" style="10" customWidth="1"/>
    <col min="13583" max="13829" width="9.140625" style="10"/>
    <col min="13830" max="13830" width="43.28515625" style="10" customWidth="1"/>
    <col min="13831" max="13831" width="5.85546875" style="10" customWidth="1"/>
    <col min="13832" max="13832" width="6.28515625" style="10" customWidth="1"/>
    <col min="13833" max="13833" width="7.7109375" style="10" customWidth="1"/>
    <col min="13834" max="13834" width="8.140625" style="10" customWidth="1"/>
    <col min="13835" max="13835" width="2.5703125" style="10" customWidth="1"/>
    <col min="13836" max="13836" width="6.5703125" style="10" customWidth="1"/>
    <col min="13837" max="13837" width="48.85546875" style="10" customWidth="1"/>
    <col min="13838" max="13838" width="49.7109375" style="10" customWidth="1"/>
    <col min="13839" max="14085" width="9.140625" style="10"/>
    <col min="14086" max="14086" width="43.28515625" style="10" customWidth="1"/>
    <col min="14087" max="14087" width="5.85546875" style="10" customWidth="1"/>
    <col min="14088" max="14088" width="6.28515625" style="10" customWidth="1"/>
    <col min="14089" max="14089" width="7.7109375" style="10" customWidth="1"/>
    <col min="14090" max="14090" width="8.140625" style="10" customWidth="1"/>
    <col min="14091" max="14091" width="2.5703125" style="10" customWidth="1"/>
    <col min="14092" max="14092" width="6.5703125" style="10" customWidth="1"/>
    <col min="14093" max="14093" width="48.85546875" style="10" customWidth="1"/>
    <col min="14094" max="14094" width="49.7109375" style="10" customWidth="1"/>
    <col min="14095" max="14341" width="9.140625" style="10"/>
    <col min="14342" max="14342" width="43.28515625" style="10" customWidth="1"/>
    <col min="14343" max="14343" width="5.85546875" style="10" customWidth="1"/>
    <col min="14344" max="14344" width="6.28515625" style="10" customWidth="1"/>
    <col min="14345" max="14345" width="7.7109375" style="10" customWidth="1"/>
    <col min="14346" max="14346" width="8.140625" style="10" customWidth="1"/>
    <col min="14347" max="14347" width="2.5703125" style="10" customWidth="1"/>
    <col min="14348" max="14348" width="6.5703125" style="10" customWidth="1"/>
    <col min="14349" max="14349" width="48.85546875" style="10" customWidth="1"/>
    <col min="14350" max="14350" width="49.7109375" style="10" customWidth="1"/>
    <col min="14351" max="14597" width="9.140625" style="10"/>
    <col min="14598" max="14598" width="43.28515625" style="10" customWidth="1"/>
    <col min="14599" max="14599" width="5.85546875" style="10" customWidth="1"/>
    <col min="14600" max="14600" width="6.28515625" style="10" customWidth="1"/>
    <col min="14601" max="14601" width="7.7109375" style="10" customWidth="1"/>
    <col min="14602" max="14602" width="8.140625" style="10" customWidth="1"/>
    <col min="14603" max="14603" width="2.5703125" style="10" customWidth="1"/>
    <col min="14604" max="14604" width="6.5703125" style="10" customWidth="1"/>
    <col min="14605" max="14605" width="48.85546875" style="10" customWidth="1"/>
    <col min="14606" max="14606" width="49.7109375" style="10" customWidth="1"/>
    <col min="14607" max="14853" width="9.140625" style="10"/>
    <col min="14854" max="14854" width="43.28515625" style="10" customWidth="1"/>
    <col min="14855" max="14855" width="5.85546875" style="10" customWidth="1"/>
    <col min="14856" max="14856" width="6.28515625" style="10" customWidth="1"/>
    <col min="14857" max="14857" width="7.7109375" style="10" customWidth="1"/>
    <col min="14858" max="14858" width="8.140625" style="10" customWidth="1"/>
    <col min="14859" max="14859" width="2.5703125" style="10" customWidth="1"/>
    <col min="14860" max="14860" width="6.5703125" style="10" customWidth="1"/>
    <col min="14861" max="14861" width="48.85546875" style="10" customWidth="1"/>
    <col min="14862" max="14862" width="49.7109375" style="10" customWidth="1"/>
    <col min="14863" max="15109" width="9.140625" style="10"/>
    <col min="15110" max="15110" width="43.28515625" style="10" customWidth="1"/>
    <col min="15111" max="15111" width="5.85546875" style="10" customWidth="1"/>
    <col min="15112" max="15112" width="6.28515625" style="10" customWidth="1"/>
    <col min="15113" max="15113" width="7.7109375" style="10" customWidth="1"/>
    <col min="15114" max="15114" width="8.140625" style="10" customWidth="1"/>
    <col min="15115" max="15115" width="2.5703125" style="10" customWidth="1"/>
    <col min="15116" max="15116" width="6.5703125" style="10" customWidth="1"/>
    <col min="15117" max="15117" width="48.85546875" style="10" customWidth="1"/>
    <col min="15118" max="15118" width="49.7109375" style="10" customWidth="1"/>
    <col min="15119" max="15365" width="9.140625" style="10"/>
    <col min="15366" max="15366" width="43.28515625" style="10" customWidth="1"/>
    <col min="15367" max="15367" width="5.85546875" style="10" customWidth="1"/>
    <col min="15368" max="15368" width="6.28515625" style="10" customWidth="1"/>
    <col min="15369" max="15369" width="7.7109375" style="10" customWidth="1"/>
    <col min="15370" max="15370" width="8.140625" style="10" customWidth="1"/>
    <col min="15371" max="15371" width="2.5703125" style="10" customWidth="1"/>
    <col min="15372" max="15372" width="6.5703125" style="10" customWidth="1"/>
    <col min="15373" max="15373" width="48.85546875" style="10" customWidth="1"/>
    <col min="15374" max="15374" width="49.7109375" style="10" customWidth="1"/>
    <col min="15375" max="15621" width="9.140625" style="10"/>
    <col min="15622" max="15622" width="43.28515625" style="10" customWidth="1"/>
    <col min="15623" max="15623" width="5.85546875" style="10" customWidth="1"/>
    <col min="15624" max="15624" width="6.28515625" style="10" customWidth="1"/>
    <col min="15625" max="15625" width="7.7109375" style="10" customWidth="1"/>
    <col min="15626" max="15626" width="8.140625" style="10" customWidth="1"/>
    <col min="15627" max="15627" width="2.5703125" style="10" customWidth="1"/>
    <col min="15628" max="15628" width="6.5703125" style="10" customWidth="1"/>
    <col min="15629" max="15629" width="48.85546875" style="10" customWidth="1"/>
    <col min="15630" max="15630" width="49.7109375" style="10" customWidth="1"/>
    <col min="15631" max="15877" width="9.140625" style="10"/>
    <col min="15878" max="15878" width="43.28515625" style="10" customWidth="1"/>
    <col min="15879" max="15879" width="5.85546875" style="10" customWidth="1"/>
    <col min="15880" max="15880" width="6.28515625" style="10" customWidth="1"/>
    <col min="15881" max="15881" width="7.7109375" style="10" customWidth="1"/>
    <col min="15882" max="15882" width="8.140625" style="10" customWidth="1"/>
    <col min="15883" max="15883" width="2.5703125" style="10" customWidth="1"/>
    <col min="15884" max="15884" width="6.5703125" style="10" customWidth="1"/>
    <col min="15885" max="15885" width="48.85546875" style="10" customWidth="1"/>
    <col min="15886" max="15886" width="49.7109375" style="10" customWidth="1"/>
    <col min="15887" max="16133" width="9.140625" style="10"/>
    <col min="16134" max="16134" width="43.28515625" style="10" customWidth="1"/>
    <col min="16135" max="16135" width="5.85546875" style="10" customWidth="1"/>
    <col min="16136" max="16136" width="6.28515625" style="10" customWidth="1"/>
    <col min="16137" max="16137" width="7.7109375" style="10" customWidth="1"/>
    <col min="16138" max="16138" width="8.140625" style="10" customWidth="1"/>
    <col min="16139" max="16139" width="2.5703125" style="10" customWidth="1"/>
    <col min="16140" max="16140" width="6.5703125" style="10" customWidth="1"/>
    <col min="16141" max="16141" width="48.85546875" style="10" customWidth="1"/>
    <col min="16142" max="16142" width="49.7109375" style="10" customWidth="1"/>
    <col min="16143" max="16384" width="9.140625" style="10"/>
  </cols>
  <sheetData>
    <row r="1" spans="1:23" ht="19.5" x14ac:dyDescent="0.15">
      <c r="A1" s="47" t="s">
        <v>52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3" ht="15" x14ac:dyDescent="0.15">
      <c r="A2" s="48" t="s">
        <v>53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3" ht="12.75" customHeight="1" x14ac:dyDescent="0.2">
      <c r="A3" s="54" t="s">
        <v>7</v>
      </c>
      <c r="B3" s="11"/>
      <c r="C3" s="12"/>
      <c r="D3" s="49">
        <v>2018</v>
      </c>
      <c r="E3" s="46"/>
      <c r="F3" s="50"/>
      <c r="G3" s="46">
        <v>2019</v>
      </c>
      <c r="H3" s="46"/>
      <c r="I3" s="46"/>
      <c r="J3" s="5"/>
      <c r="K3" s="49">
        <v>2020</v>
      </c>
      <c r="L3" s="46"/>
      <c r="M3" s="50"/>
      <c r="N3" s="5"/>
      <c r="O3" s="46">
        <v>2021</v>
      </c>
      <c r="P3" s="46"/>
      <c r="Q3" s="50"/>
      <c r="R3" s="5"/>
      <c r="S3" s="46">
        <v>2022</v>
      </c>
      <c r="T3" s="46"/>
      <c r="U3" s="46"/>
      <c r="V3" s="51" t="s">
        <v>8</v>
      </c>
    </row>
    <row r="4" spans="1:23" s="14" customFormat="1" ht="15.75" x14ac:dyDescent="0.25">
      <c r="A4" s="55"/>
      <c r="B4" s="44"/>
      <c r="C4" s="45"/>
      <c r="D4" s="39" t="s">
        <v>6</v>
      </c>
      <c r="E4" s="13" t="s">
        <v>2</v>
      </c>
      <c r="F4" s="34" t="s">
        <v>1</v>
      </c>
      <c r="G4" s="13" t="s">
        <v>6</v>
      </c>
      <c r="H4" s="13" t="s">
        <v>2</v>
      </c>
      <c r="I4" s="13" t="s">
        <v>1</v>
      </c>
      <c r="J4" s="13"/>
      <c r="K4" s="39" t="s">
        <v>6</v>
      </c>
      <c r="L4" s="13" t="s">
        <v>2</v>
      </c>
      <c r="M4" s="34" t="s">
        <v>1</v>
      </c>
      <c r="N4" s="13"/>
      <c r="O4" s="13" t="s">
        <v>6</v>
      </c>
      <c r="P4" s="13" t="s">
        <v>2</v>
      </c>
      <c r="Q4" s="34" t="s">
        <v>1</v>
      </c>
      <c r="R4" s="13"/>
      <c r="S4" s="13" t="s">
        <v>6</v>
      </c>
      <c r="T4" s="13" t="s">
        <v>2</v>
      </c>
      <c r="U4" s="13" t="s">
        <v>1</v>
      </c>
      <c r="V4" s="52"/>
    </row>
    <row r="5" spans="1:23" ht="12.75" customHeight="1" x14ac:dyDescent="0.15">
      <c r="A5" s="56"/>
      <c r="B5" s="15"/>
      <c r="C5" s="16"/>
      <c r="D5" s="40" t="s">
        <v>3</v>
      </c>
      <c r="E5" s="16" t="s">
        <v>4</v>
      </c>
      <c r="F5" s="35" t="s">
        <v>5</v>
      </c>
      <c r="G5" s="16" t="s">
        <v>3</v>
      </c>
      <c r="H5" s="16" t="s">
        <v>4</v>
      </c>
      <c r="I5" s="16" t="s">
        <v>5</v>
      </c>
      <c r="J5" s="16"/>
      <c r="K5" s="40" t="s">
        <v>3</v>
      </c>
      <c r="L5" s="16" t="s">
        <v>4</v>
      </c>
      <c r="M5" s="35" t="s">
        <v>5</v>
      </c>
      <c r="N5" s="16"/>
      <c r="O5" s="16" t="s">
        <v>3</v>
      </c>
      <c r="P5" s="16" t="s">
        <v>4</v>
      </c>
      <c r="Q5" s="35" t="s">
        <v>5</v>
      </c>
      <c r="R5" s="16"/>
      <c r="S5" s="16" t="s">
        <v>3</v>
      </c>
      <c r="T5" s="16" t="s">
        <v>4</v>
      </c>
      <c r="U5" s="16" t="s">
        <v>5</v>
      </c>
      <c r="V5" s="53"/>
    </row>
    <row r="6" spans="1:23" ht="18.75" x14ac:dyDescent="0.15">
      <c r="A6" s="7" t="s">
        <v>0</v>
      </c>
      <c r="B6" s="17"/>
      <c r="C6" s="18"/>
      <c r="D6" s="41">
        <f t="shared" ref="D6:D13" si="0">E6+F6</f>
        <v>560</v>
      </c>
      <c r="E6" s="18">
        <f>E7+E14+E19+E20+E21+E22+E23+E26+E27</f>
        <v>484</v>
      </c>
      <c r="F6" s="36">
        <f>F7+F14+F22</f>
        <v>76</v>
      </c>
      <c r="G6" s="18">
        <f t="shared" ref="G6:G13" si="1">H6+I6</f>
        <v>1143</v>
      </c>
      <c r="H6" s="18">
        <f>H7+H14+H19+H20+H21+H22+H23+H26+H27+H24</f>
        <v>842</v>
      </c>
      <c r="I6" s="18">
        <f>I7+I14+I22+I24</f>
        <v>301</v>
      </c>
      <c r="J6" s="18"/>
      <c r="K6" s="41">
        <f>L6+M6</f>
        <v>662</v>
      </c>
      <c r="L6" s="18">
        <f>L7+L14+L19+L20+L21+L22+L23+L26+L27+L24+L25</f>
        <v>478</v>
      </c>
      <c r="M6" s="36">
        <f>M7+M14+M22+M24+M25</f>
        <v>184</v>
      </c>
      <c r="N6" s="18"/>
      <c r="O6" s="18">
        <f>P6+Q6</f>
        <v>974</v>
      </c>
      <c r="P6" s="18">
        <f>P7+P14+P19+P20+P21+P22+P23+P26+P27+P24+P25</f>
        <v>680</v>
      </c>
      <c r="Q6" s="36">
        <f>Q7+Q14+Q22+Q24+Q25</f>
        <v>294</v>
      </c>
      <c r="R6" s="18"/>
      <c r="S6" s="18">
        <f>T6+U6</f>
        <v>1258</v>
      </c>
      <c r="T6" s="18">
        <f>T7+T14+T19+T20+T21+T22+T23+T26+T27+T24+T25</f>
        <v>998</v>
      </c>
      <c r="U6" s="18">
        <f>U7+U14+U22+U24+U25</f>
        <v>260</v>
      </c>
      <c r="V6" s="1" t="s">
        <v>9</v>
      </c>
    </row>
    <row r="7" spans="1:23" ht="18.75" x14ac:dyDescent="0.15">
      <c r="A7" s="7" t="s">
        <v>10</v>
      </c>
      <c r="B7" s="17"/>
      <c r="C7" s="18"/>
      <c r="D7" s="41">
        <f t="shared" si="0"/>
        <v>370</v>
      </c>
      <c r="E7" s="18">
        <f>E8+E9+E10+E11+E13</f>
        <v>346</v>
      </c>
      <c r="F7" s="36">
        <f>F8+F9+F10+F11+F13</f>
        <v>24</v>
      </c>
      <c r="G7" s="18">
        <f>H7+I7</f>
        <v>498</v>
      </c>
      <c r="H7" s="18">
        <f>H8+H9+H10+H11+H13</f>
        <v>459</v>
      </c>
      <c r="I7" s="18">
        <f>I8+I9+I10+I11+I13</f>
        <v>39</v>
      </c>
      <c r="J7" s="18"/>
      <c r="K7" s="41">
        <f>L7+M7</f>
        <v>343</v>
      </c>
      <c r="L7" s="18">
        <f>L8+L9+L10+L11+L13</f>
        <v>309</v>
      </c>
      <c r="M7" s="36">
        <f>M8+M9+M10+M11+M13</f>
        <v>34</v>
      </c>
      <c r="N7" s="18"/>
      <c r="O7" s="18">
        <f>P7+Q7</f>
        <v>306</v>
      </c>
      <c r="P7" s="18">
        <f>P8+P9+P10+P11+P13</f>
        <v>266</v>
      </c>
      <c r="Q7" s="36">
        <f>Q8+Q9+Q10+Q11+Q13</f>
        <v>40</v>
      </c>
      <c r="R7" s="18"/>
      <c r="S7" s="18">
        <f>T7+U7</f>
        <v>451</v>
      </c>
      <c r="T7" s="18">
        <f>T8+T9+T10+T11+T13+T12</f>
        <v>391</v>
      </c>
      <c r="U7" s="18">
        <f>U8+U9+U10+U11+U13</f>
        <v>60</v>
      </c>
      <c r="V7" s="1" t="s">
        <v>11</v>
      </c>
    </row>
    <row r="8" spans="1:23" ht="18.75" x14ac:dyDescent="0.15">
      <c r="A8" s="19" t="s">
        <v>12</v>
      </c>
      <c r="B8" s="20"/>
      <c r="C8" s="21"/>
      <c r="D8" s="42">
        <f t="shared" si="0"/>
        <v>0</v>
      </c>
      <c r="E8" s="21">
        <v>0</v>
      </c>
      <c r="F8" s="37">
        <v>0</v>
      </c>
      <c r="G8" s="21">
        <f t="shared" si="1"/>
        <v>0</v>
      </c>
      <c r="H8" s="21">
        <v>0</v>
      </c>
      <c r="I8" s="21">
        <v>0</v>
      </c>
      <c r="J8" s="21"/>
      <c r="K8" s="42">
        <f t="shared" ref="K8:K9" si="2">L8+M8</f>
        <v>0</v>
      </c>
      <c r="L8" s="21">
        <v>0</v>
      </c>
      <c r="M8" s="37">
        <v>0</v>
      </c>
      <c r="N8" s="21"/>
      <c r="O8" s="21">
        <f t="shared" ref="O8:O9" si="3">P8+Q8</f>
        <v>0</v>
      </c>
      <c r="P8" s="21">
        <v>0</v>
      </c>
      <c r="Q8" s="37">
        <v>0</v>
      </c>
      <c r="R8" s="21"/>
      <c r="S8" s="21">
        <f t="shared" ref="S8:S9" si="4">T8+U8</f>
        <v>0</v>
      </c>
      <c r="T8" s="21">
        <v>0</v>
      </c>
      <c r="U8" s="21">
        <v>0</v>
      </c>
      <c r="V8" s="22" t="s">
        <v>41</v>
      </c>
    </row>
    <row r="9" spans="1:23" ht="18.75" x14ac:dyDescent="0.15">
      <c r="A9" s="19" t="s">
        <v>13</v>
      </c>
      <c r="B9" s="20"/>
      <c r="C9" s="21"/>
      <c r="D9" s="42">
        <f t="shared" si="0"/>
        <v>9</v>
      </c>
      <c r="E9" s="21">
        <v>9</v>
      </c>
      <c r="F9" s="37">
        <v>0</v>
      </c>
      <c r="G9" s="21">
        <f t="shared" si="1"/>
        <v>27</v>
      </c>
      <c r="H9" s="21">
        <v>27</v>
      </c>
      <c r="I9" s="21">
        <v>0</v>
      </c>
      <c r="J9" s="21"/>
      <c r="K9" s="42">
        <f t="shared" si="2"/>
        <v>15</v>
      </c>
      <c r="L9" s="21">
        <v>15</v>
      </c>
      <c r="M9" s="37">
        <v>0</v>
      </c>
      <c r="N9" s="21"/>
      <c r="O9" s="21">
        <f t="shared" si="3"/>
        <v>12</v>
      </c>
      <c r="P9" s="21">
        <v>12</v>
      </c>
      <c r="Q9" s="37">
        <v>0</v>
      </c>
      <c r="R9" s="21"/>
      <c r="S9" s="21">
        <f t="shared" si="4"/>
        <v>10</v>
      </c>
      <c r="T9" s="21">
        <v>10</v>
      </c>
      <c r="U9" s="21">
        <v>0</v>
      </c>
      <c r="V9" s="22" t="s">
        <v>42</v>
      </c>
    </row>
    <row r="10" spans="1:23" ht="18.75" x14ac:dyDescent="0.15">
      <c r="A10" s="19" t="s">
        <v>14</v>
      </c>
      <c r="B10" s="20"/>
      <c r="C10" s="21"/>
      <c r="D10" s="42">
        <f t="shared" si="0"/>
        <v>14</v>
      </c>
      <c r="E10" s="21">
        <v>10</v>
      </c>
      <c r="F10" s="37">
        <v>4</v>
      </c>
      <c r="G10" s="21">
        <f t="shared" si="1"/>
        <v>31</v>
      </c>
      <c r="H10" s="21">
        <v>26</v>
      </c>
      <c r="I10" s="21">
        <v>5</v>
      </c>
      <c r="J10" s="21"/>
      <c r="K10" s="42">
        <f>L10+M10</f>
        <v>44</v>
      </c>
      <c r="L10" s="21">
        <v>33</v>
      </c>
      <c r="M10" s="37">
        <v>11</v>
      </c>
      <c r="N10" s="21"/>
      <c r="O10" s="21">
        <f>P10+Q10</f>
        <v>56</v>
      </c>
      <c r="P10" s="21">
        <v>43</v>
      </c>
      <c r="Q10" s="37">
        <v>13</v>
      </c>
      <c r="R10" s="21"/>
      <c r="S10" s="21">
        <f>T10+U10</f>
        <v>50</v>
      </c>
      <c r="T10" s="21">
        <v>37</v>
      </c>
      <c r="U10" s="21">
        <v>13</v>
      </c>
      <c r="V10" s="22" t="s">
        <v>43</v>
      </c>
    </row>
    <row r="11" spans="1:23" ht="18.75" x14ac:dyDescent="0.15">
      <c r="A11" s="19" t="s">
        <v>15</v>
      </c>
      <c r="B11" s="20"/>
      <c r="C11" s="21"/>
      <c r="D11" s="42">
        <f t="shared" si="0"/>
        <v>138</v>
      </c>
      <c r="E11" s="21">
        <v>136</v>
      </c>
      <c r="F11" s="37">
        <v>2</v>
      </c>
      <c r="G11" s="21">
        <f t="shared" si="1"/>
        <v>289</v>
      </c>
      <c r="H11" s="21">
        <v>267</v>
      </c>
      <c r="I11" s="21">
        <v>22</v>
      </c>
      <c r="J11" s="21"/>
      <c r="K11" s="42">
        <f>L11+M11</f>
        <v>189</v>
      </c>
      <c r="L11" s="21">
        <v>168</v>
      </c>
      <c r="M11" s="37">
        <v>21</v>
      </c>
      <c r="N11" s="21"/>
      <c r="O11" s="21">
        <f>P11+Q11</f>
        <v>175</v>
      </c>
      <c r="P11" s="21">
        <v>158</v>
      </c>
      <c r="Q11" s="37">
        <v>17</v>
      </c>
      <c r="R11" s="21"/>
      <c r="S11" s="21">
        <f>T11+U11</f>
        <v>218</v>
      </c>
      <c r="T11" s="21">
        <v>190</v>
      </c>
      <c r="U11" s="21">
        <v>28</v>
      </c>
      <c r="V11" s="22" t="s">
        <v>44</v>
      </c>
    </row>
    <row r="12" spans="1:23" ht="18.75" x14ac:dyDescent="0.15">
      <c r="A12" s="9" t="s">
        <v>50</v>
      </c>
      <c r="B12" s="20"/>
      <c r="C12" s="21"/>
      <c r="D12" s="42">
        <v>0</v>
      </c>
      <c r="E12" s="21">
        <v>0</v>
      </c>
      <c r="F12" s="37">
        <v>0</v>
      </c>
      <c r="G12" s="21">
        <v>0</v>
      </c>
      <c r="H12" s="21">
        <v>0</v>
      </c>
      <c r="I12" s="21">
        <v>0</v>
      </c>
      <c r="J12" s="21"/>
      <c r="K12" s="42">
        <v>0</v>
      </c>
      <c r="L12" s="21">
        <v>0</v>
      </c>
      <c r="M12" s="37">
        <v>0</v>
      </c>
      <c r="N12" s="21"/>
      <c r="O12" s="21">
        <v>0</v>
      </c>
      <c r="P12" s="21">
        <v>0</v>
      </c>
      <c r="Q12" s="37">
        <v>0</v>
      </c>
      <c r="R12" s="21"/>
      <c r="S12" s="21">
        <f>T12+U12</f>
        <v>9</v>
      </c>
      <c r="T12" s="21">
        <v>9</v>
      </c>
      <c r="U12" s="21">
        <v>0</v>
      </c>
      <c r="V12" s="22" t="s">
        <v>51</v>
      </c>
    </row>
    <row r="13" spans="1:23" ht="18.75" x14ac:dyDescent="0.15">
      <c r="A13" s="19" t="s">
        <v>16</v>
      </c>
      <c r="B13" s="20"/>
      <c r="C13" s="21"/>
      <c r="D13" s="42">
        <f t="shared" si="0"/>
        <v>209</v>
      </c>
      <c r="E13" s="21">
        <v>191</v>
      </c>
      <c r="F13" s="37">
        <v>18</v>
      </c>
      <c r="G13" s="21">
        <f t="shared" si="1"/>
        <v>151</v>
      </c>
      <c r="H13" s="21">
        <v>139</v>
      </c>
      <c r="I13" s="21">
        <v>12</v>
      </c>
      <c r="J13" s="21"/>
      <c r="K13" s="42">
        <f>L13+M13</f>
        <v>95</v>
      </c>
      <c r="L13" s="21">
        <v>93</v>
      </c>
      <c r="M13" s="37">
        <v>2</v>
      </c>
      <c r="N13" s="21"/>
      <c r="O13" s="21">
        <f>P13+Q13</f>
        <v>63</v>
      </c>
      <c r="P13" s="21">
        <v>53</v>
      </c>
      <c r="Q13" s="37">
        <v>10</v>
      </c>
      <c r="R13" s="21"/>
      <c r="S13" s="21">
        <f>T13+U13</f>
        <v>164</v>
      </c>
      <c r="T13" s="21">
        <v>145</v>
      </c>
      <c r="U13" s="21">
        <v>19</v>
      </c>
      <c r="V13" s="22" t="s">
        <v>45</v>
      </c>
    </row>
    <row r="14" spans="1:23" s="23" customFormat="1" ht="18.75" x14ac:dyDescent="0.15">
      <c r="A14" s="7" t="s">
        <v>17</v>
      </c>
      <c r="B14" s="17"/>
      <c r="C14" s="18"/>
      <c r="D14" s="41">
        <f>D16+D17+D18+D15</f>
        <v>54</v>
      </c>
      <c r="E14" s="18">
        <f>E16+E17+E18+E15</f>
        <v>50</v>
      </c>
      <c r="F14" s="36">
        <f>F16+F17+F18</f>
        <v>4</v>
      </c>
      <c r="G14" s="18">
        <f t="shared" ref="G14:O14" si="5">G16+G17+G18+G15</f>
        <v>146</v>
      </c>
      <c r="H14" s="18">
        <f t="shared" si="5"/>
        <v>116</v>
      </c>
      <c r="I14" s="18">
        <f t="shared" si="5"/>
        <v>30</v>
      </c>
      <c r="J14" s="18"/>
      <c r="K14" s="41">
        <f t="shared" si="5"/>
        <v>73</v>
      </c>
      <c r="L14" s="18">
        <f t="shared" si="5"/>
        <v>40</v>
      </c>
      <c r="M14" s="36">
        <f t="shared" si="5"/>
        <v>33</v>
      </c>
      <c r="N14" s="18"/>
      <c r="O14" s="18">
        <f t="shared" si="5"/>
        <v>14</v>
      </c>
      <c r="P14" s="18">
        <f>P16+P17+P18+P15</f>
        <v>13</v>
      </c>
      <c r="Q14" s="36">
        <f>Q16+Q17+Q18+Q15</f>
        <v>1</v>
      </c>
      <c r="R14" s="18"/>
      <c r="S14" s="18">
        <f t="shared" ref="S14" si="6">S16+S17+S18+S15</f>
        <v>54</v>
      </c>
      <c r="T14" s="18">
        <f>T16+T17+T18+T15</f>
        <v>42</v>
      </c>
      <c r="U14" s="18">
        <f>U16+U17+U18+U15</f>
        <v>12</v>
      </c>
      <c r="V14" s="6" t="s">
        <v>46</v>
      </c>
      <c r="W14" s="10"/>
    </row>
    <row r="15" spans="1:23" s="23" customFormat="1" ht="18.75" x14ac:dyDescent="0.15">
      <c r="A15" s="19" t="s">
        <v>14</v>
      </c>
      <c r="B15" s="17"/>
      <c r="C15" s="18"/>
      <c r="D15" s="42">
        <f>E15+F15</f>
        <v>11</v>
      </c>
      <c r="E15" s="21">
        <v>11</v>
      </c>
      <c r="F15" s="37">
        <v>0</v>
      </c>
      <c r="G15" s="21">
        <f>H15+I15</f>
        <v>12</v>
      </c>
      <c r="H15" s="21">
        <v>10</v>
      </c>
      <c r="I15" s="21">
        <v>2</v>
      </c>
      <c r="J15" s="21"/>
      <c r="K15" s="42">
        <f>L15+M15</f>
        <v>8</v>
      </c>
      <c r="L15" s="21">
        <v>6</v>
      </c>
      <c r="M15" s="37">
        <v>2</v>
      </c>
      <c r="N15" s="21"/>
      <c r="O15" s="21">
        <f>P15+Q15</f>
        <v>7</v>
      </c>
      <c r="P15" s="21">
        <v>6</v>
      </c>
      <c r="Q15" s="37">
        <v>1</v>
      </c>
      <c r="R15" s="21"/>
      <c r="S15" s="21">
        <f>T15+U15</f>
        <v>8</v>
      </c>
      <c r="T15" s="21">
        <v>8</v>
      </c>
      <c r="U15" s="21">
        <v>0</v>
      </c>
      <c r="V15" s="22" t="s">
        <v>43</v>
      </c>
      <c r="W15" s="10"/>
    </row>
    <row r="16" spans="1:23" ht="18.75" x14ac:dyDescent="0.15">
      <c r="A16" s="19" t="s">
        <v>18</v>
      </c>
      <c r="B16" s="24"/>
      <c r="C16" s="21"/>
      <c r="D16" s="42">
        <f>E16+F16</f>
        <v>9</v>
      </c>
      <c r="E16" s="21">
        <v>9</v>
      </c>
      <c r="F16" s="37">
        <v>0</v>
      </c>
      <c r="G16" s="21">
        <f>H16+I16</f>
        <v>11</v>
      </c>
      <c r="H16" s="21">
        <v>10</v>
      </c>
      <c r="I16" s="21">
        <v>1</v>
      </c>
      <c r="J16" s="21"/>
      <c r="K16" s="42">
        <f>L16+M16</f>
        <v>8</v>
      </c>
      <c r="L16" s="21">
        <v>7</v>
      </c>
      <c r="M16" s="37">
        <v>1</v>
      </c>
      <c r="N16" s="21"/>
      <c r="O16" s="21">
        <f>P16+Q16</f>
        <v>0</v>
      </c>
      <c r="P16" s="21">
        <v>0</v>
      </c>
      <c r="Q16" s="37">
        <v>0</v>
      </c>
      <c r="R16" s="21"/>
      <c r="S16" s="21">
        <f>T16+U16</f>
        <v>0</v>
      </c>
      <c r="T16" s="21">
        <v>0</v>
      </c>
      <c r="U16" s="21">
        <v>0</v>
      </c>
      <c r="V16" s="22" t="s">
        <v>47</v>
      </c>
    </row>
    <row r="17" spans="1:22" ht="18.75" x14ac:dyDescent="0.15">
      <c r="A17" s="19" t="s">
        <v>16</v>
      </c>
      <c r="B17" s="20"/>
      <c r="C17" s="21"/>
      <c r="D17" s="42">
        <f t="shared" ref="D17:D21" si="7">E17+F17</f>
        <v>34</v>
      </c>
      <c r="E17" s="21">
        <v>30</v>
      </c>
      <c r="F17" s="37">
        <v>4</v>
      </c>
      <c r="G17" s="21">
        <f t="shared" ref="G17:G21" si="8">H17+I17</f>
        <v>123</v>
      </c>
      <c r="H17" s="21">
        <v>96</v>
      </c>
      <c r="I17" s="21">
        <v>27</v>
      </c>
      <c r="J17" s="21"/>
      <c r="K17" s="42">
        <f>L17+M17</f>
        <v>51</v>
      </c>
      <c r="L17" s="21">
        <v>26</v>
      </c>
      <c r="M17" s="37">
        <v>25</v>
      </c>
      <c r="N17" s="21"/>
      <c r="O17" s="21">
        <f>P17+Q17</f>
        <v>7</v>
      </c>
      <c r="P17" s="21">
        <v>7</v>
      </c>
      <c r="Q17" s="37">
        <v>0</v>
      </c>
      <c r="R17" s="21"/>
      <c r="S17" s="21">
        <f>T17+U17</f>
        <v>46</v>
      </c>
      <c r="T17" s="21">
        <v>34</v>
      </c>
      <c r="U17" s="21">
        <v>12</v>
      </c>
      <c r="V17" s="22" t="s">
        <v>45</v>
      </c>
    </row>
    <row r="18" spans="1:22" ht="18.75" x14ac:dyDescent="0.15">
      <c r="A18" s="19" t="s">
        <v>19</v>
      </c>
      <c r="B18" s="20"/>
      <c r="C18" s="21"/>
      <c r="D18" s="42">
        <f t="shared" si="7"/>
        <v>0</v>
      </c>
      <c r="E18" s="21">
        <v>0</v>
      </c>
      <c r="F18" s="37">
        <v>0</v>
      </c>
      <c r="G18" s="21">
        <f t="shared" si="8"/>
        <v>0</v>
      </c>
      <c r="H18" s="21">
        <v>0</v>
      </c>
      <c r="I18" s="21">
        <v>0</v>
      </c>
      <c r="J18" s="21"/>
      <c r="K18" s="42">
        <f>L18+M18</f>
        <v>6</v>
      </c>
      <c r="L18" s="21">
        <v>1</v>
      </c>
      <c r="M18" s="37">
        <v>5</v>
      </c>
      <c r="N18" s="21"/>
      <c r="O18" s="21">
        <f>P18+Q18</f>
        <v>0</v>
      </c>
      <c r="P18" s="21">
        <v>0</v>
      </c>
      <c r="Q18" s="37">
        <v>0</v>
      </c>
      <c r="R18" s="21"/>
      <c r="S18" s="21">
        <f>T18+U18</f>
        <v>0</v>
      </c>
      <c r="T18" s="21">
        <v>0</v>
      </c>
      <c r="U18" s="21">
        <v>0</v>
      </c>
      <c r="V18" s="22" t="s">
        <v>48</v>
      </c>
    </row>
    <row r="19" spans="1:22" ht="18.75" x14ac:dyDescent="0.15">
      <c r="A19" s="7" t="s">
        <v>20</v>
      </c>
      <c r="B19" s="17"/>
      <c r="C19" s="18"/>
      <c r="D19" s="41">
        <f t="shared" si="7"/>
        <v>0</v>
      </c>
      <c r="E19" s="18">
        <v>0</v>
      </c>
      <c r="F19" s="36">
        <v>0</v>
      </c>
      <c r="G19" s="18">
        <f t="shared" si="8"/>
        <v>0</v>
      </c>
      <c r="H19" s="18">
        <v>0</v>
      </c>
      <c r="I19" s="18">
        <v>0</v>
      </c>
      <c r="J19" s="18"/>
      <c r="K19" s="41">
        <f t="shared" ref="K19:K21" si="9">L19+M19</f>
        <v>0</v>
      </c>
      <c r="L19" s="18">
        <v>0</v>
      </c>
      <c r="M19" s="36">
        <v>0</v>
      </c>
      <c r="N19" s="18"/>
      <c r="O19" s="18">
        <f t="shared" ref="O19:O21" si="10">P19+Q19</f>
        <v>0</v>
      </c>
      <c r="P19" s="18">
        <v>0</v>
      </c>
      <c r="Q19" s="36">
        <v>0</v>
      </c>
      <c r="R19" s="18"/>
      <c r="S19" s="18">
        <f t="shared" ref="S19:S21" si="11">T19+U19</f>
        <v>0</v>
      </c>
      <c r="T19" s="18">
        <v>0</v>
      </c>
      <c r="U19" s="18">
        <v>0</v>
      </c>
      <c r="V19" s="1" t="s">
        <v>21</v>
      </c>
    </row>
    <row r="20" spans="1:22" ht="18.75" x14ac:dyDescent="0.15">
      <c r="A20" s="7" t="s">
        <v>22</v>
      </c>
      <c r="B20" s="17"/>
      <c r="C20" s="18"/>
      <c r="D20" s="41">
        <f t="shared" si="7"/>
        <v>0</v>
      </c>
      <c r="E20" s="18">
        <v>0</v>
      </c>
      <c r="F20" s="36">
        <v>0</v>
      </c>
      <c r="G20" s="18">
        <f t="shared" si="8"/>
        <v>71</v>
      </c>
      <c r="H20" s="18">
        <v>71</v>
      </c>
      <c r="I20" s="18">
        <v>0</v>
      </c>
      <c r="J20" s="18"/>
      <c r="K20" s="41">
        <f t="shared" si="9"/>
        <v>0</v>
      </c>
      <c r="L20" s="18">
        <v>0</v>
      </c>
      <c r="M20" s="36">
        <v>0</v>
      </c>
      <c r="N20" s="18"/>
      <c r="O20" s="18">
        <f t="shared" si="10"/>
        <v>0</v>
      </c>
      <c r="P20" s="18">
        <v>0</v>
      </c>
      <c r="Q20" s="36">
        <v>0</v>
      </c>
      <c r="R20" s="18"/>
      <c r="S20" s="18">
        <f t="shared" si="11"/>
        <v>0</v>
      </c>
      <c r="T20" s="18">
        <v>0</v>
      </c>
      <c r="U20" s="18">
        <v>0</v>
      </c>
      <c r="V20" s="1" t="s">
        <v>23</v>
      </c>
    </row>
    <row r="21" spans="1:22" ht="18.75" x14ac:dyDescent="0.15">
      <c r="A21" s="7" t="s">
        <v>24</v>
      </c>
      <c r="B21" s="17"/>
      <c r="C21" s="18"/>
      <c r="D21" s="41">
        <f t="shared" si="7"/>
        <v>0</v>
      </c>
      <c r="E21" s="18">
        <v>0</v>
      </c>
      <c r="F21" s="36">
        <v>0</v>
      </c>
      <c r="G21" s="18">
        <f t="shared" si="8"/>
        <v>0</v>
      </c>
      <c r="H21" s="18">
        <v>0</v>
      </c>
      <c r="I21" s="18">
        <v>0</v>
      </c>
      <c r="J21" s="18"/>
      <c r="K21" s="41">
        <f t="shared" si="9"/>
        <v>0</v>
      </c>
      <c r="L21" s="18">
        <v>0</v>
      </c>
      <c r="M21" s="36">
        <v>0</v>
      </c>
      <c r="N21" s="18"/>
      <c r="O21" s="18">
        <f t="shared" si="10"/>
        <v>0</v>
      </c>
      <c r="P21" s="18">
        <v>0</v>
      </c>
      <c r="Q21" s="36">
        <v>0</v>
      </c>
      <c r="R21" s="18"/>
      <c r="S21" s="18">
        <f t="shared" si="11"/>
        <v>0</v>
      </c>
      <c r="T21" s="18">
        <v>0</v>
      </c>
      <c r="U21" s="18">
        <v>0</v>
      </c>
      <c r="V21" s="1" t="s">
        <v>25</v>
      </c>
    </row>
    <row r="22" spans="1:22" ht="18.75" x14ac:dyDescent="0.15">
      <c r="A22" s="7" t="s">
        <v>26</v>
      </c>
      <c r="B22" s="17"/>
      <c r="C22" s="18"/>
      <c r="D22" s="41">
        <f>E22</f>
        <v>88</v>
      </c>
      <c r="E22" s="18">
        <v>88</v>
      </c>
      <c r="F22" s="36">
        <v>48</v>
      </c>
      <c r="G22" s="18">
        <f>H22+I22</f>
        <v>258</v>
      </c>
      <c r="H22" s="18">
        <v>181</v>
      </c>
      <c r="I22" s="18">
        <v>77</v>
      </c>
      <c r="J22" s="18"/>
      <c r="K22" s="41">
        <f>L22+M22</f>
        <v>133</v>
      </c>
      <c r="L22" s="18">
        <v>67</v>
      </c>
      <c r="M22" s="36">
        <v>66</v>
      </c>
      <c r="N22" s="18"/>
      <c r="O22" s="18">
        <f>P22+Q22</f>
        <v>285</v>
      </c>
      <c r="P22" s="18">
        <v>128</v>
      </c>
      <c r="Q22" s="36">
        <v>157</v>
      </c>
      <c r="R22" s="18"/>
      <c r="S22" s="18">
        <f>T22+U22</f>
        <v>291</v>
      </c>
      <c r="T22" s="18">
        <v>192</v>
      </c>
      <c r="U22" s="18">
        <v>99</v>
      </c>
      <c r="V22" s="1" t="s">
        <v>27</v>
      </c>
    </row>
    <row r="23" spans="1:22" ht="18.75" x14ac:dyDescent="0.15">
      <c r="A23" s="7" t="s">
        <v>28</v>
      </c>
      <c r="B23" s="17"/>
      <c r="C23" s="18"/>
      <c r="D23" s="41">
        <f t="shared" ref="D23:D27" si="12">E23+F23</f>
        <v>0</v>
      </c>
      <c r="E23" s="18">
        <v>0</v>
      </c>
      <c r="F23" s="36">
        <v>0</v>
      </c>
      <c r="G23" s="18">
        <f t="shared" ref="G23:G27" si="13">H23+I23</f>
        <v>0</v>
      </c>
      <c r="H23" s="18">
        <v>0</v>
      </c>
      <c r="I23" s="18">
        <v>0</v>
      </c>
      <c r="J23" s="18"/>
      <c r="K23" s="41">
        <f t="shared" ref="K23:K26" si="14">L23+M23</f>
        <v>0</v>
      </c>
      <c r="L23" s="18">
        <v>0</v>
      </c>
      <c r="M23" s="36">
        <v>0</v>
      </c>
      <c r="N23" s="18"/>
      <c r="O23" s="18">
        <f t="shared" ref="O23" si="15">P23+Q23</f>
        <v>0</v>
      </c>
      <c r="P23" s="18">
        <v>0</v>
      </c>
      <c r="Q23" s="36">
        <v>0</v>
      </c>
      <c r="R23" s="18"/>
      <c r="S23" s="18">
        <f t="shared" ref="S23" si="16">T23+U23</f>
        <v>0</v>
      </c>
      <c r="T23" s="18">
        <v>0</v>
      </c>
      <c r="U23" s="18">
        <v>0</v>
      </c>
      <c r="V23" s="1" t="s">
        <v>29</v>
      </c>
    </row>
    <row r="24" spans="1:22" ht="18.75" x14ac:dyDescent="0.15">
      <c r="A24" s="7" t="s">
        <v>37</v>
      </c>
      <c r="B24" s="17"/>
      <c r="C24" s="18"/>
      <c r="D24" s="41">
        <v>0</v>
      </c>
      <c r="E24" s="18">
        <v>0</v>
      </c>
      <c r="F24" s="36">
        <v>0</v>
      </c>
      <c r="G24" s="18">
        <f t="shared" si="13"/>
        <v>170</v>
      </c>
      <c r="H24" s="18">
        <v>15</v>
      </c>
      <c r="I24" s="18">
        <v>155</v>
      </c>
      <c r="J24" s="18"/>
      <c r="K24" s="41">
        <f>L24+M24</f>
        <v>59</v>
      </c>
      <c r="L24" s="18">
        <v>21</v>
      </c>
      <c r="M24" s="36">
        <v>38</v>
      </c>
      <c r="N24" s="18"/>
      <c r="O24" s="18">
        <f>P24+Q24</f>
        <v>280</v>
      </c>
      <c r="P24" s="18">
        <v>196</v>
      </c>
      <c r="Q24" s="36">
        <v>84</v>
      </c>
      <c r="R24" s="18"/>
      <c r="S24" s="18">
        <f>T24+U24</f>
        <v>411</v>
      </c>
      <c r="T24" s="18">
        <v>322</v>
      </c>
      <c r="U24" s="18">
        <v>89</v>
      </c>
      <c r="V24" s="1" t="s">
        <v>38</v>
      </c>
    </row>
    <row r="25" spans="1:22" ht="18.75" x14ac:dyDescent="0.15">
      <c r="A25" s="7" t="s">
        <v>39</v>
      </c>
      <c r="B25" s="17"/>
      <c r="C25" s="18"/>
      <c r="D25" s="41">
        <v>0</v>
      </c>
      <c r="E25" s="18">
        <v>0</v>
      </c>
      <c r="F25" s="36">
        <v>0</v>
      </c>
      <c r="G25" s="18">
        <v>0</v>
      </c>
      <c r="H25" s="18">
        <v>0</v>
      </c>
      <c r="I25" s="18">
        <v>0</v>
      </c>
      <c r="J25" s="18"/>
      <c r="K25" s="41">
        <f>L25+M25</f>
        <v>54</v>
      </c>
      <c r="L25" s="18">
        <v>41</v>
      </c>
      <c r="M25" s="36">
        <v>13</v>
      </c>
      <c r="N25" s="18"/>
      <c r="O25" s="18">
        <f>P25+Q25</f>
        <v>89</v>
      </c>
      <c r="P25" s="18">
        <v>77</v>
      </c>
      <c r="Q25" s="36">
        <v>12</v>
      </c>
      <c r="R25" s="18"/>
      <c r="S25" s="18">
        <f>T25+U25</f>
        <v>51</v>
      </c>
      <c r="T25" s="18">
        <v>51</v>
      </c>
      <c r="U25" s="18">
        <v>0</v>
      </c>
      <c r="V25" s="1" t="s">
        <v>40</v>
      </c>
    </row>
    <row r="26" spans="1:22" ht="18.75" x14ac:dyDescent="0.15">
      <c r="A26" s="7" t="s">
        <v>30</v>
      </c>
      <c r="B26" s="17"/>
      <c r="C26" s="18"/>
      <c r="D26" s="41">
        <f t="shared" si="12"/>
        <v>0</v>
      </c>
      <c r="E26" s="18">
        <v>0</v>
      </c>
      <c r="F26" s="36">
        <v>0</v>
      </c>
      <c r="G26" s="18">
        <f t="shared" si="13"/>
        <v>0</v>
      </c>
      <c r="H26" s="18">
        <v>0</v>
      </c>
      <c r="I26" s="18">
        <v>0</v>
      </c>
      <c r="J26" s="18"/>
      <c r="K26" s="41">
        <f t="shared" si="14"/>
        <v>0</v>
      </c>
      <c r="L26" s="18">
        <v>0</v>
      </c>
      <c r="M26" s="36">
        <v>0</v>
      </c>
      <c r="N26" s="18"/>
      <c r="O26" s="18">
        <f t="shared" ref="O26" si="17">P26+Q26</f>
        <v>0</v>
      </c>
      <c r="P26" s="18">
        <v>0</v>
      </c>
      <c r="Q26" s="36">
        <v>0</v>
      </c>
      <c r="R26" s="18"/>
      <c r="S26" s="18">
        <f t="shared" ref="S26" si="18">T26+U26</f>
        <v>0</v>
      </c>
      <c r="T26" s="18">
        <v>0</v>
      </c>
      <c r="U26" s="18">
        <v>0</v>
      </c>
      <c r="V26" s="1" t="s">
        <v>31</v>
      </c>
    </row>
    <row r="27" spans="1:22" ht="18.75" x14ac:dyDescent="0.15">
      <c r="A27" s="8" t="s">
        <v>32</v>
      </c>
      <c r="B27" s="25"/>
      <c r="C27" s="26"/>
      <c r="D27" s="43">
        <f t="shared" si="12"/>
        <v>0</v>
      </c>
      <c r="E27" s="26">
        <v>0</v>
      </c>
      <c r="F27" s="38">
        <v>0</v>
      </c>
      <c r="G27" s="26">
        <f t="shared" si="13"/>
        <v>0</v>
      </c>
      <c r="H27" s="26">
        <v>0</v>
      </c>
      <c r="I27" s="26">
        <v>0</v>
      </c>
      <c r="J27" s="26"/>
      <c r="K27" s="43">
        <f>L27+M27</f>
        <v>0</v>
      </c>
      <c r="L27" s="26">
        <v>0</v>
      </c>
      <c r="M27" s="38">
        <v>0</v>
      </c>
      <c r="N27" s="26"/>
      <c r="O27" s="26">
        <f>P27+Q27</f>
        <v>0</v>
      </c>
      <c r="P27" s="26">
        <v>0</v>
      </c>
      <c r="Q27" s="38">
        <v>0</v>
      </c>
      <c r="R27" s="26"/>
      <c r="S27" s="26">
        <f>T27+U27</f>
        <v>0</v>
      </c>
      <c r="T27" s="26">
        <v>0</v>
      </c>
      <c r="U27" s="26">
        <v>0</v>
      </c>
      <c r="V27" s="2" t="s">
        <v>33</v>
      </c>
    </row>
    <row r="28" spans="1:22" ht="18.75" x14ac:dyDescent="0.15">
      <c r="A28" s="27" t="s">
        <v>49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3" t="s">
        <v>34</v>
      </c>
    </row>
    <row r="29" spans="1:22" ht="18.75" x14ac:dyDescent="0.5">
      <c r="A29" s="28" t="s">
        <v>35</v>
      </c>
      <c r="B29" s="29"/>
      <c r="C29" s="30"/>
      <c r="D29" s="29"/>
      <c r="E29" s="29"/>
      <c r="F29" s="30"/>
      <c r="G29" s="29"/>
      <c r="H29" s="29"/>
      <c r="I29" s="30"/>
      <c r="J29" s="30"/>
      <c r="K29" s="29"/>
      <c r="L29" s="29"/>
      <c r="M29" s="30"/>
      <c r="N29" s="30"/>
      <c r="O29" s="30"/>
      <c r="P29" s="30"/>
      <c r="Q29" s="30"/>
      <c r="R29" s="30"/>
      <c r="S29" s="30"/>
      <c r="T29" s="30"/>
      <c r="U29" s="29"/>
      <c r="V29" s="4" t="s">
        <v>36</v>
      </c>
    </row>
    <row r="30" spans="1:22" x14ac:dyDescent="0.15">
      <c r="A30" s="31"/>
      <c r="B30" s="31"/>
      <c r="C30" s="32"/>
      <c r="D30" s="31"/>
      <c r="E30" s="31"/>
      <c r="F30" s="32"/>
      <c r="G30" s="31"/>
      <c r="H30" s="31"/>
      <c r="I30" s="32"/>
      <c r="J30" s="32"/>
      <c r="K30" s="31"/>
      <c r="L30" s="31"/>
      <c r="M30" s="32"/>
      <c r="N30" s="32"/>
      <c r="O30" s="32"/>
      <c r="P30" s="32"/>
      <c r="Q30" s="32"/>
      <c r="R30" s="32"/>
      <c r="S30" s="32"/>
      <c r="T30" s="32"/>
      <c r="U30" s="31"/>
      <c r="V30" s="31"/>
    </row>
    <row r="31" spans="1:22" x14ac:dyDescent="0.15">
      <c r="A31" s="31"/>
      <c r="B31" s="31"/>
      <c r="C31" s="32"/>
      <c r="D31" s="31"/>
      <c r="E31" s="31"/>
      <c r="F31" s="32"/>
      <c r="G31" s="31"/>
      <c r="H31" s="31"/>
      <c r="I31" s="32"/>
      <c r="J31" s="32"/>
      <c r="K31" s="31"/>
      <c r="L31" s="31"/>
      <c r="M31" s="32"/>
      <c r="N31" s="32"/>
      <c r="O31" s="32"/>
      <c r="P31" s="32"/>
      <c r="Q31" s="32"/>
      <c r="R31" s="32"/>
      <c r="S31" s="32"/>
      <c r="T31" s="32"/>
      <c r="U31" s="31"/>
      <c r="V31" s="31"/>
    </row>
    <row r="32" spans="1:22" x14ac:dyDescent="0.15">
      <c r="A32" s="31"/>
      <c r="B32" s="31"/>
      <c r="C32" s="32"/>
      <c r="D32" s="31"/>
      <c r="E32" s="31"/>
      <c r="F32" s="32"/>
      <c r="G32" s="31"/>
      <c r="H32" s="31"/>
      <c r="I32" s="32"/>
      <c r="J32" s="32"/>
      <c r="K32" s="31"/>
      <c r="L32" s="31"/>
      <c r="M32" s="32"/>
      <c r="N32" s="32"/>
      <c r="O32" s="32"/>
      <c r="P32" s="32"/>
      <c r="Q32" s="32"/>
      <c r="R32" s="32"/>
      <c r="S32" s="32"/>
      <c r="T32" s="32"/>
      <c r="U32" s="31"/>
      <c r="V32" s="31"/>
    </row>
    <row r="33" spans="1:22" x14ac:dyDescent="0.15">
      <c r="A33" s="31"/>
      <c r="B33" s="31"/>
      <c r="C33" s="32"/>
      <c r="D33" s="31"/>
      <c r="E33" s="31"/>
      <c r="F33" s="32"/>
      <c r="G33" s="31"/>
      <c r="H33" s="31"/>
      <c r="I33" s="32"/>
      <c r="J33" s="32"/>
      <c r="K33" s="31"/>
      <c r="L33" s="31"/>
      <c r="M33" s="32"/>
      <c r="N33" s="32"/>
      <c r="O33" s="32"/>
      <c r="P33" s="32"/>
      <c r="Q33" s="32"/>
      <c r="R33" s="32"/>
      <c r="S33" s="32"/>
      <c r="T33" s="32"/>
      <c r="U33" s="31"/>
      <c r="V33" s="31"/>
    </row>
    <row r="37" spans="1:22" x14ac:dyDescent="0.15">
      <c r="C37" s="10"/>
      <c r="F37" s="10"/>
      <c r="I37" s="10"/>
      <c r="J37" s="10"/>
      <c r="M37" s="10"/>
      <c r="N37" s="10"/>
      <c r="O37" s="10"/>
      <c r="P37" s="10"/>
      <c r="Q37" s="10"/>
      <c r="R37" s="10"/>
      <c r="S37" s="10"/>
      <c r="T37" s="10"/>
    </row>
    <row r="38" spans="1:22" x14ac:dyDescent="0.15">
      <c r="C38" s="10"/>
      <c r="F38" s="10"/>
      <c r="I38" s="10"/>
      <c r="J38" s="10"/>
      <c r="M38" s="10"/>
      <c r="N38" s="10"/>
      <c r="O38" s="10"/>
      <c r="P38" s="10"/>
      <c r="Q38" s="10"/>
      <c r="R38" s="10"/>
      <c r="S38" s="10"/>
      <c r="T38" s="10"/>
    </row>
    <row r="39" spans="1:22" x14ac:dyDescent="0.15">
      <c r="C39" s="10"/>
      <c r="F39" s="10"/>
      <c r="I39" s="10"/>
      <c r="J39" s="10"/>
      <c r="M39" s="10"/>
      <c r="N39" s="10"/>
      <c r="O39" s="10"/>
      <c r="P39" s="10"/>
      <c r="Q39" s="10"/>
      <c r="R39" s="10"/>
      <c r="S39" s="10"/>
      <c r="T39" s="10"/>
    </row>
    <row r="40" spans="1:22" x14ac:dyDescent="0.15">
      <c r="C40" s="10"/>
      <c r="F40" s="10"/>
      <c r="I40" s="10"/>
      <c r="J40" s="10"/>
      <c r="M40" s="10"/>
      <c r="N40" s="10"/>
      <c r="O40" s="10"/>
      <c r="P40" s="10"/>
      <c r="Q40" s="10"/>
      <c r="R40" s="10"/>
      <c r="S40" s="10"/>
      <c r="T40" s="10"/>
    </row>
    <row r="41" spans="1:22" x14ac:dyDescent="0.15">
      <c r="C41" s="10"/>
      <c r="F41" s="10"/>
      <c r="I41" s="10"/>
      <c r="J41" s="10"/>
      <c r="M41" s="10"/>
      <c r="N41" s="10"/>
      <c r="O41" s="10"/>
      <c r="P41" s="10"/>
      <c r="Q41" s="10"/>
      <c r="R41" s="10"/>
      <c r="S41" s="10"/>
      <c r="T41" s="10"/>
    </row>
    <row r="42" spans="1:22" x14ac:dyDescent="0.15">
      <c r="C42" s="10"/>
      <c r="F42" s="10"/>
      <c r="I42" s="10"/>
      <c r="J42" s="10"/>
      <c r="M42" s="10"/>
      <c r="N42" s="10"/>
      <c r="O42" s="10"/>
      <c r="P42" s="10"/>
      <c r="Q42" s="10"/>
      <c r="R42" s="10"/>
      <c r="S42" s="10"/>
      <c r="T42" s="10"/>
    </row>
    <row r="43" spans="1:22" x14ac:dyDescent="0.15">
      <c r="C43" s="10"/>
      <c r="F43" s="10"/>
      <c r="I43" s="10"/>
      <c r="J43" s="10"/>
      <c r="M43" s="10"/>
      <c r="N43" s="10"/>
      <c r="O43" s="10"/>
      <c r="P43" s="10"/>
      <c r="Q43" s="10"/>
      <c r="R43" s="10"/>
      <c r="S43" s="10"/>
      <c r="T43" s="10"/>
    </row>
    <row r="44" spans="1:22" x14ac:dyDescent="0.15">
      <c r="C44" s="10"/>
      <c r="F44" s="10"/>
      <c r="I44" s="10"/>
      <c r="J44" s="10"/>
      <c r="M44" s="10"/>
      <c r="N44" s="10"/>
      <c r="O44" s="10"/>
      <c r="P44" s="10"/>
      <c r="Q44" s="10"/>
      <c r="R44" s="10"/>
      <c r="S44" s="10"/>
      <c r="T44" s="10"/>
    </row>
    <row r="45" spans="1:22" x14ac:dyDescent="0.15">
      <c r="C45" s="10"/>
      <c r="F45" s="10"/>
      <c r="I45" s="10"/>
      <c r="J45" s="10"/>
      <c r="M45" s="10"/>
      <c r="N45" s="10"/>
      <c r="O45" s="10"/>
      <c r="P45" s="10"/>
      <c r="Q45" s="10"/>
      <c r="R45" s="10"/>
      <c r="S45" s="10"/>
      <c r="T45" s="10"/>
    </row>
    <row r="46" spans="1:22" x14ac:dyDescent="0.15">
      <c r="C46" s="10"/>
      <c r="F46" s="10"/>
      <c r="I46" s="10"/>
      <c r="J46" s="10"/>
      <c r="M46" s="10"/>
      <c r="N46" s="10"/>
      <c r="O46" s="10"/>
      <c r="P46" s="10"/>
      <c r="Q46" s="10"/>
      <c r="R46" s="10"/>
      <c r="S46" s="10"/>
      <c r="T46" s="10"/>
    </row>
    <row r="47" spans="1:22" x14ac:dyDescent="0.15">
      <c r="C47" s="10"/>
      <c r="F47" s="10"/>
      <c r="I47" s="10"/>
      <c r="J47" s="10"/>
      <c r="M47" s="10"/>
      <c r="N47" s="10"/>
      <c r="O47" s="10"/>
      <c r="P47" s="10"/>
      <c r="Q47" s="10"/>
      <c r="R47" s="10"/>
      <c r="S47" s="10"/>
      <c r="T47" s="10"/>
    </row>
    <row r="48" spans="1:22" x14ac:dyDescent="0.15">
      <c r="C48" s="10"/>
      <c r="F48" s="10"/>
      <c r="I48" s="10"/>
      <c r="J48" s="10"/>
      <c r="M48" s="10"/>
      <c r="N48" s="10"/>
      <c r="O48" s="10"/>
      <c r="P48" s="10"/>
      <c r="Q48" s="10"/>
      <c r="R48" s="10"/>
      <c r="S48" s="10"/>
      <c r="T48" s="10"/>
    </row>
    <row r="49" s="10" customFormat="1" x14ac:dyDescent="0.15"/>
    <row r="50" s="10" customFormat="1" x14ac:dyDescent="0.15"/>
    <row r="51" s="10" customFormat="1" x14ac:dyDescent="0.15"/>
    <row r="52" s="10" customFormat="1" x14ac:dyDescent="0.15"/>
    <row r="53" s="10" customFormat="1" x14ac:dyDescent="0.15"/>
    <row r="54" s="10" customFormat="1" x14ac:dyDescent="0.15"/>
    <row r="55" s="10" customFormat="1" x14ac:dyDescent="0.15"/>
    <row r="56" s="10" customFormat="1" x14ac:dyDescent="0.15"/>
    <row r="57" s="10" customFormat="1" x14ac:dyDescent="0.15"/>
    <row r="58" s="10" customFormat="1" x14ac:dyDescent="0.15"/>
    <row r="59" s="10" customFormat="1" x14ac:dyDescent="0.15"/>
    <row r="60" s="10" customFormat="1" x14ac:dyDescent="0.15"/>
    <row r="61" s="10" customFormat="1" x14ac:dyDescent="0.15"/>
    <row r="62" s="10" customFormat="1" x14ac:dyDescent="0.15"/>
    <row r="63" s="10" customFormat="1" x14ac:dyDescent="0.15"/>
    <row r="64" s="10" customFormat="1" x14ac:dyDescent="0.15"/>
    <row r="65" s="10" customFormat="1" x14ac:dyDescent="0.15"/>
    <row r="66" s="10" customFormat="1" x14ac:dyDescent="0.15"/>
    <row r="67" s="10" customFormat="1" x14ac:dyDescent="0.15"/>
    <row r="68" s="10" customFormat="1" x14ac:dyDescent="0.15"/>
    <row r="69" s="10" customFormat="1" x14ac:dyDescent="0.15"/>
    <row r="70" s="10" customFormat="1" x14ac:dyDescent="0.15"/>
    <row r="71" s="10" customFormat="1" x14ac:dyDescent="0.15"/>
    <row r="72" s="10" customFormat="1" x14ac:dyDescent="0.15"/>
    <row r="73" s="10" customFormat="1" x14ac:dyDescent="0.15"/>
    <row r="74" s="10" customFormat="1" x14ac:dyDescent="0.15"/>
    <row r="75" s="10" customFormat="1" x14ac:dyDescent="0.15"/>
    <row r="76" s="10" customFormat="1" ht="12.75" customHeight="1" x14ac:dyDescent="0.15"/>
    <row r="77" s="10" customFormat="1" x14ac:dyDescent="0.15"/>
    <row r="78" s="10" customFormat="1" ht="12.75" customHeight="1" x14ac:dyDescent="0.15"/>
    <row r="79" s="10" customFormat="1" x14ac:dyDescent="0.15"/>
    <row r="80" s="10" customFormat="1" x14ac:dyDescent="0.15"/>
    <row r="81" s="10" customFormat="1" x14ac:dyDescent="0.15"/>
    <row r="82" s="10" customFormat="1" x14ac:dyDescent="0.15"/>
    <row r="83" s="10" customFormat="1" x14ac:dyDescent="0.15"/>
    <row r="84" s="10" customFormat="1" x14ac:dyDescent="0.15"/>
    <row r="85" s="10" customFormat="1" x14ac:dyDescent="0.15"/>
    <row r="86" s="10" customFormat="1" x14ac:dyDescent="0.15"/>
    <row r="87" s="10" customFormat="1" x14ac:dyDescent="0.15"/>
    <row r="88" s="10" customFormat="1" x14ac:dyDescent="0.15"/>
    <row r="89" s="10" customFormat="1" x14ac:dyDescent="0.15"/>
    <row r="90" s="10" customFormat="1" x14ac:dyDescent="0.15"/>
    <row r="91" s="10" customFormat="1" x14ac:dyDescent="0.15"/>
    <row r="92" s="10" customFormat="1" x14ac:dyDescent="0.15"/>
    <row r="93" s="10" customFormat="1" x14ac:dyDescent="0.15"/>
    <row r="94" s="10" customFormat="1" x14ac:dyDescent="0.15"/>
    <row r="95" s="10" customFormat="1" x14ac:dyDescent="0.15"/>
    <row r="96" s="10" customFormat="1" x14ac:dyDescent="0.15"/>
    <row r="97" s="10" customFormat="1" x14ac:dyDescent="0.15"/>
    <row r="98" s="10" customFormat="1" x14ac:dyDescent="0.15"/>
    <row r="99" s="10" customFormat="1" x14ac:dyDescent="0.15"/>
    <row r="100" s="10" customFormat="1" x14ac:dyDescent="0.15"/>
    <row r="101" s="10" customFormat="1" x14ac:dyDescent="0.15"/>
    <row r="102" s="10" customFormat="1" x14ac:dyDescent="0.15"/>
    <row r="103" s="10" customFormat="1" x14ac:dyDescent="0.15"/>
    <row r="104" s="10" customFormat="1" x14ac:dyDescent="0.15"/>
    <row r="105" s="10" customFormat="1" x14ac:dyDescent="0.15"/>
    <row r="106" s="10" customFormat="1" x14ac:dyDescent="0.15"/>
    <row r="107" s="10" customFormat="1" x14ac:dyDescent="0.15"/>
    <row r="108" s="10" customFormat="1" x14ac:dyDescent="0.15"/>
    <row r="109" s="10" customFormat="1" x14ac:dyDescent="0.15"/>
    <row r="110" s="10" customFormat="1" x14ac:dyDescent="0.15"/>
    <row r="111" s="10" customFormat="1" x14ac:dyDescent="0.15"/>
    <row r="112" s="10" customFormat="1" x14ac:dyDescent="0.15"/>
    <row r="113" s="10" customFormat="1" x14ac:dyDescent="0.15"/>
    <row r="114" s="10" customFormat="1" x14ac:dyDescent="0.15"/>
    <row r="115" s="10" customFormat="1" x14ac:dyDescent="0.15"/>
    <row r="116" s="10" customFormat="1" x14ac:dyDescent="0.15"/>
    <row r="117" s="10" customFormat="1" x14ac:dyDescent="0.15"/>
    <row r="118" s="10" customFormat="1" x14ac:dyDescent="0.15"/>
    <row r="119" s="10" customFormat="1" x14ac:dyDescent="0.15"/>
    <row r="120" s="10" customFormat="1" x14ac:dyDescent="0.15"/>
    <row r="121" s="10" customFormat="1" x14ac:dyDescent="0.15"/>
    <row r="122" s="10" customFormat="1" x14ac:dyDescent="0.15"/>
    <row r="123" s="10" customFormat="1" x14ac:dyDescent="0.15"/>
    <row r="124" s="10" customFormat="1" x14ac:dyDescent="0.15"/>
    <row r="125" s="10" customFormat="1" x14ac:dyDescent="0.15"/>
    <row r="126" s="10" customFormat="1" x14ac:dyDescent="0.15"/>
    <row r="127" s="10" customFormat="1" x14ac:dyDescent="0.15"/>
    <row r="128" s="10" customFormat="1" x14ac:dyDescent="0.15"/>
    <row r="129" s="10" customFormat="1" x14ac:dyDescent="0.15"/>
    <row r="130" s="10" customFormat="1" x14ac:dyDescent="0.15"/>
    <row r="131" s="10" customFormat="1" x14ac:dyDescent="0.15"/>
    <row r="132" s="10" customFormat="1" x14ac:dyDescent="0.15"/>
    <row r="133" s="10" customFormat="1" x14ac:dyDescent="0.15"/>
    <row r="134" s="10" customFormat="1" x14ac:dyDescent="0.15"/>
    <row r="135" s="10" customFormat="1" x14ac:dyDescent="0.15"/>
    <row r="136" s="10" customFormat="1" x14ac:dyDescent="0.15"/>
    <row r="137" s="10" customFormat="1" x14ac:dyDescent="0.15"/>
    <row r="138" s="10" customFormat="1" x14ac:dyDescent="0.15"/>
    <row r="139" s="10" customFormat="1" x14ac:dyDescent="0.15"/>
    <row r="140" s="10" customFormat="1" x14ac:dyDescent="0.15"/>
    <row r="141" s="10" customFormat="1" x14ac:dyDescent="0.15"/>
    <row r="142" s="10" customFormat="1" x14ac:dyDescent="0.15"/>
    <row r="143" s="10" customFormat="1" x14ac:dyDescent="0.15"/>
    <row r="144" s="10" customFormat="1" x14ac:dyDescent="0.15"/>
    <row r="145" s="10" customFormat="1" x14ac:dyDescent="0.15"/>
    <row r="146" s="10" customFormat="1" x14ac:dyDescent="0.15"/>
    <row r="147" s="10" customFormat="1" x14ac:dyDescent="0.15"/>
    <row r="148" s="10" customFormat="1" x14ac:dyDescent="0.15"/>
    <row r="149" s="10" customFormat="1" x14ac:dyDescent="0.15"/>
    <row r="150" s="10" customFormat="1" x14ac:dyDescent="0.15"/>
    <row r="151" s="10" customFormat="1" x14ac:dyDescent="0.15"/>
    <row r="152" s="10" customFormat="1" x14ac:dyDescent="0.15"/>
    <row r="153" s="10" customFormat="1" x14ac:dyDescent="0.15"/>
    <row r="154" s="10" customFormat="1" x14ac:dyDescent="0.15"/>
    <row r="155" s="10" customFormat="1" x14ac:dyDescent="0.15"/>
    <row r="156" s="10" customFormat="1" x14ac:dyDescent="0.15"/>
    <row r="157" s="10" customFormat="1" x14ac:dyDescent="0.15"/>
    <row r="158" s="10" customFormat="1" x14ac:dyDescent="0.15"/>
    <row r="159" s="10" customFormat="1" x14ac:dyDescent="0.15"/>
    <row r="160" s="10" customFormat="1" x14ac:dyDescent="0.15"/>
    <row r="161" s="10" customFormat="1" x14ac:dyDescent="0.15"/>
    <row r="162" s="10" customFormat="1" x14ac:dyDescent="0.15"/>
    <row r="163" s="10" customFormat="1" x14ac:dyDescent="0.15"/>
    <row r="164" s="10" customFormat="1" x14ac:dyDescent="0.15"/>
    <row r="165" s="10" customFormat="1" x14ac:dyDescent="0.15"/>
    <row r="166" s="10" customFormat="1" x14ac:dyDescent="0.15"/>
    <row r="167" s="10" customFormat="1" x14ac:dyDescent="0.15"/>
    <row r="168" s="10" customFormat="1" x14ac:dyDescent="0.15"/>
    <row r="169" s="10" customFormat="1" x14ac:dyDescent="0.15"/>
    <row r="170" s="10" customFormat="1" x14ac:dyDescent="0.15"/>
    <row r="171" s="10" customFormat="1" x14ac:dyDescent="0.15"/>
    <row r="172" s="10" customFormat="1" x14ac:dyDescent="0.15"/>
    <row r="173" s="10" customFormat="1" x14ac:dyDescent="0.15"/>
    <row r="174" s="10" customFormat="1" x14ac:dyDescent="0.15"/>
    <row r="175" s="10" customFormat="1" x14ac:dyDescent="0.15"/>
    <row r="176" s="10" customFormat="1" x14ac:dyDescent="0.15"/>
    <row r="177" s="10" customFormat="1" x14ac:dyDescent="0.15"/>
    <row r="178" s="10" customFormat="1" x14ac:dyDescent="0.15"/>
    <row r="179" s="10" customFormat="1" x14ac:dyDescent="0.15"/>
    <row r="180" s="10" customFormat="1" x14ac:dyDescent="0.15"/>
    <row r="181" s="10" customFormat="1" x14ac:dyDescent="0.15"/>
    <row r="182" s="10" customFormat="1" x14ac:dyDescent="0.15"/>
    <row r="183" s="10" customFormat="1" x14ac:dyDescent="0.15"/>
    <row r="184" s="10" customFormat="1" x14ac:dyDescent="0.15"/>
    <row r="185" s="10" customFormat="1" x14ac:dyDescent="0.15"/>
    <row r="186" s="10" customFormat="1" x14ac:dyDescent="0.15"/>
    <row r="187" s="10" customFormat="1" x14ac:dyDescent="0.15"/>
    <row r="188" s="10" customFormat="1" x14ac:dyDescent="0.15"/>
    <row r="189" s="10" customFormat="1" x14ac:dyDescent="0.15"/>
    <row r="190" s="10" customFormat="1" x14ac:dyDescent="0.15"/>
    <row r="191" s="10" customFormat="1" x14ac:dyDescent="0.15"/>
    <row r="192" s="10" customFormat="1" x14ac:dyDescent="0.15"/>
    <row r="193" s="10" customFormat="1" x14ac:dyDescent="0.15"/>
    <row r="194" s="10" customFormat="1" x14ac:dyDescent="0.15"/>
    <row r="195" s="10" customFormat="1" x14ac:dyDescent="0.15"/>
    <row r="196" s="10" customFormat="1" x14ac:dyDescent="0.15"/>
    <row r="197" s="10" customFormat="1" x14ac:dyDescent="0.15"/>
    <row r="198" s="10" customFormat="1" x14ac:dyDescent="0.15"/>
    <row r="199" s="10" customFormat="1" x14ac:dyDescent="0.15"/>
    <row r="200" s="10" customFormat="1" x14ac:dyDescent="0.15"/>
    <row r="201" s="10" customFormat="1" x14ac:dyDescent="0.15"/>
    <row r="202" s="10" customFormat="1" x14ac:dyDescent="0.15"/>
    <row r="203" s="10" customFormat="1" x14ac:dyDescent="0.15"/>
    <row r="204" s="10" customFormat="1" x14ac:dyDescent="0.15"/>
    <row r="205" s="10" customFormat="1" x14ac:dyDescent="0.15"/>
    <row r="206" s="10" customFormat="1" x14ac:dyDescent="0.15"/>
    <row r="207" s="10" customFormat="1" x14ac:dyDescent="0.15"/>
    <row r="208" s="10" customFormat="1" x14ac:dyDescent="0.15"/>
    <row r="209" s="10" customFormat="1" x14ac:dyDescent="0.15"/>
    <row r="210" s="10" customFormat="1" x14ac:dyDescent="0.15"/>
    <row r="211" s="10" customFormat="1" x14ac:dyDescent="0.15"/>
    <row r="212" s="10" customFormat="1" x14ac:dyDescent="0.15"/>
    <row r="213" s="10" customFormat="1" x14ac:dyDescent="0.15"/>
    <row r="214" s="10" customFormat="1" x14ac:dyDescent="0.15"/>
    <row r="215" s="10" customFormat="1" x14ac:dyDescent="0.15"/>
    <row r="216" s="10" customFormat="1" x14ac:dyDescent="0.15"/>
    <row r="217" s="10" customFormat="1" x14ac:dyDescent="0.15"/>
    <row r="218" s="10" customFormat="1" x14ac:dyDescent="0.15"/>
    <row r="219" s="10" customFormat="1" x14ac:dyDescent="0.15"/>
    <row r="220" s="10" customFormat="1" x14ac:dyDescent="0.15"/>
    <row r="221" s="10" customFormat="1" x14ac:dyDescent="0.15"/>
    <row r="222" s="10" customFormat="1" x14ac:dyDescent="0.15"/>
    <row r="223" s="10" customFormat="1" x14ac:dyDescent="0.15"/>
    <row r="224" s="10" customFormat="1" x14ac:dyDescent="0.15"/>
    <row r="225" s="10" customFormat="1" x14ac:dyDescent="0.15"/>
    <row r="226" s="10" customFormat="1" x14ac:dyDescent="0.15"/>
    <row r="227" s="10" customFormat="1" x14ac:dyDescent="0.15"/>
    <row r="228" s="10" customFormat="1" x14ac:dyDescent="0.15"/>
    <row r="229" s="10" customFormat="1" x14ac:dyDescent="0.15"/>
    <row r="230" s="10" customFormat="1" x14ac:dyDescent="0.15"/>
    <row r="231" s="10" customFormat="1" x14ac:dyDescent="0.15"/>
    <row r="232" s="10" customFormat="1" x14ac:dyDescent="0.15"/>
    <row r="233" s="10" customFormat="1" x14ac:dyDescent="0.15"/>
    <row r="234" s="10" customFormat="1" x14ac:dyDescent="0.15"/>
    <row r="235" s="10" customFormat="1" x14ac:dyDescent="0.15"/>
    <row r="236" s="10" customFormat="1" x14ac:dyDescent="0.15"/>
    <row r="237" s="10" customFormat="1" x14ac:dyDescent="0.15"/>
    <row r="238" s="10" customFormat="1" x14ac:dyDescent="0.15"/>
    <row r="239" s="10" customFormat="1" x14ac:dyDescent="0.15"/>
    <row r="240" s="10" customFormat="1" x14ac:dyDescent="0.15"/>
    <row r="241" s="10" customFormat="1" x14ac:dyDescent="0.15"/>
    <row r="242" s="10" customFormat="1" x14ac:dyDescent="0.15"/>
    <row r="243" s="10" customFormat="1" x14ac:dyDescent="0.15"/>
    <row r="244" s="10" customFormat="1" x14ac:dyDescent="0.15"/>
    <row r="245" s="10" customFormat="1" x14ac:dyDescent="0.15"/>
    <row r="246" s="10" customFormat="1" x14ac:dyDescent="0.15"/>
    <row r="247" s="10" customFormat="1" x14ac:dyDescent="0.15"/>
    <row r="248" s="10" customFormat="1" x14ac:dyDescent="0.15"/>
    <row r="249" s="10" customFormat="1" x14ac:dyDescent="0.15"/>
    <row r="250" s="10" customFormat="1" x14ac:dyDescent="0.15"/>
    <row r="251" s="10" customFormat="1" x14ac:dyDescent="0.15"/>
    <row r="252" s="10" customFormat="1" x14ac:dyDescent="0.15"/>
    <row r="253" s="10" customFormat="1" x14ac:dyDescent="0.15"/>
    <row r="254" s="10" customFormat="1" x14ac:dyDescent="0.15"/>
    <row r="255" s="10" customFormat="1" x14ac:dyDescent="0.15"/>
    <row r="256" s="10" customFormat="1" x14ac:dyDescent="0.15"/>
    <row r="257" s="10" customFormat="1" x14ac:dyDescent="0.15"/>
    <row r="258" s="10" customFormat="1" x14ac:dyDescent="0.15"/>
    <row r="259" s="10" customFormat="1" x14ac:dyDescent="0.15"/>
    <row r="260" s="10" customFormat="1" x14ac:dyDescent="0.15"/>
    <row r="261" s="10" customFormat="1" x14ac:dyDescent="0.15"/>
    <row r="262" s="10" customFormat="1" x14ac:dyDescent="0.15"/>
    <row r="263" s="10" customFormat="1" x14ac:dyDescent="0.15"/>
    <row r="264" s="10" customFormat="1" x14ac:dyDescent="0.15"/>
    <row r="265" s="10" customFormat="1" x14ac:dyDescent="0.15"/>
    <row r="266" s="10" customFormat="1" x14ac:dyDescent="0.15"/>
    <row r="267" s="10" customFormat="1" x14ac:dyDescent="0.15"/>
    <row r="268" s="10" customFormat="1" x14ac:dyDescent="0.15"/>
    <row r="269" s="10" customFormat="1" x14ac:dyDescent="0.15"/>
    <row r="270" s="10" customFormat="1" x14ac:dyDescent="0.15"/>
    <row r="271" s="10" customFormat="1" x14ac:dyDescent="0.15"/>
    <row r="272" s="10" customFormat="1" x14ac:dyDescent="0.15"/>
    <row r="273" s="10" customFormat="1" x14ac:dyDescent="0.15"/>
    <row r="274" s="10" customFormat="1" x14ac:dyDescent="0.15"/>
    <row r="275" s="10" customFormat="1" x14ac:dyDescent="0.15"/>
    <row r="276" s="10" customFormat="1" x14ac:dyDescent="0.15"/>
    <row r="277" s="10" customFormat="1" x14ac:dyDescent="0.15"/>
    <row r="278" s="10" customFormat="1" x14ac:dyDescent="0.15"/>
    <row r="279" s="10" customFormat="1" x14ac:dyDescent="0.15"/>
    <row r="280" s="10" customFormat="1" x14ac:dyDescent="0.15"/>
    <row r="281" s="10" customFormat="1" x14ac:dyDescent="0.15"/>
    <row r="282" s="10" customFormat="1" x14ac:dyDescent="0.15"/>
    <row r="283" s="10" customFormat="1" x14ac:dyDescent="0.15"/>
    <row r="284" s="10" customFormat="1" x14ac:dyDescent="0.15"/>
    <row r="285" s="10" customFormat="1" x14ac:dyDescent="0.15"/>
    <row r="286" s="10" customFormat="1" x14ac:dyDescent="0.15"/>
    <row r="287" s="10" customFormat="1" x14ac:dyDescent="0.15"/>
    <row r="288" s="10" customFormat="1" x14ac:dyDescent="0.15"/>
    <row r="289" s="10" customFormat="1" x14ac:dyDescent="0.15"/>
    <row r="290" s="10" customFormat="1" x14ac:dyDescent="0.15"/>
    <row r="291" s="10" customFormat="1" x14ac:dyDescent="0.15"/>
    <row r="292" s="10" customFormat="1" x14ac:dyDescent="0.15"/>
    <row r="293" s="10" customFormat="1" x14ac:dyDescent="0.15"/>
    <row r="294" s="10" customFormat="1" x14ac:dyDescent="0.15"/>
    <row r="295" s="10" customFormat="1" x14ac:dyDescent="0.15"/>
    <row r="296" s="10" customFormat="1" x14ac:dyDescent="0.15"/>
    <row r="297" s="10" customFormat="1" x14ac:dyDescent="0.15"/>
    <row r="298" s="10" customFormat="1" x14ac:dyDescent="0.15"/>
    <row r="299" s="10" customFormat="1" x14ac:dyDescent="0.15"/>
    <row r="300" s="10" customFormat="1" x14ac:dyDescent="0.15"/>
    <row r="301" s="10" customFormat="1" x14ac:dyDescent="0.15"/>
    <row r="302" s="10" customFormat="1" x14ac:dyDescent="0.15"/>
    <row r="303" s="10" customFormat="1" x14ac:dyDescent="0.15"/>
    <row r="304" s="10" customFormat="1" x14ac:dyDescent="0.15"/>
    <row r="305" s="10" customFormat="1" x14ac:dyDescent="0.15"/>
    <row r="306" s="10" customFormat="1" x14ac:dyDescent="0.15"/>
    <row r="307" s="10" customFormat="1" x14ac:dyDescent="0.15"/>
    <row r="308" s="10" customFormat="1" x14ac:dyDescent="0.15"/>
    <row r="309" s="10" customFormat="1" x14ac:dyDescent="0.15"/>
    <row r="310" s="10" customFormat="1" x14ac:dyDescent="0.15"/>
    <row r="311" s="10" customFormat="1" x14ac:dyDescent="0.15"/>
    <row r="312" s="10" customFormat="1" x14ac:dyDescent="0.15"/>
    <row r="313" s="10" customFormat="1" x14ac:dyDescent="0.15"/>
    <row r="314" s="10" customFormat="1" x14ac:dyDescent="0.15"/>
    <row r="315" s="10" customFormat="1" x14ac:dyDescent="0.15"/>
    <row r="316" s="10" customFormat="1" x14ac:dyDescent="0.15"/>
    <row r="317" s="10" customFormat="1" x14ac:dyDescent="0.15"/>
    <row r="318" s="10" customFormat="1" x14ac:dyDescent="0.15"/>
    <row r="319" s="10" customFormat="1" x14ac:dyDescent="0.15"/>
    <row r="320" s="10" customFormat="1" x14ac:dyDescent="0.15"/>
    <row r="321" s="10" customFormat="1" x14ac:dyDescent="0.15"/>
    <row r="322" s="10" customFormat="1" x14ac:dyDescent="0.15"/>
    <row r="323" s="10" customFormat="1" x14ac:dyDescent="0.15"/>
    <row r="324" s="10" customFormat="1" x14ac:dyDescent="0.15"/>
    <row r="325" s="10" customFormat="1" x14ac:dyDescent="0.15"/>
    <row r="326" s="10" customFormat="1" x14ac:dyDescent="0.15"/>
    <row r="327" s="10" customFormat="1" x14ac:dyDescent="0.15"/>
    <row r="328" s="10" customFormat="1" x14ac:dyDescent="0.15"/>
    <row r="329" s="10" customFormat="1" x14ac:dyDescent="0.15"/>
    <row r="330" s="10" customFormat="1" x14ac:dyDescent="0.15"/>
    <row r="331" s="10" customFormat="1" x14ac:dyDescent="0.15"/>
    <row r="332" s="10" customFormat="1" x14ac:dyDescent="0.15"/>
    <row r="333" s="10" customFormat="1" x14ac:dyDescent="0.15"/>
    <row r="334" s="10" customFormat="1" x14ac:dyDescent="0.15"/>
    <row r="335" s="10" customFormat="1" x14ac:dyDescent="0.15"/>
    <row r="336" s="10" customFormat="1" x14ac:dyDescent="0.15"/>
    <row r="337" s="10" customFormat="1" x14ac:dyDescent="0.15"/>
    <row r="338" s="10" customFormat="1" x14ac:dyDescent="0.15"/>
    <row r="339" s="10" customFormat="1" x14ac:dyDescent="0.15"/>
    <row r="340" s="10" customFormat="1" x14ac:dyDescent="0.15"/>
    <row r="341" s="10" customFormat="1" x14ac:dyDescent="0.15"/>
    <row r="342" s="10" customFormat="1" x14ac:dyDescent="0.15"/>
    <row r="343" s="10" customFormat="1" x14ac:dyDescent="0.15"/>
    <row r="344" s="10" customFormat="1" x14ac:dyDescent="0.15"/>
    <row r="345" s="10" customFormat="1" x14ac:dyDescent="0.15"/>
    <row r="346" s="10" customFormat="1" x14ac:dyDescent="0.15"/>
    <row r="347" s="10" customFormat="1" x14ac:dyDescent="0.15"/>
    <row r="348" s="10" customFormat="1" x14ac:dyDescent="0.15"/>
    <row r="349" s="10" customFormat="1" x14ac:dyDescent="0.15"/>
    <row r="350" s="10" customFormat="1" x14ac:dyDescent="0.15"/>
    <row r="351" s="10" customFormat="1" x14ac:dyDescent="0.15"/>
    <row r="352" s="10" customFormat="1" x14ac:dyDescent="0.15"/>
    <row r="353" s="10" customFormat="1" x14ac:dyDescent="0.15"/>
    <row r="354" s="10" customFormat="1" x14ac:dyDescent="0.15"/>
    <row r="355" s="10" customFormat="1" x14ac:dyDescent="0.15"/>
    <row r="356" s="10" customFormat="1" x14ac:dyDescent="0.15"/>
    <row r="357" s="10" customFormat="1" x14ac:dyDescent="0.15"/>
    <row r="358" s="10" customFormat="1" x14ac:dyDescent="0.15"/>
    <row r="359" s="10" customFormat="1" x14ac:dyDescent="0.15"/>
    <row r="360" s="10" customFormat="1" x14ac:dyDescent="0.15"/>
    <row r="361" s="10" customFormat="1" x14ac:dyDescent="0.15"/>
    <row r="362" s="10" customFormat="1" x14ac:dyDescent="0.15"/>
    <row r="363" s="10" customFormat="1" x14ac:dyDescent="0.15"/>
    <row r="364" s="10" customFormat="1" x14ac:dyDescent="0.15"/>
    <row r="365" s="10" customFormat="1" x14ac:dyDescent="0.15"/>
  </sheetData>
  <mergeCells count="9">
    <mergeCell ref="S3:U3"/>
    <mergeCell ref="A1:V1"/>
    <mergeCell ref="A2:V2"/>
    <mergeCell ref="G3:I3"/>
    <mergeCell ref="K3:M3"/>
    <mergeCell ref="V3:V5"/>
    <mergeCell ref="D3:F3"/>
    <mergeCell ref="A3:A5"/>
    <mergeCell ref="O3:Q3"/>
  </mergeCells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2024-05-16T03:32:27Z</cp:lastPrinted>
  <dcterms:created xsi:type="dcterms:W3CDTF">2019-02-28T08:20:57Z</dcterms:created>
  <dcterms:modified xsi:type="dcterms:W3CDTF">2024-05-16T03:32:41Z</dcterms:modified>
</cp:coreProperties>
</file>