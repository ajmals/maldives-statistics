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B76C4A12-627E-4E18-A7E8-1FA6022F112C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7" sheetId="38" r:id="rId1"/>
  </sheets>
  <definedNames>
    <definedName name="_xlnm.Print_Titles" localSheetId="0">'7.7'!$6:$8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38" l="1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E10" i="38"/>
  <c r="D13" i="38"/>
  <c r="AL13" i="38" s="1"/>
  <c r="C13" i="38"/>
  <c r="AK13" i="38" s="1"/>
  <c r="D11" i="38"/>
  <c r="AL11" i="38" s="1"/>
  <c r="C11" i="38"/>
  <c r="AK11" i="38" s="1"/>
  <c r="D12" i="38"/>
  <c r="AL12" i="38" s="1"/>
  <c r="C12" i="38"/>
  <c r="AJ212" i="38"/>
  <c r="AI212" i="38"/>
  <c r="AH212" i="38"/>
  <c r="AG212" i="38"/>
  <c r="AF212" i="38"/>
  <c r="AE212" i="38"/>
  <c r="AD212" i="38"/>
  <c r="AC212" i="38"/>
  <c r="AB212" i="38"/>
  <c r="AA212" i="38"/>
  <c r="Z212" i="38"/>
  <c r="Y212" i="38"/>
  <c r="X212" i="38"/>
  <c r="W212" i="38"/>
  <c r="V212" i="38"/>
  <c r="U212" i="38"/>
  <c r="T212" i="38"/>
  <c r="S212" i="38"/>
  <c r="R212" i="38"/>
  <c r="Q212" i="38"/>
  <c r="P212" i="38"/>
  <c r="O212" i="38"/>
  <c r="N212" i="38"/>
  <c r="M212" i="38"/>
  <c r="L212" i="38"/>
  <c r="K212" i="38"/>
  <c r="J212" i="38"/>
  <c r="I212" i="38"/>
  <c r="H212" i="38"/>
  <c r="G212" i="38"/>
  <c r="F212" i="38"/>
  <c r="E212" i="38"/>
  <c r="D218" i="38"/>
  <c r="AL218" i="38" s="1"/>
  <c r="C218" i="38"/>
  <c r="AK218" i="38" s="1"/>
  <c r="D217" i="38"/>
  <c r="AL217" i="38" s="1"/>
  <c r="C217" i="38"/>
  <c r="AK217" i="38" s="1"/>
  <c r="D216" i="38"/>
  <c r="AL216" i="38" s="1"/>
  <c r="C216" i="38"/>
  <c r="AK216" i="38" s="1"/>
  <c r="D215" i="38"/>
  <c r="AL215" i="38" s="1"/>
  <c r="C215" i="38"/>
  <c r="AK215" i="38" s="1"/>
  <c r="D214" i="38"/>
  <c r="AL214" i="38" s="1"/>
  <c r="C214" i="38"/>
  <c r="AK214" i="38" s="1"/>
  <c r="D213" i="38"/>
  <c r="C213" i="38"/>
  <c r="AK213" i="38" s="1"/>
  <c r="AJ210" i="38"/>
  <c r="AI210" i="38"/>
  <c r="AH210" i="38"/>
  <c r="AG210" i="38"/>
  <c r="AF210" i="38"/>
  <c r="AE210" i="38"/>
  <c r="AD210" i="38"/>
  <c r="AC210" i="38"/>
  <c r="AB210" i="38"/>
  <c r="AA210" i="38"/>
  <c r="Z210" i="38"/>
  <c r="Y210" i="38"/>
  <c r="X210" i="38"/>
  <c r="W210" i="38"/>
  <c r="V210" i="38"/>
  <c r="U210" i="38"/>
  <c r="T210" i="38"/>
  <c r="S210" i="38"/>
  <c r="R210" i="38"/>
  <c r="Q210" i="38"/>
  <c r="P210" i="38"/>
  <c r="O210" i="38"/>
  <c r="N210" i="38"/>
  <c r="M210" i="38"/>
  <c r="L210" i="38"/>
  <c r="K210" i="38"/>
  <c r="J210" i="38"/>
  <c r="I210" i="38"/>
  <c r="H210" i="38"/>
  <c r="G210" i="38"/>
  <c r="F210" i="38"/>
  <c r="E210" i="38"/>
  <c r="D211" i="38"/>
  <c r="D210" i="38" s="1"/>
  <c r="C211" i="38"/>
  <c r="C210" i="38" s="1"/>
  <c r="AJ200" i="38"/>
  <c r="AI200" i="38"/>
  <c r="AH200" i="38"/>
  <c r="AG200" i="38"/>
  <c r="AF200" i="38"/>
  <c r="AE200" i="38"/>
  <c r="AD200" i="38"/>
  <c r="AC200" i="38"/>
  <c r="AB200" i="38"/>
  <c r="AA200" i="38"/>
  <c r="Z200" i="38"/>
  <c r="Y200" i="38"/>
  <c r="X200" i="38"/>
  <c r="W200" i="38"/>
  <c r="V200" i="38"/>
  <c r="U200" i="38"/>
  <c r="T200" i="38"/>
  <c r="S200" i="38"/>
  <c r="R200" i="38"/>
  <c r="Q200" i="38"/>
  <c r="P200" i="38"/>
  <c r="O200" i="38"/>
  <c r="N200" i="38"/>
  <c r="M200" i="38"/>
  <c r="L200" i="38"/>
  <c r="K200" i="38"/>
  <c r="J200" i="38"/>
  <c r="I200" i="38"/>
  <c r="H200" i="38"/>
  <c r="G200" i="38"/>
  <c r="F200" i="38"/>
  <c r="E200" i="38"/>
  <c r="D209" i="38"/>
  <c r="AL209" i="38" s="1"/>
  <c r="C209" i="38"/>
  <c r="AK209" i="38" s="1"/>
  <c r="D208" i="38"/>
  <c r="AL208" i="38" s="1"/>
  <c r="C208" i="38"/>
  <c r="AK208" i="38" s="1"/>
  <c r="D207" i="38"/>
  <c r="AL207" i="38" s="1"/>
  <c r="C207" i="38"/>
  <c r="AK207" i="38" s="1"/>
  <c r="D206" i="38"/>
  <c r="AL206" i="38" s="1"/>
  <c r="C206" i="38"/>
  <c r="AK206" i="38" s="1"/>
  <c r="D205" i="38"/>
  <c r="AL205" i="38" s="1"/>
  <c r="C205" i="38"/>
  <c r="AK205" i="38" s="1"/>
  <c r="D204" i="38"/>
  <c r="AL204" i="38" s="1"/>
  <c r="C204" i="38"/>
  <c r="AK204" i="38" s="1"/>
  <c r="D203" i="38"/>
  <c r="AL203" i="38" s="1"/>
  <c r="C203" i="38"/>
  <c r="AK203" i="38" s="1"/>
  <c r="D202" i="38"/>
  <c r="C202" i="38"/>
  <c r="AK202" i="38" s="1"/>
  <c r="D201" i="38"/>
  <c r="AL201" i="38" s="1"/>
  <c r="C201" i="38"/>
  <c r="AK201" i="38" s="1"/>
  <c r="AJ190" i="38"/>
  <c r="AI190" i="38"/>
  <c r="AH190" i="38"/>
  <c r="AG190" i="38"/>
  <c r="AF190" i="38"/>
  <c r="AE190" i="38"/>
  <c r="AD190" i="38"/>
  <c r="AC190" i="38"/>
  <c r="AB190" i="38"/>
  <c r="AA190" i="38"/>
  <c r="Z190" i="38"/>
  <c r="Y190" i="38"/>
  <c r="X190" i="38"/>
  <c r="W190" i="38"/>
  <c r="V190" i="38"/>
  <c r="U190" i="38"/>
  <c r="T190" i="38"/>
  <c r="S190" i="38"/>
  <c r="R190" i="38"/>
  <c r="Q190" i="38"/>
  <c r="P190" i="38"/>
  <c r="O190" i="38"/>
  <c r="N190" i="38"/>
  <c r="M190" i="38"/>
  <c r="L190" i="38"/>
  <c r="K190" i="38"/>
  <c r="J190" i="38"/>
  <c r="I190" i="38"/>
  <c r="H190" i="38"/>
  <c r="G190" i="38"/>
  <c r="F190" i="38"/>
  <c r="E190" i="38"/>
  <c r="D199" i="38"/>
  <c r="AL199" i="38" s="1"/>
  <c r="C199" i="38"/>
  <c r="AK199" i="38" s="1"/>
  <c r="D198" i="38"/>
  <c r="AL198" i="38" s="1"/>
  <c r="C198" i="38"/>
  <c r="AK198" i="38" s="1"/>
  <c r="D197" i="38"/>
  <c r="AL197" i="38" s="1"/>
  <c r="C197" i="38"/>
  <c r="AK197" i="38" s="1"/>
  <c r="D196" i="38"/>
  <c r="AL196" i="38" s="1"/>
  <c r="C196" i="38"/>
  <c r="AK196" i="38" s="1"/>
  <c r="D195" i="38"/>
  <c r="AL195" i="38" s="1"/>
  <c r="C195" i="38"/>
  <c r="AK195" i="38" s="1"/>
  <c r="D194" i="38"/>
  <c r="AL194" i="38" s="1"/>
  <c r="C194" i="38"/>
  <c r="AK194" i="38" s="1"/>
  <c r="D193" i="38"/>
  <c r="AL193" i="38" s="1"/>
  <c r="C193" i="38"/>
  <c r="AK193" i="38" s="1"/>
  <c r="D192" i="38"/>
  <c r="AL192" i="38" s="1"/>
  <c r="C192" i="38"/>
  <c r="AK192" i="38" s="1"/>
  <c r="D191" i="38"/>
  <c r="AL191" i="38" s="1"/>
  <c r="C191" i="38"/>
  <c r="AJ178" i="38"/>
  <c r="AI178" i="38"/>
  <c r="AH178" i="38"/>
  <c r="AG178" i="38"/>
  <c r="AF178" i="38"/>
  <c r="AE178" i="38"/>
  <c r="AD178" i="38"/>
  <c r="AC178" i="38"/>
  <c r="AB178" i="38"/>
  <c r="AA178" i="38"/>
  <c r="Z178" i="38"/>
  <c r="Y178" i="38"/>
  <c r="X178" i="38"/>
  <c r="W178" i="38"/>
  <c r="V178" i="38"/>
  <c r="U178" i="38"/>
  <c r="T178" i="38"/>
  <c r="S178" i="38"/>
  <c r="R178" i="38"/>
  <c r="Q178" i="38"/>
  <c r="P178" i="38"/>
  <c r="O178" i="38"/>
  <c r="N178" i="38"/>
  <c r="M178" i="38"/>
  <c r="L178" i="38"/>
  <c r="K178" i="38"/>
  <c r="J178" i="38"/>
  <c r="I178" i="38"/>
  <c r="H178" i="38"/>
  <c r="G178" i="38"/>
  <c r="F178" i="38"/>
  <c r="E178" i="38"/>
  <c r="D189" i="38"/>
  <c r="AL189" i="38" s="1"/>
  <c r="C189" i="38"/>
  <c r="AK189" i="38" s="1"/>
  <c r="D188" i="38"/>
  <c r="AL188" i="38" s="1"/>
  <c r="C188" i="38"/>
  <c r="AK188" i="38" s="1"/>
  <c r="D187" i="38"/>
  <c r="AL187" i="38" s="1"/>
  <c r="C187" i="38"/>
  <c r="AK187" i="38" s="1"/>
  <c r="D186" i="38"/>
  <c r="AL186" i="38" s="1"/>
  <c r="C186" i="38"/>
  <c r="AK186" i="38" s="1"/>
  <c r="D185" i="38"/>
  <c r="AL185" i="38" s="1"/>
  <c r="C185" i="38"/>
  <c r="AK185" i="38" s="1"/>
  <c r="D184" i="38"/>
  <c r="AL184" i="38" s="1"/>
  <c r="C184" i="38"/>
  <c r="AK184" i="38" s="1"/>
  <c r="D183" i="38"/>
  <c r="AL183" i="38" s="1"/>
  <c r="C183" i="38"/>
  <c r="AK183" i="38" s="1"/>
  <c r="D182" i="38"/>
  <c r="AL182" i="38" s="1"/>
  <c r="C182" i="38"/>
  <c r="AK182" i="38" s="1"/>
  <c r="D181" i="38"/>
  <c r="AL181" i="38" s="1"/>
  <c r="C181" i="38"/>
  <c r="AK181" i="38" s="1"/>
  <c r="D180" i="38"/>
  <c r="AL180" i="38" s="1"/>
  <c r="C180" i="38"/>
  <c r="AK180" i="38" s="1"/>
  <c r="D179" i="38"/>
  <c r="C179" i="38"/>
  <c r="AJ164" i="38"/>
  <c r="AI164" i="38"/>
  <c r="AH164" i="38"/>
  <c r="AG164" i="38"/>
  <c r="AF164" i="38"/>
  <c r="AE164" i="38"/>
  <c r="AD164" i="38"/>
  <c r="AC164" i="38"/>
  <c r="AB164" i="38"/>
  <c r="AA164" i="38"/>
  <c r="Z164" i="38"/>
  <c r="Y164" i="38"/>
  <c r="X164" i="38"/>
  <c r="W164" i="38"/>
  <c r="V164" i="38"/>
  <c r="U164" i="38"/>
  <c r="T164" i="38"/>
  <c r="S164" i="38"/>
  <c r="R164" i="38"/>
  <c r="Q164" i="38"/>
  <c r="P164" i="38"/>
  <c r="O164" i="38"/>
  <c r="N164" i="38"/>
  <c r="M164" i="38"/>
  <c r="L164" i="38"/>
  <c r="K164" i="38"/>
  <c r="J164" i="38"/>
  <c r="I164" i="38"/>
  <c r="H164" i="38"/>
  <c r="G164" i="38"/>
  <c r="F164" i="38"/>
  <c r="E164" i="38"/>
  <c r="D177" i="38"/>
  <c r="AL177" i="38" s="1"/>
  <c r="C177" i="38"/>
  <c r="AK177" i="38" s="1"/>
  <c r="D176" i="38"/>
  <c r="AL176" i="38" s="1"/>
  <c r="C176" i="38"/>
  <c r="AK176" i="38" s="1"/>
  <c r="D175" i="38"/>
  <c r="AL175" i="38" s="1"/>
  <c r="C175" i="38"/>
  <c r="AK175" i="38" s="1"/>
  <c r="D174" i="38"/>
  <c r="AL174" i="38" s="1"/>
  <c r="C174" i="38"/>
  <c r="AK174" i="38" s="1"/>
  <c r="D173" i="38"/>
  <c r="AL173" i="38" s="1"/>
  <c r="C173" i="38"/>
  <c r="AK173" i="38" s="1"/>
  <c r="D172" i="38"/>
  <c r="AL172" i="38" s="1"/>
  <c r="C172" i="38"/>
  <c r="AK172" i="38" s="1"/>
  <c r="D171" i="38"/>
  <c r="AL171" i="38" s="1"/>
  <c r="C171" i="38"/>
  <c r="AK171" i="38" s="1"/>
  <c r="D170" i="38"/>
  <c r="AL170" i="38" s="1"/>
  <c r="C170" i="38"/>
  <c r="AK170" i="38" s="1"/>
  <c r="D169" i="38"/>
  <c r="AL169" i="38" s="1"/>
  <c r="C169" i="38"/>
  <c r="AK169" i="38" s="1"/>
  <c r="D168" i="38"/>
  <c r="AL168" i="38" s="1"/>
  <c r="C168" i="38"/>
  <c r="AK168" i="38" s="1"/>
  <c r="D167" i="38"/>
  <c r="AL167" i="38" s="1"/>
  <c r="C167" i="38"/>
  <c r="AK167" i="38" s="1"/>
  <c r="D166" i="38"/>
  <c r="AL166" i="38" s="1"/>
  <c r="C166" i="38"/>
  <c r="AK166" i="38" s="1"/>
  <c r="D165" i="38"/>
  <c r="C165" i="38"/>
  <c r="AJ157" i="38"/>
  <c r="AI157" i="38"/>
  <c r="AH157" i="38"/>
  <c r="AG157" i="38"/>
  <c r="AF157" i="38"/>
  <c r="AE157" i="38"/>
  <c r="AD157" i="38"/>
  <c r="AC157" i="38"/>
  <c r="AB157" i="38"/>
  <c r="AA157" i="38"/>
  <c r="Z157" i="38"/>
  <c r="Y157" i="38"/>
  <c r="X157" i="38"/>
  <c r="W157" i="38"/>
  <c r="V157" i="38"/>
  <c r="U157" i="38"/>
  <c r="T157" i="38"/>
  <c r="S157" i="38"/>
  <c r="R157" i="38"/>
  <c r="Q157" i="38"/>
  <c r="P157" i="38"/>
  <c r="O157" i="38"/>
  <c r="N157" i="38"/>
  <c r="M157" i="38"/>
  <c r="L157" i="38"/>
  <c r="K157" i="38"/>
  <c r="J157" i="38"/>
  <c r="I157" i="38"/>
  <c r="H157" i="38"/>
  <c r="G157" i="38"/>
  <c r="F157" i="38"/>
  <c r="E157" i="38"/>
  <c r="D163" i="38"/>
  <c r="AL163" i="38" s="1"/>
  <c r="C163" i="38"/>
  <c r="AK163" i="38" s="1"/>
  <c r="D162" i="38"/>
  <c r="AL162" i="38" s="1"/>
  <c r="C162" i="38"/>
  <c r="AK162" i="38" s="1"/>
  <c r="D161" i="38"/>
  <c r="AL161" i="38" s="1"/>
  <c r="C161" i="38"/>
  <c r="AK161" i="38" s="1"/>
  <c r="D160" i="38"/>
  <c r="AL160" i="38" s="1"/>
  <c r="C160" i="38"/>
  <c r="AK160" i="38" s="1"/>
  <c r="D159" i="38"/>
  <c r="AL159" i="38" s="1"/>
  <c r="C159" i="38"/>
  <c r="D158" i="38"/>
  <c r="AL158" i="38" s="1"/>
  <c r="C158" i="38"/>
  <c r="AK158" i="38" s="1"/>
  <c r="AJ151" i="38"/>
  <c r="AI151" i="38"/>
  <c r="AH151" i="38"/>
  <c r="AG151" i="38"/>
  <c r="AF151" i="38"/>
  <c r="AE151" i="38"/>
  <c r="AD151" i="38"/>
  <c r="AC151" i="38"/>
  <c r="AB151" i="38"/>
  <c r="AA151" i="38"/>
  <c r="Z151" i="38"/>
  <c r="Y151" i="38"/>
  <c r="X151" i="38"/>
  <c r="W151" i="38"/>
  <c r="V151" i="38"/>
  <c r="U151" i="38"/>
  <c r="T151" i="38"/>
  <c r="S151" i="38"/>
  <c r="R151" i="38"/>
  <c r="Q151" i="38"/>
  <c r="P151" i="38"/>
  <c r="O151" i="38"/>
  <c r="N151" i="38"/>
  <c r="M151" i="38"/>
  <c r="L151" i="38"/>
  <c r="K151" i="38"/>
  <c r="J151" i="38"/>
  <c r="I151" i="38"/>
  <c r="H151" i="38"/>
  <c r="G151" i="38"/>
  <c r="F151" i="38"/>
  <c r="E151" i="38"/>
  <c r="D156" i="38"/>
  <c r="AL156" i="38" s="1"/>
  <c r="C156" i="38"/>
  <c r="AK156" i="38" s="1"/>
  <c r="D155" i="38"/>
  <c r="AL155" i="38" s="1"/>
  <c r="C155" i="38"/>
  <c r="AK155" i="38" s="1"/>
  <c r="D154" i="38"/>
  <c r="AL154" i="38" s="1"/>
  <c r="C154" i="38"/>
  <c r="AK154" i="38" s="1"/>
  <c r="D153" i="38"/>
  <c r="AL153" i="38" s="1"/>
  <c r="C153" i="38"/>
  <c r="AK153" i="38" s="1"/>
  <c r="D152" i="38"/>
  <c r="C152" i="38"/>
  <c r="AK152" i="38" s="1"/>
  <c r="AJ142" i="38"/>
  <c r="AI142" i="38"/>
  <c r="AH142" i="38"/>
  <c r="AG142" i="38"/>
  <c r="AF142" i="38"/>
  <c r="AE142" i="38"/>
  <c r="AD142" i="38"/>
  <c r="AC142" i="38"/>
  <c r="AB142" i="38"/>
  <c r="AA142" i="38"/>
  <c r="Z142" i="38"/>
  <c r="Y142" i="38"/>
  <c r="X142" i="38"/>
  <c r="W142" i="38"/>
  <c r="V142" i="38"/>
  <c r="U142" i="38"/>
  <c r="T142" i="38"/>
  <c r="S142" i="38"/>
  <c r="R142" i="38"/>
  <c r="Q142" i="38"/>
  <c r="P142" i="38"/>
  <c r="O142" i="38"/>
  <c r="N142" i="38"/>
  <c r="M142" i="38"/>
  <c r="L142" i="38"/>
  <c r="K142" i="38"/>
  <c r="J142" i="38"/>
  <c r="I142" i="38"/>
  <c r="H142" i="38"/>
  <c r="G142" i="38"/>
  <c r="F142" i="38"/>
  <c r="E142" i="38"/>
  <c r="D150" i="38"/>
  <c r="AL150" i="38" s="1"/>
  <c r="C150" i="38"/>
  <c r="AK150" i="38" s="1"/>
  <c r="D149" i="38"/>
  <c r="AL149" i="38" s="1"/>
  <c r="C149" i="38"/>
  <c r="AK149" i="38" s="1"/>
  <c r="D148" i="38"/>
  <c r="AL148" i="38" s="1"/>
  <c r="C148" i="38"/>
  <c r="AK148" i="38" s="1"/>
  <c r="D147" i="38"/>
  <c r="AL147" i="38" s="1"/>
  <c r="C147" i="38"/>
  <c r="AK147" i="38" s="1"/>
  <c r="D146" i="38"/>
  <c r="AL146" i="38" s="1"/>
  <c r="C146" i="38"/>
  <c r="AK146" i="38" s="1"/>
  <c r="D145" i="38"/>
  <c r="AL145" i="38" s="1"/>
  <c r="C145" i="38"/>
  <c r="AK145" i="38" s="1"/>
  <c r="D144" i="38"/>
  <c r="AL144" i="38" s="1"/>
  <c r="C144" i="38"/>
  <c r="AK144" i="38" s="1"/>
  <c r="D143" i="38"/>
  <c r="AL143" i="38" s="1"/>
  <c r="C143" i="38"/>
  <c r="AK143" i="38" s="1"/>
  <c r="AJ137" i="38"/>
  <c r="AI137" i="38"/>
  <c r="AH137" i="38"/>
  <c r="AG137" i="38"/>
  <c r="AF137" i="38"/>
  <c r="AE137" i="38"/>
  <c r="AD137" i="38"/>
  <c r="AC137" i="38"/>
  <c r="AB137" i="38"/>
  <c r="AA137" i="38"/>
  <c r="Z137" i="38"/>
  <c r="Y137" i="38"/>
  <c r="X137" i="38"/>
  <c r="W137" i="38"/>
  <c r="V137" i="38"/>
  <c r="U137" i="38"/>
  <c r="T137" i="38"/>
  <c r="S137" i="38"/>
  <c r="R137" i="38"/>
  <c r="Q137" i="38"/>
  <c r="P137" i="38"/>
  <c r="O137" i="38"/>
  <c r="N137" i="38"/>
  <c r="M137" i="38"/>
  <c r="L137" i="38"/>
  <c r="K137" i="38"/>
  <c r="J137" i="38"/>
  <c r="I137" i="38"/>
  <c r="H137" i="38"/>
  <c r="G137" i="38"/>
  <c r="F137" i="38"/>
  <c r="E137" i="38"/>
  <c r="D141" i="38"/>
  <c r="AL141" i="38" s="1"/>
  <c r="C141" i="38"/>
  <c r="AK141" i="38" s="1"/>
  <c r="D140" i="38"/>
  <c r="AL140" i="38" s="1"/>
  <c r="C140" i="38"/>
  <c r="AK140" i="38" s="1"/>
  <c r="D139" i="38"/>
  <c r="AL139" i="38" s="1"/>
  <c r="C139" i="38"/>
  <c r="AK139" i="38" s="1"/>
  <c r="D138" i="38"/>
  <c r="C138" i="38"/>
  <c r="AJ126" i="38"/>
  <c r="AI126" i="38"/>
  <c r="AH126" i="38"/>
  <c r="AG126" i="38"/>
  <c r="AF126" i="38"/>
  <c r="AE126" i="38"/>
  <c r="AD126" i="38"/>
  <c r="AC126" i="38"/>
  <c r="AB126" i="38"/>
  <c r="AA126" i="38"/>
  <c r="Z126" i="38"/>
  <c r="Y126" i="38"/>
  <c r="X126" i="38"/>
  <c r="W126" i="38"/>
  <c r="V126" i="38"/>
  <c r="U126" i="38"/>
  <c r="T126" i="38"/>
  <c r="S126" i="38"/>
  <c r="R126" i="38"/>
  <c r="Q126" i="38"/>
  <c r="P126" i="38"/>
  <c r="O126" i="38"/>
  <c r="N126" i="38"/>
  <c r="M126" i="38"/>
  <c r="L126" i="38"/>
  <c r="K126" i="38"/>
  <c r="J126" i="38"/>
  <c r="I126" i="38"/>
  <c r="H126" i="38"/>
  <c r="G126" i="38"/>
  <c r="F126" i="38"/>
  <c r="E126" i="38"/>
  <c r="D136" i="38"/>
  <c r="AL136" i="38" s="1"/>
  <c r="C136" i="38"/>
  <c r="AK136" i="38" s="1"/>
  <c r="D135" i="38"/>
  <c r="AL135" i="38" s="1"/>
  <c r="C135" i="38"/>
  <c r="AK135" i="38" s="1"/>
  <c r="D134" i="38"/>
  <c r="AL134" i="38" s="1"/>
  <c r="C134" i="38"/>
  <c r="AK134" i="38" s="1"/>
  <c r="D133" i="38"/>
  <c r="AL133" i="38" s="1"/>
  <c r="C133" i="38"/>
  <c r="AK133" i="38" s="1"/>
  <c r="D132" i="38"/>
  <c r="AL132" i="38" s="1"/>
  <c r="C132" i="38"/>
  <c r="AK132" i="38" s="1"/>
  <c r="D131" i="38"/>
  <c r="AL131" i="38" s="1"/>
  <c r="C131" i="38"/>
  <c r="AK131" i="38" s="1"/>
  <c r="D130" i="38"/>
  <c r="AL130" i="38" s="1"/>
  <c r="C130" i="38"/>
  <c r="AK130" i="38" s="1"/>
  <c r="D129" i="38"/>
  <c r="AL129" i="38" s="1"/>
  <c r="C129" i="38"/>
  <c r="AK129" i="38" s="1"/>
  <c r="D128" i="38"/>
  <c r="AL128" i="38" s="1"/>
  <c r="C128" i="38"/>
  <c r="AK128" i="38" s="1"/>
  <c r="D127" i="38"/>
  <c r="C127" i="38"/>
  <c r="AJ117" i="38"/>
  <c r="AI117" i="38"/>
  <c r="AH117" i="38"/>
  <c r="AG117" i="38"/>
  <c r="AF117" i="38"/>
  <c r="AE117" i="38"/>
  <c r="AD117" i="38"/>
  <c r="AC117" i="38"/>
  <c r="AB117" i="38"/>
  <c r="AA117" i="38"/>
  <c r="Z117" i="38"/>
  <c r="Y117" i="38"/>
  <c r="X117" i="38"/>
  <c r="W117" i="38"/>
  <c r="V117" i="38"/>
  <c r="U117" i="38"/>
  <c r="T117" i="38"/>
  <c r="S117" i="38"/>
  <c r="R117" i="38"/>
  <c r="Q117" i="38"/>
  <c r="P117" i="38"/>
  <c r="O117" i="38"/>
  <c r="N117" i="38"/>
  <c r="M117" i="38"/>
  <c r="L117" i="38"/>
  <c r="K117" i="38"/>
  <c r="J117" i="38"/>
  <c r="I117" i="38"/>
  <c r="H117" i="38"/>
  <c r="G117" i="38"/>
  <c r="F117" i="38"/>
  <c r="E117" i="38"/>
  <c r="D125" i="38"/>
  <c r="AL125" i="38" s="1"/>
  <c r="C125" i="38"/>
  <c r="AK125" i="38" s="1"/>
  <c r="D124" i="38"/>
  <c r="AL124" i="38" s="1"/>
  <c r="C124" i="38"/>
  <c r="AK124" i="38" s="1"/>
  <c r="D123" i="38"/>
  <c r="AL123" i="38" s="1"/>
  <c r="C123" i="38"/>
  <c r="AK123" i="38" s="1"/>
  <c r="D122" i="38"/>
  <c r="AL122" i="38" s="1"/>
  <c r="C122" i="38"/>
  <c r="AK122" i="38" s="1"/>
  <c r="D121" i="38"/>
  <c r="AL121" i="38" s="1"/>
  <c r="C121" i="38"/>
  <c r="AK121" i="38" s="1"/>
  <c r="D120" i="38"/>
  <c r="AL120" i="38" s="1"/>
  <c r="C120" i="38"/>
  <c r="AK120" i="38" s="1"/>
  <c r="D119" i="38"/>
  <c r="AL119" i="38" s="1"/>
  <c r="C119" i="38"/>
  <c r="AK119" i="38" s="1"/>
  <c r="D118" i="38"/>
  <c r="C118" i="38"/>
  <c r="AK118" i="38" s="1"/>
  <c r="AJ107" i="38"/>
  <c r="AI107" i="38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16" i="38"/>
  <c r="AL116" i="38" s="1"/>
  <c r="C116" i="38"/>
  <c r="AK116" i="38" s="1"/>
  <c r="D115" i="38"/>
  <c r="AL115" i="38" s="1"/>
  <c r="C115" i="38"/>
  <c r="AK115" i="38" s="1"/>
  <c r="D114" i="38"/>
  <c r="AL114" i="38" s="1"/>
  <c r="C114" i="38"/>
  <c r="AK114" i="38" s="1"/>
  <c r="D113" i="38"/>
  <c r="AL113" i="38" s="1"/>
  <c r="C113" i="38"/>
  <c r="AK113" i="38" s="1"/>
  <c r="D112" i="38"/>
  <c r="AL112" i="38" s="1"/>
  <c r="C112" i="38"/>
  <c r="AK112" i="38" s="1"/>
  <c r="D111" i="38"/>
  <c r="AL111" i="38" s="1"/>
  <c r="C111" i="38"/>
  <c r="AK111" i="38" s="1"/>
  <c r="D110" i="38"/>
  <c r="AL110" i="38" s="1"/>
  <c r="C110" i="38"/>
  <c r="AK110" i="38" s="1"/>
  <c r="D109" i="38"/>
  <c r="AL109" i="38" s="1"/>
  <c r="C109" i="38"/>
  <c r="B109" i="38" s="1"/>
  <c r="D108" i="38"/>
  <c r="C108" i="38"/>
  <c r="AK108" i="38" s="1"/>
  <c r="AJ102" i="38"/>
  <c r="AI102" i="38"/>
  <c r="AH102" i="38"/>
  <c r="AG102" i="38"/>
  <c r="AF102" i="38"/>
  <c r="AE102" i="38"/>
  <c r="AD102" i="38"/>
  <c r="AC102" i="38"/>
  <c r="AB102" i="38"/>
  <c r="AA102" i="38"/>
  <c r="Z102" i="38"/>
  <c r="Y102" i="38"/>
  <c r="X102" i="38"/>
  <c r="W102" i="38"/>
  <c r="V102" i="38"/>
  <c r="U102" i="38"/>
  <c r="T102" i="38"/>
  <c r="S102" i="38"/>
  <c r="R102" i="38"/>
  <c r="Q102" i="38"/>
  <c r="P102" i="38"/>
  <c r="O102" i="38"/>
  <c r="N102" i="38"/>
  <c r="M102" i="38"/>
  <c r="L102" i="38"/>
  <c r="K102" i="38"/>
  <c r="J102" i="38"/>
  <c r="I102" i="38"/>
  <c r="H102" i="38"/>
  <c r="G102" i="38"/>
  <c r="F102" i="38"/>
  <c r="E102" i="38"/>
  <c r="D106" i="38"/>
  <c r="AL106" i="38" s="1"/>
  <c r="C106" i="38"/>
  <c r="AK106" i="38" s="1"/>
  <c r="D105" i="38"/>
  <c r="C105" i="38"/>
  <c r="AK105" i="38" s="1"/>
  <c r="D104" i="38"/>
  <c r="AL104" i="38" s="1"/>
  <c r="C104" i="38"/>
  <c r="AK104" i="38" s="1"/>
  <c r="D103" i="38"/>
  <c r="AL103" i="38" s="1"/>
  <c r="C103" i="38"/>
  <c r="AK103" i="38" s="1"/>
  <c r="AJ88" i="38"/>
  <c r="AI88" i="38"/>
  <c r="AH88" i="38"/>
  <c r="AG88" i="38"/>
  <c r="AF88" i="38"/>
  <c r="AE88" i="38"/>
  <c r="AD88" i="38"/>
  <c r="AC88" i="38"/>
  <c r="AB88" i="38"/>
  <c r="AA88" i="38"/>
  <c r="Z88" i="38"/>
  <c r="Y88" i="38"/>
  <c r="X88" i="38"/>
  <c r="W88" i="38"/>
  <c r="V88" i="38"/>
  <c r="U88" i="38"/>
  <c r="T88" i="38"/>
  <c r="S88" i="38"/>
  <c r="R88" i="38"/>
  <c r="Q88" i="38"/>
  <c r="P88" i="38"/>
  <c r="O88" i="38"/>
  <c r="N88" i="38"/>
  <c r="M88" i="38"/>
  <c r="L88" i="38"/>
  <c r="K88" i="38"/>
  <c r="J88" i="38"/>
  <c r="I88" i="38"/>
  <c r="H88" i="38"/>
  <c r="G88" i="38"/>
  <c r="F88" i="38"/>
  <c r="E88" i="38"/>
  <c r="D101" i="38"/>
  <c r="AL101" i="38" s="1"/>
  <c r="C101" i="38"/>
  <c r="AK101" i="38" s="1"/>
  <c r="D100" i="38"/>
  <c r="AL100" i="38" s="1"/>
  <c r="C100" i="38"/>
  <c r="AK100" i="38" s="1"/>
  <c r="D99" i="38"/>
  <c r="AL99" i="38" s="1"/>
  <c r="C99" i="38"/>
  <c r="AK99" i="38" s="1"/>
  <c r="D98" i="38"/>
  <c r="AL98" i="38" s="1"/>
  <c r="C98" i="38"/>
  <c r="AK98" i="38" s="1"/>
  <c r="D97" i="38"/>
  <c r="AL97" i="38" s="1"/>
  <c r="C97" i="38"/>
  <c r="AK97" i="38" s="1"/>
  <c r="D96" i="38"/>
  <c r="AL96" i="38" s="1"/>
  <c r="C96" i="38"/>
  <c r="AK96" i="38" s="1"/>
  <c r="D95" i="38"/>
  <c r="AL95" i="38" s="1"/>
  <c r="C95" i="38"/>
  <c r="AK95" i="38" s="1"/>
  <c r="D94" i="38"/>
  <c r="AL94" i="38" s="1"/>
  <c r="C94" i="38"/>
  <c r="AK94" i="38" s="1"/>
  <c r="D93" i="38"/>
  <c r="AL93" i="38" s="1"/>
  <c r="C93" i="38"/>
  <c r="AK93" i="38" s="1"/>
  <c r="D92" i="38"/>
  <c r="AL92" i="38" s="1"/>
  <c r="C92" i="38"/>
  <c r="AK92" i="38" s="1"/>
  <c r="D91" i="38"/>
  <c r="C91" i="38"/>
  <c r="AK91" i="38" s="1"/>
  <c r="D90" i="38"/>
  <c r="AL90" i="38" s="1"/>
  <c r="C90" i="38"/>
  <c r="D89" i="38"/>
  <c r="AL89" i="38" s="1"/>
  <c r="C89" i="38"/>
  <c r="AK89" i="38" s="1"/>
  <c r="AJ72" i="38"/>
  <c r="AI72" i="38"/>
  <c r="AH72" i="38"/>
  <c r="AG72" i="38"/>
  <c r="AF72" i="38"/>
  <c r="AE72" i="38"/>
  <c r="AD72" i="38"/>
  <c r="AC72" i="38"/>
  <c r="AB72" i="38"/>
  <c r="AA72" i="38"/>
  <c r="Z72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87" i="38"/>
  <c r="AL87" i="38" s="1"/>
  <c r="C87" i="38"/>
  <c r="AK87" i="38" s="1"/>
  <c r="D86" i="38"/>
  <c r="AL86" i="38" s="1"/>
  <c r="C86" i="38"/>
  <c r="AK86" i="38" s="1"/>
  <c r="D85" i="38"/>
  <c r="AL85" i="38" s="1"/>
  <c r="C85" i="38"/>
  <c r="AK85" i="38" s="1"/>
  <c r="D84" i="38"/>
  <c r="AL84" i="38" s="1"/>
  <c r="C84" i="38"/>
  <c r="AK84" i="38" s="1"/>
  <c r="D83" i="38"/>
  <c r="AL83" i="38" s="1"/>
  <c r="C83" i="38"/>
  <c r="AK83" i="38" s="1"/>
  <c r="D82" i="38"/>
  <c r="AL82" i="38" s="1"/>
  <c r="C82" i="38"/>
  <c r="AK82" i="38" s="1"/>
  <c r="D81" i="38"/>
  <c r="AL81" i="38" s="1"/>
  <c r="C81" i="38"/>
  <c r="AK81" i="38" s="1"/>
  <c r="D80" i="38"/>
  <c r="AL80" i="38" s="1"/>
  <c r="C80" i="38"/>
  <c r="AK80" i="38" s="1"/>
  <c r="D79" i="38"/>
  <c r="AL79" i="38" s="1"/>
  <c r="C79" i="38"/>
  <c r="AK79" i="38" s="1"/>
  <c r="D78" i="38"/>
  <c r="AL78" i="38" s="1"/>
  <c r="C78" i="38"/>
  <c r="AK78" i="38" s="1"/>
  <c r="D77" i="38"/>
  <c r="AL77" i="38" s="1"/>
  <c r="C77" i="38"/>
  <c r="AK77" i="38" s="1"/>
  <c r="D76" i="38"/>
  <c r="AL76" i="38" s="1"/>
  <c r="C76" i="38"/>
  <c r="AK76" i="38" s="1"/>
  <c r="D75" i="38"/>
  <c r="AL75" i="38" s="1"/>
  <c r="C75" i="38"/>
  <c r="AK75" i="38" s="1"/>
  <c r="D74" i="38"/>
  <c r="AL74" i="38" s="1"/>
  <c r="C74" i="38"/>
  <c r="AK74" i="38" s="1"/>
  <c r="D73" i="38"/>
  <c r="AL73" i="38" s="1"/>
  <c r="C73" i="38"/>
  <c r="AK73" i="38" s="1"/>
  <c r="AJ58" i="38"/>
  <c r="AI58" i="38"/>
  <c r="AH58" i="38"/>
  <c r="AG58" i="38"/>
  <c r="AF58" i="38"/>
  <c r="AE58" i="38"/>
  <c r="AD58" i="38"/>
  <c r="AC58" i="38"/>
  <c r="AB58" i="38"/>
  <c r="AA58" i="38"/>
  <c r="Z58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71" i="38"/>
  <c r="AL71" i="38" s="1"/>
  <c r="C71" i="38"/>
  <c r="AK71" i="38" s="1"/>
  <c r="D70" i="38"/>
  <c r="AL70" i="38" s="1"/>
  <c r="C70" i="38"/>
  <c r="AK70" i="38" s="1"/>
  <c r="D69" i="38"/>
  <c r="AL69" i="38" s="1"/>
  <c r="C69" i="38"/>
  <c r="AK69" i="38" s="1"/>
  <c r="D68" i="38"/>
  <c r="AL68" i="38" s="1"/>
  <c r="C68" i="38"/>
  <c r="AK68" i="38" s="1"/>
  <c r="D67" i="38"/>
  <c r="AL67" i="38" s="1"/>
  <c r="C67" i="38"/>
  <c r="AK67" i="38" s="1"/>
  <c r="D66" i="38"/>
  <c r="AL66" i="38" s="1"/>
  <c r="C66" i="38"/>
  <c r="AK66" i="38" s="1"/>
  <c r="D65" i="38"/>
  <c r="AL65" i="38" s="1"/>
  <c r="C65" i="38"/>
  <c r="AK65" i="38" s="1"/>
  <c r="D64" i="38"/>
  <c r="AL64" i="38" s="1"/>
  <c r="C64" i="38"/>
  <c r="AK64" i="38" s="1"/>
  <c r="D63" i="38"/>
  <c r="AL63" i="38" s="1"/>
  <c r="C63" i="38"/>
  <c r="AK63" i="38" s="1"/>
  <c r="D62" i="38"/>
  <c r="AL62" i="38" s="1"/>
  <c r="C62" i="38"/>
  <c r="AK62" i="38" s="1"/>
  <c r="D61" i="38"/>
  <c r="AL61" i="38" s="1"/>
  <c r="C61" i="38"/>
  <c r="AK61" i="38" s="1"/>
  <c r="D60" i="38"/>
  <c r="AL60" i="38" s="1"/>
  <c r="C60" i="38"/>
  <c r="D59" i="38"/>
  <c r="AL59" i="38" s="1"/>
  <c r="C59" i="38"/>
  <c r="AK59" i="38" s="1"/>
  <c r="AJ43" i="38"/>
  <c r="AI43" i="38"/>
  <c r="AH43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57" i="38"/>
  <c r="AL57" i="38" s="1"/>
  <c r="C57" i="38"/>
  <c r="AK57" i="38" s="1"/>
  <c r="D56" i="38"/>
  <c r="AL56" i="38" s="1"/>
  <c r="C56" i="38"/>
  <c r="AK56" i="38" s="1"/>
  <c r="D55" i="38"/>
  <c r="AL55" i="38" s="1"/>
  <c r="C55" i="38"/>
  <c r="AK55" i="38" s="1"/>
  <c r="D54" i="38"/>
  <c r="AL54" i="38" s="1"/>
  <c r="C54" i="38"/>
  <c r="AK54" i="38" s="1"/>
  <c r="D53" i="38"/>
  <c r="AL53" i="38" s="1"/>
  <c r="C53" i="38"/>
  <c r="AK53" i="38" s="1"/>
  <c r="D52" i="38"/>
  <c r="AL52" i="38" s="1"/>
  <c r="C52" i="38"/>
  <c r="AK52" i="38" s="1"/>
  <c r="D51" i="38"/>
  <c r="AL51" i="38" s="1"/>
  <c r="C51" i="38"/>
  <c r="AK51" i="38" s="1"/>
  <c r="D50" i="38"/>
  <c r="AL50" i="38" s="1"/>
  <c r="C50" i="38"/>
  <c r="AK50" i="38" s="1"/>
  <c r="D49" i="38"/>
  <c r="AL49" i="38" s="1"/>
  <c r="C49" i="38"/>
  <c r="AK49" i="38" s="1"/>
  <c r="D48" i="38"/>
  <c r="AL48" i="38" s="1"/>
  <c r="C48" i="38"/>
  <c r="AK48" i="38" s="1"/>
  <c r="D47" i="38"/>
  <c r="AL47" i="38" s="1"/>
  <c r="C47" i="38"/>
  <c r="AK47" i="38" s="1"/>
  <c r="D46" i="38"/>
  <c r="AL46" i="38" s="1"/>
  <c r="C46" i="38"/>
  <c r="AK46" i="38" s="1"/>
  <c r="D45" i="38"/>
  <c r="AL45" i="38" s="1"/>
  <c r="C45" i="38"/>
  <c r="AK45" i="38" s="1"/>
  <c r="D44" i="38"/>
  <c r="C44" i="38"/>
  <c r="AK44" i="38" s="1"/>
  <c r="AJ29" i="38"/>
  <c r="AI29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42" i="38"/>
  <c r="AL42" i="38" s="1"/>
  <c r="C42" i="38"/>
  <c r="AK42" i="38" s="1"/>
  <c r="D41" i="38"/>
  <c r="AL41" i="38" s="1"/>
  <c r="C41" i="38"/>
  <c r="AK41" i="38" s="1"/>
  <c r="D40" i="38"/>
  <c r="AL40" i="38" s="1"/>
  <c r="C40" i="38"/>
  <c r="AK40" i="38" s="1"/>
  <c r="D39" i="38"/>
  <c r="AL39" i="38" s="1"/>
  <c r="C39" i="38"/>
  <c r="AK39" i="38" s="1"/>
  <c r="D38" i="38"/>
  <c r="AL38" i="38" s="1"/>
  <c r="C38" i="38"/>
  <c r="AK38" i="38" s="1"/>
  <c r="D37" i="38"/>
  <c r="AL37" i="38" s="1"/>
  <c r="C37" i="38"/>
  <c r="AK37" i="38" s="1"/>
  <c r="D36" i="38"/>
  <c r="AL36" i="38" s="1"/>
  <c r="C36" i="38"/>
  <c r="AK36" i="38" s="1"/>
  <c r="D35" i="38"/>
  <c r="AL35" i="38" s="1"/>
  <c r="C35" i="38"/>
  <c r="AK35" i="38" s="1"/>
  <c r="D34" i="38"/>
  <c r="AL34" i="38" s="1"/>
  <c r="C34" i="38"/>
  <c r="AK34" i="38" s="1"/>
  <c r="D33" i="38"/>
  <c r="AL33" i="38" s="1"/>
  <c r="C33" i="38"/>
  <c r="AK33" i="38" s="1"/>
  <c r="D32" i="38"/>
  <c r="C32" i="38"/>
  <c r="AK32" i="38" s="1"/>
  <c r="D31" i="38"/>
  <c r="AL31" i="38" s="1"/>
  <c r="C31" i="38"/>
  <c r="AK31" i="38" s="1"/>
  <c r="D30" i="38"/>
  <c r="AL30" i="38" s="1"/>
  <c r="C30" i="38"/>
  <c r="AK30" i="38" s="1"/>
  <c r="AJ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28" i="38"/>
  <c r="AL28" i="38" s="1"/>
  <c r="C28" i="38"/>
  <c r="AK28" i="38" s="1"/>
  <c r="D27" i="38"/>
  <c r="AL27" i="38" s="1"/>
  <c r="C27" i="38"/>
  <c r="AK27" i="38" s="1"/>
  <c r="D26" i="38"/>
  <c r="AL26" i="38" s="1"/>
  <c r="C26" i="38"/>
  <c r="AK26" i="38" s="1"/>
  <c r="D25" i="38"/>
  <c r="AL25" i="38" s="1"/>
  <c r="C25" i="38"/>
  <c r="AK25" i="38" s="1"/>
  <c r="D24" i="38"/>
  <c r="AL24" i="38" s="1"/>
  <c r="C24" i="38"/>
  <c r="AK24" i="38" s="1"/>
  <c r="D23" i="38"/>
  <c r="AL23" i="38" s="1"/>
  <c r="C23" i="38"/>
  <c r="AK23" i="38" s="1"/>
  <c r="D22" i="38"/>
  <c r="AL22" i="38" s="1"/>
  <c r="C22" i="38"/>
  <c r="AK22" i="38" s="1"/>
  <c r="D21" i="38"/>
  <c r="AL21" i="38" s="1"/>
  <c r="C21" i="38"/>
  <c r="AK21" i="38" s="1"/>
  <c r="D20" i="38"/>
  <c r="AL20" i="38" s="1"/>
  <c r="C20" i="38"/>
  <c r="AK20" i="38" s="1"/>
  <c r="D19" i="38"/>
  <c r="AL19" i="38" s="1"/>
  <c r="C19" i="38"/>
  <c r="AK19" i="38" s="1"/>
  <c r="D18" i="38"/>
  <c r="AL18" i="38" s="1"/>
  <c r="C18" i="38"/>
  <c r="AK18" i="38" s="1"/>
  <c r="D17" i="38"/>
  <c r="AL17" i="38" s="1"/>
  <c r="C17" i="38"/>
  <c r="AK17" i="38" s="1"/>
  <c r="D16" i="38"/>
  <c r="AL16" i="38" s="1"/>
  <c r="C16" i="38"/>
  <c r="AK16" i="38" s="1"/>
  <c r="D15" i="38"/>
  <c r="C15" i="38"/>
  <c r="AK15" i="38" s="1"/>
  <c r="B127" i="38" l="1"/>
  <c r="B179" i="38"/>
  <c r="C10" i="38"/>
  <c r="D10" i="38"/>
  <c r="B60" i="38"/>
  <c r="B90" i="38"/>
  <c r="B210" i="38"/>
  <c r="B138" i="38"/>
  <c r="B159" i="38"/>
  <c r="B12" i="38"/>
  <c r="B191" i="38"/>
  <c r="B154" i="38"/>
  <c r="B130" i="38"/>
  <c r="B94" i="38"/>
  <c r="B70" i="38"/>
  <c r="B34" i="38"/>
  <c r="B118" i="38"/>
  <c r="B209" i="38"/>
  <c r="B165" i="38"/>
  <c r="B197" i="38"/>
  <c r="B185" i="38"/>
  <c r="B173" i="38"/>
  <c r="B155" i="38"/>
  <c r="B143" i="38"/>
  <c r="B131" i="38"/>
  <c r="B119" i="38"/>
  <c r="B95" i="38"/>
  <c r="B83" i="38"/>
  <c r="B71" i="38"/>
  <c r="B59" i="38"/>
  <c r="B47" i="38"/>
  <c r="B35" i="38"/>
  <c r="B23" i="38"/>
  <c r="B198" i="38"/>
  <c r="B186" i="38"/>
  <c r="B174" i="38"/>
  <c r="B106" i="38"/>
  <c r="B153" i="38"/>
  <c r="B141" i="38"/>
  <c r="B129" i="38"/>
  <c r="B105" i="38"/>
  <c r="B93" i="38"/>
  <c r="B81" i="38"/>
  <c r="B69" i="38"/>
  <c r="B57" i="38"/>
  <c r="B45" i="38"/>
  <c r="B33" i="38"/>
  <c r="B21" i="38"/>
  <c r="B208" i="38"/>
  <c r="B196" i="38"/>
  <c r="B184" i="38"/>
  <c r="B172" i="38"/>
  <c r="B152" i="38"/>
  <c r="B140" i="38"/>
  <c r="B128" i="38"/>
  <c r="B116" i="38"/>
  <c r="B104" i="38"/>
  <c r="B92" i="38"/>
  <c r="B80" i="38"/>
  <c r="B68" i="38"/>
  <c r="B56" i="38"/>
  <c r="B44" i="38"/>
  <c r="B32" i="38"/>
  <c r="B20" i="38"/>
  <c r="B207" i="38"/>
  <c r="B195" i="38"/>
  <c r="B183" i="38"/>
  <c r="B171" i="38"/>
  <c r="B82" i="38"/>
  <c r="B46" i="38"/>
  <c r="B22" i="38"/>
  <c r="B163" i="38"/>
  <c r="B139" i="38"/>
  <c r="B115" i="38"/>
  <c r="B103" i="38"/>
  <c r="B91" i="38"/>
  <c r="B79" i="38"/>
  <c r="B67" i="38"/>
  <c r="B55" i="38"/>
  <c r="B31" i="38"/>
  <c r="B19" i="38"/>
  <c r="B218" i="38"/>
  <c r="B206" i="38"/>
  <c r="B194" i="38"/>
  <c r="B182" i="38"/>
  <c r="B170" i="38"/>
  <c r="B162" i="38"/>
  <c r="B150" i="38"/>
  <c r="B114" i="38"/>
  <c r="B78" i="38"/>
  <c r="B66" i="38"/>
  <c r="B54" i="38"/>
  <c r="B42" i="38"/>
  <c r="B30" i="38"/>
  <c r="B18" i="38"/>
  <c r="B217" i="38"/>
  <c r="B205" i="38"/>
  <c r="B193" i="38"/>
  <c r="B181" i="38"/>
  <c r="B169" i="38"/>
  <c r="B161" i="38"/>
  <c r="B149" i="38"/>
  <c r="B125" i="38"/>
  <c r="B113" i="38"/>
  <c r="B101" i="38"/>
  <c r="B89" i="38"/>
  <c r="B77" i="38"/>
  <c r="B65" i="38"/>
  <c r="B53" i="38"/>
  <c r="B41" i="38"/>
  <c r="B17" i="38"/>
  <c r="B216" i="38"/>
  <c r="B204" i="38"/>
  <c r="B192" i="38"/>
  <c r="B180" i="38"/>
  <c r="B168" i="38"/>
  <c r="B160" i="38"/>
  <c r="B148" i="38"/>
  <c r="B136" i="38"/>
  <c r="B124" i="38"/>
  <c r="B112" i="38"/>
  <c r="B100" i="38"/>
  <c r="B76" i="38"/>
  <c r="B64" i="38"/>
  <c r="B52" i="38"/>
  <c r="B40" i="38"/>
  <c r="B28" i="38"/>
  <c r="B16" i="38"/>
  <c r="B215" i="38"/>
  <c r="B203" i="38"/>
  <c r="B167" i="38"/>
  <c r="B147" i="38"/>
  <c r="B135" i="38"/>
  <c r="B123" i="38"/>
  <c r="B111" i="38"/>
  <c r="B99" i="38"/>
  <c r="B87" i="38"/>
  <c r="B75" i="38"/>
  <c r="B63" i="38"/>
  <c r="B51" i="38"/>
  <c r="B39" i="38"/>
  <c r="B27" i="38"/>
  <c r="B15" i="38"/>
  <c r="B214" i="38"/>
  <c r="B202" i="38"/>
  <c r="B166" i="38"/>
  <c r="B158" i="38"/>
  <c r="B146" i="38"/>
  <c r="B134" i="38"/>
  <c r="B122" i="38"/>
  <c r="B110" i="38"/>
  <c r="B98" i="38"/>
  <c r="B86" i="38"/>
  <c r="B74" i="38"/>
  <c r="B62" i="38"/>
  <c r="B50" i="38"/>
  <c r="B38" i="38"/>
  <c r="B26" i="38"/>
  <c r="B213" i="38"/>
  <c r="B201" i="38"/>
  <c r="B189" i="38"/>
  <c r="B177" i="38"/>
  <c r="B145" i="38"/>
  <c r="B133" i="38"/>
  <c r="B121" i="38"/>
  <c r="B97" i="38"/>
  <c r="B85" i="38"/>
  <c r="B73" i="38"/>
  <c r="B61" i="38"/>
  <c r="B49" i="38"/>
  <c r="B37" i="38"/>
  <c r="B25" i="38"/>
  <c r="B13" i="38"/>
  <c r="B188" i="38"/>
  <c r="B176" i="38"/>
  <c r="B156" i="38"/>
  <c r="B144" i="38"/>
  <c r="B132" i="38"/>
  <c r="B120" i="38"/>
  <c r="B108" i="38"/>
  <c r="B96" i="38"/>
  <c r="B84" i="38"/>
  <c r="B48" i="38"/>
  <c r="B36" i="38"/>
  <c r="B24" i="38"/>
  <c r="B11" i="38"/>
  <c r="B211" i="38"/>
  <c r="B199" i="38"/>
  <c r="B187" i="38"/>
  <c r="B175" i="38"/>
  <c r="K9" i="38"/>
  <c r="W9" i="38"/>
  <c r="AI9" i="38"/>
  <c r="O9" i="38"/>
  <c r="AA9" i="38"/>
  <c r="F9" i="38"/>
  <c r="R9" i="38"/>
  <c r="AD9" i="38"/>
  <c r="AC9" i="38"/>
  <c r="N9" i="38"/>
  <c r="G9" i="38"/>
  <c r="S9" i="38"/>
  <c r="AE9" i="38"/>
  <c r="P9" i="38"/>
  <c r="AB9" i="38"/>
  <c r="H9" i="38"/>
  <c r="T9" i="38"/>
  <c r="AF9" i="38"/>
  <c r="Q9" i="38"/>
  <c r="Z9" i="38"/>
  <c r="E9" i="38"/>
  <c r="I9" i="38"/>
  <c r="U9" i="38"/>
  <c r="AG9" i="38"/>
  <c r="J9" i="38"/>
  <c r="V9" i="38"/>
  <c r="AH9" i="38"/>
  <c r="L9" i="38"/>
  <c r="X9" i="38"/>
  <c r="AJ9" i="38"/>
  <c r="M9" i="38"/>
  <c r="Y9" i="38"/>
  <c r="C157" i="38"/>
  <c r="C117" i="38"/>
  <c r="C190" i="38"/>
  <c r="AK210" i="38"/>
  <c r="C126" i="38"/>
  <c r="D137" i="38"/>
  <c r="AL137" i="38" s="1"/>
  <c r="D212" i="38"/>
  <c r="AL212" i="38" s="1"/>
  <c r="AL138" i="38"/>
  <c r="C72" i="38"/>
  <c r="D117" i="38"/>
  <c r="AL117" i="38" s="1"/>
  <c r="C200" i="38"/>
  <c r="D126" i="38"/>
  <c r="AL126" i="38" s="1"/>
  <c r="AL210" i="38"/>
  <c r="C102" i="38"/>
  <c r="AK127" i="38"/>
  <c r="C142" i="38"/>
  <c r="D200" i="38"/>
  <c r="AL200" i="38" s="1"/>
  <c r="D14" i="38"/>
  <c r="AL14" i="38" s="1"/>
  <c r="D142" i="38"/>
  <c r="AL142" i="38" s="1"/>
  <c r="C164" i="38"/>
  <c r="C88" i="38"/>
  <c r="D107" i="38"/>
  <c r="AL107" i="38" s="1"/>
  <c r="D164" i="38"/>
  <c r="AL164" i="38" s="1"/>
  <c r="C178" i="38"/>
  <c r="AL108" i="38"/>
  <c r="D151" i="38"/>
  <c r="AL151" i="38" s="1"/>
  <c r="AL165" i="38"/>
  <c r="D178" i="38"/>
  <c r="AL178" i="38" s="1"/>
  <c r="C107" i="38"/>
  <c r="C137" i="38"/>
  <c r="D43" i="38"/>
  <c r="AL43" i="38" s="1"/>
  <c r="D88" i="38"/>
  <c r="AL88" i="38" s="1"/>
  <c r="C58" i="38"/>
  <c r="D102" i="38"/>
  <c r="AL102" i="38" s="1"/>
  <c r="D157" i="38"/>
  <c r="AL157" i="38" s="1"/>
  <c r="AL213" i="38"/>
  <c r="AK12" i="38"/>
  <c r="AK211" i="38"/>
  <c r="AL211" i="38"/>
  <c r="C212" i="38"/>
  <c r="AK191" i="38"/>
  <c r="AL202" i="38"/>
  <c r="D190" i="38"/>
  <c r="AL190" i="38" s="1"/>
  <c r="AL179" i="38"/>
  <c r="AK179" i="38"/>
  <c r="AK165" i="38"/>
  <c r="AL152" i="38"/>
  <c r="AK159" i="38"/>
  <c r="C151" i="38"/>
  <c r="AL127" i="38"/>
  <c r="AK138" i="38"/>
  <c r="AL105" i="38"/>
  <c r="AL118" i="38"/>
  <c r="AK109" i="38"/>
  <c r="AK90" i="38"/>
  <c r="D72" i="38"/>
  <c r="AL72" i="38" s="1"/>
  <c r="AL91" i="38"/>
  <c r="D58" i="38"/>
  <c r="AL58" i="38" s="1"/>
  <c r="AL44" i="38"/>
  <c r="AK60" i="38"/>
  <c r="C43" i="38"/>
  <c r="D29" i="38"/>
  <c r="AL29" i="38" s="1"/>
  <c r="C29" i="38"/>
  <c r="AL15" i="38"/>
  <c r="C14" i="38"/>
  <c r="AL32" i="38"/>
  <c r="B10" i="38" l="1"/>
  <c r="C9" i="38"/>
  <c r="AK190" i="38"/>
  <c r="B190" i="38"/>
  <c r="AK178" i="38"/>
  <c r="B178" i="38"/>
  <c r="AK200" i="38"/>
  <c r="B200" i="38"/>
  <c r="AK117" i="38"/>
  <c r="B117" i="38"/>
  <c r="AK58" i="38"/>
  <c r="B58" i="38"/>
  <c r="AK29" i="38"/>
  <c r="B29" i="38"/>
  <c r="AK88" i="38"/>
  <c r="B88" i="38"/>
  <c r="AK72" i="38"/>
  <c r="B72" i="38"/>
  <c r="AK164" i="38"/>
  <c r="B164" i="38"/>
  <c r="AK157" i="38"/>
  <c r="B157" i="38"/>
  <c r="AK151" i="38"/>
  <c r="B151" i="38"/>
  <c r="AK43" i="38"/>
  <c r="B43" i="38"/>
  <c r="AK212" i="38"/>
  <c r="B212" i="38"/>
  <c r="AK107" i="38"/>
  <c r="B107" i="38"/>
  <c r="AK126" i="38"/>
  <c r="B126" i="38"/>
  <c r="AK102" i="38"/>
  <c r="B102" i="38"/>
  <c r="AK14" i="38"/>
  <c r="B14" i="38"/>
  <c r="AK137" i="38"/>
  <c r="B137" i="38"/>
  <c r="AK142" i="38"/>
  <c r="B142" i="38"/>
  <c r="AK10" i="38"/>
  <c r="AL10" i="38"/>
  <c r="D9" i="38"/>
  <c r="B9" i="38" l="1"/>
</calcChain>
</file>

<file path=xl/sharedStrings.xml><?xml version="1.0" encoding="utf-8"?>
<sst xmlns="http://schemas.openxmlformats.org/spreadsheetml/2006/main" count="275" uniqueCount="227">
  <si>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</si>
  <si>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</si>
  <si>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</si>
  <si>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</si>
  <si>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</si>
  <si>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</si>
  <si>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</si>
  <si>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</si>
  <si>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</si>
  <si>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</si>
  <si>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</si>
  <si>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</si>
  <si>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</si>
  <si>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</si>
  <si>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</si>
  <si>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</si>
  <si>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</si>
  <si>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</si>
  <si>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</si>
  <si>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</si>
  <si>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Both Sexes</t>
  </si>
  <si>
    <t>Male</t>
  </si>
  <si>
    <t>Female</t>
  </si>
  <si>
    <t>Primary</t>
  </si>
  <si>
    <t>Lower Secondary</t>
  </si>
  <si>
    <t>Higher Secondary</t>
  </si>
  <si>
    <t>Adh</t>
  </si>
  <si>
    <t>LKG</t>
  </si>
  <si>
    <t>UKG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</si>
  <si>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</si>
  <si>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</si>
  <si>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</si>
  <si>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</si>
  <si>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</si>
  <si>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</si>
  <si>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</si>
  <si>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</si>
  <si>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</si>
  <si>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</si>
  <si>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</si>
  <si>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</si>
  <si>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</si>
  <si>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</si>
  <si>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</si>
  <si>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</si>
  <si>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</si>
  <si>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</si>
  <si>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</si>
  <si>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</si>
  <si>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</si>
  <si>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</si>
  <si>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</si>
  <si>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</si>
  <si>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</si>
  <si>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</si>
  <si>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</si>
  <si>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</si>
  <si>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</si>
  <si>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</si>
  <si>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</si>
  <si>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</si>
  <si>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Manadhoo</t>
  </si>
  <si>
    <t>Velidhoo</t>
  </si>
  <si>
    <t>Holhudhoo</t>
  </si>
  <si>
    <t>Fodhdhoo</t>
  </si>
  <si>
    <t>Kudafaree</t>
  </si>
  <si>
    <t>Landhoo</t>
  </si>
  <si>
    <t>Maafaru</t>
  </si>
  <si>
    <t>Maalhendhoo</t>
  </si>
  <si>
    <t>Magoodhoo</t>
  </si>
  <si>
    <t>Miladhoo</t>
  </si>
  <si>
    <t>Dhuvaafaru</t>
  </si>
  <si>
    <t>Meedhoo</t>
  </si>
  <si>
    <t>Alifushi</t>
  </si>
  <si>
    <t>Fainu</t>
  </si>
  <si>
    <t>Innamaadhoo</t>
  </si>
  <si>
    <t>Kinolhas</t>
  </si>
  <si>
    <t>Maduvvaree</t>
  </si>
  <si>
    <t>Rasmaadhoo</t>
  </si>
  <si>
    <t>Vaadhoo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</si>
  <si>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</si>
  <si>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</si>
  <si>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</si>
  <si>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</si>
  <si>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</si>
  <si>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</si>
  <si>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</si>
  <si>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</si>
  <si>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</si>
  <si>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</si>
  <si>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</si>
  <si>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</si>
  <si>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</si>
  <si>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</si>
  <si>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</si>
  <si>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</si>
  <si>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</si>
  <si>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</si>
  <si>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</si>
  <si>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</si>
  <si>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</si>
  <si>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</si>
  <si>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</si>
  <si>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</si>
  <si>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</si>
  <si>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</si>
  <si>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</si>
  <si>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</si>
  <si>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</si>
  <si>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</si>
  <si>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</si>
  <si>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</si>
  <si>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</si>
  <si>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</si>
  <si>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</si>
  <si>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</si>
  <si>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</si>
  <si>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</si>
  <si>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</si>
  <si>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</si>
  <si>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</si>
  <si>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</si>
  <si>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</si>
  <si>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</si>
  <si>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</si>
  <si>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</si>
  <si>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</si>
  <si>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</si>
  <si>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</si>
  <si>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</si>
  <si>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</si>
  <si>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</si>
  <si>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</si>
  <si>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</si>
  <si>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</si>
  <si>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</si>
  <si>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</si>
  <si>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</si>
  <si>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</si>
  <si>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</si>
  <si>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</si>
  <si>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</si>
  <si>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</si>
  <si>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</si>
  <si>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</si>
  <si>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Dhaandhoo</t>
  </si>
  <si>
    <t>Dhevvadhoo</t>
  </si>
  <si>
    <t>Gemanafushi</t>
  </si>
  <si>
    <t>Gadhdhoo</t>
  </si>
  <si>
    <t>Thinadhoo</t>
  </si>
  <si>
    <t>Madaveli</t>
  </si>
  <si>
    <t>Rathafandhoo</t>
  </si>
  <si>
    <t>Maradhoo Feydhoo</t>
  </si>
  <si>
    <t>Maradhoo</t>
  </si>
  <si>
    <t>Percentage</t>
  </si>
  <si>
    <t>Bodufolhudhoo</t>
  </si>
  <si>
    <t>Maamingili</t>
  </si>
  <si>
    <t>Hagnaameedhoo</t>
  </si>
  <si>
    <t>Kunburudhoo</t>
  </si>
  <si>
    <t>Dhiddhoo</t>
  </si>
  <si>
    <t>Rinbudhoo</t>
  </si>
  <si>
    <t>Bandidhoo</t>
  </si>
  <si>
    <t>Maaenboodhoo</t>
  </si>
  <si>
    <t>Bilehdhoo</t>
  </si>
  <si>
    <t>Dharanboodhoo</t>
  </si>
  <si>
    <t>Vilingili</t>
  </si>
  <si>
    <t>Kolamafushi</t>
  </si>
  <si>
    <t>Kondey</t>
  </si>
  <si>
    <t>Kanduhulhudhoo</t>
  </si>
  <si>
    <t>Hodedhdhoo</t>
  </si>
  <si>
    <t>Nadella</t>
  </si>
  <si>
    <t>Fares Mathoda</t>
  </si>
  <si>
    <t>Fiyoari</t>
  </si>
  <si>
    <t>Fuvammulah</t>
  </si>
  <si>
    <t>Utheemu</t>
  </si>
  <si>
    <t>Mulhadhoo</t>
  </si>
  <si>
    <t>Kulhudhuffushi</t>
  </si>
  <si>
    <t>Kurinbi</t>
  </si>
  <si>
    <t>Maavah</t>
  </si>
  <si>
    <t>Isdhoo-Kalaidhoo</t>
  </si>
  <si>
    <t>Dhanbidhoo</t>
  </si>
  <si>
    <t>Veyvashu</t>
  </si>
  <si>
    <t>Maduvvari</t>
  </si>
  <si>
    <t>Malé</t>
  </si>
  <si>
    <t>Vilimalé</t>
  </si>
  <si>
    <t>Hulhumalé</t>
  </si>
  <si>
    <t>Henbadhoo</t>
  </si>
  <si>
    <t>Kendhikulhudhoo</t>
  </si>
  <si>
    <t>Lhohee</t>
  </si>
  <si>
    <t>Angolhitheemu</t>
  </si>
  <si>
    <t>Inguraidhoo</t>
  </si>
  <si>
    <t>Maakurathu</t>
  </si>
  <si>
    <t>Rasgetheemu</t>
  </si>
  <si>
    <t>Ungoofaaru</t>
  </si>
  <si>
    <t>Hulhudhuffaaru</t>
  </si>
  <si>
    <t>Kanditheemu</t>
  </si>
  <si>
    <t>Feevah</t>
  </si>
  <si>
    <t>Bileffahi</t>
  </si>
  <si>
    <t>Noomaraa</t>
  </si>
  <si>
    <t>Maaungoodhoo</t>
  </si>
  <si>
    <t>Hulhumeedhoo</t>
  </si>
  <si>
    <t>Kinbidhoo</t>
  </si>
  <si>
    <t>Burunee</t>
  </si>
  <si>
    <t>Kandoodhoo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</si>
  <si>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</si>
  <si>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</si>
  <si>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</si>
  <si>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</si>
  <si>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</si>
  <si>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</si>
  <si>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</si>
  <si>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</si>
  <si>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</si>
  <si>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</si>
  <si>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</si>
  <si>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</si>
  <si>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</si>
  <si>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Number of Students by grade and Island</t>
  </si>
  <si>
    <t>Early Childhood</t>
  </si>
  <si>
    <t>Pre School</t>
  </si>
  <si>
    <t xml:space="preserve"> Secondary</t>
  </si>
  <si>
    <t>Fehendhoo</t>
  </si>
  <si>
    <t xml:space="preserve"> Total Enrolment </t>
  </si>
  <si>
    <t>Atoll / Island</t>
  </si>
  <si>
    <t>Total enrolment</t>
  </si>
  <si>
    <t>Greater Male' Area</t>
  </si>
  <si>
    <t>TABLE 7.7: STUDENT ENROLMENT BY ISLANDS,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</si>
</sst>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1" formatCode="_(\ ###0_);_(\ \(###0\);_(\ &quot;&quot;_);_(@_)"/>
    <numFmt numFmtId="172" formatCode="mmmm\ yyyy"/>
    <numFmt numFmtId="173" formatCode="0;\-0;;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4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  <fill>
      <patternFill patternType="solid">
        <fgColor theme="0"/>
        <bgColor rgb="FFB3CEF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0F3F8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6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4" fillId="0" borderId="0"/>
    <xf numFmtId="0" fontId="15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8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4" fillId="0" borderId="0"/>
    <xf numFmtId="176" fontId="19" fillId="0" borderId="0"/>
    <xf numFmtId="174" fontId="4" fillId="0" borderId="0"/>
    <xf numFmtId="0" fontId="12" fillId="0" borderId="0"/>
    <xf numFmtId="0" fontId="12" fillId="0" borderId="0"/>
    <xf numFmtId="174" fontId="4" fillId="0" borderId="0"/>
    <xf numFmtId="0" fontId="12" fillId="0" borderId="0"/>
    <xf numFmtId="0" fontId="12" fillId="0" borderId="0"/>
    <xf numFmtId="174" fontId="4" fillId="0" borderId="0"/>
    <xf numFmtId="174" fontId="4" fillId="0" borderId="0"/>
    <xf numFmtId="175" fontId="4" fillId="0" borderId="0"/>
    <xf numFmtId="175" fontId="4" fillId="0" borderId="0"/>
    <xf numFmtId="164" fontId="4" fillId="0" borderId="0"/>
    <xf numFmtId="40" fontId="12" fillId="0" borderId="0" applyFont="0" applyFill="0" applyBorder="0" applyAlignment="0" applyProtection="0"/>
    <xf numFmtId="174" fontId="4" fillId="0" borderId="0"/>
    <xf numFmtId="175" fontId="4" fillId="0" borderId="0"/>
    <xf numFmtId="175" fontId="4" fillId="0" borderId="0"/>
    <xf numFmtId="164" fontId="4" fillId="0" borderId="0"/>
  </cellStyleXfs>
  <cellXfs count="62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 wrapText="1"/>
    </xf>
    <xf numFmtId="0" fontId="8" fillId="5" borderId="20" xfId="0" applyFont="1" applyFill="1" applyBorder="1" applyAlignment="1">
      <alignment horizontal="center"/>
    </xf>
    <xf numFmtId="0" fontId="17" fillId="2" borderId="13" xfId="0" applyFont="1" applyFill="1" applyBorder="1"/>
    <xf numFmtId="0" fontId="8" fillId="6" borderId="9" xfId="0" applyFont="1" applyFill="1" applyBorder="1" applyAlignment="1">
      <alignment horizontal="center"/>
    </xf>
    <xf numFmtId="0" fontId="13" fillId="2" borderId="6" xfId="0" applyFont="1" applyFill="1" applyBorder="1"/>
    <xf numFmtId="0" fontId="6" fillId="6" borderId="7" xfId="0" applyFont="1" applyFill="1" applyBorder="1" applyAlignment="1">
      <alignment horizontal="center"/>
    </xf>
    <xf numFmtId="0" fontId="17" fillId="8" borderId="13" xfId="0" applyFont="1" applyFill="1" applyBorder="1"/>
    <xf numFmtId="0" fontId="6" fillId="9" borderId="9" xfId="0" applyFont="1" applyFill="1" applyBorder="1" applyAlignment="1">
      <alignment horizontal="center"/>
    </xf>
    <xf numFmtId="0" fontId="17" fillId="2" borderId="0" xfId="0" applyFont="1" applyFill="1"/>
    <xf numFmtId="0" fontId="13" fillId="2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173" fontId="6" fillId="6" borderId="7" xfId="0" applyNumberFormat="1" applyFont="1" applyFill="1" applyBorder="1" applyAlignment="1">
      <alignment horizontal="center"/>
    </xf>
    <xf numFmtId="0" fontId="1" fillId="8" borderId="0" xfId="0" applyFont="1" applyFill="1"/>
    <xf numFmtId="167" fontId="1" fillId="2" borderId="0" xfId="1" applyNumberFormat="1" applyFont="1" applyFill="1" applyAlignment="1">
      <alignment horizontal="right" vertical="center"/>
    </xf>
    <xf numFmtId="167" fontId="1" fillId="2" borderId="0" xfId="1" applyNumberFormat="1" applyFont="1" applyFill="1"/>
    <xf numFmtId="0" fontId="8" fillId="7" borderId="3" xfId="0" applyFont="1" applyFill="1" applyBorder="1" applyAlignment="1">
      <alignment horizontal="center"/>
    </xf>
    <xf numFmtId="0" fontId="3" fillId="2" borderId="3" xfId="0" applyFont="1" applyFill="1" applyBorder="1"/>
    <xf numFmtId="0" fontId="8" fillId="4" borderId="3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7" borderId="2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16" fillId="2" borderId="0" xfId="15" applyFont="1" applyFill="1" applyAlignment="1">
      <alignment horizontal="center"/>
    </xf>
    <xf numFmtId="171" fontId="11" fillId="2" borderId="0" xfId="0" applyNumberFormat="1" applyFont="1" applyFill="1" applyAlignment="1">
      <alignment horizontal="center" vertical="center"/>
    </xf>
    <xf numFmtId="172" fontId="11" fillId="2" borderId="0" xfId="0" applyNumberFormat="1" applyFont="1" applyFill="1" applyAlignment="1">
      <alignment horizontal="center" vertical="center"/>
    </xf>
    <xf numFmtId="37" fontId="8" fillId="5" borderId="5" xfId="1" applyNumberFormat="1" applyFont="1" applyFill="1" applyBorder="1" applyAlignment="1">
      <alignment horizontal="right" vertical="center"/>
    </xf>
    <xf numFmtId="37" fontId="8" fillId="6" borderId="8" xfId="1" applyNumberFormat="1" applyFont="1" applyFill="1" applyBorder="1" applyAlignment="1">
      <alignment horizontal="right" vertical="center"/>
    </xf>
    <xf numFmtId="37" fontId="6" fillId="6" borderId="3" xfId="1" applyNumberFormat="1" applyFont="1" applyFill="1" applyBorder="1" applyAlignment="1">
      <alignment horizontal="right" vertical="center"/>
    </xf>
    <xf numFmtId="37" fontId="6" fillId="9" borderId="8" xfId="1" applyNumberFormat="1" applyFont="1" applyFill="1" applyBorder="1" applyAlignment="1">
      <alignment horizontal="right" vertical="center"/>
    </xf>
    <xf numFmtId="37" fontId="13" fillId="6" borderId="3" xfId="1" applyNumberFormat="1" applyFont="1" applyFill="1" applyBorder="1" applyAlignment="1">
      <alignment horizontal="center" vertical="center"/>
    </xf>
    <xf numFmtId="37" fontId="6" fillId="6" borderId="3" xfId="1" applyNumberFormat="1" applyFont="1" applyFill="1" applyBorder="1" applyAlignment="1">
      <alignment horizontal="center" vertical="center"/>
    </xf>
    <xf numFmtId="37" fontId="8" fillId="9" borderId="8" xfId="1" applyNumberFormat="1" applyFont="1" applyFill="1" applyBorder="1" applyAlignment="1">
      <alignment horizontal="right" vertical="center"/>
    </xf>
    <xf numFmtId="37" fontId="8" fillId="5" borderId="5" xfId="1" applyNumberFormat="1" applyFont="1" applyFill="1" applyBorder="1" applyAlignment="1">
      <alignment horizontal="center" vertical="center"/>
    </xf>
    <xf numFmtId="37" fontId="8" fillId="6" borderId="8" xfId="1" applyNumberFormat="1" applyFont="1" applyFill="1" applyBorder="1" applyAlignment="1">
      <alignment horizontal="center" vertical="center"/>
    </xf>
    <xf numFmtId="37" fontId="6" fillId="9" borderId="8" xfId="1" applyNumberFormat="1" applyFont="1" applyFill="1" applyBorder="1" applyAlignment="1">
      <alignment horizontal="center" vertical="center"/>
    </xf>
    <xf numFmtId="37" fontId="8" fillId="9" borderId="8" xfId="1" applyNumberFormat="1" applyFont="1" applyFill="1" applyBorder="1" applyAlignment="1">
      <alignment horizontal="center" vertical="center"/>
    </xf>
    <xf numFmtId="37" fontId="9" fillId="6" borderId="3" xfId="1" applyNumberFormat="1" applyFont="1" applyFill="1" applyBorder="1" applyAlignment="1">
      <alignment horizontal="center" vertical="center"/>
    </xf>
  </cellXfs>
  <cellStyles count="166">
    <cellStyle name="1" xfId="147" xr:uid="{DAE6356A-5F0B-40FC-8440-D38CCA2D7FE4}"/>
    <cellStyle name="Comma" xfId="1" builtinId="3"/>
    <cellStyle name="Comma 2" xfId="10" xr:uid="{00000000-0005-0000-0000-000001000000}"/>
    <cellStyle name="Comma 3" xfId="18" xr:uid="{64DE3F2C-7ADF-4CAC-A603-85C0B4A7FA05}"/>
    <cellStyle name="Comma 3 2" xfId="161" xr:uid="{52609CA5-C878-41A4-BEB0-99B40943D317}"/>
    <cellStyle name="Normal" xfId="0" builtinId="0"/>
    <cellStyle name="Normal - Style1" xfId="149" xr:uid="{619EF930-7A54-409F-8EAA-7AC6E49D72EA}"/>
    <cellStyle name="Normal 10" xfId="5" xr:uid="{00000000-0005-0000-0000-000005000000}"/>
    <cellStyle name="Normal 10 2" xfId="41" xr:uid="{F728998F-E0C5-4205-8464-B0F7FC9B108A}"/>
    <cellStyle name="Normal 105 2" xfId="133" xr:uid="{533DBD6B-74F0-47E5-B92A-EBE07E2DAE65}"/>
    <cellStyle name="Normal 11" xfId="28" xr:uid="{3C5AD2F2-EB38-4766-B596-4E1236CA6318}"/>
    <cellStyle name="Normal 11 2" xfId="42" xr:uid="{867150C4-105C-4CB3-9827-99BBB764B52F}"/>
    <cellStyle name="Normal 12" xfId="29" xr:uid="{404C4B49-3E69-4E2C-B6B2-561F3D6A9708}"/>
    <cellStyle name="Normal 12 2" xfId="43" xr:uid="{2836860A-8743-41D1-81B8-D56ABE27B72E}"/>
    <cellStyle name="Normal 13" xfId="31" xr:uid="{D255BE54-8547-4862-9AD5-1C1B16F069DB}"/>
    <cellStyle name="Normal 13 2" xfId="44" xr:uid="{ED0E4A9D-CC3E-4AB3-9DFE-11DFAED80A09}"/>
    <cellStyle name="Normal 14" xfId="32" xr:uid="{3EC08165-18E7-4988-BB73-2D2AFBDDEF68}"/>
    <cellStyle name="Normal 14 2" xfId="45" xr:uid="{EA8ED8E2-C7F7-49DF-990F-ADF5350DFA5E}"/>
    <cellStyle name="Normal 15" xfId="33" xr:uid="{C89D76F6-2316-47EE-9519-0C7A58DC7275}"/>
    <cellStyle name="Normal 15 2" xfId="46" xr:uid="{4FB0A5A3-8B34-42A6-A080-B9702CB4D58F}"/>
    <cellStyle name="Normal 16" xfId="34" xr:uid="{C6316ACD-3803-4A15-BA70-C1710061DB5E}"/>
    <cellStyle name="Normal 16 2" xfId="47" xr:uid="{D7650963-1B5D-468B-80AB-6F0A43E704B7}"/>
    <cellStyle name="Normal 17" xfId="35" xr:uid="{324860F2-E553-468E-92E7-1837A1EA4042}"/>
    <cellStyle name="Normal 17 2" xfId="48" xr:uid="{4BE41685-51B3-4226-AFBF-68D63AC49F2E}"/>
    <cellStyle name="Normal 18" xfId="36" xr:uid="{5BBE9F30-4CF0-4210-B2FD-EF90F927F407}"/>
    <cellStyle name="Normal 18 2" xfId="49" xr:uid="{CE138F9B-0052-407E-A664-7E20347D6EDD}"/>
    <cellStyle name="Normal 19" xfId="37" xr:uid="{032B0710-66C1-4E59-A0CF-D4A337458C10}"/>
    <cellStyle name="Normal 19 2" xfId="50" xr:uid="{60CDB243-D636-40AB-B919-8CBC11D554C6}"/>
    <cellStyle name="Normal 2" xfId="14" xr:uid="{00000000-0005-0000-0000-000006000000}"/>
    <cellStyle name="Normal 2 10" xfId="51" xr:uid="{1188190F-35EE-4B4E-B0AE-FB0778A6985D}"/>
    <cellStyle name="Normal 2 11" xfId="52" xr:uid="{5432CA34-F385-4F4E-B554-0FE58ACF184F}"/>
    <cellStyle name="Normal 2 12" xfId="53" xr:uid="{8B819162-2054-43AE-B7CF-087D00D50B79}"/>
    <cellStyle name="Normal 2 13" xfId="54" xr:uid="{D203DA21-A383-4275-971F-44D3E65FB869}"/>
    <cellStyle name="Normal 2 14" xfId="55" xr:uid="{0BDD168E-6B35-45CE-A7FD-0A44E146C874}"/>
    <cellStyle name="Normal 2 15" xfId="56" xr:uid="{E07F8F5C-1A5C-4CAD-9808-5F65980BB8FA}"/>
    <cellStyle name="Normal 2 16" xfId="57" xr:uid="{5EAC18C2-FBBE-40B0-B794-7055182B1A17}"/>
    <cellStyle name="Normal 2 17" xfId="58" xr:uid="{E9AAFBCC-A547-4B51-8396-0C8B089250AB}"/>
    <cellStyle name="Normal 2 18" xfId="59" xr:uid="{CCF2B94D-C5B1-4286-9CFA-AFCA64C3C3C2}"/>
    <cellStyle name="Normal 2 19" xfId="60" xr:uid="{38A1DF0C-05C8-4817-8DC2-135137F873B3}"/>
    <cellStyle name="Normal 2 2" xfId="20" xr:uid="{72E2975E-9624-4276-84CE-32231361B56C}"/>
    <cellStyle name="Normal 2 2 10" xfId="61" xr:uid="{C48756B7-663C-43BE-933C-E0420E5EFEB0}"/>
    <cellStyle name="Normal 2 2 11" xfId="62" xr:uid="{EF567ADE-3AC2-4EEC-A222-BB4F5D6A8A68}"/>
    <cellStyle name="Normal 2 2 12" xfId="63" xr:uid="{AB110C62-963E-411F-8860-769003A83005}"/>
    <cellStyle name="Normal 2 2 13" xfId="64" xr:uid="{F76655BE-B59E-4BDA-836B-54C8DEBF9771}"/>
    <cellStyle name="Normal 2 2 14" xfId="65" xr:uid="{69DDDE0B-5E13-425F-8ECF-BBF9430C9EB4}"/>
    <cellStyle name="Normal 2 2 15" xfId="66" xr:uid="{6A9960F7-9D02-4EB3-BCA5-121207DC0F36}"/>
    <cellStyle name="Normal 2 2 16" xfId="67" xr:uid="{8E0A7258-07DF-4169-94C6-1A9B7088A79B}"/>
    <cellStyle name="Normal 2 2 17" xfId="68" xr:uid="{0B0C6C0B-60ED-4511-9AD0-1442FD102E11}"/>
    <cellStyle name="Normal 2 2 18" xfId="69" xr:uid="{3D90996E-D5E1-46F3-8D84-F7D01D833027}"/>
    <cellStyle name="Normal 2 2 19" xfId="70" xr:uid="{D17BDC0A-AF45-4985-B8C2-A7F0AB0DB2B4}"/>
    <cellStyle name="Normal 2 2 2" xfId="2" xr:uid="{00000000-0005-0000-0000-000007000000}"/>
    <cellStyle name="Normal 2 2 20" xfId="71" xr:uid="{259551A9-CE35-4F4F-9F00-9E2F94C34E91}"/>
    <cellStyle name="Normal 2 2 21" xfId="72" xr:uid="{00A8887B-1182-493A-A481-A5FBD854C6D2}"/>
    <cellStyle name="Normal 2 2 22" xfId="73" xr:uid="{589E1523-3E48-45D3-B482-13810149895C}"/>
    <cellStyle name="Normal 2 2 23" xfId="74" xr:uid="{8C89DF8A-EC55-4DBD-9DA1-8270F903A754}"/>
    <cellStyle name="Normal 2 2 24" xfId="75" xr:uid="{B6BC4A23-29C4-49E4-8E89-01A456F570E6}"/>
    <cellStyle name="Normal 2 2 24 2" xfId="76" xr:uid="{C011446F-23EA-4B6F-BEA6-FB36729B5C33}"/>
    <cellStyle name="Normal 2 2 24 2 2" xfId="77" xr:uid="{2A138F0F-5291-42FF-A21E-B4D122BEED52}"/>
    <cellStyle name="Normal 2 2 25" xfId="78" xr:uid="{797D9A30-70F3-45B9-B3CA-2CFC816306C4}"/>
    <cellStyle name="Normal 2 2 25 2" xfId="79" xr:uid="{E1A0CEF4-E793-481F-BB4C-B264B7DB48E8}"/>
    <cellStyle name="Normal 2 2 26" xfId="150" xr:uid="{4D57AA70-88C1-4D1B-B28A-4D158B922A62}"/>
    <cellStyle name="Normal 2 2 3" xfId="80" xr:uid="{E1FA721D-1EFF-4818-B4BA-C77D5532AE0A}"/>
    <cellStyle name="Normal 2 2 4" xfId="81" xr:uid="{E15A6C73-0A03-4020-9CBF-8B292A9C95FB}"/>
    <cellStyle name="Normal 2 2 5" xfId="82" xr:uid="{EA6C0009-A9FF-4979-B4F3-76D4ED98A885}"/>
    <cellStyle name="Normal 2 2 5 2" xfId="83" xr:uid="{24A87BAF-5721-4B7C-A6BD-1B1453D860BB}"/>
    <cellStyle name="Normal 2 2 5 2 2" xfId="84" xr:uid="{EB241B9F-C708-47CD-BDF6-6F931A768AF8}"/>
    <cellStyle name="Normal 2 2 5 2 2 2" xfId="85" xr:uid="{1F1F03FD-6E78-4191-BB44-7B2CB3969B85}"/>
    <cellStyle name="Normal 2 2 5 3" xfId="86" xr:uid="{8662978F-12C4-460A-80BC-BB0298F37360}"/>
    <cellStyle name="Normal 2 2 5 4" xfId="87" xr:uid="{EBD4D203-77AA-49B4-9FF5-B625636AF290}"/>
    <cellStyle name="Normal 2 2 6" xfId="88" xr:uid="{27FA3DEC-BCE7-4DBB-B5B8-5F85711A9DE8}"/>
    <cellStyle name="Normal 2 2 7" xfId="89" xr:uid="{2508C00B-BD7B-4FB2-9F0D-E35AA94DD40D}"/>
    <cellStyle name="Normal 2 2 8" xfId="90" xr:uid="{139B44CE-D1C3-44EA-8837-2DD014A9C1C1}"/>
    <cellStyle name="Normal 2 2 9" xfId="91" xr:uid="{7F90D56D-4DE5-49D1-8814-ADF2E3AAA34B}"/>
    <cellStyle name="Normal 2 20" xfId="92" xr:uid="{845BE197-12C1-4EED-BA4C-5AEE4ADDAC60}"/>
    <cellStyle name="Normal 2 21" xfId="93" xr:uid="{87DA551B-12BD-4458-B0B6-BF2C10803926}"/>
    <cellStyle name="Normal 2 22" xfId="94" xr:uid="{D55DD91D-AC0F-4901-96DA-BC7C9AB58DE6}"/>
    <cellStyle name="Normal 2 23" xfId="95" xr:uid="{A3862E95-EFA3-456F-85DF-E3F6A081E864}"/>
    <cellStyle name="Normal 2 24" xfId="96" xr:uid="{23E3B3BD-C832-4BFC-A41B-554F0BC10ABA}"/>
    <cellStyle name="Normal 2 24 2" xfId="97" xr:uid="{0ABE4B80-4804-457E-A675-B1B03D7A3FBC}"/>
    <cellStyle name="Normal 2 24 2 2" xfId="98" xr:uid="{5CD64945-405F-4A44-BF57-4680AE3569D0}"/>
    <cellStyle name="Normal 2 25" xfId="99" xr:uid="{811B5319-F17B-4DA8-B269-6F9497EEC715}"/>
    <cellStyle name="Normal 2 25 2" xfId="100" xr:uid="{243DF819-6F3E-498A-B82F-259D34409031}"/>
    <cellStyle name="Normal 2 26" xfId="13" xr:uid="{00000000-0005-0000-0000-000008000000}"/>
    <cellStyle name="Normal 2 27" xfId="21" xr:uid="{9C62101D-5338-4E99-A64E-FB80AF3B2B08}"/>
    <cellStyle name="Normal 2 28" xfId="16" xr:uid="{20DADC0A-7DCC-4A4C-B94F-4802B3BE9988}"/>
    <cellStyle name="Normal 2 3" xfId="22" xr:uid="{A778130E-DDD8-426E-8E26-B4005C7AD047}"/>
    <cellStyle name="Normal 2 3 2" xfId="101" xr:uid="{A5ACA7A5-FD91-49DA-85A9-CA7BA212595C}"/>
    <cellStyle name="Normal 2 3 2 2" xfId="102" xr:uid="{0267E9AA-D8E3-4D0E-A884-9FDB06663F7F}"/>
    <cellStyle name="Normal 2 3 2 2 2" xfId="103" xr:uid="{8E89E873-9037-49FA-A25B-C95A2A153CB7}"/>
    <cellStyle name="Normal 2 3 3" xfId="104" xr:uid="{22F22245-848B-475E-A692-6A4EF5D1BEB8}"/>
    <cellStyle name="Normal 2 3 4" xfId="105" xr:uid="{1525E255-84F8-49F5-8A72-52AD7B75CFA9}"/>
    <cellStyle name="Normal 2 3 5" xfId="151" xr:uid="{A5BC6946-4482-4097-82D0-05F578E796CE}"/>
    <cellStyle name="Normal 2 4" xfId="106" xr:uid="{94CA42B3-409E-4CA5-9914-CCF95962185D}"/>
    <cellStyle name="Normal 2 4 2" xfId="152" xr:uid="{4620C6D4-5D32-4A6E-A7C6-693A7F7A968E}"/>
    <cellStyle name="Normal 2 5" xfId="107" xr:uid="{C11BC49D-9AFE-4E46-B01B-68C2D4E0854B}"/>
    <cellStyle name="Normal 2 5 2" xfId="162" xr:uid="{0AA038D2-4062-415D-B212-DBAC97B765E1}"/>
    <cellStyle name="Normal 2 6" xfId="108" xr:uid="{5E231096-77E3-40DD-BF86-406B30F88197}"/>
    <cellStyle name="Normal 2 7" xfId="109" xr:uid="{9621DF5E-FD86-41B4-8D1B-D85E2004B02B}"/>
    <cellStyle name="Normal 2 8" xfId="110" xr:uid="{425A1819-81BB-4160-85B2-B0D50FF90706}"/>
    <cellStyle name="Normal 2 9" xfId="111" xr:uid="{3CF1E779-EDCE-43C0-B1BD-3D46927D364A}"/>
    <cellStyle name="Normal 20" xfId="38" xr:uid="{84126349-32CD-4F69-9AA4-CF3B537E04FB}"/>
    <cellStyle name="Normal 20 2" xfId="112" xr:uid="{415F30D0-CB98-4A44-8ED3-B09978F24A81}"/>
    <cellStyle name="Normal 21" xfId="39" xr:uid="{EDFF05B0-FED0-4B92-8C8E-188D0BF567DD}"/>
    <cellStyle name="Normal 21 2" xfId="113" xr:uid="{F536A478-01CF-4EE1-A17D-6C258113ABD3}"/>
    <cellStyle name="Normal 22" xfId="40" xr:uid="{095F8E10-F81F-4474-A352-961CCCCB7676}"/>
    <cellStyle name="Normal 22 2" xfId="114" xr:uid="{F356E66C-846D-48AC-A259-475503521822}"/>
    <cellStyle name="Normal 23" xfId="115" xr:uid="{F6B7225D-D032-496B-B979-C3744159D44D}"/>
    <cellStyle name="Normal 23 2" xfId="116" xr:uid="{68FBC008-7BE9-4243-89BE-A4F12346CBC6}"/>
    <cellStyle name="Normal 24" xfId="140" xr:uid="{2BB7C590-325F-42AE-B692-3144D5A04630}"/>
    <cellStyle name="Normal 25" xfId="23" xr:uid="{71077372-C3B9-405A-8A1A-77A92B03C5E4}"/>
    <cellStyle name="Normal 25 2" xfId="134" xr:uid="{986E5B40-2610-4528-B065-D0027B3B90D1}"/>
    <cellStyle name="Normal 26" xfId="127" xr:uid="{CF915FFE-C957-44B8-BAEC-1FB8C46F391C}"/>
    <cellStyle name="Normal 26 2" xfId="144" xr:uid="{34436E1E-76BB-4661-906F-D5672CF10137}"/>
    <cellStyle name="Normal 27" xfId="125" xr:uid="{647AEFCD-A9D7-4718-8C5E-3ADD3447C6E1}"/>
    <cellStyle name="Normal 27 2" xfId="143" xr:uid="{5C6DE56B-DCE3-44CF-8DEC-9AB12DE2776B}"/>
    <cellStyle name="Normal 28" xfId="128" xr:uid="{50BF765D-79BA-4480-8D4C-8AD7B62B0113}"/>
    <cellStyle name="Normal 28 2" xfId="137" xr:uid="{7BBA2330-141A-48B5-BAD4-0C1F879A4FCF}"/>
    <cellStyle name="Normal 29" xfId="135" xr:uid="{8B18EE9A-5EBA-4798-A7FD-3A4D54C630E2}"/>
    <cellStyle name="Normal 3" xfId="17" xr:uid="{16026754-C094-47C5-AC13-5550298E64D6}"/>
    <cellStyle name="Normal 3 11" xfId="131" xr:uid="{3B74257E-B953-4047-87F8-13D8783766E1}"/>
    <cellStyle name="Normal 3 12" xfId="129" xr:uid="{6D46F621-3444-4F77-B021-B801426EAC34}"/>
    <cellStyle name="Normal 3 13" xfId="130" xr:uid="{4355C406-73A0-43B6-BB89-5564E935F39E}"/>
    <cellStyle name="Normal 3 14" xfId="132" xr:uid="{0801AF96-BF47-4FDE-94C9-1704251C49D1}"/>
    <cellStyle name="Normal 3 2" xfId="117" xr:uid="{DB254ABC-54B2-4B52-AFCB-C4783079DDAA}"/>
    <cellStyle name="Normal 3 2 2" xfId="154" xr:uid="{79E5087E-1783-4EDF-B113-62785F6EF675}"/>
    <cellStyle name="Normal 3 3" xfId="118" xr:uid="{B0F1B220-AC0F-4F7B-B3F3-EBE8B4C78D36}"/>
    <cellStyle name="Normal 3 3 2" xfId="155" xr:uid="{175BACD0-D76D-4E78-A620-34DE1309B5E9}"/>
    <cellStyle name="Normal 3 4" xfId="153" xr:uid="{0F9FD451-3C21-4663-8079-E41CE7CF7E15}"/>
    <cellStyle name="Normal 30" xfId="142" xr:uid="{86EE2BA3-EB39-489A-B999-0D78C57B0E07}"/>
    <cellStyle name="Normal 31" xfId="139" xr:uid="{869B3005-9097-44F4-ACDE-D2720B18621F}"/>
    <cellStyle name="Normal 32" xfId="136" xr:uid="{7A16E0F4-7579-40E1-91EF-EC96E0B03281}"/>
    <cellStyle name="Normal 33" xfId="146" xr:uid="{8477D942-80D3-473F-925E-B39E9E1175DE}"/>
    <cellStyle name="Normal 34" xfId="138" xr:uid="{58B618CD-A3BB-485F-B564-9DE36596E815}"/>
    <cellStyle name="Normal 35" xfId="145" xr:uid="{0A7467FD-7F2D-4AAF-91F0-F6B456EF8082}"/>
    <cellStyle name="Normal 37" xfId="4" xr:uid="{00000000-0005-0000-0000-000009000000}"/>
    <cellStyle name="Normal 4" xfId="24" xr:uid="{ECEBDACA-7F92-4435-B0B0-D07576C06E5D}"/>
    <cellStyle name="Normal 4 2" xfId="119" xr:uid="{531726EA-D108-40DA-B038-C4463089BEB0}"/>
    <cellStyle name="Normal 4 3" xfId="126" xr:uid="{76029822-62CD-40D8-9480-1575121582A7}"/>
    <cellStyle name="Normal 4 3 2" xfId="156" xr:uid="{76491B9A-DD8D-4C9E-8D98-0FE3207A44F3}"/>
    <cellStyle name="Normal 5" xfId="30" xr:uid="{29E1426B-D9B9-4D10-9F91-A92B2F51AB44}"/>
    <cellStyle name="Normal 5 2" xfId="120" xr:uid="{CD7148B3-1CA5-4C01-BF43-61071BF5D107}"/>
    <cellStyle name="Normal 5 3" xfId="157" xr:uid="{BA5D37C8-0141-407A-9B6F-3CB14360AAB2}"/>
    <cellStyle name="Normal 6" xfId="9" xr:uid="{00000000-0005-0000-0000-00000A000000}"/>
    <cellStyle name="Normal 6 2" xfId="141" xr:uid="{D0C935A4-B962-478C-A60A-F5E42BA148D1}"/>
    <cellStyle name="Normal 6 2 2" xfId="158" xr:uid="{9BF88CA6-0383-4D93-A20D-863A8E5AB557}"/>
    <cellStyle name="Normal 6 3" xfId="124" xr:uid="{5788FEC5-5155-484E-BE05-0F7C41AF7BCF}"/>
    <cellStyle name="Normal 6 3 2" xfId="163" xr:uid="{2A1F4FF1-EB06-4F10-B32E-D94C80895944}"/>
    <cellStyle name="Normal 6 4" xfId="8" xr:uid="{00000000-0005-0000-0000-00000B000000}"/>
    <cellStyle name="Normal 7" xfId="7" xr:uid="{00000000-0005-0000-0000-00000C000000}"/>
    <cellStyle name="Normal 7 2" xfId="121" xr:uid="{879ACF8F-2912-4861-9FD7-7DFD5E8BCF51}"/>
    <cellStyle name="Normal 7 2 2" xfId="159" xr:uid="{C922ACB5-0289-4EB4-8787-E560A8365FA9}"/>
    <cellStyle name="Normal 7 3" xfId="25" xr:uid="{DF1A6E0E-C555-4039-AB45-AC1334E7DCA8}"/>
    <cellStyle name="Normal 7 3 2" xfId="164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2" xr:uid="{A0B19A80-CC22-4885-9846-7F40B661515E}"/>
    <cellStyle name="Normal 8 2 3" xfId="12" xr:uid="{00000000-0005-0000-0000-000010000000}"/>
    <cellStyle name="Normal 8 3" xfId="26" xr:uid="{ABD3B60E-E173-4D99-899F-F67F85E444C3}"/>
    <cellStyle name="Normal 8 3 2" xfId="165" xr:uid="{42822E71-D85E-43A7-96E2-85A63624BD0D}"/>
    <cellStyle name="Normal 8 4" xfId="148" xr:uid="{D8519813-F768-4BCD-B03B-283E8CDCD588}"/>
    <cellStyle name="Normal 9" xfId="27" xr:uid="{66C37DAE-91F4-4830-8E56-B0089FD4BFE3}"/>
    <cellStyle name="Normal 9 2" xfId="123" xr:uid="{7D82657F-3972-4A44-A277-174EBD3E36E0}"/>
    <cellStyle name="Normal 9 3" xfId="160" xr:uid="{4FF5939E-222D-420D-8817-3A3A7FE58E71}"/>
    <cellStyle name="Normal_Sheet2" xfId="15" xr:uid="{5D64F9CF-C27F-436B-BA91-927CA6BA792A}"/>
    <cellStyle name="Percent 2" xfId="19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B81A-FC73-46CA-AA2F-97B41EC5DD46}">
  <sheetPr>
    <tabColor theme="4" tint="-0.249977111117893"/>
  </sheetPr>
  <dimension ref="A1:AL227"/>
  <sheetViews>
    <sheetView tabSelected="1" zoomScaleNormal="100" workbookViewId="0">
      <selection activeCell="W20" sqref="W20"/>
    </sheetView>
  </sheetViews>
  <sheetFormatPr defaultColWidth="14.42578125" defaultRowHeight="15" x14ac:dyDescent="0.25"/>
  <cols>
    <col min="1" max="1" width="16.5703125" style="2" customWidth="1"/>
    <col min="2" max="4" width="11.42578125" style="3" customWidth="1"/>
    <col min="5" max="36" width="7.42578125" style="2" customWidth="1"/>
    <col min="37" max="38" width="5.7109375" style="2" customWidth="1"/>
    <col min="39" max="16384" width="14.42578125" style="2"/>
  </cols>
  <sheetData>
    <row r="1" spans="1:38" ht="18.75" x14ac:dyDescent="0.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pans="1:38" ht="18.75" x14ac:dyDescent="0.25">
      <c r="A2" s="48" t="s">
        <v>226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</row>
    <row r="3" spans="1:38" ht="18.75" x14ac:dyDescent="0.25">
      <c r="A3" s="49">
        <v>44713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</row>
    <row r="4" spans="1:38" ht="15.75" thickBot="1" x14ac:dyDescent="0.3"/>
    <row r="5" spans="1:38" ht="16.5" thickBot="1" x14ac:dyDescent="0.3">
      <c r="A5" s="30" t="s">
        <v>217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2"/>
    </row>
    <row r="6" spans="1:38" s="4" customFormat="1" ht="24" customHeight="1" x14ac:dyDescent="0.25">
      <c r="A6" s="44" t="s">
        <v>223</v>
      </c>
      <c r="B6" s="36" t="s">
        <v>222</v>
      </c>
      <c r="C6" s="37"/>
      <c r="D6" s="38"/>
      <c r="E6" s="33" t="s">
        <v>218</v>
      </c>
      <c r="F6" s="34"/>
      <c r="G6" s="34"/>
      <c r="H6" s="34"/>
      <c r="I6" s="35" t="s">
        <v>219</v>
      </c>
      <c r="J6" s="34"/>
      <c r="K6" s="34"/>
      <c r="L6" s="34"/>
      <c r="M6" s="33" t="s">
        <v>23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5" t="s">
        <v>24</v>
      </c>
      <c r="Z6" s="34"/>
      <c r="AA6" s="34"/>
      <c r="AB6" s="34"/>
      <c r="AC6" s="33" t="s">
        <v>220</v>
      </c>
      <c r="AD6" s="34"/>
      <c r="AE6" s="34"/>
      <c r="AF6" s="34"/>
      <c r="AG6" s="35" t="s">
        <v>25</v>
      </c>
      <c r="AH6" s="34"/>
      <c r="AI6" s="34"/>
      <c r="AJ6" s="34"/>
      <c r="AK6" s="36" t="s">
        <v>154</v>
      </c>
      <c r="AL6" s="42"/>
    </row>
    <row r="7" spans="1:38" ht="15" customHeight="1" x14ac:dyDescent="0.25">
      <c r="A7" s="45"/>
      <c r="B7" s="39"/>
      <c r="C7" s="40"/>
      <c r="D7" s="41"/>
      <c r="E7" s="29" t="s">
        <v>204</v>
      </c>
      <c r="F7" s="28"/>
      <c r="G7" s="29" t="s">
        <v>4</v>
      </c>
      <c r="H7" s="28"/>
      <c r="I7" s="27" t="s">
        <v>27</v>
      </c>
      <c r="J7" s="28"/>
      <c r="K7" s="27" t="s">
        <v>28</v>
      </c>
      <c r="L7" s="28"/>
      <c r="M7" s="29" t="s">
        <v>205</v>
      </c>
      <c r="N7" s="28"/>
      <c r="O7" s="29" t="s">
        <v>206</v>
      </c>
      <c r="P7" s="28"/>
      <c r="Q7" s="29" t="s">
        <v>207</v>
      </c>
      <c r="R7" s="28"/>
      <c r="S7" s="29" t="s">
        <v>208</v>
      </c>
      <c r="T7" s="28"/>
      <c r="U7" s="29" t="s">
        <v>209</v>
      </c>
      <c r="V7" s="28"/>
      <c r="W7" s="29" t="s">
        <v>210</v>
      </c>
      <c r="X7" s="28"/>
      <c r="Y7" s="27" t="s">
        <v>211</v>
      </c>
      <c r="Z7" s="28"/>
      <c r="AA7" s="27" t="s">
        <v>212</v>
      </c>
      <c r="AB7" s="28"/>
      <c r="AC7" s="29" t="s">
        <v>213</v>
      </c>
      <c r="AD7" s="28"/>
      <c r="AE7" s="29" t="s">
        <v>214</v>
      </c>
      <c r="AF7" s="28"/>
      <c r="AG7" s="27" t="s">
        <v>215</v>
      </c>
      <c r="AH7" s="28"/>
      <c r="AI7" s="27" t="s">
        <v>216</v>
      </c>
      <c r="AJ7" s="28"/>
      <c r="AK7" s="39"/>
      <c r="AL7" s="43"/>
    </row>
    <row r="8" spans="1:38" x14ac:dyDescent="0.25">
      <c r="A8" s="46"/>
      <c r="B8" s="7" t="s">
        <v>20</v>
      </c>
      <c r="C8" s="7" t="s">
        <v>21</v>
      </c>
      <c r="D8" s="7" t="s">
        <v>22</v>
      </c>
      <c r="E8" s="8" t="s">
        <v>12</v>
      </c>
      <c r="F8" s="5" t="s">
        <v>13</v>
      </c>
      <c r="G8" s="8" t="s">
        <v>12</v>
      </c>
      <c r="H8" s="5" t="s">
        <v>13</v>
      </c>
      <c r="I8" s="6" t="s">
        <v>12</v>
      </c>
      <c r="J8" s="6" t="s">
        <v>13</v>
      </c>
      <c r="K8" s="6" t="s">
        <v>12</v>
      </c>
      <c r="L8" s="6" t="s">
        <v>13</v>
      </c>
      <c r="M8" s="8" t="s">
        <v>12</v>
      </c>
      <c r="N8" s="8" t="s">
        <v>13</v>
      </c>
      <c r="O8" s="8" t="s">
        <v>12</v>
      </c>
      <c r="P8" s="8" t="s">
        <v>13</v>
      </c>
      <c r="Q8" s="8" t="s">
        <v>12</v>
      </c>
      <c r="R8" s="8" t="s">
        <v>13</v>
      </c>
      <c r="S8" s="8" t="s">
        <v>12</v>
      </c>
      <c r="T8" s="8" t="s">
        <v>13</v>
      </c>
      <c r="U8" s="8" t="s">
        <v>12</v>
      </c>
      <c r="V8" s="8" t="s">
        <v>13</v>
      </c>
      <c r="W8" s="8" t="s">
        <v>12</v>
      </c>
      <c r="X8" s="8" t="s">
        <v>13</v>
      </c>
      <c r="Y8" s="6" t="s">
        <v>12</v>
      </c>
      <c r="Z8" s="6" t="s">
        <v>13</v>
      </c>
      <c r="AA8" s="6" t="s">
        <v>12</v>
      </c>
      <c r="AB8" s="6" t="s">
        <v>13</v>
      </c>
      <c r="AC8" s="8" t="s">
        <v>12</v>
      </c>
      <c r="AD8" s="8" t="s">
        <v>13</v>
      </c>
      <c r="AE8" s="8" t="s">
        <v>12</v>
      </c>
      <c r="AF8" s="8" t="s">
        <v>13</v>
      </c>
      <c r="AG8" s="6" t="s">
        <v>12</v>
      </c>
      <c r="AH8" s="6" t="s">
        <v>13</v>
      </c>
      <c r="AI8" s="6" t="s">
        <v>12</v>
      </c>
      <c r="AJ8" s="6" t="s">
        <v>13</v>
      </c>
      <c r="AK8" s="8" t="s">
        <v>12</v>
      </c>
      <c r="AL8" s="9" t="s">
        <v>13</v>
      </c>
    </row>
    <row r="9" spans="1:38" x14ac:dyDescent="0.25">
      <c r="A9" s="10" t="s">
        <v>224</v>
      </c>
      <c r="B9" s="50">
        <f>SUM(C9:D9)</f>
        <v>94192</v>
      </c>
      <c r="C9" s="50">
        <f>E9+G9+I9+K9+M9+O9+Q9+S9+U9+W9+Y9+AA9+AC9+AE9+AG9+AI9</f>
        <v>48171</v>
      </c>
      <c r="D9" s="50">
        <f>F9+H9+J9+L9+N9+P9+R9+T9+V9+X9+Z9+AB9+AD9+AF9+AH9+AJ9</f>
        <v>46021</v>
      </c>
      <c r="E9" s="57">
        <f t="shared" ref="E9:AJ9" si="0">E10+E14+E29+E43+E58+E72+E88+E102+E107+E117+E126+E137+E142+E151+E157+E164+E178+E190+E200+E210+E212</f>
        <v>969</v>
      </c>
      <c r="F9" s="57">
        <f t="shared" si="0"/>
        <v>917</v>
      </c>
      <c r="G9" s="57">
        <f t="shared" si="0"/>
        <v>1471</v>
      </c>
      <c r="H9" s="57">
        <f t="shared" si="0"/>
        <v>1338</v>
      </c>
      <c r="I9" s="57">
        <f t="shared" si="0"/>
        <v>3558</v>
      </c>
      <c r="J9" s="57">
        <f t="shared" si="0"/>
        <v>3522</v>
      </c>
      <c r="K9" s="57">
        <f t="shared" si="0"/>
        <v>4455</v>
      </c>
      <c r="L9" s="57">
        <f t="shared" si="0"/>
        <v>4360</v>
      </c>
      <c r="M9" s="57">
        <f t="shared" si="0"/>
        <v>3707</v>
      </c>
      <c r="N9" s="57">
        <f t="shared" si="0"/>
        <v>3554</v>
      </c>
      <c r="O9" s="57">
        <f t="shared" si="0"/>
        <v>3780</v>
      </c>
      <c r="P9" s="57">
        <f t="shared" si="0"/>
        <v>3477</v>
      </c>
      <c r="Q9" s="57">
        <f t="shared" si="0"/>
        <v>3970</v>
      </c>
      <c r="R9" s="57">
        <f t="shared" si="0"/>
        <v>3591</v>
      </c>
      <c r="S9" s="57">
        <f t="shared" si="0"/>
        <v>4063</v>
      </c>
      <c r="T9" s="57">
        <f t="shared" si="0"/>
        <v>3603</v>
      </c>
      <c r="U9" s="57">
        <f t="shared" si="0"/>
        <v>3828</v>
      </c>
      <c r="V9" s="57">
        <f t="shared" si="0"/>
        <v>3531</v>
      </c>
      <c r="W9" s="57">
        <f t="shared" si="0"/>
        <v>3779</v>
      </c>
      <c r="X9" s="57">
        <f t="shared" si="0"/>
        <v>3664</v>
      </c>
      <c r="Y9" s="57">
        <f t="shared" si="0"/>
        <v>3684</v>
      </c>
      <c r="Z9" s="57">
        <f t="shared" si="0"/>
        <v>3526</v>
      </c>
      <c r="AA9" s="57">
        <f t="shared" si="0"/>
        <v>3507</v>
      </c>
      <c r="AB9" s="57">
        <f t="shared" si="0"/>
        <v>3245</v>
      </c>
      <c r="AC9" s="57">
        <f t="shared" si="0"/>
        <v>3073</v>
      </c>
      <c r="AD9" s="57">
        <f t="shared" si="0"/>
        <v>2962</v>
      </c>
      <c r="AE9" s="57">
        <f t="shared" si="0"/>
        <v>2848</v>
      </c>
      <c r="AF9" s="57">
        <f t="shared" si="0"/>
        <v>2799</v>
      </c>
      <c r="AG9" s="57">
        <f t="shared" si="0"/>
        <v>741</v>
      </c>
      <c r="AH9" s="57">
        <f t="shared" si="0"/>
        <v>945</v>
      </c>
      <c r="AI9" s="57">
        <f t="shared" si="0"/>
        <v>738</v>
      </c>
      <c r="AJ9" s="57">
        <f t="shared" si="0"/>
        <v>987</v>
      </c>
      <c r="AK9" s="57"/>
      <c r="AL9" s="11"/>
    </row>
    <row r="10" spans="1:38" ht="15.75" thickBot="1" x14ac:dyDescent="0.3">
      <c r="A10" s="12" t="s">
        <v>225</v>
      </c>
      <c r="B10" s="51">
        <f>SUM(C10:D10)</f>
        <v>36341</v>
      </c>
      <c r="C10" s="51">
        <f>SUM(C11:C13)</f>
        <v>18478</v>
      </c>
      <c r="D10" s="51">
        <f>SUM(D11:D13)</f>
        <v>17863</v>
      </c>
      <c r="E10" s="58">
        <f>SUM(E11:E13)</f>
        <v>758</v>
      </c>
      <c r="F10" s="58">
        <f t="shared" ref="F10:AJ10" si="1">SUM(F11:F13)</f>
        <v>697</v>
      </c>
      <c r="G10" s="58">
        <f t="shared" si="1"/>
        <v>1051</v>
      </c>
      <c r="H10" s="58">
        <f t="shared" si="1"/>
        <v>896</v>
      </c>
      <c r="I10" s="58">
        <f t="shared" si="1"/>
        <v>1211</v>
      </c>
      <c r="J10" s="58">
        <f t="shared" si="1"/>
        <v>1210</v>
      </c>
      <c r="K10" s="58">
        <f t="shared" si="1"/>
        <v>1510</v>
      </c>
      <c r="L10" s="58">
        <f t="shared" si="1"/>
        <v>1515</v>
      </c>
      <c r="M10" s="58">
        <f t="shared" si="1"/>
        <v>1314</v>
      </c>
      <c r="N10" s="58">
        <f t="shared" si="1"/>
        <v>1265</v>
      </c>
      <c r="O10" s="58">
        <f t="shared" si="1"/>
        <v>1310</v>
      </c>
      <c r="P10" s="58">
        <f t="shared" si="1"/>
        <v>1259</v>
      </c>
      <c r="Q10" s="58">
        <f t="shared" si="1"/>
        <v>1401</v>
      </c>
      <c r="R10" s="58">
        <f t="shared" si="1"/>
        <v>1283</v>
      </c>
      <c r="S10" s="58">
        <f t="shared" si="1"/>
        <v>1466</v>
      </c>
      <c r="T10" s="58">
        <f t="shared" si="1"/>
        <v>1299</v>
      </c>
      <c r="U10" s="58">
        <f t="shared" si="1"/>
        <v>1344</v>
      </c>
      <c r="V10" s="58">
        <f t="shared" si="1"/>
        <v>1276</v>
      </c>
      <c r="W10" s="58">
        <f t="shared" si="1"/>
        <v>1314</v>
      </c>
      <c r="X10" s="58">
        <f t="shared" si="1"/>
        <v>1330</v>
      </c>
      <c r="Y10" s="58">
        <f t="shared" si="1"/>
        <v>1359</v>
      </c>
      <c r="Z10" s="58">
        <f t="shared" si="1"/>
        <v>1264</v>
      </c>
      <c r="AA10" s="58">
        <f t="shared" si="1"/>
        <v>1270</v>
      </c>
      <c r="AB10" s="58">
        <f t="shared" si="1"/>
        <v>1222</v>
      </c>
      <c r="AC10" s="58">
        <f t="shared" si="1"/>
        <v>1111</v>
      </c>
      <c r="AD10" s="58">
        <f t="shared" si="1"/>
        <v>1108</v>
      </c>
      <c r="AE10" s="58">
        <f t="shared" si="1"/>
        <v>1080</v>
      </c>
      <c r="AF10" s="58">
        <f t="shared" si="1"/>
        <v>1006</v>
      </c>
      <c r="AG10" s="58">
        <f t="shared" si="1"/>
        <v>507</v>
      </c>
      <c r="AH10" s="58">
        <f t="shared" si="1"/>
        <v>601</v>
      </c>
      <c r="AI10" s="58">
        <f t="shared" si="1"/>
        <v>472</v>
      </c>
      <c r="AJ10" s="58">
        <f t="shared" si="1"/>
        <v>632</v>
      </c>
      <c r="AK10" s="58">
        <f t="shared" ref="AK10:AK73" si="2">ROUND(C10/SUM(E10:AJ10)*100,1)</f>
        <v>50.8</v>
      </c>
      <c r="AL10" s="13">
        <f t="shared" ref="AL10:AL73" si="3">ROUND(D10/SUM(E10:AJ10)*100,1)</f>
        <v>49.2</v>
      </c>
    </row>
    <row r="11" spans="1:38" x14ac:dyDescent="0.25">
      <c r="A11" s="14" t="s">
        <v>183</v>
      </c>
      <c r="B11" s="52">
        <f>SUM(C11:D11)</f>
        <v>27095</v>
      </c>
      <c r="C11" s="52">
        <f t="shared" ref="C11:D13" si="4">E11+G11+I11+K11+M11+O11+Q11+S11+U11+W11+Y11+AA11+AC11+AE11+AG11+AI11</f>
        <v>13702</v>
      </c>
      <c r="D11" s="52">
        <f t="shared" si="4"/>
        <v>13393</v>
      </c>
      <c r="E11" s="54">
        <v>590</v>
      </c>
      <c r="F11" s="54">
        <v>550</v>
      </c>
      <c r="G11" s="54">
        <v>803</v>
      </c>
      <c r="H11" s="54">
        <v>686</v>
      </c>
      <c r="I11" s="54">
        <v>839</v>
      </c>
      <c r="J11" s="54">
        <v>847</v>
      </c>
      <c r="K11" s="54">
        <v>1054</v>
      </c>
      <c r="L11" s="54">
        <v>1029</v>
      </c>
      <c r="M11" s="54">
        <v>915</v>
      </c>
      <c r="N11" s="54">
        <v>922</v>
      </c>
      <c r="O11" s="54">
        <v>914</v>
      </c>
      <c r="P11" s="54">
        <v>882</v>
      </c>
      <c r="Q11" s="54">
        <v>995</v>
      </c>
      <c r="R11" s="54">
        <v>888</v>
      </c>
      <c r="S11" s="54">
        <v>1059</v>
      </c>
      <c r="T11" s="54">
        <v>923</v>
      </c>
      <c r="U11" s="54">
        <v>975</v>
      </c>
      <c r="V11" s="54">
        <v>942</v>
      </c>
      <c r="W11" s="54">
        <v>929</v>
      </c>
      <c r="X11" s="54">
        <v>973</v>
      </c>
      <c r="Y11" s="54">
        <v>993</v>
      </c>
      <c r="Z11" s="54">
        <v>944</v>
      </c>
      <c r="AA11" s="54">
        <v>962</v>
      </c>
      <c r="AB11" s="54">
        <v>932</v>
      </c>
      <c r="AC11" s="54">
        <v>856</v>
      </c>
      <c r="AD11" s="54">
        <v>847</v>
      </c>
      <c r="AE11" s="54">
        <v>840</v>
      </c>
      <c r="AF11" s="54">
        <v>798</v>
      </c>
      <c r="AG11" s="54">
        <v>507</v>
      </c>
      <c r="AH11" s="54">
        <v>601</v>
      </c>
      <c r="AI11" s="54">
        <v>471</v>
      </c>
      <c r="AJ11" s="54">
        <v>629</v>
      </c>
      <c r="AK11" s="55">
        <f t="shared" si="2"/>
        <v>50.6</v>
      </c>
      <c r="AL11" s="15">
        <f t="shared" si="3"/>
        <v>49.4</v>
      </c>
    </row>
    <row r="12" spans="1:38" x14ac:dyDescent="0.25">
      <c r="A12" s="14" t="s">
        <v>185</v>
      </c>
      <c r="B12" s="52">
        <f t="shared" ref="B12:B73" si="5">SUM(C12:D12)</f>
        <v>8410</v>
      </c>
      <c r="C12" s="52">
        <f t="shared" si="4"/>
        <v>4363</v>
      </c>
      <c r="D12" s="52">
        <f t="shared" si="4"/>
        <v>4047</v>
      </c>
      <c r="E12" s="54">
        <v>136</v>
      </c>
      <c r="F12" s="54">
        <v>122</v>
      </c>
      <c r="G12" s="54">
        <v>213</v>
      </c>
      <c r="H12" s="54">
        <v>176</v>
      </c>
      <c r="I12" s="54">
        <v>335</v>
      </c>
      <c r="J12" s="54">
        <v>329</v>
      </c>
      <c r="K12" s="54">
        <v>406</v>
      </c>
      <c r="L12" s="54">
        <v>439</v>
      </c>
      <c r="M12" s="54">
        <v>368</v>
      </c>
      <c r="N12" s="54">
        <v>311</v>
      </c>
      <c r="O12" s="54">
        <v>369</v>
      </c>
      <c r="P12" s="54">
        <v>335</v>
      </c>
      <c r="Q12" s="54">
        <v>375</v>
      </c>
      <c r="R12" s="54">
        <v>369</v>
      </c>
      <c r="S12" s="54">
        <v>379</v>
      </c>
      <c r="T12" s="54">
        <v>338</v>
      </c>
      <c r="U12" s="54">
        <v>340</v>
      </c>
      <c r="V12" s="54">
        <v>316</v>
      </c>
      <c r="W12" s="54">
        <v>358</v>
      </c>
      <c r="X12" s="54">
        <v>324</v>
      </c>
      <c r="Y12" s="54">
        <v>341</v>
      </c>
      <c r="Z12" s="54">
        <v>300</v>
      </c>
      <c r="AA12" s="54">
        <v>283</v>
      </c>
      <c r="AB12" s="54">
        <v>264</v>
      </c>
      <c r="AC12" s="54">
        <v>239</v>
      </c>
      <c r="AD12" s="54">
        <v>245</v>
      </c>
      <c r="AE12" s="54">
        <v>220</v>
      </c>
      <c r="AF12" s="54">
        <v>176</v>
      </c>
      <c r="AG12" s="54">
        <v>0</v>
      </c>
      <c r="AH12" s="54">
        <v>0</v>
      </c>
      <c r="AI12" s="54">
        <v>1</v>
      </c>
      <c r="AJ12" s="54">
        <v>3</v>
      </c>
      <c r="AK12" s="55">
        <f t="shared" si="2"/>
        <v>51.9</v>
      </c>
      <c r="AL12" s="15">
        <f t="shared" si="3"/>
        <v>48.1</v>
      </c>
    </row>
    <row r="13" spans="1:38" x14ac:dyDescent="0.25">
      <c r="A13" s="14" t="s">
        <v>184</v>
      </c>
      <c r="B13" s="52">
        <f t="shared" si="5"/>
        <v>836</v>
      </c>
      <c r="C13" s="52">
        <f t="shared" si="4"/>
        <v>413</v>
      </c>
      <c r="D13" s="52">
        <f t="shared" si="4"/>
        <v>423</v>
      </c>
      <c r="E13" s="54">
        <v>32</v>
      </c>
      <c r="F13" s="54">
        <v>25</v>
      </c>
      <c r="G13" s="54">
        <v>35</v>
      </c>
      <c r="H13" s="54">
        <v>34</v>
      </c>
      <c r="I13" s="54">
        <v>37</v>
      </c>
      <c r="J13" s="54">
        <v>34</v>
      </c>
      <c r="K13" s="54">
        <v>50</v>
      </c>
      <c r="L13" s="54">
        <v>47</v>
      </c>
      <c r="M13" s="54">
        <v>31</v>
      </c>
      <c r="N13" s="54">
        <v>32</v>
      </c>
      <c r="O13" s="54">
        <v>27</v>
      </c>
      <c r="P13" s="54">
        <v>42</v>
      </c>
      <c r="Q13" s="54">
        <v>31</v>
      </c>
      <c r="R13" s="54">
        <v>26</v>
      </c>
      <c r="S13" s="54">
        <v>28</v>
      </c>
      <c r="T13" s="54">
        <v>38</v>
      </c>
      <c r="U13" s="54">
        <v>29</v>
      </c>
      <c r="V13" s="54">
        <v>18</v>
      </c>
      <c r="W13" s="54">
        <v>27</v>
      </c>
      <c r="X13" s="54">
        <v>33</v>
      </c>
      <c r="Y13" s="54">
        <v>25</v>
      </c>
      <c r="Z13" s="54">
        <v>20</v>
      </c>
      <c r="AA13" s="54">
        <v>25</v>
      </c>
      <c r="AB13" s="54">
        <v>26</v>
      </c>
      <c r="AC13" s="54">
        <v>16</v>
      </c>
      <c r="AD13" s="54">
        <v>16</v>
      </c>
      <c r="AE13" s="54">
        <v>20</v>
      </c>
      <c r="AF13" s="54">
        <v>32</v>
      </c>
      <c r="AG13" s="54">
        <v>0</v>
      </c>
      <c r="AH13" s="54">
        <v>0</v>
      </c>
      <c r="AI13" s="54">
        <v>0</v>
      </c>
      <c r="AJ13" s="54">
        <v>0</v>
      </c>
      <c r="AK13" s="55">
        <f t="shared" si="2"/>
        <v>49.4</v>
      </c>
      <c r="AL13" s="15">
        <f t="shared" si="3"/>
        <v>50.6</v>
      </c>
    </row>
    <row r="14" spans="1:38" s="18" customFormat="1" ht="12.75" customHeight="1" thickBot="1" x14ac:dyDescent="0.25">
      <c r="A14" s="16" t="s">
        <v>0</v>
      </c>
      <c r="B14" s="53">
        <f t="shared" si="5"/>
        <v>3790</v>
      </c>
      <c r="C14" s="53">
        <f t="shared" ref="C14:AJ14" si="6">SUM(C15:C28)</f>
        <v>1968</v>
      </c>
      <c r="D14" s="53">
        <f t="shared" si="6"/>
        <v>1822</v>
      </c>
      <c r="E14" s="59">
        <f t="shared" si="6"/>
        <v>3</v>
      </c>
      <c r="F14" s="59">
        <f t="shared" si="6"/>
        <v>1</v>
      </c>
      <c r="G14" s="59">
        <f t="shared" si="6"/>
        <v>9</v>
      </c>
      <c r="H14" s="59">
        <f t="shared" si="6"/>
        <v>18</v>
      </c>
      <c r="I14" s="59">
        <f t="shared" si="6"/>
        <v>184</v>
      </c>
      <c r="J14" s="59">
        <f t="shared" si="6"/>
        <v>164</v>
      </c>
      <c r="K14" s="59">
        <f t="shared" si="6"/>
        <v>182</v>
      </c>
      <c r="L14" s="59">
        <f t="shared" si="6"/>
        <v>205</v>
      </c>
      <c r="M14" s="59">
        <f t="shared" si="6"/>
        <v>167</v>
      </c>
      <c r="N14" s="59">
        <f t="shared" si="6"/>
        <v>167</v>
      </c>
      <c r="O14" s="59">
        <f t="shared" si="6"/>
        <v>180</v>
      </c>
      <c r="P14" s="59">
        <f t="shared" si="6"/>
        <v>152</v>
      </c>
      <c r="Q14" s="59">
        <f t="shared" si="6"/>
        <v>174</v>
      </c>
      <c r="R14" s="59">
        <f t="shared" si="6"/>
        <v>147</v>
      </c>
      <c r="S14" s="59">
        <f t="shared" si="6"/>
        <v>171</v>
      </c>
      <c r="T14" s="59">
        <f t="shared" si="6"/>
        <v>150</v>
      </c>
      <c r="U14" s="59">
        <f t="shared" si="6"/>
        <v>151</v>
      </c>
      <c r="V14" s="59">
        <f t="shared" si="6"/>
        <v>151</v>
      </c>
      <c r="W14" s="59">
        <f t="shared" si="6"/>
        <v>162</v>
      </c>
      <c r="X14" s="59">
        <f t="shared" si="6"/>
        <v>156</v>
      </c>
      <c r="Y14" s="59">
        <f t="shared" si="6"/>
        <v>174</v>
      </c>
      <c r="Z14" s="59">
        <f t="shared" si="6"/>
        <v>146</v>
      </c>
      <c r="AA14" s="59">
        <f t="shared" si="6"/>
        <v>153</v>
      </c>
      <c r="AB14" s="59">
        <f t="shared" si="6"/>
        <v>128</v>
      </c>
      <c r="AC14" s="59">
        <f t="shared" si="6"/>
        <v>125</v>
      </c>
      <c r="AD14" s="59">
        <f t="shared" si="6"/>
        <v>107</v>
      </c>
      <c r="AE14" s="59">
        <f t="shared" si="6"/>
        <v>106</v>
      </c>
      <c r="AF14" s="59">
        <f t="shared" si="6"/>
        <v>109</v>
      </c>
      <c r="AG14" s="59">
        <f t="shared" si="6"/>
        <v>13</v>
      </c>
      <c r="AH14" s="59">
        <f t="shared" si="6"/>
        <v>15</v>
      </c>
      <c r="AI14" s="59">
        <f t="shared" si="6"/>
        <v>14</v>
      </c>
      <c r="AJ14" s="59">
        <f t="shared" si="6"/>
        <v>6</v>
      </c>
      <c r="AK14" s="59">
        <f t="shared" si="2"/>
        <v>51.9</v>
      </c>
      <c r="AL14" s="17">
        <f t="shared" si="3"/>
        <v>48.1</v>
      </c>
    </row>
    <row r="15" spans="1:38" ht="12.75" customHeight="1" x14ac:dyDescent="0.25">
      <c r="A15" s="19" t="s">
        <v>31</v>
      </c>
      <c r="B15" s="52">
        <f t="shared" si="5"/>
        <v>298</v>
      </c>
      <c r="C15" s="52">
        <f t="shared" ref="C15:C28" si="7">E15+G15+I15+K15+M15+O15+Q15+S15+U15+W15+Y15+AA15+AC15+AE15+AG15+AI15</f>
        <v>165</v>
      </c>
      <c r="D15" s="52">
        <f t="shared" ref="D15:D28" si="8">F15+H15+J15+L15+N15+P15+R15+T15+V15+X15+Z15+AB15+AD15+AF15+AH15+AJ15</f>
        <v>133</v>
      </c>
      <c r="E15" s="54">
        <v>0</v>
      </c>
      <c r="F15" s="54">
        <v>0</v>
      </c>
      <c r="G15" s="54">
        <v>0</v>
      </c>
      <c r="H15" s="54">
        <v>0</v>
      </c>
      <c r="I15" s="54">
        <v>15</v>
      </c>
      <c r="J15" s="54">
        <v>11</v>
      </c>
      <c r="K15" s="54">
        <v>18</v>
      </c>
      <c r="L15" s="54">
        <v>14</v>
      </c>
      <c r="M15" s="54">
        <v>9</v>
      </c>
      <c r="N15" s="54">
        <v>11</v>
      </c>
      <c r="O15" s="54">
        <v>17</v>
      </c>
      <c r="P15" s="54">
        <v>16</v>
      </c>
      <c r="Q15" s="54">
        <v>16</v>
      </c>
      <c r="R15" s="54">
        <v>7</v>
      </c>
      <c r="S15" s="54">
        <v>11</v>
      </c>
      <c r="T15" s="54">
        <v>18</v>
      </c>
      <c r="U15" s="54">
        <v>12</v>
      </c>
      <c r="V15" s="54">
        <v>10</v>
      </c>
      <c r="W15" s="54">
        <v>8</v>
      </c>
      <c r="X15" s="54">
        <v>10</v>
      </c>
      <c r="Y15" s="54">
        <v>19</v>
      </c>
      <c r="Z15" s="54">
        <v>7</v>
      </c>
      <c r="AA15" s="54">
        <v>14</v>
      </c>
      <c r="AB15" s="54">
        <v>10</v>
      </c>
      <c r="AC15" s="54">
        <v>15</v>
      </c>
      <c r="AD15" s="54">
        <v>8</v>
      </c>
      <c r="AE15" s="54">
        <v>11</v>
      </c>
      <c r="AF15" s="54">
        <v>11</v>
      </c>
      <c r="AG15" s="54">
        <v>0</v>
      </c>
      <c r="AH15" s="54">
        <v>0</v>
      </c>
      <c r="AI15" s="54">
        <v>0</v>
      </c>
      <c r="AJ15" s="54">
        <v>0</v>
      </c>
      <c r="AK15" s="55">
        <f t="shared" si="2"/>
        <v>55.4</v>
      </c>
      <c r="AL15" s="20">
        <f t="shared" si="3"/>
        <v>44.6</v>
      </c>
    </row>
    <row r="16" spans="1:38" ht="12.75" customHeight="1" x14ac:dyDescent="0.25">
      <c r="A16" s="19" t="s">
        <v>30</v>
      </c>
      <c r="B16" s="52">
        <f t="shared" si="5"/>
        <v>991</v>
      </c>
      <c r="C16" s="52">
        <f t="shared" si="7"/>
        <v>509</v>
      </c>
      <c r="D16" s="52">
        <f t="shared" si="8"/>
        <v>482</v>
      </c>
      <c r="E16" s="54">
        <v>0</v>
      </c>
      <c r="F16" s="54">
        <v>0</v>
      </c>
      <c r="G16" s="54">
        <v>5</v>
      </c>
      <c r="H16" s="54">
        <v>13</v>
      </c>
      <c r="I16" s="54">
        <v>56</v>
      </c>
      <c r="J16" s="54">
        <v>51</v>
      </c>
      <c r="K16" s="54">
        <v>35</v>
      </c>
      <c r="L16" s="54">
        <v>43</v>
      </c>
      <c r="M16" s="54">
        <v>51</v>
      </c>
      <c r="N16" s="54">
        <v>46</v>
      </c>
      <c r="O16" s="54">
        <v>42</v>
      </c>
      <c r="P16" s="54">
        <v>42</v>
      </c>
      <c r="Q16" s="54">
        <v>46</v>
      </c>
      <c r="R16" s="54">
        <v>38</v>
      </c>
      <c r="S16" s="54">
        <v>43</v>
      </c>
      <c r="T16" s="54">
        <v>34</v>
      </c>
      <c r="U16" s="54">
        <v>34</v>
      </c>
      <c r="V16" s="54">
        <v>44</v>
      </c>
      <c r="W16" s="54">
        <v>53</v>
      </c>
      <c r="X16" s="54">
        <v>36</v>
      </c>
      <c r="Y16" s="54">
        <v>44</v>
      </c>
      <c r="Z16" s="54">
        <v>35</v>
      </c>
      <c r="AA16" s="54">
        <v>45</v>
      </c>
      <c r="AB16" s="54">
        <v>34</v>
      </c>
      <c r="AC16" s="54">
        <v>18</v>
      </c>
      <c r="AD16" s="54">
        <v>31</v>
      </c>
      <c r="AE16" s="54">
        <v>23</v>
      </c>
      <c r="AF16" s="54">
        <v>24</v>
      </c>
      <c r="AG16" s="54">
        <v>7</v>
      </c>
      <c r="AH16" s="54">
        <v>7</v>
      </c>
      <c r="AI16" s="54">
        <v>7</v>
      </c>
      <c r="AJ16" s="54">
        <v>4</v>
      </c>
      <c r="AK16" s="55">
        <f t="shared" si="2"/>
        <v>51.4</v>
      </c>
      <c r="AL16" s="20">
        <f t="shared" si="3"/>
        <v>48.6</v>
      </c>
    </row>
    <row r="17" spans="1:38" ht="12.75" customHeight="1" x14ac:dyDescent="0.25">
      <c r="A17" s="19" t="s">
        <v>34</v>
      </c>
      <c r="B17" s="52">
        <f t="shared" si="5"/>
        <v>128</v>
      </c>
      <c r="C17" s="52">
        <f t="shared" si="7"/>
        <v>61</v>
      </c>
      <c r="D17" s="52">
        <f t="shared" si="8"/>
        <v>67</v>
      </c>
      <c r="E17" s="54">
        <v>0</v>
      </c>
      <c r="F17" s="54">
        <v>0</v>
      </c>
      <c r="G17" s="54">
        <v>0</v>
      </c>
      <c r="H17" s="54">
        <v>0</v>
      </c>
      <c r="I17" s="54">
        <v>4</v>
      </c>
      <c r="J17" s="54">
        <v>7</v>
      </c>
      <c r="K17" s="54">
        <v>4</v>
      </c>
      <c r="L17" s="54">
        <v>3</v>
      </c>
      <c r="M17" s="54">
        <v>3</v>
      </c>
      <c r="N17" s="54">
        <v>6</v>
      </c>
      <c r="O17" s="54">
        <v>7</v>
      </c>
      <c r="P17" s="54">
        <v>6</v>
      </c>
      <c r="Q17" s="54">
        <v>8</v>
      </c>
      <c r="R17" s="54">
        <v>6</v>
      </c>
      <c r="S17" s="54">
        <v>6</v>
      </c>
      <c r="T17" s="54">
        <v>5</v>
      </c>
      <c r="U17" s="54">
        <v>5</v>
      </c>
      <c r="V17" s="54">
        <v>6</v>
      </c>
      <c r="W17" s="54">
        <v>3</v>
      </c>
      <c r="X17" s="54">
        <v>9</v>
      </c>
      <c r="Y17" s="54">
        <v>4</v>
      </c>
      <c r="Z17" s="54">
        <v>7</v>
      </c>
      <c r="AA17" s="54">
        <v>6</v>
      </c>
      <c r="AB17" s="54">
        <v>4</v>
      </c>
      <c r="AC17" s="54">
        <v>3</v>
      </c>
      <c r="AD17" s="54">
        <v>7</v>
      </c>
      <c r="AE17" s="54">
        <v>8</v>
      </c>
      <c r="AF17" s="54">
        <v>1</v>
      </c>
      <c r="AG17" s="54">
        <v>0</v>
      </c>
      <c r="AH17" s="54">
        <v>0</v>
      </c>
      <c r="AI17" s="54">
        <v>0</v>
      </c>
      <c r="AJ17" s="54">
        <v>0</v>
      </c>
      <c r="AK17" s="55">
        <f t="shared" si="2"/>
        <v>47.7</v>
      </c>
      <c r="AL17" s="20">
        <f t="shared" si="3"/>
        <v>52.3</v>
      </c>
    </row>
    <row r="18" spans="1:38" ht="12.75" customHeight="1" x14ac:dyDescent="0.25">
      <c r="A18" s="19" t="s">
        <v>29</v>
      </c>
      <c r="B18" s="52">
        <f t="shared" si="5"/>
        <v>414</v>
      </c>
      <c r="C18" s="52">
        <f t="shared" si="7"/>
        <v>216</v>
      </c>
      <c r="D18" s="52">
        <f t="shared" si="8"/>
        <v>198</v>
      </c>
      <c r="E18" s="54">
        <v>0</v>
      </c>
      <c r="F18" s="54">
        <v>0</v>
      </c>
      <c r="G18" s="54">
        <v>0</v>
      </c>
      <c r="H18" s="54">
        <v>0</v>
      </c>
      <c r="I18" s="54">
        <v>17</v>
      </c>
      <c r="J18" s="54">
        <v>18</v>
      </c>
      <c r="K18" s="54">
        <v>24</v>
      </c>
      <c r="L18" s="54">
        <v>24</v>
      </c>
      <c r="M18" s="54">
        <v>17</v>
      </c>
      <c r="N18" s="54">
        <v>12</v>
      </c>
      <c r="O18" s="54">
        <v>25</v>
      </c>
      <c r="P18" s="54">
        <v>16</v>
      </c>
      <c r="Q18" s="54">
        <v>19</v>
      </c>
      <c r="R18" s="54">
        <v>15</v>
      </c>
      <c r="S18" s="54">
        <v>24</v>
      </c>
      <c r="T18" s="54">
        <v>12</v>
      </c>
      <c r="U18" s="54">
        <v>14</v>
      </c>
      <c r="V18" s="54">
        <v>21</v>
      </c>
      <c r="W18" s="54">
        <v>14</v>
      </c>
      <c r="X18" s="54">
        <v>22</v>
      </c>
      <c r="Y18" s="54">
        <v>19</v>
      </c>
      <c r="Z18" s="54">
        <v>23</v>
      </c>
      <c r="AA18" s="54">
        <v>13</v>
      </c>
      <c r="AB18" s="54">
        <v>13</v>
      </c>
      <c r="AC18" s="54">
        <v>18</v>
      </c>
      <c r="AD18" s="54">
        <v>15</v>
      </c>
      <c r="AE18" s="54">
        <v>12</v>
      </c>
      <c r="AF18" s="54">
        <v>7</v>
      </c>
      <c r="AG18" s="54">
        <v>0</v>
      </c>
      <c r="AH18" s="54">
        <v>0</v>
      </c>
      <c r="AI18" s="54">
        <v>0</v>
      </c>
      <c r="AJ18" s="54">
        <v>0</v>
      </c>
      <c r="AK18" s="55">
        <f t="shared" si="2"/>
        <v>52.2</v>
      </c>
      <c r="AL18" s="20">
        <f t="shared" si="3"/>
        <v>47.8</v>
      </c>
    </row>
    <row r="19" spans="1:38" ht="12.75" customHeight="1" x14ac:dyDescent="0.25">
      <c r="A19" s="19" t="s">
        <v>32</v>
      </c>
      <c r="B19" s="52">
        <f t="shared" si="5"/>
        <v>822</v>
      </c>
      <c r="C19" s="52">
        <f t="shared" si="7"/>
        <v>431</v>
      </c>
      <c r="D19" s="52">
        <f t="shared" si="8"/>
        <v>391</v>
      </c>
      <c r="E19" s="54">
        <v>0</v>
      </c>
      <c r="F19" s="54">
        <v>0</v>
      </c>
      <c r="G19" s="54">
        <v>0</v>
      </c>
      <c r="H19" s="54">
        <v>0</v>
      </c>
      <c r="I19" s="54">
        <v>43</v>
      </c>
      <c r="J19" s="54">
        <v>26</v>
      </c>
      <c r="K19" s="54">
        <v>43</v>
      </c>
      <c r="L19" s="54">
        <v>48</v>
      </c>
      <c r="M19" s="54">
        <v>32</v>
      </c>
      <c r="N19" s="54">
        <v>39</v>
      </c>
      <c r="O19" s="54">
        <v>42</v>
      </c>
      <c r="P19" s="54">
        <v>27</v>
      </c>
      <c r="Q19" s="54">
        <v>34</v>
      </c>
      <c r="R19" s="54">
        <v>35</v>
      </c>
      <c r="S19" s="54">
        <v>28</v>
      </c>
      <c r="T19" s="54">
        <v>31</v>
      </c>
      <c r="U19" s="54">
        <v>33</v>
      </c>
      <c r="V19" s="54">
        <v>29</v>
      </c>
      <c r="W19" s="54">
        <v>33</v>
      </c>
      <c r="X19" s="54">
        <v>35</v>
      </c>
      <c r="Y19" s="54">
        <v>47</v>
      </c>
      <c r="Z19" s="54">
        <v>25</v>
      </c>
      <c r="AA19" s="54">
        <v>28</v>
      </c>
      <c r="AB19" s="54">
        <v>30</v>
      </c>
      <c r="AC19" s="54">
        <v>30</v>
      </c>
      <c r="AD19" s="54">
        <v>27</v>
      </c>
      <c r="AE19" s="54">
        <v>25</v>
      </c>
      <c r="AF19" s="54">
        <v>29</v>
      </c>
      <c r="AG19" s="54">
        <v>6</v>
      </c>
      <c r="AH19" s="54">
        <v>8</v>
      </c>
      <c r="AI19" s="54">
        <v>7</v>
      </c>
      <c r="AJ19" s="54">
        <v>2</v>
      </c>
      <c r="AK19" s="55">
        <f t="shared" si="2"/>
        <v>52.4</v>
      </c>
      <c r="AL19" s="20">
        <f t="shared" si="3"/>
        <v>47.6</v>
      </c>
    </row>
    <row r="20" spans="1:38" ht="12.75" customHeight="1" x14ac:dyDescent="0.25">
      <c r="A20" s="19" t="s">
        <v>36</v>
      </c>
      <c r="B20" s="52">
        <f t="shared" si="5"/>
        <v>255</v>
      </c>
      <c r="C20" s="52">
        <f t="shared" si="7"/>
        <v>128</v>
      </c>
      <c r="D20" s="52">
        <f t="shared" si="8"/>
        <v>127</v>
      </c>
      <c r="E20" s="54">
        <v>0</v>
      </c>
      <c r="F20" s="54">
        <v>0</v>
      </c>
      <c r="G20" s="54">
        <v>0</v>
      </c>
      <c r="H20" s="54">
        <v>0</v>
      </c>
      <c r="I20" s="54">
        <v>14</v>
      </c>
      <c r="J20" s="54">
        <v>9</v>
      </c>
      <c r="K20" s="54">
        <v>13</v>
      </c>
      <c r="L20" s="54">
        <v>15</v>
      </c>
      <c r="M20" s="54">
        <v>12</v>
      </c>
      <c r="N20" s="54">
        <v>13</v>
      </c>
      <c r="O20" s="54">
        <v>5</v>
      </c>
      <c r="P20" s="54">
        <v>11</v>
      </c>
      <c r="Q20" s="54">
        <v>8</v>
      </c>
      <c r="R20" s="54">
        <v>11</v>
      </c>
      <c r="S20" s="54">
        <v>13</v>
      </c>
      <c r="T20" s="54">
        <v>11</v>
      </c>
      <c r="U20" s="54">
        <v>15</v>
      </c>
      <c r="V20" s="54">
        <v>7</v>
      </c>
      <c r="W20" s="54">
        <v>7</v>
      </c>
      <c r="X20" s="54">
        <v>13</v>
      </c>
      <c r="Y20" s="54">
        <v>10</v>
      </c>
      <c r="Z20" s="54">
        <v>9</v>
      </c>
      <c r="AA20" s="54">
        <v>12</v>
      </c>
      <c r="AB20" s="54">
        <v>8</v>
      </c>
      <c r="AC20" s="54">
        <v>14</v>
      </c>
      <c r="AD20" s="54">
        <v>6</v>
      </c>
      <c r="AE20" s="54">
        <v>5</v>
      </c>
      <c r="AF20" s="54">
        <v>14</v>
      </c>
      <c r="AG20" s="54">
        <v>0</v>
      </c>
      <c r="AH20" s="54">
        <v>0</v>
      </c>
      <c r="AI20" s="54">
        <v>0</v>
      </c>
      <c r="AJ20" s="54">
        <v>0</v>
      </c>
      <c r="AK20" s="55">
        <f t="shared" si="2"/>
        <v>50.2</v>
      </c>
      <c r="AL20" s="20">
        <f t="shared" si="3"/>
        <v>49.8</v>
      </c>
    </row>
    <row r="21" spans="1:38" ht="12.75" customHeight="1" x14ac:dyDescent="0.25">
      <c r="A21" s="19" t="s">
        <v>33</v>
      </c>
      <c r="B21" s="52">
        <f t="shared" si="5"/>
        <v>198</v>
      </c>
      <c r="C21" s="52">
        <f t="shared" si="7"/>
        <v>113</v>
      </c>
      <c r="D21" s="52">
        <f t="shared" si="8"/>
        <v>85</v>
      </c>
      <c r="E21" s="54">
        <v>0</v>
      </c>
      <c r="F21" s="54">
        <v>0</v>
      </c>
      <c r="G21" s="54">
        <v>0</v>
      </c>
      <c r="H21" s="54">
        <v>0</v>
      </c>
      <c r="I21" s="54">
        <v>6</v>
      </c>
      <c r="J21" s="54">
        <v>12</v>
      </c>
      <c r="K21" s="54">
        <v>10</v>
      </c>
      <c r="L21" s="54">
        <v>14</v>
      </c>
      <c r="M21" s="54">
        <v>13</v>
      </c>
      <c r="N21" s="54">
        <v>8</v>
      </c>
      <c r="O21" s="54">
        <v>11</v>
      </c>
      <c r="P21" s="54">
        <v>5</v>
      </c>
      <c r="Q21" s="54">
        <v>11</v>
      </c>
      <c r="R21" s="54">
        <v>9</v>
      </c>
      <c r="S21" s="54">
        <v>11</v>
      </c>
      <c r="T21" s="54">
        <v>5</v>
      </c>
      <c r="U21" s="54">
        <v>10</v>
      </c>
      <c r="V21" s="54">
        <v>3</v>
      </c>
      <c r="W21" s="54">
        <v>6</v>
      </c>
      <c r="X21" s="54">
        <v>7</v>
      </c>
      <c r="Y21" s="54">
        <v>8</v>
      </c>
      <c r="Z21" s="54">
        <v>7</v>
      </c>
      <c r="AA21" s="54">
        <v>9</v>
      </c>
      <c r="AB21" s="54">
        <v>10</v>
      </c>
      <c r="AC21" s="54">
        <v>12</v>
      </c>
      <c r="AD21" s="54">
        <v>3</v>
      </c>
      <c r="AE21" s="54">
        <v>6</v>
      </c>
      <c r="AF21" s="54">
        <v>2</v>
      </c>
      <c r="AG21" s="54">
        <v>0</v>
      </c>
      <c r="AH21" s="54">
        <v>0</v>
      </c>
      <c r="AI21" s="54">
        <v>0</v>
      </c>
      <c r="AJ21" s="54">
        <v>0</v>
      </c>
      <c r="AK21" s="55">
        <f t="shared" si="2"/>
        <v>57.1</v>
      </c>
      <c r="AL21" s="20">
        <f t="shared" si="3"/>
        <v>42.9</v>
      </c>
    </row>
    <row r="22" spans="1:38" ht="12.75" customHeight="1" x14ac:dyDescent="0.25">
      <c r="A22" s="19" t="s">
        <v>175</v>
      </c>
      <c r="B22" s="52">
        <f t="shared" si="5"/>
        <v>48</v>
      </c>
      <c r="C22" s="52">
        <f t="shared" si="7"/>
        <v>29</v>
      </c>
      <c r="D22" s="52">
        <f t="shared" si="8"/>
        <v>19</v>
      </c>
      <c r="E22" s="54">
        <v>0</v>
      </c>
      <c r="F22" s="54">
        <v>0</v>
      </c>
      <c r="G22" s="54">
        <v>0</v>
      </c>
      <c r="H22" s="54">
        <v>0</v>
      </c>
      <c r="I22" s="54">
        <v>4</v>
      </c>
      <c r="J22" s="54">
        <v>0</v>
      </c>
      <c r="K22" s="54">
        <v>3</v>
      </c>
      <c r="L22" s="54">
        <v>2</v>
      </c>
      <c r="M22" s="54">
        <v>0</v>
      </c>
      <c r="N22" s="54">
        <v>1</v>
      </c>
      <c r="O22" s="54">
        <v>4</v>
      </c>
      <c r="P22" s="54">
        <v>1</v>
      </c>
      <c r="Q22" s="54">
        <v>0</v>
      </c>
      <c r="R22" s="54">
        <v>0</v>
      </c>
      <c r="S22" s="54">
        <v>3</v>
      </c>
      <c r="T22" s="54">
        <v>5</v>
      </c>
      <c r="U22" s="54">
        <v>1</v>
      </c>
      <c r="V22" s="54">
        <v>1</v>
      </c>
      <c r="W22" s="54">
        <v>6</v>
      </c>
      <c r="X22" s="54">
        <v>1</v>
      </c>
      <c r="Y22" s="54">
        <v>2</v>
      </c>
      <c r="Z22" s="54">
        <v>2</v>
      </c>
      <c r="AA22" s="54">
        <v>3</v>
      </c>
      <c r="AB22" s="54">
        <v>3</v>
      </c>
      <c r="AC22" s="54">
        <v>1</v>
      </c>
      <c r="AD22" s="54">
        <v>1</v>
      </c>
      <c r="AE22" s="54">
        <v>2</v>
      </c>
      <c r="AF22" s="54">
        <v>2</v>
      </c>
      <c r="AG22" s="54">
        <v>0</v>
      </c>
      <c r="AH22" s="54">
        <v>0</v>
      </c>
      <c r="AI22" s="54">
        <v>0</v>
      </c>
      <c r="AJ22" s="54">
        <v>0</v>
      </c>
      <c r="AK22" s="55">
        <f t="shared" si="2"/>
        <v>60.4</v>
      </c>
      <c r="AL22" s="20">
        <f t="shared" si="3"/>
        <v>39.6</v>
      </c>
    </row>
    <row r="23" spans="1:38" ht="12.75" customHeight="1" x14ac:dyDescent="0.25">
      <c r="A23" s="19" t="s">
        <v>37</v>
      </c>
      <c r="B23" s="52">
        <f t="shared" si="5"/>
        <v>167</v>
      </c>
      <c r="C23" s="52">
        <f t="shared" si="7"/>
        <v>84</v>
      </c>
      <c r="D23" s="52">
        <f t="shared" si="8"/>
        <v>83</v>
      </c>
      <c r="E23" s="54">
        <v>0</v>
      </c>
      <c r="F23" s="54">
        <v>0</v>
      </c>
      <c r="G23" s="54">
        <v>0</v>
      </c>
      <c r="H23" s="54">
        <v>0</v>
      </c>
      <c r="I23" s="54">
        <v>6</v>
      </c>
      <c r="J23" s="54">
        <v>4</v>
      </c>
      <c r="K23" s="54">
        <v>7</v>
      </c>
      <c r="L23" s="54">
        <v>16</v>
      </c>
      <c r="M23" s="54">
        <v>5</v>
      </c>
      <c r="N23" s="54">
        <v>14</v>
      </c>
      <c r="O23" s="54">
        <v>8</v>
      </c>
      <c r="P23" s="54">
        <v>3</v>
      </c>
      <c r="Q23" s="54">
        <v>10</v>
      </c>
      <c r="R23" s="54">
        <v>10</v>
      </c>
      <c r="S23" s="54">
        <v>9</v>
      </c>
      <c r="T23" s="54">
        <v>8</v>
      </c>
      <c r="U23" s="54">
        <v>10</v>
      </c>
      <c r="V23" s="54">
        <v>7</v>
      </c>
      <c r="W23" s="54">
        <v>12</v>
      </c>
      <c r="X23" s="54">
        <v>8</v>
      </c>
      <c r="Y23" s="54">
        <v>5</v>
      </c>
      <c r="Z23" s="54">
        <v>2</v>
      </c>
      <c r="AA23" s="54">
        <v>6</v>
      </c>
      <c r="AB23" s="54">
        <v>4</v>
      </c>
      <c r="AC23" s="54">
        <v>3</v>
      </c>
      <c r="AD23" s="54">
        <v>2</v>
      </c>
      <c r="AE23" s="54">
        <v>3</v>
      </c>
      <c r="AF23" s="54">
        <v>5</v>
      </c>
      <c r="AG23" s="54">
        <v>0</v>
      </c>
      <c r="AH23" s="54">
        <v>0</v>
      </c>
      <c r="AI23" s="54">
        <v>0</v>
      </c>
      <c r="AJ23" s="54">
        <v>0</v>
      </c>
      <c r="AK23" s="55">
        <f t="shared" si="2"/>
        <v>50.3</v>
      </c>
      <c r="AL23" s="20">
        <f t="shared" si="3"/>
        <v>49.7</v>
      </c>
    </row>
    <row r="24" spans="1:38" ht="12.75" customHeight="1" x14ac:dyDescent="0.25">
      <c r="A24" s="19" t="s">
        <v>35</v>
      </c>
      <c r="B24" s="52">
        <f t="shared" si="5"/>
        <v>35</v>
      </c>
      <c r="C24" s="52">
        <f t="shared" si="7"/>
        <v>23</v>
      </c>
      <c r="D24" s="52">
        <f t="shared" si="8"/>
        <v>12</v>
      </c>
      <c r="E24" s="54">
        <v>0</v>
      </c>
      <c r="F24" s="54">
        <v>0</v>
      </c>
      <c r="G24" s="54">
        <v>0</v>
      </c>
      <c r="H24" s="54">
        <v>0</v>
      </c>
      <c r="I24" s="54">
        <v>5</v>
      </c>
      <c r="J24" s="54">
        <v>0</v>
      </c>
      <c r="K24" s="54">
        <v>1</v>
      </c>
      <c r="L24" s="54">
        <v>2</v>
      </c>
      <c r="M24" s="54">
        <v>3</v>
      </c>
      <c r="N24" s="54">
        <v>1</v>
      </c>
      <c r="O24" s="54">
        <v>5</v>
      </c>
      <c r="P24" s="54">
        <v>4</v>
      </c>
      <c r="Q24" s="54">
        <v>2</v>
      </c>
      <c r="R24" s="54">
        <v>1</v>
      </c>
      <c r="S24" s="54">
        <v>3</v>
      </c>
      <c r="T24" s="54">
        <v>1</v>
      </c>
      <c r="U24" s="54">
        <v>0</v>
      </c>
      <c r="V24" s="54">
        <v>1</v>
      </c>
      <c r="W24" s="54">
        <v>3</v>
      </c>
      <c r="X24" s="54">
        <v>0</v>
      </c>
      <c r="Y24" s="54">
        <v>0</v>
      </c>
      <c r="Z24" s="54">
        <v>1</v>
      </c>
      <c r="AA24" s="54">
        <v>1</v>
      </c>
      <c r="AB24" s="54">
        <v>1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5">
        <f t="shared" si="2"/>
        <v>65.7</v>
      </c>
      <c r="AL24" s="20">
        <f t="shared" si="3"/>
        <v>34.299999999999997</v>
      </c>
    </row>
    <row r="25" spans="1:38" ht="12.75" customHeight="1" x14ac:dyDescent="0.25">
      <c r="A25" s="19" t="s">
        <v>38</v>
      </c>
      <c r="B25" s="52">
        <f t="shared" si="5"/>
        <v>89</v>
      </c>
      <c r="C25" s="52">
        <f t="shared" si="7"/>
        <v>46</v>
      </c>
      <c r="D25" s="52">
        <f t="shared" si="8"/>
        <v>43</v>
      </c>
      <c r="E25" s="54">
        <v>0</v>
      </c>
      <c r="F25" s="54">
        <v>0</v>
      </c>
      <c r="G25" s="54">
        <v>0</v>
      </c>
      <c r="H25" s="54">
        <v>0</v>
      </c>
      <c r="I25" s="54">
        <v>0</v>
      </c>
      <c r="J25" s="54">
        <v>7</v>
      </c>
      <c r="K25" s="54">
        <v>8</v>
      </c>
      <c r="L25" s="54">
        <v>5</v>
      </c>
      <c r="M25" s="54">
        <v>2</v>
      </c>
      <c r="N25" s="54">
        <v>0</v>
      </c>
      <c r="O25" s="54">
        <v>3</v>
      </c>
      <c r="P25" s="54">
        <v>3</v>
      </c>
      <c r="Q25" s="54">
        <v>9</v>
      </c>
      <c r="R25" s="54">
        <v>3</v>
      </c>
      <c r="S25" s="54">
        <v>5</v>
      </c>
      <c r="T25" s="54">
        <v>4</v>
      </c>
      <c r="U25" s="54">
        <v>5</v>
      </c>
      <c r="V25" s="54">
        <v>3</v>
      </c>
      <c r="W25" s="54">
        <v>5</v>
      </c>
      <c r="X25" s="54">
        <v>1</v>
      </c>
      <c r="Y25" s="54">
        <v>4</v>
      </c>
      <c r="Z25" s="54">
        <v>11</v>
      </c>
      <c r="AA25" s="54">
        <v>2</v>
      </c>
      <c r="AB25" s="54">
        <v>2</v>
      </c>
      <c r="AC25" s="54">
        <v>1</v>
      </c>
      <c r="AD25" s="54">
        <v>2</v>
      </c>
      <c r="AE25" s="54">
        <v>2</v>
      </c>
      <c r="AF25" s="54">
        <v>2</v>
      </c>
      <c r="AG25" s="54">
        <v>0</v>
      </c>
      <c r="AH25" s="54">
        <v>0</v>
      </c>
      <c r="AI25" s="54">
        <v>0</v>
      </c>
      <c r="AJ25" s="54">
        <v>0</v>
      </c>
      <c r="AK25" s="55">
        <f t="shared" si="2"/>
        <v>51.7</v>
      </c>
      <c r="AL25" s="20">
        <f t="shared" si="3"/>
        <v>48.3</v>
      </c>
    </row>
    <row r="26" spans="1:38" ht="12.75" customHeight="1" x14ac:dyDescent="0.25">
      <c r="A26" s="19" t="s">
        <v>39</v>
      </c>
      <c r="B26" s="52">
        <f t="shared" si="5"/>
        <v>78</v>
      </c>
      <c r="C26" s="52">
        <f t="shared" si="7"/>
        <v>31</v>
      </c>
      <c r="D26" s="52">
        <f t="shared" si="8"/>
        <v>47</v>
      </c>
      <c r="E26" s="54">
        <v>0</v>
      </c>
      <c r="F26" s="54">
        <v>0</v>
      </c>
      <c r="G26" s="54">
        <v>0</v>
      </c>
      <c r="H26" s="54">
        <v>0</v>
      </c>
      <c r="I26" s="54">
        <v>1</v>
      </c>
      <c r="J26" s="54">
        <v>5</v>
      </c>
      <c r="K26" s="54">
        <v>3</v>
      </c>
      <c r="L26" s="54">
        <v>6</v>
      </c>
      <c r="M26" s="54">
        <v>3</v>
      </c>
      <c r="N26" s="54">
        <v>5</v>
      </c>
      <c r="O26" s="54">
        <v>4</v>
      </c>
      <c r="P26" s="54">
        <v>6</v>
      </c>
      <c r="Q26" s="54">
        <v>2</v>
      </c>
      <c r="R26" s="54">
        <v>4</v>
      </c>
      <c r="S26" s="54">
        <v>2</v>
      </c>
      <c r="T26" s="54">
        <v>4</v>
      </c>
      <c r="U26" s="54">
        <v>4</v>
      </c>
      <c r="V26" s="54">
        <v>2</v>
      </c>
      <c r="W26" s="54">
        <v>3</v>
      </c>
      <c r="X26" s="54">
        <v>4</v>
      </c>
      <c r="Y26" s="54">
        <v>4</v>
      </c>
      <c r="Z26" s="54">
        <v>4</v>
      </c>
      <c r="AA26" s="54">
        <v>2</v>
      </c>
      <c r="AB26" s="54">
        <v>2</v>
      </c>
      <c r="AC26" s="54">
        <v>1</v>
      </c>
      <c r="AD26" s="54">
        <v>0</v>
      </c>
      <c r="AE26" s="54">
        <v>2</v>
      </c>
      <c r="AF26" s="54">
        <v>5</v>
      </c>
      <c r="AG26" s="54">
        <v>0</v>
      </c>
      <c r="AH26" s="54">
        <v>0</v>
      </c>
      <c r="AI26" s="54">
        <v>0</v>
      </c>
      <c r="AJ26" s="54">
        <v>0</v>
      </c>
      <c r="AK26" s="55">
        <f t="shared" si="2"/>
        <v>39.700000000000003</v>
      </c>
      <c r="AL26" s="20">
        <f t="shared" si="3"/>
        <v>60.3</v>
      </c>
    </row>
    <row r="27" spans="1:38" ht="12.75" customHeight="1" x14ac:dyDescent="0.25">
      <c r="A27" s="19" t="s">
        <v>174</v>
      </c>
      <c r="B27" s="52">
        <f t="shared" si="5"/>
        <v>148</v>
      </c>
      <c r="C27" s="52">
        <f t="shared" si="7"/>
        <v>73</v>
      </c>
      <c r="D27" s="52">
        <f t="shared" si="8"/>
        <v>75</v>
      </c>
      <c r="E27" s="54">
        <v>0</v>
      </c>
      <c r="F27" s="54">
        <v>0</v>
      </c>
      <c r="G27" s="54">
        <v>0</v>
      </c>
      <c r="H27" s="54">
        <v>0</v>
      </c>
      <c r="I27" s="54">
        <v>5</v>
      </c>
      <c r="J27" s="54">
        <v>6</v>
      </c>
      <c r="K27" s="54">
        <v>10</v>
      </c>
      <c r="L27" s="54">
        <v>10</v>
      </c>
      <c r="M27" s="54">
        <v>9</v>
      </c>
      <c r="N27" s="54">
        <v>10</v>
      </c>
      <c r="O27" s="54">
        <v>4</v>
      </c>
      <c r="P27" s="54">
        <v>4</v>
      </c>
      <c r="Q27" s="54">
        <v>7</v>
      </c>
      <c r="R27" s="54">
        <v>3</v>
      </c>
      <c r="S27" s="54">
        <v>7</v>
      </c>
      <c r="T27" s="54">
        <v>10</v>
      </c>
      <c r="U27" s="54">
        <v>8</v>
      </c>
      <c r="V27" s="54">
        <v>10</v>
      </c>
      <c r="W27" s="54">
        <v>7</v>
      </c>
      <c r="X27" s="54">
        <v>4</v>
      </c>
      <c r="Y27" s="54">
        <v>1</v>
      </c>
      <c r="Z27" s="54">
        <v>9</v>
      </c>
      <c r="AA27" s="54">
        <v>6</v>
      </c>
      <c r="AB27" s="54">
        <v>5</v>
      </c>
      <c r="AC27" s="54">
        <v>7</v>
      </c>
      <c r="AD27" s="54">
        <v>2</v>
      </c>
      <c r="AE27" s="54">
        <v>2</v>
      </c>
      <c r="AF27" s="54">
        <v>2</v>
      </c>
      <c r="AG27" s="54">
        <v>0</v>
      </c>
      <c r="AH27" s="54">
        <v>0</v>
      </c>
      <c r="AI27" s="54">
        <v>0</v>
      </c>
      <c r="AJ27" s="54">
        <v>0</v>
      </c>
      <c r="AK27" s="55">
        <f t="shared" si="2"/>
        <v>49.3</v>
      </c>
      <c r="AL27" s="20">
        <f t="shared" si="3"/>
        <v>50.7</v>
      </c>
    </row>
    <row r="28" spans="1:38" ht="12.75" customHeight="1" x14ac:dyDescent="0.25">
      <c r="A28" s="19" t="s">
        <v>40</v>
      </c>
      <c r="B28" s="52">
        <f t="shared" si="5"/>
        <v>119</v>
      </c>
      <c r="C28" s="52">
        <f t="shared" si="7"/>
        <v>59</v>
      </c>
      <c r="D28" s="52">
        <f t="shared" si="8"/>
        <v>60</v>
      </c>
      <c r="E28" s="54">
        <v>3</v>
      </c>
      <c r="F28" s="54">
        <v>1</v>
      </c>
      <c r="G28" s="54">
        <v>4</v>
      </c>
      <c r="H28" s="54">
        <v>5</v>
      </c>
      <c r="I28" s="54">
        <v>8</v>
      </c>
      <c r="J28" s="54">
        <v>8</v>
      </c>
      <c r="K28" s="54">
        <v>3</v>
      </c>
      <c r="L28" s="54">
        <v>3</v>
      </c>
      <c r="M28" s="54">
        <v>8</v>
      </c>
      <c r="N28" s="54">
        <v>1</v>
      </c>
      <c r="O28" s="54">
        <v>3</v>
      </c>
      <c r="P28" s="54">
        <v>8</v>
      </c>
      <c r="Q28" s="54">
        <v>2</v>
      </c>
      <c r="R28" s="54">
        <v>5</v>
      </c>
      <c r="S28" s="54">
        <v>6</v>
      </c>
      <c r="T28" s="54">
        <v>2</v>
      </c>
      <c r="U28" s="54">
        <v>0</v>
      </c>
      <c r="V28" s="54">
        <v>7</v>
      </c>
      <c r="W28" s="54">
        <v>2</v>
      </c>
      <c r="X28" s="54">
        <v>6</v>
      </c>
      <c r="Y28" s="54">
        <v>7</v>
      </c>
      <c r="Z28" s="54">
        <v>4</v>
      </c>
      <c r="AA28" s="54">
        <v>6</v>
      </c>
      <c r="AB28" s="54">
        <v>2</v>
      </c>
      <c r="AC28" s="54">
        <v>2</v>
      </c>
      <c r="AD28" s="54">
        <v>3</v>
      </c>
      <c r="AE28" s="54">
        <v>5</v>
      </c>
      <c r="AF28" s="54">
        <v>5</v>
      </c>
      <c r="AG28" s="54">
        <v>0</v>
      </c>
      <c r="AH28" s="54">
        <v>0</v>
      </c>
      <c r="AI28" s="54">
        <v>0</v>
      </c>
      <c r="AJ28" s="54">
        <v>0</v>
      </c>
      <c r="AK28" s="55">
        <f t="shared" si="2"/>
        <v>49.6</v>
      </c>
      <c r="AL28" s="20">
        <f t="shared" si="3"/>
        <v>50.4</v>
      </c>
    </row>
    <row r="29" spans="1:38" s="18" customFormat="1" ht="13.5" thickBot="1" x14ac:dyDescent="0.25">
      <c r="A29" s="16" t="s">
        <v>1</v>
      </c>
      <c r="B29" s="56">
        <f t="shared" si="5"/>
        <v>5882</v>
      </c>
      <c r="C29" s="56">
        <f t="shared" ref="C29:AJ29" si="9">SUM(C30:C42)</f>
        <v>3038</v>
      </c>
      <c r="D29" s="56">
        <f t="shared" si="9"/>
        <v>2844</v>
      </c>
      <c r="E29" s="60">
        <f t="shared" si="9"/>
        <v>8</v>
      </c>
      <c r="F29" s="60">
        <f t="shared" si="9"/>
        <v>7</v>
      </c>
      <c r="G29" s="60">
        <f t="shared" si="9"/>
        <v>23</v>
      </c>
      <c r="H29" s="60">
        <f t="shared" si="9"/>
        <v>36</v>
      </c>
      <c r="I29" s="60">
        <f t="shared" si="9"/>
        <v>215</v>
      </c>
      <c r="J29" s="60">
        <f t="shared" si="9"/>
        <v>218</v>
      </c>
      <c r="K29" s="60">
        <f t="shared" si="9"/>
        <v>315</v>
      </c>
      <c r="L29" s="60">
        <f t="shared" si="9"/>
        <v>299</v>
      </c>
      <c r="M29" s="60">
        <f t="shared" si="9"/>
        <v>248</v>
      </c>
      <c r="N29" s="60">
        <f t="shared" si="9"/>
        <v>230</v>
      </c>
      <c r="O29" s="60">
        <f t="shared" si="9"/>
        <v>257</v>
      </c>
      <c r="P29" s="60">
        <f t="shared" si="9"/>
        <v>256</v>
      </c>
      <c r="Q29" s="60">
        <f t="shared" si="9"/>
        <v>287</v>
      </c>
      <c r="R29" s="60">
        <f t="shared" si="9"/>
        <v>244</v>
      </c>
      <c r="S29" s="60">
        <f t="shared" si="9"/>
        <v>296</v>
      </c>
      <c r="T29" s="60">
        <f t="shared" si="9"/>
        <v>240</v>
      </c>
      <c r="U29" s="60">
        <f t="shared" si="9"/>
        <v>277</v>
      </c>
      <c r="V29" s="60">
        <f t="shared" si="9"/>
        <v>239</v>
      </c>
      <c r="W29" s="60">
        <f t="shared" si="9"/>
        <v>255</v>
      </c>
      <c r="X29" s="60">
        <f t="shared" si="9"/>
        <v>248</v>
      </c>
      <c r="Y29" s="60">
        <f t="shared" si="9"/>
        <v>217</v>
      </c>
      <c r="Z29" s="60">
        <f t="shared" si="9"/>
        <v>224</v>
      </c>
      <c r="AA29" s="60">
        <f t="shared" si="9"/>
        <v>217</v>
      </c>
      <c r="AB29" s="60">
        <f t="shared" si="9"/>
        <v>201</v>
      </c>
      <c r="AC29" s="60">
        <f t="shared" si="9"/>
        <v>217</v>
      </c>
      <c r="AD29" s="60">
        <f t="shared" si="9"/>
        <v>188</v>
      </c>
      <c r="AE29" s="60">
        <f t="shared" si="9"/>
        <v>170</v>
      </c>
      <c r="AF29" s="60">
        <f t="shared" si="9"/>
        <v>156</v>
      </c>
      <c r="AG29" s="60">
        <f t="shared" si="9"/>
        <v>20</v>
      </c>
      <c r="AH29" s="60">
        <f t="shared" si="9"/>
        <v>26</v>
      </c>
      <c r="AI29" s="60">
        <f t="shared" si="9"/>
        <v>16</v>
      </c>
      <c r="AJ29" s="60">
        <f t="shared" si="9"/>
        <v>32</v>
      </c>
      <c r="AK29" s="60">
        <f t="shared" si="2"/>
        <v>51.6</v>
      </c>
      <c r="AL29" s="21">
        <f t="shared" si="3"/>
        <v>48.4</v>
      </c>
    </row>
    <row r="30" spans="1:38" ht="12.75" customHeight="1" x14ac:dyDescent="0.25">
      <c r="A30" s="19" t="s">
        <v>42</v>
      </c>
      <c r="B30" s="52">
        <f t="shared" si="5"/>
        <v>102</v>
      </c>
      <c r="C30" s="52">
        <f t="shared" ref="C30:C42" si="10">E30+G30+I30+K30+M30+O30+Q30+S30+U30+W30+Y30+AA30+AC30+AE30+AG30+AI30</f>
        <v>44</v>
      </c>
      <c r="D30" s="52">
        <f t="shared" ref="D30:D42" si="11">F30+H30+J30+L30+N30+P30+R30+T30+V30+X30+Z30+AB30+AD30+AF30+AH30+AJ30</f>
        <v>58</v>
      </c>
      <c r="E30" s="54">
        <v>0</v>
      </c>
      <c r="F30" s="54">
        <v>0</v>
      </c>
      <c r="G30" s="54">
        <v>0</v>
      </c>
      <c r="H30" s="54">
        <v>0</v>
      </c>
      <c r="I30" s="54">
        <v>5</v>
      </c>
      <c r="J30" s="54">
        <v>6</v>
      </c>
      <c r="K30" s="54">
        <v>3</v>
      </c>
      <c r="L30" s="54">
        <v>10</v>
      </c>
      <c r="M30" s="54">
        <v>3</v>
      </c>
      <c r="N30" s="54">
        <v>5</v>
      </c>
      <c r="O30" s="54">
        <v>5</v>
      </c>
      <c r="P30" s="54">
        <v>4</v>
      </c>
      <c r="Q30" s="54">
        <v>7</v>
      </c>
      <c r="R30" s="54">
        <v>2</v>
      </c>
      <c r="S30" s="54">
        <v>4</v>
      </c>
      <c r="T30" s="54">
        <v>3</v>
      </c>
      <c r="U30" s="54">
        <v>3</v>
      </c>
      <c r="V30" s="54">
        <v>7</v>
      </c>
      <c r="W30" s="54">
        <v>3</v>
      </c>
      <c r="X30" s="54">
        <v>7</v>
      </c>
      <c r="Y30" s="54">
        <v>1</v>
      </c>
      <c r="Z30" s="54">
        <v>5</v>
      </c>
      <c r="AA30" s="54">
        <v>4</v>
      </c>
      <c r="AB30" s="54">
        <v>2</v>
      </c>
      <c r="AC30" s="54">
        <v>4</v>
      </c>
      <c r="AD30" s="54">
        <v>2</v>
      </c>
      <c r="AE30" s="54">
        <v>2</v>
      </c>
      <c r="AF30" s="54">
        <v>5</v>
      </c>
      <c r="AG30" s="54">
        <v>0</v>
      </c>
      <c r="AH30" s="54">
        <v>0</v>
      </c>
      <c r="AI30" s="54">
        <v>0</v>
      </c>
      <c r="AJ30" s="54">
        <v>0</v>
      </c>
      <c r="AK30" s="55">
        <f t="shared" si="2"/>
        <v>43.1</v>
      </c>
      <c r="AL30" s="20">
        <f t="shared" si="3"/>
        <v>56.9</v>
      </c>
    </row>
    <row r="31" spans="1:38" ht="12.75" customHeight="1" x14ac:dyDescent="0.25">
      <c r="A31" s="19" t="s">
        <v>43</v>
      </c>
      <c r="B31" s="52">
        <f t="shared" si="5"/>
        <v>512</v>
      </c>
      <c r="C31" s="52">
        <f t="shared" si="10"/>
        <v>283</v>
      </c>
      <c r="D31" s="52">
        <f t="shared" si="11"/>
        <v>229</v>
      </c>
      <c r="E31" s="54">
        <v>0</v>
      </c>
      <c r="F31" s="54">
        <v>0</v>
      </c>
      <c r="G31" s="54">
        <v>0</v>
      </c>
      <c r="H31" s="54">
        <v>0</v>
      </c>
      <c r="I31" s="54">
        <v>21</v>
      </c>
      <c r="J31" s="54">
        <v>13</v>
      </c>
      <c r="K31" s="54">
        <v>30</v>
      </c>
      <c r="L31" s="54">
        <v>27</v>
      </c>
      <c r="M31" s="54">
        <v>17</v>
      </c>
      <c r="N31" s="54">
        <v>19</v>
      </c>
      <c r="O31" s="54">
        <v>33</v>
      </c>
      <c r="P31" s="54">
        <v>24</v>
      </c>
      <c r="Q31" s="54">
        <v>24</v>
      </c>
      <c r="R31" s="54">
        <v>21</v>
      </c>
      <c r="S31" s="54">
        <v>23</v>
      </c>
      <c r="T31" s="54">
        <v>27</v>
      </c>
      <c r="U31" s="54">
        <v>31</v>
      </c>
      <c r="V31" s="54">
        <v>21</v>
      </c>
      <c r="W31" s="54">
        <v>24</v>
      </c>
      <c r="X31" s="54">
        <v>19</v>
      </c>
      <c r="Y31" s="54">
        <v>15</v>
      </c>
      <c r="Z31" s="54">
        <v>12</v>
      </c>
      <c r="AA31" s="54">
        <v>26</v>
      </c>
      <c r="AB31" s="54">
        <v>16</v>
      </c>
      <c r="AC31" s="54">
        <v>20</v>
      </c>
      <c r="AD31" s="54">
        <v>20</v>
      </c>
      <c r="AE31" s="54">
        <v>19</v>
      </c>
      <c r="AF31" s="54">
        <v>10</v>
      </c>
      <c r="AG31" s="54">
        <v>0</v>
      </c>
      <c r="AH31" s="54">
        <v>0</v>
      </c>
      <c r="AI31" s="54">
        <v>0</v>
      </c>
      <c r="AJ31" s="54">
        <v>0</v>
      </c>
      <c r="AK31" s="55">
        <f t="shared" si="2"/>
        <v>55.3</v>
      </c>
      <c r="AL31" s="20">
        <f t="shared" si="3"/>
        <v>44.7</v>
      </c>
    </row>
    <row r="32" spans="1:38" ht="12.75" customHeight="1" x14ac:dyDescent="0.25">
      <c r="A32" s="19" t="s">
        <v>44</v>
      </c>
      <c r="B32" s="52">
        <f t="shared" si="5"/>
        <v>60</v>
      </c>
      <c r="C32" s="52">
        <f t="shared" si="10"/>
        <v>37</v>
      </c>
      <c r="D32" s="52">
        <f t="shared" si="11"/>
        <v>23</v>
      </c>
      <c r="E32" s="54">
        <v>0</v>
      </c>
      <c r="F32" s="54">
        <v>0</v>
      </c>
      <c r="G32" s="54">
        <v>0</v>
      </c>
      <c r="H32" s="54">
        <v>0</v>
      </c>
      <c r="I32" s="54">
        <v>5</v>
      </c>
      <c r="J32" s="54">
        <v>1</v>
      </c>
      <c r="K32" s="54">
        <v>8</v>
      </c>
      <c r="L32" s="54">
        <v>4</v>
      </c>
      <c r="M32" s="54">
        <v>6</v>
      </c>
      <c r="N32" s="54">
        <v>2</v>
      </c>
      <c r="O32" s="54">
        <v>2</v>
      </c>
      <c r="P32" s="54">
        <v>1</v>
      </c>
      <c r="Q32" s="54">
        <v>5</v>
      </c>
      <c r="R32" s="54">
        <v>1</v>
      </c>
      <c r="S32" s="54">
        <v>2</v>
      </c>
      <c r="T32" s="54">
        <v>1</v>
      </c>
      <c r="U32" s="54">
        <v>0</v>
      </c>
      <c r="V32" s="54">
        <v>2</v>
      </c>
      <c r="W32" s="54">
        <v>2</v>
      </c>
      <c r="X32" s="54">
        <v>3</v>
      </c>
      <c r="Y32" s="54">
        <v>3</v>
      </c>
      <c r="Z32" s="54">
        <v>2</v>
      </c>
      <c r="AA32" s="54">
        <v>2</v>
      </c>
      <c r="AB32" s="54">
        <v>2</v>
      </c>
      <c r="AC32" s="54">
        <v>1</v>
      </c>
      <c r="AD32" s="54">
        <v>1</v>
      </c>
      <c r="AE32" s="54">
        <v>1</v>
      </c>
      <c r="AF32" s="54">
        <v>3</v>
      </c>
      <c r="AG32" s="54">
        <v>0</v>
      </c>
      <c r="AH32" s="54">
        <v>0</v>
      </c>
      <c r="AI32" s="54">
        <v>0</v>
      </c>
      <c r="AJ32" s="54">
        <v>0</v>
      </c>
      <c r="AK32" s="55">
        <f t="shared" si="2"/>
        <v>61.7</v>
      </c>
      <c r="AL32" s="20">
        <f t="shared" si="3"/>
        <v>38.299999999999997</v>
      </c>
    </row>
    <row r="33" spans="1:38" ht="12.75" customHeight="1" x14ac:dyDescent="0.25">
      <c r="A33" s="19" t="s">
        <v>176</v>
      </c>
      <c r="B33" s="52">
        <f t="shared" si="5"/>
        <v>2636</v>
      </c>
      <c r="C33" s="52">
        <f t="shared" si="10"/>
        <v>1370</v>
      </c>
      <c r="D33" s="52">
        <f t="shared" si="11"/>
        <v>1266</v>
      </c>
      <c r="E33" s="54">
        <v>0</v>
      </c>
      <c r="F33" s="54">
        <v>0</v>
      </c>
      <c r="G33" s="54">
        <v>0</v>
      </c>
      <c r="H33" s="54">
        <v>0</v>
      </c>
      <c r="I33" s="54">
        <v>95</v>
      </c>
      <c r="J33" s="54">
        <v>105</v>
      </c>
      <c r="K33" s="54">
        <v>146</v>
      </c>
      <c r="L33" s="54">
        <v>107</v>
      </c>
      <c r="M33" s="54">
        <v>101</v>
      </c>
      <c r="N33" s="54">
        <v>107</v>
      </c>
      <c r="O33" s="54">
        <v>115</v>
      </c>
      <c r="P33" s="54">
        <v>121</v>
      </c>
      <c r="Q33" s="54">
        <v>132</v>
      </c>
      <c r="R33" s="54">
        <v>112</v>
      </c>
      <c r="S33" s="54">
        <v>131</v>
      </c>
      <c r="T33" s="54">
        <v>100</v>
      </c>
      <c r="U33" s="54">
        <v>132</v>
      </c>
      <c r="V33" s="54">
        <v>106</v>
      </c>
      <c r="W33" s="54">
        <v>121</v>
      </c>
      <c r="X33" s="54">
        <v>111</v>
      </c>
      <c r="Y33" s="54">
        <v>101</v>
      </c>
      <c r="Z33" s="54">
        <v>100</v>
      </c>
      <c r="AA33" s="54">
        <v>93</v>
      </c>
      <c r="AB33" s="54">
        <v>91</v>
      </c>
      <c r="AC33" s="54">
        <v>92</v>
      </c>
      <c r="AD33" s="54">
        <v>86</v>
      </c>
      <c r="AE33" s="54">
        <v>77</v>
      </c>
      <c r="AF33" s="54">
        <v>70</v>
      </c>
      <c r="AG33" s="54">
        <v>20</v>
      </c>
      <c r="AH33" s="54">
        <v>26</v>
      </c>
      <c r="AI33" s="54">
        <v>14</v>
      </c>
      <c r="AJ33" s="54">
        <v>24</v>
      </c>
      <c r="AK33" s="55">
        <f t="shared" si="2"/>
        <v>52</v>
      </c>
      <c r="AL33" s="20">
        <f t="shared" si="3"/>
        <v>48</v>
      </c>
    </row>
    <row r="34" spans="1:38" ht="12.75" customHeight="1" x14ac:dyDescent="0.25">
      <c r="A34" s="19" t="s">
        <v>45</v>
      </c>
      <c r="B34" s="52">
        <f t="shared" si="5"/>
        <v>239</v>
      </c>
      <c r="C34" s="52">
        <f t="shared" si="10"/>
        <v>127</v>
      </c>
      <c r="D34" s="52">
        <f t="shared" si="11"/>
        <v>112</v>
      </c>
      <c r="E34" s="54">
        <v>0</v>
      </c>
      <c r="F34" s="54">
        <v>0</v>
      </c>
      <c r="G34" s="54">
        <v>0</v>
      </c>
      <c r="H34" s="54">
        <v>0</v>
      </c>
      <c r="I34" s="54">
        <v>6</v>
      </c>
      <c r="J34" s="54">
        <v>7</v>
      </c>
      <c r="K34" s="54">
        <v>14</v>
      </c>
      <c r="L34" s="54">
        <v>10</v>
      </c>
      <c r="M34" s="54">
        <v>11</v>
      </c>
      <c r="N34" s="54">
        <v>11</v>
      </c>
      <c r="O34" s="54">
        <v>14</v>
      </c>
      <c r="P34" s="54">
        <v>3</v>
      </c>
      <c r="Q34" s="54">
        <v>6</v>
      </c>
      <c r="R34" s="54">
        <v>11</v>
      </c>
      <c r="S34" s="54">
        <v>8</v>
      </c>
      <c r="T34" s="54">
        <v>13</v>
      </c>
      <c r="U34" s="54">
        <v>11</v>
      </c>
      <c r="V34" s="54">
        <v>12</v>
      </c>
      <c r="W34" s="54">
        <v>10</v>
      </c>
      <c r="X34" s="54">
        <v>10</v>
      </c>
      <c r="Y34" s="54">
        <v>17</v>
      </c>
      <c r="Z34" s="54">
        <v>13</v>
      </c>
      <c r="AA34" s="54">
        <v>11</v>
      </c>
      <c r="AB34" s="54">
        <v>4</v>
      </c>
      <c r="AC34" s="54">
        <v>10</v>
      </c>
      <c r="AD34" s="54">
        <v>9</v>
      </c>
      <c r="AE34" s="54">
        <v>9</v>
      </c>
      <c r="AF34" s="54">
        <v>9</v>
      </c>
      <c r="AG34" s="54">
        <v>0</v>
      </c>
      <c r="AH34" s="54">
        <v>0</v>
      </c>
      <c r="AI34" s="54">
        <v>0</v>
      </c>
      <c r="AJ34" s="54">
        <v>0</v>
      </c>
      <c r="AK34" s="55">
        <f t="shared" si="2"/>
        <v>53.1</v>
      </c>
      <c r="AL34" s="20">
        <f t="shared" si="3"/>
        <v>46.9</v>
      </c>
    </row>
    <row r="35" spans="1:38" ht="12.75" customHeight="1" x14ac:dyDescent="0.25">
      <c r="A35" s="19" t="s">
        <v>177</v>
      </c>
      <c r="B35" s="52">
        <f t="shared" si="5"/>
        <v>156</v>
      </c>
      <c r="C35" s="52">
        <f t="shared" si="10"/>
        <v>76</v>
      </c>
      <c r="D35" s="52">
        <f t="shared" si="11"/>
        <v>80</v>
      </c>
      <c r="E35" s="54">
        <v>0</v>
      </c>
      <c r="F35" s="54">
        <v>0</v>
      </c>
      <c r="G35" s="54">
        <v>3</v>
      </c>
      <c r="H35" s="54">
        <v>9</v>
      </c>
      <c r="I35" s="54">
        <v>8</v>
      </c>
      <c r="J35" s="54">
        <v>6</v>
      </c>
      <c r="K35" s="54">
        <v>5</v>
      </c>
      <c r="L35" s="54">
        <v>10</v>
      </c>
      <c r="M35" s="54">
        <v>8</v>
      </c>
      <c r="N35" s="54">
        <v>7</v>
      </c>
      <c r="O35" s="54">
        <v>6</v>
      </c>
      <c r="P35" s="54">
        <v>6</v>
      </c>
      <c r="Q35" s="54">
        <v>3</v>
      </c>
      <c r="R35" s="54">
        <v>6</v>
      </c>
      <c r="S35" s="54">
        <v>6</v>
      </c>
      <c r="T35" s="54">
        <v>6</v>
      </c>
      <c r="U35" s="54">
        <v>10</v>
      </c>
      <c r="V35" s="54">
        <v>6</v>
      </c>
      <c r="W35" s="54">
        <v>7</v>
      </c>
      <c r="X35" s="54">
        <v>7</v>
      </c>
      <c r="Y35" s="54">
        <v>6</v>
      </c>
      <c r="Z35" s="54">
        <v>6</v>
      </c>
      <c r="AA35" s="54">
        <v>3</v>
      </c>
      <c r="AB35" s="54">
        <v>5</v>
      </c>
      <c r="AC35" s="54">
        <v>5</v>
      </c>
      <c r="AD35" s="54">
        <v>4</v>
      </c>
      <c r="AE35" s="54">
        <v>6</v>
      </c>
      <c r="AF35" s="54">
        <v>2</v>
      </c>
      <c r="AG35" s="54">
        <v>0</v>
      </c>
      <c r="AH35" s="54">
        <v>0</v>
      </c>
      <c r="AI35" s="54">
        <v>0</v>
      </c>
      <c r="AJ35" s="54">
        <v>0</v>
      </c>
      <c r="AK35" s="55">
        <f t="shared" si="2"/>
        <v>48.7</v>
      </c>
      <c r="AL35" s="20">
        <f t="shared" si="3"/>
        <v>51.3</v>
      </c>
    </row>
    <row r="36" spans="1:38" ht="12.75" customHeight="1" x14ac:dyDescent="0.25">
      <c r="A36" s="19" t="s">
        <v>46</v>
      </c>
      <c r="B36" s="52">
        <f t="shared" si="5"/>
        <v>390</v>
      </c>
      <c r="C36" s="52">
        <f t="shared" si="10"/>
        <v>198</v>
      </c>
      <c r="D36" s="52">
        <f t="shared" si="11"/>
        <v>192</v>
      </c>
      <c r="E36" s="54">
        <v>5</v>
      </c>
      <c r="F36" s="54">
        <v>1</v>
      </c>
      <c r="G36" s="54">
        <v>6</v>
      </c>
      <c r="H36" s="54">
        <v>11</v>
      </c>
      <c r="I36" s="54">
        <v>17</v>
      </c>
      <c r="J36" s="54">
        <v>11</v>
      </c>
      <c r="K36" s="54">
        <v>28</v>
      </c>
      <c r="L36" s="54">
        <v>33</v>
      </c>
      <c r="M36" s="54">
        <v>15</v>
      </c>
      <c r="N36" s="54">
        <v>12</v>
      </c>
      <c r="O36" s="54">
        <v>16</v>
      </c>
      <c r="P36" s="54">
        <v>16</v>
      </c>
      <c r="Q36" s="54">
        <v>19</v>
      </c>
      <c r="R36" s="54">
        <v>15</v>
      </c>
      <c r="S36" s="54">
        <v>16</v>
      </c>
      <c r="T36" s="54">
        <v>17</v>
      </c>
      <c r="U36" s="54">
        <v>15</v>
      </c>
      <c r="V36" s="54">
        <v>13</v>
      </c>
      <c r="W36" s="54">
        <v>15</v>
      </c>
      <c r="X36" s="54">
        <v>12</v>
      </c>
      <c r="Y36" s="54">
        <v>13</v>
      </c>
      <c r="Z36" s="54">
        <v>13</v>
      </c>
      <c r="AA36" s="54">
        <v>11</v>
      </c>
      <c r="AB36" s="54">
        <v>16</v>
      </c>
      <c r="AC36" s="54">
        <v>15</v>
      </c>
      <c r="AD36" s="54">
        <v>9</v>
      </c>
      <c r="AE36" s="54">
        <v>7</v>
      </c>
      <c r="AF36" s="54">
        <v>13</v>
      </c>
      <c r="AG36" s="54">
        <v>0</v>
      </c>
      <c r="AH36" s="54">
        <v>0</v>
      </c>
      <c r="AI36" s="54">
        <v>0</v>
      </c>
      <c r="AJ36" s="54">
        <v>0</v>
      </c>
      <c r="AK36" s="55">
        <f t="shared" si="2"/>
        <v>50.8</v>
      </c>
      <c r="AL36" s="20">
        <f t="shared" si="3"/>
        <v>49.2</v>
      </c>
    </row>
    <row r="37" spans="1:38" ht="12.75" customHeight="1" x14ac:dyDescent="0.25">
      <c r="A37" s="19" t="s">
        <v>47</v>
      </c>
      <c r="B37" s="52">
        <f t="shared" si="5"/>
        <v>124</v>
      </c>
      <c r="C37" s="52">
        <f t="shared" si="10"/>
        <v>66</v>
      </c>
      <c r="D37" s="52">
        <f t="shared" si="11"/>
        <v>58</v>
      </c>
      <c r="E37" s="54">
        <v>0</v>
      </c>
      <c r="F37" s="54">
        <v>0</v>
      </c>
      <c r="G37" s="54">
        <v>0</v>
      </c>
      <c r="H37" s="54">
        <v>0</v>
      </c>
      <c r="I37" s="54">
        <v>4</v>
      </c>
      <c r="J37" s="54">
        <v>7</v>
      </c>
      <c r="K37" s="54">
        <v>6</v>
      </c>
      <c r="L37" s="54">
        <v>9</v>
      </c>
      <c r="M37" s="54">
        <v>5</v>
      </c>
      <c r="N37" s="54">
        <v>6</v>
      </c>
      <c r="O37" s="54">
        <v>8</v>
      </c>
      <c r="P37" s="54">
        <v>10</v>
      </c>
      <c r="Q37" s="54">
        <v>10</v>
      </c>
      <c r="R37" s="54">
        <v>9</v>
      </c>
      <c r="S37" s="54">
        <v>8</v>
      </c>
      <c r="T37" s="54">
        <v>1</v>
      </c>
      <c r="U37" s="54">
        <v>4</v>
      </c>
      <c r="V37" s="54">
        <v>7</v>
      </c>
      <c r="W37" s="54">
        <v>7</v>
      </c>
      <c r="X37" s="54">
        <v>2</v>
      </c>
      <c r="Y37" s="54">
        <v>2</v>
      </c>
      <c r="Z37" s="54">
        <v>1</v>
      </c>
      <c r="AA37" s="54">
        <v>4</v>
      </c>
      <c r="AB37" s="54">
        <v>4</v>
      </c>
      <c r="AC37" s="54">
        <v>4</v>
      </c>
      <c r="AD37" s="54">
        <v>1</v>
      </c>
      <c r="AE37" s="54">
        <v>4</v>
      </c>
      <c r="AF37" s="54">
        <v>1</v>
      </c>
      <c r="AG37" s="54">
        <v>0</v>
      </c>
      <c r="AH37" s="54">
        <v>0</v>
      </c>
      <c r="AI37" s="54">
        <v>0</v>
      </c>
      <c r="AJ37" s="54">
        <v>0</v>
      </c>
      <c r="AK37" s="55">
        <f t="shared" si="2"/>
        <v>53.2</v>
      </c>
      <c r="AL37" s="20">
        <f t="shared" si="3"/>
        <v>46.8</v>
      </c>
    </row>
    <row r="38" spans="1:38" ht="12.75" customHeight="1" x14ac:dyDescent="0.25">
      <c r="A38" s="19" t="s">
        <v>48</v>
      </c>
      <c r="B38" s="52">
        <f t="shared" si="5"/>
        <v>337</v>
      </c>
      <c r="C38" s="52">
        <f t="shared" si="10"/>
        <v>164</v>
      </c>
      <c r="D38" s="52">
        <f t="shared" si="11"/>
        <v>173</v>
      </c>
      <c r="E38" s="54">
        <v>3</v>
      </c>
      <c r="F38" s="54">
        <v>6</v>
      </c>
      <c r="G38" s="54">
        <v>14</v>
      </c>
      <c r="H38" s="54">
        <v>16</v>
      </c>
      <c r="I38" s="54">
        <v>9</v>
      </c>
      <c r="J38" s="54">
        <v>12</v>
      </c>
      <c r="K38" s="54">
        <v>14</v>
      </c>
      <c r="L38" s="54">
        <v>13</v>
      </c>
      <c r="M38" s="54">
        <v>12</v>
      </c>
      <c r="N38" s="54">
        <v>11</v>
      </c>
      <c r="O38" s="54">
        <v>7</v>
      </c>
      <c r="P38" s="54">
        <v>12</v>
      </c>
      <c r="Q38" s="54">
        <v>16</v>
      </c>
      <c r="R38" s="54">
        <v>10</v>
      </c>
      <c r="S38" s="54">
        <v>14</v>
      </c>
      <c r="T38" s="54">
        <v>13</v>
      </c>
      <c r="U38" s="54">
        <v>18</v>
      </c>
      <c r="V38" s="54">
        <v>13</v>
      </c>
      <c r="W38" s="54">
        <v>12</v>
      </c>
      <c r="X38" s="54">
        <v>19</v>
      </c>
      <c r="Y38" s="54">
        <v>10</v>
      </c>
      <c r="Z38" s="54">
        <v>14</v>
      </c>
      <c r="AA38" s="54">
        <v>12</v>
      </c>
      <c r="AB38" s="54">
        <v>9</v>
      </c>
      <c r="AC38" s="54">
        <v>13</v>
      </c>
      <c r="AD38" s="54">
        <v>11</v>
      </c>
      <c r="AE38" s="54">
        <v>8</v>
      </c>
      <c r="AF38" s="54">
        <v>6</v>
      </c>
      <c r="AG38" s="54">
        <v>0</v>
      </c>
      <c r="AH38" s="54">
        <v>0</v>
      </c>
      <c r="AI38" s="54">
        <v>2</v>
      </c>
      <c r="AJ38" s="54">
        <v>8</v>
      </c>
      <c r="AK38" s="55">
        <f t="shared" si="2"/>
        <v>48.7</v>
      </c>
      <c r="AL38" s="20">
        <f t="shared" si="3"/>
        <v>51.3</v>
      </c>
    </row>
    <row r="39" spans="1:38" ht="12.75" customHeight="1" x14ac:dyDescent="0.25">
      <c r="A39" s="19" t="s">
        <v>49</v>
      </c>
      <c r="B39" s="52">
        <f t="shared" si="5"/>
        <v>159</v>
      </c>
      <c r="C39" s="52">
        <f t="shared" si="10"/>
        <v>87</v>
      </c>
      <c r="D39" s="52">
        <f t="shared" si="11"/>
        <v>72</v>
      </c>
      <c r="E39" s="54">
        <v>0</v>
      </c>
      <c r="F39" s="54">
        <v>0</v>
      </c>
      <c r="G39" s="54">
        <v>0</v>
      </c>
      <c r="H39" s="54">
        <v>0</v>
      </c>
      <c r="I39" s="54">
        <v>8</v>
      </c>
      <c r="J39" s="54">
        <v>6</v>
      </c>
      <c r="K39" s="54">
        <v>7</v>
      </c>
      <c r="L39" s="54">
        <v>6</v>
      </c>
      <c r="M39" s="54">
        <v>12</v>
      </c>
      <c r="N39" s="54">
        <v>5</v>
      </c>
      <c r="O39" s="54">
        <v>5</v>
      </c>
      <c r="P39" s="54">
        <v>8</v>
      </c>
      <c r="Q39" s="54">
        <v>7</v>
      </c>
      <c r="R39" s="54">
        <v>8</v>
      </c>
      <c r="S39" s="54">
        <v>10</v>
      </c>
      <c r="T39" s="54">
        <v>8</v>
      </c>
      <c r="U39" s="54">
        <v>7</v>
      </c>
      <c r="V39" s="54">
        <v>3</v>
      </c>
      <c r="W39" s="54">
        <v>12</v>
      </c>
      <c r="X39" s="54">
        <v>7</v>
      </c>
      <c r="Y39" s="54">
        <v>5</v>
      </c>
      <c r="Z39" s="54">
        <v>7</v>
      </c>
      <c r="AA39" s="54">
        <v>5</v>
      </c>
      <c r="AB39" s="54">
        <v>9</v>
      </c>
      <c r="AC39" s="54">
        <v>5</v>
      </c>
      <c r="AD39" s="54">
        <v>3</v>
      </c>
      <c r="AE39" s="54">
        <v>4</v>
      </c>
      <c r="AF39" s="54">
        <v>2</v>
      </c>
      <c r="AG39" s="54">
        <v>0</v>
      </c>
      <c r="AH39" s="54">
        <v>0</v>
      </c>
      <c r="AI39" s="54">
        <v>0</v>
      </c>
      <c r="AJ39" s="54">
        <v>0</v>
      </c>
      <c r="AK39" s="55">
        <f t="shared" si="2"/>
        <v>54.7</v>
      </c>
      <c r="AL39" s="20">
        <f t="shared" si="3"/>
        <v>45.3</v>
      </c>
    </row>
    <row r="40" spans="1:38" ht="12.75" customHeight="1" x14ac:dyDescent="0.25">
      <c r="A40" s="19" t="s">
        <v>50</v>
      </c>
      <c r="B40" s="52">
        <f t="shared" si="5"/>
        <v>616</v>
      </c>
      <c r="C40" s="52">
        <f t="shared" si="10"/>
        <v>307</v>
      </c>
      <c r="D40" s="52">
        <f t="shared" si="11"/>
        <v>309</v>
      </c>
      <c r="E40" s="54">
        <v>0</v>
      </c>
      <c r="F40" s="54">
        <v>0</v>
      </c>
      <c r="G40" s="54">
        <v>0</v>
      </c>
      <c r="H40" s="54">
        <v>0</v>
      </c>
      <c r="I40" s="54">
        <v>12</v>
      </c>
      <c r="J40" s="54">
        <v>23</v>
      </c>
      <c r="K40" s="54">
        <v>26</v>
      </c>
      <c r="L40" s="54">
        <v>36</v>
      </c>
      <c r="M40" s="54">
        <v>31</v>
      </c>
      <c r="N40" s="54">
        <v>23</v>
      </c>
      <c r="O40" s="54">
        <v>31</v>
      </c>
      <c r="P40" s="54">
        <v>20</v>
      </c>
      <c r="Q40" s="54">
        <v>36</v>
      </c>
      <c r="R40" s="54">
        <v>31</v>
      </c>
      <c r="S40" s="54">
        <v>34</v>
      </c>
      <c r="T40" s="54">
        <v>29</v>
      </c>
      <c r="U40" s="54">
        <v>23</v>
      </c>
      <c r="V40" s="54">
        <v>30</v>
      </c>
      <c r="W40" s="54">
        <v>23</v>
      </c>
      <c r="X40" s="54">
        <v>27</v>
      </c>
      <c r="Y40" s="54">
        <v>23</v>
      </c>
      <c r="Z40" s="54">
        <v>27</v>
      </c>
      <c r="AA40" s="54">
        <v>28</v>
      </c>
      <c r="AB40" s="54">
        <v>23</v>
      </c>
      <c r="AC40" s="54">
        <v>24</v>
      </c>
      <c r="AD40" s="54">
        <v>22</v>
      </c>
      <c r="AE40" s="54">
        <v>16</v>
      </c>
      <c r="AF40" s="54">
        <v>18</v>
      </c>
      <c r="AG40" s="54">
        <v>0</v>
      </c>
      <c r="AH40" s="54">
        <v>0</v>
      </c>
      <c r="AI40" s="54">
        <v>0</v>
      </c>
      <c r="AJ40" s="54">
        <v>0</v>
      </c>
      <c r="AK40" s="55">
        <f t="shared" si="2"/>
        <v>49.8</v>
      </c>
      <c r="AL40" s="20">
        <f t="shared" si="3"/>
        <v>50.2</v>
      </c>
    </row>
    <row r="41" spans="1:38" ht="12.75" customHeight="1" x14ac:dyDescent="0.25">
      <c r="A41" s="19" t="s">
        <v>51</v>
      </c>
      <c r="B41" s="52">
        <f t="shared" si="5"/>
        <v>323</v>
      </c>
      <c r="C41" s="52">
        <f t="shared" si="10"/>
        <v>166</v>
      </c>
      <c r="D41" s="52">
        <f t="shared" si="11"/>
        <v>157</v>
      </c>
      <c r="E41" s="54">
        <v>0</v>
      </c>
      <c r="F41" s="54">
        <v>0</v>
      </c>
      <c r="G41" s="54">
        <v>0</v>
      </c>
      <c r="H41" s="54">
        <v>0</v>
      </c>
      <c r="I41" s="54">
        <v>17</v>
      </c>
      <c r="J41" s="54">
        <v>14</v>
      </c>
      <c r="K41" s="54">
        <v>21</v>
      </c>
      <c r="L41" s="54">
        <v>21</v>
      </c>
      <c r="M41" s="54">
        <v>20</v>
      </c>
      <c r="N41" s="54">
        <v>9</v>
      </c>
      <c r="O41" s="54">
        <v>10</v>
      </c>
      <c r="P41" s="54">
        <v>21</v>
      </c>
      <c r="Q41" s="54">
        <v>13</v>
      </c>
      <c r="R41" s="54">
        <v>9</v>
      </c>
      <c r="S41" s="54">
        <v>21</v>
      </c>
      <c r="T41" s="54">
        <v>14</v>
      </c>
      <c r="U41" s="54">
        <v>12</v>
      </c>
      <c r="V41" s="54">
        <v>8</v>
      </c>
      <c r="W41" s="54">
        <v>11</v>
      </c>
      <c r="X41" s="54">
        <v>17</v>
      </c>
      <c r="Y41" s="54">
        <v>11</v>
      </c>
      <c r="Z41" s="54">
        <v>10</v>
      </c>
      <c r="AA41" s="54">
        <v>7</v>
      </c>
      <c r="AB41" s="54">
        <v>13</v>
      </c>
      <c r="AC41" s="54">
        <v>11</v>
      </c>
      <c r="AD41" s="54">
        <v>12</v>
      </c>
      <c r="AE41" s="54">
        <v>12</v>
      </c>
      <c r="AF41" s="54">
        <v>9</v>
      </c>
      <c r="AG41" s="54">
        <v>0</v>
      </c>
      <c r="AH41" s="54">
        <v>0</v>
      </c>
      <c r="AI41" s="54">
        <v>0</v>
      </c>
      <c r="AJ41" s="54">
        <v>0</v>
      </c>
      <c r="AK41" s="55">
        <f t="shared" si="2"/>
        <v>51.4</v>
      </c>
      <c r="AL41" s="20">
        <f t="shared" si="3"/>
        <v>48.6</v>
      </c>
    </row>
    <row r="42" spans="1:38" x14ac:dyDescent="0.25">
      <c r="A42" s="19" t="s">
        <v>41</v>
      </c>
      <c r="B42" s="52">
        <f t="shared" si="5"/>
        <v>228</v>
      </c>
      <c r="C42" s="52">
        <f t="shared" si="10"/>
        <v>113</v>
      </c>
      <c r="D42" s="52">
        <f t="shared" si="11"/>
        <v>115</v>
      </c>
      <c r="E42" s="54">
        <v>0</v>
      </c>
      <c r="F42" s="54">
        <v>0</v>
      </c>
      <c r="G42" s="54">
        <v>0</v>
      </c>
      <c r="H42" s="54">
        <v>0</v>
      </c>
      <c r="I42" s="54">
        <v>8</v>
      </c>
      <c r="J42" s="54">
        <v>7</v>
      </c>
      <c r="K42" s="54">
        <v>7</v>
      </c>
      <c r="L42" s="54">
        <v>13</v>
      </c>
      <c r="M42" s="54">
        <v>7</v>
      </c>
      <c r="N42" s="54">
        <v>13</v>
      </c>
      <c r="O42" s="54">
        <v>5</v>
      </c>
      <c r="P42" s="54">
        <v>10</v>
      </c>
      <c r="Q42" s="54">
        <v>9</v>
      </c>
      <c r="R42" s="54">
        <v>9</v>
      </c>
      <c r="S42" s="54">
        <v>19</v>
      </c>
      <c r="T42" s="54">
        <v>8</v>
      </c>
      <c r="U42" s="54">
        <v>11</v>
      </c>
      <c r="V42" s="54">
        <v>11</v>
      </c>
      <c r="W42" s="54">
        <v>8</v>
      </c>
      <c r="X42" s="54">
        <v>7</v>
      </c>
      <c r="Y42" s="54">
        <v>10</v>
      </c>
      <c r="Z42" s="54">
        <v>14</v>
      </c>
      <c r="AA42" s="54">
        <v>11</v>
      </c>
      <c r="AB42" s="54">
        <v>7</v>
      </c>
      <c r="AC42" s="54">
        <v>13</v>
      </c>
      <c r="AD42" s="54">
        <v>8</v>
      </c>
      <c r="AE42" s="54">
        <v>5</v>
      </c>
      <c r="AF42" s="54">
        <v>8</v>
      </c>
      <c r="AG42" s="54">
        <v>0</v>
      </c>
      <c r="AH42" s="54">
        <v>0</v>
      </c>
      <c r="AI42" s="54">
        <v>0</v>
      </c>
      <c r="AJ42" s="54">
        <v>0</v>
      </c>
      <c r="AK42" s="55">
        <f t="shared" si="2"/>
        <v>49.6</v>
      </c>
      <c r="AL42" s="20">
        <f t="shared" si="3"/>
        <v>50.4</v>
      </c>
    </row>
    <row r="43" spans="1:38" s="18" customFormat="1" ht="16.5" customHeight="1" thickBot="1" x14ac:dyDescent="0.25">
      <c r="A43" s="16" t="s">
        <v>2</v>
      </c>
      <c r="B43" s="56">
        <f t="shared" si="5"/>
        <v>3715</v>
      </c>
      <c r="C43" s="56">
        <f t="shared" ref="C43:AJ43" si="12">SUM(C44:C57)</f>
        <v>1881</v>
      </c>
      <c r="D43" s="56">
        <f t="shared" si="12"/>
        <v>1834</v>
      </c>
      <c r="E43" s="60">
        <f t="shared" si="12"/>
        <v>0</v>
      </c>
      <c r="F43" s="60">
        <f t="shared" si="12"/>
        <v>0</v>
      </c>
      <c r="G43" s="60">
        <f t="shared" si="12"/>
        <v>0</v>
      </c>
      <c r="H43" s="60">
        <f t="shared" si="12"/>
        <v>0</v>
      </c>
      <c r="I43" s="60">
        <f t="shared" si="12"/>
        <v>151</v>
      </c>
      <c r="J43" s="60">
        <f t="shared" si="12"/>
        <v>155</v>
      </c>
      <c r="K43" s="60">
        <f t="shared" si="12"/>
        <v>188</v>
      </c>
      <c r="L43" s="60">
        <f t="shared" si="12"/>
        <v>187</v>
      </c>
      <c r="M43" s="60">
        <f t="shared" si="12"/>
        <v>150</v>
      </c>
      <c r="N43" s="60">
        <f t="shared" si="12"/>
        <v>152</v>
      </c>
      <c r="O43" s="60">
        <f t="shared" si="12"/>
        <v>160</v>
      </c>
      <c r="P43" s="60">
        <f t="shared" si="12"/>
        <v>138</v>
      </c>
      <c r="Q43" s="60">
        <f t="shared" si="12"/>
        <v>161</v>
      </c>
      <c r="R43" s="60">
        <f t="shared" si="12"/>
        <v>129</v>
      </c>
      <c r="S43" s="60">
        <f t="shared" si="12"/>
        <v>178</v>
      </c>
      <c r="T43" s="60">
        <f t="shared" si="12"/>
        <v>153</v>
      </c>
      <c r="U43" s="60">
        <f t="shared" si="12"/>
        <v>174</v>
      </c>
      <c r="V43" s="60">
        <f t="shared" si="12"/>
        <v>157</v>
      </c>
      <c r="W43" s="60">
        <f t="shared" si="12"/>
        <v>168</v>
      </c>
      <c r="X43" s="60">
        <f t="shared" si="12"/>
        <v>174</v>
      </c>
      <c r="Y43" s="60">
        <f t="shared" si="12"/>
        <v>139</v>
      </c>
      <c r="Z43" s="60">
        <f t="shared" si="12"/>
        <v>148</v>
      </c>
      <c r="AA43" s="60">
        <f t="shared" si="12"/>
        <v>148</v>
      </c>
      <c r="AB43" s="60">
        <f t="shared" si="12"/>
        <v>137</v>
      </c>
      <c r="AC43" s="60">
        <f t="shared" si="12"/>
        <v>122</v>
      </c>
      <c r="AD43" s="60">
        <f t="shared" si="12"/>
        <v>139</v>
      </c>
      <c r="AE43" s="60">
        <f t="shared" si="12"/>
        <v>110</v>
      </c>
      <c r="AF43" s="60">
        <f t="shared" si="12"/>
        <v>127</v>
      </c>
      <c r="AG43" s="60">
        <f t="shared" si="12"/>
        <v>12</v>
      </c>
      <c r="AH43" s="60">
        <f t="shared" si="12"/>
        <v>12</v>
      </c>
      <c r="AI43" s="60">
        <f t="shared" si="12"/>
        <v>20</v>
      </c>
      <c r="AJ43" s="60">
        <f t="shared" si="12"/>
        <v>26</v>
      </c>
      <c r="AK43" s="60">
        <f t="shared" si="2"/>
        <v>50.6</v>
      </c>
      <c r="AL43" s="21">
        <f t="shared" si="3"/>
        <v>49.4</v>
      </c>
    </row>
    <row r="44" spans="1:38" ht="16.5" customHeight="1" x14ac:dyDescent="0.25">
      <c r="A44" s="14" t="s">
        <v>197</v>
      </c>
      <c r="B44" s="52">
        <f t="shared" si="5"/>
        <v>142</v>
      </c>
      <c r="C44" s="52">
        <f t="shared" ref="C44:C57" si="13">E44+G44+I44+K44+M44+O44+Q44+S44+U44+W44+Y44+AA44+AC44+AE44+AG44+AI44</f>
        <v>79</v>
      </c>
      <c r="D44" s="52">
        <f t="shared" ref="D44:D57" si="14">F44+H44+J44+L44+N44+P44+R44+T44+V44+X44+Z44+AB44+AD44+AF44+AH44+AJ44</f>
        <v>63</v>
      </c>
      <c r="E44" s="54">
        <v>0</v>
      </c>
      <c r="F44" s="54">
        <v>0</v>
      </c>
      <c r="G44" s="54">
        <v>0</v>
      </c>
      <c r="H44" s="54">
        <v>0</v>
      </c>
      <c r="I44" s="54">
        <v>8</v>
      </c>
      <c r="J44" s="54">
        <v>2</v>
      </c>
      <c r="K44" s="54">
        <v>6</v>
      </c>
      <c r="L44" s="54">
        <v>10</v>
      </c>
      <c r="M44" s="54">
        <v>7</v>
      </c>
      <c r="N44" s="54">
        <v>11</v>
      </c>
      <c r="O44" s="54">
        <v>9</v>
      </c>
      <c r="P44" s="54">
        <v>8</v>
      </c>
      <c r="Q44" s="54">
        <v>9</v>
      </c>
      <c r="R44" s="54">
        <v>7</v>
      </c>
      <c r="S44" s="54">
        <v>3</v>
      </c>
      <c r="T44" s="54">
        <v>6</v>
      </c>
      <c r="U44" s="54">
        <v>11</v>
      </c>
      <c r="V44" s="54">
        <v>1</v>
      </c>
      <c r="W44" s="54">
        <v>9</v>
      </c>
      <c r="X44" s="54">
        <v>5</v>
      </c>
      <c r="Y44" s="54">
        <v>9</v>
      </c>
      <c r="Z44" s="54">
        <v>5</v>
      </c>
      <c r="AA44" s="54">
        <v>3</v>
      </c>
      <c r="AB44" s="54">
        <v>3</v>
      </c>
      <c r="AC44" s="54">
        <v>5</v>
      </c>
      <c r="AD44" s="54">
        <v>3</v>
      </c>
      <c r="AE44" s="54">
        <v>0</v>
      </c>
      <c r="AF44" s="54">
        <v>2</v>
      </c>
      <c r="AG44" s="54">
        <v>0</v>
      </c>
      <c r="AH44" s="54">
        <v>0</v>
      </c>
      <c r="AI44" s="54">
        <v>0</v>
      </c>
      <c r="AJ44" s="54">
        <v>0</v>
      </c>
      <c r="AK44" s="55">
        <f t="shared" si="2"/>
        <v>55.6</v>
      </c>
      <c r="AL44" s="15">
        <f t="shared" si="3"/>
        <v>44.4</v>
      </c>
    </row>
    <row r="45" spans="1:38" ht="16.5" customHeight="1" x14ac:dyDescent="0.25">
      <c r="A45" s="14" t="s">
        <v>196</v>
      </c>
      <c r="B45" s="52">
        <f t="shared" si="5"/>
        <v>182</v>
      </c>
      <c r="C45" s="52">
        <f t="shared" si="13"/>
        <v>80</v>
      </c>
      <c r="D45" s="52">
        <f t="shared" si="14"/>
        <v>102</v>
      </c>
      <c r="E45" s="54">
        <v>0</v>
      </c>
      <c r="F45" s="54">
        <v>0</v>
      </c>
      <c r="G45" s="54">
        <v>0</v>
      </c>
      <c r="H45" s="54">
        <v>0</v>
      </c>
      <c r="I45" s="54">
        <v>10</v>
      </c>
      <c r="J45" s="54">
        <v>6</v>
      </c>
      <c r="K45" s="54">
        <v>14</v>
      </c>
      <c r="L45" s="54">
        <v>12</v>
      </c>
      <c r="M45" s="54">
        <v>4</v>
      </c>
      <c r="N45" s="54">
        <v>11</v>
      </c>
      <c r="O45" s="54">
        <v>6</v>
      </c>
      <c r="P45" s="54">
        <v>7</v>
      </c>
      <c r="Q45" s="54">
        <v>8</v>
      </c>
      <c r="R45" s="54">
        <v>11</v>
      </c>
      <c r="S45" s="54">
        <v>10</v>
      </c>
      <c r="T45" s="54">
        <v>5</v>
      </c>
      <c r="U45" s="54">
        <v>7</v>
      </c>
      <c r="V45" s="54">
        <v>10</v>
      </c>
      <c r="W45" s="54">
        <v>7</v>
      </c>
      <c r="X45" s="54">
        <v>8</v>
      </c>
      <c r="Y45" s="54">
        <v>4</v>
      </c>
      <c r="Z45" s="54">
        <v>8</v>
      </c>
      <c r="AA45" s="54">
        <v>2</v>
      </c>
      <c r="AB45" s="54">
        <v>7</v>
      </c>
      <c r="AC45" s="54">
        <v>5</v>
      </c>
      <c r="AD45" s="54">
        <v>7</v>
      </c>
      <c r="AE45" s="54">
        <v>3</v>
      </c>
      <c r="AF45" s="54">
        <v>10</v>
      </c>
      <c r="AG45" s="54">
        <v>0</v>
      </c>
      <c r="AH45" s="54">
        <v>0</v>
      </c>
      <c r="AI45" s="54">
        <v>0</v>
      </c>
      <c r="AJ45" s="54">
        <v>0</v>
      </c>
      <c r="AK45" s="55">
        <f t="shared" si="2"/>
        <v>44</v>
      </c>
      <c r="AL45" s="15">
        <f t="shared" si="3"/>
        <v>56</v>
      </c>
    </row>
    <row r="46" spans="1:38" ht="16.5" customHeight="1" x14ac:dyDescent="0.25">
      <c r="A46" s="14" t="s">
        <v>54</v>
      </c>
      <c r="B46" s="52">
        <f t="shared" si="5"/>
        <v>229</v>
      </c>
      <c r="C46" s="52">
        <f t="shared" si="13"/>
        <v>101</v>
      </c>
      <c r="D46" s="52">
        <f t="shared" si="14"/>
        <v>128</v>
      </c>
      <c r="E46" s="54">
        <v>0</v>
      </c>
      <c r="F46" s="54">
        <v>0</v>
      </c>
      <c r="G46" s="54">
        <v>0</v>
      </c>
      <c r="H46" s="54">
        <v>0</v>
      </c>
      <c r="I46" s="54">
        <v>3</v>
      </c>
      <c r="J46" s="54">
        <v>16</v>
      </c>
      <c r="K46" s="54">
        <v>8</v>
      </c>
      <c r="L46" s="54">
        <v>15</v>
      </c>
      <c r="M46" s="54">
        <v>7</v>
      </c>
      <c r="N46" s="54">
        <v>12</v>
      </c>
      <c r="O46" s="54">
        <v>12</v>
      </c>
      <c r="P46" s="54">
        <v>7</v>
      </c>
      <c r="Q46" s="54">
        <v>8</v>
      </c>
      <c r="R46" s="54">
        <v>9</v>
      </c>
      <c r="S46" s="54">
        <v>10</v>
      </c>
      <c r="T46" s="54">
        <v>9</v>
      </c>
      <c r="U46" s="54">
        <v>12</v>
      </c>
      <c r="V46" s="54">
        <v>10</v>
      </c>
      <c r="W46" s="54">
        <v>8</v>
      </c>
      <c r="X46" s="54">
        <v>16</v>
      </c>
      <c r="Y46" s="54">
        <v>9</v>
      </c>
      <c r="Z46" s="54">
        <v>8</v>
      </c>
      <c r="AA46" s="54">
        <v>9</v>
      </c>
      <c r="AB46" s="54">
        <v>9</v>
      </c>
      <c r="AC46" s="54">
        <v>10</v>
      </c>
      <c r="AD46" s="54">
        <v>7</v>
      </c>
      <c r="AE46" s="54">
        <v>5</v>
      </c>
      <c r="AF46" s="54">
        <v>10</v>
      </c>
      <c r="AG46" s="54">
        <v>0</v>
      </c>
      <c r="AH46" s="54">
        <v>0</v>
      </c>
      <c r="AI46" s="54">
        <v>0</v>
      </c>
      <c r="AJ46" s="54">
        <v>0</v>
      </c>
      <c r="AK46" s="55">
        <f t="shared" si="2"/>
        <v>44.1</v>
      </c>
      <c r="AL46" s="15">
        <f t="shared" si="3"/>
        <v>55.9</v>
      </c>
    </row>
    <row r="47" spans="1:38" ht="16.5" customHeight="1" x14ac:dyDescent="0.25">
      <c r="A47" s="14" t="s">
        <v>55</v>
      </c>
      <c r="B47" s="52">
        <f t="shared" si="5"/>
        <v>461</v>
      </c>
      <c r="C47" s="52">
        <f t="shared" si="13"/>
        <v>224</v>
      </c>
      <c r="D47" s="52">
        <f t="shared" si="14"/>
        <v>237</v>
      </c>
      <c r="E47" s="54">
        <v>0</v>
      </c>
      <c r="F47" s="54">
        <v>0</v>
      </c>
      <c r="G47" s="54">
        <v>0</v>
      </c>
      <c r="H47" s="54">
        <v>0</v>
      </c>
      <c r="I47" s="54">
        <v>19</v>
      </c>
      <c r="J47" s="54">
        <v>17</v>
      </c>
      <c r="K47" s="54">
        <v>15</v>
      </c>
      <c r="L47" s="54">
        <v>18</v>
      </c>
      <c r="M47" s="54">
        <v>24</v>
      </c>
      <c r="N47" s="54">
        <v>23</v>
      </c>
      <c r="O47" s="54">
        <v>17</v>
      </c>
      <c r="P47" s="54">
        <v>20</v>
      </c>
      <c r="Q47" s="54">
        <v>16</v>
      </c>
      <c r="R47" s="54">
        <v>15</v>
      </c>
      <c r="S47" s="54">
        <v>22</v>
      </c>
      <c r="T47" s="54">
        <v>18</v>
      </c>
      <c r="U47" s="54">
        <v>18</v>
      </c>
      <c r="V47" s="54">
        <v>24</v>
      </c>
      <c r="W47" s="54">
        <v>19</v>
      </c>
      <c r="X47" s="54">
        <v>12</v>
      </c>
      <c r="Y47" s="54">
        <v>17</v>
      </c>
      <c r="Z47" s="54">
        <v>20</v>
      </c>
      <c r="AA47" s="54">
        <v>16</v>
      </c>
      <c r="AB47" s="54">
        <v>25</v>
      </c>
      <c r="AC47" s="54">
        <v>16</v>
      </c>
      <c r="AD47" s="54">
        <v>13</v>
      </c>
      <c r="AE47" s="54">
        <v>15</v>
      </c>
      <c r="AF47" s="54">
        <v>20</v>
      </c>
      <c r="AG47" s="54">
        <v>4</v>
      </c>
      <c r="AH47" s="54">
        <v>2</v>
      </c>
      <c r="AI47" s="54">
        <v>6</v>
      </c>
      <c r="AJ47" s="54">
        <v>10</v>
      </c>
      <c r="AK47" s="55">
        <f t="shared" si="2"/>
        <v>48.6</v>
      </c>
      <c r="AL47" s="15">
        <f t="shared" si="3"/>
        <v>51.4</v>
      </c>
    </row>
    <row r="48" spans="1:38" ht="16.5" customHeight="1" x14ac:dyDescent="0.25">
      <c r="A48" s="14" t="s">
        <v>53</v>
      </c>
      <c r="B48" s="52">
        <f t="shared" si="5"/>
        <v>613</v>
      </c>
      <c r="C48" s="52">
        <f t="shared" si="13"/>
        <v>305</v>
      </c>
      <c r="D48" s="52">
        <f t="shared" si="14"/>
        <v>308</v>
      </c>
      <c r="E48" s="54">
        <v>0</v>
      </c>
      <c r="F48" s="54">
        <v>0</v>
      </c>
      <c r="G48" s="54">
        <v>0</v>
      </c>
      <c r="H48" s="54">
        <v>0</v>
      </c>
      <c r="I48" s="54">
        <v>22</v>
      </c>
      <c r="J48" s="54">
        <v>30</v>
      </c>
      <c r="K48" s="54">
        <v>28</v>
      </c>
      <c r="L48" s="54">
        <v>29</v>
      </c>
      <c r="M48" s="54">
        <v>25</v>
      </c>
      <c r="N48" s="54">
        <v>14</v>
      </c>
      <c r="O48" s="54">
        <v>27</v>
      </c>
      <c r="P48" s="54">
        <v>25</v>
      </c>
      <c r="Q48" s="54">
        <v>24</v>
      </c>
      <c r="R48" s="54">
        <v>19</v>
      </c>
      <c r="S48" s="54">
        <v>32</v>
      </c>
      <c r="T48" s="54">
        <v>24</v>
      </c>
      <c r="U48" s="54">
        <v>20</v>
      </c>
      <c r="V48" s="54">
        <v>25</v>
      </c>
      <c r="W48" s="54">
        <v>25</v>
      </c>
      <c r="X48" s="54">
        <v>38</v>
      </c>
      <c r="Y48" s="54">
        <v>19</v>
      </c>
      <c r="Z48" s="54">
        <v>25</v>
      </c>
      <c r="AA48" s="54">
        <v>29</v>
      </c>
      <c r="AB48" s="54">
        <v>14</v>
      </c>
      <c r="AC48" s="54">
        <v>14</v>
      </c>
      <c r="AD48" s="54">
        <v>26</v>
      </c>
      <c r="AE48" s="54">
        <v>29</v>
      </c>
      <c r="AF48" s="54">
        <v>22</v>
      </c>
      <c r="AG48" s="54">
        <v>3</v>
      </c>
      <c r="AH48" s="54">
        <v>7</v>
      </c>
      <c r="AI48" s="54">
        <v>8</v>
      </c>
      <c r="AJ48" s="54">
        <v>10</v>
      </c>
      <c r="AK48" s="55">
        <f t="shared" si="2"/>
        <v>49.8</v>
      </c>
      <c r="AL48" s="15">
        <f t="shared" si="3"/>
        <v>50.2</v>
      </c>
    </row>
    <row r="49" spans="1:38" ht="16.5" customHeight="1" x14ac:dyDescent="0.25">
      <c r="A49" s="14" t="s">
        <v>56</v>
      </c>
      <c r="B49" s="52">
        <f t="shared" si="5"/>
        <v>130</v>
      </c>
      <c r="C49" s="52">
        <f t="shared" si="13"/>
        <v>67</v>
      </c>
      <c r="D49" s="52">
        <f t="shared" si="14"/>
        <v>63</v>
      </c>
      <c r="E49" s="54">
        <v>0</v>
      </c>
      <c r="F49" s="54">
        <v>0</v>
      </c>
      <c r="G49" s="54">
        <v>0</v>
      </c>
      <c r="H49" s="54">
        <v>0</v>
      </c>
      <c r="I49" s="54">
        <v>3</v>
      </c>
      <c r="J49" s="54">
        <v>9</v>
      </c>
      <c r="K49" s="54">
        <v>5</v>
      </c>
      <c r="L49" s="54">
        <v>7</v>
      </c>
      <c r="M49" s="54">
        <v>5</v>
      </c>
      <c r="N49" s="54">
        <v>5</v>
      </c>
      <c r="O49" s="54">
        <v>4</v>
      </c>
      <c r="P49" s="54">
        <v>5</v>
      </c>
      <c r="Q49" s="54">
        <v>9</v>
      </c>
      <c r="R49" s="54">
        <v>6</v>
      </c>
      <c r="S49" s="54">
        <v>9</v>
      </c>
      <c r="T49" s="54">
        <v>3</v>
      </c>
      <c r="U49" s="54">
        <v>7</v>
      </c>
      <c r="V49" s="54">
        <v>7</v>
      </c>
      <c r="W49" s="54">
        <v>7</v>
      </c>
      <c r="X49" s="54">
        <v>5</v>
      </c>
      <c r="Y49" s="54">
        <v>5</v>
      </c>
      <c r="Z49" s="54">
        <v>6</v>
      </c>
      <c r="AA49" s="54">
        <v>4</v>
      </c>
      <c r="AB49" s="54">
        <v>2</v>
      </c>
      <c r="AC49" s="54">
        <v>3</v>
      </c>
      <c r="AD49" s="54">
        <v>3</v>
      </c>
      <c r="AE49" s="54">
        <v>6</v>
      </c>
      <c r="AF49" s="54">
        <v>5</v>
      </c>
      <c r="AG49" s="54">
        <v>0</v>
      </c>
      <c r="AH49" s="54">
        <v>0</v>
      </c>
      <c r="AI49" s="54">
        <v>0</v>
      </c>
      <c r="AJ49" s="54">
        <v>0</v>
      </c>
      <c r="AK49" s="55">
        <f t="shared" si="2"/>
        <v>51.5</v>
      </c>
      <c r="AL49" s="15">
        <f t="shared" si="3"/>
        <v>48.5</v>
      </c>
    </row>
    <row r="50" spans="1:38" ht="16.5" customHeight="1" x14ac:dyDescent="0.25">
      <c r="A50" s="14" t="s">
        <v>195</v>
      </c>
      <c r="B50" s="52">
        <f t="shared" si="5"/>
        <v>338</v>
      </c>
      <c r="C50" s="52">
        <f t="shared" si="13"/>
        <v>165</v>
      </c>
      <c r="D50" s="52">
        <f t="shared" si="14"/>
        <v>173</v>
      </c>
      <c r="E50" s="54">
        <v>0</v>
      </c>
      <c r="F50" s="54">
        <v>0</v>
      </c>
      <c r="G50" s="54">
        <v>0</v>
      </c>
      <c r="H50" s="54">
        <v>0</v>
      </c>
      <c r="I50" s="54">
        <v>12</v>
      </c>
      <c r="J50" s="54">
        <v>13</v>
      </c>
      <c r="K50" s="54">
        <v>30</v>
      </c>
      <c r="L50" s="54">
        <v>20</v>
      </c>
      <c r="M50" s="54">
        <v>12</v>
      </c>
      <c r="N50" s="54">
        <v>11</v>
      </c>
      <c r="O50" s="54">
        <v>16</v>
      </c>
      <c r="P50" s="54">
        <v>10</v>
      </c>
      <c r="Q50" s="54">
        <v>12</v>
      </c>
      <c r="R50" s="54">
        <v>10</v>
      </c>
      <c r="S50" s="54">
        <v>10</v>
      </c>
      <c r="T50" s="54">
        <v>23</v>
      </c>
      <c r="U50" s="54">
        <v>15</v>
      </c>
      <c r="V50" s="54">
        <v>17</v>
      </c>
      <c r="W50" s="54">
        <v>9</v>
      </c>
      <c r="X50" s="54">
        <v>9</v>
      </c>
      <c r="Y50" s="54">
        <v>13</v>
      </c>
      <c r="Z50" s="54">
        <v>14</v>
      </c>
      <c r="AA50" s="54">
        <v>13</v>
      </c>
      <c r="AB50" s="54">
        <v>20</v>
      </c>
      <c r="AC50" s="54">
        <v>13</v>
      </c>
      <c r="AD50" s="54">
        <v>19</v>
      </c>
      <c r="AE50" s="54">
        <v>10</v>
      </c>
      <c r="AF50" s="54">
        <v>7</v>
      </c>
      <c r="AG50" s="54">
        <v>0</v>
      </c>
      <c r="AH50" s="54">
        <v>0</v>
      </c>
      <c r="AI50" s="54">
        <v>0</v>
      </c>
      <c r="AJ50" s="54">
        <v>0</v>
      </c>
      <c r="AK50" s="55">
        <f t="shared" si="2"/>
        <v>48.8</v>
      </c>
      <c r="AL50" s="15">
        <f t="shared" si="3"/>
        <v>51.2</v>
      </c>
    </row>
    <row r="51" spans="1:38" ht="16.5" customHeight="1" x14ac:dyDescent="0.25">
      <c r="A51" s="14" t="s">
        <v>52</v>
      </c>
      <c r="B51" s="52">
        <f t="shared" si="5"/>
        <v>230</v>
      </c>
      <c r="C51" s="52">
        <f t="shared" si="13"/>
        <v>120</v>
      </c>
      <c r="D51" s="52">
        <f t="shared" si="14"/>
        <v>110</v>
      </c>
      <c r="E51" s="54">
        <v>0</v>
      </c>
      <c r="F51" s="54">
        <v>0</v>
      </c>
      <c r="G51" s="54">
        <v>0</v>
      </c>
      <c r="H51" s="54">
        <v>0</v>
      </c>
      <c r="I51" s="54">
        <v>8</v>
      </c>
      <c r="J51" s="54">
        <v>11</v>
      </c>
      <c r="K51" s="54">
        <v>14</v>
      </c>
      <c r="L51" s="54">
        <v>8</v>
      </c>
      <c r="M51" s="54">
        <v>7</v>
      </c>
      <c r="N51" s="54">
        <v>13</v>
      </c>
      <c r="O51" s="54">
        <v>10</v>
      </c>
      <c r="P51" s="54">
        <v>9</v>
      </c>
      <c r="Q51" s="54">
        <v>13</v>
      </c>
      <c r="R51" s="54">
        <v>7</v>
      </c>
      <c r="S51" s="54">
        <v>6</v>
      </c>
      <c r="T51" s="54">
        <v>8</v>
      </c>
      <c r="U51" s="54">
        <v>12</v>
      </c>
      <c r="V51" s="54">
        <v>6</v>
      </c>
      <c r="W51" s="54">
        <v>12</v>
      </c>
      <c r="X51" s="54">
        <v>6</v>
      </c>
      <c r="Y51" s="54">
        <v>13</v>
      </c>
      <c r="Z51" s="54">
        <v>13</v>
      </c>
      <c r="AA51" s="54">
        <v>12</v>
      </c>
      <c r="AB51" s="54">
        <v>15</v>
      </c>
      <c r="AC51" s="54">
        <v>8</v>
      </c>
      <c r="AD51" s="54">
        <v>9</v>
      </c>
      <c r="AE51" s="54">
        <v>5</v>
      </c>
      <c r="AF51" s="54">
        <v>5</v>
      </c>
      <c r="AG51" s="54">
        <v>0</v>
      </c>
      <c r="AH51" s="54">
        <v>0</v>
      </c>
      <c r="AI51" s="54">
        <v>0</v>
      </c>
      <c r="AJ51" s="54">
        <v>0</v>
      </c>
      <c r="AK51" s="55">
        <f t="shared" si="2"/>
        <v>52.2</v>
      </c>
      <c r="AL51" s="15">
        <f t="shared" si="3"/>
        <v>47.8</v>
      </c>
    </row>
    <row r="52" spans="1:38" ht="16.5" customHeight="1" x14ac:dyDescent="0.25">
      <c r="A52" s="14" t="s">
        <v>57</v>
      </c>
      <c r="B52" s="52">
        <f t="shared" si="5"/>
        <v>171</v>
      </c>
      <c r="C52" s="52">
        <f t="shared" si="13"/>
        <v>87</v>
      </c>
      <c r="D52" s="52">
        <f t="shared" si="14"/>
        <v>84</v>
      </c>
      <c r="E52" s="54">
        <v>0</v>
      </c>
      <c r="F52" s="54">
        <v>0</v>
      </c>
      <c r="G52" s="54">
        <v>0</v>
      </c>
      <c r="H52" s="54">
        <v>0</v>
      </c>
      <c r="I52" s="54">
        <v>5</v>
      </c>
      <c r="J52" s="54">
        <v>9</v>
      </c>
      <c r="K52" s="54">
        <v>9</v>
      </c>
      <c r="L52" s="54">
        <v>11</v>
      </c>
      <c r="M52" s="54">
        <v>9</v>
      </c>
      <c r="N52" s="54">
        <v>8</v>
      </c>
      <c r="O52" s="54">
        <v>6</v>
      </c>
      <c r="P52" s="54">
        <v>8</v>
      </c>
      <c r="Q52" s="54">
        <v>6</v>
      </c>
      <c r="R52" s="54">
        <v>1</v>
      </c>
      <c r="S52" s="54">
        <v>8</v>
      </c>
      <c r="T52" s="54">
        <v>6</v>
      </c>
      <c r="U52" s="54">
        <v>10</v>
      </c>
      <c r="V52" s="54">
        <v>9</v>
      </c>
      <c r="W52" s="54">
        <v>9</v>
      </c>
      <c r="X52" s="54">
        <v>8</v>
      </c>
      <c r="Y52" s="54">
        <v>9</v>
      </c>
      <c r="Z52" s="54">
        <v>3</v>
      </c>
      <c r="AA52" s="54">
        <v>7</v>
      </c>
      <c r="AB52" s="54">
        <v>5</v>
      </c>
      <c r="AC52" s="54">
        <v>5</v>
      </c>
      <c r="AD52" s="54">
        <v>10</v>
      </c>
      <c r="AE52" s="54">
        <v>4</v>
      </c>
      <c r="AF52" s="54">
        <v>6</v>
      </c>
      <c r="AG52" s="54">
        <v>0</v>
      </c>
      <c r="AH52" s="54">
        <v>0</v>
      </c>
      <c r="AI52" s="54">
        <v>0</v>
      </c>
      <c r="AJ52" s="54">
        <v>0</v>
      </c>
      <c r="AK52" s="55">
        <f t="shared" si="2"/>
        <v>50.9</v>
      </c>
      <c r="AL52" s="15">
        <f t="shared" si="3"/>
        <v>49.1</v>
      </c>
    </row>
    <row r="53" spans="1:38" ht="16.5" customHeight="1" x14ac:dyDescent="0.25">
      <c r="A53" s="14" t="s">
        <v>199</v>
      </c>
      <c r="B53" s="52">
        <f t="shared" si="5"/>
        <v>248</v>
      </c>
      <c r="C53" s="52">
        <f t="shared" si="13"/>
        <v>121</v>
      </c>
      <c r="D53" s="52">
        <f t="shared" si="14"/>
        <v>127</v>
      </c>
      <c r="E53" s="54">
        <v>0</v>
      </c>
      <c r="F53" s="54">
        <v>0</v>
      </c>
      <c r="G53" s="54">
        <v>0</v>
      </c>
      <c r="H53" s="54">
        <v>0</v>
      </c>
      <c r="I53" s="54">
        <v>11</v>
      </c>
      <c r="J53" s="54">
        <v>6</v>
      </c>
      <c r="K53" s="54">
        <v>17</v>
      </c>
      <c r="L53" s="54">
        <v>16</v>
      </c>
      <c r="M53" s="54">
        <v>10</v>
      </c>
      <c r="N53" s="54">
        <v>5</v>
      </c>
      <c r="O53" s="54">
        <v>11</v>
      </c>
      <c r="P53" s="54">
        <v>6</v>
      </c>
      <c r="Q53" s="54">
        <v>10</v>
      </c>
      <c r="R53" s="54">
        <v>14</v>
      </c>
      <c r="S53" s="54">
        <v>11</v>
      </c>
      <c r="T53" s="54">
        <v>12</v>
      </c>
      <c r="U53" s="54">
        <v>14</v>
      </c>
      <c r="V53" s="54">
        <v>10</v>
      </c>
      <c r="W53" s="54">
        <v>8</v>
      </c>
      <c r="X53" s="54">
        <v>20</v>
      </c>
      <c r="Y53" s="54">
        <v>6</v>
      </c>
      <c r="Z53" s="54">
        <v>7</v>
      </c>
      <c r="AA53" s="54">
        <v>9</v>
      </c>
      <c r="AB53" s="54">
        <v>8</v>
      </c>
      <c r="AC53" s="54">
        <v>4</v>
      </c>
      <c r="AD53" s="54">
        <v>12</v>
      </c>
      <c r="AE53" s="54">
        <v>10</v>
      </c>
      <c r="AF53" s="54">
        <v>11</v>
      </c>
      <c r="AG53" s="54">
        <v>0</v>
      </c>
      <c r="AH53" s="54">
        <v>0</v>
      </c>
      <c r="AI53" s="54">
        <v>0</v>
      </c>
      <c r="AJ53" s="54">
        <v>0</v>
      </c>
      <c r="AK53" s="55">
        <f t="shared" si="2"/>
        <v>48.8</v>
      </c>
      <c r="AL53" s="15">
        <f t="shared" si="3"/>
        <v>51.2</v>
      </c>
    </row>
    <row r="54" spans="1:38" ht="16.5" customHeight="1" x14ac:dyDescent="0.25">
      <c r="A54" s="14" t="s">
        <v>59</v>
      </c>
      <c r="B54" s="52">
        <f t="shared" si="5"/>
        <v>112</v>
      </c>
      <c r="C54" s="52">
        <f t="shared" si="13"/>
        <v>57</v>
      </c>
      <c r="D54" s="52">
        <f t="shared" si="14"/>
        <v>55</v>
      </c>
      <c r="E54" s="54">
        <v>0</v>
      </c>
      <c r="F54" s="54">
        <v>0</v>
      </c>
      <c r="G54" s="54">
        <v>0</v>
      </c>
      <c r="H54" s="54">
        <v>0</v>
      </c>
      <c r="I54" s="54">
        <v>8</v>
      </c>
      <c r="J54" s="54">
        <v>1</v>
      </c>
      <c r="K54" s="54">
        <v>7</v>
      </c>
      <c r="L54" s="54">
        <v>5</v>
      </c>
      <c r="M54" s="54">
        <v>4</v>
      </c>
      <c r="N54" s="54">
        <v>5</v>
      </c>
      <c r="O54" s="54">
        <v>2</v>
      </c>
      <c r="P54" s="54">
        <v>4</v>
      </c>
      <c r="Q54" s="54">
        <v>7</v>
      </c>
      <c r="R54" s="54">
        <v>7</v>
      </c>
      <c r="S54" s="54">
        <v>3</v>
      </c>
      <c r="T54" s="54">
        <v>4</v>
      </c>
      <c r="U54" s="54">
        <v>3</v>
      </c>
      <c r="V54" s="54">
        <v>5</v>
      </c>
      <c r="W54" s="54">
        <v>5</v>
      </c>
      <c r="X54" s="54">
        <v>2</v>
      </c>
      <c r="Y54" s="54">
        <v>5</v>
      </c>
      <c r="Z54" s="54">
        <v>9</v>
      </c>
      <c r="AA54" s="54">
        <v>3</v>
      </c>
      <c r="AB54" s="54">
        <v>7</v>
      </c>
      <c r="AC54" s="54">
        <v>6</v>
      </c>
      <c r="AD54" s="54">
        <v>4</v>
      </c>
      <c r="AE54" s="54">
        <v>4</v>
      </c>
      <c r="AF54" s="54">
        <v>2</v>
      </c>
      <c r="AG54" s="54">
        <v>0</v>
      </c>
      <c r="AH54" s="54">
        <v>0</v>
      </c>
      <c r="AI54" s="54">
        <v>0</v>
      </c>
      <c r="AJ54" s="54">
        <v>0</v>
      </c>
      <c r="AK54" s="55">
        <f t="shared" si="2"/>
        <v>50.9</v>
      </c>
      <c r="AL54" s="15">
        <f t="shared" si="3"/>
        <v>49.1</v>
      </c>
    </row>
    <row r="55" spans="1:38" ht="16.5" customHeight="1" x14ac:dyDescent="0.25">
      <c r="A55" s="14" t="s">
        <v>60</v>
      </c>
      <c r="B55" s="52">
        <f t="shared" si="5"/>
        <v>623</v>
      </c>
      <c r="C55" s="52">
        <f t="shared" si="13"/>
        <v>339</v>
      </c>
      <c r="D55" s="52">
        <f t="shared" si="14"/>
        <v>284</v>
      </c>
      <c r="E55" s="54">
        <v>0</v>
      </c>
      <c r="F55" s="54">
        <v>0</v>
      </c>
      <c r="G55" s="54">
        <v>0</v>
      </c>
      <c r="H55" s="54">
        <v>0</v>
      </c>
      <c r="I55" s="54">
        <v>28</v>
      </c>
      <c r="J55" s="54">
        <v>25</v>
      </c>
      <c r="K55" s="54">
        <v>24</v>
      </c>
      <c r="L55" s="54">
        <v>28</v>
      </c>
      <c r="M55" s="54">
        <v>27</v>
      </c>
      <c r="N55" s="54">
        <v>24</v>
      </c>
      <c r="O55" s="54">
        <v>27</v>
      </c>
      <c r="P55" s="54">
        <v>21</v>
      </c>
      <c r="Q55" s="54">
        <v>30</v>
      </c>
      <c r="R55" s="54">
        <v>16</v>
      </c>
      <c r="S55" s="54">
        <v>38</v>
      </c>
      <c r="T55" s="54">
        <v>24</v>
      </c>
      <c r="U55" s="54">
        <v>36</v>
      </c>
      <c r="V55" s="54">
        <v>26</v>
      </c>
      <c r="W55" s="54">
        <v>38</v>
      </c>
      <c r="X55" s="54">
        <v>35</v>
      </c>
      <c r="Y55" s="54">
        <v>18</v>
      </c>
      <c r="Z55" s="54">
        <v>25</v>
      </c>
      <c r="AA55" s="54">
        <v>26</v>
      </c>
      <c r="AB55" s="54">
        <v>17</v>
      </c>
      <c r="AC55" s="54">
        <v>22</v>
      </c>
      <c r="AD55" s="54">
        <v>18</v>
      </c>
      <c r="AE55" s="54">
        <v>14</v>
      </c>
      <c r="AF55" s="54">
        <v>16</v>
      </c>
      <c r="AG55" s="54">
        <v>5</v>
      </c>
      <c r="AH55" s="54">
        <v>3</v>
      </c>
      <c r="AI55" s="54">
        <v>6</v>
      </c>
      <c r="AJ55" s="54">
        <v>6</v>
      </c>
      <c r="AK55" s="55">
        <f t="shared" si="2"/>
        <v>54.4</v>
      </c>
      <c r="AL55" s="15">
        <f t="shared" si="3"/>
        <v>45.6</v>
      </c>
    </row>
    <row r="56" spans="1:38" ht="16.5" customHeight="1" x14ac:dyDescent="0.25">
      <c r="A56" s="14" t="s">
        <v>58</v>
      </c>
      <c r="B56" s="52">
        <f t="shared" si="5"/>
        <v>147</v>
      </c>
      <c r="C56" s="52">
        <f t="shared" si="13"/>
        <v>89</v>
      </c>
      <c r="D56" s="52">
        <f t="shared" si="14"/>
        <v>58</v>
      </c>
      <c r="E56" s="54">
        <v>0</v>
      </c>
      <c r="F56" s="54">
        <v>0</v>
      </c>
      <c r="G56" s="54">
        <v>0</v>
      </c>
      <c r="H56" s="54">
        <v>0</v>
      </c>
      <c r="I56" s="54">
        <v>11</v>
      </c>
      <c r="J56" s="54">
        <v>7</v>
      </c>
      <c r="K56" s="54">
        <v>7</v>
      </c>
      <c r="L56" s="54">
        <v>6</v>
      </c>
      <c r="M56" s="54">
        <v>3</v>
      </c>
      <c r="N56" s="54">
        <v>5</v>
      </c>
      <c r="O56" s="54">
        <v>7</v>
      </c>
      <c r="P56" s="54">
        <v>3</v>
      </c>
      <c r="Q56" s="54">
        <v>5</v>
      </c>
      <c r="R56" s="54">
        <v>3</v>
      </c>
      <c r="S56" s="54">
        <v>11</v>
      </c>
      <c r="T56" s="54">
        <v>8</v>
      </c>
      <c r="U56" s="54">
        <v>5</v>
      </c>
      <c r="V56" s="54">
        <v>6</v>
      </c>
      <c r="W56" s="54">
        <v>8</v>
      </c>
      <c r="X56" s="54">
        <v>6</v>
      </c>
      <c r="Y56" s="54">
        <v>8</v>
      </c>
      <c r="Z56" s="54">
        <v>1</v>
      </c>
      <c r="AA56" s="54">
        <v>10</v>
      </c>
      <c r="AB56" s="54">
        <v>3</v>
      </c>
      <c r="AC56" s="54">
        <v>10</v>
      </c>
      <c r="AD56" s="54">
        <v>5</v>
      </c>
      <c r="AE56" s="54">
        <v>4</v>
      </c>
      <c r="AF56" s="54">
        <v>5</v>
      </c>
      <c r="AG56" s="54">
        <v>0</v>
      </c>
      <c r="AH56" s="54">
        <v>0</v>
      </c>
      <c r="AI56" s="54">
        <v>0</v>
      </c>
      <c r="AJ56" s="54">
        <v>0</v>
      </c>
      <c r="AK56" s="55">
        <f t="shared" si="2"/>
        <v>60.5</v>
      </c>
      <c r="AL56" s="15">
        <f t="shared" si="3"/>
        <v>39.5</v>
      </c>
    </row>
    <row r="57" spans="1:38" ht="16.5" customHeight="1" x14ac:dyDescent="0.25">
      <c r="A57" s="14" t="s">
        <v>198</v>
      </c>
      <c r="B57" s="52">
        <f t="shared" si="5"/>
        <v>89</v>
      </c>
      <c r="C57" s="52">
        <f t="shared" si="13"/>
        <v>47</v>
      </c>
      <c r="D57" s="52">
        <f t="shared" si="14"/>
        <v>42</v>
      </c>
      <c r="E57" s="54">
        <v>0</v>
      </c>
      <c r="F57" s="54">
        <v>0</v>
      </c>
      <c r="G57" s="54">
        <v>0</v>
      </c>
      <c r="H57" s="54">
        <v>0</v>
      </c>
      <c r="I57" s="54">
        <v>3</v>
      </c>
      <c r="J57" s="54">
        <v>3</v>
      </c>
      <c r="K57" s="54">
        <v>4</v>
      </c>
      <c r="L57" s="54">
        <v>2</v>
      </c>
      <c r="M57" s="54">
        <v>6</v>
      </c>
      <c r="N57" s="54">
        <v>5</v>
      </c>
      <c r="O57" s="54">
        <v>6</v>
      </c>
      <c r="P57" s="54">
        <v>5</v>
      </c>
      <c r="Q57" s="54">
        <v>4</v>
      </c>
      <c r="R57" s="54">
        <v>4</v>
      </c>
      <c r="S57" s="54">
        <v>5</v>
      </c>
      <c r="T57" s="54">
        <v>3</v>
      </c>
      <c r="U57" s="54">
        <v>4</v>
      </c>
      <c r="V57" s="54">
        <v>1</v>
      </c>
      <c r="W57" s="54">
        <v>4</v>
      </c>
      <c r="X57" s="54">
        <v>4</v>
      </c>
      <c r="Y57" s="54">
        <v>4</v>
      </c>
      <c r="Z57" s="54">
        <v>4</v>
      </c>
      <c r="AA57" s="54">
        <v>5</v>
      </c>
      <c r="AB57" s="54">
        <v>2</v>
      </c>
      <c r="AC57" s="54">
        <v>1</v>
      </c>
      <c r="AD57" s="54">
        <v>3</v>
      </c>
      <c r="AE57" s="54">
        <v>1</v>
      </c>
      <c r="AF57" s="54">
        <v>6</v>
      </c>
      <c r="AG57" s="54">
        <v>0</v>
      </c>
      <c r="AH57" s="54">
        <v>0</v>
      </c>
      <c r="AI57" s="54">
        <v>0</v>
      </c>
      <c r="AJ57" s="54">
        <v>0</v>
      </c>
      <c r="AK57" s="55">
        <f t="shared" si="2"/>
        <v>52.8</v>
      </c>
      <c r="AL57" s="15">
        <f t="shared" si="3"/>
        <v>47.2</v>
      </c>
    </row>
    <row r="58" spans="1:38" s="18" customFormat="1" ht="16.5" customHeight="1" thickBot="1" x14ac:dyDescent="0.25">
      <c r="A58" s="16" t="s">
        <v>4</v>
      </c>
      <c r="B58" s="56">
        <f t="shared" si="5"/>
        <v>3211</v>
      </c>
      <c r="C58" s="56">
        <f t="shared" ref="C58:AJ58" si="15">SUM(C59:C71)</f>
        <v>1633</v>
      </c>
      <c r="D58" s="56">
        <f t="shared" si="15"/>
        <v>1578</v>
      </c>
      <c r="E58" s="60">
        <f t="shared" si="15"/>
        <v>0</v>
      </c>
      <c r="F58" s="60">
        <f t="shared" si="15"/>
        <v>0</v>
      </c>
      <c r="G58" s="60">
        <f t="shared" si="15"/>
        <v>19</v>
      </c>
      <c r="H58" s="60">
        <f t="shared" si="15"/>
        <v>19</v>
      </c>
      <c r="I58" s="60">
        <f t="shared" si="15"/>
        <v>148</v>
      </c>
      <c r="J58" s="60">
        <f t="shared" si="15"/>
        <v>127</v>
      </c>
      <c r="K58" s="60">
        <f t="shared" si="15"/>
        <v>171</v>
      </c>
      <c r="L58" s="60">
        <f t="shared" si="15"/>
        <v>166</v>
      </c>
      <c r="M58" s="60">
        <f t="shared" si="15"/>
        <v>124</v>
      </c>
      <c r="N58" s="60">
        <f t="shared" si="15"/>
        <v>121</v>
      </c>
      <c r="O58" s="60">
        <f t="shared" si="15"/>
        <v>139</v>
      </c>
      <c r="P58" s="60">
        <f t="shared" si="15"/>
        <v>127</v>
      </c>
      <c r="Q58" s="60">
        <f t="shared" si="15"/>
        <v>134</v>
      </c>
      <c r="R58" s="60">
        <f t="shared" si="15"/>
        <v>125</v>
      </c>
      <c r="S58" s="60">
        <f t="shared" si="15"/>
        <v>143</v>
      </c>
      <c r="T58" s="60">
        <f t="shared" si="15"/>
        <v>158</v>
      </c>
      <c r="U58" s="60">
        <f t="shared" si="15"/>
        <v>146</v>
      </c>
      <c r="V58" s="60">
        <f t="shared" si="15"/>
        <v>130</v>
      </c>
      <c r="W58" s="60">
        <f t="shared" si="15"/>
        <v>155</v>
      </c>
      <c r="X58" s="60">
        <f t="shared" si="15"/>
        <v>147</v>
      </c>
      <c r="Y58" s="60">
        <f t="shared" si="15"/>
        <v>123</v>
      </c>
      <c r="Z58" s="60">
        <f t="shared" si="15"/>
        <v>125</v>
      </c>
      <c r="AA58" s="60">
        <f t="shared" si="15"/>
        <v>125</v>
      </c>
      <c r="AB58" s="60">
        <f t="shared" si="15"/>
        <v>107</v>
      </c>
      <c r="AC58" s="60">
        <f t="shared" si="15"/>
        <v>98</v>
      </c>
      <c r="AD58" s="60">
        <f t="shared" si="15"/>
        <v>99</v>
      </c>
      <c r="AE58" s="60">
        <f t="shared" si="15"/>
        <v>96</v>
      </c>
      <c r="AF58" s="60">
        <f t="shared" si="15"/>
        <v>85</v>
      </c>
      <c r="AG58" s="60">
        <f t="shared" si="15"/>
        <v>5</v>
      </c>
      <c r="AH58" s="60">
        <f t="shared" si="15"/>
        <v>28</v>
      </c>
      <c r="AI58" s="60">
        <f t="shared" si="15"/>
        <v>7</v>
      </c>
      <c r="AJ58" s="60">
        <f t="shared" si="15"/>
        <v>14</v>
      </c>
      <c r="AK58" s="60">
        <f t="shared" si="2"/>
        <v>50.9</v>
      </c>
      <c r="AL58" s="21">
        <f t="shared" si="3"/>
        <v>49.1</v>
      </c>
    </row>
    <row r="59" spans="1:38" ht="13.5" customHeight="1" x14ac:dyDescent="0.25">
      <c r="A59" s="14" t="s">
        <v>64</v>
      </c>
      <c r="B59" s="52">
        <f t="shared" si="5"/>
        <v>57</v>
      </c>
      <c r="C59" s="52">
        <f t="shared" ref="C59:C71" si="16">E59+G59+I59+K59+M59+O59+Q59+S59+U59+W59+Y59+AA59+AC59+AE59+AG59+AI59</f>
        <v>35</v>
      </c>
      <c r="D59" s="52">
        <f t="shared" ref="D59:D71" si="17">F59+H59+J59+L59+N59+P59+R59+T59+V59+X59+Z59+AB59+AD59+AF59+AH59+AJ59</f>
        <v>22</v>
      </c>
      <c r="E59" s="54">
        <v>0</v>
      </c>
      <c r="F59" s="54">
        <v>0</v>
      </c>
      <c r="G59" s="54">
        <v>0</v>
      </c>
      <c r="H59" s="54">
        <v>0</v>
      </c>
      <c r="I59" s="54">
        <v>1</v>
      </c>
      <c r="J59" s="54">
        <v>3</v>
      </c>
      <c r="K59" s="54">
        <v>8</v>
      </c>
      <c r="L59" s="54">
        <v>0</v>
      </c>
      <c r="M59" s="54">
        <v>0</v>
      </c>
      <c r="N59" s="54">
        <v>1</v>
      </c>
      <c r="O59" s="54">
        <v>0</v>
      </c>
      <c r="P59" s="54">
        <v>4</v>
      </c>
      <c r="Q59" s="54">
        <v>5</v>
      </c>
      <c r="R59" s="54">
        <v>1</v>
      </c>
      <c r="S59" s="54">
        <v>1</v>
      </c>
      <c r="T59" s="54">
        <v>1</v>
      </c>
      <c r="U59" s="54">
        <v>4</v>
      </c>
      <c r="V59" s="54">
        <v>4</v>
      </c>
      <c r="W59" s="54">
        <v>2</v>
      </c>
      <c r="X59" s="54">
        <v>1</v>
      </c>
      <c r="Y59" s="54">
        <v>5</v>
      </c>
      <c r="Z59" s="54">
        <v>2</v>
      </c>
      <c r="AA59" s="54">
        <v>4</v>
      </c>
      <c r="AB59" s="54">
        <v>1</v>
      </c>
      <c r="AC59" s="54">
        <v>3</v>
      </c>
      <c r="AD59" s="54">
        <v>3</v>
      </c>
      <c r="AE59" s="54">
        <v>2</v>
      </c>
      <c r="AF59" s="54">
        <v>1</v>
      </c>
      <c r="AG59" s="54">
        <v>0</v>
      </c>
      <c r="AH59" s="54">
        <v>0</v>
      </c>
      <c r="AI59" s="54">
        <v>0</v>
      </c>
      <c r="AJ59" s="54">
        <v>0</v>
      </c>
      <c r="AK59" s="55">
        <f t="shared" si="2"/>
        <v>61.4</v>
      </c>
      <c r="AL59" s="15">
        <f t="shared" si="3"/>
        <v>38.6</v>
      </c>
    </row>
    <row r="60" spans="1:38" ht="13.5" customHeight="1" x14ac:dyDescent="0.25">
      <c r="A60" s="14" t="s">
        <v>186</v>
      </c>
      <c r="B60" s="52">
        <f t="shared" si="5"/>
        <v>169</v>
      </c>
      <c r="C60" s="52">
        <f t="shared" si="16"/>
        <v>85</v>
      </c>
      <c r="D60" s="52">
        <f t="shared" si="17"/>
        <v>84</v>
      </c>
      <c r="E60" s="54">
        <v>0</v>
      </c>
      <c r="F60" s="54">
        <v>0</v>
      </c>
      <c r="G60" s="54">
        <v>0</v>
      </c>
      <c r="H60" s="54">
        <v>0</v>
      </c>
      <c r="I60" s="54">
        <v>9</v>
      </c>
      <c r="J60" s="54">
        <v>4</v>
      </c>
      <c r="K60" s="54">
        <v>9</v>
      </c>
      <c r="L60" s="54">
        <v>9</v>
      </c>
      <c r="M60" s="54">
        <v>7</v>
      </c>
      <c r="N60" s="54">
        <v>6</v>
      </c>
      <c r="O60" s="54">
        <v>2</v>
      </c>
      <c r="P60" s="54">
        <v>12</v>
      </c>
      <c r="Q60" s="54">
        <v>6</v>
      </c>
      <c r="R60" s="54">
        <v>5</v>
      </c>
      <c r="S60" s="54">
        <v>8</v>
      </c>
      <c r="T60" s="54">
        <v>13</v>
      </c>
      <c r="U60" s="54">
        <v>15</v>
      </c>
      <c r="V60" s="54">
        <v>7</v>
      </c>
      <c r="W60" s="54">
        <v>9</v>
      </c>
      <c r="X60" s="54">
        <v>9</v>
      </c>
      <c r="Y60" s="54">
        <v>2</v>
      </c>
      <c r="Z60" s="54">
        <v>5</v>
      </c>
      <c r="AA60" s="54">
        <v>6</v>
      </c>
      <c r="AB60" s="54">
        <v>7</v>
      </c>
      <c r="AC60" s="54">
        <v>4</v>
      </c>
      <c r="AD60" s="54">
        <v>3</v>
      </c>
      <c r="AE60" s="54">
        <v>8</v>
      </c>
      <c r="AF60" s="54">
        <v>4</v>
      </c>
      <c r="AG60" s="54">
        <v>0</v>
      </c>
      <c r="AH60" s="54">
        <v>0</v>
      </c>
      <c r="AI60" s="54">
        <v>0</v>
      </c>
      <c r="AJ60" s="54">
        <v>0</v>
      </c>
      <c r="AK60" s="55">
        <f t="shared" si="2"/>
        <v>50.3</v>
      </c>
      <c r="AL60" s="15">
        <f t="shared" si="3"/>
        <v>49.7</v>
      </c>
    </row>
    <row r="61" spans="1:38" ht="13.5" customHeight="1" x14ac:dyDescent="0.25">
      <c r="A61" s="14" t="s">
        <v>63</v>
      </c>
      <c r="B61" s="52">
        <f t="shared" si="5"/>
        <v>420</v>
      </c>
      <c r="C61" s="52">
        <f t="shared" si="16"/>
        <v>192</v>
      </c>
      <c r="D61" s="52">
        <f t="shared" si="17"/>
        <v>228</v>
      </c>
      <c r="E61" s="54">
        <v>0</v>
      </c>
      <c r="F61" s="54">
        <v>0</v>
      </c>
      <c r="G61" s="54">
        <v>14</v>
      </c>
      <c r="H61" s="54">
        <v>17</v>
      </c>
      <c r="I61" s="54">
        <v>9</v>
      </c>
      <c r="J61" s="54">
        <v>10</v>
      </c>
      <c r="K61" s="54">
        <v>21</v>
      </c>
      <c r="L61" s="54">
        <v>21</v>
      </c>
      <c r="M61" s="54">
        <v>11</v>
      </c>
      <c r="N61" s="54">
        <v>13</v>
      </c>
      <c r="O61" s="54">
        <v>17</v>
      </c>
      <c r="P61" s="54">
        <v>17</v>
      </c>
      <c r="Q61" s="54">
        <v>13</v>
      </c>
      <c r="R61" s="54">
        <v>17</v>
      </c>
      <c r="S61" s="54">
        <v>12</v>
      </c>
      <c r="T61" s="54">
        <v>20</v>
      </c>
      <c r="U61" s="54">
        <v>21</v>
      </c>
      <c r="V61" s="54">
        <v>17</v>
      </c>
      <c r="W61" s="54">
        <v>12</v>
      </c>
      <c r="X61" s="54">
        <v>19</v>
      </c>
      <c r="Y61" s="54">
        <v>12</v>
      </c>
      <c r="Z61" s="54">
        <v>13</v>
      </c>
      <c r="AA61" s="54">
        <v>15</v>
      </c>
      <c r="AB61" s="54">
        <v>15</v>
      </c>
      <c r="AC61" s="54">
        <v>16</v>
      </c>
      <c r="AD61" s="54">
        <v>14</v>
      </c>
      <c r="AE61" s="54">
        <v>10</v>
      </c>
      <c r="AF61" s="54">
        <v>7</v>
      </c>
      <c r="AG61" s="54">
        <v>2</v>
      </c>
      <c r="AH61" s="54">
        <v>14</v>
      </c>
      <c r="AI61" s="54">
        <v>7</v>
      </c>
      <c r="AJ61" s="54">
        <v>14</v>
      </c>
      <c r="AK61" s="55">
        <f t="shared" si="2"/>
        <v>45.7</v>
      </c>
      <c r="AL61" s="15">
        <f t="shared" si="3"/>
        <v>54.3</v>
      </c>
    </row>
    <row r="62" spans="1:38" ht="13.5" customHeight="1" x14ac:dyDescent="0.25">
      <c r="A62" s="14" t="s">
        <v>187</v>
      </c>
      <c r="B62" s="52">
        <f t="shared" si="5"/>
        <v>433</v>
      </c>
      <c r="C62" s="52">
        <f t="shared" si="16"/>
        <v>234</v>
      </c>
      <c r="D62" s="52">
        <f t="shared" si="17"/>
        <v>199</v>
      </c>
      <c r="E62" s="54">
        <v>0</v>
      </c>
      <c r="F62" s="54">
        <v>0</v>
      </c>
      <c r="G62" s="54">
        <v>0</v>
      </c>
      <c r="H62" s="54">
        <v>0</v>
      </c>
      <c r="I62" s="54">
        <v>26</v>
      </c>
      <c r="J62" s="54">
        <v>26</v>
      </c>
      <c r="K62" s="54">
        <v>21</v>
      </c>
      <c r="L62" s="54">
        <v>12</v>
      </c>
      <c r="M62" s="54">
        <v>26</v>
      </c>
      <c r="N62" s="54">
        <v>21</v>
      </c>
      <c r="O62" s="54">
        <v>17</v>
      </c>
      <c r="P62" s="54">
        <v>12</v>
      </c>
      <c r="Q62" s="54">
        <v>19</v>
      </c>
      <c r="R62" s="54">
        <v>13</v>
      </c>
      <c r="S62" s="54">
        <v>25</v>
      </c>
      <c r="T62" s="54">
        <v>13</v>
      </c>
      <c r="U62" s="54">
        <v>21</v>
      </c>
      <c r="V62" s="54">
        <v>11</v>
      </c>
      <c r="W62" s="54">
        <v>13</v>
      </c>
      <c r="X62" s="54">
        <v>25</v>
      </c>
      <c r="Y62" s="54">
        <v>15</v>
      </c>
      <c r="Z62" s="54">
        <v>16</v>
      </c>
      <c r="AA62" s="54">
        <v>12</v>
      </c>
      <c r="AB62" s="54">
        <v>9</v>
      </c>
      <c r="AC62" s="54">
        <v>19</v>
      </c>
      <c r="AD62" s="54">
        <v>17</v>
      </c>
      <c r="AE62" s="54">
        <v>17</v>
      </c>
      <c r="AF62" s="54">
        <v>11</v>
      </c>
      <c r="AG62" s="54">
        <v>3</v>
      </c>
      <c r="AH62" s="54">
        <v>13</v>
      </c>
      <c r="AI62" s="54">
        <v>0</v>
      </c>
      <c r="AJ62" s="54">
        <v>0</v>
      </c>
      <c r="AK62" s="55">
        <f t="shared" si="2"/>
        <v>54</v>
      </c>
      <c r="AL62" s="15">
        <f t="shared" si="3"/>
        <v>46</v>
      </c>
    </row>
    <row r="63" spans="1:38" ht="13.5" customHeight="1" x14ac:dyDescent="0.25">
      <c r="A63" s="14" t="s">
        <v>65</v>
      </c>
      <c r="B63" s="52">
        <f t="shared" si="5"/>
        <v>169</v>
      </c>
      <c r="C63" s="52">
        <f t="shared" si="16"/>
        <v>86</v>
      </c>
      <c r="D63" s="52">
        <f t="shared" si="17"/>
        <v>83</v>
      </c>
      <c r="E63" s="54">
        <v>0</v>
      </c>
      <c r="F63" s="54">
        <v>0</v>
      </c>
      <c r="G63" s="54">
        <v>0</v>
      </c>
      <c r="H63" s="54">
        <v>0</v>
      </c>
      <c r="I63" s="54">
        <v>5</v>
      </c>
      <c r="J63" s="54">
        <v>8</v>
      </c>
      <c r="K63" s="54">
        <v>10</v>
      </c>
      <c r="L63" s="54">
        <v>13</v>
      </c>
      <c r="M63" s="54">
        <v>6</v>
      </c>
      <c r="N63" s="54">
        <v>5</v>
      </c>
      <c r="O63" s="54">
        <v>5</v>
      </c>
      <c r="P63" s="54">
        <v>8</v>
      </c>
      <c r="Q63" s="54">
        <v>11</v>
      </c>
      <c r="R63" s="54">
        <v>7</v>
      </c>
      <c r="S63" s="54">
        <v>2</v>
      </c>
      <c r="T63" s="54">
        <v>6</v>
      </c>
      <c r="U63" s="54">
        <v>7</v>
      </c>
      <c r="V63" s="54">
        <v>6</v>
      </c>
      <c r="W63" s="54">
        <v>9</v>
      </c>
      <c r="X63" s="54">
        <v>9</v>
      </c>
      <c r="Y63" s="54">
        <v>11</v>
      </c>
      <c r="Z63" s="54">
        <v>5</v>
      </c>
      <c r="AA63" s="54">
        <v>9</v>
      </c>
      <c r="AB63" s="54">
        <v>6</v>
      </c>
      <c r="AC63" s="54">
        <v>6</v>
      </c>
      <c r="AD63" s="54">
        <v>5</v>
      </c>
      <c r="AE63" s="54">
        <v>5</v>
      </c>
      <c r="AF63" s="54">
        <v>4</v>
      </c>
      <c r="AG63" s="54">
        <v>0</v>
      </c>
      <c r="AH63" s="54">
        <v>1</v>
      </c>
      <c r="AI63" s="54">
        <v>0</v>
      </c>
      <c r="AJ63" s="54">
        <v>0</v>
      </c>
      <c r="AK63" s="55">
        <f t="shared" si="2"/>
        <v>50.9</v>
      </c>
      <c r="AL63" s="15">
        <f t="shared" si="3"/>
        <v>49.1</v>
      </c>
    </row>
    <row r="64" spans="1:38" ht="13.5" customHeight="1" x14ac:dyDescent="0.25">
      <c r="A64" s="14" t="s">
        <v>66</v>
      </c>
      <c r="B64" s="52">
        <f t="shared" si="5"/>
        <v>203</v>
      </c>
      <c r="C64" s="52">
        <f t="shared" si="16"/>
        <v>96</v>
      </c>
      <c r="D64" s="52">
        <f t="shared" si="17"/>
        <v>107</v>
      </c>
      <c r="E64" s="54">
        <v>0</v>
      </c>
      <c r="F64" s="54">
        <v>0</v>
      </c>
      <c r="G64" s="54">
        <v>0</v>
      </c>
      <c r="H64" s="54">
        <v>0</v>
      </c>
      <c r="I64" s="54">
        <v>7</v>
      </c>
      <c r="J64" s="54">
        <v>4</v>
      </c>
      <c r="K64" s="54">
        <v>9</v>
      </c>
      <c r="L64" s="54">
        <v>13</v>
      </c>
      <c r="M64" s="54">
        <v>8</v>
      </c>
      <c r="N64" s="54">
        <v>7</v>
      </c>
      <c r="O64" s="54">
        <v>11</v>
      </c>
      <c r="P64" s="54">
        <v>11</v>
      </c>
      <c r="Q64" s="54">
        <v>9</v>
      </c>
      <c r="R64" s="54">
        <v>13</v>
      </c>
      <c r="S64" s="54">
        <v>16</v>
      </c>
      <c r="T64" s="54">
        <v>12</v>
      </c>
      <c r="U64" s="54">
        <v>5</v>
      </c>
      <c r="V64" s="54">
        <v>13</v>
      </c>
      <c r="W64" s="54">
        <v>8</v>
      </c>
      <c r="X64" s="54">
        <v>8</v>
      </c>
      <c r="Y64" s="54">
        <v>9</v>
      </c>
      <c r="Z64" s="54">
        <v>7</v>
      </c>
      <c r="AA64" s="54">
        <v>7</v>
      </c>
      <c r="AB64" s="54">
        <v>6</v>
      </c>
      <c r="AC64" s="54">
        <v>4</v>
      </c>
      <c r="AD64" s="54">
        <v>7</v>
      </c>
      <c r="AE64" s="54">
        <v>3</v>
      </c>
      <c r="AF64" s="54">
        <v>6</v>
      </c>
      <c r="AG64" s="54">
        <v>0</v>
      </c>
      <c r="AH64" s="54">
        <v>0</v>
      </c>
      <c r="AI64" s="54">
        <v>0</v>
      </c>
      <c r="AJ64" s="54">
        <v>0</v>
      </c>
      <c r="AK64" s="55">
        <f t="shared" si="2"/>
        <v>47.3</v>
      </c>
      <c r="AL64" s="15">
        <f t="shared" si="3"/>
        <v>52.7</v>
      </c>
    </row>
    <row r="65" spans="1:38" ht="13.5" customHeight="1" x14ac:dyDescent="0.25">
      <c r="A65" s="14" t="s">
        <v>188</v>
      </c>
      <c r="B65" s="52">
        <f t="shared" si="5"/>
        <v>162</v>
      </c>
      <c r="C65" s="52">
        <f t="shared" si="16"/>
        <v>81</v>
      </c>
      <c r="D65" s="52">
        <f t="shared" si="17"/>
        <v>81</v>
      </c>
      <c r="E65" s="54">
        <v>0</v>
      </c>
      <c r="F65" s="54">
        <v>0</v>
      </c>
      <c r="G65" s="54">
        <v>0</v>
      </c>
      <c r="H65" s="54">
        <v>0</v>
      </c>
      <c r="I65" s="54">
        <v>5</v>
      </c>
      <c r="J65" s="54">
        <v>7</v>
      </c>
      <c r="K65" s="54">
        <v>8</v>
      </c>
      <c r="L65" s="54">
        <v>10</v>
      </c>
      <c r="M65" s="54">
        <v>10</v>
      </c>
      <c r="N65" s="54">
        <v>11</v>
      </c>
      <c r="O65" s="54">
        <v>8</v>
      </c>
      <c r="P65" s="54">
        <v>3</v>
      </c>
      <c r="Q65" s="54">
        <v>6</v>
      </c>
      <c r="R65" s="54">
        <v>5</v>
      </c>
      <c r="S65" s="54">
        <v>15</v>
      </c>
      <c r="T65" s="54">
        <v>11</v>
      </c>
      <c r="U65" s="54">
        <v>3</v>
      </c>
      <c r="V65" s="54">
        <v>6</v>
      </c>
      <c r="W65" s="54">
        <v>8</v>
      </c>
      <c r="X65" s="54">
        <v>5</v>
      </c>
      <c r="Y65" s="54">
        <v>6</v>
      </c>
      <c r="Z65" s="54">
        <v>9</v>
      </c>
      <c r="AA65" s="54">
        <v>2</v>
      </c>
      <c r="AB65" s="54">
        <v>7</v>
      </c>
      <c r="AC65" s="54">
        <v>3</v>
      </c>
      <c r="AD65" s="54">
        <v>4</v>
      </c>
      <c r="AE65" s="54">
        <v>7</v>
      </c>
      <c r="AF65" s="54">
        <v>3</v>
      </c>
      <c r="AG65" s="54">
        <v>0</v>
      </c>
      <c r="AH65" s="54">
        <v>0</v>
      </c>
      <c r="AI65" s="54">
        <v>0</v>
      </c>
      <c r="AJ65" s="54">
        <v>0</v>
      </c>
      <c r="AK65" s="55">
        <f t="shared" si="2"/>
        <v>50</v>
      </c>
      <c r="AL65" s="15">
        <f t="shared" si="3"/>
        <v>50</v>
      </c>
    </row>
    <row r="66" spans="1:38" ht="13.5" customHeight="1" x14ac:dyDescent="0.25">
      <c r="A66" s="14" t="s">
        <v>67</v>
      </c>
      <c r="B66" s="52">
        <f t="shared" si="5"/>
        <v>227</v>
      </c>
      <c r="C66" s="52">
        <f t="shared" si="16"/>
        <v>110</v>
      </c>
      <c r="D66" s="52">
        <f t="shared" si="17"/>
        <v>117</v>
      </c>
      <c r="E66" s="54">
        <v>0</v>
      </c>
      <c r="F66" s="54">
        <v>0</v>
      </c>
      <c r="G66" s="54">
        <v>5</v>
      </c>
      <c r="H66" s="54">
        <v>2</v>
      </c>
      <c r="I66" s="54">
        <v>10</v>
      </c>
      <c r="J66" s="54">
        <v>16</v>
      </c>
      <c r="K66" s="54">
        <v>14</v>
      </c>
      <c r="L66" s="54">
        <v>18</v>
      </c>
      <c r="M66" s="54">
        <v>10</v>
      </c>
      <c r="N66" s="54">
        <v>5</v>
      </c>
      <c r="O66" s="54">
        <v>14</v>
      </c>
      <c r="P66" s="54">
        <v>9</v>
      </c>
      <c r="Q66" s="54">
        <v>7</v>
      </c>
      <c r="R66" s="54">
        <v>7</v>
      </c>
      <c r="S66" s="54">
        <v>8</v>
      </c>
      <c r="T66" s="54">
        <v>11</v>
      </c>
      <c r="U66" s="54">
        <v>9</v>
      </c>
      <c r="V66" s="54">
        <v>7</v>
      </c>
      <c r="W66" s="54">
        <v>11</v>
      </c>
      <c r="X66" s="54">
        <v>8</v>
      </c>
      <c r="Y66" s="54">
        <v>5</v>
      </c>
      <c r="Z66" s="54">
        <v>9</v>
      </c>
      <c r="AA66" s="54">
        <v>8</v>
      </c>
      <c r="AB66" s="54">
        <v>10</v>
      </c>
      <c r="AC66" s="54">
        <v>3</v>
      </c>
      <c r="AD66" s="54">
        <v>7</v>
      </c>
      <c r="AE66" s="54">
        <v>6</v>
      </c>
      <c r="AF66" s="54">
        <v>8</v>
      </c>
      <c r="AG66" s="54">
        <v>0</v>
      </c>
      <c r="AH66" s="54">
        <v>0</v>
      </c>
      <c r="AI66" s="54">
        <v>0</v>
      </c>
      <c r="AJ66" s="54">
        <v>0</v>
      </c>
      <c r="AK66" s="55">
        <f t="shared" si="2"/>
        <v>48.5</v>
      </c>
      <c r="AL66" s="15">
        <f t="shared" si="3"/>
        <v>51.5</v>
      </c>
    </row>
    <row r="67" spans="1:38" ht="13.5" customHeight="1" x14ac:dyDescent="0.25">
      <c r="A67" s="14" t="s">
        <v>68</v>
      </c>
      <c r="B67" s="52">
        <f t="shared" si="5"/>
        <v>189</v>
      </c>
      <c r="C67" s="52">
        <f t="shared" si="16"/>
        <v>95</v>
      </c>
      <c r="D67" s="52">
        <f t="shared" si="17"/>
        <v>94</v>
      </c>
      <c r="E67" s="54">
        <v>0</v>
      </c>
      <c r="F67" s="54">
        <v>0</v>
      </c>
      <c r="G67" s="54">
        <v>0</v>
      </c>
      <c r="H67" s="54">
        <v>0</v>
      </c>
      <c r="I67" s="54">
        <v>10</v>
      </c>
      <c r="J67" s="54">
        <v>4</v>
      </c>
      <c r="K67" s="54">
        <v>11</v>
      </c>
      <c r="L67" s="54">
        <v>15</v>
      </c>
      <c r="M67" s="54">
        <v>3</v>
      </c>
      <c r="N67" s="54">
        <v>8</v>
      </c>
      <c r="O67" s="54">
        <v>9</v>
      </c>
      <c r="P67" s="54">
        <v>10</v>
      </c>
      <c r="Q67" s="54">
        <v>9</v>
      </c>
      <c r="R67" s="54">
        <v>12</v>
      </c>
      <c r="S67" s="54">
        <v>6</v>
      </c>
      <c r="T67" s="54">
        <v>10</v>
      </c>
      <c r="U67" s="54">
        <v>9</v>
      </c>
      <c r="V67" s="54">
        <v>4</v>
      </c>
      <c r="W67" s="54">
        <v>8</v>
      </c>
      <c r="X67" s="54">
        <v>8</v>
      </c>
      <c r="Y67" s="54">
        <v>8</v>
      </c>
      <c r="Z67" s="54">
        <v>9</v>
      </c>
      <c r="AA67" s="54">
        <v>9</v>
      </c>
      <c r="AB67" s="54">
        <v>6</v>
      </c>
      <c r="AC67" s="54">
        <v>4</v>
      </c>
      <c r="AD67" s="54">
        <v>5</v>
      </c>
      <c r="AE67" s="54">
        <v>9</v>
      </c>
      <c r="AF67" s="54">
        <v>3</v>
      </c>
      <c r="AG67" s="54">
        <v>0</v>
      </c>
      <c r="AH67" s="54">
        <v>0</v>
      </c>
      <c r="AI67" s="54">
        <v>0</v>
      </c>
      <c r="AJ67" s="54">
        <v>0</v>
      </c>
      <c r="AK67" s="55">
        <f t="shared" si="2"/>
        <v>50.3</v>
      </c>
      <c r="AL67" s="15">
        <f t="shared" si="3"/>
        <v>49.7</v>
      </c>
    </row>
    <row r="68" spans="1:38" ht="13.5" customHeight="1" x14ac:dyDescent="0.25">
      <c r="A68" s="14" t="s">
        <v>69</v>
      </c>
      <c r="B68" s="52">
        <f t="shared" si="5"/>
        <v>83</v>
      </c>
      <c r="C68" s="52">
        <f t="shared" si="16"/>
        <v>50</v>
      </c>
      <c r="D68" s="52">
        <f t="shared" si="17"/>
        <v>33</v>
      </c>
      <c r="E68" s="54">
        <v>0</v>
      </c>
      <c r="F68" s="54">
        <v>0</v>
      </c>
      <c r="G68" s="54">
        <v>0</v>
      </c>
      <c r="H68" s="54">
        <v>0</v>
      </c>
      <c r="I68" s="54">
        <v>7</v>
      </c>
      <c r="J68" s="54">
        <v>4</v>
      </c>
      <c r="K68" s="54">
        <v>6</v>
      </c>
      <c r="L68" s="54">
        <v>3</v>
      </c>
      <c r="M68" s="54">
        <v>3</v>
      </c>
      <c r="N68" s="54">
        <v>7</v>
      </c>
      <c r="O68" s="54">
        <v>8</v>
      </c>
      <c r="P68" s="54">
        <v>2</v>
      </c>
      <c r="Q68" s="54">
        <v>2</v>
      </c>
      <c r="R68" s="54">
        <v>4</v>
      </c>
      <c r="S68" s="54">
        <v>0</v>
      </c>
      <c r="T68" s="54">
        <v>5</v>
      </c>
      <c r="U68" s="54">
        <v>2</v>
      </c>
      <c r="V68" s="54">
        <v>1</v>
      </c>
      <c r="W68" s="54">
        <v>8</v>
      </c>
      <c r="X68" s="54">
        <v>3</v>
      </c>
      <c r="Y68" s="54">
        <v>4</v>
      </c>
      <c r="Z68" s="54">
        <v>1</v>
      </c>
      <c r="AA68" s="54">
        <v>7</v>
      </c>
      <c r="AB68" s="54">
        <v>3</v>
      </c>
      <c r="AC68" s="54">
        <v>0</v>
      </c>
      <c r="AD68" s="54">
        <v>0</v>
      </c>
      <c r="AE68" s="54">
        <v>3</v>
      </c>
      <c r="AF68" s="54">
        <v>0</v>
      </c>
      <c r="AG68" s="54">
        <v>0</v>
      </c>
      <c r="AH68" s="54">
        <v>0</v>
      </c>
      <c r="AI68" s="54">
        <v>0</v>
      </c>
      <c r="AJ68" s="54">
        <v>0</v>
      </c>
      <c r="AK68" s="55">
        <f t="shared" si="2"/>
        <v>60.2</v>
      </c>
      <c r="AL68" s="15">
        <f t="shared" si="3"/>
        <v>39.799999999999997</v>
      </c>
    </row>
    <row r="69" spans="1:38" ht="13.5" customHeight="1" x14ac:dyDescent="0.25">
      <c r="A69" s="14" t="s">
        <v>61</v>
      </c>
      <c r="B69" s="52">
        <f t="shared" si="5"/>
        <v>399</v>
      </c>
      <c r="C69" s="52">
        <f t="shared" si="16"/>
        <v>204</v>
      </c>
      <c r="D69" s="52">
        <f t="shared" si="17"/>
        <v>195</v>
      </c>
      <c r="E69" s="54">
        <v>0</v>
      </c>
      <c r="F69" s="54">
        <v>0</v>
      </c>
      <c r="G69" s="54">
        <v>0</v>
      </c>
      <c r="H69" s="54">
        <v>0</v>
      </c>
      <c r="I69" s="54">
        <v>16</v>
      </c>
      <c r="J69" s="54">
        <v>11</v>
      </c>
      <c r="K69" s="54">
        <v>19</v>
      </c>
      <c r="L69" s="54">
        <v>20</v>
      </c>
      <c r="M69" s="54">
        <v>13</v>
      </c>
      <c r="N69" s="54">
        <v>18</v>
      </c>
      <c r="O69" s="54">
        <v>19</v>
      </c>
      <c r="P69" s="54">
        <v>16</v>
      </c>
      <c r="Q69" s="54">
        <v>20</v>
      </c>
      <c r="R69" s="54">
        <v>13</v>
      </c>
      <c r="S69" s="54">
        <v>23</v>
      </c>
      <c r="T69" s="54">
        <v>18</v>
      </c>
      <c r="U69" s="54">
        <v>20</v>
      </c>
      <c r="V69" s="54">
        <v>23</v>
      </c>
      <c r="W69" s="54">
        <v>21</v>
      </c>
      <c r="X69" s="54">
        <v>23</v>
      </c>
      <c r="Y69" s="54">
        <v>15</v>
      </c>
      <c r="Z69" s="54">
        <v>21</v>
      </c>
      <c r="AA69" s="54">
        <v>20</v>
      </c>
      <c r="AB69" s="54">
        <v>10</v>
      </c>
      <c r="AC69" s="54">
        <v>11</v>
      </c>
      <c r="AD69" s="54">
        <v>10</v>
      </c>
      <c r="AE69" s="54">
        <v>7</v>
      </c>
      <c r="AF69" s="54">
        <v>12</v>
      </c>
      <c r="AG69" s="54">
        <v>0</v>
      </c>
      <c r="AH69" s="54">
        <v>0</v>
      </c>
      <c r="AI69" s="54">
        <v>0</v>
      </c>
      <c r="AJ69" s="54">
        <v>0</v>
      </c>
      <c r="AK69" s="55">
        <f t="shared" si="2"/>
        <v>51.1</v>
      </c>
      <c r="AL69" s="15">
        <f t="shared" si="3"/>
        <v>48.9</v>
      </c>
    </row>
    <row r="70" spans="1:38" ht="13.5" customHeight="1" x14ac:dyDescent="0.25">
      <c r="A70" s="14" t="s">
        <v>70</v>
      </c>
      <c r="B70" s="52">
        <f t="shared" si="5"/>
        <v>267</v>
      </c>
      <c r="C70" s="52">
        <f t="shared" si="16"/>
        <v>129</v>
      </c>
      <c r="D70" s="52">
        <f t="shared" si="17"/>
        <v>138</v>
      </c>
      <c r="E70" s="54">
        <v>0</v>
      </c>
      <c r="F70" s="54">
        <v>0</v>
      </c>
      <c r="G70" s="54">
        <v>0</v>
      </c>
      <c r="H70" s="54">
        <v>0</v>
      </c>
      <c r="I70" s="54">
        <v>16</v>
      </c>
      <c r="J70" s="54">
        <v>11</v>
      </c>
      <c r="K70" s="54">
        <v>11</v>
      </c>
      <c r="L70" s="54">
        <v>14</v>
      </c>
      <c r="M70" s="54">
        <v>10</v>
      </c>
      <c r="N70" s="54">
        <v>6</v>
      </c>
      <c r="O70" s="54">
        <v>8</v>
      </c>
      <c r="P70" s="54">
        <v>10</v>
      </c>
      <c r="Q70" s="54">
        <v>11</v>
      </c>
      <c r="R70" s="54">
        <v>6</v>
      </c>
      <c r="S70" s="54">
        <v>8</v>
      </c>
      <c r="T70" s="54">
        <v>19</v>
      </c>
      <c r="U70" s="54">
        <v>8</v>
      </c>
      <c r="V70" s="54">
        <v>10</v>
      </c>
      <c r="W70" s="54">
        <v>17</v>
      </c>
      <c r="X70" s="54">
        <v>11</v>
      </c>
      <c r="Y70" s="54">
        <v>14</v>
      </c>
      <c r="Z70" s="54">
        <v>12</v>
      </c>
      <c r="AA70" s="54">
        <v>13</v>
      </c>
      <c r="AB70" s="54">
        <v>17</v>
      </c>
      <c r="AC70" s="54">
        <v>7</v>
      </c>
      <c r="AD70" s="54">
        <v>8</v>
      </c>
      <c r="AE70" s="54">
        <v>6</v>
      </c>
      <c r="AF70" s="54">
        <v>14</v>
      </c>
      <c r="AG70" s="54">
        <v>0</v>
      </c>
      <c r="AH70" s="54">
        <v>0</v>
      </c>
      <c r="AI70" s="54">
        <v>0</v>
      </c>
      <c r="AJ70" s="54">
        <v>0</v>
      </c>
      <c r="AK70" s="55">
        <f t="shared" si="2"/>
        <v>48.3</v>
      </c>
      <c r="AL70" s="15">
        <f t="shared" si="3"/>
        <v>51.7</v>
      </c>
    </row>
    <row r="71" spans="1:38" ht="13.5" customHeight="1" x14ac:dyDescent="0.25">
      <c r="A71" s="14" t="s">
        <v>62</v>
      </c>
      <c r="B71" s="52">
        <f t="shared" si="5"/>
        <v>433</v>
      </c>
      <c r="C71" s="52">
        <f t="shared" si="16"/>
        <v>236</v>
      </c>
      <c r="D71" s="52">
        <f t="shared" si="17"/>
        <v>197</v>
      </c>
      <c r="E71" s="54">
        <v>0</v>
      </c>
      <c r="F71" s="54">
        <v>0</v>
      </c>
      <c r="G71" s="54">
        <v>0</v>
      </c>
      <c r="H71" s="54">
        <v>0</v>
      </c>
      <c r="I71" s="54">
        <v>27</v>
      </c>
      <c r="J71" s="54">
        <v>19</v>
      </c>
      <c r="K71" s="54">
        <v>24</v>
      </c>
      <c r="L71" s="54">
        <v>18</v>
      </c>
      <c r="M71" s="54">
        <v>17</v>
      </c>
      <c r="N71" s="54">
        <v>13</v>
      </c>
      <c r="O71" s="54">
        <v>21</v>
      </c>
      <c r="P71" s="54">
        <v>13</v>
      </c>
      <c r="Q71" s="54">
        <v>16</v>
      </c>
      <c r="R71" s="54">
        <v>22</v>
      </c>
      <c r="S71" s="54">
        <v>19</v>
      </c>
      <c r="T71" s="54">
        <v>19</v>
      </c>
      <c r="U71" s="54">
        <v>22</v>
      </c>
      <c r="V71" s="54">
        <v>21</v>
      </c>
      <c r="W71" s="54">
        <v>29</v>
      </c>
      <c r="X71" s="54">
        <v>18</v>
      </c>
      <c r="Y71" s="54">
        <v>17</v>
      </c>
      <c r="Z71" s="54">
        <v>16</v>
      </c>
      <c r="AA71" s="54">
        <v>13</v>
      </c>
      <c r="AB71" s="54">
        <v>10</v>
      </c>
      <c r="AC71" s="54">
        <v>18</v>
      </c>
      <c r="AD71" s="54">
        <v>16</v>
      </c>
      <c r="AE71" s="54">
        <v>13</v>
      </c>
      <c r="AF71" s="54">
        <v>12</v>
      </c>
      <c r="AG71" s="54">
        <v>0</v>
      </c>
      <c r="AH71" s="54">
        <v>0</v>
      </c>
      <c r="AI71" s="54">
        <v>0</v>
      </c>
      <c r="AJ71" s="54">
        <v>0</v>
      </c>
      <c r="AK71" s="55">
        <f t="shared" si="2"/>
        <v>54.5</v>
      </c>
      <c r="AL71" s="15">
        <f t="shared" si="3"/>
        <v>45.5</v>
      </c>
    </row>
    <row r="72" spans="1:38" ht="18" customHeight="1" thickBot="1" x14ac:dyDescent="0.3">
      <c r="A72" s="16" t="s">
        <v>5</v>
      </c>
      <c r="B72" s="56">
        <f t="shared" si="5"/>
        <v>4579</v>
      </c>
      <c r="C72" s="56">
        <f t="shared" ref="C72:AJ72" si="18">SUM(C73:C87)</f>
        <v>2335</v>
      </c>
      <c r="D72" s="56">
        <f t="shared" si="18"/>
        <v>2244</v>
      </c>
      <c r="E72" s="60">
        <f t="shared" si="18"/>
        <v>8</v>
      </c>
      <c r="F72" s="60">
        <f t="shared" si="18"/>
        <v>7</v>
      </c>
      <c r="G72" s="60">
        <f t="shared" si="18"/>
        <v>32</v>
      </c>
      <c r="H72" s="60">
        <f t="shared" si="18"/>
        <v>42</v>
      </c>
      <c r="I72" s="60">
        <f t="shared" si="18"/>
        <v>214</v>
      </c>
      <c r="J72" s="60">
        <f t="shared" si="18"/>
        <v>176</v>
      </c>
      <c r="K72" s="60">
        <f t="shared" si="18"/>
        <v>252</v>
      </c>
      <c r="L72" s="60">
        <f t="shared" si="18"/>
        <v>248</v>
      </c>
      <c r="M72" s="60">
        <f t="shared" si="18"/>
        <v>189</v>
      </c>
      <c r="N72" s="60">
        <f t="shared" si="18"/>
        <v>170</v>
      </c>
      <c r="O72" s="60">
        <f t="shared" si="18"/>
        <v>190</v>
      </c>
      <c r="P72" s="60">
        <f t="shared" si="18"/>
        <v>190</v>
      </c>
      <c r="Q72" s="60">
        <f t="shared" si="18"/>
        <v>194</v>
      </c>
      <c r="R72" s="60">
        <f t="shared" si="18"/>
        <v>185</v>
      </c>
      <c r="S72" s="60">
        <f t="shared" si="18"/>
        <v>203</v>
      </c>
      <c r="T72" s="60">
        <f t="shared" si="18"/>
        <v>195</v>
      </c>
      <c r="U72" s="60">
        <f t="shared" si="18"/>
        <v>190</v>
      </c>
      <c r="V72" s="60">
        <f t="shared" si="18"/>
        <v>167</v>
      </c>
      <c r="W72" s="60">
        <f t="shared" si="18"/>
        <v>196</v>
      </c>
      <c r="X72" s="60">
        <f t="shared" si="18"/>
        <v>199</v>
      </c>
      <c r="Y72" s="60">
        <f t="shared" si="18"/>
        <v>169</v>
      </c>
      <c r="Z72" s="60">
        <f t="shared" si="18"/>
        <v>183</v>
      </c>
      <c r="AA72" s="60">
        <f t="shared" si="18"/>
        <v>179</v>
      </c>
      <c r="AB72" s="60">
        <f t="shared" si="18"/>
        <v>131</v>
      </c>
      <c r="AC72" s="60">
        <f t="shared" si="18"/>
        <v>155</v>
      </c>
      <c r="AD72" s="60">
        <f t="shared" si="18"/>
        <v>146</v>
      </c>
      <c r="AE72" s="60">
        <f t="shared" si="18"/>
        <v>138</v>
      </c>
      <c r="AF72" s="60">
        <f t="shared" si="18"/>
        <v>158</v>
      </c>
      <c r="AG72" s="60">
        <f t="shared" si="18"/>
        <v>12</v>
      </c>
      <c r="AH72" s="60">
        <f t="shared" si="18"/>
        <v>18</v>
      </c>
      <c r="AI72" s="60">
        <f t="shared" si="18"/>
        <v>14</v>
      </c>
      <c r="AJ72" s="60">
        <f t="shared" si="18"/>
        <v>29</v>
      </c>
      <c r="AK72" s="60">
        <f t="shared" si="2"/>
        <v>51</v>
      </c>
      <c r="AL72" s="21">
        <f t="shared" si="3"/>
        <v>49</v>
      </c>
    </row>
    <row r="73" spans="1:38" ht="16.5" customHeight="1" x14ac:dyDescent="0.25">
      <c r="A73" s="14" t="s">
        <v>73</v>
      </c>
      <c r="B73" s="52">
        <f t="shared" si="5"/>
        <v>460</v>
      </c>
      <c r="C73" s="52">
        <f t="shared" ref="C73:C87" si="19">E73+G73+I73+K73+M73+O73+Q73+S73+U73+W73+Y73+AA73+AC73+AE73+AG73+AI73</f>
        <v>247</v>
      </c>
      <c r="D73" s="52">
        <f t="shared" ref="D73:D87" si="20">F73+H73+J73+L73+N73+P73+R73+T73+V73+X73+Z73+AB73+AD73+AF73+AH73+AJ73</f>
        <v>213</v>
      </c>
      <c r="E73" s="54">
        <v>0</v>
      </c>
      <c r="F73" s="54">
        <v>1</v>
      </c>
      <c r="G73" s="54">
        <v>4</v>
      </c>
      <c r="H73" s="54">
        <v>8</v>
      </c>
      <c r="I73" s="54">
        <v>16</v>
      </c>
      <c r="J73" s="54">
        <v>14</v>
      </c>
      <c r="K73" s="54">
        <v>20</v>
      </c>
      <c r="L73" s="54">
        <v>23</v>
      </c>
      <c r="M73" s="54">
        <v>20</v>
      </c>
      <c r="N73" s="54">
        <v>14</v>
      </c>
      <c r="O73" s="54">
        <v>28</v>
      </c>
      <c r="P73" s="54">
        <v>17</v>
      </c>
      <c r="Q73" s="54">
        <v>26</v>
      </c>
      <c r="R73" s="54">
        <v>19</v>
      </c>
      <c r="S73" s="54">
        <v>17</v>
      </c>
      <c r="T73" s="54">
        <v>18</v>
      </c>
      <c r="U73" s="54">
        <v>19</v>
      </c>
      <c r="V73" s="54">
        <v>11</v>
      </c>
      <c r="W73" s="54">
        <v>26</v>
      </c>
      <c r="X73" s="54">
        <v>19</v>
      </c>
      <c r="Y73" s="54">
        <v>24</v>
      </c>
      <c r="Z73" s="54">
        <v>24</v>
      </c>
      <c r="AA73" s="54">
        <v>20</v>
      </c>
      <c r="AB73" s="54">
        <v>11</v>
      </c>
      <c r="AC73" s="54">
        <v>13</v>
      </c>
      <c r="AD73" s="54">
        <v>13</v>
      </c>
      <c r="AE73" s="54">
        <v>9</v>
      </c>
      <c r="AF73" s="54">
        <v>17</v>
      </c>
      <c r="AG73" s="54">
        <v>2</v>
      </c>
      <c r="AH73" s="54">
        <v>1</v>
      </c>
      <c r="AI73" s="54">
        <v>3</v>
      </c>
      <c r="AJ73" s="54">
        <v>3</v>
      </c>
      <c r="AK73" s="55">
        <f t="shared" si="2"/>
        <v>53.7</v>
      </c>
      <c r="AL73" s="15">
        <f t="shared" si="3"/>
        <v>46.3</v>
      </c>
    </row>
    <row r="74" spans="1:38" ht="16.5" customHeight="1" x14ac:dyDescent="0.25">
      <c r="A74" s="14" t="s">
        <v>189</v>
      </c>
      <c r="B74" s="52">
        <f t="shared" ref="B74:B137" si="21">SUM(C74:D74)</f>
        <v>92</v>
      </c>
      <c r="C74" s="52">
        <f t="shared" si="19"/>
        <v>41</v>
      </c>
      <c r="D74" s="52">
        <f t="shared" si="20"/>
        <v>51</v>
      </c>
      <c r="E74" s="54">
        <v>0</v>
      </c>
      <c r="F74" s="54">
        <v>0</v>
      </c>
      <c r="G74" s="54">
        <v>0</v>
      </c>
      <c r="H74" s="54">
        <v>0</v>
      </c>
      <c r="I74" s="54">
        <v>2</v>
      </c>
      <c r="J74" s="54">
        <v>4</v>
      </c>
      <c r="K74" s="54">
        <v>2</v>
      </c>
      <c r="L74" s="54">
        <v>8</v>
      </c>
      <c r="M74" s="54">
        <v>7</v>
      </c>
      <c r="N74" s="54">
        <v>2</v>
      </c>
      <c r="O74" s="54">
        <v>1</v>
      </c>
      <c r="P74" s="54">
        <v>4</v>
      </c>
      <c r="Q74" s="54">
        <v>6</v>
      </c>
      <c r="R74" s="54">
        <v>6</v>
      </c>
      <c r="S74" s="54">
        <v>2</v>
      </c>
      <c r="T74" s="54">
        <v>8</v>
      </c>
      <c r="U74" s="54">
        <v>4</v>
      </c>
      <c r="V74" s="54">
        <v>3</v>
      </c>
      <c r="W74" s="54">
        <v>5</v>
      </c>
      <c r="X74" s="54">
        <v>4</v>
      </c>
      <c r="Y74" s="54">
        <v>3</v>
      </c>
      <c r="Z74" s="54">
        <v>5</v>
      </c>
      <c r="AA74" s="54">
        <v>3</v>
      </c>
      <c r="AB74" s="54">
        <v>1</v>
      </c>
      <c r="AC74" s="54">
        <v>5</v>
      </c>
      <c r="AD74" s="54">
        <v>1</v>
      </c>
      <c r="AE74" s="54">
        <v>1</v>
      </c>
      <c r="AF74" s="54">
        <v>5</v>
      </c>
      <c r="AG74" s="54">
        <v>0</v>
      </c>
      <c r="AH74" s="54">
        <v>0</v>
      </c>
      <c r="AI74" s="54">
        <v>0</v>
      </c>
      <c r="AJ74" s="54">
        <v>0</v>
      </c>
      <c r="AK74" s="55">
        <f t="shared" ref="AK74:AK137" si="22">ROUND(C74/SUM(E74:AJ74)*100,1)</f>
        <v>44.6</v>
      </c>
      <c r="AL74" s="15">
        <f t="shared" ref="AL74:AL137" si="23">ROUND(D74/SUM(E74:AJ74)*100,1)</f>
        <v>55.4</v>
      </c>
    </row>
    <row r="75" spans="1:38" ht="16.5" customHeight="1" x14ac:dyDescent="0.25">
      <c r="A75" s="14" t="s">
        <v>71</v>
      </c>
      <c r="B75" s="52">
        <f t="shared" si="21"/>
        <v>900</v>
      </c>
      <c r="C75" s="52">
        <f t="shared" si="19"/>
        <v>483</v>
      </c>
      <c r="D75" s="52">
        <f t="shared" si="20"/>
        <v>417</v>
      </c>
      <c r="E75" s="54">
        <v>0</v>
      </c>
      <c r="F75" s="54">
        <v>0</v>
      </c>
      <c r="G75" s="54">
        <v>0</v>
      </c>
      <c r="H75" s="54">
        <v>0</v>
      </c>
      <c r="I75" s="54">
        <v>51</v>
      </c>
      <c r="J75" s="54">
        <v>35</v>
      </c>
      <c r="K75" s="54">
        <v>49</v>
      </c>
      <c r="L75" s="54">
        <v>44</v>
      </c>
      <c r="M75" s="54">
        <v>36</v>
      </c>
      <c r="N75" s="54">
        <v>38</v>
      </c>
      <c r="O75" s="54">
        <v>48</v>
      </c>
      <c r="P75" s="54">
        <v>38</v>
      </c>
      <c r="Q75" s="54">
        <v>28</v>
      </c>
      <c r="R75" s="54">
        <v>32</v>
      </c>
      <c r="S75" s="54">
        <v>45</v>
      </c>
      <c r="T75" s="54">
        <v>34</v>
      </c>
      <c r="U75" s="54">
        <v>40</v>
      </c>
      <c r="V75" s="54">
        <v>34</v>
      </c>
      <c r="W75" s="54">
        <v>42</v>
      </c>
      <c r="X75" s="54">
        <v>43</v>
      </c>
      <c r="Y75" s="54">
        <v>34</v>
      </c>
      <c r="Z75" s="54">
        <v>36</v>
      </c>
      <c r="AA75" s="54">
        <v>38</v>
      </c>
      <c r="AB75" s="54">
        <v>26</v>
      </c>
      <c r="AC75" s="54">
        <v>37</v>
      </c>
      <c r="AD75" s="54">
        <v>24</v>
      </c>
      <c r="AE75" s="54">
        <v>35</v>
      </c>
      <c r="AF75" s="54">
        <v>33</v>
      </c>
      <c r="AG75" s="54">
        <v>0</v>
      </c>
      <c r="AH75" s="54">
        <v>0</v>
      </c>
      <c r="AI75" s="54">
        <v>0</v>
      </c>
      <c r="AJ75" s="54">
        <v>0</v>
      </c>
      <c r="AK75" s="55">
        <f t="shared" si="22"/>
        <v>53.7</v>
      </c>
      <c r="AL75" s="15">
        <f t="shared" si="23"/>
        <v>46.3</v>
      </c>
    </row>
    <row r="76" spans="1:38" ht="16.5" customHeight="1" x14ac:dyDescent="0.25">
      <c r="A76" s="14" t="s">
        <v>74</v>
      </c>
      <c r="B76" s="52">
        <f t="shared" si="21"/>
        <v>99</v>
      </c>
      <c r="C76" s="52">
        <f t="shared" si="19"/>
        <v>63</v>
      </c>
      <c r="D76" s="52">
        <f t="shared" si="20"/>
        <v>36</v>
      </c>
      <c r="E76" s="54">
        <v>0</v>
      </c>
      <c r="F76" s="54">
        <v>0</v>
      </c>
      <c r="G76" s="54">
        <v>0</v>
      </c>
      <c r="H76" s="54">
        <v>0</v>
      </c>
      <c r="I76" s="54">
        <v>6</v>
      </c>
      <c r="J76" s="54">
        <v>2</v>
      </c>
      <c r="K76" s="54">
        <v>9</v>
      </c>
      <c r="L76" s="54">
        <v>3</v>
      </c>
      <c r="M76" s="54">
        <v>4</v>
      </c>
      <c r="N76" s="54">
        <v>2</v>
      </c>
      <c r="O76" s="54">
        <v>5</v>
      </c>
      <c r="P76" s="54">
        <v>3</v>
      </c>
      <c r="Q76" s="54">
        <v>6</v>
      </c>
      <c r="R76" s="54">
        <v>2</v>
      </c>
      <c r="S76" s="54">
        <v>6</v>
      </c>
      <c r="T76" s="54">
        <v>5</v>
      </c>
      <c r="U76" s="54">
        <v>8</v>
      </c>
      <c r="V76" s="54">
        <v>6</v>
      </c>
      <c r="W76" s="54">
        <v>3</v>
      </c>
      <c r="X76" s="54">
        <v>3</v>
      </c>
      <c r="Y76" s="54">
        <v>3</v>
      </c>
      <c r="Z76" s="54">
        <v>1</v>
      </c>
      <c r="AA76" s="54">
        <v>4</v>
      </c>
      <c r="AB76" s="54">
        <v>2</v>
      </c>
      <c r="AC76" s="54">
        <v>6</v>
      </c>
      <c r="AD76" s="54">
        <v>4</v>
      </c>
      <c r="AE76" s="54">
        <v>3</v>
      </c>
      <c r="AF76" s="54">
        <v>3</v>
      </c>
      <c r="AG76" s="54">
        <v>0</v>
      </c>
      <c r="AH76" s="54">
        <v>0</v>
      </c>
      <c r="AI76" s="54">
        <v>0</v>
      </c>
      <c r="AJ76" s="54">
        <v>0</v>
      </c>
      <c r="AK76" s="55">
        <f t="shared" si="22"/>
        <v>63.6</v>
      </c>
      <c r="AL76" s="15">
        <f t="shared" si="23"/>
        <v>36.4</v>
      </c>
    </row>
    <row r="77" spans="1:38" ht="16.5" customHeight="1" x14ac:dyDescent="0.25">
      <c r="A77" s="14" t="s">
        <v>194</v>
      </c>
      <c r="B77" s="52">
        <f t="shared" si="21"/>
        <v>355</v>
      </c>
      <c r="C77" s="52">
        <f t="shared" si="19"/>
        <v>178</v>
      </c>
      <c r="D77" s="52">
        <f t="shared" si="20"/>
        <v>177</v>
      </c>
      <c r="E77" s="54">
        <v>0</v>
      </c>
      <c r="F77" s="54">
        <v>0</v>
      </c>
      <c r="G77" s="54">
        <v>0</v>
      </c>
      <c r="H77" s="54">
        <v>0</v>
      </c>
      <c r="I77" s="54">
        <v>19</v>
      </c>
      <c r="J77" s="54">
        <v>14</v>
      </c>
      <c r="K77" s="54">
        <v>15</v>
      </c>
      <c r="L77" s="54">
        <v>11</v>
      </c>
      <c r="M77" s="54">
        <v>9</v>
      </c>
      <c r="N77" s="54">
        <v>11</v>
      </c>
      <c r="O77" s="54">
        <v>16</v>
      </c>
      <c r="P77" s="54">
        <v>19</v>
      </c>
      <c r="Q77" s="54">
        <v>15</v>
      </c>
      <c r="R77" s="54">
        <v>11</v>
      </c>
      <c r="S77" s="54">
        <v>11</v>
      </c>
      <c r="T77" s="54">
        <v>17</v>
      </c>
      <c r="U77" s="54">
        <v>12</v>
      </c>
      <c r="V77" s="54">
        <v>16</v>
      </c>
      <c r="W77" s="54">
        <v>18</v>
      </c>
      <c r="X77" s="54">
        <v>16</v>
      </c>
      <c r="Y77" s="54">
        <v>21</v>
      </c>
      <c r="Z77" s="54">
        <v>16</v>
      </c>
      <c r="AA77" s="54">
        <v>14</v>
      </c>
      <c r="AB77" s="54">
        <v>5</v>
      </c>
      <c r="AC77" s="54">
        <v>11</v>
      </c>
      <c r="AD77" s="54">
        <v>14</v>
      </c>
      <c r="AE77" s="54">
        <v>6</v>
      </c>
      <c r="AF77" s="54">
        <v>7</v>
      </c>
      <c r="AG77" s="54">
        <v>6</v>
      </c>
      <c r="AH77" s="54">
        <v>6</v>
      </c>
      <c r="AI77" s="54">
        <v>5</v>
      </c>
      <c r="AJ77" s="54">
        <v>14</v>
      </c>
      <c r="AK77" s="55">
        <f t="shared" si="22"/>
        <v>50.1</v>
      </c>
      <c r="AL77" s="15">
        <f t="shared" si="23"/>
        <v>49.9</v>
      </c>
    </row>
    <row r="78" spans="1:38" ht="16.5" customHeight="1" x14ac:dyDescent="0.25">
      <c r="A78" s="14" t="s">
        <v>190</v>
      </c>
      <c r="B78" s="52">
        <f t="shared" si="21"/>
        <v>398</v>
      </c>
      <c r="C78" s="52">
        <f t="shared" si="19"/>
        <v>201</v>
      </c>
      <c r="D78" s="52">
        <f t="shared" si="20"/>
        <v>197</v>
      </c>
      <c r="E78" s="54">
        <v>8</v>
      </c>
      <c r="F78" s="54">
        <v>6</v>
      </c>
      <c r="G78" s="54">
        <v>13</v>
      </c>
      <c r="H78" s="54">
        <v>21</v>
      </c>
      <c r="I78" s="54">
        <v>17</v>
      </c>
      <c r="J78" s="54">
        <v>21</v>
      </c>
      <c r="K78" s="54">
        <v>26</v>
      </c>
      <c r="L78" s="54">
        <v>20</v>
      </c>
      <c r="M78" s="54">
        <v>20</v>
      </c>
      <c r="N78" s="54">
        <v>15</v>
      </c>
      <c r="O78" s="54">
        <v>14</v>
      </c>
      <c r="P78" s="54">
        <v>16</v>
      </c>
      <c r="Q78" s="54">
        <v>16</v>
      </c>
      <c r="R78" s="54">
        <v>15</v>
      </c>
      <c r="S78" s="54">
        <v>20</v>
      </c>
      <c r="T78" s="54">
        <v>13</v>
      </c>
      <c r="U78" s="54">
        <v>15</v>
      </c>
      <c r="V78" s="54">
        <v>10</v>
      </c>
      <c r="W78" s="54">
        <v>9</v>
      </c>
      <c r="X78" s="54">
        <v>18</v>
      </c>
      <c r="Y78" s="54">
        <v>12</v>
      </c>
      <c r="Z78" s="54">
        <v>11</v>
      </c>
      <c r="AA78" s="54">
        <v>10</v>
      </c>
      <c r="AB78" s="54">
        <v>8</v>
      </c>
      <c r="AC78" s="54">
        <v>10</v>
      </c>
      <c r="AD78" s="54">
        <v>14</v>
      </c>
      <c r="AE78" s="54">
        <v>11</v>
      </c>
      <c r="AF78" s="54">
        <v>9</v>
      </c>
      <c r="AG78" s="54">
        <v>0</v>
      </c>
      <c r="AH78" s="54">
        <v>0</v>
      </c>
      <c r="AI78" s="54">
        <v>0</v>
      </c>
      <c r="AJ78" s="54">
        <v>0</v>
      </c>
      <c r="AK78" s="55">
        <f t="shared" si="22"/>
        <v>50.5</v>
      </c>
      <c r="AL78" s="15">
        <f t="shared" si="23"/>
        <v>49.5</v>
      </c>
    </row>
    <row r="79" spans="1:38" ht="16.5" customHeight="1" x14ac:dyDescent="0.25">
      <c r="A79" s="14" t="s">
        <v>75</v>
      </c>
      <c r="B79" s="52">
        <f t="shared" si="21"/>
        <v>145</v>
      </c>
      <c r="C79" s="52">
        <f t="shared" si="19"/>
        <v>71</v>
      </c>
      <c r="D79" s="52">
        <f t="shared" si="20"/>
        <v>74</v>
      </c>
      <c r="E79" s="54">
        <v>0</v>
      </c>
      <c r="F79" s="54">
        <v>0</v>
      </c>
      <c r="G79" s="54">
        <v>0</v>
      </c>
      <c r="H79" s="54">
        <v>0</v>
      </c>
      <c r="I79" s="54">
        <v>7</v>
      </c>
      <c r="J79" s="54">
        <v>9</v>
      </c>
      <c r="K79" s="54">
        <v>5</v>
      </c>
      <c r="L79" s="54">
        <v>8</v>
      </c>
      <c r="M79" s="54">
        <v>5</v>
      </c>
      <c r="N79" s="54">
        <v>3</v>
      </c>
      <c r="O79" s="54">
        <v>7</v>
      </c>
      <c r="P79" s="54">
        <v>8</v>
      </c>
      <c r="Q79" s="54">
        <v>4</v>
      </c>
      <c r="R79" s="54">
        <v>6</v>
      </c>
      <c r="S79" s="54">
        <v>10</v>
      </c>
      <c r="T79" s="54">
        <v>6</v>
      </c>
      <c r="U79" s="54">
        <v>5</v>
      </c>
      <c r="V79" s="54">
        <v>7</v>
      </c>
      <c r="W79" s="54">
        <v>5</v>
      </c>
      <c r="X79" s="54">
        <v>5</v>
      </c>
      <c r="Y79" s="54">
        <v>9</v>
      </c>
      <c r="Z79" s="54">
        <v>6</v>
      </c>
      <c r="AA79" s="54">
        <v>6</v>
      </c>
      <c r="AB79" s="54">
        <v>7</v>
      </c>
      <c r="AC79" s="54">
        <v>3</v>
      </c>
      <c r="AD79" s="54">
        <v>5</v>
      </c>
      <c r="AE79" s="54">
        <v>5</v>
      </c>
      <c r="AF79" s="54">
        <v>4</v>
      </c>
      <c r="AG79" s="54">
        <v>0</v>
      </c>
      <c r="AH79" s="54">
        <v>0</v>
      </c>
      <c r="AI79" s="54">
        <v>0</v>
      </c>
      <c r="AJ79" s="54">
        <v>0</v>
      </c>
      <c r="AK79" s="55">
        <f t="shared" si="22"/>
        <v>49</v>
      </c>
      <c r="AL79" s="15">
        <f t="shared" si="23"/>
        <v>51</v>
      </c>
    </row>
    <row r="80" spans="1:38" ht="16.5" customHeight="1" x14ac:dyDescent="0.25">
      <c r="A80" s="14" t="s">
        <v>76</v>
      </c>
      <c r="B80" s="52">
        <f t="shared" si="21"/>
        <v>168</v>
      </c>
      <c r="C80" s="52">
        <f t="shared" si="19"/>
        <v>83</v>
      </c>
      <c r="D80" s="52">
        <f t="shared" si="20"/>
        <v>85</v>
      </c>
      <c r="E80" s="54">
        <v>0</v>
      </c>
      <c r="F80" s="54">
        <v>0</v>
      </c>
      <c r="G80" s="54">
        <v>0</v>
      </c>
      <c r="H80" s="54">
        <v>0</v>
      </c>
      <c r="I80" s="54">
        <v>7</v>
      </c>
      <c r="J80" s="54">
        <v>4</v>
      </c>
      <c r="K80" s="54">
        <v>11</v>
      </c>
      <c r="L80" s="54">
        <v>7</v>
      </c>
      <c r="M80" s="54">
        <v>8</v>
      </c>
      <c r="N80" s="54">
        <v>12</v>
      </c>
      <c r="O80" s="54">
        <v>7</v>
      </c>
      <c r="P80" s="54">
        <v>7</v>
      </c>
      <c r="Q80" s="54">
        <v>5</v>
      </c>
      <c r="R80" s="54">
        <v>7</v>
      </c>
      <c r="S80" s="54">
        <v>9</v>
      </c>
      <c r="T80" s="54">
        <v>7</v>
      </c>
      <c r="U80" s="54">
        <v>6</v>
      </c>
      <c r="V80" s="54">
        <v>6</v>
      </c>
      <c r="W80" s="54">
        <v>9</v>
      </c>
      <c r="X80" s="54">
        <v>11</v>
      </c>
      <c r="Y80" s="54">
        <v>4</v>
      </c>
      <c r="Z80" s="54">
        <v>6</v>
      </c>
      <c r="AA80" s="54">
        <v>4</v>
      </c>
      <c r="AB80" s="54">
        <v>6</v>
      </c>
      <c r="AC80" s="54">
        <v>7</v>
      </c>
      <c r="AD80" s="54">
        <v>7</v>
      </c>
      <c r="AE80" s="54">
        <v>6</v>
      </c>
      <c r="AF80" s="54">
        <v>5</v>
      </c>
      <c r="AG80" s="54">
        <v>0</v>
      </c>
      <c r="AH80" s="54">
        <v>0</v>
      </c>
      <c r="AI80" s="54">
        <v>0</v>
      </c>
      <c r="AJ80" s="54">
        <v>0</v>
      </c>
      <c r="AK80" s="55">
        <f t="shared" si="22"/>
        <v>49.4</v>
      </c>
      <c r="AL80" s="15">
        <f t="shared" si="23"/>
        <v>50.6</v>
      </c>
    </row>
    <row r="81" spans="1:38" ht="16.5" customHeight="1" x14ac:dyDescent="0.25">
      <c r="A81" s="14" t="s">
        <v>191</v>
      </c>
      <c r="B81" s="52">
        <f t="shared" si="21"/>
        <v>234</v>
      </c>
      <c r="C81" s="52">
        <f t="shared" si="19"/>
        <v>113</v>
      </c>
      <c r="D81" s="52">
        <f t="shared" si="20"/>
        <v>121</v>
      </c>
      <c r="E81" s="54">
        <v>0</v>
      </c>
      <c r="F81" s="54">
        <v>0</v>
      </c>
      <c r="G81" s="54">
        <v>0</v>
      </c>
      <c r="H81" s="54">
        <v>0</v>
      </c>
      <c r="I81" s="54">
        <v>11</v>
      </c>
      <c r="J81" s="54">
        <v>12</v>
      </c>
      <c r="K81" s="54">
        <v>8</v>
      </c>
      <c r="L81" s="54">
        <v>15</v>
      </c>
      <c r="M81" s="54">
        <v>11</v>
      </c>
      <c r="N81" s="54">
        <v>11</v>
      </c>
      <c r="O81" s="54">
        <v>7</v>
      </c>
      <c r="P81" s="54">
        <v>13</v>
      </c>
      <c r="Q81" s="54">
        <v>11</v>
      </c>
      <c r="R81" s="54">
        <v>7</v>
      </c>
      <c r="S81" s="54">
        <v>17</v>
      </c>
      <c r="T81" s="54">
        <v>10</v>
      </c>
      <c r="U81" s="54">
        <v>7</v>
      </c>
      <c r="V81" s="54">
        <v>11</v>
      </c>
      <c r="W81" s="54">
        <v>7</v>
      </c>
      <c r="X81" s="54">
        <v>11</v>
      </c>
      <c r="Y81" s="54">
        <v>6</v>
      </c>
      <c r="Z81" s="54">
        <v>7</v>
      </c>
      <c r="AA81" s="54">
        <v>12</v>
      </c>
      <c r="AB81" s="54">
        <v>6</v>
      </c>
      <c r="AC81" s="54">
        <v>9</v>
      </c>
      <c r="AD81" s="54">
        <v>5</v>
      </c>
      <c r="AE81" s="54">
        <v>7</v>
      </c>
      <c r="AF81" s="54">
        <v>13</v>
      </c>
      <c r="AG81" s="54">
        <v>0</v>
      </c>
      <c r="AH81" s="54">
        <v>0</v>
      </c>
      <c r="AI81" s="54">
        <v>0</v>
      </c>
      <c r="AJ81" s="54">
        <v>0</v>
      </c>
      <c r="AK81" s="55">
        <f t="shared" si="22"/>
        <v>48.3</v>
      </c>
      <c r="AL81" s="15">
        <f t="shared" si="23"/>
        <v>51.7</v>
      </c>
    </row>
    <row r="82" spans="1:38" ht="16.5" customHeight="1" x14ac:dyDescent="0.25">
      <c r="A82" s="14" t="s">
        <v>77</v>
      </c>
      <c r="B82" s="52">
        <f t="shared" si="21"/>
        <v>448</v>
      </c>
      <c r="C82" s="52">
        <f t="shared" si="19"/>
        <v>229</v>
      </c>
      <c r="D82" s="52">
        <f t="shared" si="20"/>
        <v>219</v>
      </c>
      <c r="E82" s="54">
        <v>0</v>
      </c>
      <c r="F82" s="54">
        <v>0</v>
      </c>
      <c r="G82" s="54">
        <v>15</v>
      </c>
      <c r="H82" s="54">
        <v>13</v>
      </c>
      <c r="I82" s="54">
        <v>34</v>
      </c>
      <c r="J82" s="54">
        <v>26</v>
      </c>
      <c r="K82" s="54">
        <v>29</v>
      </c>
      <c r="L82" s="54">
        <v>27</v>
      </c>
      <c r="M82" s="54">
        <v>20</v>
      </c>
      <c r="N82" s="54">
        <v>18</v>
      </c>
      <c r="O82" s="54">
        <v>14</v>
      </c>
      <c r="P82" s="54">
        <v>17</v>
      </c>
      <c r="Q82" s="54">
        <v>25</v>
      </c>
      <c r="R82" s="54">
        <v>12</v>
      </c>
      <c r="S82" s="54">
        <v>19</v>
      </c>
      <c r="T82" s="54">
        <v>19</v>
      </c>
      <c r="U82" s="54">
        <v>14</v>
      </c>
      <c r="V82" s="54">
        <v>16</v>
      </c>
      <c r="W82" s="54">
        <v>16</v>
      </c>
      <c r="X82" s="54">
        <v>15</v>
      </c>
      <c r="Y82" s="54">
        <v>13</v>
      </c>
      <c r="Z82" s="54">
        <v>20</v>
      </c>
      <c r="AA82" s="54">
        <v>9</v>
      </c>
      <c r="AB82" s="54">
        <v>9</v>
      </c>
      <c r="AC82" s="54">
        <v>8</v>
      </c>
      <c r="AD82" s="54">
        <v>15</v>
      </c>
      <c r="AE82" s="54">
        <v>13</v>
      </c>
      <c r="AF82" s="54">
        <v>12</v>
      </c>
      <c r="AG82" s="54">
        <v>0</v>
      </c>
      <c r="AH82" s="54">
        <v>0</v>
      </c>
      <c r="AI82" s="54">
        <v>0</v>
      </c>
      <c r="AJ82" s="54">
        <v>0</v>
      </c>
      <c r="AK82" s="55">
        <f t="shared" si="22"/>
        <v>51.1</v>
      </c>
      <c r="AL82" s="15">
        <f t="shared" si="23"/>
        <v>48.9</v>
      </c>
    </row>
    <row r="83" spans="1:38" ht="16.5" customHeight="1" x14ac:dyDescent="0.25">
      <c r="A83" s="14" t="s">
        <v>72</v>
      </c>
      <c r="B83" s="52">
        <f t="shared" si="21"/>
        <v>470</v>
      </c>
      <c r="C83" s="52">
        <f t="shared" si="19"/>
        <v>220</v>
      </c>
      <c r="D83" s="52">
        <f t="shared" si="20"/>
        <v>250</v>
      </c>
      <c r="E83" s="54">
        <v>0</v>
      </c>
      <c r="F83" s="54">
        <v>0</v>
      </c>
      <c r="G83" s="54">
        <v>0</v>
      </c>
      <c r="H83" s="54">
        <v>0</v>
      </c>
      <c r="I83" s="54">
        <v>11</v>
      </c>
      <c r="J83" s="54">
        <v>9</v>
      </c>
      <c r="K83" s="54">
        <v>22</v>
      </c>
      <c r="L83" s="54">
        <v>29</v>
      </c>
      <c r="M83" s="54">
        <v>14</v>
      </c>
      <c r="N83" s="54">
        <v>15</v>
      </c>
      <c r="O83" s="54">
        <v>18</v>
      </c>
      <c r="P83" s="54">
        <v>18</v>
      </c>
      <c r="Q83" s="54">
        <v>20</v>
      </c>
      <c r="R83" s="54">
        <v>23</v>
      </c>
      <c r="S83" s="54">
        <v>15</v>
      </c>
      <c r="T83" s="54">
        <v>21</v>
      </c>
      <c r="U83" s="54">
        <v>23</v>
      </c>
      <c r="V83" s="54">
        <v>13</v>
      </c>
      <c r="W83" s="54">
        <v>16</v>
      </c>
      <c r="X83" s="54">
        <v>24</v>
      </c>
      <c r="Y83" s="54">
        <v>12</v>
      </c>
      <c r="Z83" s="54">
        <v>18</v>
      </c>
      <c r="AA83" s="54">
        <v>24</v>
      </c>
      <c r="AB83" s="54">
        <v>16</v>
      </c>
      <c r="AC83" s="54">
        <v>19</v>
      </c>
      <c r="AD83" s="54">
        <v>19</v>
      </c>
      <c r="AE83" s="54">
        <v>16</v>
      </c>
      <c r="AF83" s="54">
        <v>22</v>
      </c>
      <c r="AG83" s="54">
        <v>4</v>
      </c>
      <c r="AH83" s="54">
        <v>11</v>
      </c>
      <c r="AI83" s="54">
        <v>6</v>
      </c>
      <c r="AJ83" s="54">
        <v>12</v>
      </c>
      <c r="AK83" s="55">
        <f t="shared" si="22"/>
        <v>46.8</v>
      </c>
      <c r="AL83" s="15">
        <f t="shared" si="23"/>
        <v>53.2</v>
      </c>
    </row>
    <row r="84" spans="1:38" ht="16.5" customHeight="1" x14ac:dyDescent="0.25">
      <c r="A84" s="14" t="s">
        <v>192</v>
      </c>
      <c r="B84" s="52">
        <f t="shared" si="21"/>
        <v>122</v>
      </c>
      <c r="C84" s="52">
        <f t="shared" si="19"/>
        <v>51</v>
      </c>
      <c r="D84" s="52">
        <f t="shared" si="20"/>
        <v>71</v>
      </c>
      <c r="E84" s="54">
        <v>0</v>
      </c>
      <c r="F84" s="54">
        <v>0</v>
      </c>
      <c r="G84" s="54">
        <v>0</v>
      </c>
      <c r="H84" s="54">
        <v>0</v>
      </c>
      <c r="I84" s="54">
        <v>3</v>
      </c>
      <c r="J84" s="54">
        <v>3</v>
      </c>
      <c r="K84" s="54">
        <v>9</v>
      </c>
      <c r="L84" s="54">
        <v>10</v>
      </c>
      <c r="M84" s="54">
        <v>3</v>
      </c>
      <c r="N84" s="54">
        <v>4</v>
      </c>
      <c r="O84" s="54">
        <v>4</v>
      </c>
      <c r="P84" s="54">
        <v>5</v>
      </c>
      <c r="Q84" s="54">
        <v>2</v>
      </c>
      <c r="R84" s="54">
        <v>8</v>
      </c>
      <c r="S84" s="54">
        <v>4</v>
      </c>
      <c r="T84" s="54">
        <v>9</v>
      </c>
      <c r="U84" s="54">
        <v>2</v>
      </c>
      <c r="V84" s="54">
        <v>6</v>
      </c>
      <c r="W84" s="54">
        <v>6</v>
      </c>
      <c r="X84" s="54">
        <v>6</v>
      </c>
      <c r="Y84" s="54">
        <v>4</v>
      </c>
      <c r="Z84" s="54">
        <v>3</v>
      </c>
      <c r="AA84" s="54">
        <v>4</v>
      </c>
      <c r="AB84" s="54">
        <v>6</v>
      </c>
      <c r="AC84" s="54">
        <v>4</v>
      </c>
      <c r="AD84" s="54">
        <v>4</v>
      </c>
      <c r="AE84" s="54">
        <v>6</v>
      </c>
      <c r="AF84" s="54">
        <v>7</v>
      </c>
      <c r="AG84" s="54">
        <v>0</v>
      </c>
      <c r="AH84" s="54">
        <v>0</v>
      </c>
      <c r="AI84" s="54">
        <v>0</v>
      </c>
      <c r="AJ84" s="54">
        <v>0</v>
      </c>
      <c r="AK84" s="55">
        <f t="shared" si="22"/>
        <v>41.8</v>
      </c>
      <c r="AL84" s="15">
        <f t="shared" si="23"/>
        <v>58.2</v>
      </c>
    </row>
    <row r="85" spans="1:38" ht="16.5" customHeight="1" x14ac:dyDescent="0.25">
      <c r="A85" s="14" t="s">
        <v>78</v>
      </c>
      <c r="B85" s="52">
        <f t="shared" si="21"/>
        <v>128</v>
      </c>
      <c r="C85" s="52">
        <f t="shared" si="19"/>
        <v>67</v>
      </c>
      <c r="D85" s="52">
        <f t="shared" si="20"/>
        <v>61</v>
      </c>
      <c r="E85" s="54">
        <v>0</v>
      </c>
      <c r="F85" s="54">
        <v>0</v>
      </c>
      <c r="G85" s="54">
        <v>0</v>
      </c>
      <c r="H85" s="54">
        <v>0</v>
      </c>
      <c r="I85" s="54">
        <v>7</v>
      </c>
      <c r="J85" s="54">
        <v>4</v>
      </c>
      <c r="K85" s="54">
        <v>12</v>
      </c>
      <c r="L85" s="54">
        <v>9</v>
      </c>
      <c r="M85" s="54">
        <v>3</v>
      </c>
      <c r="N85" s="54">
        <v>5</v>
      </c>
      <c r="O85" s="54">
        <v>0</v>
      </c>
      <c r="P85" s="54">
        <v>4</v>
      </c>
      <c r="Q85" s="54">
        <v>2</v>
      </c>
      <c r="R85" s="54">
        <v>7</v>
      </c>
      <c r="S85" s="54">
        <v>2</v>
      </c>
      <c r="T85" s="54">
        <v>4</v>
      </c>
      <c r="U85" s="54">
        <v>12</v>
      </c>
      <c r="V85" s="54">
        <v>7</v>
      </c>
      <c r="W85" s="54">
        <v>9</v>
      </c>
      <c r="X85" s="54">
        <v>3</v>
      </c>
      <c r="Y85" s="54">
        <v>5</v>
      </c>
      <c r="Z85" s="54">
        <v>4</v>
      </c>
      <c r="AA85" s="54">
        <v>9</v>
      </c>
      <c r="AB85" s="54">
        <v>9</v>
      </c>
      <c r="AC85" s="54">
        <v>3</v>
      </c>
      <c r="AD85" s="54">
        <v>2</v>
      </c>
      <c r="AE85" s="54">
        <v>3</v>
      </c>
      <c r="AF85" s="54">
        <v>3</v>
      </c>
      <c r="AG85" s="54">
        <v>0</v>
      </c>
      <c r="AH85" s="54">
        <v>0</v>
      </c>
      <c r="AI85" s="54">
        <v>0</v>
      </c>
      <c r="AJ85" s="54">
        <v>0</v>
      </c>
      <c r="AK85" s="55">
        <f t="shared" si="22"/>
        <v>52.3</v>
      </c>
      <c r="AL85" s="15">
        <f t="shared" si="23"/>
        <v>47.7</v>
      </c>
    </row>
    <row r="86" spans="1:38" ht="16.5" customHeight="1" x14ac:dyDescent="0.25">
      <c r="A86" s="14" t="s">
        <v>193</v>
      </c>
      <c r="B86" s="52">
        <f t="shared" si="21"/>
        <v>452</v>
      </c>
      <c r="C86" s="52">
        <f t="shared" si="19"/>
        <v>230</v>
      </c>
      <c r="D86" s="52">
        <f t="shared" si="20"/>
        <v>222</v>
      </c>
      <c r="E86" s="54">
        <v>0</v>
      </c>
      <c r="F86" s="54">
        <v>0</v>
      </c>
      <c r="G86" s="54">
        <v>0</v>
      </c>
      <c r="H86" s="54">
        <v>0</v>
      </c>
      <c r="I86" s="54">
        <v>20</v>
      </c>
      <c r="J86" s="54">
        <v>16</v>
      </c>
      <c r="K86" s="54">
        <v>28</v>
      </c>
      <c r="L86" s="54">
        <v>27</v>
      </c>
      <c r="M86" s="54">
        <v>23</v>
      </c>
      <c r="N86" s="54">
        <v>18</v>
      </c>
      <c r="O86" s="54">
        <v>15</v>
      </c>
      <c r="P86" s="54">
        <v>17</v>
      </c>
      <c r="Q86" s="54">
        <v>23</v>
      </c>
      <c r="R86" s="54">
        <v>28</v>
      </c>
      <c r="S86" s="54">
        <v>20</v>
      </c>
      <c r="T86" s="54">
        <v>19</v>
      </c>
      <c r="U86" s="54">
        <v>19</v>
      </c>
      <c r="V86" s="54">
        <v>17</v>
      </c>
      <c r="W86" s="54">
        <v>17</v>
      </c>
      <c r="X86" s="54">
        <v>16</v>
      </c>
      <c r="Y86" s="54">
        <v>17</v>
      </c>
      <c r="Z86" s="54">
        <v>23</v>
      </c>
      <c r="AA86" s="54">
        <v>18</v>
      </c>
      <c r="AB86" s="54">
        <v>16</v>
      </c>
      <c r="AC86" s="54">
        <v>18</v>
      </c>
      <c r="AD86" s="54">
        <v>13</v>
      </c>
      <c r="AE86" s="54">
        <v>12</v>
      </c>
      <c r="AF86" s="54">
        <v>12</v>
      </c>
      <c r="AG86" s="54">
        <v>0</v>
      </c>
      <c r="AH86" s="54">
        <v>0</v>
      </c>
      <c r="AI86" s="54">
        <v>0</v>
      </c>
      <c r="AJ86" s="54">
        <v>0</v>
      </c>
      <c r="AK86" s="55">
        <f t="shared" si="22"/>
        <v>50.9</v>
      </c>
      <c r="AL86" s="15">
        <f t="shared" si="23"/>
        <v>49.1</v>
      </c>
    </row>
    <row r="87" spans="1:38" ht="16.5" customHeight="1" x14ac:dyDescent="0.25">
      <c r="A87" s="14" t="s">
        <v>79</v>
      </c>
      <c r="B87" s="52">
        <f t="shared" si="21"/>
        <v>108</v>
      </c>
      <c r="C87" s="52">
        <f t="shared" si="19"/>
        <v>58</v>
      </c>
      <c r="D87" s="52">
        <f t="shared" si="20"/>
        <v>50</v>
      </c>
      <c r="E87" s="54">
        <v>0</v>
      </c>
      <c r="F87" s="54">
        <v>0</v>
      </c>
      <c r="G87" s="54">
        <v>0</v>
      </c>
      <c r="H87" s="54">
        <v>0</v>
      </c>
      <c r="I87" s="54">
        <v>3</v>
      </c>
      <c r="J87" s="54">
        <v>3</v>
      </c>
      <c r="K87" s="54">
        <v>7</v>
      </c>
      <c r="L87" s="54">
        <v>7</v>
      </c>
      <c r="M87" s="54">
        <v>6</v>
      </c>
      <c r="N87" s="54">
        <v>2</v>
      </c>
      <c r="O87" s="54">
        <v>6</v>
      </c>
      <c r="P87" s="54">
        <v>4</v>
      </c>
      <c r="Q87" s="54">
        <v>5</v>
      </c>
      <c r="R87" s="54">
        <v>2</v>
      </c>
      <c r="S87" s="54">
        <v>6</v>
      </c>
      <c r="T87" s="54">
        <v>5</v>
      </c>
      <c r="U87" s="54">
        <v>4</v>
      </c>
      <c r="V87" s="54">
        <v>4</v>
      </c>
      <c r="W87" s="54">
        <v>8</v>
      </c>
      <c r="X87" s="54">
        <v>5</v>
      </c>
      <c r="Y87" s="54">
        <v>2</v>
      </c>
      <c r="Z87" s="54">
        <v>3</v>
      </c>
      <c r="AA87" s="54">
        <v>4</v>
      </c>
      <c r="AB87" s="54">
        <v>3</v>
      </c>
      <c r="AC87" s="54">
        <v>2</v>
      </c>
      <c r="AD87" s="54">
        <v>6</v>
      </c>
      <c r="AE87" s="54">
        <v>5</v>
      </c>
      <c r="AF87" s="54">
        <v>6</v>
      </c>
      <c r="AG87" s="54">
        <v>0</v>
      </c>
      <c r="AH87" s="54">
        <v>0</v>
      </c>
      <c r="AI87" s="54">
        <v>0</v>
      </c>
      <c r="AJ87" s="54">
        <v>0</v>
      </c>
      <c r="AK87" s="55">
        <f t="shared" si="22"/>
        <v>53.7</v>
      </c>
      <c r="AL87" s="15">
        <f t="shared" si="23"/>
        <v>46.3</v>
      </c>
    </row>
    <row r="88" spans="1:38" ht="17.25" customHeight="1" thickBot="1" x14ac:dyDescent="0.3">
      <c r="A88" s="16" t="s">
        <v>6</v>
      </c>
      <c r="B88" s="56">
        <f t="shared" si="21"/>
        <v>2656</v>
      </c>
      <c r="C88" s="56">
        <f t="shared" ref="C88:AJ88" si="24">SUM(C89:C101)</f>
        <v>1330</v>
      </c>
      <c r="D88" s="56">
        <f t="shared" si="24"/>
        <v>1326</v>
      </c>
      <c r="E88" s="60">
        <f t="shared" si="24"/>
        <v>10</v>
      </c>
      <c r="F88" s="60">
        <f t="shared" si="24"/>
        <v>16</v>
      </c>
      <c r="G88" s="60">
        <f t="shared" si="24"/>
        <v>21</v>
      </c>
      <c r="H88" s="60">
        <f t="shared" si="24"/>
        <v>31</v>
      </c>
      <c r="I88" s="60">
        <f t="shared" si="24"/>
        <v>121</v>
      </c>
      <c r="J88" s="60">
        <f t="shared" si="24"/>
        <v>126</v>
      </c>
      <c r="K88" s="60">
        <f t="shared" si="24"/>
        <v>110</v>
      </c>
      <c r="L88" s="60">
        <f t="shared" si="24"/>
        <v>116</v>
      </c>
      <c r="M88" s="60">
        <f t="shared" si="24"/>
        <v>91</v>
      </c>
      <c r="N88" s="60">
        <f t="shared" si="24"/>
        <v>112</v>
      </c>
      <c r="O88" s="60">
        <f t="shared" si="24"/>
        <v>102</v>
      </c>
      <c r="P88" s="60">
        <f t="shared" si="24"/>
        <v>110</v>
      </c>
      <c r="Q88" s="60">
        <f t="shared" si="24"/>
        <v>105</v>
      </c>
      <c r="R88" s="60">
        <f t="shared" si="24"/>
        <v>100</v>
      </c>
      <c r="S88" s="60">
        <f t="shared" si="24"/>
        <v>119</v>
      </c>
      <c r="T88" s="60">
        <f t="shared" si="24"/>
        <v>96</v>
      </c>
      <c r="U88" s="60">
        <f t="shared" si="24"/>
        <v>118</v>
      </c>
      <c r="V88" s="60">
        <f t="shared" si="24"/>
        <v>104</v>
      </c>
      <c r="W88" s="60">
        <f t="shared" si="24"/>
        <v>117</v>
      </c>
      <c r="X88" s="60">
        <f t="shared" si="24"/>
        <v>123</v>
      </c>
      <c r="Y88" s="60">
        <f t="shared" si="24"/>
        <v>95</v>
      </c>
      <c r="Z88" s="60">
        <f t="shared" si="24"/>
        <v>94</v>
      </c>
      <c r="AA88" s="60">
        <f t="shared" si="24"/>
        <v>96</v>
      </c>
      <c r="AB88" s="60">
        <f t="shared" si="24"/>
        <v>98</v>
      </c>
      <c r="AC88" s="60">
        <f t="shared" si="24"/>
        <v>92</v>
      </c>
      <c r="AD88" s="60">
        <f t="shared" si="24"/>
        <v>72</v>
      </c>
      <c r="AE88" s="60">
        <f t="shared" si="24"/>
        <v>97</v>
      </c>
      <c r="AF88" s="60">
        <f t="shared" si="24"/>
        <v>75</v>
      </c>
      <c r="AG88" s="60">
        <f t="shared" si="24"/>
        <v>13</v>
      </c>
      <c r="AH88" s="60">
        <f t="shared" si="24"/>
        <v>15</v>
      </c>
      <c r="AI88" s="60">
        <f t="shared" si="24"/>
        <v>23</v>
      </c>
      <c r="AJ88" s="60">
        <f t="shared" si="24"/>
        <v>38</v>
      </c>
      <c r="AK88" s="60">
        <f t="shared" si="22"/>
        <v>50.1</v>
      </c>
      <c r="AL88" s="21">
        <f t="shared" si="23"/>
        <v>49.9</v>
      </c>
    </row>
    <row r="89" spans="1:38" ht="16.5" customHeight="1" x14ac:dyDescent="0.25">
      <c r="A89" s="14" t="s">
        <v>80</v>
      </c>
      <c r="B89" s="52">
        <f t="shared" si="21"/>
        <v>204</v>
      </c>
      <c r="C89" s="52">
        <f t="shared" ref="C89:C101" si="25">E89+G89+I89+K89+M89+O89+Q89+S89+U89+W89+Y89+AA89+AC89+AE89+AG89+AI89</f>
        <v>107</v>
      </c>
      <c r="D89" s="52">
        <f t="shared" ref="D89:D101" si="26">F89+H89+J89+L89+N89+P89+R89+T89+V89+X89+Z89+AB89+AD89+AF89+AH89+AJ89</f>
        <v>97</v>
      </c>
      <c r="E89" s="54">
        <v>0</v>
      </c>
      <c r="F89" s="54">
        <v>0</v>
      </c>
      <c r="G89" s="54">
        <v>0</v>
      </c>
      <c r="H89" s="54">
        <v>0</v>
      </c>
      <c r="I89" s="54">
        <v>7</v>
      </c>
      <c r="J89" s="54">
        <v>12</v>
      </c>
      <c r="K89" s="54">
        <v>7</v>
      </c>
      <c r="L89" s="54">
        <v>11</v>
      </c>
      <c r="M89" s="54">
        <v>13</v>
      </c>
      <c r="N89" s="54">
        <v>11</v>
      </c>
      <c r="O89" s="54">
        <v>9</v>
      </c>
      <c r="P89" s="54">
        <v>10</v>
      </c>
      <c r="Q89" s="54">
        <v>9</v>
      </c>
      <c r="R89" s="54">
        <v>8</v>
      </c>
      <c r="S89" s="54">
        <v>12</v>
      </c>
      <c r="T89" s="54">
        <v>5</v>
      </c>
      <c r="U89" s="54">
        <v>13</v>
      </c>
      <c r="V89" s="54">
        <v>8</v>
      </c>
      <c r="W89" s="54">
        <v>6</v>
      </c>
      <c r="X89" s="54">
        <v>4</v>
      </c>
      <c r="Y89" s="54">
        <v>10</v>
      </c>
      <c r="Z89" s="54">
        <v>13</v>
      </c>
      <c r="AA89" s="54">
        <v>9</v>
      </c>
      <c r="AB89" s="54">
        <v>4</v>
      </c>
      <c r="AC89" s="54">
        <v>6</v>
      </c>
      <c r="AD89" s="54">
        <v>6</v>
      </c>
      <c r="AE89" s="54">
        <v>4</v>
      </c>
      <c r="AF89" s="54">
        <v>4</v>
      </c>
      <c r="AG89" s="54">
        <v>2</v>
      </c>
      <c r="AH89" s="54">
        <v>1</v>
      </c>
      <c r="AI89" s="54">
        <v>0</v>
      </c>
      <c r="AJ89" s="54">
        <v>0</v>
      </c>
      <c r="AK89" s="54">
        <f t="shared" si="22"/>
        <v>52.5</v>
      </c>
      <c r="AL89" s="22">
        <f t="shared" si="23"/>
        <v>47.5</v>
      </c>
    </row>
    <row r="90" spans="1:38" ht="16.5" customHeight="1" x14ac:dyDescent="0.25">
      <c r="A90" s="14" t="s">
        <v>82</v>
      </c>
      <c r="B90" s="52">
        <f t="shared" si="21"/>
        <v>94</v>
      </c>
      <c r="C90" s="52">
        <f t="shared" si="25"/>
        <v>39</v>
      </c>
      <c r="D90" s="52">
        <f t="shared" si="26"/>
        <v>55</v>
      </c>
      <c r="E90" s="54">
        <v>0</v>
      </c>
      <c r="F90" s="54">
        <v>0</v>
      </c>
      <c r="G90" s="54">
        <v>0</v>
      </c>
      <c r="H90" s="54">
        <v>0</v>
      </c>
      <c r="I90" s="54">
        <v>3</v>
      </c>
      <c r="J90" s="54">
        <v>4</v>
      </c>
      <c r="K90" s="54">
        <v>3</v>
      </c>
      <c r="L90" s="54">
        <v>4</v>
      </c>
      <c r="M90" s="54">
        <v>3</v>
      </c>
      <c r="N90" s="54">
        <v>8</v>
      </c>
      <c r="O90" s="54">
        <v>2</v>
      </c>
      <c r="P90" s="54">
        <v>5</v>
      </c>
      <c r="Q90" s="54">
        <v>2</v>
      </c>
      <c r="R90" s="54">
        <v>3</v>
      </c>
      <c r="S90" s="54">
        <v>4</v>
      </c>
      <c r="T90" s="54">
        <v>0</v>
      </c>
      <c r="U90" s="54">
        <v>5</v>
      </c>
      <c r="V90" s="54">
        <v>6</v>
      </c>
      <c r="W90" s="54">
        <v>4</v>
      </c>
      <c r="X90" s="54">
        <v>7</v>
      </c>
      <c r="Y90" s="54">
        <v>1</v>
      </c>
      <c r="Z90" s="54">
        <v>4</v>
      </c>
      <c r="AA90" s="54">
        <v>4</v>
      </c>
      <c r="AB90" s="54">
        <v>7</v>
      </c>
      <c r="AC90" s="54">
        <v>5</v>
      </c>
      <c r="AD90" s="54">
        <v>4</v>
      </c>
      <c r="AE90" s="54">
        <v>3</v>
      </c>
      <c r="AF90" s="54">
        <v>3</v>
      </c>
      <c r="AG90" s="54">
        <v>0</v>
      </c>
      <c r="AH90" s="54">
        <v>0</v>
      </c>
      <c r="AI90" s="54">
        <v>0</v>
      </c>
      <c r="AJ90" s="54">
        <v>0</v>
      </c>
      <c r="AK90" s="54">
        <f t="shared" si="22"/>
        <v>41.5</v>
      </c>
      <c r="AL90" s="22">
        <f t="shared" si="23"/>
        <v>58.5</v>
      </c>
    </row>
    <row r="91" spans="1:38" ht="16.5" customHeight="1" x14ac:dyDescent="0.25">
      <c r="A91" s="14" t="s">
        <v>81</v>
      </c>
      <c r="B91" s="52">
        <f t="shared" si="21"/>
        <v>779</v>
      </c>
      <c r="C91" s="52">
        <f t="shared" si="25"/>
        <v>377</v>
      </c>
      <c r="D91" s="52">
        <f t="shared" si="26"/>
        <v>402</v>
      </c>
      <c r="E91" s="54">
        <v>0</v>
      </c>
      <c r="F91" s="54">
        <v>0</v>
      </c>
      <c r="G91" s="54">
        <v>0</v>
      </c>
      <c r="H91" s="54">
        <v>0</v>
      </c>
      <c r="I91" s="54">
        <v>33</v>
      </c>
      <c r="J91" s="54">
        <v>36</v>
      </c>
      <c r="K91" s="54">
        <v>30</v>
      </c>
      <c r="L91" s="54">
        <v>30</v>
      </c>
      <c r="M91" s="54">
        <v>24</v>
      </c>
      <c r="N91" s="54">
        <v>29</v>
      </c>
      <c r="O91" s="54">
        <v>21</v>
      </c>
      <c r="P91" s="54">
        <v>24</v>
      </c>
      <c r="Q91" s="54">
        <v>30</v>
      </c>
      <c r="R91" s="54">
        <v>27</v>
      </c>
      <c r="S91" s="54">
        <v>36</v>
      </c>
      <c r="T91" s="54">
        <v>31</v>
      </c>
      <c r="U91" s="54">
        <v>31</v>
      </c>
      <c r="V91" s="54">
        <v>33</v>
      </c>
      <c r="W91" s="54">
        <v>37</v>
      </c>
      <c r="X91" s="54">
        <v>43</v>
      </c>
      <c r="Y91" s="54">
        <v>21</v>
      </c>
      <c r="Z91" s="54">
        <v>25</v>
      </c>
      <c r="AA91" s="54">
        <v>28</v>
      </c>
      <c r="AB91" s="54">
        <v>23</v>
      </c>
      <c r="AC91" s="54">
        <v>24</v>
      </c>
      <c r="AD91" s="54">
        <v>24</v>
      </c>
      <c r="AE91" s="54">
        <v>28</v>
      </c>
      <c r="AF91" s="54">
        <v>25</v>
      </c>
      <c r="AG91" s="54">
        <v>11</v>
      </c>
      <c r="AH91" s="54">
        <v>14</v>
      </c>
      <c r="AI91" s="54">
        <v>23</v>
      </c>
      <c r="AJ91" s="54">
        <v>38</v>
      </c>
      <c r="AK91" s="54">
        <f t="shared" si="22"/>
        <v>48.4</v>
      </c>
      <c r="AL91" s="22">
        <f t="shared" si="23"/>
        <v>51.6</v>
      </c>
    </row>
    <row r="92" spans="1:38" ht="16.5" customHeight="1" x14ac:dyDescent="0.25">
      <c r="A92" s="14" t="s">
        <v>221</v>
      </c>
      <c r="B92" s="52">
        <f t="shared" si="21"/>
        <v>27</v>
      </c>
      <c r="C92" s="52">
        <f t="shared" si="25"/>
        <v>14</v>
      </c>
      <c r="D92" s="52">
        <f t="shared" si="26"/>
        <v>13</v>
      </c>
      <c r="E92" s="54">
        <v>0</v>
      </c>
      <c r="F92" s="54">
        <v>0</v>
      </c>
      <c r="G92" s="54">
        <v>0</v>
      </c>
      <c r="H92" s="54">
        <v>0</v>
      </c>
      <c r="I92" s="54">
        <v>4</v>
      </c>
      <c r="J92" s="54">
        <v>1</v>
      </c>
      <c r="K92" s="54">
        <v>3</v>
      </c>
      <c r="L92" s="54">
        <v>2</v>
      </c>
      <c r="M92" s="54">
        <v>0</v>
      </c>
      <c r="N92" s="54">
        <v>1</v>
      </c>
      <c r="O92" s="54">
        <v>1</v>
      </c>
      <c r="P92" s="54">
        <v>2</v>
      </c>
      <c r="Q92" s="54">
        <v>0</v>
      </c>
      <c r="R92" s="54">
        <v>1</v>
      </c>
      <c r="S92" s="54">
        <v>2</v>
      </c>
      <c r="T92" s="54">
        <v>0</v>
      </c>
      <c r="U92" s="54">
        <v>1</v>
      </c>
      <c r="V92" s="54">
        <v>0</v>
      </c>
      <c r="W92" s="54">
        <v>1</v>
      </c>
      <c r="X92" s="54">
        <v>2</v>
      </c>
      <c r="Y92" s="54">
        <v>1</v>
      </c>
      <c r="Z92" s="54">
        <v>4</v>
      </c>
      <c r="AA92" s="54">
        <v>1</v>
      </c>
      <c r="AB92" s="54">
        <v>0</v>
      </c>
      <c r="AC92" s="54">
        <v>0</v>
      </c>
      <c r="AD92" s="54">
        <v>0</v>
      </c>
      <c r="AE92" s="54">
        <v>0</v>
      </c>
      <c r="AF92" s="54">
        <v>0</v>
      </c>
      <c r="AG92" s="54">
        <v>0</v>
      </c>
      <c r="AH92" s="54">
        <v>0</v>
      </c>
      <c r="AI92" s="54">
        <v>0</v>
      </c>
      <c r="AJ92" s="54">
        <v>0</v>
      </c>
      <c r="AK92" s="54">
        <f t="shared" si="22"/>
        <v>51.9</v>
      </c>
      <c r="AL92" s="22">
        <f t="shared" si="23"/>
        <v>48.1</v>
      </c>
    </row>
    <row r="93" spans="1:38" ht="16.5" customHeight="1" x14ac:dyDescent="0.25">
      <c r="A93" s="14" t="s">
        <v>83</v>
      </c>
      <c r="B93" s="52">
        <f t="shared" si="21"/>
        <v>47</v>
      </c>
      <c r="C93" s="52">
        <f t="shared" si="25"/>
        <v>20</v>
      </c>
      <c r="D93" s="52">
        <f t="shared" si="26"/>
        <v>27</v>
      </c>
      <c r="E93" s="54">
        <v>0</v>
      </c>
      <c r="F93" s="54">
        <v>0</v>
      </c>
      <c r="G93" s="54">
        <v>0</v>
      </c>
      <c r="H93" s="54">
        <v>0</v>
      </c>
      <c r="I93" s="54">
        <v>3</v>
      </c>
      <c r="J93" s="54">
        <v>4</v>
      </c>
      <c r="K93" s="54">
        <v>0</v>
      </c>
      <c r="L93" s="54">
        <v>3</v>
      </c>
      <c r="M93" s="54">
        <v>3</v>
      </c>
      <c r="N93" s="54">
        <v>1</v>
      </c>
      <c r="O93" s="54">
        <v>3</v>
      </c>
      <c r="P93" s="54">
        <v>3</v>
      </c>
      <c r="Q93" s="54">
        <v>2</v>
      </c>
      <c r="R93" s="54">
        <v>3</v>
      </c>
      <c r="S93" s="54">
        <v>3</v>
      </c>
      <c r="T93" s="54">
        <v>0</v>
      </c>
      <c r="U93" s="54">
        <v>1</v>
      </c>
      <c r="V93" s="54">
        <v>3</v>
      </c>
      <c r="W93" s="54">
        <v>2</v>
      </c>
      <c r="X93" s="54">
        <v>4</v>
      </c>
      <c r="Y93" s="54">
        <v>2</v>
      </c>
      <c r="Z93" s="54">
        <v>3</v>
      </c>
      <c r="AA93" s="54">
        <v>1</v>
      </c>
      <c r="AB93" s="54">
        <v>3</v>
      </c>
      <c r="AC93" s="54">
        <v>0</v>
      </c>
      <c r="AD93" s="54">
        <v>0</v>
      </c>
      <c r="AE93" s="54">
        <v>0</v>
      </c>
      <c r="AF93" s="54">
        <v>0</v>
      </c>
      <c r="AG93" s="54">
        <v>0</v>
      </c>
      <c r="AH93" s="54">
        <v>0</v>
      </c>
      <c r="AI93" s="54">
        <v>0</v>
      </c>
      <c r="AJ93" s="54">
        <v>0</v>
      </c>
      <c r="AK93" s="54">
        <f t="shared" si="22"/>
        <v>42.6</v>
      </c>
      <c r="AL93" s="22">
        <f t="shared" si="23"/>
        <v>57.4</v>
      </c>
    </row>
    <row r="94" spans="1:38" ht="16.5" customHeight="1" x14ac:dyDescent="0.25">
      <c r="A94" s="14" t="s">
        <v>56</v>
      </c>
      <c r="B94" s="52">
        <f t="shared" si="21"/>
        <v>124</v>
      </c>
      <c r="C94" s="52">
        <f t="shared" si="25"/>
        <v>64</v>
      </c>
      <c r="D94" s="52">
        <f t="shared" si="26"/>
        <v>60</v>
      </c>
      <c r="E94" s="54">
        <v>0</v>
      </c>
      <c r="F94" s="54">
        <v>0</v>
      </c>
      <c r="G94" s="54">
        <v>0</v>
      </c>
      <c r="H94" s="54">
        <v>0</v>
      </c>
      <c r="I94" s="54">
        <v>5</v>
      </c>
      <c r="J94" s="54">
        <v>3</v>
      </c>
      <c r="K94" s="54">
        <v>3</v>
      </c>
      <c r="L94" s="54">
        <v>8</v>
      </c>
      <c r="M94" s="54">
        <v>4</v>
      </c>
      <c r="N94" s="54">
        <v>7</v>
      </c>
      <c r="O94" s="54">
        <v>10</v>
      </c>
      <c r="P94" s="54">
        <v>7</v>
      </c>
      <c r="Q94" s="54">
        <v>4</v>
      </c>
      <c r="R94" s="54">
        <v>3</v>
      </c>
      <c r="S94" s="54">
        <v>3</v>
      </c>
      <c r="T94" s="54">
        <v>6</v>
      </c>
      <c r="U94" s="54">
        <v>6</v>
      </c>
      <c r="V94" s="54">
        <v>3</v>
      </c>
      <c r="W94" s="54">
        <v>6</v>
      </c>
      <c r="X94" s="54">
        <v>3</v>
      </c>
      <c r="Y94" s="54">
        <v>6</v>
      </c>
      <c r="Z94" s="54">
        <v>7</v>
      </c>
      <c r="AA94" s="54">
        <v>3</v>
      </c>
      <c r="AB94" s="54">
        <v>4</v>
      </c>
      <c r="AC94" s="54">
        <v>7</v>
      </c>
      <c r="AD94" s="54">
        <v>4</v>
      </c>
      <c r="AE94" s="54">
        <v>7</v>
      </c>
      <c r="AF94" s="54">
        <v>5</v>
      </c>
      <c r="AG94" s="54">
        <v>0</v>
      </c>
      <c r="AH94" s="54">
        <v>0</v>
      </c>
      <c r="AI94" s="54">
        <v>0</v>
      </c>
      <c r="AJ94" s="54">
        <v>0</v>
      </c>
      <c r="AK94" s="54">
        <f t="shared" si="22"/>
        <v>51.6</v>
      </c>
      <c r="AL94" s="22">
        <f t="shared" si="23"/>
        <v>48.4</v>
      </c>
    </row>
    <row r="95" spans="1:38" ht="16.5" customHeight="1" x14ac:dyDescent="0.25">
      <c r="A95" s="14" t="s">
        <v>84</v>
      </c>
      <c r="B95" s="52">
        <f t="shared" si="21"/>
        <v>222</v>
      </c>
      <c r="C95" s="52">
        <f t="shared" si="25"/>
        <v>126</v>
      </c>
      <c r="D95" s="52">
        <f t="shared" si="26"/>
        <v>96</v>
      </c>
      <c r="E95" s="54">
        <v>2</v>
      </c>
      <c r="F95" s="54">
        <v>2</v>
      </c>
      <c r="G95" s="54">
        <v>7</v>
      </c>
      <c r="H95" s="54">
        <v>6</v>
      </c>
      <c r="I95" s="54">
        <v>11</v>
      </c>
      <c r="J95" s="54">
        <v>9</v>
      </c>
      <c r="K95" s="54">
        <v>14</v>
      </c>
      <c r="L95" s="54">
        <v>7</v>
      </c>
      <c r="M95" s="54">
        <v>3</v>
      </c>
      <c r="N95" s="54">
        <v>5</v>
      </c>
      <c r="O95" s="54">
        <v>11</v>
      </c>
      <c r="P95" s="54">
        <v>5</v>
      </c>
      <c r="Q95" s="54">
        <v>7</v>
      </c>
      <c r="R95" s="54">
        <v>6</v>
      </c>
      <c r="S95" s="54">
        <v>12</v>
      </c>
      <c r="T95" s="54">
        <v>9</v>
      </c>
      <c r="U95" s="54">
        <v>12</v>
      </c>
      <c r="V95" s="54">
        <v>10</v>
      </c>
      <c r="W95" s="54">
        <v>17</v>
      </c>
      <c r="X95" s="54">
        <v>11</v>
      </c>
      <c r="Y95" s="54">
        <v>8</v>
      </c>
      <c r="Z95" s="54">
        <v>6</v>
      </c>
      <c r="AA95" s="54">
        <v>8</v>
      </c>
      <c r="AB95" s="54">
        <v>10</v>
      </c>
      <c r="AC95" s="54">
        <v>8</v>
      </c>
      <c r="AD95" s="54">
        <v>6</v>
      </c>
      <c r="AE95" s="54">
        <v>6</v>
      </c>
      <c r="AF95" s="54">
        <v>4</v>
      </c>
      <c r="AG95" s="54">
        <v>0</v>
      </c>
      <c r="AH95" s="54">
        <v>0</v>
      </c>
      <c r="AI95" s="54">
        <v>0</v>
      </c>
      <c r="AJ95" s="54">
        <v>0</v>
      </c>
      <c r="AK95" s="54">
        <f t="shared" si="22"/>
        <v>56.8</v>
      </c>
      <c r="AL95" s="22">
        <f t="shared" si="23"/>
        <v>43.2</v>
      </c>
    </row>
    <row r="96" spans="1:38" ht="16.5" customHeight="1" x14ac:dyDescent="0.25">
      <c r="A96" s="14" t="s">
        <v>85</v>
      </c>
      <c r="B96" s="52">
        <f t="shared" si="21"/>
        <v>101</v>
      </c>
      <c r="C96" s="52">
        <f t="shared" si="25"/>
        <v>50</v>
      </c>
      <c r="D96" s="52">
        <f t="shared" si="26"/>
        <v>51</v>
      </c>
      <c r="E96" s="54">
        <v>2</v>
      </c>
      <c r="F96" s="54">
        <v>7</v>
      </c>
      <c r="G96" s="54">
        <v>3</v>
      </c>
      <c r="H96" s="54">
        <v>8</v>
      </c>
      <c r="I96" s="54">
        <v>7</v>
      </c>
      <c r="J96" s="54">
        <v>6</v>
      </c>
      <c r="K96" s="54">
        <v>4</v>
      </c>
      <c r="L96" s="54">
        <v>1</v>
      </c>
      <c r="M96" s="54">
        <v>2</v>
      </c>
      <c r="N96" s="54">
        <v>2</v>
      </c>
      <c r="O96" s="54">
        <v>3</v>
      </c>
      <c r="P96" s="54">
        <v>2</v>
      </c>
      <c r="Q96" s="54">
        <v>3</v>
      </c>
      <c r="R96" s="54">
        <v>4</v>
      </c>
      <c r="S96" s="54">
        <v>4</v>
      </c>
      <c r="T96" s="54">
        <v>3</v>
      </c>
      <c r="U96" s="54">
        <v>4</v>
      </c>
      <c r="V96" s="54">
        <v>6</v>
      </c>
      <c r="W96" s="54">
        <v>3</v>
      </c>
      <c r="X96" s="54">
        <v>2</v>
      </c>
      <c r="Y96" s="54">
        <v>6</v>
      </c>
      <c r="Z96" s="54">
        <v>0</v>
      </c>
      <c r="AA96" s="54">
        <v>0</v>
      </c>
      <c r="AB96" s="54">
        <v>8</v>
      </c>
      <c r="AC96" s="54">
        <v>4</v>
      </c>
      <c r="AD96" s="54">
        <v>0</v>
      </c>
      <c r="AE96" s="54">
        <v>5</v>
      </c>
      <c r="AF96" s="54">
        <v>2</v>
      </c>
      <c r="AG96" s="54">
        <v>0</v>
      </c>
      <c r="AH96" s="54">
        <v>0</v>
      </c>
      <c r="AI96" s="54">
        <v>0</v>
      </c>
      <c r="AJ96" s="54">
        <v>0</v>
      </c>
      <c r="AK96" s="54">
        <f t="shared" si="22"/>
        <v>49.5</v>
      </c>
      <c r="AL96" s="22">
        <f t="shared" si="23"/>
        <v>50.5</v>
      </c>
    </row>
    <row r="97" spans="1:38" ht="16.5" customHeight="1" x14ac:dyDescent="0.25">
      <c r="A97" s="14" t="s">
        <v>86</v>
      </c>
      <c r="B97" s="52">
        <f t="shared" si="21"/>
        <v>223</v>
      </c>
      <c r="C97" s="52">
        <f t="shared" si="25"/>
        <v>119</v>
      </c>
      <c r="D97" s="52">
        <f t="shared" si="26"/>
        <v>104</v>
      </c>
      <c r="E97" s="54">
        <v>0</v>
      </c>
      <c r="F97" s="54">
        <v>0</v>
      </c>
      <c r="G97" s="54">
        <v>0</v>
      </c>
      <c r="H97" s="54">
        <v>0</v>
      </c>
      <c r="I97" s="54">
        <v>12</v>
      </c>
      <c r="J97" s="54">
        <v>14</v>
      </c>
      <c r="K97" s="54">
        <v>13</v>
      </c>
      <c r="L97" s="54">
        <v>10</v>
      </c>
      <c r="M97" s="54">
        <v>6</v>
      </c>
      <c r="N97" s="54">
        <v>10</v>
      </c>
      <c r="O97" s="54">
        <v>7</v>
      </c>
      <c r="P97" s="54">
        <v>7</v>
      </c>
      <c r="Q97" s="54">
        <v>12</v>
      </c>
      <c r="R97" s="54">
        <v>16</v>
      </c>
      <c r="S97" s="54">
        <v>15</v>
      </c>
      <c r="T97" s="54">
        <v>6</v>
      </c>
      <c r="U97" s="54">
        <v>9</v>
      </c>
      <c r="V97" s="54">
        <v>5</v>
      </c>
      <c r="W97" s="54">
        <v>7</v>
      </c>
      <c r="X97" s="54">
        <v>10</v>
      </c>
      <c r="Y97" s="54">
        <v>11</v>
      </c>
      <c r="Z97" s="54">
        <v>11</v>
      </c>
      <c r="AA97" s="54">
        <v>14</v>
      </c>
      <c r="AB97" s="54">
        <v>5</v>
      </c>
      <c r="AC97" s="54">
        <v>5</v>
      </c>
      <c r="AD97" s="54">
        <v>6</v>
      </c>
      <c r="AE97" s="54">
        <v>8</v>
      </c>
      <c r="AF97" s="54">
        <v>4</v>
      </c>
      <c r="AG97" s="54">
        <v>0</v>
      </c>
      <c r="AH97" s="54">
        <v>0</v>
      </c>
      <c r="AI97" s="54">
        <v>0</v>
      </c>
      <c r="AJ97" s="54">
        <v>0</v>
      </c>
      <c r="AK97" s="54">
        <f t="shared" si="22"/>
        <v>53.4</v>
      </c>
      <c r="AL97" s="22">
        <f t="shared" si="23"/>
        <v>46.6</v>
      </c>
    </row>
    <row r="98" spans="1:38" ht="16.5" customHeight="1" x14ac:dyDescent="0.25">
      <c r="A98" s="14" t="s">
        <v>87</v>
      </c>
      <c r="B98" s="52">
        <f t="shared" si="21"/>
        <v>122</v>
      </c>
      <c r="C98" s="52">
        <f t="shared" si="25"/>
        <v>60</v>
      </c>
      <c r="D98" s="52">
        <f t="shared" si="26"/>
        <v>62</v>
      </c>
      <c r="E98" s="54">
        <v>0</v>
      </c>
      <c r="F98" s="54">
        <v>0</v>
      </c>
      <c r="G98" s="54">
        <v>0</v>
      </c>
      <c r="H98" s="54">
        <v>0</v>
      </c>
      <c r="I98" s="54">
        <v>3</v>
      </c>
      <c r="J98" s="54">
        <v>3</v>
      </c>
      <c r="K98" s="54">
        <v>5</v>
      </c>
      <c r="L98" s="54">
        <v>7</v>
      </c>
      <c r="M98" s="54">
        <v>2</v>
      </c>
      <c r="N98" s="54">
        <v>4</v>
      </c>
      <c r="O98" s="54">
        <v>5</v>
      </c>
      <c r="P98" s="54">
        <v>10</v>
      </c>
      <c r="Q98" s="54">
        <v>5</v>
      </c>
      <c r="R98" s="54">
        <v>5</v>
      </c>
      <c r="S98" s="54">
        <v>5</v>
      </c>
      <c r="T98" s="54">
        <v>5</v>
      </c>
      <c r="U98" s="54">
        <v>8</v>
      </c>
      <c r="V98" s="54">
        <v>7</v>
      </c>
      <c r="W98" s="54">
        <v>4</v>
      </c>
      <c r="X98" s="54">
        <v>7</v>
      </c>
      <c r="Y98" s="54">
        <v>5</v>
      </c>
      <c r="Z98" s="54">
        <v>3</v>
      </c>
      <c r="AA98" s="54">
        <v>3</v>
      </c>
      <c r="AB98" s="54">
        <v>8</v>
      </c>
      <c r="AC98" s="54">
        <v>7</v>
      </c>
      <c r="AD98" s="54">
        <v>1</v>
      </c>
      <c r="AE98" s="54">
        <v>8</v>
      </c>
      <c r="AF98" s="54">
        <v>2</v>
      </c>
      <c r="AG98" s="54">
        <v>0</v>
      </c>
      <c r="AH98" s="54">
        <v>0</v>
      </c>
      <c r="AI98" s="54">
        <v>0</v>
      </c>
      <c r="AJ98" s="54">
        <v>0</v>
      </c>
      <c r="AK98" s="54">
        <f t="shared" si="22"/>
        <v>49.2</v>
      </c>
      <c r="AL98" s="22">
        <f t="shared" si="23"/>
        <v>50.8</v>
      </c>
    </row>
    <row r="99" spans="1:38" ht="16.5" customHeight="1" x14ac:dyDescent="0.25">
      <c r="A99" s="14" t="s">
        <v>88</v>
      </c>
      <c r="B99" s="52">
        <f t="shared" si="21"/>
        <v>117</v>
      </c>
      <c r="C99" s="52">
        <f t="shared" si="25"/>
        <v>57</v>
      </c>
      <c r="D99" s="52">
        <f t="shared" si="26"/>
        <v>60</v>
      </c>
      <c r="E99" s="54">
        <v>0</v>
      </c>
      <c r="F99" s="54">
        <v>0</v>
      </c>
      <c r="G99" s="54">
        <v>0</v>
      </c>
      <c r="H99" s="54">
        <v>0</v>
      </c>
      <c r="I99" s="54">
        <v>5</v>
      </c>
      <c r="J99" s="54">
        <v>6</v>
      </c>
      <c r="K99" s="54">
        <v>8</v>
      </c>
      <c r="L99" s="54">
        <v>8</v>
      </c>
      <c r="M99" s="54">
        <v>4</v>
      </c>
      <c r="N99" s="54">
        <v>7</v>
      </c>
      <c r="O99" s="54">
        <v>8</v>
      </c>
      <c r="P99" s="54">
        <v>5</v>
      </c>
      <c r="Q99" s="54">
        <v>4</v>
      </c>
      <c r="R99" s="54">
        <v>4</v>
      </c>
      <c r="S99" s="54">
        <v>3</v>
      </c>
      <c r="T99" s="54">
        <v>12</v>
      </c>
      <c r="U99" s="54">
        <v>4</v>
      </c>
      <c r="V99" s="54">
        <v>5</v>
      </c>
      <c r="W99" s="54">
        <v>4</v>
      </c>
      <c r="X99" s="54">
        <v>4</v>
      </c>
      <c r="Y99" s="54">
        <v>4</v>
      </c>
      <c r="Z99" s="54">
        <v>1</v>
      </c>
      <c r="AA99" s="54">
        <v>5</v>
      </c>
      <c r="AB99" s="54">
        <v>3</v>
      </c>
      <c r="AC99" s="54">
        <v>5</v>
      </c>
      <c r="AD99" s="54">
        <v>2</v>
      </c>
      <c r="AE99" s="54">
        <v>3</v>
      </c>
      <c r="AF99" s="54">
        <v>3</v>
      </c>
      <c r="AG99" s="54">
        <v>0</v>
      </c>
      <c r="AH99" s="54">
        <v>0</v>
      </c>
      <c r="AI99" s="54">
        <v>0</v>
      </c>
      <c r="AJ99" s="54">
        <v>0</v>
      </c>
      <c r="AK99" s="54">
        <f t="shared" si="22"/>
        <v>48.7</v>
      </c>
      <c r="AL99" s="22">
        <f t="shared" si="23"/>
        <v>51.3</v>
      </c>
    </row>
    <row r="100" spans="1:38" ht="16.5" customHeight="1" x14ac:dyDescent="0.25">
      <c r="A100" s="14" t="s">
        <v>89</v>
      </c>
      <c r="B100" s="52">
        <f t="shared" si="21"/>
        <v>150</v>
      </c>
      <c r="C100" s="52">
        <f t="shared" si="25"/>
        <v>70</v>
      </c>
      <c r="D100" s="52">
        <f t="shared" si="26"/>
        <v>80</v>
      </c>
      <c r="E100" s="54">
        <v>0</v>
      </c>
      <c r="F100" s="54">
        <v>0</v>
      </c>
      <c r="G100" s="54">
        <v>0</v>
      </c>
      <c r="H100" s="54">
        <v>0</v>
      </c>
      <c r="I100" s="54">
        <v>7</v>
      </c>
      <c r="J100" s="54">
        <v>8</v>
      </c>
      <c r="K100" s="54">
        <v>6</v>
      </c>
      <c r="L100" s="54">
        <v>6</v>
      </c>
      <c r="M100" s="54">
        <v>5</v>
      </c>
      <c r="N100" s="54">
        <v>8</v>
      </c>
      <c r="O100" s="54">
        <v>5</v>
      </c>
      <c r="P100" s="54">
        <v>10</v>
      </c>
      <c r="Q100" s="54">
        <v>10</v>
      </c>
      <c r="R100" s="54">
        <v>4</v>
      </c>
      <c r="S100" s="54">
        <v>7</v>
      </c>
      <c r="T100" s="54">
        <v>3</v>
      </c>
      <c r="U100" s="54">
        <v>6</v>
      </c>
      <c r="V100" s="54">
        <v>5</v>
      </c>
      <c r="W100" s="54">
        <v>6</v>
      </c>
      <c r="X100" s="54">
        <v>8</v>
      </c>
      <c r="Y100" s="54">
        <v>4</v>
      </c>
      <c r="Z100" s="54">
        <v>7</v>
      </c>
      <c r="AA100" s="54">
        <v>3</v>
      </c>
      <c r="AB100" s="54">
        <v>6</v>
      </c>
      <c r="AC100" s="54">
        <v>4</v>
      </c>
      <c r="AD100" s="54">
        <v>8</v>
      </c>
      <c r="AE100" s="54">
        <v>7</v>
      </c>
      <c r="AF100" s="54">
        <v>7</v>
      </c>
      <c r="AG100" s="54">
        <v>0</v>
      </c>
      <c r="AH100" s="54">
        <v>0</v>
      </c>
      <c r="AI100" s="54">
        <v>0</v>
      </c>
      <c r="AJ100" s="54">
        <v>0</v>
      </c>
      <c r="AK100" s="54">
        <f t="shared" si="22"/>
        <v>46.7</v>
      </c>
      <c r="AL100" s="22">
        <f t="shared" si="23"/>
        <v>53.3</v>
      </c>
    </row>
    <row r="101" spans="1:38" ht="16.5" customHeight="1" x14ac:dyDescent="0.25">
      <c r="A101" s="14" t="s">
        <v>90</v>
      </c>
      <c r="B101" s="52">
        <f t="shared" si="21"/>
        <v>446</v>
      </c>
      <c r="C101" s="52">
        <f t="shared" si="25"/>
        <v>227</v>
      </c>
      <c r="D101" s="52">
        <f t="shared" si="26"/>
        <v>219</v>
      </c>
      <c r="E101" s="54">
        <v>6</v>
      </c>
      <c r="F101" s="54">
        <v>7</v>
      </c>
      <c r="G101" s="54">
        <v>11</v>
      </c>
      <c r="H101" s="54">
        <v>17</v>
      </c>
      <c r="I101" s="54">
        <v>21</v>
      </c>
      <c r="J101" s="54">
        <v>20</v>
      </c>
      <c r="K101" s="54">
        <v>14</v>
      </c>
      <c r="L101" s="54">
        <v>19</v>
      </c>
      <c r="M101" s="54">
        <v>22</v>
      </c>
      <c r="N101" s="54">
        <v>19</v>
      </c>
      <c r="O101" s="54">
        <v>17</v>
      </c>
      <c r="P101" s="54">
        <v>20</v>
      </c>
      <c r="Q101" s="54">
        <v>17</v>
      </c>
      <c r="R101" s="54">
        <v>16</v>
      </c>
      <c r="S101" s="54">
        <v>13</v>
      </c>
      <c r="T101" s="54">
        <v>16</v>
      </c>
      <c r="U101" s="54">
        <v>18</v>
      </c>
      <c r="V101" s="54">
        <v>13</v>
      </c>
      <c r="W101" s="54">
        <v>20</v>
      </c>
      <c r="X101" s="54">
        <v>18</v>
      </c>
      <c r="Y101" s="54">
        <v>16</v>
      </c>
      <c r="Z101" s="54">
        <v>10</v>
      </c>
      <c r="AA101" s="54">
        <v>17</v>
      </c>
      <c r="AB101" s="54">
        <v>17</v>
      </c>
      <c r="AC101" s="54">
        <v>17</v>
      </c>
      <c r="AD101" s="54">
        <v>11</v>
      </c>
      <c r="AE101" s="54">
        <v>18</v>
      </c>
      <c r="AF101" s="54">
        <v>16</v>
      </c>
      <c r="AG101" s="54">
        <v>0</v>
      </c>
      <c r="AH101" s="54">
        <v>0</v>
      </c>
      <c r="AI101" s="54">
        <v>0</v>
      </c>
      <c r="AJ101" s="54">
        <v>0</v>
      </c>
      <c r="AK101" s="54">
        <f t="shared" si="22"/>
        <v>50.9</v>
      </c>
      <c r="AL101" s="22">
        <f t="shared" si="23"/>
        <v>49.1</v>
      </c>
    </row>
    <row r="102" spans="1:38" s="18" customFormat="1" ht="16.5" customHeight="1" thickBot="1" x14ac:dyDescent="0.25">
      <c r="A102" s="16" t="s">
        <v>7</v>
      </c>
      <c r="B102" s="53">
        <f t="shared" si="21"/>
        <v>2172</v>
      </c>
      <c r="C102" s="53">
        <f t="shared" ref="C102:AJ102" si="27">SUM(C103:C106)</f>
        <v>1068</v>
      </c>
      <c r="D102" s="53">
        <f t="shared" si="27"/>
        <v>1104</v>
      </c>
      <c r="E102" s="59">
        <f t="shared" si="27"/>
        <v>21</v>
      </c>
      <c r="F102" s="59">
        <f t="shared" si="27"/>
        <v>21</v>
      </c>
      <c r="G102" s="59">
        <f t="shared" si="27"/>
        <v>39</v>
      </c>
      <c r="H102" s="59">
        <f t="shared" si="27"/>
        <v>41</v>
      </c>
      <c r="I102" s="59">
        <f t="shared" si="27"/>
        <v>73</v>
      </c>
      <c r="J102" s="59">
        <f t="shared" si="27"/>
        <v>85</v>
      </c>
      <c r="K102" s="59">
        <f t="shared" si="27"/>
        <v>128</v>
      </c>
      <c r="L102" s="59">
        <f t="shared" si="27"/>
        <v>111</v>
      </c>
      <c r="M102" s="59">
        <f t="shared" si="27"/>
        <v>76</v>
      </c>
      <c r="N102" s="59">
        <f t="shared" si="27"/>
        <v>90</v>
      </c>
      <c r="O102" s="59">
        <f t="shared" si="27"/>
        <v>106</v>
      </c>
      <c r="P102" s="59">
        <f t="shared" si="27"/>
        <v>92</v>
      </c>
      <c r="Q102" s="59">
        <f t="shared" si="27"/>
        <v>90</v>
      </c>
      <c r="R102" s="59">
        <f t="shared" si="27"/>
        <v>92</v>
      </c>
      <c r="S102" s="59">
        <f t="shared" si="27"/>
        <v>86</v>
      </c>
      <c r="T102" s="59">
        <f t="shared" si="27"/>
        <v>84</v>
      </c>
      <c r="U102" s="59">
        <f t="shared" si="27"/>
        <v>74</v>
      </c>
      <c r="V102" s="59">
        <f t="shared" si="27"/>
        <v>88</v>
      </c>
      <c r="W102" s="59">
        <f t="shared" si="27"/>
        <v>92</v>
      </c>
      <c r="X102" s="59">
        <f t="shared" si="27"/>
        <v>87</v>
      </c>
      <c r="Y102" s="59">
        <f t="shared" si="27"/>
        <v>75</v>
      </c>
      <c r="Z102" s="59">
        <f t="shared" si="27"/>
        <v>81</v>
      </c>
      <c r="AA102" s="59">
        <f t="shared" si="27"/>
        <v>64</v>
      </c>
      <c r="AB102" s="59">
        <f t="shared" si="27"/>
        <v>75</v>
      </c>
      <c r="AC102" s="59">
        <f t="shared" si="27"/>
        <v>71</v>
      </c>
      <c r="AD102" s="59">
        <f t="shared" si="27"/>
        <v>62</v>
      </c>
      <c r="AE102" s="59">
        <f t="shared" si="27"/>
        <v>64</v>
      </c>
      <c r="AF102" s="59">
        <f t="shared" si="27"/>
        <v>81</v>
      </c>
      <c r="AG102" s="59">
        <f t="shared" si="27"/>
        <v>1</v>
      </c>
      <c r="AH102" s="59">
        <f t="shared" si="27"/>
        <v>10</v>
      </c>
      <c r="AI102" s="59">
        <f t="shared" si="27"/>
        <v>8</v>
      </c>
      <c r="AJ102" s="59">
        <f t="shared" si="27"/>
        <v>4</v>
      </c>
      <c r="AK102" s="59">
        <f t="shared" si="22"/>
        <v>49.2</v>
      </c>
      <c r="AL102" s="17">
        <f t="shared" si="23"/>
        <v>50.8</v>
      </c>
    </row>
    <row r="103" spans="1:38" ht="16.5" customHeight="1" x14ac:dyDescent="0.25">
      <c r="A103" s="14" t="s">
        <v>92</v>
      </c>
      <c r="B103" s="52">
        <f t="shared" si="21"/>
        <v>531</v>
      </c>
      <c r="C103" s="52">
        <f t="shared" ref="C103:D106" si="28">E103+G103+I103+K103+M103+O103+Q103+S103+U103+W103+Y103+AA103+AC103+AE103+AG103+AI103</f>
        <v>268</v>
      </c>
      <c r="D103" s="52">
        <f t="shared" si="28"/>
        <v>263</v>
      </c>
      <c r="E103" s="61">
        <v>0</v>
      </c>
      <c r="F103" s="61">
        <v>0</v>
      </c>
      <c r="G103" s="61">
        <v>0</v>
      </c>
      <c r="H103" s="61">
        <v>0</v>
      </c>
      <c r="I103" s="54">
        <v>18</v>
      </c>
      <c r="J103" s="54">
        <v>10</v>
      </c>
      <c r="K103" s="54">
        <v>45</v>
      </c>
      <c r="L103" s="54">
        <v>33</v>
      </c>
      <c r="M103" s="54">
        <v>16</v>
      </c>
      <c r="N103" s="54">
        <v>20</v>
      </c>
      <c r="O103" s="54">
        <v>37</v>
      </c>
      <c r="P103" s="54">
        <v>29</v>
      </c>
      <c r="Q103" s="54">
        <v>19</v>
      </c>
      <c r="R103" s="54">
        <v>23</v>
      </c>
      <c r="S103" s="54">
        <v>28</v>
      </c>
      <c r="T103" s="54">
        <v>17</v>
      </c>
      <c r="U103" s="54">
        <v>16</v>
      </c>
      <c r="V103" s="54">
        <v>26</v>
      </c>
      <c r="W103" s="54">
        <v>29</v>
      </c>
      <c r="X103" s="54">
        <v>19</v>
      </c>
      <c r="Y103" s="54">
        <v>9</v>
      </c>
      <c r="Z103" s="54">
        <v>21</v>
      </c>
      <c r="AA103" s="54">
        <v>16</v>
      </c>
      <c r="AB103" s="54">
        <v>28</v>
      </c>
      <c r="AC103" s="54">
        <v>17</v>
      </c>
      <c r="AD103" s="54">
        <v>16</v>
      </c>
      <c r="AE103" s="54">
        <v>18</v>
      </c>
      <c r="AF103" s="54">
        <v>20</v>
      </c>
      <c r="AG103" s="54">
        <v>0</v>
      </c>
      <c r="AH103" s="54">
        <v>0</v>
      </c>
      <c r="AI103" s="54">
        <v>0</v>
      </c>
      <c r="AJ103" s="54">
        <v>1</v>
      </c>
      <c r="AK103" s="55">
        <f t="shared" si="22"/>
        <v>50.5</v>
      </c>
      <c r="AL103" s="23">
        <f t="shared" si="23"/>
        <v>49.5</v>
      </c>
    </row>
    <row r="104" spans="1:38" ht="16.5" customHeight="1" x14ac:dyDescent="0.25">
      <c r="A104" s="14" t="s">
        <v>91</v>
      </c>
      <c r="B104" s="52">
        <f t="shared" si="21"/>
        <v>338</v>
      </c>
      <c r="C104" s="52">
        <f t="shared" si="28"/>
        <v>174</v>
      </c>
      <c r="D104" s="52">
        <f t="shared" si="28"/>
        <v>164</v>
      </c>
      <c r="E104" s="54">
        <v>8</v>
      </c>
      <c r="F104" s="54">
        <v>6</v>
      </c>
      <c r="G104" s="54">
        <v>13</v>
      </c>
      <c r="H104" s="54">
        <v>15</v>
      </c>
      <c r="I104" s="54">
        <v>13</v>
      </c>
      <c r="J104" s="54">
        <v>12</v>
      </c>
      <c r="K104" s="54">
        <v>22</v>
      </c>
      <c r="L104" s="54">
        <v>9</v>
      </c>
      <c r="M104" s="54">
        <v>10</v>
      </c>
      <c r="N104" s="54">
        <v>17</v>
      </c>
      <c r="O104" s="54">
        <v>14</v>
      </c>
      <c r="P104" s="54">
        <v>9</v>
      </c>
      <c r="Q104" s="54">
        <v>8</v>
      </c>
      <c r="R104" s="54">
        <v>19</v>
      </c>
      <c r="S104" s="54">
        <v>9</v>
      </c>
      <c r="T104" s="54">
        <v>9</v>
      </c>
      <c r="U104" s="54">
        <v>11</v>
      </c>
      <c r="V104" s="54">
        <v>16</v>
      </c>
      <c r="W104" s="54">
        <v>11</v>
      </c>
      <c r="X104" s="54">
        <v>11</v>
      </c>
      <c r="Y104" s="54">
        <v>18</v>
      </c>
      <c r="Z104" s="54">
        <v>14</v>
      </c>
      <c r="AA104" s="54">
        <v>12</v>
      </c>
      <c r="AB104" s="54">
        <v>7</v>
      </c>
      <c r="AC104" s="54">
        <v>12</v>
      </c>
      <c r="AD104" s="54">
        <v>5</v>
      </c>
      <c r="AE104" s="54">
        <v>13</v>
      </c>
      <c r="AF104" s="54">
        <v>15</v>
      </c>
      <c r="AG104" s="54">
        <v>0</v>
      </c>
      <c r="AH104" s="54">
        <v>0</v>
      </c>
      <c r="AI104" s="54">
        <v>0</v>
      </c>
      <c r="AJ104" s="54">
        <v>0</v>
      </c>
      <c r="AK104" s="55">
        <f t="shared" si="22"/>
        <v>51.5</v>
      </c>
      <c r="AL104" s="15">
        <f t="shared" si="23"/>
        <v>48.5</v>
      </c>
    </row>
    <row r="105" spans="1:38" ht="16.5" customHeight="1" x14ac:dyDescent="0.25">
      <c r="A105" s="14" t="s">
        <v>93</v>
      </c>
      <c r="B105" s="52">
        <f t="shared" si="21"/>
        <v>1103</v>
      </c>
      <c r="C105" s="52">
        <f t="shared" si="28"/>
        <v>529</v>
      </c>
      <c r="D105" s="52">
        <f t="shared" si="28"/>
        <v>574</v>
      </c>
      <c r="E105" s="54">
        <v>13</v>
      </c>
      <c r="F105" s="54">
        <v>15</v>
      </c>
      <c r="G105" s="54">
        <v>26</v>
      </c>
      <c r="H105" s="54">
        <v>26</v>
      </c>
      <c r="I105" s="54">
        <v>34</v>
      </c>
      <c r="J105" s="54">
        <v>52</v>
      </c>
      <c r="K105" s="54">
        <v>52</v>
      </c>
      <c r="L105" s="54">
        <v>60</v>
      </c>
      <c r="M105" s="54">
        <v>44</v>
      </c>
      <c r="N105" s="54">
        <v>47</v>
      </c>
      <c r="O105" s="54">
        <v>42</v>
      </c>
      <c r="P105" s="54">
        <v>48</v>
      </c>
      <c r="Q105" s="54">
        <v>54</v>
      </c>
      <c r="R105" s="54">
        <v>39</v>
      </c>
      <c r="S105" s="54">
        <v>39</v>
      </c>
      <c r="T105" s="54">
        <v>49</v>
      </c>
      <c r="U105" s="54">
        <v>41</v>
      </c>
      <c r="V105" s="54">
        <v>39</v>
      </c>
      <c r="W105" s="54">
        <v>46</v>
      </c>
      <c r="X105" s="54">
        <v>48</v>
      </c>
      <c r="Y105" s="54">
        <v>40</v>
      </c>
      <c r="Z105" s="54">
        <v>38</v>
      </c>
      <c r="AA105" s="54">
        <v>31</v>
      </c>
      <c r="AB105" s="54">
        <v>30</v>
      </c>
      <c r="AC105" s="54">
        <v>33</v>
      </c>
      <c r="AD105" s="54">
        <v>36</v>
      </c>
      <c r="AE105" s="54">
        <v>30</v>
      </c>
      <c r="AF105" s="54">
        <v>38</v>
      </c>
      <c r="AG105" s="54">
        <v>0</v>
      </c>
      <c r="AH105" s="54">
        <v>8</v>
      </c>
      <c r="AI105" s="54">
        <v>4</v>
      </c>
      <c r="AJ105" s="54">
        <v>1</v>
      </c>
      <c r="AK105" s="55">
        <f t="shared" si="22"/>
        <v>48</v>
      </c>
      <c r="AL105" s="15">
        <f t="shared" si="23"/>
        <v>52</v>
      </c>
    </row>
    <row r="106" spans="1:38" ht="16.5" customHeight="1" x14ac:dyDescent="0.25">
      <c r="A106" s="14" t="s">
        <v>94</v>
      </c>
      <c r="B106" s="52">
        <f t="shared" si="21"/>
        <v>200</v>
      </c>
      <c r="C106" s="52">
        <f t="shared" si="28"/>
        <v>97</v>
      </c>
      <c r="D106" s="52">
        <f t="shared" si="28"/>
        <v>103</v>
      </c>
      <c r="E106" s="54">
        <v>0</v>
      </c>
      <c r="F106" s="54">
        <v>0</v>
      </c>
      <c r="G106" s="54">
        <v>0</v>
      </c>
      <c r="H106" s="54">
        <v>0</v>
      </c>
      <c r="I106" s="54">
        <v>8</v>
      </c>
      <c r="J106" s="54">
        <v>11</v>
      </c>
      <c r="K106" s="54">
        <v>9</v>
      </c>
      <c r="L106" s="54">
        <v>9</v>
      </c>
      <c r="M106" s="54">
        <v>6</v>
      </c>
      <c r="N106" s="54">
        <v>6</v>
      </c>
      <c r="O106" s="54">
        <v>13</v>
      </c>
      <c r="P106" s="54">
        <v>6</v>
      </c>
      <c r="Q106" s="54">
        <v>9</v>
      </c>
      <c r="R106" s="54">
        <v>11</v>
      </c>
      <c r="S106" s="54">
        <v>10</v>
      </c>
      <c r="T106" s="54">
        <v>9</v>
      </c>
      <c r="U106" s="54">
        <v>6</v>
      </c>
      <c r="V106" s="54">
        <v>7</v>
      </c>
      <c r="W106" s="54">
        <v>6</v>
      </c>
      <c r="X106" s="54">
        <v>9</v>
      </c>
      <c r="Y106" s="54">
        <v>8</v>
      </c>
      <c r="Z106" s="54">
        <v>8</v>
      </c>
      <c r="AA106" s="54">
        <v>5</v>
      </c>
      <c r="AB106" s="54">
        <v>10</v>
      </c>
      <c r="AC106" s="54">
        <v>9</v>
      </c>
      <c r="AD106" s="54">
        <v>5</v>
      </c>
      <c r="AE106" s="54">
        <v>3</v>
      </c>
      <c r="AF106" s="54">
        <v>8</v>
      </c>
      <c r="AG106" s="54">
        <v>1</v>
      </c>
      <c r="AH106" s="54">
        <v>2</v>
      </c>
      <c r="AI106" s="54">
        <v>4</v>
      </c>
      <c r="AJ106" s="54">
        <v>2</v>
      </c>
      <c r="AK106" s="55">
        <f t="shared" si="22"/>
        <v>48.5</v>
      </c>
      <c r="AL106" s="15">
        <f t="shared" si="23"/>
        <v>51.5</v>
      </c>
    </row>
    <row r="107" spans="1:38" s="18" customFormat="1" ht="16.5" customHeight="1" thickBot="1" x14ac:dyDescent="0.25">
      <c r="A107" s="16" t="s">
        <v>9</v>
      </c>
      <c r="B107" s="56">
        <f t="shared" si="21"/>
        <v>3092</v>
      </c>
      <c r="C107" s="56">
        <f t="shared" ref="C107:AJ107" si="29">SUM(C108:C116)</f>
        <v>1618</v>
      </c>
      <c r="D107" s="56">
        <f t="shared" si="29"/>
        <v>1474</v>
      </c>
      <c r="E107" s="60">
        <f t="shared" si="29"/>
        <v>15</v>
      </c>
      <c r="F107" s="60">
        <f t="shared" si="29"/>
        <v>9</v>
      </c>
      <c r="G107" s="60">
        <f t="shared" si="29"/>
        <v>24</v>
      </c>
      <c r="H107" s="60">
        <f t="shared" si="29"/>
        <v>21</v>
      </c>
      <c r="I107" s="60">
        <f t="shared" si="29"/>
        <v>127</v>
      </c>
      <c r="J107" s="60">
        <f t="shared" si="29"/>
        <v>137</v>
      </c>
      <c r="K107" s="60">
        <f t="shared" si="29"/>
        <v>184</v>
      </c>
      <c r="L107" s="60">
        <f t="shared" si="29"/>
        <v>176</v>
      </c>
      <c r="M107" s="60">
        <f t="shared" si="29"/>
        <v>147</v>
      </c>
      <c r="N107" s="60">
        <f t="shared" si="29"/>
        <v>124</v>
      </c>
      <c r="O107" s="60">
        <f t="shared" si="29"/>
        <v>132</v>
      </c>
      <c r="P107" s="60">
        <f t="shared" si="29"/>
        <v>123</v>
      </c>
      <c r="Q107" s="60">
        <f t="shared" si="29"/>
        <v>143</v>
      </c>
      <c r="R107" s="60">
        <f t="shared" si="29"/>
        <v>139</v>
      </c>
      <c r="S107" s="60">
        <f t="shared" si="29"/>
        <v>154</v>
      </c>
      <c r="T107" s="60">
        <f t="shared" si="29"/>
        <v>136</v>
      </c>
      <c r="U107" s="60">
        <f t="shared" si="29"/>
        <v>124</v>
      </c>
      <c r="V107" s="60">
        <f t="shared" si="29"/>
        <v>116</v>
      </c>
      <c r="W107" s="60">
        <f t="shared" si="29"/>
        <v>117</v>
      </c>
      <c r="X107" s="60">
        <f t="shared" si="29"/>
        <v>94</v>
      </c>
      <c r="Y107" s="60">
        <f t="shared" si="29"/>
        <v>137</v>
      </c>
      <c r="Z107" s="60">
        <f t="shared" si="29"/>
        <v>127</v>
      </c>
      <c r="AA107" s="60">
        <f t="shared" si="29"/>
        <v>111</v>
      </c>
      <c r="AB107" s="60">
        <f t="shared" si="29"/>
        <v>90</v>
      </c>
      <c r="AC107" s="60">
        <f t="shared" si="29"/>
        <v>111</v>
      </c>
      <c r="AD107" s="60">
        <f t="shared" si="29"/>
        <v>100</v>
      </c>
      <c r="AE107" s="60">
        <f t="shared" si="29"/>
        <v>92</v>
      </c>
      <c r="AF107" s="60">
        <f t="shared" si="29"/>
        <v>82</v>
      </c>
      <c r="AG107" s="60">
        <f t="shared" si="29"/>
        <v>0</v>
      </c>
      <c r="AH107" s="60">
        <f t="shared" si="29"/>
        <v>0</v>
      </c>
      <c r="AI107" s="60">
        <f t="shared" si="29"/>
        <v>0</v>
      </c>
      <c r="AJ107" s="60">
        <f t="shared" si="29"/>
        <v>0</v>
      </c>
      <c r="AK107" s="60">
        <f t="shared" si="22"/>
        <v>52.3</v>
      </c>
      <c r="AL107" s="21">
        <f t="shared" si="23"/>
        <v>47.7</v>
      </c>
    </row>
    <row r="108" spans="1:38" ht="16.5" customHeight="1" x14ac:dyDescent="0.25">
      <c r="A108" s="14" t="s">
        <v>97</v>
      </c>
      <c r="B108" s="52">
        <f t="shared" si="21"/>
        <v>299</v>
      </c>
      <c r="C108" s="52">
        <f t="shared" ref="C108:C116" si="30">E108+G108+I108+K108+M108+O108+Q108+S108+U108+W108+Y108+AA108+AC108+AE108+AG108+AI108</f>
        <v>158</v>
      </c>
      <c r="D108" s="52">
        <f t="shared" ref="D108:D116" si="31">F108+H108+J108+L108+N108+P108+R108+T108+V108+X108+Z108+AB108+AD108+AF108+AH108+AJ108</f>
        <v>141</v>
      </c>
      <c r="E108" s="54">
        <v>3</v>
      </c>
      <c r="F108" s="54">
        <v>2</v>
      </c>
      <c r="G108" s="54">
        <v>5</v>
      </c>
      <c r="H108" s="54">
        <v>7</v>
      </c>
      <c r="I108" s="54">
        <v>18</v>
      </c>
      <c r="J108" s="54">
        <v>16</v>
      </c>
      <c r="K108" s="54">
        <v>15</v>
      </c>
      <c r="L108" s="54">
        <v>12</v>
      </c>
      <c r="M108" s="54">
        <v>10</v>
      </c>
      <c r="N108" s="54">
        <v>12</v>
      </c>
      <c r="O108" s="54">
        <v>12</v>
      </c>
      <c r="P108" s="54">
        <v>8</v>
      </c>
      <c r="Q108" s="54">
        <v>14</v>
      </c>
      <c r="R108" s="54">
        <v>10</v>
      </c>
      <c r="S108" s="54">
        <v>13</v>
      </c>
      <c r="T108" s="54">
        <v>11</v>
      </c>
      <c r="U108" s="54">
        <v>5</v>
      </c>
      <c r="V108" s="54">
        <v>7</v>
      </c>
      <c r="W108" s="54">
        <v>11</v>
      </c>
      <c r="X108" s="54">
        <v>9</v>
      </c>
      <c r="Y108" s="54">
        <v>13</v>
      </c>
      <c r="Z108" s="54">
        <v>14</v>
      </c>
      <c r="AA108" s="54">
        <v>9</v>
      </c>
      <c r="AB108" s="54">
        <v>10</v>
      </c>
      <c r="AC108" s="54">
        <v>19</v>
      </c>
      <c r="AD108" s="54">
        <v>14</v>
      </c>
      <c r="AE108" s="54">
        <v>11</v>
      </c>
      <c r="AF108" s="54">
        <v>9</v>
      </c>
      <c r="AG108" s="54">
        <v>0</v>
      </c>
      <c r="AH108" s="54">
        <v>0</v>
      </c>
      <c r="AI108" s="54">
        <v>0</v>
      </c>
      <c r="AJ108" s="54">
        <v>0</v>
      </c>
      <c r="AK108" s="55">
        <f t="shared" si="22"/>
        <v>52.8</v>
      </c>
      <c r="AL108" s="15">
        <f t="shared" si="23"/>
        <v>47.2</v>
      </c>
    </row>
    <row r="109" spans="1:38" ht="16.5" customHeight="1" x14ac:dyDescent="0.25">
      <c r="A109" s="14" t="s">
        <v>98</v>
      </c>
      <c r="B109" s="52">
        <f t="shared" si="21"/>
        <v>350</v>
      </c>
      <c r="C109" s="52">
        <f t="shared" si="30"/>
        <v>181</v>
      </c>
      <c r="D109" s="52">
        <f t="shared" si="31"/>
        <v>169</v>
      </c>
      <c r="E109" s="54">
        <v>0</v>
      </c>
      <c r="F109" s="54">
        <v>0</v>
      </c>
      <c r="G109" s="54">
        <v>0</v>
      </c>
      <c r="H109" s="54">
        <v>0</v>
      </c>
      <c r="I109" s="54">
        <v>16</v>
      </c>
      <c r="J109" s="54">
        <v>21</v>
      </c>
      <c r="K109" s="54">
        <v>25</v>
      </c>
      <c r="L109" s="54">
        <v>26</v>
      </c>
      <c r="M109" s="54">
        <v>14</v>
      </c>
      <c r="N109" s="54">
        <v>15</v>
      </c>
      <c r="O109" s="54">
        <v>12</v>
      </c>
      <c r="P109" s="54">
        <v>16</v>
      </c>
      <c r="Q109" s="54">
        <v>15</v>
      </c>
      <c r="R109" s="54">
        <v>19</v>
      </c>
      <c r="S109" s="54">
        <v>18</v>
      </c>
      <c r="T109" s="54">
        <v>18</v>
      </c>
      <c r="U109" s="54">
        <v>16</v>
      </c>
      <c r="V109" s="54">
        <v>15</v>
      </c>
      <c r="W109" s="54">
        <v>12</v>
      </c>
      <c r="X109" s="54">
        <v>5</v>
      </c>
      <c r="Y109" s="54">
        <v>16</v>
      </c>
      <c r="Z109" s="54">
        <v>13</v>
      </c>
      <c r="AA109" s="54">
        <v>14</v>
      </c>
      <c r="AB109" s="54">
        <v>11</v>
      </c>
      <c r="AC109" s="54">
        <v>15</v>
      </c>
      <c r="AD109" s="54">
        <v>5</v>
      </c>
      <c r="AE109" s="54">
        <v>8</v>
      </c>
      <c r="AF109" s="54">
        <v>5</v>
      </c>
      <c r="AG109" s="54">
        <v>0</v>
      </c>
      <c r="AH109" s="54">
        <v>0</v>
      </c>
      <c r="AI109" s="54">
        <v>0</v>
      </c>
      <c r="AJ109" s="54">
        <v>0</v>
      </c>
      <c r="AK109" s="55">
        <f t="shared" si="22"/>
        <v>51.7</v>
      </c>
      <c r="AL109" s="15">
        <f t="shared" si="23"/>
        <v>48.3</v>
      </c>
    </row>
    <row r="110" spans="1:38" ht="16.5" customHeight="1" x14ac:dyDescent="0.25">
      <c r="A110" s="14" t="s">
        <v>99</v>
      </c>
      <c r="B110" s="52">
        <f t="shared" si="21"/>
        <v>220</v>
      </c>
      <c r="C110" s="52">
        <f t="shared" si="30"/>
        <v>118</v>
      </c>
      <c r="D110" s="52">
        <f t="shared" si="31"/>
        <v>102</v>
      </c>
      <c r="E110" s="54">
        <v>0</v>
      </c>
      <c r="F110" s="54">
        <v>0</v>
      </c>
      <c r="G110" s="54">
        <v>0</v>
      </c>
      <c r="H110" s="54">
        <v>0</v>
      </c>
      <c r="I110" s="54">
        <v>8</v>
      </c>
      <c r="J110" s="54">
        <v>8</v>
      </c>
      <c r="K110" s="54">
        <v>20</v>
      </c>
      <c r="L110" s="54">
        <v>6</v>
      </c>
      <c r="M110" s="54">
        <v>12</v>
      </c>
      <c r="N110" s="54">
        <v>9</v>
      </c>
      <c r="O110" s="54">
        <v>4</v>
      </c>
      <c r="P110" s="54">
        <v>8</v>
      </c>
      <c r="Q110" s="54">
        <v>16</v>
      </c>
      <c r="R110" s="54">
        <v>6</v>
      </c>
      <c r="S110" s="54">
        <v>15</v>
      </c>
      <c r="T110" s="54">
        <v>13</v>
      </c>
      <c r="U110" s="54">
        <v>5</v>
      </c>
      <c r="V110" s="54">
        <v>8</v>
      </c>
      <c r="W110" s="54">
        <v>6</v>
      </c>
      <c r="X110" s="54">
        <v>6</v>
      </c>
      <c r="Y110" s="54">
        <v>6</v>
      </c>
      <c r="Z110" s="54">
        <v>12</v>
      </c>
      <c r="AA110" s="54">
        <v>8</v>
      </c>
      <c r="AB110" s="54">
        <v>7</v>
      </c>
      <c r="AC110" s="54">
        <v>6</v>
      </c>
      <c r="AD110" s="54">
        <v>9</v>
      </c>
      <c r="AE110" s="54">
        <v>12</v>
      </c>
      <c r="AF110" s="54">
        <v>10</v>
      </c>
      <c r="AG110" s="54">
        <v>0</v>
      </c>
      <c r="AH110" s="54">
        <v>0</v>
      </c>
      <c r="AI110" s="54">
        <v>0</v>
      </c>
      <c r="AJ110" s="54">
        <v>0</v>
      </c>
      <c r="AK110" s="55">
        <f t="shared" si="22"/>
        <v>53.6</v>
      </c>
      <c r="AL110" s="15">
        <f t="shared" si="23"/>
        <v>46.4</v>
      </c>
    </row>
    <row r="111" spans="1:38" ht="16.5" customHeight="1" x14ac:dyDescent="0.25">
      <c r="A111" s="14" t="s">
        <v>100</v>
      </c>
      <c r="B111" s="52">
        <f t="shared" si="21"/>
        <v>371</v>
      </c>
      <c r="C111" s="52">
        <f t="shared" si="30"/>
        <v>196</v>
      </c>
      <c r="D111" s="52">
        <f t="shared" si="31"/>
        <v>175</v>
      </c>
      <c r="E111" s="54">
        <v>0</v>
      </c>
      <c r="F111" s="54">
        <v>0</v>
      </c>
      <c r="G111" s="54">
        <v>0</v>
      </c>
      <c r="H111" s="54">
        <v>0</v>
      </c>
      <c r="I111" s="54">
        <v>20</v>
      </c>
      <c r="J111" s="54">
        <v>11</v>
      </c>
      <c r="K111" s="54">
        <v>19</v>
      </c>
      <c r="L111" s="54">
        <v>19</v>
      </c>
      <c r="M111" s="54">
        <v>13</v>
      </c>
      <c r="N111" s="54">
        <v>15</v>
      </c>
      <c r="O111" s="54">
        <v>16</v>
      </c>
      <c r="P111" s="54">
        <v>19</v>
      </c>
      <c r="Q111" s="54">
        <v>20</v>
      </c>
      <c r="R111" s="54">
        <v>16</v>
      </c>
      <c r="S111" s="54">
        <v>21</v>
      </c>
      <c r="T111" s="54">
        <v>19</v>
      </c>
      <c r="U111" s="54">
        <v>14</v>
      </c>
      <c r="V111" s="54">
        <v>21</v>
      </c>
      <c r="W111" s="54">
        <v>16</v>
      </c>
      <c r="X111" s="54">
        <v>7</v>
      </c>
      <c r="Y111" s="54">
        <v>14</v>
      </c>
      <c r="Z111" s="54">
        <v>15</v>
      </c>
      <c r="AA111" s="54">
        <v>18</v>
      </c>
      <c r="AB111" s="54">
        <v>12</v>
      </c>
      <c r="AC111" s="54">
        <v>15</v>
      </c>
      <c r="AD111" s="54">
        <v>11</v>
      </c>
      <c r="AE111" s="54">
        <v>10</v>
      </c>
      <c r="AF111" s="54">
        <v>10</v>
      </c>
      <c r="AG111" s="54">
        <v>0</v>
      </c>
      <c r="AH111" s="54">
        <v>0</v>
      </c>
      <c r="AI111" s="54">
        <v>0</v>
      </c>
      <c r="AJ111" s="54">
        <v>0</v>
      </c>
      <c r="AK111" s="55">
        <f t="shared" si="22"/>
        <v>52.8</v>
      </c>
      <c r="AL111" s="15">
        <f t="shared" si="23"/>
        <v>47.2</v>
      </c>
    </row>
    <row r="112" spans="1:38" ht="16.5" customHeight="1" x14ac:dyDescent="0.25">
      <c r="A112" s="14" t="s">
        <v>101</v>
      </c>
      <c r="B112" s="52">
        <f t="shared" si="21"/>
        <v>227</v>
      </c>
      <c r="C112" s="52">
        <f t="shared" si="30"/>
        <v>112</v>
      </c>
      <c r="D112" s="52">
        <f t="shared" si="31"/>
        <v>115</v>
      </c>
      <c r="E112" s="54">
        <v>0</v>
      </c>
      <c r="F112" s="54">
        <v>0</v>
      </c>
      <c r="G112" s="54">
        <v>0</v>
      </c>
      <c r="H112" s="54">
        <v>0</v>
      </c>
      <c r="I112" s="54">
        <v>19</v>
      </c>
      <c r="J112" s="54">
        <v>17</v>
      </c>
      <c r="K112" s="54">
        <v>8</v>
      </c>
      <c r="L112" s="54">
        <v>8</v>
      </c>
      <c r="M112" s="54">
        <v>11</v>
      </c>
      <c r="N112" s="54">
        <v>8</v>
      </c>
      <c r="O112" s="54">
        <v>11</v>
      </c>
      <c r="P112" s="54">
        <v>13</v>
      </c>
      <c r="Q112" s="54">
        <v>10</v>
      </c>
      <c r="R112" s="54">
        <v>14</v>
      </c>
      <c r="S112" s="54">
        <v>9</v>
      </c>
      <c r="T112" s="54">
        <v>6</v>
      </c>
      <c r="U112" s="54">
        <v>5</v>
      </c>
      <c r="V112" s="54">
        <v>8</v>
      </c>
      <c r="W112" s="54">
        <v>10</v>
      </c>
      <c r="X112" s="54">
        <v>10</v>
      </c>
      <c r="Y112" s="54">
        <v>7</v>
      </c>
      <c r="Z112" s="54">
        <v>10</v>
      </c>
      <c r="AA112" s="54">
        <v>8</v>
      </c>
      <c r="AB112" s="54">
        <v>4</v>
      </c>
      <c r="AC112" s="54">
        <v>8</v>
      </c>
      <c r="AD112" s="54">
        <v>11</v>
      </c>
      <c r="AE112" s="54">
        <v>6</v>
      </c>
      <c r="AF112" s="54">
        <v>6</v>
      </c>
      <c r="AG112" s="54">
        <v>0</v>
      </c>
      <c r="AH112" s="54">
        <v>0</v>
      </c>
      <c r="AI112" s="54">
        <v>0</v>
      </c>
      <c r="AJ112" s="54">
        <v>0</v>
      </c>
      <c r="AK112" s="55">
        <f t="shared" si="22"/>
        <v>49.3</v>
      </c>
      <c r="AL112" s="15">
        <f t="shared" si="23"/>
        <v>50.7</v>
      </c>
    </row>
    <row r="113" spans="1:38" ht="16.5" customHeight="1" x14ac:dyDescent="0.25">
      <c r="A113" s="14" t="s">
        <v>102</v>
      </c>
      <c r="B113" s="52">
        <f t="shared" si="21"/>
        <v>277</v>
      </c>
      <c r="C113" s="52">
        <f t="shared" si="30"/>
        <v>135</v>
      </c>
      <c r="D113" s="52">
        <f t="shared" si="31"/>
        <v>142</v>
      </c>
      <c r="E113" s="54">
        <v>0</v>
      </c>
      <c r="F113" s="54">
        <v>0</v>
      </c>
      <c r="G113" s="54">
        <v>0</v>
      </c>
      <c r="H113" s="54">
        <v>0</v>
      </c>
      <c r="I113" s="54">
        <v>10</v>
      </c>
      <c r="J113" s="54">
        <v>12</v>
      </c>
      <c r="K113" s="54">
        <v>21</v>
      </c>
      <c r="L113" s="54">
        <v>22</v>
      </c>
      <c r="M113" s="54">
        <v>11</v>
      </c>
      <c r="N113" s="54">
        <v>11</v>
      </c>
      <c r="O113" s="54">
        <v>14</v>
      </c>
      <c r="P113" s="54">
        <v>10</v>
      </c>
      <c r="Q113" s="54">
        <v>14</v>
      </c>
      <c r="R113" s="54">
        <v>14</v>
      </c>
      <c r="S113" s="54">
        <v>10</v>
      </c>
      <c r="T113" s="54">
        <v>13</v>
      </c>
      <c r="U113" s="54">
        <v>10</v>
      </c>
      <c r="V113" s="54">
        <v>13</v>
      </c>
      <c r="W113" s="54">
        <v>12</v>
      </c>
      <c r="X113" s="54">
        <v>15</v>
      </c>
      <c r="Y113" s="54">
        <v>15</v>
      </c>
      <c r="Z113" s="54">
        <v>12</v>
      </c>
      <c r="AA113" s="54">
        <v>5</v>
      </c>
      <c r="AB113" s="54">
        <v>10</v>
      </c>
      <c r="AC113" s="54">
        <v>6</v>
      </c>
      <c r="AD113" s="54">
        <v>7</v>
      </c>
      <c r="AE113" s="54">
        <v>7</v>
      </c>
      <c r="AF113" s="54">
        <v>3</v>
      </c>
      <c r="AG113" s="54">
        <v>0</v>
      </c>
      <c r="AH113" s="54">
        <v>0</v>
      </c>
      <c r="AI113" s="54">
        <v>0</v>
      </c>
      <c r="AJ113" s="54">
        <v>0</v>
      </c>
      <c r="AK113" s="55">
        <f t="shared" si="22"/>
        <v>48.7</v>
      </c>
      <c r="AL113" s="15">
        <f t="shared" si="23"/>
        <v>51.3</v>
      </c>
    </row>
    <row r="114" spans="1:38" ht="16.5" customHeight="1" x14ac:dyDescent="0.25">
      <c r="A114" s="14" t="s">
        <v>95</v>
      </c>
      <c r="B114" s="52">
        <f t="shared" si="21"/>
        <v>548</v>
      </c>
      <c r="C114" s="52">
        <f t="shared" si="30"/>
        <v>301</v>
      </c>
      <c r="D114" s="52">
        <f t="shared" si="31"/>
        <v>247</v>
      </c>
      <c r="E114" s="54">
        <v>12</v>
      </c>
      <c r="F114" s="54">
        <v>7</v>
      </c>
      <c r="G114" s="54">
        <v>19</v>
      </c>
      <c r="H114" s="54">
        <v>14</v>
      </c>
      <c r="I114" s="54">
        <v>18</v>
      </c>
      <c r="J114" s="54">
        <v>20</v>
      </c>
      <c r="K114" s="54">
        <v>24</v>
      </c>
      <c r="L114" s="54">
        <v>24</v>
      </c>
      <c r="M114" s="54">
        <v>26</v>
      </c>
      <c r="N114" s="54">
        <v>18</v>
      </c>
      <c r="O114" s="54">
        <v>25</v>
      </c>
      <c r="P114" s="54">
        <v>15</v>
      </c>
      <c r="Q114" s="54">
        <v>17</v>
      </c>
      <c r="R114" s="54">
        <v>23</v>
      </c>
      <c r="S114" s="54">
        <v>25</v>
      </c>
      <c r="T114" s="54">
        <v>23</v>
      </c>
      <c r="U114" s="54">
        <v>24</v>
      </c>
      <c r="V114" s="54">
        <v>14</v>
      </c>
      <c r="W114" s="54">
        <v>24</v>
      </c>
      <c r="X114" s="54">
        <v>14</v>
      </c>
      <c r="Y114" s="54">
        <v>28</v>
      </c>
      <c r="Z114" s="54">
        <v>27</v>
      </c>
      <c r="AA114" s="54">
        <v>19</v>
      </c>
      <c r="AB114" s="54">
        <v>11</v>
      </c>
      <c r="AC114" s="54">
        <v>21</v>
      </c>
      <c r="AD114" s="54">
        <v>18</v>
      </c>
      <c r="AE114" s="54">
        <v>19</v>
      </c>
      <c r="AF114" s="54">
        <v>19</v>
      </c>
      <c r="AG114" s="54">
        <v>0</v>
      </c>
      <c r="AH114" s="54">
        <v>0</v>
      </c>
      <c r="AI114" s="54">
        <v>0</v>
      </c>
      <c r="AJ114" s="54">
        <v>0</v>
      </c>
      <c r="AK114" s="55">
        <f t="shared" si="22"/>
        <v>54.9</v>
      </c>
      <c r="AL114" s="15">
        <f t="shared" si="23"/>
        <v>45.1</v>
      </c>
    </row>
    <row r="115" spans="1:38" ht="16.5" customHeight="1" x14ac:dyDescent="0.25">
      <c r="A115" s="14" t="s">
        <v>103</v>
      </c>
      <c r="B115" s="52">
        <f t="shared" si="21"/>
        <v>506</v>
      </c>
      <c r="C115" s="52">
        <f t="shared" si="30"/>
        <v>268</v>
      </c>
      <c r="D115" s="52">
        <f t="shared" si="31"/>
        <v>238</v>
      </c>
      <c r="E115" s="54">
        <v>0</v>
      </c>
      <c r="F115" s="54">
        <v>0</v>
      </c>
      <c r="G115" s="54">
        <v>0</v>
      </c>
      <c r="H115" s="54">
        <v>0</v>
      </c>
      <c r="I115" s="54">
        <v>16</v>
      </c>
      <c r="J115" s="54">
        <v>19</v>
      </c>
      <c r="K115" s="54">
        <v>30</v>
      </c>
      <c r="L115" s="54">
        <v>37</v>
      </c>
      <c r="M115" s="54">
        <v>36</v>
      </c>
      <c r="N115" s="54">
        <v>27</v>
      </c>
      <c r="O115" s="54">
        <v>25</v>
      </c>
      <c r="P115" s="54">
        <v>17</v>
      </c>
      <c r="Q115" s="54">
        <v>25</v>
      </c>
      <c r="R115" s="54">
        <v>18</v>
      </c>
      <c r="S115" s="54">
        <v>26</v>
      </c>
      <c r="T115" s="54">
        <v>22</v>
      </c>
      <c r="U115" s="54">
        <v>25</v>
      </c>
      <c r="V115" s="54">
        <v>17</v>
      </c>
      <c r="W115" s="54">
        <v>15</v>
      </c>
      <c r="X115" s="54">
        <v>15</v>
      </c>
      <c r="Y115" s="54">
        <v>23</v>
      </c>
      <c r="Z115" s="54">
        <v>15</v>
      </c>
      <c r="AA115" s="54">
        <v>20</v>
      </c>
      <c r="AB115" s="54">
        <v>17</v>
      </c>
      <c r="AC115" s="54">
        <v>17</v>
      </c>
      <c r="AD115" s="54">
        <v>19</v>
      </c>
      <c r="AE115" s="54">
        <v>10</v>
      </c>
      <c r="AF115" s="54">
        <v>15</v>
      </c>
      <c r="AG115" s="54">
        <v>0</v>
      </c>
      <c r="AH115" s="54">
        <v>0</v>
      </c>
      <c r="AI115" s="54">
        <v>0</v>
      </c>
      <c r="AJ115" s="54">
        <v>0</v>
      </c>
      <c r="AK115" s="55">
        <f t="shared" si="22"/>
        <v>53</v>
      </c>
      <c r="AL115" s="15">
        <f t="shared" si="23"/>
        <v>47</v>
      </c>
    </row>
    <row r="116" spans="1:38" ht="16.5" customHeight="1" x14ac:dyDescent="0.25">
      <c r="A116" s="14" t="s">
        <v>96</v>
      </c>
      <c r="B116" s="52">
        <f t="shared" si="21"/>
        <v>294</v>
      </c>
      <c r="C116" s="52">
        <f t="shared" si="30"/>
        <v>149</v>
      </c>
      <c r="D116" s="52">
        <f t="shared" si="31"/>
        <v>145</v>
      </c>
      <c r="E116" s="54">
        <v>0</v>
      </c>
      <c r="F116" s="54">
        <v>0</v>
      </c>
      <c r="G116" s="54">
        <v>0</v>
      </c>
      <c r="H116" s="54">
        <v>0</v>
      </c>
      <c r="I116" s="54">
        <v>2</v>
      </c>
      <c r="J116" s="54">
        <v>13</v>
      </c>
      <c r="K116" s="54">
        <v>22</v>
      </c>
      <c r="L116" s="54">
        <v>22</v>
      </c>
      <c r="M116" s="54">
        <v>14</v>
      </c>
      <c r="N116" s="54">
        <v>9</v>
      </c>
      <c r="O116" s="54">
        <v>13</v>
      </c>
      <c r="P116" s="54">
        <v>17</v>
      </c>
      <c r="Q116" s="54">
        <v>12</v>
      </c>
      <c r="R116" s="54">
        <v>19</v>
      </c>
      <c r="S116" s="54">
        <v>17</v>
      </c>
      <c r="T116" s="54">
        <v>11</v>
      </c>
      <c r="U116" s="54">
        <v>20</v>
      </c>
      <c r="V116" s="54">
        <v>13</v>
      </c>
      <c r="W116" s="54">
        <v>11</v>
      </c>
      <c r="X116" s="54">
        <v>13</v>
      </c>
      <c r="Y116" s="54">
        <v>15</v>
      </c>
      <c r="Z116" s="54">
        <v>9</v>
      </c>
      <c r="AA116" s="54">
        <v>10</v>
      </c>
      <c r="AB116" s="54">
        <v>8</v>
      </c>
      <c r="AC116" s="54">
        <v>4</v>
      </c>
      <c r="AD116" s="54">
        <v>6</v>
      </c>
      <c r="AE116" s="54">
        <v>9</v>
      </c>
      <c r="AF116" s="54">
        <v>5</v>
      </c>
      <c r="AG116" s="54">
        <v>0</v>
      </c>
      <c r="AH116" s="54">
        <v>0</v>
      </c>
      <c r="AI116" s="54">
        <v>0</v>
      </c>
      <c r="AJ116" s="54">
        <v>0</v>
      </c>
      <c r="AK116" s="55">
        <f t="shared" si="22"/>
        <v>50.7</v>
      </c>
      <c r="AL116" s="15">
        <f t="shared" si="23"/>
        <v>49.3</v>
      </c>
    </row>
    <row r="117" spans="1:38" ht="15.75" thickBot="1" x14ac:dyDescent="0.3">
      <c r="A117" s="16" t="s">
        <v>10</v>
      </c>
      <c r="B117" s="56">
        <f t="shared" si="21"/>
        <v>1969</v>
      </c>
      <c r="C117" s="56">
        <f t="shared" ref="C117:AJ117" si="32">SUM(C118:C125)</f>
        <v>1030</v>
      </c>
      <c r="D117" s="56">
        <f t="shared" si="32"/>
        <v>939</v>
      </c>
      <c r="E117" s="60">
        <f t="shared" si="32"/>
        <v>10</v>
      </c>
      <c r="F117" s="60">
        <f t="shared" si="32"/>
        <v>6</v>
      </c>
      <c r="G117" s="60">
        <f t="shared" si="32"/>
        <v>7</v>
      </c>
      <c r="H117" s="60">
        <f t="shared" si="32"/>
        <v>9</v>
      </c>
      <c r="I117" s="60">
        <f t="shared" si="32"/>
        <v>72</v>
      </c>
      <c r="J117" s="60">
        <f t="shared" si="32"/>
        <v>93</v>
      </c>
      <c r="K117" s="60">
        <f t="shared" si="32"/>
        <v>93</v>
      </c>
      <c r="L117" s="60">
        <f t="shared" si="32"/>
        <v>91</v>
      </c>
      <c r="M117" s="60">
        <f t="shared" si="32"/>
        <v>84</v>
      </c>
      <c r="N117" s="60">
        <f t="shared" si="32"/>
        <v>77</v>
      </c>
      <c r="O117" s="60">
        <f t="shared" si="32"/>
        <v>82</v>
      </c>
      <c r="P117" s="60">
        <f t="shared" si="32"/>
        <v>68</v>
      </c>
      <c r="Q117" s="60">
        <f t="shared" si="32"/>
        <v>107</v>
      </c>
      <c r="R117" s="60">
        <f t="shared" si="32"/>
        <v>79</v>
      </c>
      <c r="S117" s="60">
        <f t="shared" si="32"/>
        <v>85</v>
      </c>
      <c r="T117" s="60">
        <f t="shared" si="32"/>
        <v>79</v>
      </c>
      <c r="U117" s="60">
        <f t="shared" si="32"/>
        <v>78</v>
      </c>
      <c r="V117" s="60">
        <f t="shared" si="32"/>
        <v>78</v>
      </c>
      <c r="W117" s="60">
        <f t="shared" si="32"/>
        <v>98</v>
      </c>
      <c r="X117" s="60">
        <f t="shared" si="32"/>
        <v>73</v>
      </c>
      <c r="Y117" s="60">
        <f t="shared" si="32"/>
        <v>85</v>
      </c>
      <c r="Z117" s="60">
        <f t="shared" si="32"/>
        <v>78</v>
      </c>
      <c r="AA117" s="60">
        <f t="shared" si="32"/>
        <v>90</v>
      </c>
      <c r="AB117" s="60">
        <f t="shared" si="32"/>
        <v>74</v>
      </c>
      <c r="AC117" s="60">
        <f t="shared" si="32"/>
        <v>53</v>
      </c>
      <c r="AD117" s="60">
        <f t="shared" si="32"/>
        <v>64</v>
      </c>
      <c r="AE117" s="60">
        <f t="shared" si="32"/>
        <v>75</v>
      </c>
      <c r="AF117" s="60">
        <f t="shared" si="32"/>
        <v>51</v>
      </c>
      <c r="AG117" s="60">
        <f t="shared" si="32"/>
        <v>7</v>
      </c>
      <c r="AH117" s="60">
        <f t="shared" si="32"/>
        <v>16</v>
      </c>
      <c r="AI117" s="60">
        <f t="shared" si="32"/>
        <v>4</v>
      </c>
      <c r="AJ117" s="60">
        <f t="shared" si="32"/>
        <v>3</v>
      </c>
      <c r="AK117" s="60">
        <f t="shared" si="22"/>
        <v>52.3</v>
      </c>
      <c r="AL117" s="21">
        <f t="shared" si="23"/>
        <v>47.7</v>
      </c>
    </row>
    <row r="118" spans="1:38" x14ac:dyDescent="0.25">
      <c r="A118" s="14" t="s">
        <v>155</v>
      </c>
      <c r="B118" s="52">
        <f t="shared" si="21"/>
        <v>186</v>
      </c>
      <c r="C118" s="52">
        <f t="shared" ref="C118:D125" si="33">E118+G118+I118+K118+M118+O118+Q118+S118+U118+W118+Y118+AA118+AC118+AE118+AG118+AI118</f>
        <v>91</v>
      </c>
      <c r="D118" s="52">
        <f t="shared" si="33"/>
        <v>95</v>
      </c>
      <c r="E118" s="54">
        <v>0</v>
      </c>
      <c r="F118" s="54">
        <v>0</v>
      </c>
      <c r="G118" s="54">
        <v>0</v>
      </c>
      <c r="H118" s="54">
        <v>0</v>
      </c>
      <c r="I118" s="54">
        <v>4</v>
      </c>
      <c r="J118" s="54">
        <v>9</v>
      </c>
      <c r="K118" s="54">
        <v>12</v>
      </c>
      <c r="L118" s="54">
        <v>13</v>
      </c>
      <c r="M118" s="54">
        <v>3</v>
      </c>
      <c r="N118" s="54">
        <v>11</v>
      </c>
      <c r="O118" s="54">
        <v>6</v>
      </c>
      <c r="P118" s="54">
        <v>5</v>
      </c>
      <c r="Q118" s="54">
        <v>8</v>
      </c>
      <c r="R118" s="54">
        <v>8</v>
      </c>
      <c r="S118" s="54">
        <v>6</v>
      </c>
      <c r="T118" s="54">
        <v>4</v>
      </c>
      <c r="U118" s="54">
        <v>9</v>
      </c>
      <c r="V118" s="54">
        <v>10</v>
      </c>
      <c r="W118" s="54">
        <v>12</v>
      </c>
      <c r="X118" s="54">
        <v>9</v>
      </c>
      <c r="Y118" s="54">
        <v>7</v>
      </c>
      <c r="Z118" s="54">
        <v>8</v>
      </c>
      <c r="AA118" s="54">
        <v>10</v>
      </c>
      <c r="AB118" s="54">
        <v>8</v>
      </c>
      <c r="AC118" s="54">
        <v>9</v>
      </c>
      <c r="AD118" s="54">
        <v>6</v>
      </c>
      <c r="AE118" s="54">
        <v>5</v>
      </c>
      <c r="AF118" s="54">
        <v>4</v>
      </c>
      <c r="AG118" s="54">
        <v>0</v>
      </c>
      <c r="AH118" s="54">
        <v>0</v>
      </c>
      <c r="AI118" s="54">
        <v>0</v>
      </c>
      <c r="AJ118" s="54">
        <v>0</v>
      </c>
      <c r="AK118" s="55">
        <f t="shared" si="22"/>
        <v>48.9</v>
      </c>
      <c r="AL118" s="15">
        <f t="shared" si="23"/>
        <v>51.1</v>
      </c>
    </row>
    <row r="119" spans="1:38" x14ac:dyDescent="0.25">
      <c r="A119" s="14" t="s">
        <v>104</v>
      </c>
      <c r="B119" s="52">
        <f t="shared" si="21"/>
        <v>105</v>
      </c>
      <c r="C119" s="52">
        <f t="shared" si="33"/>
        <v>62</v>
      </c>
      <c r="D119" s="52">
        <f t="shared" si="33"/>
        <v>43</v>
      </c>
      <c r="E119" s="54">
        <v>0</v>
      </c>
      <c r="F119" s="54">
        <v>0</v>
      </c>
      <c r="G119" s="54">
        <v>0</v>
      </c>
      <c r="H119" s="54">
        <v>0</v>
      </c>
      <c r="I119" s="54">
        <v>2</v>
      </c>
      <c r="J119" s="54">
        <v>7</v>
      </c>
      <c r="K119" s="54">
        <v>8</v>
      </c>
      <c r="L119" s="54">
        <v>4</v>
      </c>
      <c r="M119" s="54">
        <v>8</v>
      </c>
      <c r="N119" s="54">
        <v>4</v>
      </c>
      <c r="O119" s="54">
        <v>3</v>
      </c>
      <c r="P119" s="54">
        <v>3</v>
      </c>
      <c r="Q119" s="54">
        <v>7</v>
      </c>
      <c r="R119" s="54">
        <v>5</v>
      </c>
      <c r="S119" s="54">
        <v>6</v>
      </c>
      <c r="T119" s="54">
        <v>4</v>
      </c>
      <c r="U119" s="54">
        <v>4</v>
      </c>
      <c r="V119" s="54">
        <v>4</v>
      </c>
      <c r="W119" s="54">
        <v>11</v>
      </c>
      <c r="X119" s="54">
        <v>2</v>
      </c>
      <c r="Y119" s="54">
        <v>5</v>
      </c>
      <c r="Z119" s="54">
        <v>7</v>
      </c>
      <c r="AA119" s="54">
        <v>2</v>
      </c>
      <c r="AB119" s="54">
        <v>2</v>
      </c>
      <c r="AC119" s="54">
        <v>4</v>
      </c>
      <c r="AD119" s="54">
        <v>0</v>
      </c>
      <c r="AE119" s="54">
        <v>2</v>
      </c>
      <c r="AF119" s="54">
        <v>1</v>
      </c>
      <c r="AG119" s="54">
        <v>0</v>
      </c>
      <c r="AH119" s="54">
        <v>0</v>
      </c>
      <c r="AI119" s="54">
        <v>0</v>
      </c>
      <c r="AJ119" s="54">
        <v>0</v>
      </c>
      <c r="AK119" s="55">
        <f t="shared" si="22"/>
        <v>59</v>
      </c>
      <c r="AL119" s="15">
        <f t="shared" si="23"/>
        <v>41</v>
      </c>
    </row>
    <row r="120" spans="1:38" x14ac:dyDescent="0.25">
      <c r="A120" s="14" t="s">
        <v>106</v>
      </c>
      <c r="B120" s="52">
        <f t="shared" si="21"/>
        <v>248</v>
      </c>
      <c r="C120" s="52">
        <f t="shared" si="33"/>
        <v>134</v>
      </c>
      <c r="D120" s="52">
        <f t="shared" si="33"/>
        <v>114</v>
      </c>
      <c r="E120" s="54">
        <v>0</v>
      </c>
      <c r="F120" s="54">
        <v>0</v>
      </c>
      <c r="G120" s="54">
        <v>0</v>
      </c>
      <c r="H120" s="54">
        <v>0</v>
      </c>
      <c r="I120" s="54">
        <v>13</v>
      </c>
      <c r="J120" s="54">
        <v>9</v>
      </c>
      <c r="K120" s="54">
        <v>9</v>
      </c>
      <c r="L120" s="54">
        <v>8</v>
      </c>
      <c r="M120" s="54">
        <v>12</v>
      </c>
      <c r="N120" s="54">
        <v>11</v>
      </c>
      <c r="O120" s="54">
        <v>13</v>
      </c>
      <c r="P120" s="54">
        <v>11</v>
      </c>
      <c r="Q120" s="54">
        <v>7</v>
      </c>
      <c r="R120" s="54">
        <v>14</v>
      </c>
      <c r="S120" s="54">
        <v>8</v>
      </c>
      <c r="T120" s="54">
        <v>11</v>
      </c>
      <c r="U120" s="54">
        <v>6</v>
      </c>
      <c r="V120" s="54">
        <v>10</v>
      </c>
      <c r="W120" s="54">
        <v>22</v>
      </c>
      <c r="X120" s="54">
        <v>8</v>
      </c>
      <c r="Y120" s="54">
        <v>12</v>
      </c>
      <c r="Z120" s="54">
        <v>6</v>
      </c>
      <c r="AA120" s="54">
        <v>19</v>
      </c>
      <c r="AB120" s="54">
        <v>13</v>
      </c>
      <c r="AC120" s="54">
        <v>2</v>
      </c>
      <c r="AD120" s="54">
        <v>12</v>
      </c>
      <c r="AE120" s="54">
        <v>11</v>
      </c>
      <c r="AF120" s="54">
        <v>1</v>
      </c>
      <c r="AG120" s="54">
        <v>0</v>
      </c>
      <c r="AH120" s="54">
        <v>0</v>
      </c>
      <c r="AI120" s="54">
        <v>0</v>
      </c>
      <c r="AJ120" s="54">
        <v>0</v>
      </c>
      <c r="AK120" s="55">
        <f t="shared" si="22"/>
        <v>54</v>
      </c>
      <c r="AL120" s="15">
        <f t="shared" si="23"/>
        <v>46</v>
      </c>
    </row>
    <row r="121" spans="1:38" x14ac:dyDescent="0.25">
      <c r="A121" s="14" t="s">
        <v>89</v>
      </c>
      <c r="B121" s="52">
        <f t="shared" si="21"/>
        <v>114</v>
      </c>
      <c r="C121" s="52">
        <f t="shared" si="33"/>
        <v>58</v>
      </c>
      <c r="D121" s="52">
        <f t="shared" si="33"/>
        <v>56</v>
      </c>
      <c r="E121" s="54">
        <v>0</v>
      </c>
      <c r="F121" s="54">
        <v>0</v>
      </c>
      <c r="G121" s="54">
        <v>0</v>
      </c>
      <c r="H121" s="54">
        <v>0</v>
      </c>
      <c r="I121" s="54">
        <v>8</v>
      </c>
      <c r="J121" s="54">
        <v>6</v>
      </c>
      <c r="K121" s="54">
        <v>6</v>
      </c>
      <c r="L121" s="54">
        <v>8</v>
      </c>
      <c r="M121" s="54">
        <v>4</v>
      </c>
      <c r="N121" s="54">
        <v>6</v>
      </c>
      <c r="O121" s="54">
        <v>10</v>
      </c>
      <c r="P121" s="54">
        <v>0</v>
      </c>
      <c r="Q121" s="54">
        <v>7</v>
      </c>
      <c r="R121" s="54">
        <v>3</v>
      </c>
      <c r="S121" s="54">
        <v>6</v>
      </c>
      <c r="T121" s="54">
        <v>7</v>
      </c>
      <c r="U121" s="54">
        <v>3</v>
      </c>
      <c r="V121" s="54">
        <v>6</v>
      </c>
      <c r="W121" s="54">
        <v>6</v>
      </c>
      <c r="X121" s="54">
        <v>6</v>
      </c>
      <c r="Y121" s="54">
        <v>4</v>
      </c>
      <c r="Z121" s="54">
        <v>7</v>
      </c>
      <c r="AA121" s="54">
        <v>4</v>
      </c>
      <c r="AB121" s="54">
        <v>7</v>
      </c>
      <c r="AC121" s="54">
        <v>0</v>
      </c>
      <c r="AD121" s="54">
        <v>0</v>
      </c>
      <c r="AE121" s="54">
        <v>0</v>
      </c>
      <c r="AF121" s="54">
        <v>0</v>
      </c>
      <c r="AG121" s="54">
        <v>0</v>
      </c>
      <c r="AH121" s="54">
        <v>0</v>
      </c>
      <c r="AI121" s="54">
        <v>0</v>
      </c>
      <c r="AJ121" s="54">
        <v>0</v>
      </c>
      <c r="AK121" s="55">
        <f t="shared" si="22"/>
        <v>50.9</v>
      </c>
      <c r="AL121" s="15">
        <f t="shared" si="23"/>
        <v>49.1</v>
      </c>
    </row>
    <row r="122" spans="1:38" x14ac:dyDescent="0.25">
      <c r="A122" s="14" t="s">
        <v>107</v>
      </c>
      <c r="B122" s="52">
        <f t="shared" si="21"/>
        <v>266</v>
      </c>
      <c r="C122" s="52">
        <f t="shared" si="33"/>
        <v>142</v>
      </c>
      <c r="D122" s="52">
        <f t="shared" si="33"/>
        <v>124</v>
      </c>
      <c r="E122" s="54">
        <v>10</v>
      </c>
      <c r="F122" s="54">
        <v>6</v>
      </c>
      <c r="G122" s="54">
        <v>7</v>
      </c>
      <c r="H122" s="54">
        <v>9</v>
      </c>
      <c r="I122" s="54">
        <v>12</v>
      </c>
      <c r="J122" s="54">
        <v>12</v>
      </c>
      <c r="K122" s="54">
        <v>8</v>
      </c>
      <c r="L122" s="54">
        <v>10</v>
      </c>
      <c r="M122" s="54">
        <v>14</v>
      </c>
      <c r="N122" s="54">
        <v>10</v>
      </c>
      <c r="O122" s="54">
        <v>8</v>
      </c>
      <c r="P122" s="54">
        <v>5</v>
      </c>
      <c r="Q122" s="54">
        <v>12</v>
      </c>
      <c r="R122" s="54">
        <v>11</v>
      </c>
      <c r="S122" s="54">
        <v>12</v>
      </c>
      <c r="T122" s="54">
        <v>8</v>
      </c>
      <c r="U122" s="54">
        <v>9</v>
      </c>
      <c r="V122" s="54">
        <v>11</v>
      </c>
      <c r="W122" s="54">
        <v>8</v>
      </c>
      <c r="X122" s="54">
        <v>8</v>
      </c>
      <c r="Y122" s="54">
        <v>10</v>
      </c>
      <c r="Z122" s="54">
        <v>11</v>
      </c>
      <c r="AA122" s="54">
        <v>11</v>
      </c>
      <c r="AB122" s="54">
        <v>4</v>
      </c>
      <c r="AC122" s="54">
        <v>3</v>
      </c>
      <c r="AD122" s="54">
        <v>10</v>
      </c>
      <c r="AE122" s="54">
        <v>18</v>
      </c>
      <c r="AF122" s="54">
        <v>9</v>
      </c>
      <c r="AG122" s="54">
        <v>0</v>
      </c>
      <c r="AH122" s="54">
        <v>0</v>
      </c>
      <c r="AI122" s="54">
        <v>0</v>
      </c>
      <c r="AJ122" s="54">
        <v>0</v>
      </c>
      <c r="AK122" s="55">
        <f t="shared" si="22"/>
        <v>53.4</v>
      </c>
      <c r="AL122" s="15">
        <f t="shared" si="23"/>
        <v>46.6</v>
      </c>
    </row>
    <row r="123" spans="1:38" x14ac:dyDescent="0.25">
      <c r="A123" s="14" t="s">
        <v>105</v>
      </c>
      <c r="B123" s="52">
        <f t="shared" si="21"/>
        <v>255</v>
      </c>
      <c r="C123" s="52">
        <f t="shared" si="33"/>
        <v>138</v>
      </c>
      <c r="D123" s="52">
        <f t="shared" si="33"/>
        <v>117</v>
      </c>
      <c r="E123" s="54">
        <v>0</v>
      </c>
      <c r="F123" s="54">
        <v>0</v>
      </c>
      <c r="G123" s="54">
        <v>0</v>
      </c>
      <c r="H123" s="54">
        <v>0</v>
      </c>
      <c r="I123" s="54">
        <v>8</v>
      </c>
      <c r="J123" s="54">
        <v>14</v>
      </c>
      <c r="K123" s="54">
        <v>17</v>
      </c>
      <c r="L123" s="54">
        <v>9</v>
      </c>
      <c r="M123" s="54">
        <v>12</v>
      </c>
      <c r="N123" s="54">
        <v>7</v>
      </c>
      <c r="O123" s="54">
        <v>14</v>
      </c>
      <c r="P123" s="54">
        <v>11</v>
      </c>
      <c r="Q123" s="54">
        <v>13</v>
      </c>
      <c r="R123" s="54">
        <v>7</v>
      </c>
      <c r="S123" s="54">
        <v>9</v>
      </c>
      <c r="T123" s="54">
        <v>13</v>
      </c>
      <c r="U123" s="54">
        <v>15</v>
      </c>
      <c r="V123" s="54">
        <v>11</v>
      </c>
      <c r="W123" s="54">
        <v>8</v>
      </c>
      <c r="X123" s="54">
        <v>6</v>
      </c>
      <c r="Y123" s="54">
        <v>12</v>
      </c>
      <c r="Z123" s="54">
        <v>10</v>
      </c>
      <c r="AA123" s="54">
        <v>12</v>
      </c>
      <c r="AB123" s="54">
        <v>10</v>
      </c>
      <c r="AC123" s="54">
        <v>11</v>
      </c>
      <c r="AD123" s="54">
        <v>10</v>
      </c>
      <c r="AE123" s="54">
        <v>7</v>
      </c>
      <c r="AF123" s="54">
        <v>9</v>
      </c>
      <c r="AG123" s="54">
        <v>0</v>
      </c>
      <c r="AH123" s="54">
        <v>0</v>
      </c>
      <c r="AI123" s="54">
        <v>0</v>
      </c>
      <c r="AJ123" s="54">
        <v>0</v>
      </c>
      <c r="AK123" s="55">
        <f t="shared" si="22"/>
        <v>54.1</v>
      </c>
      <c r="AL123" s="15">
        <f t="shared" si="23"/>
        <v>45.9</v>
      </c>
    </row>
    <row r="124" spans="1:38" x14ac:dyDescent="0.25">
      <c r="A124" s="14" t="s">
        <v>108</v>
      </c>
      <c r="B124" s="52">
        <f t="shared" si="21"/>
        <v>426</v>
      </c>
      <c r="C124" s="52">
        <f t="shared" si="33"/>
        <v>226</v>
      </c>
      <c r="D124" s="52">
        <f t="shared" si="33"/>
        <v>200</v>
      </c>
      <c r="E124" s="54">
        <v>0</v>
      </c>
      <c r="F124" s="54">
        <v>0</v>
      </c>
      <c r="G124" s="54">
        <v>0</v>
      </c>
      <c r="H124" s="54">
        <v>0</v>
      </c>
      <c r="I124" s="54">
        <v>15</v>
      </c>
      <c r="J124" s="54">
        <v>12</v>
      </c>
      <c r="K124" s="54">
        <v>21</v>
      </c>
      <c r="L124" s="54">
        <v>28</v>
      </c>
      <c r="M124" s="54">
        <v>20</v>
      </c>
      <c r="N124" s="54">
        <v>14</v>
      </c>
      <c r="O124" s="54">
        <v>22</v>
      </c>
      <c r="P124" s="54">
        <v>17</v>
      </c>
      <c r="Q124" s="54">
        <v>27</v>
      </c>
      <c r="R124" s="54">
        <v>11</v>
      </c>
      <c r="S124" s="54">
        <v>21</v>
      </c>
      <c r="T124" s="54">
        <v>22</v>
      </c>
      <c r="U124" s="54">
        <v>18</v>
      </c>
      <c r="V124" s="54">
        <v>15</v>
      </c>
      <c r="W124" s="54">
        <v>14</v>
      </c>
      <c r="X124" s="54">
        <v>18</v>
      </c>
      <c r="Y124" s="54">
        <v>18</v>
      </c>
      <c r="Z124" s="54">
        <v>13</v>
      </c>
      <c r="AA124" s="54">
        <v>16</v>
      </c>
      <c r="AB124" s="54">
        <v>13</v>
      </c>
      <c r="AC124" s="54">
        <v>15</v>
      </c>
      <c r="AD124" s="54">
        <v>15</v>
      </c>
      <c r="AE124" s="54">
        <v>15</v>
      </c>
      <c r="AF124" s="54">
        <v>17</v>
      </c>
      <c r="AG124" s="54">
        <v>4</v>
      </c>
      <c r="AH124" s="54">
        <v>5</v>
      </c>
      <c r="AI124" s="54">
        <v>0</v>
      </c>
      <c r="AJ124" s="54">
        <v>0</v>
      </c>
      <c r="AK124" s="55">
        <f t="shared" si="22"/>
        <v>53.1</v>
      </c>
      <c r="AL124" s="15">
        <f t="shared" si="23"/>
        <v>46.9</v>
      </c>
    </row>
    <row r="125" spans="1:38" x14ac:dyDescent="0.25">
      <c r="A125" s="14" t="s">
        <v>109</v>
      </c>
      <c r="B125" s="52">
        <f t="shared" si="21"/>
        <v>369</v>
      </c>
      <c r="C125" s="52">
        <f t="shared" si="33"/>
        <v>179</v>
      </c>
      <c r="D125" s="52">
        <f t="shared" si="33"/>
        <v>190</v>
      </c>
      <c r="E125" s="54">
        <v>0</v>
      </c>
      <c r="F125" s="54">
        <v>0</v>
      </c>
      <c r="G125" s="54">
        <v>0</v>
      </c>
      <c r="H125" s="54">
        <v>0</v>
      </c>
      <c r="I125" s="54">
        <v>10</v>
      </c>
      <c r="J125" s="54">
        <v>24</v>
      </c>
      <c r="K125" s="54">
        <v>12</v>
      </c>
      <c r="L125" s="54">
        <v>11</v>
      </c>
      <c r="M125" s="54">
        <v>11</v>
      </c>
      <c r="N125" s="54">
        <v>14</v>
      </c>
      <c r="O125" s="54">
        <v>6</v>
      </c>
      <c r="P125" s="54">
        <v>16</v>
      </c>
      <c r="Q125" s="54">
        <v>26</v>
      </c>
      <c r="R125" s="54">
        <v>20</v>
      </c>
      <c r="S125" s="54">
        <v>17</v>
      </c>
      <c r="T125" s="54">
        <v>10</v>
      </c>
      <c r="U125" s="54">
        <v>14</v>
      </c>
      <c r="V125" s="54">
        <v>11</v>
      </c>
      <c r="W125" s="54">
        <v>17</v>
      </c>
      <c r="X125" s="54">
        <v>16</v>
      </c>
      <c r="Y125" s="54">
        <v>17</v>
      </c>
      <c r="Z125" s="54">
        <v>16</v>
      </c>
      <c r="AA125" s="54">
        <v>16</v>
      </c>
      <c r="AB125" s="54">
        <v>17</v>
      </c>
      <c r="AC125" s="54">
        <v>9</v>
      </c>
      <c r="AD125" s="54">
        <v>11</v>
      </c>
      <c r="AE125" s="54">
        <v>17</v>
      </c>
      <c r="AF125" s="54">
        <v>10</v>
      </c>
      <c r="AG125" s="54">
        <v>3</v>
      </c>
      <c r="AH125" s="54">
        <v>11</v>
      </c>
      <c r="AI125" s="54">
        <v>4</v>
      </c>
      <c r="AJ125" s="54">
        <v>3</v>
      </c>
      <c r="AK125" s="55">
        <f t="shared" si="22"/>
        <v>48.5</v>
      </c>
      <c r="AL125" s="15">
        <f t="shared" si="23"/>
        <v>51.5</v>
      </c>
    </row>
    <row r="126" spans="1:38" s="18" customFormat="1" ht="16.5" customHeight="1" thickBot="1" x14ac:dyDescent="0.25">
      <c r="A126" s="16" t="s">
        <v>26</v>
      </c>
      <c r="B126" s="53">
        <f t="shared" si="21"/>
        <v>2378</v>
      </c>
      <c r="C126" s="53">
        <f t="shared" ref="C126:AJ126" si="34">SUM(C127:C136)</f>
        <v>1234</v>
      </c>
      <c r="D126" s="53">
        <f t="shared" si="34"/>
        <v>1144</v>
      </c>
      <c r="E126" s="59">
        <f t="shared" si="34"/>
        <v>9</v>
      </c>
      <c r="F126" s="59">
        <f t="shared" si="34"/>
        <v>9</v>
      </c>
      <c r="G126" s="59">
        <f t="shared" si="34"/>
        <v>6</v>
      </c>
      <c r="H126" s="59">
        <f t="shared" si="34"/>
        <v>4</v>
      </c>
      <c r="I126" s="59">
        <f t="shared" si="34"/>
        <v>109</v>
      </c>
      <c r="J126" s="59">
        <f t="shared" si="34"/>
        <v>104</v>
      </c>
      <c r="K126" s="59">
        <f t="shared" si="34"/>
        <v>152</v>
      </c>
      <c r="L126" s="59">
        <f t="shared" si="34"/>
        <v>135</v>
      </c>
      <c r="M126" s="59">
        <f t="shared" si="34"/>
        <v>107</v>
      </c>
      <c r="N126" s="59">
        <f t="shared" si="34"/>
        <v>113</v>
      </c>
      <c r="O126" s="59">
        <f t="shared" si="34"/>
        <v>103</v>
      </c>
      <c r="P126" s="59">
        <f t="shared" si="34"/>
        <v>79</v>
      </c>
      <c r="Q126" s="59">
        <f t="shared" si="34"/>
        <v>110</v>
      </c>
      <c r="R126" s="59">
        <f t="shared" si="34"/>
        <v>104</v>
      </c>
      <c r="S126" s="59">
        <f t="shared" si="34"/>
        <v>117</v>
      </c>
      <c r="T126" s="59">
        <f t="shared" si="34"/>
        <v>95</v>
      </c>
      <c r="U126" s="59">
        <f t="shared" si="34"/>
        <v>112</v>
      </c>
      <c r="V126" s="59">
        <f t="shared" si="34"/>
        <v>95</v>
      </c>
      <c r="W126" s="59">
        <f t="shared" si="34"/>
        <v>93</v>
      </c>
      <c r="X126" s="59">
        <f t="shared" si="34"/>
        <v>97</v>
      </c>
      <c r="Y126" s="59">
        <f t="shared" si="34"/>
        <v>104</v>
      </c>
      <c r="Z126" s="59">
        <f t="shared" si="34"/>
        <v>77</v>
      </c>
      <c r="AA126" s="59">
        <f t="shared" si="34"/>
        <v>80</v>
      </c>
      <c r="AB126" s="59">
        <f t="shared" si="34"/>
        <v>81</v>
      </c>
      <c r="AC126" s="59">
        <f t="shared" si="34"/>
        <v>65</v>
      </c>
      <c r="AD126" s="59">
        <f t="shared" si="34"/>
        <v>69</v>
      </c>
      <c r="AE126" s="59">
        <f t="shared" si="34"/>
        <v>66</v>
      </c>
      <c r="AF126" s="59">
        <f t="shared" si="34"/>
        <v>78</v>
      </c>
      <c r="AG126" s="59">
        <f t="shared" si="34"/>
        <v>1</v>
      </c>
      <c r="AH126" s="59">
        <f t="shared" si="34"/>
        <v>4</v>
      </c>
      <c r="AI126" s="59">
        <f t="shared" si="34"/>
        <v>0</v>
      </c>
      <c r="AJ126" s="59">
        <f t="shared" si="34"/>
        <v>0</v>
      </c>
      <c r="AK126" s="59">
        <f t="shared" si="22"/>
        <v>51.9</v>
      </c>
      <c r="AL126" s="17">
        <f t="shared" si="23"/>
        <v>48.1</v>
      </c>
    </row>
    <row r="127" spans="1:38" ht="16.5" customHeight="1" x14ac:dyDescent="0.25">
      <c r="A127" s="14" t="s">
        <v>111</v>
      </c>
      <c r="B127" s="52">
        <f t="shared" si="21"/>
        <v>213</v>
      </c>
      <c r="C127" s="52">
        <f t="shared" ref="C127:C136" si="35">E127+G127+I127+K127+M127+O127+Q127+S127+U127+W127+Y127+AA127+AC127+AE127+AG127+AI127</f>
        <v>110</v>
      </c>
      <c r="D127" s="52">
        <f t="shared" ref="D127:D136" si="36">F127+H127+J127+L127+N127+P127+R127+T127+V127+X127+Z127+AB127+AD127+AF127+AH127+AJ127</f>
        <v>103</v>
      </c>
      <c r="E127" s="54">
        <v>0</v>
      </c>
      <c r="F127" s="54">
        <v>0</v>
      </c>
      <c r="G127" s="54">
        <v>0</v>
      </c>
      <c r="H127" s="54">
        <v>0</v>
      </c>
      <c r="I127" s="54">
        <v>11</v>
      </c>
      <c r="J127" s="54">
        <v>12</v>
      </c>
      <c r="K127" s="54">
        <v>12</v>
      </c>
      <c r="L127" s="54">
        <v>10</v>
      </c>
      <c r="M127" s="54">
        <v>9</v>
      </c>
      <c r="N127" s="54">
        <v>15</v>
      </c>
      <c r="O127" s="54">
        <v>17</v>
      </c>
      <c r="P127" s="54">
        <v>7</v>
      </c>
      <c r="Q127" s="54">
        <v>10</v>
      </c>
      <c r="R127" s="54">
        <v>9</v>
      </c>
      <c r="S127" s="54">
        <v>6</v>
      </c>
      <c r="T127" s="54">
        <v>10</v>
      </c>
      <c r="U127" s="54">
        <v>12</v>
      </c>
      <c r="V127" s="54">
        <v>6</v>
      </c>
      <c r="W127" s="54">
        <v>4</v>
      </c>
      <c r="X127" s="54">
        <v>9</v>
      </c>
      <c r="Y127" s="54">
        <v>10</v>
      </c>
      <c r="Z127" s="54">
        <v>7</v>
      </c>
      <c r="AA127" s="54">
        <v>5</v>
      </c>
      <c r="AB127" s="54">
        <v>8</v>
      </c>
      <c r="AC127" s="54">
        <v>8</v>
      </c>
      <c r="AD127" s="54">
        <v>4</v>
      </c>
      <c r="AE127" s="54">
        <v>6</v>
      </c>
      <c r="AF127" s="54">
        <v>6</v>
      </c>
      <c r="AG127" s="54">
        <v>0</v>
      </c>
      <c r="AH127" s="54">
        <v>0</v>
      </c>
      <c r="AI127" s="54">
        <v>0</v>
      </c>
      <c r="AJ127" s="54">
        <v>0</v>
      </c>
      <c r="AK127" s="55">
        <f t="shared" si="22"/>
        <v>51.6</v>
      </c>
      <c r="AL127" s="15">
        <f t="shared" si="23"/>
        <v>48.4</v>
      </c>
    </row>
    <row r="128" spans="1:38" ht="16.5" customHeight="1" x14ac:dyDescent="0.25">
      <c r="A128" s="14" t="s">
        <v>159</v>
      </c>
      <c r="B128" s="52">
        <f t="shared" si="21"/>
        <v>19</v>
      </c>
      <c r="C128" s="52">
        <f t="shared" si="35"/>
        <v>11</v>
      </c>
      <c r="D128" s="52">
        <f t="shared" si="36"/>
        <v>8</v>
      </c>
      <c r="E128" s="54">
        <v>0</v>
      </c>
      <c r="F128" s="54">
        <v>0</v>
      </c>
      <c r="G128" s="54">
        <v>0</v>
      </c>
      <c r="H128" s="54">
        <v>0</v>
      </c>
      <c r="I128" s="54">
        <v>1</v>
      </c>
      <c r="J128" s="54">
        <v>0</v>
      </c>
      <c r="K128" s="54">
        <v>3</v>
      </c>
      <c r="L128" s="54">
        <v>0</v>
      </c>
      <c r="M128" s="54">
        <v>2</v>
      </c>
      <c r="N128" s="54">
        <v>1</v>
      </c>
      <c r="O128" s="54">
        <v>0</v>
      </c>
      <c r="P128" s="54">
        <v>0</v>
      </c>
      <c r="Q128" s="54">
        <v>0</v>
      </c>
      <c r="R128" s="54">
        <v>3</v>
      </c>
      <c r="S128" s="54">
        <v>3</v>
      </c>
      <c r="T128" s="54">
        <v>0</v>
      </c>
      <c r="U128" s="54">
        <v>1</v>
      </c>
      <c r="V128" s="54">
        <v>0</v>
      </c>
      <c r="W128" s="54">
        <v>0</v>
      </c>
      <c r="X128" s="54">
        <v>3</v>
      </c>
      <c r="Y128" s="54">
        <v>1</v>
      </c>
      <c r="Z128" s="54">
        <v>1</v>
      </c>
      <c r="AA128" s="54">
        <v>0</v>
      </c>
      <c r="AB128" s="54">
        <v>0</v>
      </c>
      <c r="AC128" s="54">
        <v>0</v>
      </c>
      <c r="AD128" s="54">
        <v>0</v>
      </c>
      <c r="AE128" s="54">
        <v>0</v>
      </c>
      <c r="AF128" s="54">
        <v>0</v>
      </c>
      <c r="AG128" s="54">
        <v>0</v>
      </c>
      <c r="AH128" s="54">
        <v>0</v>
      </c>
      <c r="AI128" s="54">
        <v>0</v>
      </c>
      <c r="AJ128" s="54">
        <v>0</v>
      </c>
      <c r="AK128" s="55">
        <f t="shared" si="22"/>
        <v>57.9</v>
      </c>
      <c r="AL128" s="15">
        <f t="shared" si="23"/>
        <v>42.1</v>
      </c>
    </row>
    <row r="129" spans="1:38" ht="16.5" customHeight="1" x14ac:dyDescent="0.25">
      <c r="A129" s="14" t="s">
        <v>112</v>
      </c>
      <c r="B129" s="52">
        <f t="shared" si="21"/>
        <v>115</v>
      </c>
      <c r="C129" s="52">
        <f t="shared" si="35"/>
        <v>57</v>
      </c>
      <c r="D129" s="52">
        <f t="shared" si="36"/>
        <v>58</v>
      </c>
      <c r="E129" s="54">
        <v>0</v>
      </c>
      <c r="F129" s="54">
        <v>0</v>
      </c>
      <c r="G129" s="54">
        <v>0</v>
      </c>
      <c r="H129" s="54">
        <v>1</v>
      </c>
      <c r="I129" s="54">
        <v>4</v>
      </c>
      <c r="J129" s="54">
        <v>5</v>
      </c>
      <c r="K129" s="54">
        <v>5</v>
      </c>
      <c r="L129" s="54">
        <v>8</v>
      </c>
      <c r="M129" s="54">
        <v>6</v>
      </c>
      <c r="N129" s="54">
        <v>3</v>
      </c>
      <c r="O129" s="54">
        <v>6</v>
      </c>
      <c r="P129" s="54">
        <v>4</v>
      </c>
      <c r="Q129" s="54">
        <v>3</v>
      </c>
      <c r="R129" s="54">
        <v>7</v>
      </c>
      <c r="S129" s="54">
        <v>6</v>
      </c>
      <c r="T129" s="54">
        <v>5</v>
      </c>
      <c r="U129" s="54">
        <v>6</v>
      </c>
      <c r="V129" s="54">
        <v>7</v>
      </c>
      <c r="W129" s="54">
        <v>3</v>
      </c>
      <c r="X129" s="54">
        <v>7</v>
      </c>
      <c r="Y129" s="54">
        <v>2</v>
      </c>
      <c r="Z129" s="54">
        <v>0</v>
      </c>
      <c r="AA129" s="54">
        <v>6</v>
      </c>
      <c r="AB129" s="54">
        <v>5</v>
      </c>
      <c r="AC129" s="54">
        <v>4</v>
      </c>
      <c r="AD129" s="54">
        <v>1</v>
      </c>
      <c r="AE129" s="54">
        <v>6</v>
      </c>
      <c r="AF129" s="54">
        <v>5</v>
      </c>
      <c r="AG129" s="54">
        <v>0</v>
      </c>
      <c r="AH129" s="54">
        <v>0</v>
      </c>
      <c r="AI129" s="54">
        <v>0</v>
      </c>
      <c r="AJ129" s="54">
        <v>0</v>
      </c>
      <c r="AK129" s="55">
        <f t="shared" si="22"/>
        <v>49.6</v>
      </c>
      <c r="AL129" s="15">
        <f t="shared" si="23"/>
        <v>50.4</v>
      </c>
    </row>
    <row r="130" spans="1:38" ht="16.5" customHeight="1" x14ac:dyDescent="0.25">
      <c r="A130" s="14" t="s">
        <v>113</v>
      </c>
      <c r="B130" s="52">
        <f t="shared" si="21"/>
        <v>267</v>
      </c>
      <c r="C130" s="52">
        <f t="shared" si="35"/>
        <v>142</v>
      </c>
      <c r="D130" s="52">
        <f t="shared" si="36"/>
        <v>125</v>
      </c>
      <c r="E130" s="54">
        <v>9</v>
      </c>
      <c r="F130" s="54">
        <v>9</v>
      </c>
      <c r="G130" s="54">
        <v>6</v>
      </c>
      <c r="H130" s="54">
        <v>3</v>
      </c>
      <c r="I130" s="54">
        <v>9</v>
      </c>
      <c r="J130" s="54">
        <v>7</v>
      </c>
      <c r="K130" s="54">
        <v>15</v>
      </c>
      <c r="L130" s="54">
        <v>20</v>
      </c>
      <c r="M130" s="54">
        <v>12</v>
      </c>
      <c r="N130" s="54">
        <v>5</v>
      </c>
      <c r="O130" s="54">
        <v>14</v>
      </c>
      <c r="P130" s="54">
        <v>7</v>
      </c>
      <c r="Q130" s="54">
        <v>10</v>
      </c>
      <c r="R130" s="54">
        <v>14</v>
      </c>
      <c r="S130" s="54">
        <v>16</v>
      </c>
      <c r="T130" s="54">
        <v>16</v>
      </c>
      <c r="U130" s="54">
        <v>11</v>
      </c>
      <c r="V130" s="54">
        <v>4</v>
      </c>
      <c r="W130" s="54">
        <v>12</v>
      </c>
      <c r="X130" s="54">
        <v>18</v>
      </c>
      <c r="Y130" s="54">
        <v>11</v>
      </c>
      <c r="Z130" s="54">
        <v>7</v>
      </c>
      <c r="AA130" s="54">
        <v>8</v>
      </c>
      <c r="AB130" s="54">
        <v>6</v>
      </c>
      <c r="AC130" s="54">
        <v>4</v>
      </c>
      <c r="AD130" s="54">
        <v>6</v>
      </c>
      <c r="AE130" s="54">
        <v>5</v>
      </c>
      <c r="AF130" s="54">
        <v>3</v>
      </c>
      <c r="AG130" s="54">
        <v>0</v>
      </c>
      <c r="AH130" s="54">
        <v>0</v>
      </c>
      <c r="AI130" s="54">
        <v>0</v>
      </c>
      <c r="AJ130" s="54">
        <v>0</v>
      </c>
      <c r="AK130" s="55">
        <f t="shared" si="22"/>
        <v>53.2</v>
      </c>
      <c r="AL130" s="15">
        <f t="shared" si="23"/>
        <v>46.8</v>
      </c>
    </row>
    <row r="131" spans="1:38" ht="16.5" customHeight="1" x14ac:dyDescent="0.25">
      <c r="A131" s="14" t="s">
        <v>157</v>
      </c>
      <c r="B131" s="52">
        <f t="shared" si="21"/>
        <v>118</v>
      </c>
      <c r="C131" s="52">
        <f t="shared" si="35"/>
        <v>60</v>
      </c>
      <c r="D131" s="52">
        <f t="shared" si="36"/>
        <v>58</v>
      </c>
      <c r="E131" s="54">
        <v>0</v>
      </c>
      <c r="F131" s="54">
        <v>0</v>
      </c>
      <c r="G131" s="54">
        <v>0</v>
      </c>
      <c r="H131" s="54">
        <v>0</v>
      </c>
      <c r="I131" s="54">
        <v>6</v>
      </c>
      <c r="J131" s="54">
        <v>4</v>
      </c>
      <c r="K131" s="54">
        <v>8</v>
      </c>
      <c r="L131" s="54">
        <v>6</v>
      </c>
      <c r="M131" s="54">
        <v>3</v>
      </c>
      <c r="N131" s="54">
        <v>4</v>
      </c>
      <c r="O131" s="54">
        <v>5</v>
      </c>
      <c r="P131" s="54">
        <v>4</v>
      </c>
      <c r="Q131" s="54">
        <v>9</v>
      </c>
      <c r="R131" s="54">
        <v>5</v>
      </c>
      <c r="S131" s="54">
        <v>9</v>
      </c>
      <c r="T131" s="54">
        <v>2</v>
      </c>
      <c r="U131" s="54">
        <v>4</v>
      </c>
      <c r="V131" s="54">
        <v>6</v>
      </c>
      <c r="W131" s="54">
        <v>5</v>
      </c>
      <c r="X131" s="54">
        <v>6</v>
      </c>
      <c r="Y131" s="54">
        <v>4</v>
      </c>
      <c r="Z131" s="54">
        <v>4</v>
      </c>
      <c r="AA131" s="54">
        <v>3</v>
      </c>
      <c r="AB131" s="54">
        <v>7</v>
      </c>
      <c r="AC131" s="54">
        <v>2</v>
      </c>
      <c r="AD131" s="54">
        <v>5</v>
      </c>
      <c r="AE131" s="54">
        <v>2</v>
      </c>
      <c r="AF131" s="54">
        <v>5</v>
      </c>
      <c r="AG131" s="54">
        <v>0</v>
      </c>
      <c r="AH131" s="54">
        <v>0</v>
      </c>
      <c r="AI131" s="54">
        <v>0</v>
      </c>
      <c r="AJ131" s="54">
        <v>0</v>
      </c>
      <c r="AK131" s="55">
        <f t="shared" si="22"/>
        <v>50.8</v>
      </c>
      <c r="AL131" s="15">
        <f t="shared" si="23"/>
        <v>49.2</v>
      </c>
    </row>
    <row r="132" spans="1:38" ht="16.5" customHeight="1" x14ac:dyDescent="0.25">
      <c r="A132" s="14" t="s">
        <v>158</v>
      </c>
      <c r="B132" s="52">
        <f t="shared" si="21"/>
        <v>133</v>
      </c>
      <c r="C132" s="52">
        <f t="shared" si="35"/>
        <v>73</v>
      </c>
      <c r="D132" s="52">
        <f t="shared" si="36"/>
        <v>60</v>
      </c>
      <c r="E132" s="54">
        <v>0</v>
      </c>
      <c r="F132" s="54">
        <v>0</v>
      </c>
      <c r="G132" s="54">
        <v>0</v>
      </c>
      <c r="H132" s="54">
        <v>0</v>
      </c>
      <c r="I132" s="54">
        <v>9</v>
      </c>
      <c r="J132" s="54">
        <v>7</v>
      </c>
      <c r="K132" s="54">
        <v>6</v>
      </c>
      <c r="L132" s="54">
        <v>5</v>
      </c>
      <c r="M132" s="54">
        <v>5</v>
      </c>
      <c r="N132" s="54">
        <v>7</v>
      </c>
      <c r="O132" s="54">
        <v>2</v>
      </c>
      <c r="P132" s="54">
        <v>3</v>
      </c>
      <c r="Q132" s="54">
        <v>3</v>
      </c>
      <c r="R132" s="54">
        <v>4</v>
      </c>
      <c r="S132" s="54">
        <v>8</v>
      </c>
      <c r="T132" s="54">
        <v>3</v>
      </c>
      <c r="U132" s="54">
        <v>11</v>
      </c>
      <c r="V132" s="54">
        <v>6</v>
      </c>
      <c r="W132" s="54">
        <v>9</v>
      </c>
      <c r="X132" s="54">
        <v>6</v>
      </c>
      <c r="Y132" s="54">
        <v>6</v>
      </c>
      <c r="Z132" s="54">
        <v>8</v>
      </c>
      <c r="AA132" s="54">
        <v>6</v>
      </c>
      <c r="AB132" s="54">
        <v>5</v>
      </c>
      <c r="AC132" s="54">
        <v>3</v>
      </c>
      <c r="AD132" s="54">
        <v>2</v>
      </c>
      <c r="AE132" s="54">
        <v>5</v>
      </c>
      <c r="AF132" s="54">
        <v>4</v>
      </c>
      <c r="AG132" s="54">
        <v>0</v>
      </c>
      <c r="AH132" s="54">
        <v>0</v>
      </c>
      <c r="AI132" s="54">
        <v>0</v>
      </c>
      <c r="AJ132" s="54">
        <v>0</v>
      </c>
      <c r="AK132" s="55">
        <f t="shared" si="22"/>
        <v>54.9</v>
      </c>
      <c r="AL132" s="15">
        <f t="shared" si="23"/>
        <v>45.1</v>
      </c>
    </row>
    <row r="133" spans="1:38" ht="16.5" customHeight="1" x14ac:dyDescent="0.25">
      <c r="A133" s="14" t="s">
        <v>156</v>
      </c>
      <c r="B133" s="52">
        <f t="shared" si="21"/>
        <v>610</v>
      </c>
      <c r="C133" s="52">
        <f t="shared" si="35"/>
        <v>328</v>
      </c>
      <c r="D133" s="52">
        <f t="shared" si="36"/>
        <v>282</v>
      </c>
      <c r="E133" s="54">
        <v>0</v>
      </c>
      <c r="F133" s="54">
        <v>0</v>
      </c>
      <c r="G133" s="54">
        <v>0</v>
      </c>
      <c r="H133" s="54">
        <v>0</v>
      </c>
      <c r="I133" s="54">
        <v>40</v>
      </c>
      <c r="J133" s="54">
        <v>20</v>
      </c>
      <c r="K133" s="54">
        <v>46</v>
      </c>
      <c r="L133" s="54">
        <v>42</v>
      </c>
      <c r="M133" s="54">
        <v>30</v>
      </c>
      <c r="N133" s="54">
        <v>27</v>
      </c>
      <c r="O133" s="54">
        <v>20</v>
      </c>
      <c r="P133" s="54">
        <v>18</v>
      </c>
      <c r="Q133" s="54">
        <v>30</v>
      </c>
      <c r="R133" s="54">
        <v>28</v>
      </c>
      <c r="S133" s="54">
        <v>22</v>
      </c>
      <c r="T133" s="54">
        <v>21</v>
      </c>
      <c r="U133" s="54">
        <v>24</v>
      </c>
      <c r="V133" s="54">
        <v>25</v>
      </c>
      <c r="W133" s="54">
        <v>24</v>
      </c>
      <c r="X133" s="54">
        <v>20</v>
      </c>
      <c r="Y133" s="54">
        <v>32</v>
      </c>
      <c r="Z133" s="54">
        <v>21</v>
      </c>
      <c r="AA133" s="54">
        <v>21</v>
      </c>
      <c r="AB133" s="54">
        <v>19</v>
      </c>
      <c r="AC133" s="54">
        <v>20</v>
      </c>
      <c r="AD133" s="54">
        <v>19</v>
      </c>
      <c r="AE133" s="54">
        <v>19</v>
      </c>
      <c r="AF133" s="54">
        <v>22</v>
      </c>
      <c r="AG133" s="54">
        <v>0</v>
      </c>
      <c r="AH133" s="54">
        <v>0</v>
      </c>
      <c r="AI133" s="54">
        <v>0</v>
      </c>
      <c r="AJ133" s="54">
        <v>0</v>
      </c>
      <c r="AK133" s="55">
        <f t="shared" si="22"/>
        <v>53.8</v>
      </c>
      <c r="AL133" s="15">
        <f t="shared" si="23"/>
        <v>46.2</v>
      </c>
    </row>
    <row r="134" spans="1:38" ht="16.5" customHeight="1" x14ac:dyDescent="0.25">
      <c r="A134" s="14" t="s">
        <v>110</v>
      </c>
      <c r="B134" s="52">
        <f t="shared" si="21"/>
        <v>586</v>
      </c>
      <c r="C134" s="52">
        <f t="shared" si="35"/>
        <v>304</v>
      </c>
      <c r="D134" s="52">
        <f t="shared" si="36"/>
        <v>282</v>
      </c>
      <c r="E134" s="54">
        <v>0</v>
      </c>
      <c r="F134" s="54">
        <v>0</v>
      </c>
      <c r="G134" s="54">
        <v>0</v>
      </c>
      <c r="H134" s="54">
        <v>0</v>
      </c>
      <c r="I134" s="54">
        <v>20</v>
      </c>
      <c r="J134" s="54">
        <v>32</v>
      </c>
      <c r="K134" s="54">
        <v>39</v>
      </c>
      <c r="L134" s="54">
        <v>27</v>
      </c>
      <c r="M134" s="54">
        <v>21</v>
      </c>
      <c r="N134" s="54">
        <v>29</v>
      </c>
      <c r="O134" s="54">
        <v>20</v>
      </c>
      <c r="P134" s="54">
        <v>25</v>
      </c>
      <c r="Q134" s="54">
        <v>35</v>
      </c>
      <c r="R134" s="54">
        <v>12</v>
      </c>
      <c r="S134" s="54">
        <v>28</v>
      </c>
      <c r="T134" s="54">
        <v>27</v>
      </c>
      <c r="U134" s="54">
        <v>30</v>
      </c>
      <c r="V134" s="54">
        <v>28</v>
      </c>
      <c r="W134" s="54">
        <v>27</v>
      </c>
      <c r="X134" s="54">
        <v>18</v>
      </c>
      <c r="Y134" s="54">
        <v>25</v>
      </c>
      <c r="Z134" s="54">
        <v>19</v>
      </c>
      <c r="AA134" s="54">
        <v>26</v>
      </c>
      <c r="AB134" s="54">
        <v>19</v>
      </c>
      <c r="AC134" s="54">
        <v>15</v>
      </c>
      <c r="AD134" s="54">
        <v>17</v>
      </c>
      <c r="AE134" s="54">
        <v>17</v>
      </c>
      <c r="AF134" s="54">
        <v>25</v>
      </c>
      <c r="AG134" s="54">
        <v>1</v>
      </c>
      <c r="AH134" s="54">
        <v>4</v>
      </c>
      <c r="AI134" s="54">
        <v>0</v>
      </c>
      <c r="AJ134" s="54">
        <v>0</v>
      </c>
      <c r="AK134" s="55">
        <f t="shared" si="22"/>
        <v>51.9</v>
      </c>
      <c r="AL134" s="15">
        <f t="shared" si="23"/>
        <v>48.1</v>
      </c>
    </row>
    <row r="135" spans="1:38" ht="16.5" customHeight="1" x14ac:dyDescent="0.25">
      <c r="A135" s="14" t="s">
        <v>114</v>
      </c>
      <c r="B135" s="52">
        <f t="shared" si="21"/>
        <v>75</v>
      </c>
      <c r="C135" s="52">
        <f t="shared" si="35"/>
        <v>35</v>
      </c>
      <c r="D135" s="52">
        <f t="shared" si="36"/>
        <v>40</v>
      </c>
      <c r="E135" s="54">
        <v>0</v>
      </c>
      <c r="F135" s="54">
        <v>0</v>
      </c>
      <c r="G135" s="54">
        <v>0</v>
      </c>
      <c r="H135" s="54">
        <v>0</v>
      </c>
      <c r="I135" s="54">
        <v>5</v>
      </c>
      <c r="J135" s="54">
        <v>8</v>
      </c>
      <c r="K135" s="54">
        <v>3</v>
      </c>
      <c r="L135" s="54">
        <v>4</v>
      </c>
      <c r="M135" s="54">
        <v>6</v>
      </c>
      <c r="N135" s="54">
        <v>4</v>
      </c>
      <c r="O135" s="54">
        <v>4</v>
      </c>
      <c r="P135" s="54">
        <v>1</v>
      </c>
      <c r="Q135" s="54">
        <v>2</v>
      </c>
      <c r="R135" s="54">
        <v>7</v>
      </c>
      <c r="S135" s="54">
        <v>2</v>
      </c>
      <c r="T135" s="54">
        <v>2</v>
      </c>
      <c r="U135" s="54">
        <v>1</v>
      </c>
      <c r="V135" s="54">
        <v>0</v>
      </c>
      <c r="W135" s="54">
        <v>6</v>
      </c>
      <c r="X135" s="54">
        <v>2</v>
      </c>
      <c r="Y135" s="54">
        <v>1</v>
      </c>
      <c r="Z135" s="54">
        <v>1</v>
      </c>
      <c r="AA135" s="54">
        <v>1</v>
      </c>
      <c r="AB135" s="54">
        <v>2</v>
      </c>
      <c r="AC135" s="54">
        <v>2</v>
      </c>
      <c r="AD135" s="54">
        <v>6</v>
      </c>
      <c r="AE135" s="54">
        <v>2</v>
      </c>
      <c r="AF135" s="54">
        <v>3</v>
      </c>
      <c r="AG135" s="54">
        <v>0</v>
      </c>
      <c r="AH135" s="54">
        <v>0</v>
      </c>
      <c r="AI135" s="54">
        <v>0</v>
      </c>
      <c r="AJ135" s="54">
        <v>0</v>
      </c>
      <c r="AK135" s="55">
        <f t="shared" si="22"/>
        <v>46.7</v>
      </c>
      <c r="AL135" s="15">
        <f t="shared" si="23"/>
        <v>53.3</v>
      </c>
    </row>
    <row r="136" spans="1:38" ht="16.5" customHeight="1" x14ac:dyDescent="0.25">
      <c r="A136" s="14" t="s">
        <v>115</v>
      </c>
      <c r="B136" s="52">
        <f t="shared" si="21"/>
        <v>242</v>
      </c>
      <c r="C136" s="52">
        <f t="shared" si="35"/>
        <v>114</v>
      </c>
      <c r="D136" s="52">
        <f t="shared" si="36"/>
        <v>128</v>
      </c>
      <c r="E136" s="54">
        <v>0</v>
      </c>
      <c r="F136" s="54">
        <v>0</v>
      </c>
      <c r="G136" s="54">
        <v>0</v>
      </c>
      <c r="H136" s="54">
        <v>0</v>
      </c>
      <c r="I136" s="54">
        <v>4</v>
      </c>
      <c r="J136" s="54">
        <v>9</v>
      </c>
      <c r="K136" s="54">
        <v>15</v>
      </c>
      <c r="L136" s="54">
        <v>13</v>
      </c>
      <c r="M136" s="54">
        <v>13</v>
      </c>
      <c r="N136" s="54">
        <v>18</v>
      </c>
      <c r="O136" s="54">
        <v>15</v>
      </c>
      <c r="P136" s="54">
        <v>10</v>
      </c>
      <c r="Q136" s="54">
        <v>8</v>
      </c>
      <c r="R136" s="54">
        <v>15</v>
      </c>
      <c r="S136" s="54">
        <v>17</v>
      </c>
      <c r="T136" s="54">
        <v>9</v>
      </c>
      <c r="U136" s="54">
        <v>12</v>
      </c>
      <c r="V136" s="54">
        <v>13</v>
      </c>
      <c r="W136" s="54">
        <v>3</v>
      </c>
      <c r="X136" s="54">
        <v>8</v>
      </c>
      <c r="Y136" s="54">
        <v>12</v>
      </c>
      <c r="Z136" s="54">
        <v>9</v>
      </c>
      <c r="AA136" s="54">
        <v>4</v>
      </c>
      <c r="AB136" s="54">
        <v>10</v>
      </c>
      <c r="AC136" s="54">
        <v>7</v>
      </c>
      <c r="AD136" s="54">
        <v>9</v>
      </c>
      <c r="AE136" s="54">
        <v>4</v>
      </c>
      <c r="AF136" s="54">
        <v>5</v>
      </c>
      <c r="AG136" s="54">
        <v>0</v>
      </c>
      <c r="AH136" s="54">
        <v>0</v>
      </c>
      <c r="AI136" s="54">
        <v>0</v>
      </c>
      <c r="AJ136" s="54">
        <v>0</v>
      </c>
      <c r="AK136" s="55">
        <f t="shared" si="22"/>
        <v>47.1</v>
      </c>
      <c r="AL136" s="15">
        <f t="shared" si="23"/>
        <v>52.9</v>
      </c>
    </row>
    <row r="137" spans="1:38" s="18" customFormat="1" ht="16.5" customHeight="1" thickBot="1" x14ac:dyDescent="0.25">
      <c r="A137" s="16" t="s">
        <v>11</v>
      </c>
      <c r="B137" s="56">
        <f t="shared" si="21"/>
        <v>395</v>
      </c>
      <c r="C137" s="56">
        <f t="shared" ref="C137:AJ137" si="37">SUM(C138:C141)</f>
        <v>199</v>
      </c>
      <c r="D137" s="56">
        <f t="shared" si="37"/>
        <v>196</v>
      </c>
      <c r="E137" s="60">
        <f t="shared" si="37"/>
        <v>0</v>
      </c>
      <c r="F137" s="60">
        <f t="shared" si="37"/>
        <v>0</v>
      </c>
      <c r="G137" s="60">
        <f t="shared" si="37"/>
        <v>0</v>
      </c>
      <c r="H137" s="60">
        <f t="shared" si="37"/>
        <v>0</v>
      </c>
      <c r="I137" s="60">
        <f t="shared" si="37"/>
        <v>20</v>
      </c>
      <c r="J137" s="60">
        <f t="shared" si="37"/>
        <v>23</v>
      </c>
      <c r="K137" s="60">
        <f t="shared" si="37"/>
        <v>18</v>
      </c>
      <c r="L137" s="60">
        <f t="shared" si="37"/>
        <v>23</v>
      </c>
      <c r="M137" s="60">
        <f t="shared" si="37"/>
        <v>19</v>
      </c>
      <c r="N137" s="60">
        <f t="shared" si="37"/>
        <v>17</v>
      </c>
      <c r="O137" s="60">
        <f t="shared" si="37"/>
        <v>24</v>
      </c>
      <c r="P137" s="60">
        <f t="shared" si="37"/>
        <v>10</v>
      </c>
      <c r="Q137" s="60">
        <f t="shared" si="37"/>
        <v>16</v>
      </c>
      <c r="R137" s="60">
        <f t="shared" si="37"/>
        <v>16</v>
      </c>
      <c r="S137" s="60">
        <f t="shared" si="37"/>
        <v>17</v>
      </c>
      <c r="T137" s="60">
        <f t="shared" si="37"/>
        <v>24</v>
      </c>
      <c r="U137" s="60">
        <f t="shared" si="37"/>
        <v>10</v>
      </c>
      <c r="V137" s="60">
        <f t="shared" si="37"/>
        <v>20</v>
      </c>
      <c r="W137" s="60">
        <f t="shared" si="37"/>
        <v>13</v>
      </c>
      <c r="X137" s="60">
        <f t="shared" si="37"/>
        <v>10</v>
      </c>
      <c r="Y137" s="60">
        <f t="shared" si="37"/>
        <v>22</v>
      </c>
      <c r="Z137" s="60">
        <f t="shared" si="37"/>
        <v>18</v>
      </c>
      <c r="AA137" s="60">
        <f t="shared" si="37"/>
        <v>15</v>
      </c>
      <c r="AB137" s="60">
        <f t="shared" si="37"/>
        <v>12</v>
      </c>
      <c r="AC137" s="60">
        <f t="shared" si="37"/>
        <v>12</v>
      </c>
      <c r="AD137" s="60">
        <f t="shared" si="37"/>
        <v>10</v>
      </c>
      <c r="AE137" s="60">
        <f t="shared" si="37"/>
        <v>10</v>
      </c>
      <c r="AF137" s="60">
        <f t="shared" si="37"/>
        <v>10</v>
      </c>
      <c r="AG137" s="60">
        <f t="shared" si="37"/>
        <v>3</v>
      </c>
      <c r="AH137" s="60">
        <f t="shared" si="37"/>
        <v>3</v>
      </c>
      <c r="AI137" s="60">
        <f t="shared" si="37"/>
        <v>0</v>
      </c>
      <c r="AJ137" s="60">
        <f t="shared" si="37"/>
        <v>0</v>
      </c>
      <c r="AK137" s="60">
        <f t="shared" si="22"/>
        <v>50.4</v>
      </c>
      <c r="AL137" s="21">
        <f t="shared" si="23"/>
        <v>49.6</v>
      </c>
    </row>
    <row r="138" spans="1:38" ht="16.5" customHeight="1" x14ac:dyDescent="0.25">
      <c r="A138" s="14" t="s">
        <v>117</v>
      </c>
      <c r="B138" s="52">
        <f t="shared" ref="B138:B163" si="38">SUM(C138:D138)</f>
        <v>125</v>
      </c>
      <c r="C138" s="52">
        <f t="shared" ref="C138:D141" si="39">E138+G138+I138+K138+M138+O138+Q138+S138+U138+W138+Y138+AA138+AC138+AE138+AG138+AI138</f>
        <v>69</v>
      </c>
      <c r="D138" s="52">
        <f t="shared" si="39"/>
        <v>56</v>
      </c>
      <c r="E138" s="54">
        <v>0</v>
      </c>
      <c r="F138" s="54">
        <v>0</v>
      </c>
      <c r="G138" s="54">
        <v>0</v>
      </c>
      <c r="H138" s="54">
        <v>0</v>
      </c>
      <c r="I138" s="54">
        <v>9</v>
      </c>
      <c r="J138" s="54">
        <v>7</v>
      </c>
      <c r="K138" s="54">
        <v>8</v>
      </c>
      <c r="L138" s="54">
        <v>6</v>
      </c>
      <c r="M138" s="54">
        <v>6</v>
      </c>
      <c r="N138" s="54">
        <v>5</v>
      </c>
      <c r="O138" s="54">
        <v>9</v>
      </c>
      <c r="P138" s="54">
        <v>3</v>
      </c>
      <c r="Q138" s="54">
        <v>6</v>
      </c>
      <c r="R138" s="54">
        <v>3</v>
      </c>
      <c r="S138" s="54">
        <v>6</v>
      </c>
      <c r="T138" s="54">
        <v>9</v>
      </c>
      <c r="U138" s="54">
        <v>4</v>
      </c>
      <c r="V138" s="54">
        <v>6</v>
      </c>
      <c r="W138" s="54">
        <v>5</v>
      </c>
      <c r="X138" s="54">
        <v>6</v>
      </c>
      <c r="Y138" s="54">
        <v>7</v>
      </c>
      <c r="Z138" s="54">
        <v>5</v>
      </c>
      <c r="AA138" s="54">
        <v>4</v>
      </c>
      <c r="AB138" s="54">
        <v>2</v>
      </c>
      <c r="AC138" s="54">
        <v>3</v>
      </c>
      <c r="AD138" s="54">
        <v>2</v>
      </c>
      <c r="AE138" s="54">
        <v>2</v>
      </c>
      <c r="AF138" s="54">
        <v>2</v>
      </c>
      <c r="AG138" s="54">
        <v>0</v>
      </c>
      <c r="AH138" s="54">
        <v>0</v>
      </c>
      <c r="AI138" s="54">
        <v>0</v>
      </c>
      <c r="AJ138" s="54">
        <v>0</v>
      </c>
      <c r="AK138" s="55">
        <f t="shared" ref="AK138:AK201" si="40">ROUND(C138/SUM(E138:AJ138)*100,1)</f>
        <v>55.2</v>
      </c>
      <c r="AL138" s="15">
        <f t="shared" ref="AL138:AL201" si="41">ROUND(D138/SUM(E138:AJ138)*100,1)</f>
        <v>44.8</v>
      </c>
    </row>
    <row r="139" spans="1:38" ht="16.5" customHeight="1" x14ac:dyDescent="0.25">
      <c r="A139" s="14" t="s">
        <v>116</v>
      </c>
      <c r="B139" s="52">
        <f t="shared" si="38"/>
        <v>58</v>
      </c>
      <c r="C139" s="52">
        <f t="shared" si="39"/>
        <v>32</v>
      </c>
      <c r="D139" s="52">
        <f t="shared" si="39"/>
        <v>26</v>
      </c>
      <c r="E139" s="54">
        <v>0</v>
      </c>
      <c r="F139" s="54">
        <v>0</v>
      </c>
      <c r="G139" s="54">
        <v>0</v>
      </c>
      <c r="H139" s="54">
        <v>0</v>
      </c>
      <c r="I139" s="54">
        <v>1</v>
      </c>
      <c r="J139" s="54">
        <v>4</v>
      </c>
      <c r="K139" s="54">
        <v>3</v>
      </c>
      <c r="L139" s="54">
        <v>3</v>
      </c>
      <c r="M139" s="54">
        <v>7</v>
      </c>
      <c r="N139" s="54">
        <v>0</v>
      </c>
      <c r="O139" s="54">
        <v>3</v>
      </c>
      <c r="P139" s="54">
        <v>1</v>
      </c>
      <c r="Q139" s="54">
        <v>5</v>
      </c>
      <c r="R139" s="54">
        <v>3</v>
      </c>
      <c r="S139" s="54">
        <v>2</v>
      </c>
      <c r="T139" s="54">
        <v>6</v>
      </c>
      <c r="U139" s="54">
        <v>2</v>
      </c>
      <c r="V139" s="54">
        <v>1</v>
      </c>
      <c r="W139" s="54">
        <v>3</v>
      </c>
      <c r="X139" s="54">
        <v>1</v>
      </c>
      <c r="Y139" s="54">
        <v>1</v>
      </c>
      <c r="Z139" s="54">
        <v>3</v>
      </c>
      <c r="AA139" s="54">
        <v>1</v>
      </c>
      <c r="AB139" s="54">
        <v>1</v>
      </c>
      <c r="AC139" s="54">
        <v>2</v>
      </c>
      <c r="AD139" s="54">
        <v>3</v>
      </c>
      <c r="AE139" s="54">
        <v>2</v>
      </c>
      <c r="AF139" s="54">
        <v>0</v>
      </c>
      <c r="AG139" s="54">
        <v>0</v>
      </c>
      <c r="AH139" s="54">
        <v>0</v>
      </c>
      <c r="AI139" s="54">
        <v>0</v>
      </c>
      <c r="AJ139" s="54">
        <v>0</v>
      </c>
      <c r="AK139" s="55">
        <f t="shared" si="40"/>
        <v>55.2</v>
      </c>
      <c r="AL139" s="15">
        <f t="shared" si="41"/>
        <v>44.8</v>
      </c>
    </row>
    <row r="140" spans="1:38" ht="16.5" customHeight="1" x14ac:dyDescent="0.25">
      <c r="A140" s="14" t="s">
        <v>118</v>
      </c>
      <c r="B140" s="52">
        <f t="shared" si="38"/>
        <v>211</v>
      </c>
      <c r="C140" s="52">
        <f t="shared" si="39"/>
        <v>98</v>
      </c>
      <c r="D140" s="52">
        <f t="shared" si="39"/>
        <v>113</v>
      </c>
      <c r="E140" s="54">
        <v>0</v>
      </c>
      <c r="F140" s="54">
        <v>0</v>
      </c>
      <c r="G140" s="54">
        <v>0</v>
      </c>
      <c r="H140" s="54">
        <v>0</v>
      </c>
      <c r="I140" s="54">
        <v>10</v>
      </c>
      <c r="J140" s="54">
        <v>12</v>
      </c>
      <c r="K140" s="54">
        <v>7</v>
      </c>
      <c r="L140" s="54">
        <v>14</v>
      </c>
      <c r="M140" s="54">
        <v>6</v>
      </c>
      <c r="N140" s="54">
        <v>11</v>
      </c>
      <c r="O140" s="54">
        <v>12</v>
      </c>
      <c r="P140" s="54">
        <v>6</v>
      </c>
      <c r="Q140" s="54">
        <v>5</v>
      </c>
      <c r="R140" s="54">
        <v>10</v>
      </c>
      <c r="S140" s="54">
        <v>9</v>
      </c>
      <c r="T140" s="54">
        <v>9</v>
      </c>
      <c r="U140" s="54">
        <v>4</v>
      </c>
      <c r="V140" s="54">
        <v>13</v>
      </c>
      <c r="W140" s="54">
        <v>5</v>
      </c>
      <c r="X140" s="54">
        <v>3</v>
      </c>
      <c r="Y140" s="54">
        <v>14</v>
      </c>
      <c r="Z140" s="54">
        <v>10</v>
      </c>
      <c r="AA140" s="54">
        <v>10</v>
      </c>
      <c r="AB140" s="54">
        <v>9</v>
      </c>
      <c r="AC140" s="54">
        <v>7</v>
      </c>
      <c r="AD140" s="54">
        <v>5</v>
      </c>
      <c r="AE140" s="54">
        <v>6</v>
      </c>
      <c r="AF140" s="54">
        <v>8</v>
      </c>
      <c r="AG140" s="54">
        <v>3</v>
      </c>
      <c r="AH140" s="54">
        <v>3</v>
      </c>
      <c r="AI140" s="54">
        <v>0</v>
      </c>
      <c r="AJ140" s="54">
        <v>0</v>
      </c>
      <c r="AK140" s="55">
        <f t="shared" si="40"/>
        <v>46.4</v>
      </c>
      <c r="AL140" s="15">
        <f t="shared" si="41"/>
        <v>53.6</v>
      </c>
    </row>
    <row r="141" spans="1:38" ht="16.5" customHeight="1" x14ac:dyDescent="0.25">
      <c r="A141" s="14" t="s">
        <v>149</v>
      </c>
      <c r="B141" s="52">
        <f t="shared" si="38"/>
        <v>1</v>
      </c>
      <c r="C141" s="52">
        <f t="shared" si="39"/>
        <v>0</v>
      </c>
      <c r="D141" s="52">
        <f t="shared" si="39"/>
        <v>1</v>
      </c>
      <c r="E141" s="54">
        <v>0</v>
      </c>
      <c r="F141" s="54">
        <v>0</v>
      </c>
      <c r="G141" s="54">
        <v>0</v>
      </c>
      <c r="H141" s="54">
        <v>0</v>
      </c>
      <c r="I141" s="54">
        <v>0</v>
      </c>
      <c r="J141" s="54">
        <v>0</v>
      </c>
      <c r="K141" s="54">
        <v>0</v>
      </c>
      <c r="L141" s="54">
        <v>0</v>
      </c>
      <c r="M141" s="54">
        <v>0</v>
      </c>
      <c r="N141" s="54">
        <v>1</v>
      </c>
      <c r="O141" s="54">
        <v>0</v>
      </c>
      <c r="P141" s="54">
        <v>0</v>
      </c>
      <c r="Q141" s="54">
        <v>0</v>
      </c>
      <c r="R141" s="54">
        <v>0</v>
      </c>
      <c r="S141" s="54">
        <v>0</v>
      </c>
      <c r="T141" s="54">
        <v>0</v>
      </c>
      <c r="U141" s="54">
        <v>0</v>
      </c>
      <c r="V141" s="54">
        <v>0</v>
      </c>
      <c r="W141" s="54">
        <v>0</v>
      </c>
      <c r="X141" s="54">
        <v>0</v>
      </c>
      <c r="Y141" s="54">
        <v>0</v>
      </c>
      <c r="Z141" s="54">
        <v>0</v>
      </c>
      <c r="AA141" s="54">
        <v>0</v>
      </c>
      <c r="AB141" s="54">
        <v>0</v>
      </c>
      <c r="AC141" s="54">
        <v>0</v>
      </c>
      <c r="AD141" s="54">
        <v>0</v>
      </c>
      <c r="AE141" s="54">
        <v>0</v>
      </c>
      <c r="AF141" s="54">
        <v>0</v>
      </c>
      <c r="AG141" s="54">
        <v>0</v>
      </c>
      <c r="AH141" s="54">
        <v>0</v>
      </c>
      <c r="AI141" s="54">
        <v>0</v>
      </c>
      <c r="AJ141" s="54">
        <v>0</v>
      </c>
      <c r="AK141" s="55">
        <f t="shared" si="40"/>
        <v>0</v>
      </c>
      <c r="AL141" s="15">
        <f t="shared" si="41"/>
        <v>100</v>
      </c>
    </row>
    <row r="142" spans="1:38" s="18" customFormat="1" ht="16.5" customHeight="1" thickBot="1" x14ac:dyDescent="0.25">
      <c r="A142" s="16" t="s">
        <v>12</v>
      </c>
      <c r="B142" s="53">
        <f t="shared" si="38"/>
        <v>1235</v>
      </c>
      <c r="C142" s="53">
        <f t="shared" ref="C142:AJ142" si="42">SUM(C143:C150)</f>
        <v>643</v>
      </c>
      <c r="D142" s="53">
        <f t="shared" si="42"/>
        <v>592</v>
      </c>
      <c r="E142" s="59">
        <f t="shared" si="42"/>
        <v>0</v>
      </c>
      <c r="F142" s="59">
        <f t="shared" si="42"/>
        <v>0</v>
      </c>
      <c r="G142" s="59">
        <f t="shared" si="42"/>
        <v>0</v>
      </c>
      <c r="H142" s="59">
        <f t="shared" si="42"/>
        <v>0</v>
      </c>
      <c r="I142" s="59">
        <f t="shared" si="42"/>
        <v>49</v>
      </c>
      <c r="J142" s="59">
        <f t="shared" si="42"/>
        <v>28</v>
      </c>
      <c r="K142" s="59">
        <f t="shared" si="42"/>
        <v>67</v>
      </c>
      <c r="L142" s="59">
        <f t="shared" si="42"/>
        <v>49</v>
      </c>
      <c r="M142" s="59">
        <f t="shared" si="42"/>
        <v>49</v>
      </c>
      <c r="N142" s="59">
        <f t="shared" si="42"/>
        <v>50</v>
      </c>
      <c r="O142" s="59">
        <f t="shared" si="42"/>
        <v>55</v>
      </c>
      <c r="P142" s="59">
        <f t="shared" si="42"/>
        <v>56</v>
      </c>
      <c r="Q142" s="59">
        <f t="shared" si="42"/>
        <v>54</v>
      </c>
      <c r="R142" s="59">
        <f t="shared" si="42"/>
        <v>47</v>
      </c>
      <c r="S142" s="59">
        <f t="shared" si="42"/>
        <v>53</v>
      </c>
      <c r="T142" s="59">
        <f t="shared" si="42"/>
        <v>45</v>
      </c>
      <c r="U142" s="59">
        <f t="shared" si="42"/>
        <v>60</v>
      </c>
      <c r="V142" s="59">
        <f t="shared" si="42"/>
        <v>53</v>
      </c>
      <c r="W142" s="59">
        <f t="shared" si="42"/>
        <v>50</v>
      </c>
      <c r="X142" s="59">
        <f t="shared" si="42"/>
        <v>59</v>
      </c>
      <c r="Y142" s="59">
        <f t="shared" si="42"/>
        <v>66</v>
      </c>
      <c r="Z142" s="59">
        <f t="shared" si="42"/>
        <v>43</v>
      </c>
      <c r="AA142" s="59">
        <f t="shared" si="42"/>
        <v>45</v>
      </c>
      <c r="AB142" s="59">
        <f t="shared" si="42"/>
        <v>49</v>
      </c>
      <c r="AC142" s="59">
        <f t="shared" si="42"/>
        <v>41</v>
      </c>
      <c r="AD142" s="59">
        <f t="shared" si="42"/>
        <v>54</v>
      </c>
      <c r="AE142" s="59">
        <f t="shared" si="42"/>
        <v>36</v>
      </c>
      <c r="AF142" s="59">
        <f t="shared" si="42"/>
        <v>43</v>
      </c>
      <c r="AG142" s="59">
        <f t="shared" si="42"/>
        <v>11</v>
      </c>
      <c r="AH142" s="59">
        <f t="shared" si="42"/>
        <v>8</v>
      </c>
      <c r="AI142" s="59">
        <f t="shared" si="42"/>
        <v>7</v>
      </c>
      <c r="AJ142" s="59">
        <f t="shared" si="42"/>
        <v>8</v>
      </c>
      <c r="AK142" s="59">
        <f t="shared" si="40"/>
        <v>52.1</v>
      </c>
      <c r="AL142" s="17">
        <f t="shared" si="41"/>
        <v>47.9</v>
      </c>
    </row>
    <row r="143" spans="1:38" ht="16.5" customHeight="1" x14ac:dyDescent="0.25">
      <c r="A143" s="14" t="s">
        <v>121</v>
      </c>
      <c r="B143" s="52">
        <f t="shared" si="38"/>
        <v>277</v>
      </c>
      <c r="C143" s="52">
        <f t="shared" ref="C143:D150" si="43">E143+G143+I143+K143+M143+O143+Q143+S143+U143+W143+Y143+AA143+AC143+AE143+AG143+AI143</f>
        <v>136</v>
      </c>
      <c r="D143" s="52">
        <f t="shared" si="43"/>
        <v>141</v>
      </c>
      <c r="E143" s="54">
        <v>0</v>
      </c>
      <c r="F143" s="54">
        <v>0</v>
      </c>
      <c r="G143" s="54">
        <v>0</v>
      </c>
      <c r="H143" s="54">
        <v>0</v>
      </c>
      <c r="I143" s="54">
        <v>6</v>
      </c>
      <c r="J143" s="54">
        <v>9</v>
      </c>
      <c r="K143" s="54">
        <v>22</v>
      </c>
      <c r="L143" s="54">
        <v>8</v>
      </c>
      <c r="M143" s="54">
        <v>9</v>
      </c>
      <c r="N143" s="54">
        <v>11</v>
      </c>
      <c r="O143" s="54">
        <v>12</v>
      </c>
      <c r="P143" s="54">
        <v>15</v>
      </c>
      <c r="Q143" s="54">
        <v>5</v>
      </c>
      <c r="R143" s="54">
        <v>13</v>
      </c>
      <c r="S143" s="54">
        <v>9</v>
      </c>
      <c r="T143" s="54">
        <v>13</v>
      </c>
      <c r="U143" s="54">
        <v>8</v>
      </c>
      <c r="V143" s="54">
        <v>15</v>
      </c>
      <c r="W143" s="54">
        <v>14</v>
      </c>
      <c r="X143" s="54">
        <v>12</v>
      </c>
      <c r="Y143" s="54">
        <v>15</v>
      </c>
      <c r="Z143" s="54">
        <v>13</v>
      </c>
      <c r="AA143" s="54">
        <v>10</v>
      </c>
      <c r="AB143" s="54">
        <v>6</v>
      </c>
      <c r="AC143" s="54">
        <v>8</v>
      </c>
      <c r="AD143" s="54">
        <v>12</v>
      </c>
      <c r="AE143" s="54">
        <v>3</v>
      </c>
      <c r="AF143" s="54">
        <v>8</v>
      </c>
      <c r="AG143" s="54">
        <v>8</v>
      </c>
      <c r="AH143" s="54">
        <v>3</v>
      </c>
      <c r="AI143" s="54">
        <v>7</v>
      </c>
      <c r="AJ143" s="54">
        <v>3</v>
      </c>
      <c r="AK143" s="55">
        <f t="shared" si="40"/>
        <v>49.1</v>
      </c>
      <c r="AL143" s="15">
        <f t="shared" si="41"/>
        <v>50.9</v>
      </c>
    </row>
    <row r="144" spans="1:38" ht="16.5" customHeight="1" x14ac:dyDescent="0.25">
      <c r="A144" s="14" t="s">
        <v>119</v>
      </c>
      <c r="B144" s="52">
        <f t="shared" si="38"/>
        <v>202</v>
      </c>
      <c r="C144" s="52">
        <f t="shared" si="43"/>
        <v>104</v>
      </c>
      <c r="D144" s="52">
        <f t="shared" si="43"/>
        <v>98</v>
      </c>
      <c r="E144" s="54">
        <v>0</v>
      </c>
      <c r="F144" s="54">
        <v>0</v>
      </c>
      <c r="G144" s="54">
        <v>0</v>
      </c>
      <c r="H144" s="54">
        <v>0</v>
      </c>
      <c r="I144" s="54">
        <v>8</v>
      </c>
      <c r="J144" s="54">
        <v>4</v>
      </c>
      <c r="K144" s="54">
        <v>11</v>
      </c>
      <c r="L144" s="54">
        <v>10</v>
      </c>
      <c r="M144" s="54">
        <v>6</v>
      </c>
      <c r="N144" s="54">
        <v>11</v>
      </c>
      <c r="O144" s="54">
        <v>13</v>
      </c>
      <c r="P144" s="54">
        <v>10</v>
      </c>
      <c r="Q144" s="54">
        <v>8</v>
      </c>
      <c r="R144" s="54">
        <v>5</v>
      </c>
      <c r="S144" s="54">
        <v>6</v>
      </c>
      <c r="T144" s="54">
        <v>9</v>
      </c>
      <c r="U144" s="54">
        <v>8</v>
      </c>
      <c r="V144" s="54">
        <v>7</v>
      </c>
      <c r="W144" s="54">
        <v>6</v>
      </c>
      <c r="X144" s="54">
        <v>7</v>
      </c>
      <c r="Y144" s="54">
        <v>13</v>
      </c>
      <c r="Z144" s="54">
        <v>10</v>
      </c>
      <c r="AA144" s="54">
        <v>8</v>
      </c>
      <c r="AB144" s="54">
        <v>11</v>
      </c>
      <c r="AC144" s="54">
        <v>9</v>
      </c>
      <c r="AD144" s="54">
        <v>6</v>
      </c>
      <c r="AE144" s="54">
        <v>8</v>
      </c>
      <c r="AF144" s="54">
        <v>8</v>
      </c>
      <c r="AG144" s="54">
        <v>0</v>
      </c>
      <c r="AH144" s="54">
        <v>0</v>
      </c>
      <c r="AI144" s="54">
        <v>0</v>
      </c>
      <c r="AJ144" s="54">
        <v>0</v>
      </c>
      <c r="AK144" s="55">
        <f t="shared" si="40"/>
        <v>51.5</v>
      </c>
      <c r="AL144" s="15">
        <f t="shared" si="41"/>
        <v>48.5</v>
      </c>
    </row>
    <row r="145" spans="1:38" ht="16.5" customHeight="1" x14ac:dyDescent="0.25">
      <c r="A145" s="14" t="s">
        <v>182</v>
      </c>
      <c r="B145" s="52">
        <f t="shared" si="38"/>
        <v>59</v>
      </c>
      <c r="C145" s="52">
        <f t="shared" si="43"/>
        <v>37</v>
      </c>
      <c r="D145" s="52">
        <f t="shared" si="43"/>
        <v>22</v>
      </c>
      <c r="E145" s="54">
        <v>0</v>
      </c>
      <c r="F145" s="54">
        <v>0</v>
      </c>
      <c r="G145" s="54">
        <v>0</v>
      </c>
      <c r="H145" s="54">
        <v>0</v>
      </c>
      <c r="I145" s="54">
        <v>3</v>
      </c>
      <c r="J145" s="54">
        <v>0</v>
      </c>
      <c r="K145" s="54">
        <v>1</v>
      </c>
      <c r="L145" s="54">
        <v>2</v>
      </c>
      <c r="M145" s="54">
        <v>5</v>
      </c>
      <c r="N145" s="54">
        <v>1</v>
      </c>
      <c r="O145" s="54">
        <v>3</v>
      </c>
      <c r="P145" s="54">
        <v>3</v>
      </c>
      <c r="Q145" s="54">
        <v>1</v>
      </c>
      <c r="R145" s="54">
        <v>3</v>
      </c>
      <c r="S145" s="54">
        <v>3</v>
      </c>
      <c r="T145" s="54">
        <v>1</v>
      </c>
      <c r="U145" s="54">
        <v>5</v>
      </c>
      <c r="V145" s="54">
        <v>1</v>
      </c>
      <c r="W145" s="54">
        <v>3</v>
      </c>
      <c r="X145" s="54">
        <v>4</v>
      </c>
      <c r="Y145" s="54">
        <v>6</v>
      </c>
      <c r="Z145" s="54">
        <v>1</v>
      </c>
      <c r="AA145" s="54">
        <v>2</v>
      </c>
      <c r="AB145" s="54">
        <v>1</v>
      </c>
      <c r="AC145" s="54">
        <v>3</v>
      </c>
      <c r="AD145" s="54">
        <v>2</v>
      </c>
      <c r="AE145" s="54">
        <v>2</v>
      </c>
      <c r="AF145" s="54">
        <v>3</v>
      </c>
      <c r="AG145" s="54">
        <v>0</v>
      </c>
      <c r="AH145" s="54">
        <v>0</v>
      </c>
      <c r="AI145" s="54">
        <v>0</v>
      </c>
      <c r="AJ145" s="54">
        <v>0</v>
      </c>
      <c r="AK145" s="55">
        <f t="shared" si="40"/>
        <v>62.7</v>
      </c>
      <c r="AL145" s="15">
        <f t="shared" si="41"/>
        <v>37.299999999999997</v>
      </c>
    </row>
    <row r="146" spans="1:38" ht="16.5" customHeight="1" x14ac:dyDescent="0.25">
      <c r="A146" s="14" t="s">
        <v>122</v>
      </c>
      <c r="B146" s="52">
        <f t="shared" si="38"/>
        <v>330</v>
      </c>
      <c r="C146" s="52">
        <f t="shared" si="43"/>
        <v>168</v>
      </c>
      <c r="D146" s="52">
        <f t="shared" si="43"/>
        <v>162</v>
      </c>
      <c r="E146" s="54">
        <v>0</v>
      </c>
      <c r="F146" s="54">
        <v>0</v>
      </c>
      <c r="G146" s="54">
        <v>0</v>
      </c>
      <c r="H146" s="54">
        <v>0</v>
      </c>
      <c r="I146" s="54">
        <v>15</v>
      </c>
      <c r="J146" s="54">
        <v>7</v>
      </c>
      <c r="K146" s="54">
        <v>13</v>
      </c>
      <c r="L146" s="54">
        <v>12</v>
      </c>
      <c r="M146" s="54">
        <v>12</v>
      </c>
      <c r="N146" s="54">
        <v>12</v>
      </c>
      <c r="O146" s="54">
        <v>15</v>
      </c>
      <c r="P146" s="54">
        <v>10</v>
      </c>
      <c r="Q146" s="54">
        <v>15</v>
      </c>
      <c r="R146" s="54">
        <v>11</v>
      </c>
      <c r="S146" s="54">
        <v>18</v>
      </c>
      <c r="T146" s="54">
        <v>14</v>
      </c>
      <c r="U146" s="54">
        <v>14</v>
      </c>
      <c r="V146" s="54">
        <v>18</v>
      </c>
      <c r="W146" s="54">
        <v>12</v>
      </c>
      <c r="X146" s="54">
        <v>19</v>
      </c>
      <c r="Y146" s="54">
        <v>16</v>
      </c>
      <c r="Z146" s="54">
        <v>10</v>
      </c>
      <c r="AA146" s="54">
        <v>13</v>
      </c>
      <c r="AB146" s="54">
        <v>15</v>
      </c>
      <c r="AC146" s="54">
        <v>11</v>
      </c>
      <c r="AD146" s="54">
        <v>21</v>
      </c>
      <c r="AE146" s="54">
        <v>14</v>
      </c>
      <c r="AF146" s="54">
        <v>13</v>
      </c>
      <c r="AG146" s="54">
        <v>0</v>
      </c>
      <c r="AH146" s="54">
        <v>0</v>
      </c>
      <c r="AI146" s="54">
        <v>0</v>
      </c>
      <c r="AJ146" s="54">
        <v>0</v>
      </c>
      <c r="AK146" s="55">
        <f t="shared" si="40"/>
        <v>50.9</v>
      </c>
      <c r="AL146" s="15">
        <f t="shared" si="41"/>
        <v>49.1</v>
      </c>
    </row>
    <row r="147" spans="1:38" ht="16.5" customHeight="1" x14ac:dyDescent="0.25">
      <c r="A147" s="14" t="s">
        <v>120</v>
      </c>
      <c r="B147" s="52">
        <f t="shared" si="38"/>
        <v>242</v>
      </c>
      <c r="C147" s="52">
        <f t="shared" si="43"/>
        <v>123</v>
      </c>
      <c r="D147" s="52">
        <f t="shared" si="43"/>
        <v>119</v>
      </c>
      <c r="E147" s="54">
        <v>0</v>
      </c>
      <c r="F147" s="54">
        <v>0</v>
      </c>
      <c r="G147" s="54">
        <v>0</v>
      </c>
      <c r="H147" s="54">
        <v>0</v>
      </c>
      <c r="I147" s="54">
        <v>4</v>
      </c>
      <c r="J147" s="54">
        <v>2</v>
      </c>
      <c r="K147" s="54">
        <v>12</v>
      </c>
      <c r="L147" s="54">
        <v>10</v>
      </c>
      <c r="M147" s="54">
        <v>10</v>
      </c>
      <c r="N147" s="54">
        <v>8</v>
      </c>
      <c r="O147" s="54">
        <v>7</v>
      </c>
      <c r="P147" s="54">
        <v>10</v>
      </c>
      <c r="Q147" s="54">
        <v>10</v>
      </c>
      <c r="R147" s="54">
        <v>13</v>
      </c>
      <c r="S147" s="54">
        <v>8</v>
      </c>
      <c r="T147" s="54">
        <v>6</v>
      </c>
      <c r="U147" s="54">
        <v>12</v>
      </c>
      <c r="V147" s="54">
        <v>5</v>
      </c>
      <c r="W147" s="54">
        <v>10</v>
      </c>
      <c r="X147" s="54">
        <v>6</v>
      </c>
      <c r="Y147" s="54">
        <v>16</v>
      </c>
      <c r="Z147" s="54">
        <v>9</v>
      </c>
      <c r="AA147" s="54">
        <v>12</v>
      </c>
      <c r="AB147" s="54">
        <v>16</v>
      </c>
      <c r="AC147" s="54">
        <v>10</v>
      </c>
      <c r="AD147" s="54">
        <v>13</v>
      </c>
      <c r="AE147" s="54">
        <v>9</v>
      </c>
      <c r="AF147" s="54">
        <v>11</v>
      </c>
      <c r="AG147" s="54">
        <v>3</v>
      </c>
      <c r="AH147" s="54">
        <v>5</v>
      </c>
      <c r="AI147" s="54">
        <v>0</v>
      </c>
      <c r="AJ147" s="54">
        <v>5</v>
      </c>
      <c r="AK147" s="55">
        <f t="shared" si="40"/>
        <v>50.8</v>
      </c>
      <c r="AL147" s="15">
        <f t="shared" si="41"/>
        <v>49.2</v>
      </c>
    </row>
    <row r="148" spans="1:38" ht="16.5" customHeight="1" x14ac:dyDescent="0.25">
      <c r="A148" s="14" t="s">
        <v>123</v>
      </c>
      <c r="B148" s="52">
        <f t="shared" si="38"/>
        <v>69</v>
      </c>
      <c r="C148" s="52">
        <f t="shared" si="43"/>
        <v>38</v>
      </c>
      <c r="D148" s="52">
        <f t="shared" si="43"/>
        <v>31</v>
      </c>
      <c r="E148" s="54">
        <v>0</v>
      </c>
      <c r="F148" s="54">
        <v>0</v>
      </c>
      <c r="G148" s="54">
        <v>0</v>
      </c>
      <c r="H148" s="54">
        <v>0</v>
      </c>
      <c r="I148" s="54">
        <v>8</v>
      </c>
      <c r="J148" s="54">
        <v>5</v>
      </c>
      <c r="K148" s="54">
        <v>4</v>
      </c>
      <c r="L148" s="54">
        <v>4</v>
      </c>
      <c r="M148" s="54">
        <v>5</v>
      </c>
      <c r="N148" s="54">
        <v>4</v>
      </c>
      <c r="O148" s="54">
        <v>1</v>
      </c>
      <c r="P148" s="54">
        <v>5</v>
      </c>
      <c r="Q148" s="54">
        <v>8</v>
      </c>
      <c r="R148" s="54">
        <v>1</v>
      </c>
      <c r="S148" s="54">
        <v>4</v>
      </c>
      <c r="T148" s="54">
        <v>2</v>
      </c>
      <c r="U148" s="54">
        <v>7</v>
      </c>
      <c r="V148" s="54">
        <v>4</v>
      </c>
      <c r="W148" s="54">
        <v>1</v>
      </c>
      <c r="X148" s="54">
        <v>6</v>
      </c>
      <c r="Y148" s="54">
        <v>0</v>
      </c>
      <c r="Z148" s="54">
        <v>0</v>
      </c>
      <c r="AA148" s="54">
        <v>0</v>
      </c>
      <c r="AB148" s="54">
        <v>0</v>
      </c>
      <c r="AC148" s="54">
        <v>0</v>
      </c>
      <c r="AD148" s="54">
        <v>0</v>
      </c>
      <c r="AE148" s="54">
        <v>0</v>
      </c>
      <c r="AF148" s="54">
        <v>0</v>
      </c>
      <c r="AG148" s="54">
        <v>0</v>
      </c>
      <c r="AH148" s="54">
        <v>0</v>
      </c>
      <c r="AI148" s="54">
        <v>0</v>
      </c>
      <c r="AJ148" s="54">
        <v>0</v>
      </c>
      <c r="AK148" s="55">
        <f t="shared" si="40"/>
        <v>55.1</v>
      </c>
      <c r="AL148" s="15">
        <f t="shared" si="41"/>
        <v>44.9</v>
      </c>
    </row>
    <row r="149" spans="1:38" ht="16.5" customHeight="1" x14ac:dyDescent="0.25">
      <c r="A149" s="14" t="s">
        <v>124</v>
      </c>
      <c r="B149" s="52">
        <f t="shared" si="38"/>
        <v>11</v>
      </c>
      <c r="C149" s="52">
        <f t="shared" si="43"/>
        <v>7</v>
      </c>
      <c r="D149" s="52">
        <f t="shared" si="43"/>
        <v>4</v>
      </c>
      <c r="E149" s="54">
        <v>0</v>
      </c>
      <c r="F149" s="54">
        <v>0</v>
      </c>
      <c r="G149" s="54">
        <v>0</v>
      </c>
      <c r="H149" s="54">
        <v>0</v>
      </c>
      <c r="I149" s="54">
        <v>1</v>
      </c>
      <c r="J149" s="54">
        <v>0</v>
      </c>
      <c r="K149" s="54">
        <v>0</v>
      </c>
      <c r="L149" s="54">
        <v>1</v>
      </c>
      <c r="M149" s="54">
        <v>0</v>
      </c>
      <c r="N149" s="54">
        <v>2</v>
      </c>
      <c r="O149" s="54">
        <v>2</v>
      </c>
      <c r="P149" s="54">
        <v>0</v>
      </c>
      <c r="Q149" s="54">
        <v>0</v>
      </c>
      <c r="R149" s="54">
        <v>0</v>
      </c>
      <c r="S149" s="54">
        <v>2</v>
      </c>
      <c r="T149" s="54">
        <v>0</v>
      </c>
      <c r="U149" s="54">
        <v>2</v>
      </c>
      <c r="V149" s="54">
        <v>1</v>
      </c>
      <c r="W149" s="54">
        <v>0</v>
      </c>
      <c r="X149" s="54">
        <v>0</v>
      </c>
      <c r="Y149" s="54">
        <v>0</v>
      </c>
      <c r="Z149" s="54">
        <v>0</v>
      </c>
      <c r="AA149" s="54">
        <v>0</v>
      </c>
      <c r="AB149" s="54">
        <v>0</v>
      </c>
      <c r="AC149" s="54">
        <v>0</v>
      </c>
      <c r="AD149" s="54">
        <v>0</v>
      </c>
      <c r="AE149" s="54">
        <v>0</v>
      </c>
      <c r="AF149" s="54">
        <v>0</v>
      </c>
      <c r="AG149" s="54">
        <v>0</v>
      </c>
      <c r="AH149" s="54">
        <v>0</v>
      </c>
      <c r="AI149" s="54">
        <v>0</v>
      </c>
      <c r="AJ149" s="54">
        <v>0</v>
      </c>
      <c r="AK149" s="55">
        <f t="shared" si="40"/>
        <v>63.6</v>
      </c>
      <c r="AL149" s="15">
        <f t="shared" si="41"/>
        <v>36.4</v>
      </c>
    </row>
    <row r="150" spans="1:38" ht="16.5" customHeight="1" x14ac:dyDescent="0.25">
      <c r="A150" s="14" t="s">
        <v>181</v>
      </c>
      <c r="B150" s="52">
        <f t="shared" si="38"/>
        <v>45</v>
      </c>
      <c r="C150" s="52">
        <f t="shared" si="43"/>
        <v>30</v>
      </c>
      <c r="D150" s="52">
        <f t="shared" si="43"/>
        <v>15</v>
      </c>
      <c r="E150" s="54">
        <v>0</v>
      </c>
      <c r="F150" s="54">
        <v>0</v>
      </c>
      <c r="G150" s="54">
        <v>0</v>
      </c>
      <c r="H150" s="54">
        <v>0</v>
      </c>
      <c r="I150" s="54">
        <v>4</v>
      </c>
      <c r="J150" s="54">
        <v>1</v>
      </c>
      <c r="K150" s="54">
        <v>4</v>
      </c>
      <c r="L150" s="54">
        <v>2</v>
      </c>
      <c r="M150" s="54">
        <v>2</v>
      </c>
      <c r="N150" s="54">
        <v>1</v>
      </c>
      <c r="O150" s="54">
        <v>2</v>
      </c>
      <c r="P150" s="54">
        <v>3</v>
      </c>
      <c r="Q150" s="54">
        <v>7</v>
      </c>
      <c r="R150" s="54">
        <v>1</v>
      </c>
      <c r="S150" s="54">
        <v>3</v>
      </c>
      <c r="T150" s="54">
        <v>0</v>
      </c>
      <c r="U150" s="54">
        <v>4</v>
      </c>
      <c r="V150" s="54">
        <v>2</v>
      </c>
      <c r="W150" s="54">
        <v>4</v>
      </c>
      <c r="X150" s="54">
        <v>5</v>
      </c>
      <c r="Y150" s="54">
        <v>0</v>
      </c>
      <c r="Z150" s="54">
        <v>0</v>
      </c>
      <c r="AA150" s="54">
        <v>0</v>
      </c>
      <c r="AB150" s="54">
        <v>0</v>
      </c>
      <c r="AC150" s="54">
        <v>0</v>
      </c>
      <c r="AD150" s="54">
        <v>0</v>
      </c>
      <c r="AE150" s="54">
        <v>0</v>
      </c>
      <c r="AF150" s="54">
        <v>0</v>
      </c>
      <c r="AG150" s="54">
        <v>0</v>
      </c>
      <c r="AH150" s="54">
        <v>0</v>
      </c>
      <c r="AI150" s="54">
        <v>0</v>
      </c>
      <c r="AJ150" s="54">
        <v>0</v>
      </c>
      <c r="AK150" s="55">
        <f t="shared" si="40"/>
        <v>66.7</v>
      </c>
      <c r="AL150" s="15">
        <f t="shared" si="41"/>
        <v>33.299999999999997</v>
      </c>
    </row>
    <row r="151" spans="1:38" s="18" customFormat="1" ht="16.5" customHeight="1" thickBot="1" x14ac:dyDescent="0.25">
      <c r="A151" s="16" t="s">
        <v>13</v>
      </c>
      <c r="B151" s="56">
        <f t="shared" si="38"/>
        <v>1459</v>
      </c>
      <c r="C151" s="56">
        <f t="shared" ref="C151:AJ151" si="44">SUM(C152:C156)</f>
        <v>771</v>
      </c>
      <c r="D151" s="56">
        <f t="shared" si="44"/>
        <v>688</v>
      </c>
      <c r="E151" s="60">
        <f t="shared" si="44"/>
        <v>0</v>
      </c>
      <c r="F151" s="60">
        <f t="shared" si="44"/>
        <v>0</v>
      </c>
      <c r="G151" s="60">
        <f t="shared" si="44"/>
        <v>0</v>
      </c>
      <c r="H151" s="60">
        <f t="shared" si="44"/>
        <v>0</v>
      </c>
      <c r="I151" s="60">
        <f t="shared" si="44"/>
        <v>62</v>
      </c>
      <c r="J151" s="60">
        <f t="shared" si="44"/>
        <v>61</v>
      </c>
      <c r="K151" s="60">
        <f t="shared" si="44"/>
        <v>83</v>
      </c>
      <c r="L151" s="60">
        <f t="shared" si="44"/>
        <v>71</v>
      </c>
      <c r="M151" s="60">
        <f t="shared" si="44"/>
        <v>75</v>
      </c>
      <c r="N151" s="60">
        <f t="shared" si="44"/>
        <v>58</v>
      </c>
      <c r="O151" s="60">
        <f t="shared" si="44"/>
        <v>69</v>
      </c>
      <c r="P151" s="60">
        <f t="shared" si="44"/>
        <v>57</v>
      </c>
      <c r="Q151" s="60">
        <f t="shared" si="44"/>
        <v>63</v>
      </c>
      <c r="R151" s="60">
        <f t="shared" si="44"/>
        <v>63</v>
      </c>
      <c r="S151" s="60">
        <f t="shared" si="44"/>
        <v>66</v>
      </c>
      <c r="T151" s="60">
        <f t="shared" si="44"/>
        <v>52</v>
      </c>
      <c r="U151" s="60">
        <f t="shared" si="44"/>
        <v>52</v>
      </c>
      <c r="V151" s="60">
        <f t="shared" si="44"/>
        <v>55</v>
      </c>
      <c r="W151" s="60">
        <f t="shared" si="44"/>
        <v>60</v>
      </c>
      <c r="X151" s="60">
        <f t="shared" si="44"/>
        <v>51</v>
      </c>
      <c r="Y151" s="60">
        <f t="shared" si="44"/>
        <v>59</v>
      </c>
      <c r="Z151" s="60">
        <f t="shared" si="44"/>
        <v>52</v>
      </c>
      <c r="AA151" s="60">
        <f t="shared" si="44"/>
        <v>54</v>
      </c>
      <c r="AB151" s="60">
        <f t="shared" si="44"/>
        <v>47</v>
      </c>
      <c r="AC151" s="60">
        <f t="shared" si="44"/>
        <v>63</v>
      </c>
      <c r="AD151" s="60">
        <f t="shared" si="44"/>
        <v>48</v>
      </c>
      <c r="AE151" s="60">
        <f t="shared" si="44"/>
        <v>45</v>
      </c>
      <c r="AF151" s="60">
        <f t="shared" si="44"/>
        <v>48</v>
      </c>
      <c r="AG151" s="60">
        <f t="shared" si="44"/>
        <v>6</v>
      </c>
      <c r="AH151" s="60">
        <f t="shared" si="44"/>
        <v>9</v>
      </c>
      <c r="AI151" s="60">
        <f t="shared" si="44"/>
        <v>14</v>
      </c>
      <c r="AJ151" s="60">
        <f t="shared" si="44"/>
        <v>16</v>
      </c>
      <c r="AK151" s="60">
        <f t="shared" si="40"/>
        <v>52.8</v>
      </c>
      <c r="AL151" s="21">
        <f t="shared" si="41"/>
        <v>47.2</v>
      </c>
    </row>
    <row r="152" spans="1:38" ht="16.5" customHeight="1" x14ac:dyDescent="0.25">
      <c r="A152" s="14" t="s">
        <v>163</v>
      </c>
      <c r="B152" s="52">
        <f t="shared" si="38"/>
        <v>264</v>
      </c>
      <c r="C152" s="52">
        <f t="shared" ref="C152:D156" si="45">E152+G152+I152+K152+M152+O152+Q152+S152+U152+W152+Y152+AA152+AC152+AE152+AG152+AI152</f>
        <v>134</v>
      </c>
      <c r="D152" s="52">
        <f t="shared" si="45"/>
        <v>130</v>
      </c>
      <c r="E152" s="54">
        <v>0</v>
      </c>
      <c r="F152" s="54">
        <v>0</v>
      </c>
      <c r="G152" s="54">
        <v>0</v>
      </c>
      <c r="H152" s="54">
        <v>0</v>
      </c>
      <c r="I152" s="54">
        <v>8</v>
      </c>
      <c r="J152" s="54">
        <v>12</v>
      </c>
      <c r="K152" s="54">
        <v>16</v>
      </c>
      <c r="L152" s="54">
        <v>18</v>
      </c>
      <c r="M152" s="54">
        <v>13</v>
      </c>
      <c r="N152" s="54">
        <v>12</v>
      </c>
      <c r="O152" s="54">
        <v>16</v>
      </c>
      <c r="P152" s="54">
        <v>5</v>
      </c>
      <c r="Q152" s="54">
        <v>10</v>
      </c>
      <c r="R152" s="54">
        <v>13</v>
      </c>
      <c r="S152" s="54">
        <v>12</v>
      </c>
      <c r="T152" s="54">
        <v>12</v>
      </c>
      <c r="U152" s="54">
        <v>13</v>
      </c>
      <c r="V152" s="54">
        <v>14</v>
      </c>
      <c r="W152" s="54">
        <v>11</v>
      </c>
      <c r="X152" s="54">
        <v>7</v>
      </c>
      <c r="Y152" s="54">
        <v>12</v>
      </c>
      <c r="Z152" s="54">
        <v>10</v>
      </c>
      <c r="AA152" s="54">
        <v>6</v>
      </c>
      <c r="AB152" s="54">
        <v>7</v>
      </c>
      <c r="AC152" s="54">
        <v>10</v>
      </c>
      <c r="AD152" s="54">
        <v>9</v>
      </c>
      <c r="AE152" s="54">
        <v>6</v>
      </c>
      <c r="AF152" s="54">
        <v>9</v>
      </c>
      <c r="AG152" s="54">
        <v>0</v>
      </c>
      <c r="AH152" s="54">
        <v>0</v>
      </c>
      <c r="AI152" s="54">
        <v>1</v>
      </c>
      <c r="AJ152" s="54">
        <v>2</v>
      </c>
      <c r="AK152" s="55">
        <f t="shared" si="40"/>
        <v>50.8</v>
      </c>
      <c r="AL152" s="15">
        <f t="shared" si="41"/>
        <v>49.2</v>
      </c>
    </row>
    <row r="153" spans="1:38" ht="16.5" customHeight="1" x14ac:dyDescent="0.25">
      <c r="A153" s="14" t="s">
        <v>164</v>
      </c>
      <c r="B153" s="52">
        <f t="shared" si="38"/>
        <v>145</v>
      </c>
      <c r="C153" s="52">
        <f t="shared" si="45"/>
        <v>83</v>
      </c>
      <c r="D153" s="52">
        <f t="shared" si="45"/>
        <v>62</v>
      </c>
      <c r="E153" s="54">
        <v>0</v>
      </c>
      <c r="F153" s="54">
        <v>0</v>
      </c>
      <c r="G153" s="54">
        <v>0</v>
      </c>
      <c r="H153" s="54">
        <v>0</v>
      </c>
      <c r="I153" s="54">
        <v>5</v>
      </c>
      <c r="J153" s="54">
        <v>9</v>
      </c>
      <c r="K153" s="54">
        <v>6</v>
      </c>
      <c r="L153" s="54">
        <v>2</v>
      </c>
      <c r="M153" s="54">
        <v>10</v>
      </c>
      <c r="N153" s="54">
        <v>9</v>
      </c>
      <c r="O153" s="54">
        <v>8</v>
      </c>
      <c r="P153" s="54">
        <v>5</v>
      </c>
      <c r="Q153" s="54">
        <v>5</v>
      </c>
      <c r="R153" s="54">
        <v>7</v>
      </c>
      <c r="S153" s="54">
        <v>6</v>
      </c>
      <c r="T153" s="54">
        <v>4</v>
      </c>
      <c r="U153" s="54">
        <v>4</v>
      </c>
      <c r="V153" s="54">
        <v>4</v>
      </c>
      <c r="W153" s="54">
        <v>5</v>
      </c>
      <c r="X153" s="54">
        <v>6</v>
      </c>
      <c r="Y153" s="54">
        <v>10</v>
      </c>
      <c r="Z153" s="54">
        <v>3</v>
      </c>
      <c r="AA153" s="54">
        <v>8</v>
      </c>
      <c r="AB153" s="54">
        <v>6</v>
      </c>
      <c r="AC153" s="54">
        <v>8</v>
      </c>
      <c r="AD153" s="54">
        <v>3</v>
      </c>
      <c r="AE153" s="54">
        <v>8</v>
      </c>
      <c r="AF153" s="54">
        <v>4</v>
      </c>
      <c r="AG153" s="54">
        <v>0</v>
      </c>
      <c r="AH153" s="54">
        <v>0</v>
      </c>
      <c r="AI153" s="54">
        <v>0</v>
      </c>
      <c r="AJ153" s="54">
        <v>0</v>
      </c>
      <c r="AK153" s="55">
        <f t="shared" si="40"/>
        <v>57.2</v>
      </c>
      <c r="AL153" s="15">
        <f t="shared" si="41"/>
        <v>42.8</v>
      </c>
    </row>
    <row r="154" spans="1:38" ht="16.5" customHeight="1" x14ac:dyDescent="0.25">
      <c r="A154" s="14" t="s">
        <v>125</v>
      </c>
      <c r="B154" s="52">
        <f t="shared" si="38"/>
        <v>292</v>
      </c>
      <c r="C154" s="52">
        <f t="shared" si="45"/>
        <v>143</v>
      </c>
      <c r="D154" s="52">
        <f t="shared" si="45"/>
        <v>149</v>
      </c>
      <c r="E154" s="54">
        <v>0</v>
      </c>
      <c r="F154" s="54">
        <v>0</v>
      </c>
      <c r="G154" s="54">
        <v>0</v>
      </c>
      <c r="H154" s="54">
        <v>0</v>
      </c>
      <c r="I154" s="54">
        <v>17</v>
      </c>
      <c r="J154" s="54">
        <v>12</v>
      </c>
      <c r="K154" s="54">
        <v>12</v>
      </c>
      <c r="L154" s="54">
        <v>16</v>
      </c>
      <c r="M154" s="54">
        <v>17</v>
      </c>
      <c r="N154" s="54">
        <v>11</v>
      </c>
      <c r="O154" s="54">
        <v>14</v>
      </c>
      <c r="P154" s="54">
        <v>11</v>
      </c>
      <c r="Q154" s="54">
        <v>14</v>
      </c>
      <c r="R154" s="54">
        <v>19</v>
      </c>
      <c r="S154" s="54">
        <v>11</v>
      </c>
      <c r="T154" s="54">
        <v>10</v>
      </c>
      <c r="U154" s="54">
        <v>8</v>
      </c>
      <c r="V154" s="54">
        <v>12</v>
      </c>
      <c r="W154" s="54">
        <v>14</v>
      </c>
      <c r="X154" s="54">
        <v>12</v>
      </c>
      <c r="Y154" s="54">
        <v>5</v>
      </c>
      <c r="Z154" s="54">
        <v>16</v>
      </c>
      <c r="AA154" s="54">
        <v>11</v>
      </c>
      <c r="AB154" s="54">
        <v>9</v>
      </c>
      <c r="AC154" s="54">
        <v>17</v>
      </c>
      <c r="AD154" s="54">
        <v>11</v>
      </c>
      <c r="AE154" s="54">
        <v>3</v>
      </c>
      <c r="AF154" s="54">
        <v>10</v>
      </c>
      <c r="AG154" s="54">
        <v>0</v>
      </c>
      <c r="AH154" s="54">
        <v>0</v>
      </c>
      <c r="AI154" s="54">
        <v>0</v>
      </c>
      <c r="AJ154" s="54">
        <v>0</v>
      </c>
      <c r="AK154" s="55">
        <f t="shared" si="40"/>
        <v>49</v>
      </c>
      <c r="AL154" s="15">
        <f t="shared" si="41"/>
        <v>51</v>
      </c>
    </row>
    <row r="155" spans="1:38" ht="16.5" customHeight="1" x14ac:dyDescent="0.25">
      <c r="A155" s="14" t="s">
        <v>69</v>
      </c>
      <c r="B155" s="52">
        <f t="shared" si="38"/>
        <v>195</v>
      </c>
      <c r="C155" s="52">
        <f t="shared" si="45"/>
        <v>106</v>
      </c>
      <c r="D155" s="52">
        <f t="shared" si="45"/>
        <v>89</v>
      </c>
      <c r="E155" s="54">
        <v>0</v>
      </c>
      <c r="F155" s="54">
        <v>0</v>
      </c>
      <c r="G155" s="54">
        <v>0</v>
      </c>
      <c r="H155" s="54">
        <v>0</v>
      </c>
      <c r="I155" s="54">
        <v>14</v>
      </c>
      <c r="J155" s="54">
        <v>11</v>
      </c>
      <c r="K155" s="54">
        <v>9</v>
      </c>
      <c r="L155" s="54">
        <v>10</v>
      </c>
      <c r="M155" s="54">
        <v>11</v>
      </c>
      <c r="N155" s="54">
        <v>9</v>
      </c>
      <c r="O155" s="54">
        <v>9</v>
      </c>
      <c r="P155" s="54">
        <v>11</v>
      </c>
      <c r="Q155" s="54">
        <v>8</v>
      </c>
      <c r="R155" s="54">
        <v>9</v>
      </c>
      <c r="S155" s="54">
        <v>9</v>
      </c>
      <c r="T155" s="54">
        <v>3</v>
      </c>
      <c r="U155" s="54">
        <v>12</v>
      </c>
      <c r="V155" s="54">
        <v>7</v>
      </c>
      <c r="W155" s="54">
        <v>6</v>
      </c>
      <c r="X155" s="54">
        <v>11</v>
      </c>
      <c r="Y155" s="54">
        <v>8</v>
      </c>
      <c r="Z155" s="54">
        <v>6</v>
      </c>
      <c r="AA155" s="54">
        <v>7</v>
      </c>
      <c r="AB155" s="54">
        <v>5</v>
      </c>
      <c r="AC155" s="54">
        <v>8</v>
      </c>
      <c r="AD155" s="54">
        <v>3</v>
      </c>
      <c r="AE155" s="54">
        <v>5</v>
      </c>
      <c r="AF155" s="54">
        <v>4</v>
      </c>
      <c r="AG155" s="54">
        <v>0</v>
      </c>
      <c r="AH155" s="54">
        <v>0</v>
      </c>
      <c r="AI155" s="54">
        <v>0</v>
      </c>
      <c r="AJ155" s="54">
        <v>0</v>
      </c>
      <c r="AK155" s="55">
        <f t="shared" si="40"/>
        <v>54.4</v>
      </c>
      <c r="AL155" s="15">
        <f t="shared" si="41"/>
        <v>45.6</v>
      </c>
    </row>
    <row r="156" spans="1:38" ht="16.5" customHeight="1" x14ac:dyDescent="0.25">
      <c r="A156" s="14" t="s">
        <v>126</v>
      </c>
      <c r="B156" s="52">
        <f t="shared" si="38"/>
        <v>563</v>
      </c>
      <c r="C156" s="52">
        <f t="shared" si="45"/>
        <v>305</v>
      </c>
      <c r="D156" s="52">
        <f t="shared" si="45"/>
        <v>258</v>
      </c>
      <c r="E156" s="54">
        <v>0</v>
      </c>
      <c r="F156" s="54">
        <v>0</v>
      </c>
      <c r="G156" s="54">
        <v>0</v>
      </c>
      <c r="H156" s="54">
        <v>0</v>
      </c>
      <c r="I156" s="54">
        <v>18</v>
      </c>
      <c r="J156" s="54">
        <v>17</v>
      </c>
      <c r="K156" s="54">
        <v>40</v>
      </c>
      <c r="L156" s="54">
        <v>25</v>
      </c>
      <c r="M156" s="54">
        <v>24</v>
      </c>
      <c r="N156" s="54">
        <v>17</v>
      </c>
      <c r="O156" s="54">
        <v>22</v>
      </c>
      <c r="P156" s="54">
        <v>25</v>
      </c>
      <c r="Q156" s="54">
        <v>26</v>
      </c>
      <c r="R156" s="54">
        <v>15</v>
      </c>
      <c r="S156" s="54">
        <v>28</v>
      </c>
      <c r="T156" s="54">
        <v>23</v>
      </c>
      <c r="U156" s="54">
        <v>15</v>
      </c>
      <c r="V156" s="54">
        <v>18</v>
      </c>
      <c r="W156" s="54">
        <v>24</v>
      </c>
      <c r="X156" s="54">
        <v>15</v>
      </c>
      <c r="Y156" s="54">
        <v>24</v>
      </c>
      <c r="Z156" s="54">
        <v>17</v>
      </c>
      <c r="AA156" s="54">
        <v>22</v>
      </c>
      <c r="AB156" s="54">
        <v>20</v>
      </c>
      <c r="AC156" s="54">
        <v>20</v>
      </c>
      <c r="AD156" s="54">
        <v>22</v>
      </c>
      <c r="AE156" s="54">
        <v>23</v>
      </c>
      <c r="AF156" s="54">
        <v>21</v>
      </c>
      <c r="AG156" s="54">
        <v>6</v>
      </c>
      <c r="AH156" s="54">
        <v>9</v>
      </c>
      <c r="AI156" s="54">
        <v>13</v>
      </c>
      <c r="AJ156" s="54">
        <v>14</v>
      </c>
      <c r="AK156" s="55">
        <f t="shared" si="40"/>
        <v>54.2</v>
      </c>
      <c r="AL156" s="15">
        <f t="shared" si="41"/>
        <v>45.8</v>
      </c>
    </row>
    <row r="157" spans="1:38" ht="15.75" thickBot="1" x14ac:dyDescent="0.3">
      <c r="A157" s="16" t="s">
        <v>14</v>
      </c>
      <c r="B157" s="53">
        <f t="shared" si="38"/>
        <v>1648</v>
      </c>
      <c r="C157" s="53">
        <f t="shared" ref="C157:AJ157" si="46">SUM(C158:C163)</f>
        <v>813</v>
      </c>
      <c r="D157" s="53">
        <f t="shared" si="46"/>
        <v>835</v>
      </c>
      <c r="E157" s="59">
        <f t="shared" si="46"/>
        <v>2</v>
      </c>
      <c r="F157" s="59">
        <f t="shared" si="46"/>
        <v>5</v>
      </c>
      <c r="G157" s="59">
        <f t="shared" si="46"/>
        <v>14</v>
      </c>
      <c r="H157" s="59">
        <f t="shared" si="46"/>
        <v>4</v>
      </c>
      <c r="I157" s="59">
        <f t="shared" si="46"/>
        <v>67</v>
      </c>
      <c r="J157" s="59">
        <f t="shared" si="46"/>
        <v>64</v>
      </c>
      <c r="K157" s="59">
        <f t="shared" si="46"/>
        <v>86</v>
      </c>
      <c r="L157" s="59">
        <f t="shared" si="46"/>
        <v>73</v>
      </c>
      <c r="M157" s="59">
        <f t="shared" si="46"/>
        <v>56</v>
      </c>
      <c r="N157" s="59">
        <f t="shared" si="46"/>
        <v>71</v>
      </c>
      <c r="O157" s="59">
        <f t="shared" si="46"/>
        <v>48</v>
      </c>
      <c r="P157" s="59">
        <f t="shared" si="46"/>
        <v>60</v>
      </c>
      <c r="Q157" s="59">
        <f t="shared" si="46"/>
        <v>84</v>
      </c>
      <c r="R157" s="59">
        <f t="shared" si="46"/>
        <v>76</v>
      </c>
      <c r="S157" s="59">
        <f t="shared" si="46"/>
        <v>68</v>
      </c>
      <c r="T157" s="59">
        <f t="shared" si="46"/>
        <v>76</v>
      </c>
      <c r="U157" s="59">
        <f t="shared" si="46"/>
        <v>60</v>
      </c>
      <c r="V157" s="59">
        <f t="shared" si="46"/>
        <v>69</v>
      </c>
      <c r="W157" s="59">
        <f t="shared" si="46"/>
        <v>86</v>
      </c>
      <c r="X157" s="59">
        <f t="shared" si="46"/>
        <v>80</v>
      </c>
      <c r="Y157" s="59">
        <f t="shared" si="46"/>
        <v>63</v>
      </c>
      <c r="Z157" s="59">
        <f t="shared" si="46"/>
        <v>56</v>
      </c>
      <c r="AA157" s="59">
        <f t="shared" si="46"/>
        <v>63</v>
      </c>
      <c r="AB157" s="59">
        <f t="shared" si="46"/>
        <v>63</v>
      </c>
      <c r="AC157" s="59">
        <f t="shared" si="46"/>
        <v>54</v>
      </c>
      <c r="AD157" s="59">
        <f t="shared" si="46"/>
        <v>65</v>
      </c>
      <c r="AE157" s="59">
        <f t="shared" si="46"/>
        <v>53</v>
      </c>
      <c r="AF157" s="59">
        <f t="shared" si="46"/>
        <v>57</v>
      </c>
      <c r="AG157" s="59">
        <f t="shared" si="46"/>
        <v>3</v>
      </c>
      <c r="AH157" s="59">
        <f t="shared" si="46"/>
        <v>10</v>
      </c>
      <c r="AI157" s="59">
        <f t="shared" si="46"/>
        <v>6</v>
      </c>
      <c r="AJ157" s="59">
        <f t="shared" si="46"/>
        <v>6</v>
      </c>
      <c r="AK157" s="59">
        <f t="shared" si="40"/>
        <v>49.3</v>
      </c>
      <c r="AL157" s="17">
        <f t="shared" si="41"/>
        <v>50.7</v>
      </c>
    </row>
    <row r="158" spans="1:38" x14ac:dyDescent="0.25">
      <c r="A158" s="14" t="s">
        <v>161</v>
      </c>
      <c r="B158" s="52">
        <f t="shared" si="38"/>
        <v>169</v>
      </c>
      <c r="C158" s="52">
        <f t="shared" ref="C158:D163" si="47">E158+G158+I158+K158+M158+O158+Q158+S158+U158+W158+Y158+AA158+AC158+AE158+AG158+AI158</f>
        <v>82</v>
      </c>
      <c r="D158" s="52">
        <f t="shared" si="47"/>
        <v>87</v>
      </c>
      <c r="E158" s="54">
        <v>0</v>
      </c>
      <c r="F158" s="54">
        <v>0</v>
      </c>
      <c r="G158" s="54">
        <v>0</v>
      </c>
      <c r="H158" s="54">
        <v>0</v>
      </c>
      <c r="I158" s="54">
        <v>6</v>
      </c>
      <c r="J158" s="54">
        <v>6</v>
      </c>
      <c r="K158" s="54">
        <v>14</v>
      </c>
      <c r="L158" s="54">
        <v>9</v>
      </c>
      <c r="M158" s="54">
        <v>3</v>
      </c>
      <c r="N158" s="54">
        <v>9</v>
      </c>
      <c r="O158" s="54">
        <v>4</v>
      </c>
      <c r="P158" s="54">
        <v>8</v>
      </c>
      <c r="Q158" s="54">
        <v>5</v>
      </c>
      <c r="R158" s="54">
        <v>12</v>
      </c>
      <c r="S158" s="54">
        <v>8</v>
      </c>
      <c r="T158" s="54">
        <v>9</v>
      </c>
      <c r="U158" s="54">
        <v>7</v>
      </c>
      <c r="V158" s="54">
        <v>7</v>
      </c>
      <c r="W158" s="54">
        <v>12</v>
      </c>
      <c r="X158" s="54">
        <v>7</v>
      </c>
      <c r="Y158" s="54">
        <v>4</v>
      </c>
      <c r="Z158" s="54">
        <v>6</v>
      </c>
      <c r="AA158" s="54">
        <v>11</v>
      </c>
      <c r="AB158" s="54">
        <v>6</v>
      </c>
      <c r="AC158" s="54">
        <v>6</v>
      </c>
      <c r="AD158" s="54">
        <v>6</v>
      </c>
      <c r="AE158" s="54">
        <v>2</v>
      </c>
      <c r="AF158" s="54">
        <v>2</v>
      </c>
      <c r="AG158" s="54">
        <v>0</v>
      </c>
      <c r="AH158" s="54">
        <v>0</v>
      </c>
      <c r="AI158" s="54">
        <v>0</v>
      </c>
      <c r="AJ158" s="54">
        <v>0</v>
      </c>
      <c r="AK158" s="55">
        <f t="shared" si="40"/>
        <v>48.5</v>
      </c>
      <c r="AL158" s="15">
        <f t="shared" si="41"/>
        <v>51.5</v>
      </c>
    </row>
    <row r="159" spans="1:38" x14ac:dyDescent="0.25">
      <c r="A159" s="14" t="s">
        <v>128</v>
      </c>
      <c r="B159" s="52">
        <f t="shared" si="38"/>
        <v>222</v>
      </c>
      <c r="C159" s="52">
        <f t="shared" si="47"/>
        <v>118</v>
      </c>
      <c r="D159" s="52">
        <f t="shared" si="47"/>
        <v>104</v>
      </c>
      <c r="E159" s="54">
        <v>2</v>
      </c>
      <c r="F159" s="54">
        <v>5</v>
      </c>
      <c r="G159" s="54">
        <v>14</v>
      </c>
      <c r="H159" s="54">
        <v>4</v>
      </c>
      <c r="I159" s="54">
        <v>10</v>
      </c>
      <c r="J159" s="54">
        <v>12</v>
      </c>
      <c r="K159" s="54">
        <v>9</v>
      </c>
      <c r="L159" s="54">
        <v>8</v>
      </c>
      <c r="M159" s="54">
        <v>8</v>
      </c>
      <c r="N159" s="54">
        <v>13</v>
      </c>
      <c r="O159" s="54">
        <v>10</v>
      </c>
      <c r="P159" s="54">
        <v>6</v>
      </c>
      <c r="Q159" s="54">
        <v>6</v>
      </c>
      <c r="R159" s="54">
        <v>11</v>
      </c>
      <c r="S159" s="54">
        <v>8</v>
      </c>
      <c r="T159" s="54">
        <v>9</v>
      </c>
      <c r="U159" s="54">
        <v>7</v>
      </c>
      <c r="V159" s="54">
        <v>9</v>
      </c>
      <c r="W159" s="54">
        <v>11</v>
      </c>
      <c r="X159" s="54">
        <v>8</v>
      </c>
      <c r="Y159" s="54">
        <v>9</v>
      </c>
      <c r="Z159" s="54">
        <v>6</v>
      </c>
      <c r="AA159" s="54">
        <v>7</v>
      </c>
      <c r="AB159" s="54">
        <v>6</v>
      </c>
      <c r="AC159" s="54">
        <v>8</v>
      </c>
      <c r="AD159" s="54">
        <v>5</v>
      </c>
      <c r="AE159" s="54">
        <v>9</v>
      </c>
      <c r="AF159" s="54">
        <v>2</v>
      </c>
      <c r="AG159" s="54">
        <v>0</v>
      </c>
      <c r="AH159" s="54">
        <v>0</v>
      </c>
      <c r="AI159" s="54">
        <v>0</v>
      </c>
      <c r="AJ159" s="54">
        <v>0</v>
      </c>
      <c r="AK159" s="55">
        <f t="shared" si="40"/>
        <v>53.2</v>
      </c>
      <c r="AL159" s="15">
        <f t="shared" si="41"/>
        <v>46.8</v>
      </c>
    </row>
    <row r="160" spans="1:38" x14ac:dyDescent="0.25">
      <c r="A160" s="14" t="s">
        <v>127</v>
      </c>
      <c r="B160" s="52">
        <f t="shared" si="38"/>
        <v>806</v>
      </c>
      <c r="C160" s="52">
        <f t="shared" si="47"/>
        <v>378</v>
      </c>
      <c r="D160" s="52">
        <f t="shared" si="47"/>
        <v>428</v>
      </c>
      <c r="E160" s="54">
        <v>0</v>
      </c>
      <c r="F160" s="54">
        <v>0</v>
      </c>
      <c r="G160" s="54">
        <v>0</v>
      </c>
      <c r="H160" s="54">
        <v>0</v>
      </c>
      <c r="I160" s="54">
        <v>24</v>
      </c>
      <c r="J160" s="54">
        <v>32</v>
      </c>
      <c r="K160" s="54">
        <v>42</v>
      </c>
      <c r="L160" s="54">
        <v>38</v>
      </c>
      <c r="M160" s="54">
        <v>28</v>
      </c>
      <c r="N160" s="54">
        <v>34</v>
      </c>
      <c r="O160" s="54">
        <v>23</v>
      </c>
      <c r="P160" s="54">
        <v>27</v>
      </c>
      <c r="Q160" s="54">
        <v>46</v>
      </c>
      <c r="R160" s="54">
        <v>35</v>
      </c>
      <c r="S160" s="54">
        <v>36</v>
      </c>
      <c r="T160" s="54">
        <v>40</v>
      </c>
      <c r="U160" s="54">
        <v>25</v>
      </c>
      <c r="V160" s="54">
        <v>37</v>
      </c>
      <c r="W160" s="54">
        <v>40</v>
      </c>
      <c r="X160" s="54">
        <v>37</v>
      </c>
      <c r="Y160" s="54">
        <v>28</v>
      </c>
      <c r="Z160" s="54">
        <v>28</v>
      </c>
      <c r="AA160" s="54">
        <v>28</v>
      </c>
      <c r="AB160" s="54">
        <v>33</v>
      </c>
      <c r="AC160" s="54">
        <v>27</v>
      </c>
      <c r="AD160" s="54">
        <v>30</v>
      </c>
      <c r="AE160" s="54">
        <v>25</v>
      </c>
      <c r="AF160" s="54">
        <v>42</v>
      </c>
      <c r="AG160" s="54">
        <v>3</v>
      </c>
      <c r="AH160" s="54">
        <v>10</v>
      </c>
      <c r="AI160" s="54">
        <v>3</v>
      </c>
      <c r="AJ160" s="54">
        <v>5</v>
      </c>
      <c r="AK160" s="55">
        <f t="shared" si="40"/>
        <v>46.9</v>
      </c>
      <c r="AL160" s="15">
        <f t="shared" si="41"/>
        <v>53.1</v>
      </c>
    </row>
    <row r="161" spans="1:38" x14ac:dyDescent="0.25">
      <c r="A161" s="14" t="s">
        <v>162</v>
      </c>
      <c r="B161" s="52">
        <f t="shared" si="38"/>
        <v>155</v>
      </c>
      <c r="C161" s="52">
        <f t="shared" si="47"/>
        <v>77</v>
      </c>
      <c r="D161" s="52">
        <f t="shared" si="47"/>
        <v>78</v>
      </c>
      <c r="E161" s="54">
        <v>0</v>
      </c>
      <c r="F161" s="54">
        <v>0</v>
      </c>
      <c r="G161" s="54">
        <v>0</v>
      </c>
      <c r="H161" s="54">
        <v>0</v>
      </c>
      <c r="I161" s="54">
        <v>11</v>
      </c>
      <c r="J161" s="54">
        <v>4</v>
      </c>
      <c r="K161" s="54">
        <v>12</v>
      </c>
      <c r="L161" s="54">
        <v>7</v>
      </c>
      <c r="M161" s="54">
        <v>8</v>
      </c>
      <c r="N161" s="54">
        <v>5</v>
      </c>
      <c r="O161" s="54">
        <v>3</v>
      </c>
      <c r="P161" s="54">
        <v>5</v>
      </c>
      <c r="Q161" s="54">
        <v>4</v>
      </c>
      <c r="R161" s="54">
        <v>7</v>
      </c>
      <c r="S161" s="54">
        <v>3</v>
      </c>
      <c r="T161" s="54">
        <v>3</v>
      </c>
      <c r="U161" s="54">
        <v>6</v>
      </c>
      <c r="V161" s="54">
        <v>7</v>
      </c>
      <c r="W161" s="54">
        <v>10</v>
      </c>
      <c r="X161" s="54">
        <v>12</v>
      </c>
      <c r="Y161" s="54">
        <v>5</v>
      </c>
      <c r="Z161" s="54">
        <v>8</v>
      </c>
      <c r="AA161" s="54">
        <v>7</v>
      </c>
      <c r="AB161" s="54">
        <v>9</v>
      </c>
      <c r="AC161" s="54">
        <v>3</v>
      </c>
      <c r="AD161" s="54">
        <v>7</v>
      </c>
      <c r="AE161" s="54">
        <v>5</v>
      </c>
      <c r="AF161" s="54">
        <v>4</v>
      </c>
      <c r="AG161" s="54">
        <v>0</v>
      </c>
      <c r="AH161" s="54">
        <v>0</v>
      </c>
      <c r="AI161" s="54">
        <v>0</v>
      </c>
      <c r="AJ161" s="54">
        <v>0</v>
      </c>
      <c r="AK161" s="55">
        <f t="shared" si="40"/>
        <v>49.7</v>
      </c>
      <c r="AL161" s="15">
        <f t="shared" si="41"/>
        <v>50.3</v>
      </c>
    </row>
    <row r="162" spans="1:38" x14ac:dyDescent="0.25">
      <c r="A162" s="14" t="s">
        <v>72</v>
      </c>
      <c r="B162" s="52">
        <f t="shared" si="38"/>
        <v>228</v>
      </c>
      <c r="C162" s="52">
        <f t="shared" si="47"/>
        <v>129</v>
      </c>
      <c r="D162" s="52">
        <f t="shared" si="47"/>
        <v>99</v>
      </c>
      <c r="E162" s="54">
        <v>0</v>
      </c>
      <c r="F162" s="54">
        <v>0</v>
      </c>
      <c r="G162" s="54">
        <v>0</v>
      </c>
      <c r="H162" s="54">
        <v>0</v>
      </c>
      <c r="I162" s="54">
        <v>13</v>
      </c>
      <c r="J162" s="54">
        <v>8</v>
      </c>
      <c r="K162" s="54">
        <v>9</v>
      </c>
      <c r="L162" s="54">
        <v>7</v>
      </c>
      <c r="M162" s="54">
        <v>8</v>
      </c>
      <c r="N162" s="54">
        <v>4</v>
      </c>
      <c r="O162" s="54">
        <v>7</v>
      </c>
      <c r="P162" s="54">
        <v>9</v>
      </c>
      <c r="Q162" s="54">
        <v>21</v>
      </c>
      <c r="R162" s="54">
        <v>7</v>
      </c>
      <c r="S162" s="54">
        <v>11</v>
      </c>
      <c r="T162" s="54">
        <v>12</v>
      </c>
      <c r="U162" s="54">
        <v>11</v>
      </c>
      <c r="V162" s="54">
        <v>8</v>
      </c>
      <c r="W162" s="54">
        <v>7</v>
      </c>
      <c r="X162" s="54">
        <v>12</v>
      </c>
      <c r="Y162" s="54">
        <v>14</v>
      </c>
      <c r="Z162" s="54">
        <v>5</v>
      </c>
      <c r="AA162" s="54">
        <v>7</v>
      </c>
      <c r="AB162" s="54">
        <v>5</v>
      </c>
      <c r="AC162" s="54">
        <v>7</v>
      </c>
      <c r="AD162" s="54">
        <v>14</v>
      </c>
      <c r="AE162" s="54">
        <v>11</v>
      </c>
      <c r="AF162" s="54">
        <v>7</v>
      </c>
      <c r="AG162" s="54">
        <v>0</v>
      </c>
      <c r="AH162" s="54">
        <v>0</v>
      </c>
      <c r="AI162" s="54">
        <v>3</v>
      </c>
      <c r="AJ162" s="54">
        <v>1</v>
      </c>
      <c r="AK162" s="55">
        <f t="shared" si="40"/>
        <v>56.6</v>
      </c>
      <c r="AL162" s="15">
        <f t="shared" si="41"/>
        <v>43.4</v>
      </c>
    </row>
    <row r="163" spans="1:38" x14ac:dyDescent="0.25">
      <c r="A163" s="14" t="s">
        <v>160</v>
      </c>
      <c r="B163" s="52">
        <f t="shared" si="38"/>
        <v>68</v>
      </c>
      <c r="C163" s="52">
        <f t="shared" si="47"/>
        <v>29</v>
      </c>
      <c r="D163" s="52">
        <f t="shared" si="47"/>
        <v>39</v>
      </c>
      <c r="E163" s="54">
        <v>0</v>
      </c>
      <c r="F163" s="54">
        <v>0</v>
      </c>
      <c r="G163" s="54">
        <v>0</v>
      </c>
      <c r="H163" s="54">
        <v>0</v>
      </c>
      <c r="I163" s="54">
        <v>3</v>
      </c>
      <c r="J163" s="54">
        <v>2</v>
      </c>
      <c r="K163" s="54">
        <v>0</v>
      </c>
      <c r="L163" s="54">
        <v>4</v>
      </c>
      <c r="M163" s="54">
        <v>1</v>
      </c>
      <c r="N163" s="54">
        <v>6</v>
      </c>
      <c r="O163" s="54">
        <v>1</v>
      </c>
      <c r="P163" s="54">
        <v>5</v>
      </c>
      <c r="Q163" s="54">
        <v>2</v>
      </c>
      <c r="R163" s="54">
        <v>4</v>
      </c>
      <c r="S163" s="54">
        <v>2</v>
      </c>
      <c r="T163" s="54">
        <v>3</v>
      </c>
      <c r="U163" s="54">
        <v>4</v>
      </c>
      <c r="V163" s="54">
        <v>1</v>
      </c>
      <c r="W163" s="54">
        <v>6</v>
      </c>
      <c r="X163" s="54">
        <v>4</v>
      </c>
      <c r="Y163" s="54">
        <v>3</v>
      </c>
      <c r="Z163" s="54">
        <v>3</v>
      </c>
      <c r="AA163" s="54">
        <v>3</v>
      </c>
      <c r="AB163" s="54">
        <v>4</v>
      </c>
      <c r="AC163" s="54">
        <v>3</v>
      </c>
      <c r="AD163" s="54">
        <v>3</v>
      </c>
      <c r="AE163" s="54">
        <v>1</v>
      </c>
      <c r="AF163" s="54">
        <v>0</v>
      </c>
      <c r="AG163" s="54">
        <v>0</v>
      </c>
      <c r="AH163" s="54">
        <v>0</v>
      </c>
      <c r="AI163" s="54">
        <v>0</v>
      </c>
      <c r="AJ163" s="54">
        <v>0</v>
      </c>
      <c r="AK163" s="55">
        <f t="shared" si="40"/>
        <v>42.6</v>
      </c>
      <c r="AL163" s="15">
        <f t="shared" si="41"/>
        <v>57.4</v>
      </c>
    </row>
    <row r="164" spans="1:38" ht="18" customHeight="1" thickBot="1" x14ac:dyDescent="0.3">
      <c r="A164" s="16" t="s">
        <v>15</v>
      </c>
      <c r="B164" s="56">
        <f t="shared" ref="B164:B218" si="48">SUM(C164:D164)</f>
        <v>2642</v>
      </c>
      <c r="C164" s="56">
        <f t="shared" ref="C164:AJ164" si="49">SUM(C165:C177)</f>
        <v>1346</v>
      </c>
      <c r="D164" s="56">
        <f t="shared" si="49"/>
        <v>1296</v>
      </c>
      <c r="E164" s="60">
        <f t="shared" si="49"/>
        <v>8</v>
      </c>
      <c r="F164" s="60">
        <f t="shared" si="49"/>
        <v>7</v>
      </c>
      <c r="G164" s="60">
        <f t="shared" si="49"/>
        <v>7</v>
      </c>
      <c r="H164" s="60">
        <f t="shared" si="49"/>
        <v>3</v>
      </c>
      <c r="I164" s="60">
        <f t="shared" si="49"/>
        <v>100</v>
      </c>
      <c r="J164" s="60">
        <f t="shared" si="49"/>
        <v>116</v>
      </c>
      <c r="K164" s="60">
        <f t="shared" si="49"/>
        <v>134</v>
      </c>
      <c r="L164" s="60">
        <f t="shared" si="49"/>
        <v>123</v>
      </c>
      <c r="M164" s="60">
        <f t="shared" si="49"/>
        <v>111</v>
      </c>
      <c r="N164" s="60">
        <f t="shared" si="49"/>
        <v>108</v>
      </c>
      <c r="O164" s="60">
        <f t="shared" si="49"/>
        <v>112</v>
      </c>
      <c r="P164" s="60">
        <f t="shared" si="49"/>
        <v>103</v>
      </c>
      <c r="Q164" s="60">
        <f t="shared" si="49"/>
        <v>112</v>
      </c>
      <c r="R164" s="60">
        <f t="shared" si="49"/>
        <v>102</v>
      </c>
      <c r="S164" s="60">
        <f t="shared" si="49"/>
        <v>122</v>
      </c>
      <c r="T164" s="60">
        <f t="shared" si="49"/>
        <v>107</v>
      </c>
      <c r="U164" s="60">
        <f t="shared" si="49"/>
        <v>141</v>
      </c>
      <c r="V164" s="60">
        <f t="shared" si="49"/>
        <v>125</v>
      </c>
      <c r="W164" s="60">
        <f t="shared" si="49"/>
        <v>109</v>
      </c>
      <c r="X164" s="60">
        <f t="shared" si="49"/>
        <v>104</v>
      </c>
      <c r="Y164" s="60">
        <f t="shared" si="49"/>
        <v>100</v>
      </c>
      <c r="Z164" s="60">
        <f t="shared" si="49"/>
        <v>102</v>
      </c>
      <c r="AA164" s="60">
        <f t="shared" si="49"/>
        <v>113</v>
      </c>
      <c r="AB164" s="60">
        <f t="shared" si="49"/>
        <v>113</v>
      </c>
      <c r="AC164" s="60">
        <f t="shared" si="49"/>
        <v>90</v>
      </c>
      <c r="AD164" s="60">
        <f t="shared" si="49"/>
        <v>82</v>
      </c>
      <c r="AE164" s="60">
        <f t="shared" si="49"/>
        <v>65</v>
      </c>
      <c r="AF164" s="60">
        <f t="shared" si="49"/>
        <v>82</v>
      </c>
      <c r="AG164" s="60">
        <f t="shared" si="49"/>
        <v>3</v>
      </c>
      <c r="AH164" s="60">
        <f t="shared" si="49"/>
        <v>6</v>
      </c>
      <c r="AI164" s="60">
        <f t="shared" si="49"/>
        <v>19</v>
      </c>
      <c r="AJ164" s="60">
        <f t="shared" si="49"/>
        <v>13</v>
      </c>
      <c r="AK164" s="60">
        <f t="shared" si="40"/>
        <v>50.9</v>
      </c>
      <c r="AL164" s="21">
        <f t="shared" si="41"/>
        <v>49.1</v>
      </c>
    </row>
    <row r="165" spans="1:38" ht="16.5" customHeight="1" x14ac:dyDescent="0.25">
      <c r="A165" s="14" t="s">
        <v>202</v>
      </c>
      <c r="B165" s="52">
        <f t="shared" si="48"/>
        <v>102</v>
      </c>
      <c r="C165" s="52">
        <f t="shared" ref="C165:C177" si="50">E165+G165+I165+K165+M165+O165+Q165+S165+U165+W165+Y165+AA165+AC165+AE165+AG165+AI165</f>
        <v>47</v>
      </c>
      <c r="D165" s="52">
        <f t="shared" ref="D165:D177" si="51">F165+H165+J165+L165+N165+P165+R165+T165+V165+X165+Z165+AB165+AD165+AF165+AH165+AJ165</f>
        <v>55</v>
      </c>
      <c r="E165" s="54">
        <v>0</v>
      </c>
      <c r="F165" s="54">
        <v>0</v>
      </c>
      <c r="G165" s="54">
        <v>0</v>
      </c>
      <c r="H165" s="54">
        <v>0</v>
      </c>
      <c r="I165" s="54">
        <v>2</v>
      </c>
      <c r="J165" s="54">
        <v>5</v>
      </c>
      <c r="K165" s="54">
        <v>3</v>
      </c>
      <c r="L165" s="54">
        <v>8</v>
      </c>
      <c r="M165" s="54">
        <v>7</v>
      </c>
      <c r="N165" s="54">
        <v>4</v>
      </c>
      <c r="O165" s="54">
        <v>5</v>
      </c>
      <c r="P165" s="54">
        <v>3</v>
      </c>
      <c r="Q165" s="54">
        <v>8</v>
      </c>
      <c r="R165" s="54">
        <v>8</v>
      </c>
      <c r="S165" s="54">
        <v>5</v>
      </c>
      <c r="T165" s="54">
        <v>4</v>
      </c>
      <c r="U165" s="54">
        <v>6</v>
      </c>
      <c r="V165" s="54">
        <v>8</v>
      </c>
      <c r="W165" s="54">
        <v>1</v>
      </c>
      <c r="X165" s="54">
        <v>4</v>
      </c>
      <c r="Y165" s="54">
        <v>1</v>
      </c>
      <c r="Z165" s="54">
        <v>4</v>
      </c>
      <c r="AA165" s="54">
        <v>4</v>
      </c>
      <c r="AB165" s="54">
        <v>5</v>
      </c>
      <c r="AC165" s="54">
        <v>3</v>
      </c>
      <c r="AD165" s="54">
        <v>1</v>
      </c>
      <c r="AE165" s="54">
        <v>2</v>
      </c>
      <c r="AF165" s="54">
        <v>1</v>
      </c>
      <c r="AG165" s="54">
        <v>0</v>
      </c>
      <c r="AH165" s="54">
        <v>0</v>
      </c>
      <c r="AI165" s="54">
        <v>0</v>
      </c>
      <c r="AJ165" s="54">
        <v>0</v>
      </c>
      <c r="AK165" s="55">
        <f t="shared" si="40"/>
        <v>46.1</v>
      </c>
      <c r="AL165" s="15">
        <f t="shared" si="41"/>
        <v>53.9</v>
      </c>
    </row>
    <row r="166" spans="1:38" ht="16.5" customHeight="1" x14ac:dyDescent="0.25">
      <c r="A166" s="14" t="s">
        <v>130</v>
      </c>
      <c r="B166" s="52">
        <f t="shared" si="48"/>
        <v>183</v>
      </c>
      <c r="C166" s="52">
        <f t="shared" si="50"/>
        <v>89</v>
      </c>
      <c r="D166" s="52">
        <f t="shared" si="51"/>
        <v>94</v>
      </c>
      <c r="E166" s="54">
        <v>0</v>
      </c>
      <c r="F166" s="54">
        <v>0</v>
      </c>
      <c r="G166" s="54">
        <v>0</v>
      </c>
      <c r="H166" s="54">
        <v>0</v>
      </c>
      <c r="I166" s="54">
        <v>8</v>
      </c>
      <c r="J166" s="54">
        <v>7</v>
      </c>
      <c r="K166" s="54">
        <v>9</v>
      </c>
      <c r="L166" s="54">
        <v>5</v>
      </c>
      <c r="M166" s="54">
        <v>5</v>
      </c>
      <c r="N166" s="54">
        <v>6</v>
      </c>
      <c r="O166" s="54">
        <v>9</v>
      </c>
      <c r="P166" s="54">
        <v>11</v>
      </c>
      <c r="Q166" s="54">
        <v>8</v>
      </c>
      <c r="R166" s="54">
        <v>10</v>
      </c>
      <c r="S166" s="54">
        <v>9</v>
      </c>
      <c r="T166" s="54">
        <v>6</v>
      </c>
      <c r="U166" s="54">
        <v>9</v>
      </c>
      <c r="V166" s="54">
        <v>10</v>
      </c>
      <c r="W166" s="54">
        <v>8</v>
      </c>
      <c r="X166" s="54">
        <v>7</v>
      </c>
      <c r="Y166" s="54">
        <v>7</v>
      </c>
      <c r="Z166" s="54">
        <v>8</v>
      </c>
      <c r="AA166" s="54">
        <v>8</v>
      </c>
      <c r="AB166" s="54">
        <v>8</v>
      </c>
      <c r="AC166" s="54">
        <v>3</v>
      </c>
      <c r="AD166" s="54">
        <v>7</v>
      </c>
      <c r="AE166" s="54">
        <v>6</v>
      </c>
      <c r="AF166" s="54">
        <v>9</v>
      </c>
      <c r="AG166" s="54">
        <v>0</v>
      </c>
      <c r="AH166" s="54">
        <v>0</v>
      </c>
      <c r="AI166" s="54">
        <v>0</v>
      </c>
      <c r="AJ166" s="54">
        <v>0</v>
      </c>
      <c r="AK166" s="55">
        <f t="shared" si="40"/>
        <v>48.6</v>
      </c>
      <c r="AL166" s="15">
        <f t="shared" si="41"/>
        <v>51.4</v>
      </c>
    </row>
    <row r="167" spans="1:38" ht="16.5" customHeight="1" x14ac:dyDescent="0.25">
      <c r="A167" s="14" t="s">
        <v>131</v>
      </c>
      <c r="B167" s="52">
        <f t="shared" si="48"/>
        <v>72</v>
      </c>
      <c r="C167" s="52">
        <f t="shared" si="50"/>
        <v>35</v>
      </c>
      <c r="D167" s="52">
        <f t="shared" si="51"/>
        <v>37</v>
      </c>
      <c r="E167" s="54">
        <v>0</v>
      </c>
      <c r="F167" s="54">
        <v>0</v>
      </c>
      <c r="G167" s="54">
        <v>0</v>
      </c>
      <c r="H167" s="54">
        <v>0</v>
      </c>
      <c r="I167" s="54">
        <v>3</v>
      </c>
      <c r="J167" s="54">
        <v>1</v>
      </c>
      <c r="K167" s="54">
        <v>5</v>
      </c>
      <c r="L167" s="54">
        <v>3</v>
      </c>
      <c r="M167" s="54">
        <v>4</v>
      </c>
      <c r="N167" s="54">
        <v>6</v>
      </c>
      <c r="O167" s="54">
        <v>2</v>
      </c>
      <c r="P167" s="54">
        <v>3</v>
      </c>
      <c r="Q167" s="54">
        <v>3</v>
      </c>
      <c r="R167" s="54">
        <v>3</v>
      </c>
      <c r="S167" s="54">
        <v>2</v>
      </c>
      <c r="T167" s="54">
        <v>2</v>
      </c>
      <c r="U167" s="54">
        <v>3</v>
      </c>
      <c r="V167" s="54">
        <v>5</v>
      </c>
      <c r="W167" s="54">
        <v>4</v>
      </c>
      <c r="X167" s="54">
        <v>1</v>
      </c>
      <c r="Y167" s="54">
        <v>3</v>
      </c>
      <c r="Z167" s="54">
        <v>4</v>
      </c>
      <c r="AA167" s="54">
        <v>2</v>
      </c>
      <c r="AB167" s="54">
        <v>3</v>
      </c>
      <c r="AC167" s="54">
        <v>3</v>
      </c>
      <c r="AD167" s="54">
        <v>1</v>
      </c>
      <c r="AE167" s="54">
        <v>1</v>
      </c>
      <c r="AF167" s="54">
        <v>5</v>
      </c>
      <c r="AG167" s="54">
        <v>0</v>
      </c>
      <c r="AH167" s="54">
        <v>0</v>
      </c>
      <c r="AI167" s="54">
        <v>0</v>
      </c>
      <c r="AJ167" s="54">
        <v>0</v>
      </c>
      <c r="AK167" s="55">
        <f t="shared" si="40"/>
        <v>48.6</v>
      </c>
      <c r="AL167" s="15">
        <f t="shared" si="41"/>
        <v>51.4</v>
      </c>
    </row>
    <row r="168" spans="1:38" ht="16.5" customHeight="1" x14ac:dyDescent="0.25">
      <c r="A168" s="14" t="s">
        <v>100</v>
      </c>
      <c r="B168" s="52">
        <f t="shared" si="48"/>
        <v>341</v>
      </c>
      <c r="C168" s="52">
        <f t="shared" si="50"/>
        <v>169</v>
      </c>
      <c r="D168" s="52">
        <f t="shared" si="51"/>
        <v>172</v>
      </c>
      <c r="E168" s="54">
        <v>0</v>
      </c>
      <c r="F168" s="54">
        <v>0</v>
      </c>
      <c r="G168" s="54">
        <v>0</v>
      </c>
      <c r="H168" s="54">
        <v>0</v>
      </c>
      <c r="I168" s="54">
        <v>9</v>
      </c>
      <c r="J168" s="54">
        <v>17</v>
      </c>
      <c r="K168" s="54">
        <v>14</v>
      </c>
      <c r="L168" s="54">
        <v>18</v>
      </c>
      <c r="M168" s="54">
        <v>19</v>
      </c>
      <c r="N168" s="54">
        <v>13</v>
      </c>
      <c r="O168" s="54">
        <v>17</v>
      </c>
      <c r="P168" s="54">
        <v>10</v>
      </c>
      <c r="Q168" s="54">
        <v>12</v>
      </c>
      <c r="R168" s="54">
        <v>14</v>
      </c>
      <c r="S168" s="54">
        <v>15</v>
      </c>
      <c r="T168" s="54">
        <v>17</v>
      </c>
      <c r="U168" s="54">
        <v>14</v>
      </c>
      <c r="V168" s="54">
        <v>17</v>
      </c>
      <c r="W168" s="54">
        <v>11</v>
      </c>
      <c r="X168" s="54">
        <v>9</v>
      </c>
      <c r="Y168" s="54">
        <v>12</v>
      </c>
      <c r="Z168" s="54">
        <v>10</v>
      </c>
      <c r="AA168" s="54">
        <v>24</v>
      </c>
      <c r="AB168" s="54">
        <v>14</v>
      </c>
      <c r="AC168" s="54">
        <v>12</v>
      </c>
      <c r="AD168" s="54">
        <v>10</v>
      </c>
      <c r="AE168" s="54">
        <v>5</v>
      </c>
      <c r="AF168" s="54">
        <v>12</v>
      </c>
      <c r="AG168" s="54">
        <v>1</v>
      </c>
      <c r="AH168" s="54">
        <v>3</v>
      </c>
      <c r="AI168" s="54">
        <v>4</v>
      </c>
      <c r="AJ168" s="54">
        <v>8</v>
      </c>
      <c r="AK168" s="55">
        <f t="shared" si="40"/>
        <v>49.6</v>
      </c>
      <c r="AL168" s="15">
        <f t="shared" si="41"/>
        <v>50.4</v>
      </c>
    </row>
    <row r="169" spans="1:38" ht="16.5" customHeight="1" x14ac:dyDescent="0.25">
      <c r="A169" s="14" t="s">
        <v>132</v>
      </c>
      <c r="B169" s="52">
        <f t="shared" si="48"/>
        <v>275</v>
      </c>
      <c r="C169" s="52">
        <f t="shared" si="50"/>
        <v>159</v>
      </c>
      <c r="D169" s="52">
        <f t="shared" si="51"/>
        <v>116</v>
      </c>
      <c r="E169" s="54">
        <v>8</v>
      </c>
      <c r="F169" s="54">
        <v>7</v>
      </c>
      <c r="G169" s="54">
        <v>7</v>
      </c>
      <c r="H169" s="54">
        <v>3</v>
      </c>
      <c r="I169" s="54">
        <v>7</v>
      </c>
      <c r="J169" s="54">
        <v>9</v>
      </c>
      <c r="K169" s="54">
        <v>18</v>
      </c>
      <c r="L169" s="54">
        <v>7</v>
      </c>
      <c r="M169" s="54">
        <v>10</v>
      </c>
      <c r="N169" s="54">
        <v>10</v>
      </c>
      <c r="O169" s="54">
        <v>14</v>
      </c>
      <c r="P169" s="54">
        <v>12</v>
      </c>
      <c r="Q169" s="54">
        <v>10</v>
      </c>
      <c r="R169" s="54">
        <v>8</v>
      </c>
      <c r="S169" s="54">
        <v>9</v>
      </c>
      <c r="T169" s="54">
        <v>7</v>
      </c>
      <c r="U169" s="54">
        <v>15</v>
      </c>
      <c r="V169" s="54">
        <v>6</v>
      </c>
      <c r="W169" s="54">
        <v>13</v>
      </c>
      <c r="X169" s="54">
        <v>11</v>
      </c>
      <c r="Y169" s="54">
        <v>15</v>
      </c>
      <c r="Z169" s="54">
        <v>5</v>
      </c>
      <c r="AA169" s="54">
        <v>15</v>
      </c>
      <c r="AB169" s="54">
        <v>15</v>
      </c>
      <c r="AC169" s="54">
        <v>10</v>
      </c>
      <c r="AD169" s="54">
        <v>7</v>
      </c>
      <c r="AE169" s="54">
        <v>8</v>
      </c>
      <c r="AF169" s="54">
        <v>9</v>
      </c>
      <c r="AG169" s="54">
        <v>0</v>
      </c>
      <c r="AH169" s="54">
        <v>0</v>
      </c>
      <c r="AI169" s="54">
        <v>0</v>
      </c>
      <c r="AJ169" s="54">
        <v>0</v>
      </c>
      <c r="AK169" s="55">
        <f t="shared" si="40"/>
        <v>57.8</v>
      </c>
      <c r="AL169" s="15">
        <f t="shared" si="41"/>
        <v>42.2</v>
      </c>
    </row>
    <row r="170" spans="1:38" ht="16.5" customHeight="1" x14ac:dyDescent="0.25">
      <c r="A170" s="14" t="s">
        <v>203</v>
      </c>
      <c r="B170" s="52">
        <f t="shared" si="48"/>
        <v>118</v>
      </c>
      <c r="C170" s="52">
        <f t="shared" si="50"/>
        <v>66</v>
      </c>
      <c r="D170" s="52">
        <f t="shared" si="51"/>
        <v>52</v>
      </c>
      <c r="E170" s="54">
        <v>0</v>
      </c>
      <c r="F170" s="54">
        <v>0</v>
      </c>
      <c r="G170" s="54">
        <v>0</v>
      </c>
      <c r="H170" s="54">
        <v>0</v>
      </c>
      <c r="I170" s="54">
        <v>5</v>
      </c>
      <c r="J170" s="54">
        <v>8</v>
      </c>
      <c r="K170" s="54">
        <v>5</v>
      </c>
      <c r="L170" s="54">
        <v>7</v>
      </c>
      <c r="M170" s="54">
        <v>3</v>
      </c>
      <c r="N170" s="54">
        <v>2</v>
      </c>
      <c r="O170" s="54">
        <v>9</v>
      </c>
      <c r="P170" s="54">
        <v>4</v>
      </c>
      <c r="Q170" s="54">
        <v>8</v>
      </c>
      <c r="R170" s="54">
        <v>4</v>
      </c>
      <c r="S170" s="54">
        <v>4</v>
      </c>
      <c r="T170" s="54">
        <v>5</v>
      </c>
      <c r="U170" s="54">
        <v>10</v>
      </c>
      <c r="V170" s="54">
        <v>8</v>
      </c>
      <c r="W170" s="54">
        <v>7</v>
      </c>
      <c r="X170" s="54">
        <v>3</v>
      </c>
      <c r="Y170" s="54">
        <v>6</v>
      </c>
      <c r="Z170" s="54">
        <v>5</v>
      </c>
      <c r="AA170" s="54">
        <v>3</v>
      </c>
      <c r="AB170" s="54">
        <v>1</v>
      </c>
      <c r="AC170" s="54">
        <v>5</v>
      </c>
      <c r="AD170" s="54">
        <v>1</v>
      </c>
      <c r="AE170" s="54">
        <v>1</v>
      </c>
      <c r="AF170" s="54">
        <v>4</v>
      </c>
      <c r="AG170" s="54">
        <v>0</v>
      </c>
      <c r="AH170" s="54">
        <v>0</v>
      </c>
      <c r="AI170" s="54">
        <v>0</v>
      </c>
      <c r="AJ170" s="54">
        <v>0</v>
      </c>
      <c r="AK170" s="55">
        <f t="shared" si="40"/>
        <v>55.9</v>
      </c>
      <c r="AL170" s="15">
        <f t="shared" si="41"/>
        <v>44.1</v>
      </c>
    </row>
    <row r="171" spans="1:38" ht="16.5" customHeight="1" x14ac:dyDescent="0.25">
      <c r="A171" s="14" t="s">
        <v>201</v>
      </c>
      <c r="B171" s="52">
        <f t="shared" si="48"/>
        <v>228</v>
      </c>
      <c r="C171" s="52">
        <f t="shared" si="50"/>
        <v>122</v>
      </c>
      <c r="D171" s="52">
        <f t="shared" si="51"/>
        <v>106</v>
      </c>
      <c r="E171" s="54">
        <v>0</v>
      </c>
      <c r="F171" s="54">
        <v>0</v>
      </c>
      <c r="G171" s="54">
        <v>0</v>
      </c>
      <c r="H171" s="54">
        <v>0</v>
      </c>
      <c r="I171" s="54">
        <v>9</v>
      </c>
      <c r="J171" s="54">
        <v>9</v>
      </c>
      <c r="K171" s="54">
        <v>15</v>
      </c>
      <c r="L171" s="54">
        <v>11</v>
      </c>
      <c r="M171" s="54">
        <v>10</v>
      </c>
      <c r="N171" s="54">
        <v>12</v>
      </c>
      <c r="O171" s="54">
        <v>6</v>
      </c>
      <c r="P171" s="54">
        <v>5</v>
      </c>
      <c r="Q171" s="54">
        <v>11</v>
      </c>
      <c r="R171" s="54">
        <v>5</v>
      </c>
      <c r="S171" s="54">
        <v>13</v>
      </c>
      <c r="T171" s="54">
        <v>5</v>
      </c>
      <c r="U171" s="54">
        <v>17</v>
      </c>
      <c r="V171" s="54">
        <v>14</v>
      </c>
      <c r="W171" s="54">
        <v>5</v>
      </c>
      <c r="X171" s="54">
        <v>10</v>
      </c>
      <c r="Y171" s="54">
        <v>12</v>
      </c>
      <c r="Z171" s="54">
        <v>11</v>
      </c>
      <c r="AA171" s="54">
        <v>7</v>
      </c>
      <c r="AB171" s="54">
        <v>10</v>
      </c>
      <c r="AC171" s="54">
        <v>11</v>
      </c>
      <c r="AD171" s="54">
        <v>6</v>
      </c>
      <c r="AE171" s="54">
        <v>6</v>
      </c>
      <c r="AF171" s="54">
        <v>8</v>
      </c>
      <c r="AG171" s="54">
        <v>0</v>
      </c>
      <c r="AH171" s="54">
        <v>0</v>
      </c>
      <c r="AI171" s="54">
        <v>0</v>
      </c>
      <c r="AJ171" s="54">
        <v>0</v>
      </c>
      <c r="AK171" s="55">
        <f t="shared" si="40"/>
        <v>53.5</v>
      </c>
      <c r="AL171" s="15">
        <f t="shared" si="41"/>
        <v>46.5</v>
      </c>
    </row>
    <row r="172" spans="1:38" ht="16.5" customHeight="1" x14ac:dyDescent="0.25">
      <c r="A172" s="14" t="s">
        <v>134</v>
      </c>
      <c r="B172" s="52">
        <f t="shared" si="48"/>
        <v>227</v>
      </c>
      <c r="C172" s="52">
        <f t="shared" si="50"/>
        <v>105</v>
      </c>
      <c r="D172" s="52">
        <f t="shared" si="51"/>
        <v>122</v>
      </c>
      <c r="E172" s="54">
        <v>0</v>
      </c>
      <c r="F172" s="54">
        <v>0</v>
      </c>
      <c r="G172" s="54">
        <v>0</v>
      </c>
      <c r="H172" s="54">
        <v>0</v>
      </c>
      <c r="I172" s="54">
        <v>10</v>
      </c>
      <c r="J172" s="54">
        <v>10</v>
      </c>
      <c r="K172" s="54">
        <v>10</v>
      </c>
      <c r="L172" s="54">
        <v>15</v>
      </c>
      <c r="M172" s="54">
        <v>14</v>
      </c>
      <c r="N172" s="54">
        <v>8</v>
      </c>
      <c r="O172" s="54">
        <v>7</v>
      </c>
      <c r="P172" s="54">
        <v>12</v>
      </c>
      <c r="Q172" s="54">
        <v>9</v>
      </c>
      <c r="R172" s="54">
        <v>12</v>
      </c>
      <c r="S172" s="54">
        <v>6</v>
      </c>
      <c r="T172" s="54">
        <v>10</v>
      </c>
      <c r="U172" s="54">
        <v>12</v>
      </c>
      <c r="V172" s="54">
        <v>14</v>
      </c>
      <c r="W172" s="54">
        <v>10</v>
      </c>
      <c r="X172" s="54">
        <v>10</v>
      </c>
      <c r="Y172" s="54">
        <v>5</v>
      </c>
      <c r="Z172" s="54">
        <v>7</v>
      </c>
      <c r="AA172" s="54">
        <v>8</v>
      </c>
      <c r="AB172" s="54">
        <v>13</v>
      </c>
      <c r="AC172" s="54">
        <v>8</v>
      </c>
      <c r="AD172" s="54">
        <v>5</v>
      </c>
      <c r="AE172" s="54">
        <v>6</v>
      </c>
      <c r="AF172" s="54">
        <v>6</v>
      </c>
      <c r="AG172" s="54">
        <v>0</v>
      </c>
      <c r="AH172" s="54">
        <v>0</v>
      </c>
      <c r="AI172" s="54">
        <v>0</v>
      </c>
      <c r="AJ172" s="54">
        <v>0</v>
      </c>
      <c r="AK172" s="55">
        <f t="shared" si="40"/>
        <v>46.3</v>
      </c>
      <c r="AL172" s="15">
        <f t="shared" si="41"/>
        <v>53.7</v>
      </c>
    </row>
    <row r="173" spans="1:38" ht="16.5" customHeight="1" x14ac:dyDescent="0.25">
      <c r="A173" s="14" t="s">
        <v>115</v>
      </c>
      <c r="B173" s="52">
        <f t="shared" si="48"/>
        <v>101</v>
      </c>
      <c r="C173" s="52">
        <f t="shared" si="50"/>
        <v>49</v>
      </c>
      <c r="D173" s="52">
        <f t="shared" si="51"/>
        <v>52</v>
      </c>
      <c r="E173" s="54">
        <v>0</v>
      </c>
      <c r="F173" s="54">
        <v>0</v>
      </c>
      <c r="G173" s="54">
        <v>0</v>
      </c>
      <c r="H173" s="54">
        <v>0</v>
      </c>
      <c r="I173" s="54">
        <v>2</v>
      </c>
      <c r="J173" s="54">
        <v>12</v>
      </c>
      <c r="K173" s="54">
        <v>3</v>
      </c>
      <c r="L173" s="54">
        <v>3</v>
      </c>
      <c r="M173" s="54">
        <v>3</v>
      </c>
      <c r="N173" s="54">
        <v>2</v>
      </c>
      <c r="O173" s="54">
        <v>7</v>
      </c>
      <c r="P173" s="54">
        <v>3</v>
      </c>
      <c r="Q173" s="54">
        <v>1</v>
      </c>
      <c r="R173" s="54">
        <v>3</v>
      </c>
      <c r="S173" s="54">
        <v>9</v>
      </c>
      <c r="T173" s="54">
        <v>4</v>
      </c>
      <c r="U173" s="54">
        <v>5</v>
      </c>
      <c r="V173" s="54">
        <v>2</v>
      </c>
      <c r="W173" s="54">
        <v>3</v>
      </c>
      <c r="X173" s="54">
        <v>5</v>
      </c>
      <c r="Y173" s="54">
        <v>5</v>
      </c>
      <c r="Z173" s="54">
        <v>3</v>
      </c>
      <c r="AA173" s="54">
        <v>2</v>
      </c>
      <c r="AB173" s="54">
        <v>6</v>
      </c>
      <c r="AC173" s="54">
        <v>7</v>
      </c>
      <c r="AD173" s="54">
        <v>6</v>
      </c>
      <c r="AE173" s="54">
        <v>2</v>
      </c>
      <c r="AF173" s="54">
        <v>3</v>
      </c>
      <c r="AG173" s="54">
        <v>0</v>
      </c>
      <c r="AH173" s="54">
        <v>0</v>
      </c>
      <c r="AI173" s="54">
        <v>0</v>
      </c>
      <c r="AJ173" s="54">
        <v>0</v>
      </c>
      <c r="AK173" s="55">
        <f t="shared" si="40"/>
        <v>48.5</v>
      </c>
      <c r="AL173" s="15">
        <f t="shared" si="41"/>
        <v>51.5</v>
      </c>
    </row>
    <row r="174" spans="1:38" ht="16.5" customHeight="1" x14ac:dyDescent="0.25">
      <c r="A174" s="14" t="s">
        <v>129</v>
      </c>
      <c r="B174" s="52">
        <f t="shared" si="48"/>
        <v>280</v>
      </c>
      <c r="C174" s="52">
        <f t="shared" si="50"/>
        <v>135</v>
      </c>
      <c r="D174" s="52">
        <f t="shared" si="51"/>
        <v>145</v>
      </c>
      <c r="E174" s="54">
        <v>0</v>
      </c>
      <c r="F174" s="54">
        <v>0</v>
      </c>
      <c r="G174" s="54">
        <v>0</v>
      </c>
      <c r="H174" s="54">
        <v>0</v>
      </c>
      <c r="I174" s="54">
        <v>14</v>
      </c>
      <c r="J174" s="54">
        <v>11</v>
      </c>
      <c r="K174" s="54">
        <v>16</v>
      </c>
      <c r="L174" s="54">
        <v>16</v>
      </c>
      <c r="M174" s="54">
        <v>8</v>
      </c>
      <c r="N174" s="54">
        <v>16</v>
      </c>
      <c r="O174" s="54">
        <v>10</v>
      </c>
      <c r="P174" s="54">
        <v>13</v>
      </c>
      <c r="Q174" s="54">
        <v>12</v>
      </c>
      <c r="R174" s="54">
        <v>8</v>
      </c>
      <c r="S174" s="54">
        <v>12</v>
      </c>
      <c r="T174" s="54">
        <v>16</v>
      </c>
      <c r="U174" s="54">
        <v>16</v>
      </c>
      <c r="V174" s="54">
        <v>12</v>
      </c>
      <c r="W174" s="54">
        <v>10</v>
      </c>
      <c r="X174" s="54">
        <v>15</v>
      </c>
      <c r="Y174" s="54">
        <v>7</v>
      </c>
      <c r="Z174" s="54">
        <v>13</v>
      </c>
      <c r="AA174" s="54">
        <v>14</v>
      </c>
      <c r="AB174" s="54">
        <v>9</v>
      </c>
      <c r="AC174" s="54">
        <v>8</v>
      </c>
      <c r="AD174" s="54">
        <v>8</v>
      </c>
      <c r="AE174" s="54">
        <v>8</v>
      </c>
      <c r="AF174" s="54">
        <v>8</v>
      </c>
      <c r="AG174" s="54">
        <v>0</v>
      </c>
      <c r="AH174" s="54">
        <v>0</v>
      </c>
      <c r="AI174" s="54">
        <v>0</v>
      </c>
      <c r="AJ174" s="54">
        <v>0</v>
      </c>
      <c r="AK174" s="55">
        <f t="shared" si="40"/>
        <v>48.2</v>
      </c>
      <c r="AL174" s="15">
        <f t="shared" si="41"/>
        <v>51.8</v>
      </c>
    </row>
    <row r="175" spans="1:38" ht="16.5" customHeight="1" x14ac:dyDescent="0.25">
      <c r="A175" s="14" t="s">
        <v>135</v>
      </c>
      <c r="B175" s="52">
        <f t="shared" si="48"/>
        <v>71</v>
      </c>
      <c r="C175" s="52">
        <f t="shared" si="50"/>
        <v>39</v>
      </c>
      <c r="D175" s="52">
        <f t="shared" si="51"/>
        <v>32</v>
      </c>
      <c r="E175" s="54">
        <v>0</v>
      </c>
      <c r="F175" s="54">
        <v>0</v>
      </c>
      <c r="G175" s="54">
        <v>0</v>
      </c>
      <c r="H175" s="54">
        <v>0</v>
      </c>
      <c r="I175" s="54">
        <v>0</v>
      </c>
      <c r="J175" s="54">
        <v>0</v>
      </c>
      <c r="K175" s="54">
        <v>7</v>
      </c>
      <c r="L175" s="54">
        <v>1</v>
      </c>
      <c r="M175" s="54">
        <v>4</v>
      </c>
      <c r="N175" s="54">
        <v>4</v>
      </c>
      <c r="O175" s="54">
        <v>1</v>
      </c>
      <c r="P175" s="54">
        <v>1</v>
      </c>
      <c r="Q175" s="54">
        <v>2</v>
      </c>
      <c r="R175" s="54">
        <v>7</v>
      </c>
      <c r="S175" s="54">
        <v>6</v>
      </c>
      <c r="T175" s="54">
        <v>3</v>
      </c>
      <c r="U175" s="54">
        <v>5</v>
      </c>
      <c r="V175" s="54">
        <v>4</v>
      </c>
      <c r="W175" s="54">
        <v>2</v>
      </c>
      <c r="X175" s="54">
        <v>3</v>
      </c>
      <c r="Y175" s="54">
        <v>6</v>
      </c>
      <c r="Z175" s="54">
        <v>4</v>
      </c>
      <c r="AA175" s="54">
        <v>1</v>
      </c>
      <c r="AB175" s="54">
        <v>1</v>
      </c>
      <c r="AC175" s="54">
        <v>4</v>
      </c>
      <c r="AD175" s="54">
        <v>2</v>
      </c>
      <c r="AE175" s="54">
        <v>1</v>
      </c>
      <c r="AF175" s="54">
        <v>2</v>
      </c>
      <c r="AG175" s="54">
        <v>0</v>
      </c>
      <c r="AH175" s="54">
        <v>0</v>
      </c>
      <c r="AI175" s="54">
        <v>0</v>
      </c>
      <c r="AJ175" s="54">
        <v>0</v>
      </c>
      <c r="AK175" s="55">
        <f t="shared" si="40"/>
        <v>54.9</v>
      </c>
      <c r="AL175" s="15">
        <f t="shared" si="41"/>
        <v>45.1</v>
      </c>
    </row>
    <row r="176" spans="1:38" ht="16.5" customHeight="1" x14ac:dyDescent="0.25">
      <c r="A176" s="14" t="s">
        <v>136</v>
      </c>
      <c r="B176" s="52">
        <f t="shared" si="48"/>
        <v>361</v>
      </c>
      <c r="C176" s="52">
        <f t="shared" si="50"/>
        <v>191</v>
      </c>
      <c r="D176" s="52">
        <f t="shared" si="51"/>
        <v>170</v>
      </c>
      <c r="E176" s="54">
        <v>0</v>
      </c>
      <c r="F176" s="54">
        <v>0</v>
      </c>
      <c r="G176" s="54">
        <v>0</v>
      </c>
      <c r="H176" s="54">
        <v>0</v>
      </c>
      <c r="I176" s="54">
        <v>15</v>
      </c>
      <c r="J176" s="54">
        <v>18</v>
      </c>
      <c r="K176" s="54">
        <v>15</v>
      </c>
      <c r="L176" s="54">
        <v>14</v>
      </c>
      <c r="M176" s="54">
        <v>17</v>
      </c>
      <c r="N176" s="54">
        <v>14</v>
      </c>
      <c r="O176" s="54">
        <v>17</v>
      </c>
      <c r="P176" s="54">
        <v>11</v>
      </c>
      <c r="Q176" s="54">
        <v>14</v>
      </c>
      <c r="R176" s="54">
        <v>12</v>
      </c>
      <c r="S176" s="54">
        <v>18</v>
      </c>
      <c r="T176" s="54">
        <v>18</v>
      </c>
      <c r="U176" s="54">
        <v>15</v>
      </c>
      <c r="V176" s="54">
        <v>11</v>
      </c>
      <c r="W176" s="54">
        <v>17</v>
      </c>
      <c r="X176" s="54">
        <v>17</v>
      </c>
      <c r="Y176" s="54">
        <v>17</v>
      </c>
      <c r="Z176" s="54">
        <v>15</v>
      </c>
      <c r="AA176" s="54">
        <v>14</v>
      </c>
      <c r="AB176" s="54">
        <v>14</v>
      </c>
      <c r="AC176" s="54">
        <v>8</v>
      </c>
      <c r="AD176" s="54">
        <v>17</v>
      </c>
      <c r="AE176" s="54">
        <v>14</v>
      </c>
      <c r="AF176" s="54">
        <v>5</v>
      </c>
      <c r="AG176" s="54">
        <v>0</v>
      </c>
      <c r="AH176" s="54">
        <v>1</v>
      </c>
      <c r="AI176" s="54">
        <v>10</v>
      </c>
      <c r="AJ176" s="54">
        <v>3</v>
      </c>
      <c r="AK176" s="55">
        <f t="shared" si="40"/>
        <v>52.9</v>
      </c>
      <c r="AL176" s="15">
        <f t="shared" si="41"/>
        <v>47.1</v>
      </c>
    </row>
    <row r="177" spans="1:38" ht="16.5" customHeight="1" x14ac:dyDescent="0.25">
      <c r="A177" s="14" t="s">
        <v>133</v>
      </c>
      <c r="B177" s="52">
        <f t="shared" si="48"/>
        <v>283</v>
      </c>
      <c r="C177" s="52">
        <f t="shared" si="50"/>
        <v>140</v>
      </c>
      <c r="D177" s="52">
        <f t="shared" si="51"/>
        <v>143</v>
      </c>
      <c r="E177" s="54">
        <v>0</v>
      </c>
      <c r="F177" s="54">
        <v>0</v>
      </c>
      <c r="G177" s="54">
        <v>0</v>
      </c>
      <c r="H177" s="54">
        <v>0</v>
      </c>
      <c r="I177" s="54">
        <v>16</v>
      </c>
      <c r="J177" s="54">
        <v>9</v>
      </c>
      <c r="K177" s="54">
        <v>14</v>
      </c>
      <c r="L177" s="54">
        <v>15</v>
      </c>
      <c r="M177" s="54">
        <v>7</v>
      </c>
      <c r="N177" s="54">
        <v>11</v>
      </c>
      <c r="O177" s="54">
        <v>8</v>
      </c>
      <c r="P177" s="54">
        <v>15</v>
      </c>
      <c r="Q177" s="54">
        <v>14</v>
      </c>
      <c r="R177" s="54">
        <v>8</v>
      </c>
      <c r="S177" s="54">
        <v>14</v>
      </c>
      <c r="T177" s="54">
        <v>10</v>
      </c>
      <c r="U177" s="54">
        <v>14</v>
      </c>
      <c r="V177" s="54">
        <v>14</v>
      </c>
      <c r="W177" s="54">
        <v>18</v>
      </c>
      <c r="X177" s="54">
        <v>9</v>
      </c>
      <c r="Y177" s="54">
        <v>4</v>
      </c>
      <c r="Z177" s="54">
        <v>13</v>
      </c>
      <c r="AA177" s="54">
        <v>11</v>
      </c>
      <c r="AB177" s="54">
        <v>14</v>
      </c>
      <c r="AC177" s="54">
        <v>8</v>
      </c>
      <c r="AD177" s="54">
        <v>11</v>
      </c>
      <c r="AE177" s="54">
        <v>5</v>
      </c>
      <c r="AF177" s="54">
        <v>10</v>
      </c>
      <c r="AG177" s="54">
        <v>2</v>
      </c>
      <c r="AH177" s="54">
        <v>2</v>
      </c>
      <c r="AI177" s="54">
        <v>5</v>
      </c>
      <c r="AJ177" s="54">
        <v>2</v>
      </c>
      <c r="AK177" s="55">
        <f t="shared" si="40"/>
        <v>49.5</v>
      </c>
      <c r="AL177" s="15">
        <f t="shared" si="41"/>
        <v>50.5</v>
      </c>
    </row>
    <row r="178" spans="1:38" ht="17.25" customHeight="1" thickBot="1" x14ac:dyDescent="0.3">
      <c r="A178" s="16" t="s">
        <v>8</v>
      </c>
      <c r="B178" s="56">
        <f t="shared" si="48"/>
        <v>3578</v>
      </c>
      <c r="C178" s="56">
        <f t="shared" ref="C178:AJ178" si="52">SUM(C179:C189)</f>
        <v>1881</v>
      </c>
      <c r="D178" s="56">
        <f t="shared" si="52"/>
        <v>1697</v>
      </c>
      <c r="E178" s="60">
        <f t="shared" si="52"/>
        <v>0</v>
      </c>
      <c r="F178" s="60">
        <f t="shared" si="52"/>
        <v>0</v>
      </c>
      <c r="G178" s="60">
        <f t="shared" si="52"/>
        <v>1</v>
      </c>
      <c r="H178" s="60">
        <f t="shared" si="52"/>
        <v>0</v>
      </c>
      <c r="I178" s="60">
        <f t="shared" si="52"/>
        <v>160</v>
      </c>
      <c r="J178" s="60">
        <f t="shared" si="52"/>
        <v>162</v>
      </c>
      <c r="K178" s="60">
        <f t="shared" si="52"/>
        <v>178</v>
      </c>
      <c r="L178" s="60">
        <f t="shared" si="52"/>
        <v>170</v>
      </c>
      <c r="M178" s="60">
        <f t="shared" si="52"/>
        <v>166</v>
      </c>
      <c r="N178" s="60">
        <f t="shared" si="52"/>
        <v>141</v>
      </c>
      <c r="O178" s="60">
        <f t="shared" si="52"/>
        <v>167</v>
      </c>
      <c r="P178" s="60">
        <f t="shared" si="52"/>
        <v>134</v>
      </c>
      <c r="Q178" s="60">
        <f t="shared" si="52"/>
        <v>153</v>
      </c>
      <c r="R178" s="60">
        <f t="shared" si="52"/>
        <v>143</v>
      </c>
      <c r="S178" s="60">
        <f t="shared" si="52"/>
        <v>155</v>
      </c>
      <c r="T178" s="60">
        <f t="shared" si="52"/>
        <v>133</v>
      </c>
      <c r="U178" s="60">
        <f t="shared" si="52"/>
        <v>151</v>
      </c>
      <c r="V178" s="60">
        <f t="shared" si="52"/>
        <v>127</v>
      </c>
      <c r="W178" s="60">
        <f t="shared" si="52"/>
        <v>146</v>
      </c>
      <c r="X178" s="60">
        <f t="shared" si="52"/>
        <v>125</v>
      </c>
      <c r="Y178" s="60">
        <f t="shared" si="52"/>
        <v>155</v>
      </c>
      <c r="Z178" s="60">
        <f t="shared" si="52"/>
        <v>156</v>
      </c>
      <c r="AA178" s="60">
        <f t="shared" si="52"/>
        <v>175</v>
      </c>
      <c r="AB178" s="60">
        <f t="shared" si="52"/>
        <v>140</v>
      </c>
      <c r="AC178" s="60">
        <f t="shared" si="52"/>
        <v>130</v>
      </c>
      <c r="AD178" s="60">
        <f t="shared" si="52"/>
        <v>124</v>
      </c>
      <c r="AE178" s="60">
        <f t="shared" si="52"/>
        <v>120</v>
      </c>
      <c r="AF178" s="60">
        <f t="shared" si="52"/>
        <v>117</v>
      </c>
      <c r="AG178" s="60">
        <f t="shared" si="52"/>
        <v>14</v>
      </c>
      <c r="AH178" s="60">
        <f t="shared" si="52"/>
        <v>10</v>
      </c>
      <c r="AI178" s="60">
        <f t="shared" si="52"/>
        <v>10</v>
      </c>
      <c r="AJ178" s="60">
        <f t="shared" si="52"/>
        <v>15</v>
      </c>
      <c r="AK178" s="60">
        <f t="shared" si="40"/>
        <v>52.6</v>
      </c>
      <c r="AL178" s="21">
        <f t="shared" si="41"/>
        <v>47.4</v>
      </c>
    </row>
    <row r="179" spans="1:38" ht="16.5" customHeight="1" x14ac:dyDescent="0.25">
      <c r="A179" s="14" t="s">
        <v>180</v>
      </c>
      <c r="B179" s="52">
        <f t="shared" si="48"/>
        <v>151</v>
      </c>
      <c r="C179" s="52">
        <f t="shared" ref="C179:C189" si="53">E179+G179+I179+K179+M179+O179+Q179+S179+U179+W179+Y179+AA179+AC179+AE179+AG179+AI179</f>
        <v>81</v>
      </c>
      <c r="D179" s="52">
        <f t="shared" ref="D179:D189" si="54">F179+H179+J179+L179+N179+P179+R179+T179+V179+X179+Z179+AB179+AD179+AF179+AH179+AJ179</f>
        <v>70</v>
      </c>
      <c r="E179" s="54">
        <v>0</v>
      </c>
      <c r="F179" s="54">
        <v>0</v>
      </c>
      <c r="G179" s="54">
        <v>0</v>
      </c>
      <c r="H179" s="54">
        <v>0</v>
      </c>
      <c r="I179" s="54">
        <v>5</v>
      </c>
      <c r="J179" s="54">
        <v>5</v>
      </c>
      <c r="K179" s="54">
        <v>7</v>
      </c>
      <c r="L179" s="54">
        <v>17</v>
      </c>
      <c r="M179" s="54">
        <v>6</v>
      </c>
      <c r="N179" s="54">
        <v>8</v>
      </c>
      <c r="O179" s="54">
        <v>11</v>
      </c>
      <c r="P179" s="54">
        <v>4</v>
      </c>
      <c r="Q179" s="54">
        <v>6</v>
      </c>
      <c r="R179" s="54">
        <v>5</v>
      </c>
      <c r="S179" s="54">
        <v>7</v>
      </c>
      <c r="T179" s="54">
        <v>3</v>
      </c>
      <c r="U179" s="54">
        <v>7</v>
      </c>
      <c r="V179" s="54">
        <v>6</v>
      </c>
      <c r="W179" s="54">
        <v>5</v>
      </c>
      <c r="X179" s="54">
        <v>2</v>
      </c>
      <c r="Y179" s="54">
        <v>5</v>
      </c>
      <c r="Z179" s="54">
        <v>8</v>
      </c>
      <c r="AA179" s="54">
        <v>10</v>
      </c>
      <c r="AB179" s="54">
        <v>3</v>
      </c>
      <c r="AC179" s="54">
        <v>5</v>
      </c>
      <c r="AD179" s="54">
        <v>6</v>
      </c>
      <c r="AE179" s="54">
        <v>7</v>
      </c>
      <c r="AF179" s="54">
        <v>3</v>
      </c>
      <c r="AG179" s="54">
        <v>0</v>
      </c>
      <c r="AH179" s="54">
        <v>0</v>
      </c>
      <c r="AI179" s="54">
        <v>0</v>
      </c>
      <c r="AJ179" s="54">
        <v>0</v>
      </c>
      <c r="AK179" s="55">
        <f t="shared" si="40"/>
        <v>53.6</v>
      </c>
      <c r="AL179" s="15">
        <f t="shared" si="41"/>
        <v>46.4</v>
      </c>
    </row>
    <row r="180" spans="1:38" ht="16.5" customHeight="1" x14ac:dyDescent="0.25">
      <c r="A180" s="14" t="s">
        <v>138</v>
      </c>
      <c r="B180" s="52">
        <f t="shared" si="48"/>
        <v>740</v>
      </c>
      <c r="C180" s="52">
        <f t="shared" si="53"/>
        <v>396</v>
      </c>
      <c r="D180" s="52">
        <f t="shared" si="54"/>
        <v>344</v>
      </c>
      <c r="E180" s="54">
        <v>0</v>
      </c>
      <c r="F180" s="54">
        <v>0</v>
      </c>
      <c r="G180" s="54">
        <v>0</v>
      </c>
      <c r="H180" s="54">
        <v>0</v>
      </c>
      <c r="I180" s="54">
        <v>33</v>
      </c>
      <c r="J180" s="54">
        <v>32</v>
      </c>
      <c r="K180" s="54">
        <v>28</v>
      </c>
      <c r="L180" s="54">
        <v>39</v>
      </c>
      <c r="M180" s="54">
        <v>45</v>
      </c>
      <c r="N180" s="54">
        <v>29</v>
      </c>
      <c r="O180" s="54">
        <v>27</v>
      </c>
      <c r="P180" s="54">
        <v>29</v>
      </c>
      <c r="Q180" s="54">
        <v>36</v>
      </c>
      <c r="R180" s="54">
        <v>29</v>
      </c>
      <c r="S180" s="54">
        <v>31</v>
      </c>
      <c r="T180" s="54">
        <v>25</v>
      </c>
      <c r="U180" s="54">
        <v>35</v>
      </c>
      <c r="V180" s="54">
        <v>26</v>
      </c>
      <c r="W180" s="54">
        <v>29</v>
      </c>
      <c r="X180" s="54">
        <v>26</v>
      </c>
      <c r="Y180" s="54">
        <v>28</v>
      </c>
      <c r="Z180" s="54">
        <v>30</v>
      </c>
      <c r="AA180" s="54">
        <v>36</v>
      </c>
      <c r="AB180" s="54">
        <v>34</v>
      </c>
      <c r="AC180" s="54">
        <v>30</v>
      </c>
      <c r="AD180" s="54">
        <v>26</v>
      </c>
      <c r="AE180" s="54">
        <v>33</v>
      </c>
      <c r="AF180" s="54">
        <v>16</v>
      </c>
      <c r="AG180" s="54">
        <v>0</v>
      </c>
      <c r="AH180" s="54">
        <v>0</v>
      </c>
      <c r="AI180" s="54">
        <v>5</v>
      </c>
      <c r="AJ180" s="54">
        <v>3</v>
      </c>
      <c r="AK180" s="55">
        <f t="shared" si="40"/>
        <v>53.5</v>
      </c>
      <c r="AL180" s="15">
        <f t="shared" si="41"/>
        <v>46.5</v>
      </c>
    </row>
    <row r="181" spans="1:38" ht="16.5" customHeight="1" x14ac:dyDescent="0.25">
      <c r="A181" s="14" t="s">
        <v>143</v>
      </c>
      <c r="B181" s="52">
        <f t="shared" si="48"/>
        <v>1104</v>
      </c>
      <c r="C181" s="52">
        <f t="shared" si="53"/>
        <v>550</v>
      </c>
      <c r="D181" s="52">
        <f t="shared" si="54"/>
        <v>554</v>
      </c>
      <c r="E181" s="54">
        <v>0</v>
      </c>
      <c r="F181" s="54">
        <v>0</v>
      </c>
      <c r="G181" s="54">
        <v>0</v>
      </c>
      <c r="H181" s="54">
        <v>0</v>
      </c>
      <c r="I181" s="54">
        <v>43</v>
      </c>
      <c r="J181" s="54">
        <v>53</v>
      </c>
      <c r="K181" s="54">
        <v>64</v>
      </c>
      <c r="L181" s="54">
        <v>50</v>
      </c>
      <c r="M181" s="54">
        <v>43</v>
      </c>
      <c r="N181" s="54">
        <v>40</v>
      </c>
      <c r="O181" s="54">
        <v>48</v>
      </c>
      <c r="P181" s="54">
        <v>39</v>
      </c>
      <c r="Q181" s="54">
        <v>41</v>
      </c>
      <c r="R181" s="54">
        <v>49</v>
      </c>
      <c r="S181" s="54">
        <v>58</v>
      </c>
      <c r="T181" s="54">
        <v>41</v>
      </c>
      <c r="U181" s="54">
        <v>39</v>
      </c>
      <c r="V181" s="54">
        <v>42</v>
      </c>
      <c r="W181" s="54">
        <v>46</v>
      </c>
      <c r="X181" s="54">
        <v>44</v>
      </c>
      <c r="Y181" s="54">
        <v>51</v>
      </c>
      <c r="Z181" s="54">
        <v>52</v>
      </c>
      <c r="AA181" s="54">
        <v>47</v>
      </c>
      <c r="AB181" s="54">
        <v>47</v>
      </c>
      <c r="AC181" s="54">
        <v>23</v>
      </c>
      <c r="AD181" s="54">
        <v>38</v>
      </c>
      <c r="AE181" s="54">
        <v>31</v>
      </c>
      <c r="AF181" s="54">
        <v>39</v>
      </c>
      <c r="AG181" s="54">
        <v>11</v>
      </c>
      <c r="AH181" s="54">
        <v>8</v>
      </c>
      <c r="AI181" s="54">
        <v>5</v>
      </c>
      <c r="AJ181" s="54">
        <v>12</v>
      </c>
      <c r="AK181" s="55">
        <f t="shared" si="40"/>
        <v>49.8</v>
      </c>
      <c r="AL181" s="15">
        <f t="shared" si="41"/>
        <v>50.2</v>
      </c>
    </row>
    <row r="182" spans="1:38" ht="16.5" customHeight="1" x14ac:dyDescent="0.25">
      <c r="A182" s="14" t="s">
        <v>139</v>
      </c>
      <c r="B182" s="52">
        <f t="shared" si="48"/>
        <v>283</v>
      </c>
      <c r="C182" s="52">
        <f t="shared" si="53"/>
        <v>133</v>
      </c>
      <c r="D182" s="52">
        <f t="shared" si="54"/>
        <v>150</v>
      </c>
      <c r="E182" s="54">
        <v>0</v>
      </c>
      <c r="F182" s="54">
        <v>0</v>
      </c>
      <c r="G182" s="54">
        <v>0</v>
      </c>
      <c r="H182" s="54">
        <v>0</v>
      </c>
      <c r="I182" s="54">
        <v>12</v>
      </c>
      <c r="J182" s="54">
        <v>14</v>
      </c>
      <c r="K182" s="54">
        <v>10</v>
      </c>
      <c r="L182" s="54">
        <v>13</v>
      </c>
      <c r="M182" s="54">
        <v>17</v>
      </c>
      <c r="N182" s="54">
        <v>17</v>
      </c>
      <c r="O182" s="54">
        <v>14</v>
      </c>
      <c r="P182" s="54">
        <v>7</v>
      </c>
      <c r="Q182" s="54">
        <v>14</v>
      </c>
      <c r="R182" s="54">
        <v>14</v>
      </c>
      <c r="S182" s="54">
        <v>6</v>
      </c>
      <c r="T182" s="54">
        <v>13</v>
      </c>
      <c r="U182" s="54">
        <v>11</v>
      </c>
      <c r="V182" s="54">
        <v>6</v>
      </c>
      <c r="W182" s="54">
        <v>9</v>
      </c>
      <c r="X182" s="54">
        <v>10</v>
      </c>
      <c r="Y182" s="54">
        <v>9</v>
      </c>
      <c r="Z182" s="54">
        <v>15</v>
      </c>
      <c r="AA182" s="54">
        <v>13</v>
      </c>
      <c r="AB182" s="54">
        <v>16</v>
      </c>
      <c r="AC182" s="54">
        <v>12</v>
      </c>
      <c r="AD182" s="54">
        <v>10</v>
      </c>
      <c r="AE182" s="54">
        <v>6</v>
      </c>
      <c r="AF182" s="54">
        <v>15</v>
      </c>
      <c r="AG182" s="54">
        <v>0</v>
      </c>
      <c r="AH182" s="54">
        <v>0</v>
      </c>
      <c r="AI182" s="54">
        <v>0</v>
      </c>
      <c r="AJ182" s="54">
        <v>0</v>
      </c>
      <c r="AK182" s="55">
        <f t="shared" si="40"/>
        <v>47</v>
      </c>
      <c r="AL182" s="15">
        <f t="shared" si="41"/>
        <v>53</v>
      </c>
    </row>
    <row r="183" spans="1:38" ht="16.5" customHeight="1" x14ac:dyDescent="0.25">
      <c r="A183" s="14" t="s">
        <v>140</v>
      </c>
      <c r="B183" s="52">
        <f t="shared" si="48"/>
        <v>227</v>
      </c>
      <c r="C183" s="52">
        <f t="shared" si="53"/>
        <v>128</v>
      </c>
      <c r="D183" s="52">
        <f t="shared" si="54"/>
        <v>99</v>
      </c>
      <c r="E183" s="54">
        <v>0</v>
      </c>
      <c r="F183" s="54">
        <v>0</v>
      </c>
      <c r="G183" s="54">
        <v>0</v>
      </c>
      <c r="H183" s="54">
        <v>0</v>
      </c>
      <c r="I183" s="54">
        <v>12</v>
      </c>
      <c r="J183" s="54">
        <v>10</v>
      </c>
      <c r="K183" s="54">
        <v>14</v>
      </c>
      <c r="L183" s="54">
        <v>11</v>
      </c>
      <c r="M183" s="54">
        <v>7</v>
      </c>
      <c r="N183" s="54">
        <v>10</v>
      </c>
      <c r="O183" s="54">
        <v>11</v>
      </c>
      <c r="P183" s="54">
        <v>12</v>
      </c>
      <c r="Q183" s="54">
        <v>10</v>
      </c>
      <c r="R183" s="54">
        <v>6</v>
      </c>
      <c r="S183" s="54">
        <v>9</v>
      </c>
      <c r="T183" s="54">
        <v>6</v>
      </c>
      <c r="U183" s="54">
        <v>18</v>
      </c>
      <c r="V183" s="54">
        <v>9</v>
      </c>
      <c r="W183" s="54">
        <v>7</v>
      </c>
      <c r="X183" s="54">
        <v>6</v>
      </c>
      <c r="Y183" s="54">
        <v>11</v>
      </c>
      <c r="Z183" s="54">
        <v>8</v>
      </c>
      <c r="AA183" s="54">
        <v>14</v>
      </c>
      <c r="AB183" s="54">
        <v>5</v>
      </c>
      <c r="AC183" s="54">
        <v>5</v>
      </c>
      <c r="AD183" s="54">
        <v>9</v>
      </c>
      <c r="AE183" s="54">
        <v>7</v>
      </c>
      <c r="AF183" s="54">
        <v>5</v>
      </c>
      <c r="AG183" s="54">
        <v>3</v>
      </c>
      <c r="AH183" s="54">
        <v>2</v>
      </c>
      <c r="AI183" s="54">
        <v>0</v>
      </c>
      <c r="AJ183" s="54">
        <v>0</v>
      </c>
      <c r="AK183" s="55">
        <f t="shared" si="40"/>
        <v>56.4</v>
      </c>
      <c r="AL183" s="15">
        <f t="shared" si="41"/>
        <v>43.6</v>
      </c>
    </row>
    <row r="184" spans="1:38" ht="16.5" customHeight="1" x14ac:dyDescent="0.25">
      <c r="A184" s="14" t="s">
        <v>179</v>
      </c>
      <c r="B184" s="52">
        <f t="shared" si="48"/>
        <v>163</v>
      </c>
      <c r="C184" s="52">
        <f t="shared" si="53"/>
        <v>87</v>
      </c>
      <c r="D184" s="52">
        <f t="shared" si="54"/>
        <v>76</v>
      </c>
      <c r="E184" s="54">
        <v>0</v>
      </c>
      <c r="F184" s="54">
        <v>0</v>
      </c>
      <c r="G184" s="54">
        <v>0</v>
      </c>
      <c r="H184" s="54">
        <v>0</v>
      </c>
      <c r="I184" s="54">
        <v>7</v>
      </c>
      <c r="J184" s="54">
        <v>9</v>
      </c>
      <c r="K184" s="54">
        <v>7</v>
      </c>
      <c r="L184" s="54">
        <v>9</v>
      </c>
      <c r="M184" s="54">
        <v>4</v>
      </c>
      <c r="N184" s="54">
        <v>2</v>
      </c>
      <c r="O184" s="54">
        <v>12</v>
      </c>
      <c r="P184" s="54">
        <v>8</v>
      </c>
      <c r="Q184" s="54">
        <v>9</v>
      </c>
      <c r="R184" s="54">
        <v>6</v>
      </c>
      <c r="S184" s="54">
        <v>5</v>
      </c>
      <c r="T184" s="54">
        <v>6</v>
      </c>
      <c r="U184" s="54">
        <v>5</v>
      </c>
      <c r="V184" s="54">
        <v>5</v>
      </c>
      <c r="W184" s="54">
        <v>11</v>
      </c>
      <c r="X184" s="54">
        <v>10</v>
      </c>
      <c r="Y184" s="54">
        <v>5</v>
      </c>
      <c r="Z184" s="54">
        <v>6</v>
      </c>
      <c r="AA184" s="54">
        <v>10</v>
      </c>
      <c r="AB184" s="54">
        <v>3</v>
      </c>
      <c r="AC184" s="54">
        <v>8</v>
      </c>
      <c r="AD184" s="54">
        <v>8</v>
      </c>
      <c r="AE184" s="54">
        <v>4</v>
      </c>
      <c r="AF184" s="54">
        <v>4</v>
      </c>
      <c r="AG184" s="54">
        <v>0</v>
      </c>
      <c r="AH184" s="54">
        <v>0</v>
      </c>
      <c r="AI184" s="54">
        <v>0</v>
      </c>
      <c r="AJ184" s="54">
        <v>0</v>
      </c>
      <c r="AK184" s="55">
        <f t="shared" si="40"/>
        <v>53.4</v>
      </c>
      <c r="AL184" s="15">
        <f t="shared" si="41"/>
        <v>46.6</v>
      </c>
    </row>
    <row r="185" spans="1:38" ht="16.5" customHeight="1" x14ac:dyDescent="0.25">
      <c r="A185" s="14" t="s">
        <v>141</v>
      </c>
      <c r="B185" s="52">
        <f t="shared" si="48"/>
        <v>161</v>
      </c>
      <c r="C185" s="52">
        <f t="shared" si="53"/>
        <v>92</v>
      </c>
      <c r="D185" s="52">
        <f t="shared" si="54"/>
        <v>69</v>
      </c>
      <c r="E185" s="54">
        <v>0</v>
      </c>
      <c r="F185" s="54">
        <v>0</v>
      </c>
      <c r="G185" s="54">
        <v>0</v>
      </c>
      <c r="H185" s="54">
        <v>0</v>
      </c>
      <c r="I185" s="54">
        <v>7</v>
      </c>
      <c r="J185" s="54">
        <v>3</v>
      </c>
      <c r="K185" s="54">
        <v>6</v>
      </c>
      <c r="L185" s="54">
        <v>4</v>
      </c>
      <c r="M185" s="54">
        <v>12</v>
      </c>
      <c r="N185" s="54">
        <v>10</v>
      </c>
      <c r="O185" s="54">
        <v>13</v>
      </c>
      <c r="P185" s="54">
        <v>8</v>
      </c>
      <c r="Q185" s="54">
        <v>6</v>
      </c>
      <c r="R185" s="54">
        <v>3</v>
      </c>
      <c r="S185" s="54">
        <v>8</v>
      </c>
      <c r="T185" s="54">
        <v>8</v>
      </c>
      <c r="U185" s="54">
        <v>6</v>
      </c>
      <c r="V185" s="54">
        <v>5</v>
      </c>
      <c r="W185" s="54">
        <v>5</v>
      </c>
      <c r="X185" s="54">
        <v>4</v>
      </c>
      <c r="Y185" s="54">
        <v>8</v>
      </c>
      <c r="Z185" s="54">
        <v>5</v>
      </c>
      <c r="AA185" s="54">
        <v>6</v>
      </c>
      <c r="AB185" s="54">
        <v>7</v>
      </c>
      <c r="AC185" s="54">
        <v>10</v>
      </c>
      <c r="AD185" s="54">
        <v>5</v>
      </c>
      <c r="AE185" s="54">
        <v>5</v>
      </c>
      <c r="AF185" s="54">
        <v>7</v>
      </c>
      <c r="AG185" s="54">
        <v>0</v>
      </c>
      <c r="AH185" s="54">
        <v>0</v>
      </c>
      <c r="AI185" s="54">
        <v>0</v>
      </c>
      <c r="AJ185" s="54">
        <v>0</v>
      </c>
      <c r="AK185" s="55">
        <f t="shared" si="40"/>
        <v>57.1</v>
      </c>
      <c r="AL185" s="15">
        <f t="shared" si="41"/>
        <v>42.9</v>
      </c>
    </row>
    <row r="186" spans="1:38" ht="16.5" customHeight="1" x14ac:dyDescent="0.25">
      <c r="A186" s="14" t="s">
        <v>137</v>
      </c>
      <c r="B186" s="52">
        <f t="shared" si="48"/>
        <v>156</v>
      </c>
      <c r="C186" s="52">
        <f t="shared" si="53"/>
        <v>81</v>
      </c>
      <c r="D186" s="52">
        <f t="shared" si="54"/>
        <v>75</v>
      </c>
      <c r="E186" s="54">
        <v>0</v>
      </c>
      <c r="F186" s="54">
        <v>0</v>
      </c>
      <c r="G186" s="54">
        <v>0</v>
      </c>
      <c r="H186" s="54">
        <v>0</v>
      </c>
      <c r="I186" s="54">
        <v>8</v>
      </c>
      <c r="J186" s="54">
        <v>11</v>
      </c>
      <c r="K186" s="54">
        <v>6</v>
      </c>
      <c r="L186" s="54">
        <v>3</v>
      </c>
      <c r="M186" s="54">
        <v>5</v>
      </c>
      <c r="N186" s="54">
        <v>7</v>
      </c>
      <c r="O186" s="54">
        <v>9</v>
      </c>
      <c r="P186" s="54">
        <v>6</v>
      </c>
      <c r="Q186" s="54">
        <v>8</v>
      </c>
      <c r="R186" s="54">
        <v>4</v>
      </c>
      <c r="S186" s="54">
        <v>9</v>
      </c>
      <c r="T186" s="54">
        <v>6</v>
      </c>
      <c r="U186" s="54">
        <v>4</v>
      </c>
      <c r="V186" s="54">
        <v>6</v>
      </c>
      <c r="W186" s="54">
        <v>8</v>
      </c>
      <c r="X186" s="54">
        <v>5</v>
      </c>
      <c r="Y186" s="54">
        <v>9</v>
      </c>
      <c r="Z186" s="54">
        <v>3</v>
      </c>
      <c r="AA186" s="54">
        <v>6</v>
      </c>
      <c r="AB186" s="54">
        <v>12</v>
      </c>
      <c r="AC186" s="54">
        <v>5</v>
      </c>
      <c r="AD186" s="54">
        <v>7</v>
      </c>
      <c r="AE186" s="54">
        <v>4</v>
      </c>
      <c r="AF186" s="54">
        <v>5</v>
      </c>
      <c r="AG186" s="54">
        <v>0</v>
      </c>
      <c r="AH186" s="54">
        <v>0</v>
      </c>
      <c r="AI186" s="54">
        <v>0</v>
      </c>
      <c r="AJ186" s="54">
        <v>0</v>
      </c>
      <c r="AK186" s="55">
        <f t="shared" si="40"/>
        <v>51.9</v>
      </c>
      <c r="AL186" s="15">
        <f t="shared" si="41"/>
        <v>48.1</v>
      </c>
    </row>
    <row r="187" spans="1:38" ht="16.5" customHeight="1" x14ac:dyDescent="0.25">
      <c r="A187" s="14" t="s">
        <v>142</v>
      </c>
      <c r="B187" s="52">
        <f t="shared" si="48"/>
        <v>194</v>
      </c>
      <c r="C187" s="52">
        <f t="shared" si="53"/>
        <v>99</v>
      </c>
      <c r="D187" s="52">
        <f t="shared" si="54"/>
        <v>95</v>
      </c>
      <c r="E187" s="54">
        <v>0</v>
      </c>
      <c r="F187" s="54">
        <v>0</v>
      </c>
      <c r="G187" s="54">
        <v>0</v>
      </c>
      <c r="H187" s="54">
        <v>0</v>
      </c>
      <c r="I187" s="54">
        <v>9</v>
      </c>
      <c r="J187" s="54">
        <v>9</v>
      </c>
      <c r="K187" s="54">
        <v>12</v>
      </c>
      <c r="L187" s="54">
        <v>12</v>
      </c>
      <c r="M187" s="54">
        <v>11</v>
      </c>
      <c r="N187" s="54">
        <v>6</v>
      </c>
      <c r="O187" s="54">
        <v>5</v>
      </c>
      <c r="P187" s="54">
        <v>4</v>
      </c>
      <c r="Q187" s="54">
        <v>8</v>
      </c>
      <c r="R187" s="54">
        <v>10</v>
      </c>
      <c r="S187" s="54">
        <v>7</v>
      </c>
      <c r="T187" s="54">
        <v>6</v>
      </c>
      <c r="U187" s="54">
        <v>7</v>
      </c>
      <c r="V187" s="54">
        <v>13</v>
      </c>
      <c r="W187" s="54">
        <v>10</v>
      </c>
      <c r="X187" s="54">
        <v>7</v>
      </c>
      <c r="Y187" s="54">
        <v>10</v>
      </c>
      <c r="Z187" s="54">
        <v>11</v>
      </c>
      <c r="AA187" s="54">
        <v>10</v>
      </c>
      <c r="AB187" s="54">
        <v>5</v>
      </c>
      <c r="AC187" s="54">
        <v>6</v>
      </c>
      <c r="AD187" s="54">
        <v>3</v>
      </c>
      <c r="AE187" s="54">
        <v>4</v>
      </c>
      <c r="AF187" s="54">
        <v>9</v>
      </c>
      <c r="AG187" s="54">
        <v>0</v>
      </c>
      <c r="AH187" s="54">
        <v>0</v>
      </c>
      <c r="AI187" s="54">
        <v>0</v>
      </c>
      <c r="AJ187" s="54">
        <v>0</v>
      </c>
      <c r="AK187" s="55">
        <f t="shared" si="40"/>
        <v>51</v>
      </c>
      <c r="AL187" s="15">
        <f t="shared" si="41"/>
        <v>49</v>
      </c>
    </row>
    <row r="188" spans="1:38" ht="16.5" customHeight="1" x14ac:dyDescent="0.25">
      <c r="A188" s="14" t="s">
        <v>178</v>
      </c>
      <c r="B188" s="52">
        <f t="shared" si="48"/>
        <v>371</v>
      </c>
      <c r="C188" s="52">
        <f t="shared" si="53"/>
        <v>218</v>
      </c>
      <c r="D188" s="52">
        <f t="shared" si="54"/>
        <v>153</v>
      </c>
      <c r="E188" s="54">
        <v>0</v>
      </c>
      <c r="F188" s="54">
        <v>0</v>
      </c>
      <c r="G188" s="54">
        <v>1</v>
      </c>
      <c r="H188" s="54">
        <v>0</v>
      </c>
      <c r="I188" s="54">
        <v>21</v>
      </c>
      <c r="J188" s="54">
        <v>15</v>
      </c>
      <c r="K188" s="54">
        <v>23</v>
      </c>
      <c r="L188" s="54">
        <v>11</v>
      </c>
      <c r="M188" s="54">
        <v>15</v>
      </c>
      <c r="N188" s="54">
        <v>11</v>
      </c>
      <c r="O188" s="54">
        <v>17</v>
      </c>
      <c r="P188" s="54">
        <v>13</v>
      </c>
      <c r="Q188" s="54">
        <v>13</v>
      </c>
      <c r="R188" s="54">
        <v>16</v>
      </c>
      <c r="S188" s="54">
        <v>14</v>
      </c>
      <c r="T188" s="54">
        <v>18</v>
      </c>
      <c r="U188" s="54">
        <v>18</v>
      </c>
      <c r="V188" s="54">
        <v>8</v>
      </c>
      <c r="W188" s="54">
        <v>16</v>
      </c>
      <c r="X188" s="54">
        <v>11</v>
      </c>
      <c r="Y188" s="54">
        <v>17</v>
      </c>
      <c r="Z188" s="54">
        <v>17</v>
      </c>
      <c r="AA188" s="54">
        <v>21</v>
      </c>
      <c r="AB188" s="54">
        <v>7</v>
      </c>
      <c r="AC188" s="54">
        <v>24</v>
      </c>
      <c r="AD188" s="54">
        <v>12</v>
      </c>
      <c r="AE188" s="54">
        <v>18</v>
      </c>
      <c r="AF188" s="54">
        <v>14</v>
      </c>
      <c r="AG188" s="54">
        <v>0</v>
      </c>
      <c r="AH188" s="54">
        <v>0</v>
      </c>
      <c r="AI188" s="54">
        <v>0</v>
      </c>
      <c r="AJ188" s="54">
        <v>0</v>
      </c>
      <c r="AK188" s="55">
        <f t="shared" si="40"/>
        <v>58.8</v>
      </c>
      <c r="AL188" s="15">
        <f t="shared" si="41"/>
        <v>41.2</v>
      </c>
    </row>
    <row r="189" spans="1:38" ht="16.5" customHeight="1" x14ac:dyDescent="0.25">
      <c r="A189" s="14" t="s">
        <v>144</v>
      </c>
      <c r="B189" s="52">
        <f t="shared" si="48"/>
        <v>28</v>
      </c>
      <c r="C189" s="52">
        <f t="shared" si="53"/>
        <v>16</v>
      </c>
      <c r="D189" s="52">
        <f t="shared" si="54"/>
        <v>12</v>
      </c>
      <c r="E189" s="54">
        <v>0</v>
      </c>
      <c r="F189" s="54">
        <v>0</v>
      </c>
      <c r="G189" s="54">
        <v>0</v>
      </c>
      <c r="H189" s="54">
        <v>0</v>
      </c>
      <c r="I189" s="54">
        <v>3</v>
      </c>
      <c r="J189" s="54">
        <v>1</v>
      </c>
      <c r="K189" s="54">
        <v>1</v>
      </c>
      <c r="L189" s="54">
        <v>1</v>
      </c>
      <c r="M189" s="54">
        <v>1</v>
      </c>
      <c r="N189" s="54">
        <v>1</v>
      </c>
      <c r="O189" s="54">
        <v>0</v>
      </c>
      <c r="P189" s="54">
        <v>4</v>
      </c>
      <c r="Q189" s="54">
        <v>2</v>
      </c>
      <c r="R189" s="54">
        <v>1</v>
      </c>
      <c r="S189" s="54">
        <v>1</v>
      </c>
      <c r="T189" s="54">
        <v>1</v>
      </c>
      <c r="U189" s="54">
        <v>1</v>
      </c>
      <c r="V189" s="54">
        <v>1</v>
      </c>
      <c r="W189" s="54">
        <v>0</v>
      </c>
      <c r="X189" s="54">
        <v>0</v>
      </c>
      <c r="Y189" s="54">
        <v>2</v>
      </c>
      <c r="Z189" s="54">
        <v>1</v>
      </c>
      <c r="AA189" s="54">
        <v>2</v>
      </c>
      <c r="AB189" s="54">
        <v>1</v>
      </c>
      <c r="AC189" s="54">
        <v>2</v>
      </c>
      <c r="AD189" s="54">
        <v>0</v>
      </c>
      <c r="AE189" s="54">
        <v>1</v>
      </c>
      <c r="AF189" s="54">
        <v>0</v>
      </c>
      <c r="AG189" s="54">
        <v>0</v>
      </c>
      <c r="AH189" s="54">
        <v>0</v>
      </c>
      <c r="AI189" s="54">
        <v>0</v>
      </c>
      <c r="AJ189" s="54">
        <v>0</v>
      </c>
      <c r="AK189" s="55">
        <f t="shared" si="40"/>
        <v>57.1</v>
      </c>
      <c r="AL189" s="15">
        <f t="shared" si="41"/>
        <v>42.9</v>
      </c>
    </row>
    <row r="190" spans="1:38" ht="18" customHeight="1" thickBot="1" x14ac:dyDescent="0.3">
      <c r="A190" s="16" t="s">
        <v>16</v>
      </c>
      <c r="B190" s="56">
        <f t="shared" si="48"/>
        <v>2135</v>
      </c>
      <c r="C190" s="56">
        <f t="shared" ref="C190:AJ190" si="55">SUM(C191:C199)</f>
        <v>1117</v>
      </c>
      <c r="D190" s="56">
        <f t="shared" si="55"/>
        <v>1018</v>
      </c>
      <c r="E190" s="60">
        <f t="shared" si="55"/>
        <v>2</v>
      </c>
      <c r="F190" s="60">
        <f t="shared" si="55"/>
        <v>2</v>
      </c>
      <c r="G190" s="60">
        <f t="shared" si="55"/>
        <v>6</v>
      </c>
      <c r="H190" s="60">
        <f t="shared" si="55"/>
        <v>8</v>
      </c>
      <c r="I190" s="60">
        <f t="shared" si="55"/>
        <v>111</v>
      </c>
      <c r="J190" s="60">
        <f t="shared" si="55"/>
        <v>82</v>
      </c>
      <c r="K190" s="60">
        <f t="shared" si="55"/>
        <v>101</v>
      </c>
      <c r="L190" s="60">
        <f t="shared" si="55"/>
        <v>98</v>
      </c>
      <c r="M190" s="60">
        <f t="shared" si="55"/>
        <v>92</v>
      </c>
      <c r="N190" s="60">
        <f t="shared" si="55"/>
        <v>80</v>
      </c>
      <c r="O190" s="60">
        <f t="shared" si="55"/>
        <v>95</v>
      </c>
      <c r="P190" s="60">
        <f t="shared" si="55"/>
        <v>67</v>
      </c>
      <c r="Q190" s="60">
        <f t="shared" si="55"/>
        <v>98</v>
      </c>
      <c r="R190" s="60">
        <f t="shared" si="55"/>
        <v>99</v>
      </c>
      <c r="S190" s="60">
        <f t="shared" si="55"/>
        <v>89</v>
      </c>
      <c r="T190" s="60">
        <f t="shared" si="55"/>
        <v>86</v>
      </c>
      <c r="U190" s="60">
        <f t="shared" si="55"/>
        <v>91</v>
      </c>
      <c r="V190" s="60">
        <f t="shared" si="55"/>
        <v>81</v>
      </c>
      <c r="W190" s="60">
        <f t="shared" si="55"/>
        <v>79</v>
      </c>
      <c r="X190" s="60">
        <f t="shared" si="55"/>
        <v>70</v>
      </c>
      <c r="Y190" s="60">
        <f t="shared" si="55"/>
        <v>89</v>
      </c>
      <c r="Z190" s="60">
        <f t="shared" si="55"/>
        <v>93</v>
      </c>
      <c r="AA190" s="60">
        <f t="shared" si="55"/>
        <v>90</v>
      </c>
      <c r="AB190" s="60">
        <f t="shared" si="55"/>
        <v>77</v>
      </c>
      <c r="AC190" s="60">
        <f t="shared" si="55"/>
        <v>84</v>
      </c>
      <c r="AD190" s="60">
        <f t="shared" si="55"/>
        <v>77</v>
      </c>
      <c r="AE190" s="60">
        <f t="shared" si="55"/>
        <v>79</v>
      </c>
      <c r="AF190" s="60">
        <f t="shared" si="55"/>
        <v>81</v>
      </c>
      <c r="AG190" s="60">
        <f t="shared" si="55"/>
        <v>9</v>
      </c>
      <c r="AH190" s="60">
        <f t="shared" si="55"/>
        <v>15</v>
      </c>
      <c r="AI190" s="60">
        <f t="shared" si="55"/>
        <v>2</v>
      </c>
      <c r="AJ190" s="60">
        <f t="shared" si="55"/>
        <v>2</v>
      </c>
      <c r="AK190" s="60">
        <f t="shared" si="40"/>
        <v>52.3</v>
      </c>
      <c r="AL190" s="21">
        <f t="shared" si="41"/>
        <v>47.7</v>
      </c>
    </row>
    <row r="191" spans="1:38" ht="16.5" customHeight="1" x14ac:dyDescent="0.25">
      <c r="A191" s="14" t="s">
        <v>145</v>
      </c>
      <c r="B191" s="52">
        <f t="shared" si="48"/>
        <v>268</v>
      </c>
      <c r="C191" s="52">
        <f t="shared" ref="C191:C199" si="56">E191+G191+I191+K191+M191+O191+Q191+S191+U191+W191+Y191+AA191+AC191+AE191+AG191+AI191</f>
        <v>144</v>
      </c>
      <c r="D191" s="52">
        <f t="shared" ref="D191:D199" si="57">F191+H191+J191+L191+N191+P191+R191+T191+V191+X191+Z191+AB191+AD191+AF191+AH191+AJ191</f>
        <v>124</v>
      </c>
      <c r="E191" s="54">
        <v>0</v>
      </c>
      <c r="F191" s="54">
        <v>0</v>
      </c>
      <c r="G191" s="54">
        <v>0</v>
      </c>
      <c r="H191" s="54">
        <v>0</v>
      </c>
      <c r="I191" s="54">
        <v>13</v>
      </c>
      <c r="J191" s="54">
        <v>11</v>
      </c>
      <c r="K191" s="54">
        <v>8</v>
      </c>
      <c r="L191" s="54">
        <v>7</v>
      </c>
      <c r="M191" s="54">
        <v>6</v>
      </c>
      <c r="N191" s="54">
        <v>12</v>
      </c>
      <c r="O191" s="54">
        <v>12</v>
      </c>
      <c r="P191" s="54">
        <v>8</v>
      </c>
      <c r="Q191" s="54">
        <v>8</v>
      </c>
      <c r="R191" s="54">
        <v>10</v>
      </c>
      <c r="S191" s="54">
        <v>9</v>
      </c>
      <c r="T191" s="54">
        <v>11</v>
      </c>
      <c r="U191" s="54">
        <v>11</v>
      </c>
      <c r="V191" s="54">
        <v>7</v>
      </c>
      <c r="W191" s="54">
        <v>16</v>
      </c>
      <c r="X191" s="54">
        <v>8</v>
      </c>
      <c r="Y191" s="54">
        <v>8</v>
      </c>
      <c r="Z191" s="54">
        <v>9</v>
      </c>
      <c r="AA191" s="54">
        <v>19</v>
      </c>
      <c r="AB191" s="54">
        <v>6</v>
      </c>
      <c r="AC191" s="54">
        <v>10</v>
      </c>
      <c r="AD191" s="54">
        <v>9</v>
      </c>
      <c r="AE191" s="54">
        <v>20</v>
      </c>
      <c r="AF191" s="54">
        <v>17</v>
      </c>
      <c r="AG191" s="54">
        <v>4</v>
      </c>
      <c r="AH191" s="54">
        <v>9</v>
      </c>
      <c r="AI191" s="54">
        <v>0</v>
      </c>
      <c r="AJ191" s="54">
        <v>0</v>
      </c>
      <c r="AK191" s="55">
        <f t="shared" si="40"/>
        <v>53.7</v>
      </c>
      <c r="AL191" s="15">
        <f t="shared" si="41"/>
        <v>46.3</v>
      </c>
    </row>
    <row r="192" spans="1:38" ht="16.5" customHeight="1" x14ac:dyDescent="0.25">
      <c r="A192" s="14" t="s">
        <v>146</v>
      </c>
      <c r="B192" s="52">
        <f t="shared" si="48"/>
        <v>99</v>
      </c>
      <c r="C192" s="52">
        <f t="shared" si="56"/>
        <v>55</v>
      </c>
      <c r="D192" s="52">
        <f t="shared" si="57"/>
        <v>44</v>
      </c>
      <c r="E192" s="54">
        <v>0</v>
      </c>
      <c r="F192" s="54">
        <v>0</v>
      </c>
      <c r="G192" s="54">
        <v>0</v>
      </c>
      <c r="H192" s="54">
        <v>0</v>
      </c>
      <c r="I192" s="54">
        <v>3</v>
      </c>
      <c r="J192" s="54">
        <v>3</v>
      </c>
      <c r="K192" s="54">
        <v>9</v>
      </c>
      <c r="L192" s="54">
        <v>4</v>
      </c>
      <c r="M192" s="54">
        <v>6</v>
      </c>
      <c r="N192" s="54">
        <v>2</v>
      </c>
      <c r="O192" s="54">
        <v>8</v>
      </c>
      <c r="P192" s="54">
        <v>1</v>
      </c>
      <c r="Q192" s="54">
        <v>4</v>
      </c>
      <c r="R192" s="54">
        <v>4</v>
      </c>
      <c r="S192" s="54">
        <v>4</v>
      </c>
      <c r="T192" s="54">
        <v>3</v>
      </c>
      <c r="U192" s="54">
        <v>5</v>
      </c>
      <c r="V192" s="54">
        <v>7</v>
      </c>
      <c r="W192" s="54">
        <v>3</v>
      </c>
      <c r="X192" s="54">
        <v>2</v>
      </c>
      <c r="Y192" s="54">
        <v>4</v>
      </c>
      <c r="Z192" s="54">
        <v>8</v>
      </c>
      <c r="AA192" s="54">
        <v>4</v>
      </c>
      <c r="AB192" s="54">
        <v>3</v>
      </c>
      <c r="AC192" s="54">
        <v>5</v>
      </c>
      <c r="AD192" s="54">
        <v>4</v>
      </c>
      <c r="AE192" s="54">
        <v>0</v>
      </c>
      <c r="AF192" s="54">
        <v>3</v>
      </c>
      <c r="AG192" s="54">
        <v>0</v>
      </c>
      <c r="AH192" s="54">
        <v>0</v>
      </c>
      <c r="AI192" s="54">
        <v>0</v>
      </c>
      <c r="AJ192" s="54">
        <v>0</v>
      </c>
      <c r="AK192" s="55">
        <f t="shared" si="40"/>
        <v>55.6</v>
      </c>
      <c r="AL192" s="15">
        <f t="shared" si="41"/>
        <v>44.4</v>
      </c>
    </row>
    <row r="193" spans="1:38" ht="16.5" customHeight="1" x14ac:dyDescent="0.25">
      <c r="A193" s="14" t="s">
        <v>147</v>
      </c>
      <c r="B193" s="52">
        <f t="shared" si="48"/>
        <v>380</v>
      </c>
      <c r="C193" s="52">
        <f t="shared" si="56"/>
        <v>198</v>
      </c>
      <c r="D193" s="52">
        <f t="shared" si="57"/>
        <v>182</v>
      </c>
      <c r="E193" s="54">
        <v>2</v>
      </c>
      <c r="F193" s="54">
        <v>2</v>
      </c>
      <c r="G193" s="54">
        <v>6</v>
      </c>
      <c r="H193" s="54">
        <v>8</v>
      </c>
      <c r="I193" s="54">
        <v>19</v>
      </c>
      <c r="J193" s="54">
        <v>12</v>
      </c>
      <c r="K193" s="54">
        <v>16</v>
      </c>
      <c r="L193" s="54">
        <v>23</v>
      </c>
      <c r="M193" s="54">
        <v>18</v>
      </c>
      <c r="N193" s="54">
        <v>13</v>
      </c>
      <c r="O193" s="54">
        <v>12</v>
      </c>
      <c r="P193" s="54">
        <v>12</v>
      </c>
      <c r="Q193" s="54">
        <v>21</v>
      </c>
      <c r="R193" s="54">
        <v>18</v>
      </c>
      <c r="S193" s="54">
        <v>22</v>
      </c>
      <c r="T193" s="54">
        <v>11</v>
      </c>
      <c r="U193" s="54">
        <v>15</v>
      </c>
      <c r="V193" s="54">
        <v>14</v>
      </c>
      <c r="W193" s="54">
        <v>11</v>
      </c>
      <c r="X193" s="54">
        <v>9</v>
      </c>
      <c r="Y193" s="54">
        <v>19</v>
      </c>
      <c r="Z193" s="54">
        <v>19</v>
      </c>
      <c r="AA193" s="54">
        <v>12</v>
      </c>
      <c r="AB193" s="54">
        <v>11</v>
      </c>
      <c r="AC193" s="54">
        <v>13</v>
      </c>
      <c r="AD193" s="54">
        <v>16</v>
      </c>
      <c r="AE193" s="54">
        <v>12</v>
      </c>
      <c r="AF193" s="54">
        <v>14</v>
      </c>
      <c r="AG193" s="54">
        <v>0</v>
      </c>
      <c r="AH193" s="54">
        <v>0</v>
      </c>
      <c r="AI193" s="54">
        <v>0</v>
      </c>
      <c r="AJ193" s="54">
        <v>0</v>
      </c>
      <c r="AK193" s="55">
        <f t="shared" si="40"/>
        <v>52.1</v>
      </c>
      <c r="AL193" s="15">
        <f t="shared" si="41"/>
        <v>47.9</v>
      </c>
    </row>
    <row r="194" spans="1:38" ht="16.5" customHeight="1" x14ac:dyDescent="0.25">
      <c r="A194" s="14" t="s">
        <v>168</v>
      </c>
      <c r="B194" s="52">
        <f t="shared" si="48"/>
        <v>143</v>
      </c>
      <c r="C194" s="52">
        <f t="shared" si="56"/>
        <v>68</v>
      </c>
      <c r="D194" s="52">
        <f t="shared" si="57"/>
        <v>75</v>
      </c>
      <c r="E194" s="54">
        <v>0</v>
      </c>
      <c r="F194" s="54">
        <v>0</v>
      </c>
      <c r="G194" s="54">
        <v>0</v>
      </c>
      <c r="H194" s="54">
        <v>0</v>
      </c>
      <c r="I194" s="54">
        <v>11</v>
      </c>
      <c r="J194" s="54">
        <v>11</v>
      </c>
      <c r="K194" s="54">
        <v>5</v>
      </c>
      <c r="L194" s="54">
        <v>4</v>
      </c>
      <c r="M194" s="54">
        <v>6</v>
      </c>
      <c r="N194" s="54">
        <v>6</v>
      </c>
      <c r="O194" s="54">
        <v>5</v>
      </c>
      <c r="P194" s="54">
        <v>7</v>
      </c>
      <c r="Q194" s="54">
        <v>9</v>
      </c>
      <c r="R194" s="54">
        <v>8</v>
      </c>
      <c r="S194" s="54">
        <v>7</v>
      </c>
      <c r="T194" s="54">
        <v>7</v>
      </c>
      <c r="U194" s="54">
        <v>9</v>
      </c>
      <c r="V194" s="54">
        <v>7</v>
      </c>
      <c r="W194" s="54">
        <v>1</v>
      </c>
      <c r="X194" s="54">
        <v>8</v>
      </c>
      <c r="Y194" s="54">
        <v>4</v>
      </c>
      <c r="Z194" s="54">
        <v>3</v>
      </c>
      <c r="AA194" s="54">
        <v>3</v>
      </c>
      <c r="AB194" s="54">
        <v>6</v>
      </c>
      <c r="AC194" s="54">
        <v>7</v>
      </c>
      <c r="AD194" s="54">
        <v>4</v>
      </c>
      <c r="AE194" s="54">
        <v>1</v>
      </c>
      <c r="AF194" s="54">
        <v>4</v>
      </c>
      <c r="AG194" s="54">
        <v>0</v>
      </c>
      <c r="AH194" s="54">
        <v>0</v>
      </c>
      <c r="AI194" s="54">
        <v>0</v>
      </c>
      <c r="AJ194" s="54">
        <v>0</v>
      </c>
      <c r="AK194" s="55">
        <f t="shared" si="40"/>
        <v>47.6</v>
      </c>
      <c r="AL194" s="15">
        <f t="shared" si="41"/>
        <v>52.4</v>
      </c>
    </row>
    <row r="195" spans="1:38" ht="16.5" customHeight="1" x14ac:dyDescent="0.25">
      <c r="A195" s="14" t="s">
        <v>166</v>
      </c>
      <c r="B195" s="52">
        <f t="shared" si="48"/>
        <v>151</v>
      </c>
      <c r="C195" s="52">
        <f t="shared" si="56"/>
        <v>78</v>
      </c>
      <c r="D195" s="52">
        <f t="shared" si="57"/>
        <v>73</v>
      </c>
      <c r="E195" s="54">
        <v>0</v>
      </c>
      <c r="F195" s="54">
        <v>0</v>
      </c>
      <c r="G195" s="54">
        <v>0</v>
      </c>
      <c r="H195" s="54">
        <v>0</v>
      </c>
      <c r="I195" s="54">
        <v>7</v>
      </c>
      <c r="J195" s="54">
        <v>3</v>
      </c>
      <c r="K195" s="54">
        <v>9</v>
      </c>
      <c r="L195" s="54">
        <v>14</v>
      </c>
      <c r="M195" s="54">
        <v>4</v>
      </c>
      <c r="N195" s="54">
        <v>4</v>
      </c>
      <c r="O195" s="54">
        <v>9</v>
      </c>
      <c r="P195" s="54">
        <v>4</v>
      </c>
      <c r="Q195" s="54">
        <v>8</v>
      </c>
      <c r="R195" s="54">
        <v>7</v>
      </c>
      <c r="S195" s="54">
        <v>1</v>
      </c>
      <c r="T195" s="54">
        <v>8</v>
      </c>
      <c r="U195" s="54">
        <v>7</v>
      </c>
      <c r="V195" s="54">
        <v>5</v>
      </c>
      <c r="W195" s="54">
        <v>5</v>
      </c>
      <c r="X195" s="54">
        <v>4</v>
      </c>
      <c r="Y195" s="54">
        <v>9</v>
      </c>
      <c r="Z195" s="54">
        <v>4</v>
      </c>
      <c r="AA195" s="54">
        <v>6</v>
      </c>
      <c r="AB195" s="54">
        <v>4</v>
      </c>
      <c r="AC195" s="54">
        <v>9</v>
      </c>
      <c r="AD195" s="54">
        <v>8</v>
      </c>
      <c r="AE195" s="54">
        <v>4</v>
      </c>
      <c r="AF195" s="54">
        <v>8</v>
      </c>
      <c r="AG195" s="54">
        <v>0</v>
      </c>
      <c r="AH195" s="54">
        <v>0</v>
      </c>
      <c r="AI195" s="54">
        <v>0</v>
      </c>
      <c r="AJ195" s="54">
        <v>0</v>
      </c>
      <c r="AK195" s="55">
        <f t="shared" si="40"/>
        <v>51.7</v>
      </c>
      <c r="AL195" s="15">
        <f t="shared" si="41"/>
        <v>48.3</v>
      </c>
    </row>
    <row r="196" spans="1:38" ht="16.5" customHeight="1" x14ac:dyDescent="0.25">
      <c r="A196" s="14" t="s">
        <v>167</v>
      </c>
      <c r="B196" s="52">
        <f t="shared" si="48"/>
        <v>44</v>
      </c>
      <c r="C196" s="52">
        <f t="shared" si="56"/>
        <v>25</v>
      </c>
      <c r="D196" s="52">
        <f t="shared" si="57"/>
        <v>19</v>
      </c>
      <c r="E196" s="54">
        <v>0</v>
      </c>
      <c r="F196" s="54">
        <v>0</v>
      </c>
      <c r="G196" s="54">
        <v>0</v>
      </c>
      <c r="H196" s="54">
        <v>0</v>
      </c>
      <c r="I196" s="54">
        <v>4</v>
      </c>
      <c r="J196" s="54">
        <v>1</v>
      </c>
      <c r="K196" s="54">
        <v>7</v>
      </c>
      <c r="L196" s="54">
        <v>0</v>
      </c>
      <c r="M196" s="54">
        <v>2</v>
      </c>
      <c r="N196" s="54">
        <v>2</v>
      </c>
      <c r="O196" s="54">
        <v>4</v>
      </c>
      <c r="P196" s="54">
        <v>1</v>
      </c>
      <c r="Q196" s="54">
        <v>2</v>
      </c>
      <c r="R196" s="54">
        <v>1</v>
      </c>
      <c r="S196" s="54">
        <v>2</v>
      </c>
      <c r="T196" s="54">
        <v>5</v>
      </c>
      <c r="U196" s="54">
        <v>2</v>
      </c>
      <c r="V196" s="54">
        <v>1</v>
      </c>
      <c r="W196" s="54">
        <v>1</v>
      </c>
      <c r="X196" s="54">
        <v>2</v>
      </c>
      <c r="Y196" s="54">
        <v>1</v>
      </c>
      <c r="Z196" s="54">
        <v>3</v>
      </c>
      <c r="AA196" s="54">
        <v>0</v>
      </c>
      <c r="AB196" s="54">
        <v>3</v>
      </c>
      <c r="AC196" s="54">
        <v>0</v>
      </c>
      <c r="AD196" s="54">
        <v>0</v>
      </c>
      <c r="AE196" s="54">
        <v>0</v>
      </c>
      <c r="AF196" s="54">
        <v>0</v>
      </c>
      <c r="AG196" s="54">
        <v>0</v>
      </c>
      <c r="AH196" s="54">
        <v>0</v>
      </c>
      <c r="AI196" s="54">
        <v>0</v>
      </c>
      <c r="AJ196" s="54">
        <v>0</v>
      </c>
      <c r="AK196" s="55">
        <f t="shared" si="40"/>
        <v>56.8</v>
      </c>
      <c r="AL196" s="15">
        <f t="shared" si="41"/>
        <v>43.2</v>
      </c>
    </row>
    <row r="197" spans="1:38" ht="16.5" customHeight="1" x14ac:dyDescent="0.25">
      <c r="A197" s="14" t="s">
        <v>142</v>
      </c>
      <c r="B197" s="52">
        <f t="shared" si="48"/>
        <v>290</v>
      </c>
      <c r="C197" s="52">
        <f t="shared" si="56"/>
        <v>161</v>
      </c>
      <c r="D197" s="52">
        <f t="shared" si="57"/>
        <v>129</v>
      </c>
      <c r="E197" s="54">
        <v>0</v>
      </c>
      <c r="F197" s="54">
        <v>0</v>
      </c>
      <c r="G197" s="54">
        <v>0</v>
      </c>
      <c r="H197" s="54">
        <v>0</v>
      </c>
      <c r="I197" s="54">
        <v>16</v>
      </c>
      <c r="J197" s="54">
        <v>12</v>
      </c>
      <c r="K197" s="54">
        <v>15</v>
      </c>
      <c r="L197" s="54">
        <v>16</v>
      </c>
      <c r="M197" s="54">
        <v>10</v>
      </c>
      <c r="N197" s="54">
        <v>15</v>
      </c>
      <c r="O197" s="54">
        <v>10</v>
      </c>
      <c r="P197" s="54">
        <v>3</v>
      </c>
      <c r="Q197" s="54">
        <v>13</v>
      </c>
      <c r="R197" s="54">
        <v>10</v>
      </c>
      <c r="S197" s="54">
        <v>15</v>
      </c>
      <c r="T197" s="54">
        <v>12</v>
      </c>
      <c r="U197" s="54">
        <v>9</v>
      </c>
      <c r="V197" s="54">
        <v>12</v>
      </c>
      <c r="W197" s="54">
        <v>14</v>
      </c>
      <c r="X197" s="54">
        <v>7</v>
      </c>
      <c r="Y197" s="54">
        <v>14</v>
      </c>
      <c r="Z197" s="54">
        <v>17</v>
      </c>
      <c r="AA197" s="54">
        <v>15</v>
      </c>
      <c r="AB197" s="54">
        <v>7</v>
      </c>
      <c r="AC197" s="54">
        <v>15</v>
      </c>
      <c r="AD197" s="54">
        <v>10</v>
      </c>
      <c r="AE197" s="54">
        <v>15</v>
      </c>
      <c r="AF197" s="54">
        <v>8</v>
      </c>
      <c r="AG197" s="54">
        <v>0</v>
      </c>
      <c r="AH197" s="54">
        <v>0</v>
      </c>
      <c r="AI197" s="54">
        <v>0</v>
      </c>
      <c r="AJ197" s="54">
        <v>0</v>
      </c>
      <c r="AK197" s="55">
        <f t="shared" si="40"/>
        <v>55.5</v>
      </c>
      <c r="AL197" s="15">
        <f t="shared" si="41"/>
        <v>44.5</v>
      </c>
    </row>
    <row r="198" spans="1:38" ht="16.5" customHeight="1" x14ac:dyDescent="0.25">
      <c r="A198" s="14" t="s">
        <v>126</v>
      </c>
      <c r="B198" s="52">
        <f t="shared" si="48"/>
        <v>120</v>
      </c>
      <c r="C198" s="52">
        <f t="shared" si="56"/>
        <v>61</v>
      </c>
      <c r="D198" s="52">
        <f t="shared" si="57"/>
        <v>59</v>
      </c>
      <c r="E198" s="54">
        <v>0</v>
      </c>
      <c r="F198" s="54">
        <v>0</v>
      </c>
      <c r="G198" s="54">
        <v>0</v>
      </c>
      <c r="H198" s="54">
        <v>0</v>
      </c>
      <c r="I198" s="54">
        <v>8</v>
      </c>
      <c r="J198" s="54">
        <v>5</v>
      </c>
      <c r="K198" s="54">
        <v>7</v>
      </c>
      <c r="L198" s="54">
        <v>6</v>
      </c>
      <c r="M198" s="54">
        <v>4</v>
      </c>
      <c r="N198" s="54">
        <v>5</v>
      </c>
      <c r="O198" s="54">
        <v>4</v>
      </c>
      <c r="P198" s="54">
        <v>1</v>
      </c>
      <c r="Q198" s="54">
        <v>5</v>
      </c>
      <c r="R198" s="54">
        <v>4</v>
      </c>
      <c r="S198" s="54">
        <v>2</v>
      </c>
      <c r="T198" s="54">
        <v>5</v>
      </c>
      <c r="U198" s="54">
        <v>5</v>
      </c>
      <c r="V198" s="54">
        <v>5</v>
      </c>
      <c r="W198" s="54">
        <v>3</v>
      </c>
      <c r="X198" s="54">
        <v>7</v>
      </c>
      <c r="Y198" s="54">
        <v>3</v>
      </c>
      <c r="Z198" s="54">
        <v>8</v>
      </c>
      <c r="AA198" s="54">
        <v>5</v>
      </c>
      <c r="AB198" s="54">
        <v>3</v>
      </c>
      <c r="AC198" s="54">
        <v>7</v>
      </c>
      <c r="AD198" s="54">
        <v>5</v>
      </c>
      <c r="AE198" s="54">
        <v>8</v>
      </c>
      <c r="AF198" s="54">
        <v>5</v>
      </c>
      <c r="AG198" s="54">
        <v>0</v>
      </c>
      <c r="AH198" s="54">
        <v>0</v>
      </c>
      <c r="AI198" s="54">
        <v>0</v>
      </c>
      <c r="AJ198" s="54">
        <v>0</v>
      </c>
      <c r="AK198" s="55">
        <f t="shared" si="40"/>
        <v>50.8</v>
      </c>
      <c r="AL198" s="15">
        <f t="shared" si="41"/>
        <v>49.2</v>
      </c>
    </row>
    <row r="199" spans="1:38" ht="16.5" customHeight="1" x14ac:dyDescent="0.25">
      <c r="A199" s="14" t="s">
        <v>165</v>
      </c>
      <c r="B199" s="52">
        <f t="shared" si="48"/>
        <v>640</v>
      </c>
      <c r="C199" s="52">
        <f t="shared" si="56"/>
        <v>327</v>
      </c>
      <c r="D199" s="52">
        <f t="shared" si="57"/>
        <v>313</v>
      </c>
      <c r="E199" s="54">
        <v>0</v>
      </c>
      <c r="F199" s="54">
        <v>0</v>
      </c>
      <c r="G199" s="54">
        <v>0</v>
      </c>
      <c r="H199" s="54">
        <v>0</v>
      </c>
      <c r="I199" s="54">
        <v>30</v>
      </c>
      <c r="J199" s="54">
        <v>24</v>
      </c>
      <c r="K199" s="54">
        <v>25</v>
      </c>
      <c r="L199" s="54">
        <v>24</v>
      </c>
      <c r="M199" s="54">
        <v>36</v>
      </c>
      <c r="N199" s="54">
        <v>21</v>
      </c>
      <c r="O199" s="54">
        <v>31</v>
      </c>
      <c r="P199" s="54">
        <v>30</v>
      </c>
      <c r="Q199" s="54">
        <v>28</v>
      </c>
      <c r="R199" s="54">
        <v>37</v>
      </c>
      <c r="S199" s="54">
        <v>27</v>
      </c>
      <c r="T199" s="54">
        <v>24</v>
      </c>
      <c r="U199" s="54">
        <v>28</v>
      </c>
      <c r="V199" s="54">
        <v>23</v>
      </c>
      <c r="W199" s="54">
        <v>25</v>
      </c>
      <c r="X199" s="54">
        <v>23</v>
      </c>
      <c r="Y199" s="54">
        <v>27</v>
      </c>
      <c r="Z199" s="54">
        <v>22</v>
      </c>
      <c r="AA199" s="54">
        <v>26</v>
      </c>
      <c r="AB199" s="54">
        <v>34</v>
      </c>
      <c r="AC199" s="54">
        <v>18</v>
      </c>
      <c r="AD199" s="54">
        <v>21</v>
      </c>
      <c r="AE199" s="54">
        <v>19</v>
      </c>
      <c r="AF199" s="54">
        <v>22</v>
      </c>
      <c r="AG199" s="54">
        <v>5</v>
      </c>
      <c r="AH199" s="54">
        <v>6</v>
      </c>
      <c r="AI199" s="54">
        <v>2</v>
      </c>
      <c r="AJ199" s="54">
        <v>2</v>
      </c>
      <c r="AK199" s="55">
        <f t="shared" si="40"/>
        <v>51.1</v>
      </c>
      <c r="AL199" s="15">
        <f t="shared" si="41"/>
        <v>48.9</v>
      </c>
    </row>
    <row r="200" spans="1:38" s="24" customFormat="1" ht="17.25" customHeight="1" thickBot="1" x14ac:dyDescent="0.3">
      <c r="A200" s="16" t="s">
        <v>17</v>
      </c>
      <c r="B200" s="56">
        <f t="shared" si="48"/>
        <v>3252</v>
      </c>
      <c r="C200" s="56">
        <f t="shared" ref="C200:AJ200" si="58">SUM(C201:C209)</f>
        <v>1700</v>
      </c>
      <c r="D200" s="56">
        <f t="shared" si="58"/>
        <v>1552</v>
      </c>
      <c r="E200" s="60">
        <f t="shared" si="58"/>
        <v>24</v>
      </c>
      <c r="F200" s="60">
        <f t="shared" si="58"/>
        <v>38</v>
      </c>
      <c r="G200" s="60">
        <f t="shared" si="58"/>
        <v>39</v>
      </c>
      <c r="H200" s="60">
        <f t="shared" si="58"/>
        <v>33</v>
      </c>
      <c r="I200" s="60">
        <f t="shared" si="58"/>
        <v>113</v>
      </c>
      <c r="J200" s="60">
        <f t="shared" si="58"/>
        <v>137</v>
      </c>
      <c r="K200" s="60">
        <f t="shared" si="58"/>
        <v>161</v>
      </c>
      <c r="L200" s="60">
        <f t="shared" si="58"/>
        <v>160</v>
      </c>
      <c r="M200" s="60">
        <f t="shared" si="58"/>
        <v>137</v>
      </c>
      <c r="N200" s="60">
        <f t="shared" si="58"/>
        <v>122</v>
      </c>
      <c r="O200" s="60">
        <f t="shared" si="58"/>
        <v>136</v>
      </c>
      <c r="P200" s="60">
        <f t="shared" si="58"/>
        <v>106</v>
      </c>
      <c r="Q200" s="60">
        <f t="shared" si="58"/>
        <v>149</v>
      </c>
      <c r="R200" s="60">
        <f t="shared" si="58"/>
        <v>107</v>
      </c>
      <c r="S200" s="60">
        <f t="shared" si="58"/>
        <v>172</v>
      </c>
      <c r="T200" s="60">
        <f t="shared" si="58"/>
        <v>130</v>
      </c>
      <c r="U200" s="60">
        <f t="shared" si="58"/>
        <v>123</v>
      </c>
      <c r="V200" s="60">
        <f t="shared" si="58"/>
        <v>128</v>
      </c>
      <c r="W200" s="60">
        <f t="shared" si="58"/>
        <v>125</v>
      </c>
      <c r="X200" s="60">
        <f t="shared" si="58"/>
        <v>118</v>
      </c>
      <c r="Y200" s="60">
        <f t="shared" si="58"/>
        <v>133</v>
      </c>
      <c r="Z200" s="60">
        <f t="shared" si="58"/>
        <v>129</v>
      </c>
      <c r="AA200" s="60">
        <f t="shared" si="58"/>
        <v>125</v>
      </c>
      <c r="AB200" s="60">
        <f t="shared" si="58"/>
        <v>117</v>
      </c>
      <c r="AC200" s="60">
        <f t="shared" si="58"/>
        <v>117</v>
      </c>
      <c r="AD200" s="60">
        <f t="shared" si="58"/>
        <v>93</v>
      </c>
      <c r="AE200" s="60">
        <f t="shared" si="58"/>
        <v>121</v>
      </c>
      <c r="AF200" s="60">
        <f t="shared" si="58"/>
        <v>103</v>
      </c>
      <c r="AG200" s="60">
        <f t="shared" si="58"/>
        <v>11</v>
      </c>
      <c r="AH200" s="60">
        <f t="shared" si="58"/>
        <v>16</v>
      </c>
      <c r="AI200" s="60">
        <f t="shared" si="58"/>
        <v>14</v>
      </c>
      <c r="AJ200" s="60">
        <f t="shared" si="58"/>
        <v>15</v>
      </c>
      <c r="AK200" s="60">
        <f t="shared" si="40"/>
        <v>52.3</v>
      </c>
      <c r="AL200" s="21">
        <f t="shared" si="41"/>
        <v>47.7</v>
      </c>
    </row>
    <row r="201" spans="1:38" ht="16.5" customHeight="1" x14ac:dyDescent="0.25">
      <c r="A201" s="14" t="s">
        <v>171</v>
      </c>
      <c r="B201" s="52">
        <f t="shared" si="48"/>
        <v>214</v>
      </c>
      <c r="C201" s="52">
        <f t="shared" ref="C201:C209" si="59">E201+G201+I201+K201+M201+O201+Q201+S201+U201+W201+Y201+AA201+AC201+AE201+AG201+AI201</f>
        <v>111</v>
      </c>
      <c r="D201" s="52">
        <f t="shared" ref="D201:D209" si="60">F201+H201+J201+L201+N201+P201+R201+T201+V201+X201+Z201+AB201+AD201+AF201+AH201+AJ201</f>
        <v>103</v>
      </c>
      <c r="E201" s="54">
        <v>0</v>
      </c>
      <c r="F201" s="54">
        <v>0</v>
      </c>
      <c r="G201" s="54">
        <v>0</v>
      </c>
      <c r="H201" s="54">
        <v>0</v>
      </c>
      <c r="I201" s="54">
        <v>6</v>
      </c>
      <c r="J201" s="54">
        <v>10</v>
      </c>
      <c r="K201" s="54">
        <v>11</v>
      </c>
      <c r="L201" s="54">
        <v>13</v>
      </c>
      <c r="M201" s="54">
        <v>10</v>
      </c>
      <c r="N201" s="54">
        <v>10</v>
      </c>
      <c r="O201" s="54">
        <v>10</v>
      </c>
      <c r="P201" s="54">
        <v>7</v>
      </c>
      <c r="Q201" s="54">
        <v>14</v>
      </c>
      <c r="R201" s="54">
        <v>7</v>
      </c>
      <c r="S201" s="54">
        <v>13</v>
      </c>
      <c r="T201" s="54">
        <v>13</v>
      </c>
      <c r="U201" s="54">
        <v>4</v>
      </c>
      <c r="V201" s="54">
        <v>6</v>
      </c>
      <c r="W201" s="54">
        <v>7</v>
      </c>
      <c r="X201" s="54">
        <v>6</v>
      </c>
      <c r="Y201" s="54">
        <v>11</v>
      </c>
      <c r="Z201" s="54">
        <v>6</v>
      </c>
      <c r="AA201" s="54">
        <v>6</v>
      </c>
      <c r="AB201" s="54">
        <v>10</v>
      </c>
      <c r="AC201" s="54">
        <v>10</v>
      </c>
      <c r="AD201" s="54">
        <v>7</v>
      </c>
      <c r="AE201" s="54">
        <v>9</v>
      </c>
      <c r="AF201" s="54">
        <v>8</v>
      </c>
      <c r="AG201" s="54">
        <v>0</v>
      </c>
      <c r="AH201" s="54">
        <v>0</v>
      </c>
      <c r="AI201" s="54">
        <v>0</v>
      </c>
      <c r="AJ201" s="54">
        <v>0</v>
      </c>
      <c r="AK201" s="55">
        <f t="shared" si="40"/>
        <v>51.9</v>
      </c>
      <c r="AL201" s="15">
        <f t="shared" si="41"/>
        <v>48.1</v>
      </c>
    </row>
    <row r="202" spans="1:38" ht="16.5" customHeight="1" x14ac:dyDescent="0.25">
      <c r="A202" s="14" t="s">
        <v>172</v>
      </c>
      <c r="B202" s="52">
        <f t="shared" si="48"/>
        <v>160</v>
      </c>
      <c r="C202" s="52">
        <f t="shared" si="59"/>
        <v>86</v>
      </c>
      <c r="D202" s="52">
        <f t="shared" si="60"/>
        <v>74</v>
      </c>
      <c r="E202" s="54">
        <v>0</v>
      </c>
      <c r="F202" s="54">
        <v>0</v>
      </c>
      <c r="G202" s="54">
        <v>0</v>
      </c>
      <c r="H202" s="54">
        <v>0</v>
      </c>
      <c r="I202" s="54">
        <v>6</v>
      </c>
      <c r="J202" s="54">
        <v>7</v>
      </c>
      <c r="K202" s="54">
        <v>10</v>
      </c>
      <c r="L202" s="54">
        <v>9</v>
      </c>
      <c r="M202" s="54">
        <v>5</v>
      </c>
      <c r="N202" s="54">
        <v>5</v>
      </c>
      <c r="O202" s="54">
        <v>5</v>
      </c>
      <c r="P202" s="54">
        <v>5</v>
      </c>
      <c r="Q202" s="54">
        <v>12</v>
      </c>
      <c r="R202" s="54">
        <v>5</v>
      </c>
      <c r="S202" s="54">
        <v>4</v>
      </c>
      <c r="T202" s="54">
        <v>5</v>
      </c>
      <c r="U202" s="54">
        <v>12</v>
      </c>
      <c r="V202" s="54">
        <v>9</v>
      </c>
      <c r="W202" s="54">
        <v>3</v>
      </c>
      <c r="X202" s="54">
        <v>8</v>
      </c>
      <c r="Y202" s="54">
        <v>7</v>
      </c>
      <c r="Z202" s="54">
        <v>6</v>
      </c>
      <c r="AA202" s="54">
        <v>8</v>
      </c>
      <c r="AB202" s="54">
        <v>3</v>
      </c>
      <c r="AC202" s="54">
        <v>6</v>
      </c>
      <c r="AD202" s="54">
        <v>2</v>
      </c>
      <c r="AE202" s="54">
        <v>8</v>
      </c>
      <c r="AF202" s="54">
        <v>10</v>
      </c>
      <c r="AG202" s="54">
        <v>0</v>
      </c>
      <c r="AH202" s="54">
        <v>0</v>
      </c>
      <c r="AI202" s="54">
        <v>0</v>
      </c>
      <c r="AJ202" s="54">
        <v>0</v>
      </c>
      <c r="AK202" s="55">
        <f t="shared" ref="AK202:AK265" si="61">ROUND(C202/SUM(E202:AJ202)*100,1)</f>
        <v>53.8</v>
      </c>
      <c r="AL202" s="15">
        <f t="shared" ref="AL202:AL218" si="62">ROUND(D202/SUM(E202:AJ202)*100,1)</f>
        <v>46.3</v>
      </c>
    </row>
    <row r="203" spans="1:38" ht="16.5" customHeight="1" x14ac:dyDescent="0.25">
      <c r="A203" s="14" t="s">
        <v>148</v>
      </c>
      <c r="B203" s="52">
        <f t="shared" si="48"/>
        <v>310</v>
      </c>
      <c r="C203" s="52">
        <f t="shared" si="59"/>
        <v>163</v>
      </c>
      <c r="D203" s="52">
        <f t="shared" si="60"/>
        <v>147</v>
      </c>
      <c r="E203" s="54">
        <v>0</v>
      </c>
      <c r="F203" s="54">
        <v>0</v>
      </c>
      <c r="G203" s="54">
        <v>0</v>
      </c>
      <c r="H203" s="54">
        <v>0</v>
      </c>
      <c r="I203" s="54">
        <v>7</v>
      </c>
      <c r="J203" s="54">
        <v>13</v>
      </c>
      <c r="K203" s="54">
        <v>22</v>
      </c>
      <c r="L203" s="54">
        <v>19</v>
      </c>
      <c r="M203" s="54">
        <v>15</v>
      </c>
      <c r="N203" s="54">
        <v>13</v>
      </c>
      <c r="O203" s="54">
        <v>12</v>
      </c>
      <c r="P203" s="54">
        <v>14</v>
      </c>
      <c r="Q203" s="54">
        <v>19</v>
      </c>
      <c r="R203" s="54">
        <v>9</v>
      </c>
      <c r="S203" s="54">
        <v>17</v>
      </c>
      <c r="T203" s="54">
        <v>11</v>
      </c>
      <c r="U203" s="54">
        <v>13</v>
      </c>
      <c r="V203" s="54">
        <v>11</v>
      </c>
      <c r="W203" s="54">
        <v>10</v>
      </c>
      <c r="X203" s="54">
        <v>12</v>
      </c>
      <c r="Y203" s="54">
        <v>16</v>
      </c>
      <c r="Z203" s="54">
        <v>15</v>
      </c>
      <c r="AA203" s="54">
        <v>12</v>
      </c>
      <c r="AB203" s="54">
        <v>10</v>
      </c>
      <c r="AC203" s="54">
        <v>9</v>
      </c>
      <c r="AD203" s="54">
        <v>11</v>
      </c>
      <c r="AE203" s="54">
        <v>11</v>
      </c>
      <c r="AF203" s="54">
        <v>9</v>
      </c>
      <c r="AG203" s="54">
        <v>0</v>
      </c>
      <c r="AH203" s="54">
        <v>0</v>
      </c>
      <c r="AI203" s="54">
        <v>0</v>
      </c>
      <c r="AJ203" s="54">
        <v>0</v>
      </c>
      <c r="AK203" s="55">
        <f t="shared" si="61"/>
        <v>52.6</v>
      </c>
      <c r="AL203" s="15">
        <f t="shared" si="62"/>
        <v>47.4</v>
      </c>
    </row>
    <row r="204" spans="1:38" ht="16.5" customHeight="1" x14ac:dyDescent="0.25">
      <c r="A204" s="14" t="s">
        <v>169</v>
      </c>
      <c r="B204" s="52">
        <f t="shared" si="48"/>
        <v>250</v>
      </c>
      <c r="C204" s="52">
        <f t="shared" si="59"/>
        <v>144</v>
      </c>
      <c r="D204" s="52">
        <f t="shared" si="60"/>
        <v>106</v>
      </c>
      <c r="E204" s="54">
        <v>0</v>
      </c>
      <c r="F204" s="54">
        <v>0</v>
      </c>
      <c r="G204" s="54">
        <v>0</v>
      </c>
      <c r="H204" s="54">
        <v>0</v>
      </c>
      <c r="I204" s="54">
        <v>7</v>
      </c>
      <c r="J204" s="54">
        <v>7</v>
      </c>
      <c r="K204" s="54">
        <v>12</v>
      </c>
      <c r="L204" s="54">
        <v>15</v>
      </c>
      <c r="M204" s="54">
        <v>10</v>
      </c>
      <c r="N204" s="54">
        <v>8</v>
      </c>
      <c r="O204" s="54">
        <v>12</v>
      </c>
      <c r="P204" s="54">
        <v>9</v>
      </c>
      <c r="Q204" s="54">
        <v>9</v>
      </c>
      <c r="R204" s="54">
        <v>7</v>
      </c>
      <c r="S204" s="54">
        <v>19</v>
      </c>
      <c r="T204" s="54">
        <v>12</v>
      </c>
      <c r="U204" s="54">
        <v>13</v>
      </c>
      <c r="V204" s="54">
        <v>4</v>
      </c>
      <c r="W204" s="54">
        <v>13</v>
      </c>
      <c r="X204" s="54">
        <v>11</v>
      </c>
      <c r="Y204" s="54">
        <v>15</v>
      </c>
      <c r="Z204" s="54">
        <v>15</v>
      </c>
      <c r="AA204" s="54">
        <v>13</v>
      </c>
      <c r="AB204" s="54">
        <v>6</v>
      </c>
      <c r="AC204" s="54">
        <v>9</v>
      </c>
      <c r="AD204" s="54">
        <v>7</v>
      </c>
      <c r="AE204" s="54">
        <v>12</v>
      </c>
      <c r="AF204" s="54">
        <v>5</v>
      </c>
      <c r="AG204" s="54">
        <v>0</v>
      </c>
      <c r="AH204" s="54">
        <v>0</v>
      </c>
      <c r="AI204" s="54">
        <v>0</v>
      </c>
      <c r="AJ204" s="54">
        <v>0</v>
      </c>
      <c r="AK204" s="55">
        <f t="shared" si="61"/>
        <v>57.6</v>
      </c>
      <c r="AL204" s="15">
        <f t="shared" si="62"/>
        <v>42.4</v>
      </c>
    </row>
    <row r="205" spans="1:38" ht="16.5" customHeight="1" x14ac:dyDescent="0.25">
      <c r="A205" s="14" t="s">
        <v>150</v>
      </c>
      <c r="B205" s="52">
        <f t="shared" si="48"/>
        <v>350</v>
      </c>
      <c r="C205" s="52">
        <f t="shared" si="59"/>
        <v>173</v>
      </c>
      <c r="D205" s="52">
        <f t="shared" si="60"/>
        <v>177</v>
      </c>
      <c r="E205" s="54">
        <v>0</v>
      </c>
      <c r="F205" s="54">
        <v>0</v>
      </c>
      <c r="G205" s="54">
        <v>0</v>
      </c>
      <c r="H205" s="54">
        <v>0</v>
      </c>
      <c r="I205" s="54">
        <v>18</v>
      </c>
      <c r="J205" s="54">
        <v>21</v>
      </c>
      <c r="K205" s="54">
        <v>15</v>
      </c>
      <c r="L205" s="54">
        <v>14</v>
      </c>
      <c r="M205" s="54">
        <v>14</v>
      </c>
      <c r="N205" s="54">
        <v>10</v>
      </c>
      <c r="O205" s="54">
        <v>13</v>
      </c>
      <c r="P205" s="54">
        <v>15</v>
      </c>
      <c r="Q205" s="54">
        <v>10</v>
      </c>
      <c r="R205" s="54">
        <v>18</v>
      </c>
      <c r="S205" s="54">
        <v>17</v>
      </c>
      <c r="T205" s="54">
        <v>10</v>
      </c>
      <c r="U205" s="54">
        <v>12</v>
      </c>
      <c r="V205" s="54">
        <v>23</v>
      </c>
      <c r="W205" s="54">
        <v>26</v>
      </c>
      <c r="X205" s="54">
        <v>20</v>
      </c>
      <c r="Y205" s="54">
        <v>7</v>
      </c>
      <c r="Z205" s="54">
        <v>13</v>
      </c>
      <c r="AA205" s="54">
        <v>16</v>
      </c>
      <c r="AB205" s="54">
        <v>12</v>
      </c>
      <c r="AC205" s="54">
        <v>16</v>
      </c>
      <c r="AD205" s="54">
        <v>7</v>
      </c>
      <c r="AE205" s="54">
        <v>9</v>
      </c>
      <c r="AF205" s="54">
        <v>14</v>
      </c>
      <c r="AG205" s="54">
        <v>0</v>
      </c>
      <c r="AH205" s="54">
        <v>0</v>
      </c>
      <c r="AI205" s="54">
        <v>0</v>
      </c>
      <c r="AJ205" s="54">
        <v>0</v>
      </c>
      <c r="AK205" s="55">
        <f t="shared" si="61"/>
        <v>49.4</v>
      </c>
      <c r="AL205" s="15">
        <f t="shared" si="62"/>
        <v>50.6</v>
      </c>
    </row>
    <row r="206" spans="1:38" ht="16.5" customHeight="1" x14ac:dyDescent="0.25">
      <c r="A206" s="14" t="s">
        <v>170</v>
      </c>
      <c r="B206" s="52">
        <f t="shared" si="48"/>
        <v>173</v>
      </c>
      <c r="C206" s="52">
        <f t="shared" si="59"/>
        <v>94</v>
      </c>
      <c r="D206" s="52">
        <f t="shared" si="60"/>
        <v>79</v>
      </c>
      <c r="E206" s="54">
        <v>0</v>
      </c>
      <c r="F206" s="54">
        <v>0</v>
      </c>
      <c r="G206" s="54">
        <v>0</v>
      </c>
      <c r="H206" s="54">
        <v>0</v>
      </c>
      <c r="I206" s="54">
        <v>5</v>
      </c>
      <c r="J206" s="54">
        <v>9</v>
      </c>
      <c r="K206" s="54">
        <v>17</v>
      </c>
      <c r="L206" s="54">
        <v>6</v>
      </c>
      <c r="M206" s="54">
        <v>6</v>
      </c>
      <c r="N206" s="54">
        <v>11</v>
      </c>
      <c r="O206" s="54">
        <v>7</v>
      </c>
      <c r="P206" s="54">
        <v>6</v>
      </c>
      <c r="Q206" s="54">
        <v>4</v>
      </c>
      <c r="R206" s="54">
        <v>1</v>
      </c>
      <c r="S206" s="54">
        <v>11</v>
      </c>
      <c r="T206" s="54">
        <v>5</v>
      </c>
      <c r="U206" s="54">
        <v>8</v>
      </c>
      <c r="V206" s="54">
        <v>9</v>
      </c>
      <c r="W206" s="54">
        <v>3</v>
      </c>
      <c r="X206" s="54">
        <v>6</v>
      </c>
      <c r="Y206" s="54">
        <v>11</v>
      </c>
      <c r="Z206" s="54">
        <v>2</v>
      </c>
      <c r="AA206" s="54">
        <v>5</v>
      </c>
      <c r="AB206" s="54">
        <v>11</v>
      </c>
      <c r="AC206" s="54">
        <v>6</v>
      </c>
      <c r="AD206" s="54">
        <v>8</v>
      </c>
      <c r="AE206" s="54">
        <v>11</v>
      </c>
      <c r="AF206" s="54">
        <v>5</v>
      </c>
      <c r="AG206" s="54">
        <v>0</v>
      </c>
      <c r="AH206" s="54">
        <v>0</v>
      </c>
      <c r="AI206" s="54">
        <v>0</v>
      </c>
      <c r="AJ206" s="54">
        <v>0</v>
      </c>
      <c r="AK206" s="55">
        <f t="shared" si="61"/>
        <v>54.3</v>
      </c>
      <c r="AL206" s="15">
        <f t="shared" si="62"/>
        <v>45.7</v>
      </c>
    </row>
    <row r="207" spans="1:38" ht="16.5" customHeight="1" x14ac:dyDescent="0.25">
      <c r="A207" s="14" t="s">
        <v>151</v>
      </c>
      <c r="B207" s="52">
        <f t="shared" si="48"/>
        <v>101</v>
      </c>
      <c r="C207" s="52">
        <f t="shared" si="59"/>
        <v>60</v>
      </c>
      <c r="D207" s="52">
        <f t="shared" si="60"/>
        <v>41</v>
      </c>
      <c r="E207" s="54">
        <v>0</v>
      </c>
      <c r="F207" s="54">
        <v>0</v>
      </c>
      <c r="G207" s="54">
        <v>0</v>
      </c>
      <c r="H207" s="54">
        <v>0</v>
      </c>
      <c r="I207" s="54">
        <v>6</v>
      </c>
      <c r="J207" s="54">
        <v>5</v>
      </c>
      <c r="K207" s="54">
        <v>6</v>
      </c>
      <c r="L207" s="54">
        <v>4</v>
      </c>
      <c r="M207" s="54">
        <v>6</v>
      </c>
      <c r="N207" s="54">
        <v>4</v>
      </c>
      <c r="O207" s="54">
        <v>7</v>
      </c>
      <c r="P207" s="54">
        <v>3</v>
      </c>
      <c r="Q207" s="54">
        <v>4</v>
      </c>
      <c r="R207" s="54">
        <v>5</v>
      </c>
      <c r="S207" s="54">
        <v>5</v>
      </c>
      <c r="T207" s="54">
        <v>4</v>
      </c>
      <c r="U207" s="54">
        <v>3</v>
      </c>
      <c r="V207" s="54">
        <v>2</v>
      </c>
      <c r="W207" s="54">
        <v>6</v>
      </c>
      <c r="X207" s="54">
        <v>4</v>
      </c>
      <c r="Y207" s="54">
        <v>5</v>
      </c>
      <c r="Z207" s="54">
        <v>4</v>
      </c>
      <c r="AA207" s="54">
        <v>4</v>
      </c>
      <c r="AB207" s="54">
        <v>5</v>
      </c>
      <c r="AC207" s="54">
        <v>3</v>
      </c>
      <c r="AD207" s="54">
        <v>0</v>
      </c>
      <c r="AE207" s="54">
        <v>5</v>
      </c>
      <c r="AF207" s="54">
        <v>1</v>
      </c>
      <c r="AG207" s="54">
        <v>0</v>
      </c>
      <c r="AH207" s="54">
        <v>0</v>
      </c>
      <c r="AI207" s="54">
        <v>0</v>
      </c>
      <c r="AJ207" s="54">
        <v>0</v>
      </c>
      <c r="AK207" s="55">
        <f t="shared" si="61"/>
        <v>59.4</v>
      </c>
      <c r="AL207" s="15">
        <f t="shared" si="62"/>
        <v>40.6</v>
      </c>
    </row>
    <row r="208" spans="1:38" ht="16.5" customHeight="1" x14ac:dyDescent="0.25">
      <c r="A208" s="14" t="s">
        <v>149</v>
      </c>
      <c r="B208" s="52">
        <f t="shared" si="48"/>
        <v>1550</v>
      </c>
      <c r="C208" s="52">
        <f t="shared" si="59"/>
        <v>789</v>
      </c>
      <c r="D208" s="52">
        <f t="shared" si="60"/>
        <v>761</v>
      </c>
      <c r="E208" s="54">
        <v>24</v>
      </c>
      <c r="F208" s="54">
        <v>38</v>
      </c>
      <c r="G208" s="54">
        <v>39</v>
      </c>
      <c r="H208" s="54">
        <v>33</v>
      </c>
      <c r="I208" s="54">
        <v>53</v>
      </c>
      <c r="J208" s="54">
        <v>56</v>
      </c>
      <c r="K208" s="54">
        <v>60</v>
      </c>
      <c r="L208" s="54">
        <v>73</v>
      </c>
      <c r="M208" s="54">
        <v>63</v>
      </c>
      <c r="N208" s="54">
        <v>58</v>
      </c>
      <c r="O208" s="54">
        <v>63</v>
      </c>
      <c r="P208" s="54">
        <v>41</v>
      </c>
      <c r="Q208" s="54">
        <v>71</v>
      </c>
      <c r="R208" s="54">
        <v>51</v>
      </c>
      <c r="S208" s="54">
        <v>80</v>
      </c>
      <c r="T208" s="54">
        <v>67</v>
      </c>
      <c r="U208" s="54">
        <v>53</v>
      </c>
      <c r="V208" s="54">
        <v>58</v>
      </c>
      <c r="W208" s="54">
        <v>54</v>
      </c>
      <c r="X208" s="54">
        <v>48</v>
      </c>
      <c r="Y208" s="54">
        <v>54</v>
      </c>
      <c r="Z208" s="54">
        <v>60</v>
      </c>
      <c r="AA208" s="54">
        <v>53</v>
      </c>
      <c r="AB208" s="54">
        <v>56</v>
      </c>
      <c r="AC208" s="54">
        <v>49</v>
      </c>
      <c r="AD208" s="54">
        <v>46</v>
      </c>
      <c r="AE208" s="54">
        <v>48</v>
      </c>
      <c r="AF208" s="54">
        <v>45</v>
      </c>
      <c r="AG208" s="54">
        <v>11</v>
      </c>
      <c r="AH208" s="54">
        <v>16</v>
      </c>
      <c r="AI208" s="54">
        <v>14</v>
      </c>
      <c r="AJ208" s="54">
        <v>15</v>
      </c>
      <c r="AK208" s="55">
        <f t="shared" si="61"/>
        <v>50.9</v>
      </c>
      <c r="AL208" s="15">
        <f t="shared" si="62"/>
        <v>49.1</v>
      </c>
    </row>
    <row r="209" spans="1:38" ht="16.5" customHeight="1" x14ac:dyDescent="0.25">
      <c r="A209" s="14" t="s">
        <v>79</v>
      </c>
      <c r="B209" s="52">
        <f t="shared" si="48"/>
        <v>144</v>
      </c>
      <c r="C209" s="52">
        <f t="shared" si="59"/>
        <v>80</v>
      </c>
      <c r="D209" s="52">
        <f t="shared" si="60"/>
        <v>64</v>
      </c>
      <c r="E209" s="54">
        <v>0</v>
      </c>
      <c r="F209" s="54">
        <v>0</v>
      </c>
      <c r="G209" s="54">
        <v>0</v>
      </c>
      <c r="H209" s="54">
        <v>0</v>
      </c>
      <c r="I209" s="54">
        <v>5</v>
      </c>
      <c r="J209" s="54">
        <v>9</v>
      </c>
      <c r="K209" s="54">
        <v>8</v>
      </c>
      <c r="L209" s="54">
        <v>7</v>
      </c>
      <c r="M209" s="54">
        <v>8</v>
      </c>
      <c r="N209" s="54">
        <v>3</v>
      </c>
      <c r="O209" s="54">
        <v>7</v>
      </c>
      <c r="P209" s="54">
        <v>6</v>
      </c>
      <c r="Q209" s="54">
        <v>6</v>
      </c>
      <c r="R209" s="54">
        <v>4</v>
      </c>
      <c r="S209" s="54">
        <v>6</v>
      </c>
      <c r="T209" s="54">
        <v>3</v>
      </c>
      <c r="U209" s="54">
        <v>5</v>
      </c>
      <c r="V209" s="54">
        <v>6</v>
      </c>
      <c r="W209" s="54">
        <v>3</v>
      </c>
      <c r="X209" s="54">
        <v>3</v>
      </c>
      <c r="Y209" s="54">
        <v>7</v>
      </c>
      <c r="Z209" s="54">
        <v>8</v>
      </c>
      <c r="AA209" s="54">
        <v>8</v>
      </c>
      <c r="AB209" s="54">
        <v>4</v>
      </c>
      <c r="AC209" s="54">
        <v>9</v>
      </c>
      <c r="AD209" s="54">
        <v>5</v>
      </c>
      <c r="AE209" s="54">
        <v>8</v>
      </c>
      <c r="AF209" s="54">
        <v>6</v>
      </c>
      <c r="AG209" s="54">
        <v>0</v>
      </c>
      <c r="AH209" s="54">
        <v>0</v>
      </c>
      <c r="AI209" s="54">
        <v>0</v>
      </c>
      <c r="AJ209" s="54">
        <v>0</v>
      </c>
      <c r="AK209" s="55">
        <f t="shared" si="61"/>
        <v>55.6</v>
      </c>
      <c r="AL209" s="15">
        <f t="shared" si="62"/>
        <v>44.4</v>
      </c>
    </row>
    <row r="210" spans="1:38" s="24" customFormat="1" ht="18" customHeight="1" thickBot="1" x14ac:dyDescent="0.3">
      <c r="A210" s="16" t="s">
        <v>18</v>
      </c>
      <c r="B210" s="56">
        <f t="shared" si="48"/>
        <v>2505</v>
      </c>
      <c r="C210" s="56">
        <f t="shared" ref="C210:AJ210" si="63">SUM(C211:C211)</f>
        <v>1270</v>
      </c>
      <c r="D210" s="56">
        <f t="shared" si="63"/>
        <v>1235</v>
      </c>
      <c r="E210" s="60">
        <f t="shared" si="63"/>
        <v>39</v>
      </c>
      <c r="F210" s="60">
        <f t="shared" si="63"/>
        <v>34</v>
      </c>
      <c r="G210" s="60">
        <f t="shared" si="63"/>
        <v>51</v>
      </c>
      <c r="H210" s="60">
        <f t="shared" si="63"/>
        <v>66</v>
      </c>
      <c r="I210" s="60">
        <f t="shared" si="63"/>
        <v>83</v>
      </c>
      <c r="J210" s="60">
        <f t="shared" si="63"/>
        <v>84</v>
      </c>
      <c r="K210" s="60">
        <f t="shared" si="63"/>
        <v>98</v>
      </c>
      <c r="L210" s="60">
        <f t="shared" si="63"/>
        <v>103</v>
      </c>
      <c r="M210" s="60">
        <f t="shared" si="63"/>
        <v>89</v>
      </c>
      <c r="N210" s="60">
        <f t="shared" si="63"/>
        <v>68</v>
      </c>
      <c r="O210" s="60">
        <f t="shared" si="63"/>
        <v>98</v>
      </c>
      <c r="P210" s="60">
        <f t="shared" si="63"/>
        <v>88</v>
      </c>
      <c r="Q210" s="60">
        <f t="shared" si="63"/>
        <v>100</v>
      </c>
      <c r="R210" s="60">
        <f t="shared" si="63"/>
        <v>108</v>
      </c>
      <c r="S210" s="60">
        <f t="shared" si="63"/>
        <v>101</v>
      </c>
      <c r="T210" s="60">
        <f t="shared" si="63"/>
        <v>84</v>
      </c>
      <c r="U210" s="60">
        <f t="shared" si="63"/>
        <v>110</v>
      </c>
      <c r="V210" s="60">
        <f t="shared" si="63"/>
        <v>80</v>
      </c>
      <c r="W210" s="60">
        <f t="shared" si="63"/>
        <v>130</v>
      </c>
      <c r="X210" s="60">
        <f t="shared" si="63"/>
        <v>106</v>
      </c>
      <c r="Y210" s="60">
        <f t="shared" si="63"/>
        <v>111</v>
      </c>
      <c r="Z210" s="60">
        <f t="shared" si="63"/>
        <v>108</v>
      </c>
      <c r="AA210" s="60">
        <f t="shared" si="63"/>
        <v>86</v>
      </c>
      <c r="AB210" s="60">
        <f t="shared" si="63"/>
        <v>92</v>
      </c>
      <c r="AC210" s="60">
        <f t="shared" si="63"/>
        <v>74</v>
      </c>
      <c r="AD210" s="60">
        <f t="shared" si="63"/>
        <v>84</v>
      </c>
      <c r="AE210" s="60">
        <f t="shared" si="63"/>
        <v>64</v>
      </c>
      <c r="AF210" s="60">
        <f t="shared" si="63"/>
        <v>77</v>
      </c>
      <c r="AG210" s="60">
        <f t="shared" si="63"/>
        <v>19</v>
      </c>
      <c r="AH210" s="60">
        <f t="shared" si="63"/>
        <v>25</v>
      </c>
      <c r="AI210" s="60">
        <f t="shared" si="63"/>
        <v>17</v>
      </c>
      <c r="AJ210" s="60">
        <f t="shared" si="63"/>
        <v>28</v>
      </c>
      <c r="AK210" s="60">
        <f t="shared" si="61"/>
        <v>50.7</v>
      </c>
      <c r="AL210" s="21">
        <f t="shared" si="62"/>
        <v>49.3</v>
      </c>
    </row>
    <row r="211" spans="1:38" ht="16.5" customHeight="1" x14ac:dyDescent="0.25">
      <c r="A211" s="14" t="s">
        <v>173</v>
      </c>
      <c r="B211" s="52">
        <f t="shared" si="48"/>
        <v>2505</v>
      </c>
      <c r="C211" s="52">
        <f>E211+G211+I211+K211+M211+O211+Q211+S211+U211+W211+Y211+AA211+AC211+AE211+AG211+AI211</f>
        <v>1270</v>
      </c>
      <c r="D211" s="52">
        <f>F211+H211+J211+L211+N211+P211+R211+T211+V211+X211+Z211+AB211+AD211+AF211+AH211+AJ211</f>
        <v>1235</v>
      </c>
      <c r="E211" s="54">
        <v>39</v>
      </c>
      <c r="F211" s="54">
        <v>34</v>
      </c>
      <c r="G211" s="54">
        <v>51</v>
      </c>
      <c r="H211" s="54">
        <v>66</v>
      </c>
      <c r="I211" s="54">
        <v>83</v>
      </c>
      <c r="J211" s="54">
        <v>84</v>
      </c>
      <c r="K211" s="54">
        <v>98</v>
      </c>
      <c r="L211" s="54">
        <v>103</v>
      </c>
      <c r="M211" s="54">
        <v>89</v>
      </c>
      <c r="N211" s="54">
        <v>68</v>
      </c>
      <c r="O211" s="54">
        <v>98</v>
      </c>
      <c r="P211" s="54">
        <v>88</v>
      </c>
      <c r="Q211" s="54">
        <v>100</v>
      </c>
      <c r="R211" s="54">
        <v>108</v>
      </c>
      <c r="S211" s="54">
        <v>101</v>
      </c>
      <c r="T211" s="54">
        <v>84</v>
      </c>
      <c r="U211" s="54">
        <v>110</v>
      </c>
      <c r="V211" s="54">
        <v>80</v>
      </c>
      <c r="W211" s="54">
        <v>130</v>
      </c>
      <c r="X211" s="54">
        <v>106</v>
      </c>
      <c r="Y211" s="54">
        <v>111</v>
      </c>
      <c r="Z211" s="54">
        <v>108</v>
      </c>
      <c r="AA211" s="54">
        <v>86</v>
      </c>
      <c r="AB211" s="54">
        <v>92</v>
      </c>
      <c r="AC211" s="54">
        <v>74</v>
      </c>
      <c r="AD211" s="54">
        <v>84</v>
      </c>
      <c r="AE211" s="54">
        <v>64</v>
      </c>
      <c r="AF211" s="54">
        <v>77</v>
      </c>
      <c r="AG211" s="54">
        <v>19</v>
      </c>
      <c r="AH211" s="54">
        <v>25</v>
      </c>
      <c r="AI211" s="54">
        <v>17</v>
      </c>
      <c r="AJ211" s="54">
        <v>28</v>
      </c>
      <c r="AK211" s="55">
        <f t="shared" si="61"/>
        <v>50.7</v>
      </c>
      <c r="AL211" s="15">
        <f t="shared" si="62"/>
        <v>49.3</v>
      </c>
    </row>
    <row r="212" spans="1:38" s="24" customFormat="1" ht="17.25" customHeight="1" thickBot="1" x14ac:dyDescent="0.3">
      <c r="A212" s="16" t="s">
        <v>3</v>
      </c>
      <c r="B212" s="56">
        <f t="shared" si="48"/>
        <v>5558</v>
      </c>
      <c r="C212" s="56">
        <f t="shared" ref="C212:AJ212" si="64">SUM(C213:C218)</f>
        <v>2818</v>
      </c>
      <c r="D212" s="56">
        <f t="shared" si="64"/>
        <v>2740</v>
      </c>
      <c r="E212" s="60">
        <f t="shared" si="64"/>
        <v>52</v>
      </c>
      <c r="F212" s="60">
        <f t="shared" si="64"/>
        <v>58</v>
      </c>
      <c r="G212" s="60">
        <f t="shared" si="64"/>
        <v>122</v>
      </c>
      <c r="H212" s="60">
        <f t="shared" si="64"/>
        <v>107</v>
      </c>
      <c r="I212" s="60">
        <f t="shared" si="64"/>
        <v>168</v>
      </c>
      <c r="J212" s="60">
        <f t="shared" si="64"/>
        <v>170</v>
      </c>
      <c r="K212" s="60">
        <f t="shared" si="64"/>
        <v>244</v>
      </c>
      <c r="L212" s="60">
        <f t="shared" si="64"/>
        <v>241</v>
      </c>
      <c r="M212" s="60">
        <f t="shared" si="64"/>
        <v>216</v>
      </c>
      <c r="N212" s="60">
        <f t="shared" si="64"/>
        <v>218</v>
      </c>
      <c r="O212" s="60">
        <f t="shared" si="64"/>
        <v>215</v>
      </c>
      <c r="P212" s="60">
        <f t="shared" si="64"/>
        <v>202</v>
      </c>
      <c r="Q212" s="60">
        <f t="shared" si="64"/>
        <v>235</v>
      </c>
      <c r="R212" s="60">
        <f t="shared" si="64"/>
        <v>203</v>
      </c>
      <c r="S212" s="60">
        <f t="shared" si="64"/>
        <v>202</v>
      </c>
      <c r="T212" s="60">
        <f t="shared" si="64"/>
        <v>181</v>
      </c>
      <c r="U212" s="60">
        <f t="shared" si="64"/>
        <v>242</v>
      </c>
      <c r="V212" s="60">
        <f t="shared" si="64"/>
        <v>192</v>
      </c>
      <c r="W212" s="60">
        <f t="shared" si="64"/>
        <v>214</v>
      </c>
      <c r="X212" s="60">
        <f t="shared" si="64"/>
        <v>213</v>
      </c>
      <c r="Y212" s="60">
        <f t="shared" si="64"/>
        <v>209</v>
      </c>
      <c r="Z212" s="60">
        <f t="shared" si="64"/>
        <v>222</v>
      </c>
      <c r="AA212" s="60">
        <f t="shared" si="64"/>
        <v>208</v>
      </c>
      <c r="AB212" s="60">
        <f t="shared" si="64"/>
        <v>191</v>
      </c>
      <c r="AC212" s="60">
        <f t="shared" si="64"/>
        <v>188</v>
      </c>
      <c r="AD212" s="60">
        <f t="shared" si="64"/>
        <v>171</v>
      </c>
      <c r="AE212" s="60">
        <f t="shared" si="64"/>
        <v>161</v>
      </c>
      <c r="AF212" s="60">
        <f t="shared" si="64"/>
        <v>173</v>
      </c>
      <c r="AG212" s="60">
        <f t="shared" si="64"/>
        <v>71</v>
      </c>
      <c r="AH212" s="60">
        <f t="shared" si="64"/>
        <v>98</v>
      </c>
      <c r="AI212" s="60">
        <f t="shared" si="64"/>
        <v>71</v>
      </c>
      <c r="AJ212" s="60">
        <f t="shared" si="64"/>
        <v>100</v>
      </c>
      <c r="AK212" s="60">
        <f t="shared" si="61"/>
        <v>50.7</v>
      </c>
      <c r="AL212" s="21">
        <f t="shared" si="62"/>
        <v>49.3</v>
      </c>
    </row>
    <row r="213" spans="1:38" ht="16.5" customHeight="1" x14ac:dyDescent="0.25">
      <c r="A213" s="14" t="s">
        <v>54</v>
      </c>
      <c r="B213" s="52">
        <f t="shared" si="48"/>
        <v>588</v>
      </c>
      <c r="C213" s="52">
        <f t="shared" ref="C213:D218" si="65">E213+G213+I213+K213+M213+O213+Q213+S213+U213+W213+Y213+AA213+AC213+AE213+AG213+AI213</f>
        <v>310</v>
      </c>
      <c r="D213" s="52">
        <f t="shared" si="65"/>
        <v>278</v>
      </c>
      <c r="E213" s="54">
        <v>0</v>
      </c>
      <c r="F213" s="54">
        <v>0</v>
      </c>
      <c r="G213" s="54">
        <v>0</v>
      </c>
      <c r="H213" s="54">
        <v>0</v>
      </c>
      <c r="I213" s="54">
        <v>12</v>
      </c>
      <c r="J213" s="54">
        <v>16</v>
      </c>
      <c r="K213" s="54">
        <v>28</v>
      </c>
      <c r="L213" s="54">
        <v>31</v>
      </c>
      <c r="M213" s="54">
        <v>24</v>
      </c>
      <c r="N213" s="54">
        <v>25</v>
      </c>
      <c r="O213" s="54">
        <v>32</v>
      </c>
      <c r="P213" s="54">
        <v>26</v>
      </c>
      <c r="Q213" s="54">
        <v>39</v>
      </c>
      <c r="R213" s="54">
        <v>21</v>
      </c>
      <c r="S213" s="54">
        <v>33</v>
      </c>
      <c r="T213" s="54">
        <v>19</v>
      </c>
      <c r="U213" s="54">
        <v>35</v>
      </c>
      <c r="V213" s="54">
        <v>26</v>
      </c>
      <c r="W213" s="54">
        <v>20</v>
      </c>
      <c r="X213" s="54">
        <v>21</v>
      </c>
      <c r="Y213" s="54">
        <v>19</v>
      </c>
      <c r="Z213" s="54">
        <v>20</v>
      </c>
      <c r="AA213" s="54">
        <v>26</v>
      </c>
      <c r="AB213" s="54">
        <v>24</v>
      </c>
      <c r="AC213" s="54">
        <v>19</v>
      </c>
      <c r="AD213" s="54">
        <v>22</v>
      </c>
      <c r="AE213" s="54">
        <v>23</v>
      </c>
      <c r="AF213" s="54">
        <v>27</v>
      </c>
      <c r="AG213" s="54">
        <v>0</v>
      </c>
      <c r="AH213" s="54">
        <v>0</v>
      </c>
      <c r="AI213" s="54">
        <v>0</v>
      </c>
      <c r="AJ213" s="54">
        <v>0</v>
      </c>
      <c r="AK213" s="55">
        <f t="shared" si="61"/>
        <v>52.7</v>
      </c>
      <c r="AL213" s="15">
        <f t="shared" si="62"/>
        <v>47.3</v>
      </c>
    </row>
    <row r="214" spans="1:38" ht="16.5" customHeight="1" x14ac:dyDescent="0.25">
      <c r="A214" s="14" t="s">
        <v>139</v>
      </c>
      <c r="B214" s="52">
        <f t="shared" si="48"/>
        <v>3642</v>
      </c>
      <c r="C214" s="52">
        <f t="shared" si="65"/>
        <v>1830</v>
      </c>
      <c r="D214" s="52">
        <f t="shared" si="65"/>
        <v>1812</v>
      </c>
      <c r="E214" s="54">
        <v>45</v>
      </c>
      <c r="F214" s="54">
        <v>52</v>
      </c>
      <c r="G214" s="54">
        <v>104</v>
      </c>
      <c r="H214" s="54">
        <v>86</v>
      </c>
      <c r="I214" s="54">
        <v>106</v>
      </c>
      <c r="J214" s="54">
        <v>116</v>
      </c>
      <c r="K214" s="54">
        <v>165</v>
      </c>
      <c r="L214" s="54">
        <v>144</v>
      </c>
      <c r="M214" s="54">
        <v>131</v>
      </c>
      <c r="N214" s="54">
        <v>155</v>
      </c>
      <c r="O214" s="54">
        <v>133</v>
      </c>
      <c r="P214" s="54">
        <v>129</v>
      </c>
      <c r="Q214" s="54">
        <v>142</v>
      </c>
      <c r="R214" s="54">
        <v>124</v>
      </c>
      <c r="S214" s="54">
        <v>121</v>
      </c>
      <c r="T214" s="54">
        <v>116</v>
      </c>
      <c r="U214" s="54">
        <v>144</v>
      </c>
      <c r="V214" s="54">
        <v>107</v>
      </c>
      <c r="W214" s="54">
        <v>145</v>
      </c>
      <c r="X214" s="54">
        <v>136</v>
      </c>
      <c r="Y214" s="54">
        <v>127</v>
      </c>
      <c r="Z214" s="54">
        <v>134</v>
      </c>
      <c r="AA214" s="54">
        <v>119</v>
      </c>
      <c r="AB214" s="54">
        <v>120</v>
      </c>
      <c r="AC214" s="54">
        <v>105</v>
      </c>
      <c r="AD214" s="54">
        <v>97</v>
      </c>
      <c r="AE214" s="54">
        <v>105</v>
      </c>
      <c r="AF214" s="54">
        <v>103</v>
      </c>
      <c r="AG214" s="54">
        <v>67</v>
      </c>
      <c r="AH214" s="54">
        <v>93</v>
      </c>
      <c r="AI214" s="54">
        <v>71</v>
      </c>
      <c r="AJ214" s="54">
        <v>100</v>
      </c>
      <c r="AK214" s="55">
        <f t="shared" si="61"/>
        <v>50.2</v>
      </c>
      <c r="AL214" s="15">
        <f t="shared" si="62"/>
        <v>49.8</v>
      </c>
    </row>
    <row r="215" spans="1:38" ht="16.5" customHeight="1" x14ac:dyDescent="0.25">
      <c r="A215" s="14" t="s">
        <v>200</v>
      </c>
      <c r="B215" s="52">
        <f t="shared" si="48"/>
        <v>594</v>
      </c>
      <c r="C215" s="52">
        <f t="shared" si="65"/>
        <v>314</v>
      </c>
      <c r="D215" s="52">
        <f t="shared" si="65"/>
        <v>280</v>
      </c>
      <c r="E215" s="54">
        <v>0</v>
      </c>
      <c r="F215" s="54">
        <v>0</v>
      </c>
      <c r="G215" s="54">
        <v>0</v>
      </c>
      <c r="H215" s="54">
        <v>0</v>
      </c>
      <c r="I215" s="54">
        <v>13</v>
      </c>
      <c r="J215" s="54">
        <v>8</v>
      </c>
      <c r="K215" s="54">
        <v>22</v>
      </c>
      <c r="L215" s="54">
        <v>30</v>
      </c>
      <c r="M215" s="54">
        <v>26</v>
      </c>
      <c r="N215" s="54">
        <v>18</v>
      </c>
      <c r="O215" s="54">
        <v>26</v>
      </c>
      <c r="P215" s="54">
        <v>21</v>
      </c>
      <c r="Q215" s="54">
        <v>29</v>
      </c>
      <c r="R215" s="54">
        <v>27</v>
      </c>
      <c r="S215" s="54">
        <v>25</v>
      </c>
      <c r="T215" s="54">
        <v>21</v>
      </c>
      <c r="U215" s="54">
        <v>31</v>
      </c>
      <c r="V215" s="54">
        <v>32</v>
      </c>
      <c r="W215" s="54">
        <v>23</v>
      </c>
      <c r="X215" s="54">
        <v>26</v>
      </c>
      <c r="Y215" s="54">
        <v>31</v>
      </c>
      <c r="Z215" s="54">
        <v>30</v>
      </c>
      <c r="AA215" s="54">
        <v>33</v>
      </c>
      <c r="AB215" s="54">
        <v>20</v>
      </c>
      <c r="AC215" s="54">
        <v>34</v>
      </c>
      <c r="AD215" s="54">
        <v>19</v>
      </c>
      <c r="AE215" s="54">
        <v>17</v>
      </c>
      <c r="AF215" s="54">
        <v>23</v>
      </c>
      <c r="AG215" s="54">
        <v>4</v>
      </c>
      <c r="AH215" s="54">
        <v>5</v>
      </c>
      <c r="AI215" s="54">
        <v>0</v>
      </c>
      <c r="AJ215" s="54">
        <v>0</v>
      </c>
      <c r="AK215" s="55">
        <f t="shared" si="61"/>
        <v>52.9</v>
      </c>
      <c r="AL215" s="15">
        <f t="shared" si="62"/>
        <v>47.1</v>
      </c>
    </row>
    <row r="216" spans="1:38" ht="16.5" customHeight="1" x14ac:dyDescent="0.25">
      <c r="A216" s="14" t="s">
        <v>153</v>
      </c>
      <c r="B216" s="52">
        <f t="shared" si="48"/>
        <v>558</v>
      </c>
      <c r="C216" s="52">
        <f t="shared" si="65"/>
        <v>286</v>
      </c>
      <c r="D216" s="52">
        <f t="shared" si="65"/>
        <v>272</v>
      </c>
      <c r="E216" s="54">
        <v>0</v>
      </c>
      <c r="F216" s="54">
        <v>0</v>
      </c>
      <c r="G216" s="54">
        <v>0</v>
      </c>
      <c r="H216" s="54">
        <v>1</v>
      </c>
      <c r="I216" s="54">
        <v>28</v>
      </c>
      <c r="J216" s="54">
        <v>21</v>
      </c>
      <c r="K216" s="54">
        <v>19</v>
      </c>
      <c r="L216" s="54">
        <v>27</v>
      </c>
      <c r="M216" s="54">
        <v>30</v>
      </c>
      <c r="N216" s="54">
        <v>16</v>
      </c>
      <c r="O216" s="54">
        <v>19</v>
      </c>
      <c r="P216" s="54">
        <v>20</v>
      </c>
      <c r="Q216" s="54">
        <v>21</v>
      </c>
      <c r="R216" s="54">
        <v>16</v>
      </c>
      <c r="S216" s="54">
        <v>18</v>
      </c>
      <c r="T216" s="54">
        <v>14</v>
      </c>
      <c r="U216" s="54">
        <v>25</v>
      </c>
      <c r="V216" s="54">
        <v>22</v>
      </c>
      <c r="W216" s="54">
        <v>18</v>
      </c>
      <c r="X216" s="54">
        <v>17</v>
      </c>
      <c r="Y216" s="54">
        <v>32</v>
      </c>
      <c r="Z216" s="54">
        <v>38</v>
      </c>
      <c r="AA216" s="54">
        <v>30</v>
      </c>
      <c r="AB216" s="54">
        <v>27</v>
      </c>
      <c r="AC216" s="54">
        <v>30</v>
      </c>
      <c r="AD216" s="54">
        <v>33</v>
      </c>
      <c r="AE216" s="54">
        <v>16</v>
      </c>
      <c r="AF216" s="54">
        <v>20</v>
      </c>
      <c r="AG216" s="54">
        <v>0</v>
      </c>
      <c r="AH216" s="54">
        <v>0</v>
      </c>
      <c r="AI216" s="54">
        <v>0</v>
      </c>
      <c r="AJ216" s="54">
        <v>0</v>
      </c>
      <c r="AK216" s="55">
        <f t="shared" si="61"/>
        <v>51.3</v>
      </c>
      <c r="AL216" s="15">
        <f t="shared" si="62"/>
        <v>48.7</v>
      </c>
    </row>
    <row r="217" spans="1:38" ht="16.5" customHeight="1" x14ac:dyDescent="0.25">
      <c r="A217" s="14" t="s">
        <v>152</v>
      </c>
      <c r="B217" s="52">
        <f t="shared" si="48"/>
        <v>117</v>
      </c>
      <c r="C217" s="52">
        <f t="shared" si="65"/>
        <v>48</v>
      </c>
      <c r="D217" s="52">
        <f t="shared" si="65"/>
        <v>69</v>
      </c>
      <c r="E217" s="54">
        <v>0</v>
      </c>
      <c r="F217" s="54">
        <v>0</v>
      </c>
      <c r="G217" s="54">
        <v>0</v>
      </c>
      <c r="H217" s="54">
        <v>0</v>
      </c>
      <c r="I217" s="54">
        <v>5</v>
      </c>
      <c r="J217" s="54">
        <v>7</v>
      </c>
      <c r="K217" s="54">
        <v>9</v>
      </c>
      <c r="L217" s="54">
        <v>8</v>
      </c>
      <c r="M217" s="54">
        <v>5</v>
      </c>
      <c r="N217" s="54">
        <v>4</v>
      </c>
      <c r="O217" s="54">
        <v>5</v>
      </c>
      <c r="P217" s="54">
        <v>6</v>
      </c>
      <c r="Q217" s="54">
        <v>4</v>
      </c>
      <c r="R217" s="54">
        <v>15</v>
      </c>
      <c r="S217" s="54">
        <v>5</v>
      </c>
      <c r="T217" s="54">
        <v>11</v>
      </c>
      <c r="U217" s="54">
        <v>7</v>
      </c>
      <c r="V217" s="54">
        <v>5</v>
      </c>
      <c r="W217" s="54">
        <v>8</v>
      </c>
      <c r="X217" s="54">
        <v>13</v>
      </c>
      <c r="Y217" s="54">
        <v>0</v>
      </c>
      <c r="Z217" s="54">
        <v>0</v>
      </c>
      <c r="AA217" s="54">
        <v>0</v>
      </c>
      <c r="AB217" s="54">
        <v>0</v>
      </c>
      <c r="AC217" s="54">
        <v>0</v>
      </c>
      <c r="AD217" s="54">
        <v>0</v>
      </c>
      <c r="AE217" s="54">
        <v>0</v>
      </c>
      <c r="AF217" s="54">
        <v>0</v>
      </c>
      <c r="AG217" s="54">
        <v>0</v>
      </c>
      <c r="AH217" s="54">
        <v>0</v>
      </c>
      <c r="AI217" s="54">
        <v>0</v>
      </c>
      <c r="AJ217" s="54">
        <v>0</v>
      </c>
      <c r="AK217" s="55">
        <f t="shared" si="61"/>
        <v>41</v>
      </c>
      <c r="AL217" s="15">
        <f t="shared" si="62"/>
        <v>59</v>
      </c>
    </row>
    <row r="218" spans="1:38" ht="16.5" customHeight="1" x14ac:dyDescent="0.25">
      <c r="A218" s="14" t="s">
        <v>72</v>
      </c>
      <c r="B218" s="52">
        <f t="shared" si="48"/>
        <v>59</v>
      </c>
      <c r="C218" s="52">
        <f t="shared" si="65"/>
        <v>30</v>
      </c>
      <c r="D218" s="52">
        <f t="shared" si="65"/>
        <v>29</v>
      </c>
      <c r="E218" s="54">
        <v>7</v>
      </c>
      <c r="F218" s="54">
        <v>6</v>
      </c>
      <c r="G218" s="54">
        <v>18</v>
      </c>
      <c r="H218" s="54">
        <v>20</v>
      </c>
      <c r="I218" s="54">
        <v>4</v>
      </c>
      <c r="J218" s="54">
        <v>2</v>
      </c>
      <c r="K218" s="54">
        <v>1</v>
      </c>
      <c r="L218" s="54">
        <v>1</v>
      </c>
      <c r="M218" s="54">
        <v>0</v>
      </c>
      <c r="N218" s="54">
        <v>0</v>
      </c>
      <c r="O218" s="54">
        <v>0</v>
      </c>
      <c r="P218" s="54">
        <v>0</v>
      </c>
      <c r="Q218" s="54">
        <v>0</v>
      </c>
      <c r="R218" s="54">
        <v>0</v>
      </c>
      <c r="S218" s="54">
        <v>0</v>
      </c>
      <c r="T218" s="54">
        <v>0</v>
      </c>
      <c r="U218" s="54">
        <v>0</v>
      </c>
      <c r="V218" s="54">
        <v>0</v>
      </c>
      <c r="W218" s="54">
        <v>0</v>
      </c>
      <c r="X218" s="54">
        <v>0</v>
      </c>
      <c r="Y218" s="54">
        <v>0</v>
      </c>
      <c r="Z218" s="54">
        <v>0</v>
      </c>
      <c r="AA218" s="54">
        <v>0</v>
      </c>
      <c r="AB218" s="54">
        <v>0</v>
      </c>
      <c r="AC218" s="54">
        <v>0</v>
      </c>
      <c r="AD218" s="54">
        <v>0</v>
      </c>
      <c r="AE218" s="54">
        <v>0</v>
      </c>
      <c r="AF218" s="54">
        <v>0</v>
      </c>
      <c r="AG218" s="54">
        <v>0</v>
      </c>
      <c r="AH218" s="54">
        <v>0</v>
      </c>
      <c r="AI218" s="54">
        <v>0</v>
      </c>
      <c r="AJ218" s="54">
        <v>0</v>
      </c>
      <c r="AK218" s="55">
        <f t="shared" si="61"/>
        <v>50.8</v>
      </c>
      <c r="AL218" s="15">
        <f t="shared" si="62"/>
        <v>49.2</v>
      </c>
    </row>
    <row r="219" spans="1:38" x14ac:dyDescent="0.25">
      <c r="A219" s="1" t="s">
        <v>19</v>
      </c>
      <c r="B219" s="25"/>
      <c r="C219" s="25"/>
      <c r="D219" s="25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8" x14ac:dyDescent="0.25">
      <c r="B220" s="25"/>
      <c r="C220" s="25"/>
      <c r="D220" s="25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8" x14ac:dyDescent="0.25">
      <c r="B221" s="25"/>
      <c r="C221" s="25"/>
      <c r="D221" s="25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8" x14ac:dyDescent="0.25">
      <c r="B222" s="25"/>
      <c r="C222" s="25"/>
      <c r="D222" s="25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8" x14ac:dyDescent="0.25">
      <c r="B223" s="25"/>
      <c r="C223" s="25"/>
      <c r="D223" s="25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8" x14ac:dyDescent="0.25">
      <c r="B224" s="25"/>
      <c r="C224" s="25"/>
      <c r="D224" s="25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2:36" x14ac:dyDescent="0.25">
      <c r="B225" s="25"/>
      <c r="C225" s="25"/>
      <c r="D225" s="25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2:36" x14ac:dyDescent="0.25">
      <c r="B226" s="25"/>
      <c r="C226" s="25"/>
      <c r="D226" s="25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2:36" x14ac:dyDescent="0.25">
      <c r="B227" s="25"/>
      <c r="C227" s="25"/>
      <c r="D227" s="25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</sheetData>
  <mergeCells count="29">
    <mergeCell ref="A1:AL1"/>
    <mergeCell ref="A2:AL2"/>
    <mergeCell ref="A3:AL3"/>
    <mergeCell ref="A5:AL5"/>
    <mergeCell ref="E6:H6"/>
    <mergeCell ref="I6:L6"/>
    <mergeCell ref="M6:X6"/>
    <mergeCell ref="Y6:AB6"/>
    <mergeCell ref="AC6:AF6"/>
    <mergeCell ref="AG6:AJ6"/>
    <mergeCell ref="B6:D7"/>
    <mergeCell ref="AK6:AL7"/>
    <mergeCell ref="A6:A8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AI7:AJ7"/>
    <mergeCell ref="Y7:Z7"/>
    <mergeCell ref="AA7:AB7"/>
    <mergeCell ref="AC7:AD7"/>
    <mergeCell ref="AE7:AF7"/>
    <mergeCell ref="AG7:AH7"/>
  </mergeCells>
  <pageMargins left="0.7" right="0.7" top="0.75" bottom="0.75" header="0.3" footer="0.3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2024-05-15T07:21:33Z</cp:lastPrinted>
  <dcterms:created xsi:type="dcterms:W3CDTF">2019-02-28T08:20:57Z</dcterms:created>
  <dcterms:modified xsi:type="dcterms:W3CDTF">2024-05-16T03:21:35Z</dcterms:modified>
</cp:coreProperties>
</file>