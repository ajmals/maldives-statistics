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Edu\"/>
    </mc:Choice>
  </mc:AlternateContent>
  <xr:revisionPtr revIDLastSave="0" documentId="13_ncr:1_{682A00A6-0C1C-41A7-885F-828088D2A12B}" xr6:coauthVersionLast="47" xr6:coauthVersionMax="47" xr10:uidLastSave="{00000000-0000-0000-0000-000000000000}"/>
  <bookViews>
    <workbookView xWindow="-120" yWindow="-120" windowWidth="29040" windowHeight="15720" tabRatio="886" xr2:uid="{00000000-000D-0000-FFFF-FFFF00000000}"/>
  </bookViews>
  <sheets>
    <sheet name="7.6" sheetId="4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" i="40" l="1"/>
  <c r="E29" i="40"/>
  <c r="K29" i="40" s="1"/>
  <c r="D29" i="40"/>
  <c r="H28" i="40"/>
  <c r="E28" i="40"/>
  <c r="K28" i="40" s="1"/>
  <c r="D28" i="40"/>
  <c r="H27" i="40"/>
  <c r="E27" i="40"/>
  <c r="K27" i="40" s="1"/>
  <c r="D27" i="40"/>
  <c r="H26" i="40"/>
  <c r="E26" i="40"/>
  <c r="K26" i="40" s="1"/>
  <c r="D26" i="40"/>
  <c r="H25" i="40"/>
  <c r="E25" i="40"/>
  <c r="K25" i="40" s="1"/>
  <c r="D25" i="40"/>
  <c r="H24" i="40"/>
  <c r="E24" i="40"/>
  <c r="K24" i="40" s="1"/>
  <c r="D24" i="40"/>
  <c r="H23" i="40"/>
  <c r="E23" i="40"/>
  <c r="K23" i="40" s="1"/>
  <c r="D23" i="40"/>
  <c r="H22" i="40"/>
  <c r="E22" i="40"/>
  <c r="K22" i="40" s="1"/>
  <c r="D22" i="40"/>
  <c r="H21" i="40"/>
  <c r="E21" i="40"/>
  <c r="K21" i="40" s="1"/>
  <c r="D21" i="40"/>
  <c r="H20" i="40"/>
  <c r="E20" i="40"/>
  <c r="K20" i="40" s="1"/>
  <c r="D20" i="40"/>
  <c r="H19" i="40"/>
  <c r="E19" i="40"/>
  <c r="K19" i="40" s="1"/>
  <c r="D19" i="40"/>
  <c r="H18" i="40"/>
  <c r="E18" i="40"/>
  <c r="K18" i="40" s="1"/>
  <c r="D18" i="40"/>
  <c r="H17" i="40"/>
  <c r="E17" i="40"/>
  <c r="K17" i="40" s="1"/>
  <c r="D17" i="40"/>
  <c r="H16" i="40"/>
  <c r="E16" i="40"/>
  <c r="K16" i="40" s="1"/>
  <c r="D16" i="40"/>
  <c r="H15" i="40"/>
  <c r="E15" i="40"/>
  <c r="K15" i="40" s="1"/>
  <c r="D15" i="40"/>
  <c r="H14" i="40"/>
  <c r="E14" i="40"/>
  <c r="K14" i="40" s="1"/>
  <c r="D14" i="40"/>
  <c r="H13" i="40"/>
  <c r="E13" i="40"/>
  <c r="K13" i="40" s="1"/>
  <c r="D13" i="40"/>
  <c r="H12" i="40"/>
  <c r="E12" i="40"/>
  <c r="K12" i="40" s="1"/>
  <c r="D12" i="40"/>
  <c r="H11" i="40"/>
  <c r="E11" i="40"/>
  <c r="K11" i="40" s="1"/>
  <c r="D11" i="40"/>
  <c r="H10" i="40"/>
  <c r="E10" i="40"/>
  <c r="K10" i="40" s="1"/>
  <c r="D10" i="40"/>
  <c r="J9" i="40"/>
  <c r="J7" i="40" s="1"/>
  <c r="I9" i="40"/>
  <c r="I7" i="40" s="1"/>
  <c r="G9" i="40"/>
  <c r="F9" i="40"/>
  <c r="F7" i="40" s="1"/>
  <c r="C9" i="40"/>
  <c r="C7" i="40" s="1"/>
  <c r="B9" i="40"/>
  <c r="B7" i="40" s="1"/>
  <c r="H8" i="40"/>
  <c r="E8" i="40"/>
  <c r="K8" i="40" s="1"/>
  <c r="D8" i="40"/>
  <c r="G7" i="40"/>
  <c r="E9" i="40" l="1"/>
  <c r="E7" i="40" s="1"/>
  <c r="K7" i="40" s="1"/>
  <c r="H9" i="40"/>
  <c r="H7" i="40" s="1"/>
  <c r="D9" i="40"/>
  <c r="D7" i="40" s="1"/>
  <c r="K9" i="40"/>
</calcChain>
</file>

<file path=xl/sharedStrings.xml><?xml version="1.0" encoding="utf-8"?>
<sst xmlns="http://schemas.openxmlformats.org/spreadsheetml/2006/main" count="43" uniqueCount="42">
  <si>
    <t>Total</t>
  </si>
  <si>
    <t>Republic</t>
  </si>
  <si>
    <t>Male'</t>
  </si>
  <si>
    <t>Atolls</t>
  </si>
  <si>
    <t>Source: Ministry of Education</t>
  </si>
  <si>
    <t>Both Sexes</t>
  </si>
  <si>
    <t>Male</t>
  </si>
  <si>
    <t>Female</t>
  </si>
  <si>
    <t>Locality</t>
  </si>
  <si>
    <t>Teachers</t>
  </si>
  <si>
    <t>Trained</t>
  </si>
  <si>
    <t>Untrained</t>
  </si>
  <si>
    <t>Haa Alifu</t>
  </si>
  <si>
    <t>Haa Dhaalu</t>
  </si>
  <si>
    <t>Shaviyani</t>
  </si>
  <si>
    <t>Noonu</t>
  </si>
  <si>
    <t>Raa</t>
  </si>
  <si>
    <t>Baa</t>
  </si>
  <si>
    <t>Lhaviyani</t>
  </si>
  <si>
    <t>Kaafu</t>
  </si>
  <si>
    <t>Alifu Alifu</t>
  </si>
  <si>
    <t>Alifu Dhaalu</t>
  </si>
  <si>
    <t>Vaavu</t>
  </si>
  <si>
    <t>Meemu</t>
  </si>
  <si>
    <t>Faafu</t>
  </si>
  <si>
    <t>Dhaalu</t>
  </si>
  <si>
    <t>Thaa</t>
  </si>
  <si>
    <t>Laamu</t>
  </si>
  <si>
    <t>Gaafu Alifu</t>
  </si>
  <si>
    <t>Gaafu Dhaalu</t>
  </si>
  <si>
    <t>Gnaviyani</t>
  </si>
  <si>
    <t>Seenu</t>
  </si>
  <si>
    <t>(JUNE 2022)</t>
  </si>
  <si>
    <t>Schools</t>
  </si>
  <si>
    <t>Enrol. Greater than or equal to 500</t>
  </si>
  <si>
    <t>Student Teacher Ratio (Trained Teachers)</t>
  </si>
  <si>
    <t>Note: 1. This table does not include supervisors, assistant headmasters, headmasters, assistant principals and principals who may teach in addition to their administrative duties.</t>
  </si>
  <si>
    <t xml:space="preserve">         2. This table includes pre-primary teachers.</t>
  </si>
  <si>
    <t>TABLE 7.6: NUMBER OF SCHOOLS, ENROLMENT AND TEACHERS BY LOCALITY,  2021 - 2022</t>
  </si>
  <si>
    <t xml:space="preserve">Students </t>
  </si>
  <si>
    <t>Number</t>
  </si>
  <si>
    <t>Enrol. Less than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</si>
</sst>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General_)"/>
    <numFmt numFmtId="165" formatCode="#,##0;[Red]#,##0"/>
    <numFmt numFmtId="167" formatCode="_(* #,##0_);_(* \(#,##0\);_(* &quot;-&quot;??_);_(@_)"/>
    <numFmt numFmtId="170" formatCode="#,##0.0_);[Red]\(#,##0.0\)"/>
    <numFmt numFmtId="171" formatCode="_(\ ###0_);_(\ \(###0\);_(\ &quot;&quot;_);_(@_)"/>
    <numFmt numFmtId="174" formatCode="_-* #,##0.00\ &quot;ރ.&quot;_-;_-* #,##0.00\ &quot;ރ.&quot;\-;_-* &quot;-&quot;??\ &quot;ރ.&quot;_-;_-@_-"/>
    <numFmt numFmtId="175" formatCode="&quot;Rf&quot;#,##0;\-&quot;Rf&quot;#,##0"/>
    <numFmt numFmtId="176" formatCode="0.00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0"/>
      <name val="MS Sans Serif"/>
      <family val="2"/>
    </font>
    <font>
      <sz val="11"/>
      <color theme="1"/>
      <name val="Arial"/>
      <family val="2"/>
    </font>
    <font>
      <i/>
      <sz val="8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8DB5F8"/>
      </patternFill>
    </fill>
    <fill>
      <patternFill patternType="solid">
        <fgColor theme="0"/>
        <bgColor rgb="FFD8D8D8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65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67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12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  <xf numFmtId="0" fontId="13" fillId="0" borderId="0"/>
    <xf numFmtId="0" fontId="10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5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0" fontId="4" fillId="0" borderId="0"/>
    <xf numFmtId="176" fontId="16" fillId="0" borderId="0"/>
    <xf numFmtId="174" fontId="4" fillId="0" borderId="0"/>
    <xf numFmtId="0" fontId="12" fillId="0" borderId="0"/>
    <xf numFmtId="0" fontId="12" fillId="0" borderId="0"/>
    <xf numFmtId="174" fontId="4" fillId="0" borderId="0"/>
    <xf numFmtId="0" fontId="12" fillId="0" borderId="0"/>
    <xf numFmtId="0" fontId="12" fillId="0" borderId="0"/>
    <xf numFmtId="174" fontId="4" fillId="0" borderId="0"/>
    <xf numFmtId="174" fontId="4" fillId="0" borderId="0"/>
    <xf numFmtId="175" fontId="4" fillId="0" borderId="0"/>
    <xf numFmtId="175" fontId="4" fillId="0" borderId="0"/>
    <xf numFmtId="164" fontId="4" fillId="0" borderId="0"/>
    <xf numFmtId="40" fontId="12" fillId="0" borderId="0" applyFont="0" applyFill="0" applyBorder="0" applyAlignment="0" applyProtection="0"/>
    <xf numFmtId="174" fontId="4" fillId="0" borderId="0"/>
    <xf numFmtId="175" fontId="4" fillId="0" borderId="0"/>
    <xf numFmtId="175" fontId="4" fillId="0" borderId="0"/>
    <xf numFmtId="164" fontId="4" fillId="0" borderId="0"/>
  </cellStyleXfs>
  <cellXfs count="56">
    <xf numFmtId="0" fontId="0" fillId="0" borderId="0" xfId="0"/>
    <xf numFmtId="164" fontId="6" fillId="2" borderId="0" xfId="0" applyNumberFormat="1" applyFont="1" applyFill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right"/>
    </xf>
    <xf numFmtId="0" fontId="1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/>
    </xf>
    <xf numFmtId="0" fontId="8" fillId="4" borderId="5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3" fontId="8" fillId="5" borderId="0" xfId="0" applyNumberFormat="1" applyFont="1" applyFill="1" applyAlignment="1">
      <alignment horizontal="center" wrapText="1"/>
    </xf>
    <xf numFmtId="3" fontId="9" fillId="3" borderId="0" xfId="0" applyNumberFormat="1" applyFont="1" applyFill="1" applyAlignment="1">
      <alignment horizontal="center" wrapText="1"/>
    </xf>
    <xf numFmtId="0" fontId="7" fillId="2" borderId="1" xfId="0" applyFont="1" applyFill="1" applyBorder="1" applyAlignment="1">
      <alignment horizontal="left"/>
    </xf>
    <xf numFmtId="3" fontId="9" fillId="3" borderId="1" xfId="0" applyNumberFormat="1" applyFont="1" applyFill="1" applyBorder="1" applyAlignment="1">
      <alignment horizontal="center" wrapText="1"/>
    </xf>
    <xf numFmtId="171" fontId="0" fillId="2" borderId="0" xfId="0" applyNumberFormat="1" applyFill="1"/>
    <xf numFmtId="0" fontId="14" fillId="2" borderId="0" xfId="0" applyFont="1" applyFill="1"/>
    <xf numFmtId="0" fontId="8" fillId="4" borderId="1" xfId="0" applyFont="1" applyFill="1" applyBorder="1" applyAlignment="1">
      <alignment horizontal="right" vertical="center"/>
    </xf>
    <xf numFmtId="0" fontId="8" fillId="4" borderId="5" xfId="0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right" vertical="center" wrapText="1"/>
    </xf>
    <xf numFmtId="171" fontId="0" fillId="2" borderId="0" xfId="0" applyNumberFormat="1" applyFill="1" applyAlignment="1">
      <alignment horizontal="right"/>
    </xf>
    <xf numFmtId="0" fontId="11" fillId="2" borderId="0" xfId="0" applyFont="1" applyFill="1" applyAlignment="1">
      <alignment horizontal="center" vertical="center"/>
    </xf>
    <xf numFmtId="0" fontId="8" fillId="4" borderId="9" xfId="0" applyFont="1" applyFill="1" applyBorder="1" applyAlignment="1">
      <alignment horizontal="center" vertical="center" wrapText="1"/>
    </xf>
    <xf numFmtId="0" fontId="5" fillId="2" borderId="9" xfId="0" applyFont="1" applyFill="1" applyBorder="1"/>
    <xf numFmtId="0" fontId="5" fillId="2" borderId="3" xfId="0" applyFont="1" applyFill="1" applyBorder="1"/>
    <xf numFmtId="0" fontId="8" fillId="4" borderId="10" xfId="0" applyFont="1" applyFill="1" applyBorder="1" applyAlignment="1">
      <alignment horizontal="center"/>
    </xf>
    <xf numFmtId="37" fontId="8" fillId="5" borderId="0" xfId="1" applyNumberFormat="1" applyFont="1" applyFill="1" applyBorder="1" applyAlignment="1">
      <alignment horizontal="right" vertical="center" wrapText="1"/>
    </xf>
    <xf numFmtId="37" fontId="8" fillId="5" borderId="4" xfId="1" applyNumberFormat="1" applyFont="1" applyFill="1" applyBorder="1" applyAlignment="1">
      <alignment horizontal="center" wrapText="1"/>
    </xf>
    <xf numFmtId="37" fontId="8" fillId="5" borderId="6" xfId="1" applyNumberFormat="1" applyFont="1" applyFill="1" applyBorder="1" applyAlignment="1">
      <alignment horizontal="right" vertical="center"/>
    </xf>
    <xf numFmtId="37" fontId="8" fillId="5" borderId="4" xfId="1" applyNumberFormat="1" applyFont="1" applyFill="1" applyBorder="1" applyAlignment="1">
      <alignment horizontal="right" vertical="center" wrapText="1"/>
    </xf>
    <xf numFmtId="37" fontId="8" fillId="5" borderId="0" xfId="1" applyNumberFormat="1" applyFont="1" applyFill="1" applyBorder="1" applyAlignment="1">
      <alignment horizontal="right" vertical="center"/>
    </xf>
    <xf numFmtId="37" fontId="8" fillId="5" borderId="4" xfId="1" applyNumberFormat="1" applyFont="1" applyFill="1" applyBorder="1" applyAlignment="1">
      <alignment horizontal="right" vertical="center"/>
    </xf>
    <xf numFmtId="37" fontId="9" fillId="3" borderId="0" xfId="1" applyNumberFormat="1" applyFont="1" applyFill="1" applyBorder="1" applyAlignment="1">
      <alignment horizontal="right" vertical="center"/>
    </xf>
    <xf numFmtId="37" fontId="9" fillId="3" borderId="4" xfId="1" applyNumberFormat="1" applyFont="1" applyFill="1" applyBorder="1" applyAlignment="1">
      <alignment horizontal="center"/>
    </xf>
    <xf numFmtId="37" fontId="9" fillId="3" borderId="6" xfId="1" applyNumberFormat="1" applyFont="1" applyFill="1" applyBorder="1" applyAlignment="1">
      <alignment horizontal="right" vertical="center"/>
    </xf>
    <xf numFmtId="37" fontId="9" fillId="3" borderId="0" xfId="1" applyNumberFormat="1" applyFont="1" applyFill="1" applyBorder="1" applyAlignment="1">
      <alignment horizontal="right" vertical="center" wrapText="1"/>
    </xf>
    <xf numFmtId="37" fontId="9" fillId="3" borderId="4" xfId="1" applyNumberFormat="1" applyFont="1" applyFill="1" applyBorder="1" applyAlignment="1">
      <alignment horizontal="right" vertical="center" wrapText="1"/>
    </xf>
    <xf numFmtId="37" fontId="9" fillId="3" borderId="4" xfId="1" applyNumberFormat="1" applyFont="1" applyFill="1" applyBorder="1" applyAlignment="1">
      <alignment horizontal="right" vertical="center"/>
    </xf>
    <xf numFmtId="37" fontId="9" fillId="3" borderId="1" xfId="1" applyNumberFormat="1" applyFont="1" applyFill="1" applyBorder="1" applyAlignment="1">
      <alignment horizontal="right" vertical="center"/>
    </xf>
    <xf numFmtId="37" fontId="9" fillId="3" borderId="5" xfId="1" applyNumberFormat="1" applyFont="1" applyFill="1" applyBorder="1" applyAlignment="1">
      <alignment horizontal="center"/>
    </xf>
    <xf numFmtId="37" fontId="9" fillId="3" borderId="7" xfId="1" applyNumberFormat="1" applyFont="1" applyFill="1" applyBorder="1" applyAlignment="1">
      <alignment horizontal="right" vertical="center"/>
    </xf>
    <xf numFmtId="37" fontId="9" fillId="3" borderId="1" xfId="1" applyNumberFormat="1" applyFont="1" applyFill="1" applyBorder="1" applyAlignment="1">
      <alignment horizontal="right" vertical="center" wrapText="1"/>
    </xf>
    <xf numFmtId="37" fontId="9" fillId="3" borderId="5" xfId="1" applyNumberFormat="1" applyFont="1" applyFill="1" applyBorder="1" applyAlignment="1">
      <alignment horizontal="right" vertical="center" wrapText="1"/>
    </xf>
    <xf numFmtId="37" fontId="9" fillId="3" borderId="5" xfId="1" applyNumberFormat="1" applyFont="1" applyFill="1" applyBorder="1" applyAlignment="1">
      <alignment horizontal="right" vertical="center"/>
    </xf>
    <xf numFmtId="0" fontId="8" fillId="4" borderId="7" xfId="0" applyFont="1" applyFill="1" applyBorder="1" applyAlignment="1">
      <alignment horizontal="right" vertical="center"/>
    </xf>
    <xf numFmtId="0" fontId="0" fillId="2" borderId="0" xfId="0" applyFont="1" applyFill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0" fillId="2" borderId="0" xfId="0" applyFont="1" applyFill="1" applyAlignment="1">
      <alignment vertical="center"/>
    </xf>
  </cellXfs>
  <cellStyles count="165">
    <cellStyle name="1" xfId="146" xr:uid="{DAE6356A-5F0B-40FC-8440-D38CCA2D7FE4}"/>
    <cellStyle name="Comma" xfId="1" builtinId="3"/>
    <cellStyle name="Comma 2" xfId="10" xr:uid="{00000000-0005-0000-0000-000001000000}"/>
    <cellStyle name="Comma 3" xfId="17" xr:uid="{64DE3F2C-7ADF-4CAC-A603-85C0B4A7FA05}"/>
    <cellStyle name="Comma 3 2" xfId="160" xr:uid="{52609CA5-C878-41A4-BEB0-99B40943D317}"/>
    <cellStyle name="Normal" xfId="0" builtinId="0"/>
    <cellStyle name="Normal - Style1" xfId="148" xr:uid="{619EF930-7A54-409F-8EAA-7AC6E49D72EA}"/>
    <cellStyle name="Normal 10" xfId="5" xr:uid="{00000000-0005-0000-0000-000005000000}"/>
    <cellStyle name="Normal 10 2" xfId="40" xr:uid="{F728998F-E0C5-4205-8464-B0F7FC9B108A}"/>
    <cellStyle name="Normal 105 2" xfId="132" xr:uid="{533DBD6B-74F0-47E5-B92A-EBE07E2DAE65}"/>
    <cellStyle name="Normal 11" xfId="27" xr:uid="{3C5AD2F2-EB38-4766-B596-4E1236CA6318}"/>
    <cellStyle name="Normal 11 2" xfId="41" xr:uid="{867150C4-105C-4CB3-9827-99BBB764B52F}"/>
    <cellStyle name="Normal 12" xfId="28" xr:uid="{404C4B49-3E69-4E2C-B6B2-561F3D6A9708}"/>
    <cellStyle name="Normal 12 2" xfId="42" xr:uid="{2836860A-8743-41D1-81B8-D56ABE27B72E}"/>
    <cellStyle name="Normal 13" xfId="30" xr:uid="{D255BE54-8547-4862-9AD5-1C1B16F069DB}"/>
    <cellStyle name="Normal 13 2" xfId="43" xr:uid="{ED0E4A9D-CC3E-4AB3-9DFE-11DFAED80A09}"/>
    <cellStyle name="Normal 14" xfId="31" xr:uid="{3EC08165-18E7-4988-BB73-2D2AFBDDEF68}"/>
    <cellStyle name="Normal 14 2" xfId="44" xr:uid="{EA8ED8E2-C7F7-49DF-990F-ADF5350DFA5E}"/>
    <cellStyle name="Normal 15" xfId="32" xr:uid="{C89D76F6-2316-47EE-9519-0C7A58DC7275}"/>
    <cellStyle name="Normal 15 2" xfId="45" xr:uid="{4FB0A5A3-8B34-42A6-A080-B9702CB4D58F}"/>
    <cellStyle name="Normal 16" xfId="33" xr:uid="{C6316ACD-3803-4A15-BA70-C1710061DB5E}"/>
    <cellStyle name="Normal 16 2" xfId="46" xr:uid="{D7650963-1B5D-468B-80AB-6F0A43E704B7}"/>
    <cellStyle name="Normal 17" xfId="34" xr:uid="{324860F2-E553-468E-92E7-1837A1EA4042}"/>
    <cellStyle name="Normal 17 2" xfId="47" xr:uid="{4BE41685-51B3-4226-AFBF-68D63AC49F2E}"/>
    <cellStyle name="Normal 18" xfId="35" xr:uid="{5BBE9F30-4CF0-4210-B2FD-EF90F927F407}"/>
    <cellStyle name="Normal 18 2" xfId="48" xr:uid="{CE138F9B-0052-407E-A664-7E20347D6EDD}"/>
    <cellStyle name="Normal 19" xfId="36" xr:uid="{032B0710-66C1-4E59-A0CF-D4A337458C10}"/>
    <cellStyle name="Normal 19 2" xfId="49" xr:uid="{60CDB243-D636-40AB-B919-8CBC11D554C6}"/>
    <cellStyle name="Normal 2" xfId="14" xr:uid="{00000000-0005-0000-0000-000006000000}"/>
    <cellStyle name="Normal 2 10" xfId="50" xr:uid="{1188190F-35EE-4B4E-B0AE-FB0778A6985D}"/>
    <cellStyle name="Normal 2 11" xfId="51" xr:uid="{5432CA34-F385-4F4E-B554-0FE58ACF184F}"/>
    <cellStyle name="Normal 2 12" xfId="52" xr:uid="{8B819162-2054-43AE-B7CF-087D00D50B79}"/>
    <cellStyle name="Normal 2 13" xfId="53" xr:uid="{D203DA21-A383-4275-971F-44D3E65FB869}"/>
    <cellStyle name="Normal 2 14" xfId="54" xr:uid="{0BDD168E-6B35-45CE-A7FD-0A44E146C874}"/>
    <cellStyle name="Normal 2 15" xfId="55" xr:uid="{E07F8F5C-1A5C-4CAD-9808-5F65980BB8FA}"/>
    <cellStyle name="Normal 2 16" xfId="56" xr:uid="{5EAC18C2-FBBE-40B0-B794-7055182B1A17}"/>
    <cellStyle name="Normal 2 17" xfId="57" xr:uid="{E9AAFBCC-A547-4B51-8396-0C8B089250AB}"/>
    <cellStyle name="Normal 2 18" xfId="58" xr:uid="{CCF2B94D-C5B1-4286-9CFA-AFCA64C3C3C2}"/>
    <cellStyle name="Normal 2 19" xfId="59" xr:uid="{38A1DF0C-05C8-4817-8DC2-135137F873B3}"/>
    <cellStyle name="Normal 2 2" xfId="19" xr:uid="{72E2975E-9624-4276-84CE-32231361B56C}"/>
    <cellStyle name="Normal 2 2 10" xfId="60" xr:uid="{C48756B7-663C-43BE-933C-E0420E5EFEB0}"/>
    <cellStyle name="Normal 2 2 11" xfId="61" xr:uid="{EF567ADE-3AC2-4EEC-A222-BB4F5D6A8A68}"/>
    <cellStyle name="Normal 2 2 12" xfId="62" xr:uid="{AB110C62-963E-411F-8860-769003A83005}"/>
    <cellStyle name="Normal 2 2 13" xfId="63" xr:uid="{F76655BE-B59E-4BDA-836B-54C8DEBF9771}"/>
    <cellStyle name="Normal 2 2 14" xfId="64" xr:uid="{69DDDE0B-5E13-425F-8ECF-BBF9430C9EB4}"/>
    <cellStyle name="Normal 2 2 15" xfId="65" xr:uid="{6A9960F7-9D02-4EB3-BCA5-121207DC0F36}"/>
    <cellStyle name="Normal 2 2 16" xfId="66" xr:uid="{8E0A7258-07DF-4169-94C6-1A9B7088A79B}"/>
    <cellStyle name="Normal 2 2 17" xfId="67" xr:uid="{0B0C6C0B-60ED-4511-9AD0-1442FD102E11}"/>
    <cellStyle name="Normal 2 2 18" xfId="68" xr:uid="{3D90996E-D5E1-46F3-8D84-F7D01D833027}"/>
    <cellStyle name="Normal 2 2 19" xfId="69" xr:uid="{D17BDC0A-AF45-4985-B8C2-A7F0AB0DB2B4}"/>
    <cellStyle name="Normal 2 2 2" xfId="2" xr:uid="{00000000-0005-0000-0000-000007000000}"/>
    <cellStyle name="Normal 2 2 20" xfId="70" xr:uid="{259551A9-CE35-4F4F-9F00-9E2F94C34E91}"/>
    <cellStyle name="Normal 2 2 21" xfId="71" xr:uid="{00A8887B-1182-493A-A481-A5FBD854C6D2}"/>
    <cellStyle name="Normal 2 2 22" xfId="72" xr:uid="{589E1523-3E48-45D3-B482-13810149895C}"/>
    <cellStyle name="Normal 2 2 23" xfId="73" xr:uid="{8C89DF8A-EC55-4DBD-9DA1-8270F903A754}"/>
    <cellStyle name="Normal 2 2 24" xfId="74" xr:uid="{B6BC4A23-29C4-49E4-8E89-01A456F570E6}"/>
    <cellStyle name="Normal 2 2 24 2" xfId="75" xr:uid="{C011446F-23EA-4B6F-BEA6-FB36729B5C33}"/>
    <cellStyle name="Normal 2 2 24 2 2" xfId="76" xr:uid="{2A138F0F-5291-42FF-A21E-B4D122BEED52}"/>
    <cellStyle name="Normal 2 2 25" xfId="77" xr:uid="{797D9A30-70F3-45B9-B3CA-2CFC816306C4}"/>
    <cellStyle name="Normal 2 2 25 2" xfId="78" xr:uid="{E1A0CEF4-E793-481F-BB4C-B264B7DB48E8}"/>
    <cellStyle name="Normal 2 2 26" xfId="149" xr:uid="{4D57AA70-88C1-4D1B-B28A-4D158B922A62}"/>
    <cellStyle name="Normal 2 2 3" xfId="79" xr:uid="{E1FA721D-1EFF-4818-B4BA-C77D5532AE0A}"/>
    <cellStyle name="Normal 2 2 4" xfId="80" xr:uid="{E15A6C73-0A03-4020-9CBF-8B292A9C95FB}"/>
    <cellStyle name="Normal 2 2 5" xfId="81" xr:uid="{EA6C0009-A9FF-4979-B4F3-76D4ED98A885}"/>
    <cellStyle name="Normal 2 2 5 2" xfId="82" xr:uid="{24A87BAF-5721-4B7C-A6BD-1B1453D860BB}"/>
    <cellStyle name="Normal 2 2 5 2 2" xfId="83" xr:uid="{EB241B9F-C708-47CD-BDF6-6F931A768AF8}"/>
    <cellStyle name="Normal 2 2 5 2 2 2" xfId="84" xr:uid="{1F1F03FD-6E78-4191-BB44-7B2CB3969B85}"/>
    <cellStyle name="Normal 2 2 5 3" xfId="85" xr:uid="{8662978F-12C4-460A-80BC-BB0298F37360}"/>
    <cellStyle name="Normal 2 2 5 4" xfId="86" xr:uid="{EBD4D203-77AA-49B4-9FF5-B625636AF290}"/>
    <cellStyle name="Normal 2 2 6" xfId="87" xr:uid="{27FA3DEC-BCE7-4DBB-B5B8-5F85711A9DE8}"/>
    <cellStyle name="Normal 2 2 7" xfId="88" xr:uid="{2508C00B-BD7B-4FB2-9F0D-E35AA94DD40D}"/>
    <cellStyle name="Normal 2 2 8" xfId="89" xr:uid="{139B44CE-D1C3-44EA-8837-2DD014A9C1C1}"/>
    <cellStyle name="Normal 2 2 9" xfId="90" xr:uid="{7F90D56D-4DE5-49D1-8814-ADF2E3AAA34B}"/>
    <cellStyle name="Normal 2 20" xfId="91" xr:uid="{845BE197-12C1-4EED-BA4C-5AEE4ADDAC60}"/>
    <cellStyle name="Normal 2 21" xfId="92" xr:uid="{87DA551B-12BD-4458-B0B6-BF2C10803926}"/>
    <cellStyle name="Normal 2 22" xfId="93" xr:uid="{D55DD91D-AC0F-4901-96DA-BC7C9AB58DE6}"/>
    <cellStyle name="Normal 2 23" xfId="94" xr:uid="{A3862E95-EFA3-456F-85DF-E3F6A081E864}"/>
    <cellStyle name="Normal 2 24" xfId="95" xr:uid="{23E3B3BD-C832-4BFC-A41B-554F0BC10ABA}"/>
    <cellStyle name="Normal 2 24 2" xfId="96" xr:uid="{0ABE4B80-4804-457E-A675-B1B03D7A3FBC}"/>
    <cellStyle name="Normal 2 24 2 2" xfId="97" xr:uid="{5CD64945-405F-4A44-BF57-4680AE3569D0}"/>
    <cellStyle name="Normal 2 25" xfId="98" xr:uid="{811B5319-F17B-4DA8-B269-6F9497EEC715}"/>
    <cellStyle name="Normal 2 25 2" xfId="99" xr:uid="{243DF819-6F3E-498A-B82F-259D34409031}"/>
    <cellStyle name="Normal 2 26" xfId="13" xr:uid="{00000000-0005-0000-0000-000008000000}"/>
    <cellStyle name="Normal 2 27" xfId="20" xr:uid="{9C62101D-5338-4E99-A64E-FB80AF3B2B08}"/>
    <cellStyle name="Normal 2 28" xfId="15" xr:uid="{20DADC0A-7DCC-4A4C-B94F-4802B3BE9988}"/>
    <cellStyle name="Normal 2 3" xfId="21" xr:uid="{A778130E-DDD8-426E-8E26-B4005C7AD047}"/>
    <cellStyle name="Normal 2 3 2" xfId="100" xr:uid="{A5ACA7A5-FD91-49DA-85A9-CA7BA212595C}"/>
    <cellStyle name="Normal 2 3 2 2" xfId="101" xr:uid="{0267E9AA-D8E3-4D0E-A884-9FDB06663F7F}"/>
    <cellStyle name="Normal 2 3 2 2 2" xfId="102" xr:uid="{8E89E873-9037-49FA-A25B-C95A2A153CB7}"/>
    <cellStyle name="Normal 2 3 3" xfId="103" xr:uid="{22F22245-848B-475E-A692-6A4EF5D1BEB8}"/>
    <cellStyle name="Normal 2 3 4" xfId="104" xr:uid="{1525E255-84F8-49F5-8A72-52AD7B75CFA9}"/>
    <cellStyle name="Normal 2 3 5" xfId="150" xr:uid="{A5BC6946-4482-4097-82D0-05F578E796CE}"/>
    <cellStyle name="Normal 2 4" xfId="105" xr:uid="{94CA42B3-409E-4CA5-9914-CCF95962185D}"/>
    <cellStyle name="Normal 2 4 2" xfId="151" xr:uid="{4620C6D4-5D32-4A6E-A7C6-693A7F7A968E}"/>
    <cellStyle name="Normal 2 5" xfId="106" xr:uid="{C11BC49D-9AFE-4E46-B01B-68C2D4E0854B}"/>
    <cellStyle name="Normal 2 5 2" xfId="161" xr:uid="{0AA038D2-4062-415D-B212-DBAC97B765E1}"/>
    <cellStyle name="Normal 2 6" xfId="107" xr:uid="{5E231096-77E3-40DD-BF86-406B30F88197}"/>
    <cellStyle name="Normal 2 7" xfId="108" xr:uid="{9621DF5E-FD86-41B4-8D1B-D85E2004B02B}"/>
    <cellStyle name="Normal 2 8" xfId="109" xr:uid="{425A1819-81BB-4160-85B2-B0D50FF90706}"/>
    <cellStyle name="Normal 2 9" xfId="110" xr:uid="{3CF1E779-EDCE-43C0-B1BD-3D46927D364A}"/>
    <cellStyle name="Normal 20" xfId="37" xr:uid="{84126349-32CD-4F69-9AA4-CF3B537E04FB}"/>
    <cellStyle name="Normal 20 2" xfId="111" xr:uid="{415F30D0-CB98-4A44-8ED3-B09978F24A81}"/>
    <cellStyle name="Normal 21" xfId="38" xr:uid="{EDFF05B0-FED0-4B92-8C8E-188D0BF567DD}"/>
    <cellStyle name="Normal 21 2" xfId="112" xr:uid="{F536A478-01CF-4EE1-A17D-6C258113ABD3}"/>
    <cellStyle name="Normal 22" xfId="39" xr:uid="{095F8E10-F81F-4474-A352-961CCCCB7676}"/>
    <cellStyle name="Normal 22 2" xfId="113" xr:uid="{F356E66C-846D-48AC-A259-475503521822}"/>
    <cellStyle name="Normal 23" xfId="114" xr:uid="{F6B7225D-D032-496B-B979-C3744159D44D}"/>
    <cellStyle name="Normal 23 2" xfId="115" xr:uid="{68FBC008-7BE9-4243-89BE-A4F12346CBC6}"/>
    <cellStyle name="Normal 24" xfId="139" xr:uid="{2BB7C590-325F-42AE-B692-3144D5A04630}"/>
    <cellStyle name="Normal 25" xfId="22" xr:uid="{71077372-C3B9-405A-8A1A-77A92B03C5E4}"/>
    <cellStyle name="Normal 25 2" xfId="133" xr:uid="{986E5B40-2610-4528-B065-D0027B3B90D1}"/>
    <cellStyle name="Normal 26" xfId="126" xr:uid="{CF915FFE-C957-44B8-BAEC-1FB8C46F391C}"/>
    <cellStyle name="Normal 26 2" xfId="143" xr:uid="{34436E1E-76BB-4661-906F-D5672CF10137}"/>
    <cellStyle name="Normal 27" xfId="124" xr:uid="{647AEFCD-A9D7-4718-8C5E-3ADD3447C6E1}"/>
    <cellStyle name="Normal 27 2" xfId="142" xr:uid="{5C6DE56B-DCE3-44CF-8DEC-9AB12DE2776B}"/>
    <cellStyle name="Normal 28" xfId="127" xr:uid="{50BF765D-79BA-4480-8D4C-8AD7B62B0113}"/>
    <cellStyle name="Normal 28 2" xfId="136" xr:uid="{7BBA2330-141A-48B5-BAD4-0C1F879A4FCF}"/>
    <cellStyle name="Normal 29" xfId="134" xr:uid="{8B18EE9A-5EBA-4798-A7FD-3A4D54C630E2}"/>
    <cellStyle name="Normal 3" xfId="16" xr:uid="{16026754-C094-47C5-AC13-5550298E64D6}"/>
    <cellStyle name="Normal 3 11" xfId="130" xr:uid="{3B74257E-B953-4047-87F8-13D8783766E1}"/>
    <cellStyle name="Normal 3 12" xfId="128" xr:uid="{6D46F621-3444-4F77-B021-B801426EAC34}"/>
    <cellStyle name="Normal 3 13" xfId="129" xr:uid="{4355C406-73A0-43B6-BB89-5564E935F39E}"/>
    <cellStyle name="Normal 3 14" xfId="131" xr:uid="{0801AF96-BF47-4FDE-94C9-1704251C49D1}"/>
    <cellStyle name="Normal 3 2" xfId="116" xr:uid="{DB254ABC-54B2-4B52-AFCB-C4783079DDAA}"/>
    <cellStyle name="Normal 3 2 2" xfId="153" xr:uid="{79E5087E-1783-4EDF-B113-62785F6EF675}"/>
    <cellStyle name="Normal 3 3" xfId="117" xr:uid="{B0F1B220-AC0F-4F7B-B3F3-EBE8B4C78D36}"/>
    <cellStyle name="Normal 3 3 2" xfId="154" xr:uid="{175BACD0-D76D-4E78-A620-34DE1309B5E9}"/>
    <cellStyle name="Normal 3 4" xfId="152" xr:uid="{0F9FD451-3C21-4663-8079-E41CE7CF7E15}"/>
    <cellStyle name="Normal 30" xfId="141" xr:uid="{86EE2BA3-EB39-489A-B999-0D78C57B0E07}"/>
    <cellStyle name="Normal 31" xfId="138" xr:uid="{869B3005-9097-44F4-ACDE-D2720B18621F}"/>
    <cellStyle name="Normal 32" xfId="135" xr:uid="{7A16E0F4-7579-40E1-91EF-EC96E0B03281}"/>
    <cellStyle name="Normal 33" xfId="145" xr:uid="{8477D942-80D3-473F-925E-B39E9E1175DE}"/>
    <cellStyle name="Normal 34" xfId="137" xr:uid="{58B618CD-A3BB-485F-B564-9DE36596E815}"/>
    <cellStyle name="Normal 35" xfId="144" xr:uid="{0A7467FD-7F2D-4AAF-91F0-F6B456EF8082}"/>
    <cellStyle name="Normal 37" xfId="4" xr:uid="{00000000-0005-0000-0000-000009000000}"/>
    <cellStyle name="Normal 4" xfId="23" xr:uid="{ECEBDACA-7F92-4435-B0B0-D07576C06E5D}"/>
    <cellStyle name="Normal 4 2" xfId="118" xr:uid="{531726EA-D108-40DA-B038-C4463089BEB0}"/>
    <cellStyle name="Normal 4 3" xfId="125" xr:uid="{76029822-62CD-40D8-9480-1575121582A7}"/>
    <cellStyle name="Normal 4 3 2" xfId="155" xr:uid="{76491B9A-DD8D-4C9E-8D98-0FE3207A44F3}"/>
    <cellStyle name="Normal 5" xfId="29" xr:uid="{29E1426B-D9B9-4D10-9F91-A92B2F51AB44}"/>
    <cellStyle name="Normal 5 2" xfId="119" xr:uid="{CD7148B3-1CA5-4C01-BF43-61071BF5D107}"/>
    <cellStyle name="Normal 5 3" xfId="156" xr:uid="{BA5D37C8-0141-407A-9B6F-3CB14360AAB2}"/>
    <cellStyle name="Normal 6" xfId="9" xr:uid="{00000000-0005-0000-0000-00000A000000}"/>
    <cellStyle name="Normal 6 2" xfId="140" xr:uid="{D0C935A4-B962-478C-A60A-F5E42BA148D1}"/>
    <cellStyle name="Normal 6 2 2" xfId="157" xr:uid="{9BF88CA6-0383-4D93-A20D-863A8E5AB557}"/>
    <cellStyle name="Normal 6 3" xfId="123" xr:uid="{5788FEC5-5155-484E-BE05-0F7C41AF7BCF}"/>
    <cellStyle name="Normal 6 3 2" xfId="162" xr:uid="{2A1F4FF1-EB06-4F10-B32E-D94C80895944}"/>
    <cellStyle name="Normal 6 4" xfId="8" xr:uid="{00000000-0005-0000-0000-00000B000000}"/>
    <cellStyle name="Normal 7" xfId="7" xr:uid="{00000000-0005-0000-0000-00000C000000}"/>
    <cellStyle name="Normal 7 2" xfId="120" xr:uid="{879ACF8F-2912-4861-9FD7-7DFD5E8BCF51}"/>
    <cellStyle name="Normal 7 2 2" xfId="158" xr:uid="{C922ACB5-0289-4EB4-8787-E560A8365FA9}"/>
    <cellStyle name="Normal 7 3" xfId="24" xr:uid="{DF1A6E0E-C555-4039-AB45-AC1334E7DCA8}"/>
    <cellStyle name="Normal 7 3 2" xfId="163" xr:uid="{07E84E56-77CD-4629-9797-B279B671FF57}"/>
    <cellStyle name="Normal 7 4" xfId="6" xr:uid="{00000000-0005-0000-0000-00000D000000}"/>
    <cellStyle name="Normal 8" xfId="3" xr:uid="{00000000-0005-0000-0000-00000E000000}"/>
    <cellStyle name="Normal 8 2" xfId="11" xr:uid="{00000000-0005-0000-0000-00000F000000}"/>
    <cellStyle name="Normal 8 2 2" xfId="121" xr:uid="{A0B19A80-CC22-4885-9846-7F40B661515E}"/>
    <cellStyle name="Normal 8 2 3" xfId="12" xr:uid="{00000000-0005-0000-0000-000010000000}"/>
    <cellStyle name="Normal 8 3" xfId="25" xr:uid="{ABD3B60E-E173-4D99-899F-F67F85E444C3}"/>
    <cellStyle name="Normal 8 3 2" xfId="164" xr:uid="{42822E71-D85E-43A7-96E2-85A63624BD0D}"/>
    <cellStyle name="Normal 8 4" xfId="147" xr:uid="{D8519813-F768-4BCD-B03B-283E8CDCD588}"/>
    <cellStyle name="Normal 9" xfId="26" xr:uid="{66C37DAE-91F4-4830-8E56-B0089FD4BFE3}"/>
    <cellStyle name="Normal 9 2" xfId="122" xr:uid="{7D82657F-3972-4A44-A277-174EBD3E36E0}"/>
    <cellStyle name="Normal 9 3" xfId="159" xr:uid="{4FF5939E-222D-420D-8817-3A3A7FE58E71}"/>
    <cellStyle name="Percent 2" xfId="18" xr:uid="{1CF44C61-DE86-4EEF-9497-BE9569796203}"/>
  </cellStyles>
  <dxfs count="0"/>
  <tableStyles count="0" defaultTableStyle="TableStyleMedium2" defaultPivotStyle="PivotStyleLight16"/>
  <colors>
    <mruColors>
      <color rgb="FF33CCCC"/>
      <color rgb="FF196563"/>
      <color rgb="FFC8F4F2"/>
      <color rgb="FFEAFAFA"/>
      <color rgb="FFFF9900"/>
      <color rgb="FF249390"/>
      <color rgb="FFEBFBFA"/>
      <color rgb="FFDDF8F7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96C78-C304-429E-B1C1-1280E2AF9DAD}">
  <sheetPr>
    <tabColor theme="4" tint="-0.249977111117893"/>
  </sheetPr>
  <dimension ref="A1:K32"/>
  <sheetViews>
    <sheetView tabSelected="1" zoomScaleNormal="100" zoomScaleSheetLayoutView="160" workbookViewId="0">
      <selection activeCell="K11" sqref="K11"/>
    </sheetView>
  </sheetViews>
  <sheetFormatPr defaultRowHeight="15" x14ac:dyDescent="0.25"/>
  <cols>
    <col min="1" max="1" width="19" style="2" customWidth="1"/>
    <col min="2" max="2" width="9.85546875" style="2" customWidth="1"/>
    <col min="3" max="3" width="9.5703125" style="2" customWidth="1"/>
    <col min="4" max="4" width="9" style="2" customWidth="1"/>
    <col min="5" max="5" width="10.85546875" style="2" customWidth="1"/>
    <col min="6" max="10" width="8.7109375" style="2" customWidth="1"/>
    <col min="11" max="11" width="17.85546875" style="2" customWidth="1"/>
    <col min="12" max="16384" width="9.140625" style="2"/>
  </cols>
  <sheetData>
    <row r="1" spans="1:11" ht="18.75" x14ac:dyDescent="0.25">
      <c r="A1" s="21" t="s">
        <v>38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 ht="18.75" x14ac:dyDescent="0.25">
      <c r="A2" s="21" t="s">
        <v>32</v>
      </c>
      <c r="B2" s="45"/>
      <c r="C2" s="45"/>
      <c r="D2" s="45"/>
      <c r="E2" s="45"/>
      <c r="F2" s="45"/>
      <c r="G2" s="45"/>
      <c r="H2" s="45"/>
      <c r="I2" s="45"/>
      <c r="J2" s="45"/>
      <c r="K2" s="45"/>
    </row>
    <row r="3" spans="1:11" ht="18.75" x14ac:dyDescent="0.25">
      <c r="A3" s="4"/>
      <c r="B3" s="55"/>
      <c r="C3" s="55"/>
      <c r="D3" s="55"/>
      <c r="E3" s="55"/>
      <c r="F3" s="55"/>
      <c r="G3" s="55"/>
      <c r="H3" s="55"/>
      <c r="I3" s="55"/>
      <c r="J3" s="55"/>
      <c r="K3" s="55"/>
    </row>
    <row r="4" spans="1:11" x14ac:dyDescent="0.25">
      <c r="A4" s="50" t="s">
        <v>8</v>
      </c>
      <c r="B4" s="53" t="s">
        <v>40</v>
      </c>
      <c r="C4" s="53"/>
      <c r="D4" s="53"/>
      <c r="E4" s="53"/>
      <c r="F4" s="53"/>
      <c r="G4" s="53"/>
      <c r="H4" s="53"/>
      <c r="I4" s="53"/>
      <c r="J4" s="54"/>
      <c r="K4" s="51" t="s">
        <v>35</v>
      </c>
    </row>
    <row r="5" spans="1:11" ht="15" customHeight="1" x14ac:dyDescent="0.25">
      <c r="A5" s="47"/>
      <c r="B5" s="22" t="s">
        <v>33</v>
      </c>
      <c r="C5" s="23"/>
      <c r="D5" s="24"/>
      <c r="E5" s="25" t="s">
        <v>39</v>
      </c>
      <c r="F5" s="23"/>
      <c r="G5" s="24"/>
      <c r="H5" s="25" t="s">
        <v>9</v>
      </c>
      <c r="I5" s="23"/>
      <c r="J5" s="24"/>
      <c r="K5" s="48"/>
    </row>
    <row r="6" spans="1:11" ht="46.5" customHeight="1" x14ac:dyDescent="0.25">
      <c r="A6" s="46"/>
      <c r="B6" s="19" t="s">
        <v>41</v>
      </c>
      <c r="C6" s="52" t="s">
        <v>34</v>
      </c>
      <c r="D6" s="6" t="s">
        <v>0</v>
      </c>
      <c r="E6" s="44" t="s">
        <v>5</v>
      </c>
      <c r="F6" s="17" t="s">
        <v>6</v>
      </c>
      <c r="G6" s="18" t="s">
        <v>7</v>
      </c>
      <c r="H6" s="9" t="s">
        <v>0</v>
      </c>
      <c r="I6" s="7" t="s">
        <v>10</v>
      </c>
      <c r="J6" s="8" t="s">
        <v>11</v>
      </c>
      <c r="K6" s="49"/>
    </row>
    <row r="7" spans="1:11" x14ac:dyDescent="0.25">
      <c r="A7" s="10" t="s">
        <v>1</v>
      </c>
      <c r="B7" s="26">
        <f>B9+B8</f>
        <v>217</v>
      </c>
      <c r="C7" s="26">
        <f t="shared" ref="C7:J7" si="0">C9+C8</f>
        <v>54</v>
      </c>
      <c r="D7" s="27">
        <f t="shared" si="0"/>
        <v>271</v>
      </c>
      <c r="E7" s="28">
        <f t="shared" si="0"/>
        <v>94192</v>
      </c>
      <c r="F7" s="26">
        <f t="shared" si="0"/>
        <v>48171</v>
      </c>
      <c r="G7" s="29">
        <f t="shared" si="0"/>
        <v>46021</v>
      </c>
      <c r="H7" s="28">
        <f t="shared" si="0"/>
        <v>9835</v>
      </c>
      <c r="I7" s="30">
        <f t="shared" si="0"/>
        <v>8917</v>
      </c>
      <c r="J7" s="31">
        <f t="shared" si="0"/>
        <v>918</v>
      </c>
      <c r="K7" s="11" t="str">
        <f>ROUND(E7,(LEN(E7)-1)*-1)/GCD(ROUND(E7,(LEN(E7)-1)*-1),ROUND(I7,(LEN(I7)-1)*-1)) &amp; ":" &amp; ROUND(I7,(LEN(I7)-1)*-1)/GCD(ROUND(E7,(LEN(E7)-1)*-1),ROUND(I7,(LEN(I7)-1)*-1))</f>
        <v>10:1</v>
      </c>
    </row>
    <row r="8" spans="1:11" x14ac:dyDescent="0.25">
      <c r="A8" s="10" t="s">
        <v>2</v>
      </c>
      <c r="B8" s="30">
        <v>10</v>
      </c>
      <c r="C8" s="26">
        <v>27</v>
      </c>
      <c r="D8" s="27">
        <f>B8+C8</f>
        <v>37</v>
      </c>
      <c r="E8" s="28">
        <f>F8+G8</f>
        <v>36341</v>
      </c>
      <c r="F8" s="26">
        <v>18478</v>
      </c>
      <c r="G8" s="29">
        <v>17863</v>
      </c>
      <c r="H8" s="28">
        <f>I8+J8</f>
        <v>2100</v>
      </c>
      <c r="I8" s="30">
        <v>2019</v>
      </c>
      <c r="J8" s="31">
        <v>81</v>
      </c>
      <c r="K8" s="11" t="str">
        <f t="shared" ref="K8:K29" si="1">ROUND(E8,(LEN(E8)-1)*-1)/GCD(ROUND(E8,(LEN(E8)-1)*-1),ROUND(I8,(LEN(I8)-1)*-1)) &amp; ":" &amp; ROUND(I8,(LEN(I8)-1)*-1)/GCD(ROUND(E8,(LEN(E8)-1)*-1),ROUND(I8,(LEN(I8)-1)*-1))</f>
        <v>20:1</v>
      </c>
    </row>
    <row r="9" spans="1:11" x14ac:dyDescent="0.25">
      <c r="A9" s="10" t="s">
        <v>3</v>
      </c>
      <c r="B9" s="26">
        <f>SUM(B10:B29)</f>
        <v>207</v>
      </c>
      <c r="C9" s="26">
        <f t="shared" ref="C9:J9" si="2">SUM(C10:C29)</f>
        <v>27</v>
      </c>
      <c r="D9" s="27">
        <f t="shared" si="2"/>
        <v>234</v>
      </c>
      <c r="E9" s="28">
        <f t="shared" si="2"/>
        <v>57851</v>
      </c>
      <c r="F9" s="26">
        <f t="shared" si="2"/>
        <v>29693</v>
      </c>
      <c r="G9" s="29">
        <f t="shared" si="2"/>
        <v>28158</v>
      </c>
      <c r="H9" s="28">
        <f t="shared" si="2"/>
        <v>7735</v>
      </c>
      <c r="I9" s="30">
        <f t="shared" si="2"/>
        <v>6898</v>
      </c>
      <c r="J9" s="31">
        <f t="shared" si="2"/>
        <v>837</v>
      </c>
      <c r="K9" s="11" t="str">
        <f t="shared" si="1"/>
        <v>60:7</v>
      </c>
    </row>
    <row r="10" spans="1:11" x14ac:dyDescent="0.25">
      <c r="A10" s="5" t="s">
        <v>12</v>
      </c>
      <c r="B10" s="32">
        <v>14</v>
      </c>
      <c r="C10" s="32">
        <v>2</v>
      </c>
      <c r="D10" s="33">
        <f>B10+C10</f>
        <v>16</v>
      </c>
      <c r="E10" s="34">
        <f>F10+G10</f>
        <v>3790</v>
      </c>
      <c r="F10" s="35">
        <v>1968</v>
      </c>
      <c r="G10" s="36">
        <v>1822</v>
      </c>
      <c r="H10" s="34">
        <f t="shared" ref="H10:H29" si="3">I10+J10</f>
        <v>521</v>
      </c>
      <c r="I10" s="32">
        <v>465</v>
      </c>
      <c r="J10" s="37">
        <v>56</v>
      </c>
      <c r="K10" s="12" t="str">
        <f t="shared" si="1"/>
        <v>8:1</v>
      </c>
    </row>
    <row r="11" spans="1:11" x14ac:dyDescent="0.25">
      <c r="A11" s="5" t="s">
        <v>13</v>
      </c>
      <c r="B11" s="32">
        <v>13</v>
      </c>
      <c r="C11" s="32">
        <v>5</v>
      </c>
      <c r="D11" s="33">
        <f t="shared" ref="D11:D29" si="4">B11+C11</f>
        <v>18</v>
      </c>
      <c r="E11" s="34">
        <f t="shared" ref="E11:E29" si="5">F11+G11</f>
        <v>5882</v>
      </c>
      <c r="F11" s="35">
        <v>3038</v>
      </c>
      <c r="G11" s="36">
        <v>2844</v>
      </c>
      <c r="H11" s="34">
        <f t="shared" si="3"/>
        <v>685</v>
      </c>
      <c r="I11" s="32">
        <v>632</v>
      </c>
      <c r="J11" s="37">
        <v>53</v>
      </c>
      <c r="K11" s="12" t="str">
        <f t="shared" si="1"/>
        <v>10:1</v>
      </c>
    </row>
    <row r="12" spans="1:11" x14ac:dyDescent="0.25">
      <c r="A12" s="5" t="s">
        <v>14</v>
      </c>
      <c r="B12" s="32">
        <v>12</v>
      </c>
      <c r="C12" s="32">
        <v>2</v>
      </c>
      <c r="D12" s="33">
        <f t="shared" si="4"/>
        <v>14</v>
      </c>
      <c r="E12" s="34">
        <f t="shared" si="5"/>
        <v>3715</v>
      </c>
      <c r="F12" s="35">
        <v>1881</v>
      </c>
      <c r="G12" s="36">
        <v>1834</v>
      </c>
      <c r="H12" s="34">
        <f t="shared" si="3"/>
        <v>526</v>
      </c>
      <c r="I12" s="32">
        <v>448</v>
      </c>
      <c r="J12" s="37">
        <v>78</v>
      </c>
      <c r="K12" s="12" t="str">
        <f t="shared" si="1"/>
        <v>10:1</v>
      </c>
    </row>
    <row r="13" spans="1:11" x14ac:dyDescent="0.25">
      <c r="A13" s="5" t="s">
        <v>15</v>
      </c>
      <c r="B13" s="32">
        <v>15</v>
      </c>
      <c r="C13" s="32">
        <v>0</v>
      </c>
      <c r="D13" s="33">
        <f t="shared" si="4"/>
        <v>15</v>
      </c>
      <c r="E13" s="34">
        <f t="shared" si="5"/>
        <v>3211</v>
      </c>
      <c r="F13" s="35">
        <v>1633</v>
      </c>
      <c r="G13" s="36">
        <v>1578</v>
      </c>
      <c r="H13" s="34">
        <f t="shared" si="3"/>
        <v>499</v>
      </c>
      <c r="I13" s="32">
        <v>428</v>
      </c>
      <c r="J13" s="37">
        <v>71</v>
      </c>
      <c r="K13" s="12" t="str">
        <f t="shared" si="1"/>
        <v>15:2</v>
      </c>
    </row>
    <row r="14" spans="1:11" x14ac:dyDescent="0.25">
      <c r="A14" s="5" t="s">
        <v>16</v>
      </c>
      <c r="B14" s="32">
        <v>18</v>
      </c>
      <c r="C14" s="32">
        <v>1</v>
      </c>
      <c r="D14" s="33">
        <f t="shared" si="4"/>
        <v>19</v>
      </c>
      <c r="E14" s="34">
        <f t="shared" si="5"/>
        <v>4579</v>
      </c>
      <c r="F14" s="35">
        <v>2335</v>
      </c>
      <c r="G14" s="36">
        <v>2244</v>
      </c>
      <c r="H14" s="34">
        <f t="shared" si="3"/>
        <v>637</v>
      </c>
      <c r="I14" s="32">
        <v>574</v>
      </c>
      <c r="J14" s="37">
        <v>63</v>
      </c>
      <c r="K14" s="12" t="str">
        <f t="shared" si="1"/>
        <v>25:3</v>
      </c>
    </row>
    <row r="15" spans="1:11" x14ac:dyDescent="0.25">
      <c r="A15" s="5" t="s">
        <v>17</v>
      </c>
      <c r="B15" s="32">
        <v>15</v>
      </c>
      <c r="C15" s="32">
        <v>1</v>
      </c>
      <c r="D15" s="33">
        <f t="shared" si="4"/>
        <v>16</v>
      </c>
      <c r="E15" s="34">
        <f t="shared" si="5"/>
        <v>2656</v>
      </c>
      <c r="F15" s="35">
        <v>1330</v>
      </c>
      <c r="G15" s="36">
        <v>1326</v>
      </c>
      <c r="H15" s="34">
        <f t="shared" si="3"/>
        <v>427</v>
      </c>
      <c r="I15" s="32">
        <v>392</v>
      </c>
      <c r="J15" s="37">
        <v>35</v>
      </c>
      <c r="K15" s="12" t="str">
        <f t="shared" si="1"/>
        <v>15:2</v>
      </c>
    </row>
    <row r="16" spans="1:11" x14ac:dyDescent="0.25">
      <c r="A16" s="5" t="s">
        <v>18</v>
      </c>
      <c r="B16" s="32">
        <v>4</v>
      </c>
      <c r="C16" s="32">
        <v>2</v>
      </c>
      <c r="D16" s="33">
        <f t="shared" si="4"/>
        <v>6</v>
      </c>
      <c r="E16" s="34">
        <f t="shared" si="5"/>
        <v>2172</v>
      </c>
      <c r="F16" s="35">
        <v>1068</v>
      </c>
      <c r="G16" s="36">
        <v>1104</v>
      </c>
      <c r="H16" s="34">
        <f t="shared" si="3"/>
        <v>219</v>
      </c>
      <c r="I16" s="32">
        <v>181</v>
      </c>
      <c r="J16" s="37">
        <v>38</v>
      </c>
      <c r="K16" s="12" t="str">
        <f t="shared" si="1"/>
        <v>10:1</v>
      </c>
    </row>
    <row r="17" spans="1:11" x14ac:dyDescent="0.25">
      <c r="A17" s="5" t="s">
        <v>19</v>
      </c>
      <c r="B17" s="32">
        <v>11</v>
      </c>
      <c r="C17" s="32">
        <v>1</v>
      </c>
      <c r="D17" s="33">
        <f t="shared" si="4"/>
        <v>12</v>
      </c>
      <c r="E17" s="34">
        <f t="shared" si="5"/>
        <v>3092</v>
      </c>
      <c r="F17" s="35">
        <v>1618</v>
      </c>
      <c r="G17" s="36">
        <v>1474</v>
      </c>
      <c r="H17" s="34">
        <f t="shared" si="3"/>
        <v>348</v>
      </c>
      <c r="I17" s="32">
        <v>290</v>
      </c>
      <c r="J17" s="37">
        <v>58</v>
      </c>
      <c r="K17" s="12" t="str">
        <f t="shared" si="1"/>
        <v>10:1</v>
      </c>
    </row>
    <row r="18" spans="1:11" x14ac:dyDescent="0.25">
      <c r="A18" s="5" t="s">
        <v>20</v>
      </c>
      <c r="B18" s="32">
        <v>9</v>
      </c>
      <c r="C18" s="32">
        <v>0</v>
      </c>
      <c r="D18" s="33">
        <f t="shared" si="4"/>
        <v>9</v>
      </c>
      <c r="E18" s="34">
        <f t="shared" si="5"/>
        <v>1969</v>
      </c>
      <c r="F18" s="35">
        <v>1030</v>
      </c>
      <c r="G18" s="36">
        <v>939</v>
      </c>
      <c r="H18" s="34">
        <f t="shared" si="3"/>
        <v>277</v>
      </c>
      <c r="I18" s="32">
        <v>243</v>
      </c>
      <c r="J18" s="37">
        <v>34</v>
      </c>
      <c r="K18" s="12" t="str">
        <f t="shared" si="1"/>
        <v>10:1</v>
      </c>
    </row>
    <row r="19" spans="1:11" x14ac:dyDescent="0.25">
      <c r="A19" s="5" t="s">
        <v>21</v>
      </c>
      <c r="B19" s="32">
        <v>10</v>
      </c>
      <c r="C19" s="32">
        <v>2</v>
      </c>
      <c r="D19" s="33">
        <f t="shared" si="4"/>
        <v>12</v>
      </c>
      <c r="E19" s="34">
        <f t="shared" si="5"/>
        <v>2378</v>
      </c>
      <c r="F19" s="35">
        <v>1234</v>
      </c>
      <c r="G19" s="36">
        <v>1144</v>
      </c>
      <c r="H19" s="34">
        <f t="shared" si="3"/>
        <v>325</v>
      </c>
      <c r="I19" s="32">
        <v>267</v>
      </c>
      <c r="J19" s="37">
        <v>58</v>
      </c>
      <c r="K19" s="12" t="str">
        <f t="shared" si="1"/>
        <v>20:3</v>
      </c>
    </row>
    <row r="20" spans="1:11" x14ac:dyDescent="0.25">
      <c r="A20" s="5" t="s">
        <v>22</v>
      </c>
      <c r="B20" s="32">
        <v>4</v>
      </c>
      <c r="C20" s="32">
        <v>0</v>
      </c>
      <c r="D20" s="33">
        <f t="shared" si="4"/>
        <v>4</v>
      </c>
      <c r="E20" s="34">
        <f t="shared" si="5"/>
        <v>395</v>
      </c>
      <c r="F20" s="35">
        <v>199</v>
      </c>
      <c r="G20" s="36">
        <v>196</v>
      </c>
      <c r="H20" s="34">
        <f t="shared" si="3"/>
        <v>91</v>
      </c>
      <c r="I20" s="32">
        <v>83</v>
      </c>
      <c r="J20" s="37">
        <v>8</v>
      </c>
      <c r="K20" s="12" t="str">
        <f t="shared" si="1"/>
        <v>5:1</v>
      </c>
    </row>
    <row r="21" spans="1:11" x14ac:dyDescent="0.25">
      <c r="A21" s="5" t="s">
        <v>23</v>
      </c>
      <c r="B21" s="32">
        <v>8</v>
      </c>
      <c r="C21" s="32">
        <v>0</v>
      </c>
      <c r="D21" s="33">
        <f t="shared" si="4"/>
        <v>8</v>
      </c>
      <c r="E21" s="34">
        <f t="shared" si="5"/>
        <v>1235</v>
      </c>
      <c r="F21" s="35">
        <v>643</v>
      </c>
      <c r="G21" s="36">
        <v>592</v>
      </c>
      <c r="H21" s="34">
        <f t="shared" si="3"/>
        <v>223</v>
      </c>
      <c r="I21" s="32">
        <v>207</v>
      </c>
      <c r="J21" s="37">
        <v>16</v>
      </c>
      <c r="K21" s="12" t="str">
        <f t="shared" si="1"/>
        <v>5:1</v>
      </c>
    </row>
    <row r="22" spans="1:11" x14ac:dyDescent="0.25">
      <c r="A22" s="5" t="s">
        <v>24</v>
      </c>
      <c r="B22" s="32">
        <v>4</v>
      </c>
      <c r="C22" s="32">
        <v>1</v>
      </c>
      <c r="D22" s="33">
        <f t="shared" si="4"/>
        <v>5</v>
      </c>
      <c r="E22" s="34">
        <f t="shared" si="5"/>
        <v>1459</v>
      </c>
      <c r="F22" s="35">
        <v>771</v>
      </c>
      <c r="G22" s="36">
        <v>688</v>
      </c>
      <c r="H22" s="34">
        <f t="shared" si="3"/>
        <v>191</v>
      </c>
      <c r="I22" s="32">
        <v>183</v>
      </c>
      <c r="J22" s="37">
        <v>8</v>
      </c>
      <c r="K22" s="12" t="str">
        <f t="shared" si="1"/>
        <v>5:1</v>
      </c>
    </row>
    <row r="23" spans="1:11" x14ac:dyDescent="0.25">
      <c r="A23" s="5" t="s">
        <v>25</v>
      </c>
      <c r="B23" s="32">
        <v>6</v>
      </c>
      <c r="C23" s="32">
        <v>1</v>
      </c>
      <c r="D23" s="33">
        <f t="shared" si="4"/>
        <v>7</v>
      </c>
      <c r="E23" s="34">
        <f t="shared" si="5"/>
        <v>1648</v>
      </c>
      <c r="F23" s="35">
        <v>813</v>
      </c>
      <c r="G23" s="36">
        <v>835</v>
      </c>
      <c r="H23" s="34">
        <f t="shared" si="3"/>
        <v>262</v>
      </c>
      <c r="I23" s="32">
        <v>228</v>
      </c>
      <c r="J23" s="37">
        <v>34</v>
      </c>
      <c r="K23" s="12" t="str">
        <f t="shared" si="1"/>
        <v>10:1</v>
      </c>
    </row>
    <row r="24" spans="1:11" x14ac:dyDescent="0.25">
      <c r="A24" s="5" t="s">
        <v>26</v>
      </c>
      <c r="B24" s="32">
        <v>14</v>
      </c>
      <c r="C24" s="32">
        <v>0</v>
      </c>
      <c r="D24" s="33">
        <f t="shared" si="4"/>
        <v>14</v>
      </c>
      <c r="E24" s="34">
        <f t="shared" si="5"/>
        <v>2642</v>
      </c>
      <c r="F24" s="35">
        <v>1346</v>
      </c>
      <c r="G24" s="36">
        <v>1296</v>
      </c>
      <c r="H24" s="34">
        <f t="shared" si="3"/>
        <v>456</v>
      </c>
      <c r="I24" s="32">
        <v>389</v>
      </c>
      <c r="J24" s="37">
        <v>67</v>
      </c>
      <c r="K24" s="12" t="str">
        <f t="shared" si="1"/>
        <v>15:2</v>
      </c>
    </row>
    <row r="25" spans="1:11" x14ac:dyDescent="0.25">
      <c r="A25" s="5" t="s">
        <v>27</v>
      </c>
      <c r="B25" s="32">
        <v>12</v>
      </c>
      <c r="C25" s="32">
        <v>2</v>
      </c>
      <c r="D25" s="33">
        <f t="shared" si="4"/>
        <v>14</v>
      </c>
      <c r="E25" s="34">
        <f t="shared" si="5"/>
        <v>3578</v>
      </c>
      <c r="F25" s="35">
        <v>1881</v>
      </c>
      <c r="G25" s="36">
        <v>1697</v>
      </c>
      <c r="H25" s="34">
        <f t="shared" si="3"/>
        <v>496</v>
      </c>
      <c r="I25" s="32">
        <v>444</v>
      </c>
      <c r="J25" s="37">
        <v>52</v>
      </c>
      <c r="K25" s="12" t="str">
        <f t="shared" si="1"/>
        <v>10:1</v>
      </c>
    </row>
    <row r="26" spans="1:11" x14ac:dyDescent="0.25">
      <c r="A26" s="5" t="s">
        <v>28</v>
      </c>
      <c r="B26" s="32">
        <v>9</v>
      </c>
      <c r="C26" s="32">
        <v>1</v>
      </c>
      <c r="D26" s="33">
        <f t="shared" si="4"/>
        <v>10</v>
      </c>
      <c r="E26" s="34">
        <f t="shared" si="5"/>
        <v>2135</v>
      </c>
      <c r="F26" s="35">
        <v>1117</v>
      </c>
      <c r="G26" s="36">
        <v>1018</v>
      </c>
      <c r="H26" s="34">
        <f t="shared" si="3"/>
        <v>317</v>
      </c>
      <c r="I26" s="32">
        <v>276</v>
      </c>
      <c r="J26" s="37">
        <v>41</v>
      </c>
      <c r="K26" s="12" t="str">
        <f t="shared" si="1"/>
        <v>20:3</v>
      </c>
    </row>
    <row r="27" spans="1:11" x14ac:dyDescent="0.25">
      <c r="A27" s="5" t="s">
        <v>29</v>
      </c>
      <c r="B27" s="32">
        <v>13</v>
      </c>
      <c r="C27" s="32">
        <v>0</v>
      </c>
      <c r="D27" s="33">
        <f t="shared" si="4"/>
        <v>13</v>
      </c>
      <c r="E27" s="34">
        <f t="shared" si="5"/>
        <v>3252</v>
      </c>
      <c r="F27" s="35">
        <v>1700</v>
      </c>
      <c r="G27" s="36">
        <v>1552</v>
      </c>
      <c r="H27" s="34">
        <f t="shared" si="3"/>
        <v>407</v>
      </c>
      <c r="I27" s="32">
        <v>370</v>
      </c>
      <c r="J27" s="37">
        <v>37</v>
      </c>
      <c r="K27" s="12" t="str">
        <f t="shared" si="1"/>
        <v>15:2</v>
      </c>
    </row>
    <row r="28" spans="1:11" x14ac:dyDescent="0.25">
      <c r="A28" s="5" t="s">
        <v>30</v>
      </c>
      <c r="B28" s="32">
        <v>6</v>
      </c>
      <c r="C28" s="32">
        <v>2</v>
      </c>
      <c r="D28" s="33">
        <f t="shared" si="4"/>
        <v>8</v>
      </c>
      <c r="E28" s="34">
        <f t="shared" si="5"/>
        <v>2505</v>
      </c>
      <c r="F28" s="35">
        <v>1270</v>
      </c>
      <c r="G28" s="36">
        <v>1235</v>
      </c>
      <c r="H28" s="34">
        <f t="shared" si="3"/>
        <v>251</v>
      </c>
      <c r="I28" s="32">
        <v>250</v>
      </c>
      <c r="J28" s="37">
        <v>1</v>
      </c>
      <c r="K28" s="12" t="str">
        <f t="shared" si="1"/>
        <v>10:1</v>
      </c>
    </row>
    <row r="29" spans="1:11" x14ac:dyDescent="0.25">
      <c r="A29" s="13" t="s">
        <v>31</v>
      </c>
      <c r="B29" s="38">
        <v>10</v>
      </c>
      <c r="C29" s="38">
        <v>4</v>
      </c>
      <c r="D29" s="39">
        <f t="shared" si="4"/>
        <v>14</v>
      </c>
      <c r="E29" s="40">
        <f t="shared" si="5"/>
        <v>5558</v>
      </c>
      <c r="F29" s="41">
        <v>2818</v>
      </c>
      <c r="G29" s="42">
        <v>2740</v>
      </c>
      <c r="H29" s="40">
        <f t="shared" si="3"/>
        <v>577</v>
      </c>
      <c r="I29" s="38">
        <v>548</v>
      </c>
      <c r="J29" s="43">
        <v>29</v>
      </c>
      <c r="K29" s="14" t="str">
        <f t="shared" si="1"/>
        <v>12:1</v>
      </c>
    </row>
    <row r="30" spans="1:11" x14ac:dyDescent="0.25">
      <c r="A30" s="16" t="s">
        <v>36</v>
      </c>
      <c r="B30" s="3"/>
      <c r="C30" s="20"/>
      <c r="D30" s="15"/>
    </row>
    <row r="31" spans="1:11" x14ac:dyDescent="0.25">
      <c r="A31" s="16" t="s">
        <v>37</v>
      </c>
    </row>
    <row r="32" spans="1:11" x14ac:dyDescent="0.25">
      <c r="A32" s="1" t="s">
        <v>4</v>
      </c>
    </row>
  </sheetData>
  <mergeCells count="8">
    <mergeCell ref="A1:K1"/>
    <mergeCell ref="A2:K2"/>
    <mergeCell ref="B5:D5"/>
    <mergeCell ref="E5:G5"/>
    <mergeCell ref="H5:J5"/>
    <mergeCell ref="B4:J4"/>
    <mergeCell ref="A4:A6"/>
    <mergeCell ref="K4:K6"/>
  </mergeCells>
  <pageMargins left="0.7" right="0.7" top="0.75" bottom="0.75" header="0.3" footer="0.3"/>
  <pageSetup scale="66" orientation="portrait" r:id="rId1"/>
  <ignoredErrors>
    <ignoredError sqref="D9:H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2024-05-15T07:18:49Z</cp:lastPrinted>
  <dcterms:created xsi:type="dcterms:W3CDTF">2019-02-28T08:20:57Z</dcterms:created>
  <dcterms:modified xsi:type="dcterms:W3CDTF">2024-05-15T07:19:01Z</dcterms:modified>
</cp:coreProperties>
</file>