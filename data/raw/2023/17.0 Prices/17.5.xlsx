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rices\"/>
    </mc:Choice>
  </mc:AlternateContent>
  <xr:revisionPtr revIDLastSave="0" documentId="13_ncr:1_{3A07B5A5-7F01-4663-88E0-A77535123C4B}" xr6:coauthVersionLast="47" xr6:coauthVersionMax="47" xr10:uidLastSave="{00000000-0000-0000-0000-000000000000}"/>
  <bookViews>
    <workbookView xWindow="-120" yWindow="-120" windowWidth="29040" windowHeight="15840" tabRatio="793" xr2:uid="{00000000-000D-0000-FFFF-FFFF00000000}"/>
  </bookViews>
  <sheets>
    <sheet name="17.5" sheetId="6" r:id="rId1"/>
  </sheets>
  <definedNames>
    <definedName name="_xlnm.Print_Area" localSheetId="0">'17.5'!$A$1:$S$74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2" i="6" l="1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</calcChain>
</file>

<file path=xl/sharedStrings.xml><?xml version="1.0" encoding="utf-8"?>
<sst xmlns="http://schemas.openxmlformats.org/spreadsheetml/2006/main" count="210" uniqueCount="79">
  <si>
    <t>Republic</t>
  </si>
  <si>
    <t>Male'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</si>
  <si>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</si>
  <si>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</si>
  <si>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</si>
  <si>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</si>
  <si>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</si>
  <si>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</si>
  <si>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</si>
  <si>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</si>
  <si>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</si>
  <si>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</si>
  <si>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</si>
  <si>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</si>
  <si>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</si>
  <si>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</si>
  <si>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</si>
  <si>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</si>
  <si>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</si>
  <si>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</si>
  <si>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</si>
  <si>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</si>
  <si>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</si>
  <si>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</si>
  <si>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</si>
  <si>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</si>
  <si>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</si>
  <si>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</si>
  <si>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</si>
  <si>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</si>
  <si>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</si>
  <si>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</si>
  <si>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</si>
  <si>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</si>
  <si>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</si>
  <si>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</si>
  <si>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</si>
  <si>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</si>
  <si>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</si>
  <si>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</si>
  <si>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</si>
  <si>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</si>
  <si>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</si>
  <si>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</si>
  <si>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</si>
  <si>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</si>
  <si>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</si>
  <si>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</si>
  <si>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</si>
  <si>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</si>
  <si>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</si>
  <si>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</si>
  <si>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</si>
  <si>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Jan - Dec</t>
  </si>
  <si>
    <t xml:space="preserve">     ilukegEg</t>
  </si>
  <si>
    <t>cSwa elWm</t>
  </si>
  <si>
    <t>Atolls</t>
  </si>
  <si>
    <t xml:space="preserve"> cSwkwtuLotwa</t>
  </si>
  <si>
    <t>ilukegEg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</si>
  <si>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</si>
  <si>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</si>
  <si>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</si>
  <si>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</si>
  <si>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</si>
  <si>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</si>
  <si>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</si>
  <si>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</si>
  <si>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</si>
  <si>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</si>
  <si>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</si>
  <si>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</si>
  <si>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(Index - base: Nov 2022=100)</t>
  </si>
  <si>
    <t>(cnegiawlwbcSwa 100 IkwDnwgcnim eg ނޮވެންބަރ 2022 )</t>
  </si>
  <si>
    <t xml:space="preserve"> 2022 ،iawa.Ip.Is eguhwmcswm</t>
  </si>
  <si>
    <t>Monthly CPI , 2022</t>
  </si>
  <si>
    <t>މަޢުލޫމާތު ދެއްވި ފަރާތް: މޯލްޑިވްސް ބިއުރޯ އޮފް ސްޓެޓިސްޓިކްސް</t>
  </si>
  <si>
    <t xml:space="preserve">Source:   Maldives  Bureau of Statistics   </t>
  </si>
  <si>
    <t>2022 ,uDnwgcnim egugwa egurWzWb eguhwmcswmikea : 17.5 ulwvWt</t>
  </si>
  <si>
    <t>Table  17.5 : CONSUMER PRICE INDEX, FOR MALE' AND ATOLLS BY MONTH,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</si>
</sst>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8" formatCode="_(* #,##0.0_);_(* \(#,##0.0\);_(* &quot;-&quot;??_);_(@_)"/>
    <numFmt numFmtId="169" formatCode="_-* #,##0.00_-;\-* #,##0.00_-;_-* &quot;-&quot;??_-;_-@_-"/>
    <numFmt numFmtId="171" formatCode="0.00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sz val="9"/>
      <name val="A_Faseyha"/>
    </font>
    <font>
      <b/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2">
    <xf numFmtId="0" fontId="0" fillId="0" borderId="0"/>
    <xf numFmtId="165" fontId="2" fillId="0" borderId="0"/>
    <xf numFmtId="0" fontId="4" fillId="0" borderId="0"/>
    <xf numFmtId="165" fontId="2" fillId="0" borderId="0"/>
    <xf numFmtId="165" fontId="2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5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4" fillId="0" borderId="0"/>
    <xf numFmtId="0" fontId="4" fillId="0" borderId="0"/>
    <xf numFmtId="0" fontId="4" fillId="0" borderId="0"/>
  </cellStyleXfs>
  <cellXfs count="70">
    <xf numFmtId="0" fontId="0" fillId="0" borderId="0" xfId="0"/>
    <xf numFmtId="0" fontId="4" fillId="2" borderId="0" xfId="2" applyFill="1"/>
    <xf numFmtId="165" fontId="9" fillId="2" borderId="0" xfId="4" applyFont="1" applyFill="1" applyAlignment="1">
      <alignment vertical="center" wrapText="1"/>
    </xf>
    <xf numFmtId="165" fontId="9" fillId="2" borderId="0" xfId="4" applyFont="1" applyFill="1" applyAlignment="1">
      <alignment vertical="center"/>
    </xf>
    <xf numFmtId="0" fontId="9" fillId="2" borderId="0" xfId="5" applyFont="1" applyFill="1" applyAlignment="1">
      <alignment vertical="center"/>
    </xf>
    <xf numFmtId="165" fontId="8" fillId="2" borderId="0" xfId="4" applyFont="1" applyFill="1" applyAlignment="1">
      <alignment vertical="center"/>
    </xf>
    <xf numFmtId="165" fontId="8" fillId="2" borderId="1" xfId="4" applyFont="1" applyFill="1" applyBorder="1" applyAlignment="1">
      <alignment vertical="center"/>
    </xf>
    <xf numFmtId="0" fontId="11" fillId="2" borderId="0" xfId="2" applyFont="1" applyFill="1" applyAlignment="1">
      <alignment vertical="center"/>
    </xf>
    <xf numFmtId="0" fontId="11" fillId="2" borderId="0" xfId="2" applyFont="1" applyFill="1"/>
    <xf numFmtId="0" fontId="11" fillId="2" borderId="2" xfId="2" applyFont="1" applyFill="1" applyBorder="1"/>
    <xf numFmtId="0" fontId="13" fillId="2" borderId="0" xfId="2" applyFont="1" applyFill="1"/>
    <xf numFmtId="165" fontId="3" fillId="2" borderId="0" xfId="3" applyFont="1" applyFill="1" applyAlignment="1">
      <alignment vertical="center"/>
    </xf>
    <xf numFmtId="165" fontId="11" fillId="2" borderId="0" xfId="3" applyFont="1" applyFill="1" applyAlignment="1">
      <alignment vertical="center"/>
    </xf>
    <xf numFmtId="165" fontId="5" fillId="2" borderId="0" xfId="3" applyFont="1" applyFill="1" applyAlignment="1">
      <alignment vertical="center"/>
    </xf>
    <xf numFmtId="165" fontId="3" fillId="2" borderId="0" xfId="3" applyFont="1" applyFill="1" applyAlignment="1">
      <alignment vertical="center" wrapText="1"/>
    </xf>
    <xf numFmtId="3" fontId="12" fillId="2" borderId="1" xfId="6" applyNumberFormat="1" applyFont="1" applyFill="1" applyBorder="1" applyAlignment="1">
      <alignment horizontal="left" vertical="center"/>
    </xf>
    <xf numFmtId="3" fontId="13" fillId="2" borderId="1" xfId="6" applyNumberFormat="1" applyFont="1" applyFill="1" applyBorder="1" applyAlignment="1">
      <alignment horizontal="center" vertical="center"/>
    </xf>
    <xf numFmtId="3" fontId="13" fillId="2" borderId="1" xfId="6" applyNumberFormat="1" applyFont="1" applyFill="1" applyBorder="1" applyAlignment="1">
      <alignment horizontal="right" vertical="center"/>
    </xf>
    <xf numFmtId="0" fontId="4" fillId="2" borderId="1" xfId="2" applyFill="1" applyBorder="1"/>
    <xf numFmtId="0" fontId="11" fillId="2" borderId="1" xfId="2" applyFont="1" applyFill="1" applyBorder="1"/>
    <xf numFmtId="0" fontId="5" fillId="2" borderId="2" xfId="2" applyFont="1" applyFill="1" applyBorder="1"/>
    <xf numFmtId="0" fontId="13" fillId="2" borderId="2" xfId="2" applyFont="1" applyFill="1" applyBorder="1"/>
    <xf numFmtId="0" fontId="13" fillId="2" borderId="2" xfId="2" applyFont="1" applyFill="1" applyBorder="1" applyAlignment="1">
      <alignment horizontal="right"/>
    </xf>
    <xf numFmtId="0" fontId="13" fillId="2" borderId="3" xfId="2" applyFont="1" applyFill="1" applyBorder="1"/>
    <xf numFmtId="165" fontId="3" fillId="2" borderId="3" xfId="3" applyFont="1" applyFill="1" applyBorder="1" applyAlignment="1">
      <alignment horizontal="right" vertical="center" wrapText="1"/>
    </xf>
    <xf numFmtId="0" fontId="5" fillId="2" borderId="0" xfId="2" applyFont="1" applyFill="1" applyAlignment="1">
      <alignment horizontal="left"/>
    </xf>
    <xf numFmtId="0" fontId="5" fillId="2" borderId="1" xfId="2" applyFont="1" applyFill="1" applyBorder="1" applyAlignment="1">
      <alignment horizontal="left"/>
    </xf>
    <xf numFmtId="166" fontId="11" fillId="2" borderId="0" xfId="2" applyNumberFormat="1" applyFont="1" applyFill="1"/>
    <xf numFmtId="0" fontId="13" fillId="2" borderId="1" xfId="2" applyFont="1" applyFill="1" applyBorder="1"/>
    <xf numFmtId="3" fontId="12" fillId="2" borderId="0" xfId="6" applyNumberFormat="1" applyFont="1" applyFill="1" applyAlignment="1">
      <alignment horizontal="left" vertical="center"/>
    </xf>
    <xf numFmtId="3" fontId="10" fillId="2" borderId="0" xfId="6" applyNumberFormat="1" applyFont="1" applyFill="1" applyAlignment="1">
      <alignment horizontal="right" vertical="center"/>
    </xf>
    <xf numFmtId="2" fontId="11" fillId="2" borderId="0" xfId="2" applyNumberFormat="1" applyFont="1" applyFill="1"/>
    <xf numFmtId="0" fontId="5" fillId="2" borderId="2" xfId="2" applyFont="1" applyFill="1" applyBorder="1" applyAlignment="1">
      <alignment horizontal="left"/>
    </xf>
    <xf numFmtId="0" fontId="12" fillId="2" borderId="1" xfId="2" applyFont="1" applyFill="1" applyBorder="1"/>
    <xf numFmtId="0" fontId="12" fillId="2" borderId="0" xfId="2" applyFont="1" applyFill="1"/>
    <xf numFmtId="0" fontId="11" fillId="2" borderId="0" xfId="2" applyFont="1" applyFill="1" applyAlignment="1">
      <alignment horizontal="right"/>
    </xf>
    <xf numFmtId="168" fontId="11" fillId="2" borderId="0" xfId="2" applyNumberFormat="1" applyFont="1" applyFill="1"/>
    <xf numFmtId="0" fontId="11" fillId="2" borderId="0" xfId="2" applyFont="1" applyFill="1" applyAlignment="1">
      <alignment horizontal="right" vertical="center"/>
    </xf>
    <xf numFmtId="0" fontId="11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165" fontId="7" fillId="2" borderId="0" xfId="1" applyFont="1" applyFill="1" applyAlignment="1">
      <alignment horizontal="right" vertical="center"/>
    </xf>
    <xf numFmtId="165" fontId="6" fillId="2" borderId="0" xfId="1" applyFont="1" applyFill="1" applyAlignment="1">
      <alignment horizontal="left" vertical="center"/>
    </xf>
    <xf numFmtId="165" fontId="17" fillId="2" borderId="0" xfId="3" applyFont="1" applyFill="1" applyAlignment="1">
      <alignment horizontal="right" vertical="center"/>
    </xf>
    <xf numFmtId="165" fontId="17" fillId="2" borderId="0" xfId="1" applyFont="1" applyFill="1" applyAlignment="1">
      <alignment horizontal="right" vertical="center"/>
    </xf>
    <xf numFmtId="165" fontId="16" fillId="2" borderId="0" xfId="3" applyFont="1" applyFill="1" applyAlignment="1">
      <alignment horizontal="right" vertical="center"/>
    </xf>
    <xf numFmtId="165" fontId="16" fillId="2" borderId="1" xfId="1" applyFont="1" applyFill="1" applyBorder="1" applyAlignment="1">
      <alignment horizontal="right" vertical="center"/>
    </xf>
    <xf numFmtId="165" fontId="16" fillId="2" borderId="3" xfId="3" applyFont="1" applyFill="1" applyBorder="1" applyAlignment="1">
      <alignment horizontal="right" vertical="center"/>
    </xf>
    <xf numFmtId="0" fontId="17" fillId="2" borderId="1" xfId="2" applyFont="1" applyFill="1" applyBorder="1" applyAlignment="1">
      <alignment vertical="center"/>
    </xf>
    <xf numFmtId="165" fontId="17" fillId="2" borderId="0" xfId="3" applyFont="1" applyFill="1" applyAlignment="1">
      <alignment horizontal="center" vertical="center"/>
    </xf>
    <xf numFmtId="165" fontId="16" fillId="2" borderId="2" xfId="3" applyFont="1" applyFill="1" applyBorder="1" applyAlignment="1">
      <alignment horizontal="right" vertical="center"/>
    </xf>
    <xf numFmtId="165" fontId="16" fillId="2" borderId="4" xfId="3" applyFont="1" applyFill="1" applyBorder="1" applyAlignment="1">
      <alignment horizontal="right" vertical="center" wrapText="1"/>
    </xf>
    <xf numFmtId="165" fontId="16" fillId="2" borderId="0" xfId="3" applyFont="1" applyFill="1" applyAlignment="1">
      <alignment horizontal="right" vertical="center" wrapText="1"/>
    </xf>
    <xf numFmtId="169" fontId="16" fillId="2" borderId="0" xfId="3" applyNumberFormat="1" applyFont="1" applyFill="1" applyAlignment="1">
      <alignment horizontal="right"/>
    </xf>
    <xf numFmtId="17" fontId="8" fillId="2" borderId="1" xfId="2" applyNumberFormat="1" applyFont="1" applyFill="1" applyBorder="1" applyAlignment="1">
      <alignment horizontal="right" vertical="center"/>
    </xf>
    <xf numFmtId="0" fontId="8" fillId="2" borderId="1" xfId="2" applyFont="1" applyFill="1" applyBorder="1" applyAlignment="1">
      <alignment horizontal="right" vertical="center"/>
    </xf>
    <xf numFmtId="165" fontId="8" fillId="2" borderId="1" xfId="3" applyFont="1" applyFill="1" applyBorder="1" applyAlignment="1">
      <alignment horizontal="right" vertical="center"/>
    </xf>
    <xf numFmtId="3" fontId="17" fillId="2" borderId="1" xfId="6" applyNumberFormat="1" applyFont="1" applyFill="1" applyBorder="1" applyAlignment="1">
      <alignment horizontal="right" vertical="center"/>
    </xf>
    <xf numFmtId="165" fontId="16" fillId="2" borderId="0" xfId="3" applyFont="1" applyFill="1" applyAlignment="1">
      <alignment horizontal="right"/>
    </xf>
    <xf numFmtId="0" fontId="17" fillId="2" borderId="0" xfId="2" applyFont="1" applyFill="1"/>
    <xf numFmtId="0" fontId="17" fillId="2" borderId="1" xfId="2" applyFont="1" applyFill="1" applyBorder="1"/>
    <xf numFmtId="0" fontId="4" fillId="2" borderId="0" xfId="2" applyFill="1" applyAlignment="1">
      <alignment horizontal="right" vertical="center"/>
    </xf>
    <xf numFmtId="0" fontId="4" fillId="2" borderId="1" xfId="2" applyFill="1" applyBorder="1" applyAlignment="1">
      <alignment horizontal="right" vertical="center"/>
    </xf>
    <xf numFmtId="169" fontId="16" fillId="2" borderId="0" xfId="3" applyNumberFormat="1" applyFont="1" applyFill="1" applyAlignment="1">
      <alignment horizontal="right" vertical="center"/>
    </xf>
    <xf numFmtId="43" fontId="9" fillId="2" borderId="0" xfId="0" applyNumberFormat="1" applyFont="1" applyFill="1" applyAlignment="1">
      <alignment horizontal="right" vertical="center"/>
    </xf>
    <xf numFmtId="43" fontId="8" fillId="2" borderId="0" xfId="0" applyNumberFormat="1" applyFont="1" applyFill="1" applyAlignment="1">
      <alignment horizontal="right" vertical="center"/>
    </xf>
    <xf numFmtId="43" fontId="8" fillId="2" borderId="1" xfId="0" applyNumberFormat="1" applyFont="1" applyFill="1" applyBorder="1" applyAlignment="1">
      <alignment horizontal="right" vertical="center"/>
    </xf>
    <xf numFmtId="165" fontId="18" fillId="2" borderId="0" xfId="3" applyFont="1" applyFill="1" applyAlignment="1">
      <alignment horizontal="center" vertical="center"/>
    </xf>
    <xf numFmtId="165" fontId="8" fillId="2" borderId="0" xfId="3" applyFont="1" applyFill="1" applyAlignment="1">
      <alignment horizontal="center" vertical="center"/>
    </xf>
    <xf numFmtId="165" fontId="16" fillId="2" borderId="0" xfId="3" applyFont="1" applyFill="1" applyAlignment="1">
      <alignment horizontal="center" vertical="center" wrapText="1"/>
    </xf>
    <xf numFmtId="165" fontId="5" fillId="2" borderId="0" xfId="3" applyFont="1" applyFill="1" applyAlignment="1">
      <alignment horizontal="center" vertical="center"/>
    </xf>
  </cellXfs>
  <cellStyles count="22">
    <cellStyle name="1" xfId="11" xr:uid="{00000000-0005-0000-0000-000000000000}"/>
    <cellStyle name="Comma 2" xfId="12" xr:uid="{00000000-0005-0000-0000-000001000000}"/>
    <cellStyle name="Comma 2 2" xfId="17" xr:uid="{00000000-0005-0000-0000-000002000000}"/>
    <cellStyle name="Comma 3" xfId="13" xr:uid="{00000000-0005-0000-0000-000003000000}"/>
    <cellStyle name="Comma 3 2" xfId="7" xr:uid="{00000000-0005-0000-0000-000004000000}"/>
    <cellStyle name="Normal" xfId="0" builtinId="0"/>
    <cellStyle name="Normal - Style1" xfId="14" xr:uid="{00000000-0005-0000-0000-000007000000}"/>
    <cellStyle name="Normal 2" xfId="16" xr:uid="{00000000-0005-0000-0000-000008000000}"/>
    <cellStyle name="Normal 3" xfId="8" xr:uid="{00000000-0005-0000-0000-000009000000}"/>
    <cellStyle name="Normal 4" xfId="9" xr:uid="{00000000-0005-0000-0000-00000A000000}"/>
    <cellStyle name="Normal 5" xfId="10" xr:uid="{00000000-0005-0000-0000-00000B000000}"/>
    <cellStyle name="Normal 5 2" xfId="20" xr:uid="{00000000-0005-0000-0000-00000C000000}"/>
    <cellStyle name="Normal 6" xfId="19" xr:uid="{00000000-0005-0000-0000-00000D000000}"/>
    <cellStyle name="Normal 6 2" xfId="21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II-15(Population)" xfId="6" xr:uid="{00000000-0005-0000-0000-000012000000}"/>
    <cellStyle name="Normal_XII-11(Commerce)" xfId="3" xr:uid="{00000000-0005-0000-0000-000013000000}"/>
    <cellStyle name="Normal_XII-12 (Commerce)" xfId="1" xr:uid="{00000000-0005-0000-0000-000014000000}"/>
    <cellStyle name="Percent 2" xfId="15" xr:uid="{00000000-0005-0000-0000-000015000000}"/>
    <cellStyle name="Percent 2 2" xfId="18" xr:uid="{00000000-0005-0000-0000-000016000000}"/>
  </cellStyles>
  <dxfs count="0"/>
  <tableStyles count="0" defaultTableStyle="TableStyleMedium2" defaultPivotStyle="PivotStyleLight16"/>
  <colors>
    <mruColors>
      <color rgb="FFF9FBFD"/>
      <color rgb="FF33CCCC"/>
      <color rgb="FFD0F5F4"/>
      <color rgb="FF196563"/>
      <color rgb="FFEAFAFA"/>
      <color rgb="FFFF9900"/>
      <color rgb="FF249390"/>
      <color rgb="FFD1A375"/>
      <color rgb="FF996633"/>
      <color rgb="FFB8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W104"/>
  <sheetViews>
    <sheetView tabSelected="1" zoomScale="115" zoomScaleNormal="115" workbookViewId="0">
      <selection activeCell="AB52" sqref="AB52"/>
    </sheetView>
  </sheetViews>
  <sheetFormatPr defaultColWidth="9.140625" defaultRowHeight="14.25" x14ac:dyDescent="0.35"/>
  <cols>
    <col min="1" max="1" width="37.42578125" style="34" customWidth="1"/>
    <col min="2" max="2" width="10.5703125" style="8" customWidth="1"/>
    <col min="3" max="4" width="10.5703125" style="35" customWidth="1"/>
    <col min="5" max="13" width="10.5703125" style="8" customWidth="1"/>
    <col min="14" max="14" width="9.85546875" style="8" customWidth="1"/>
    <col min="15" max="15" width="7.7109375" style="8" customWidth="1"/>
    <col min="16" max="16" width="8.85546875" style="8" customWidth="1"/>
    <col min="17" max="17" width="6.42578125" style="8" customWidth="1"/>
    <col min="18" max="18" width="17.7109375" style="58" customWidth="1"/>
    <col min="19" max="23" width="6.42578125" style="8" customWidth="1"/>
    <col min="24" max="16384" width="9.140625" style="8"/>
  </cols>
  <sheetData>
    <row r="1" spans="1:23" s="12" customFormat="1" ht="23.25" customHeight="1" x14ac:dyDescent="0.25">
      <c r="A1" s="66" t="s">
        <v>77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11"/>
      <c r="T1" s="11"/>
      <c r="U1" s="11"/>
      <c r="V1" s="11"/>
      <c r="W1" s="11"/>
    </row>
    <row r="2" spans="1:23" s="13" customFormat="1" ht="12.75" x14ac:dyDescent="0.25">
      <c r="A2" s="67" t="s">
        <v>78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</row>
    <row r="3" spans="1:23" s="12" customFormat="1" ht="15" customHeight="1" x14ac:dyDescent="0.25">
      <c r="A3" s="68" t="s">
        <v>72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14"/>
      <c r="T3" s="14"/>
      <c r="U3" s="14"/>
      <c r="V3" s="14"/>
      <c r="W3" s="14"/>
    </row>
    <row r="4" spans="1:23" s="13" customFormat="1" ht="12" x14ac:dyDescent="0.25">
      <c r="A4" s="69" t="s">
        <v>71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</row>
    <row r="5" spans="1:23" ht="6" customHeight="1" x14ac:dyDescent="0.2">
      <c r="A5" s="15"/>
      <c r="B5" s="16"/>
      <c r="C5" s="17"/>
      <c r="D5" s="17"/>
      <c r="E5" s="16"/>
      <c r="F5" s="18"/>
      <c r="G5" s="18"/>
      <c r="H5" s="18"/>
      <c r="I5" s="18"/>
      <c r="J5" s="18"/>
      <c r="K5" s="18"/>
      <c r="L5" s="18"/>
      <c r="M5" s="18"/>
      <c r="O5" s="19"/>
      <c r="P5" s="19"/>
      <c r="Q5" s="19"/>
      <c r="R5" s="56"/>
    </row>
    <row r="6" spans="1:23" ht="15" x14ac:dyDescent="0.2">
      <c r="A6" s="20"/>
      <c r="B6" s="21" t="s">
        <v>74</v>
      </c>
      <c r="C6" s="22"/>
      <c r="D6" s="22"/>
      <c r="E6" s="21"/>
      <c r="F6" s="10"/>
      <c r="G6" s="23"/>
      <c r="H6" s="24"/>
      <c r="I6" s="24"/>
      <c r="J6" s="24"/>
      <c r="K6" s="24"/>
      <c r="L6" s="24"/>
      <c r="M6" s="23"/>
      <c r="N6" s="46" t="s">
        <v>73</v>
      </c>
      <c r="R6" s="44" t="s">
        <v>50</v>
      </c>
    </row>
    <row r="7" spans="1:23" ht="20.25" customHeight="1" x14ac:dyDescent="0.35">
      <c r="A7" s="25" t="s">
        <v>51</v>
      </c>
      <c r="B7" s="50" t="s">
        <v>25</v>
      </c>
      <c r="C7" s="50" t="s">
        <v>26</v>
      </c>
      <c r="D7" s="50" t="s">
        <v>27</v>
      </c>
      <c r="E7" s="50" t="s">
        <v>28</v>
      </c>
      <c r="F7" s="50" t="s">
        <v>29</v>
      </c>
      <c r="G7" s="51" t="s">
        <v>30</v>
      </c>
      <c r="H7" s="51" t="s">
        <v>31</v>
      </c>
      <c r="I7" s="51" t="s">
        <v>32</v>
      </c>
      <c r="J7" s="51" t="s">
        <v>33</v>
      </c>
      <c r="K7" s="51" t="s">
        <v>34</v>
      </c>
      <c r="L7" s="51" t="s">
        <v>35</v>
      </c>
      <c r="M7" s="51" t="s">
        <v>36</v>
      </c>
      <c r="N7" s="52" t="s">
        <v>37</v>
      </c>
      <c r="R7" s="57" t="s">
        <v>52</v>
      </c>
    </row>
    <row r="8" spans="1:23" s="7" customFormat="1" ht="18" customHeight="1" x14ac:dyDescent="0.25">
      <c r="A8" s="39" t="s">
        <v>0</v>
      </c>
      <c r="B8" s="53" t="s">
        <v>38</v>
      </c>
      <c r="C8" s="54" t="s">
        <v>39</v>
      </c>
      <c r="D8" s="54" t="s">
        <v>40</v>
      </c>
      <c r="E8" s="54" t="s">
        <v>41</v>
      </c>
      <c r="F8" s="54" t="s">
        <v>42</v>
      </c>
      <c r="G8" s="54" t="s">
        <v>43</v>
      </c>
      <c r="H8" s="54" t="s">
        <v>44</v>
      </c>
      <c r="I8" s="54" t="s">
        <v>45</v>
      </c>
      <c r="J8" s="54" t="s">
        <v>46</v>
      </c>
      <c r="K8" s="54" t="s">
        <v>47</v>
      </c>
      <c r="L8" s="54" t="s">
        <v>48</v>
      </c>
      <c r="M8" s="54" t="s">
        <v>49</v>
      </c>
      <c r="N8" s="55" t="s">
        <v>53</v>
      </c>
      <c r="O8" s="38"/>
      <c r="P8" s="38"/>
      <c r="Q8" s="38"/>
      <c r="R8" s="47"/>
    </row>
    <row r="9" spans="1:23" ht="19.5" customHeight="1" x14ac:dyDescent="0.2">
      <c r="A9" s="2" t="s">
        <v>2</v>
      </c>
      <c r="B9" s="63">
        <v>94.422697515549842</v>
      </c>
      <c r="C9" s="63">
        <v>94.789323717867049</v>
      </c>
      <c r="D9" s="63">
        <v>95.422735028472957</v>
      </c>
      <c r="E9" s="63">
        <v>96.530260456959596</v>
      </c>
      <c r="F9" s="63">
        <v>97.496470719691374</v>
      </c>
      <c r="G9" s="63">
        <v>98.255789673352353</v>
      </c>
      <c r="H9" s="63">
        <v>98.917791359827817</v>
      </c>
      <c r="I9" s="63">
        <v>99.981705107970683</v>
      </c>
      <c r="J9" s="63">
        <v>100.27777364381068</v>
      </c>
      <c r="K9" s="63">
        <v>100.22343918571519</v>
      </c>
      <c r="L9" s="63">
        <v>100</v>
      </c>
      <c r="M9" s="63">
        <v>100.53842787431924</v>
      </c>
      <c r="N9" s="63">
        <f>AVERAGE(B9:M9)</f>
        <v>98.071367856961388</v>
      </c>
      <c r="R9" s="42" t="s">
        <v>3</v>
      </c>
      <c r="S9" s="27"/>
      <c r="T9" s="27"/>
      <c r="U9" s="27"/>
      <c r="V9" s="27"/>
      <c r="W9" s="27"/>
    </row>
    <row r="10" spans="1:23" ht="19.5" customHeight="1" x14ac:dyDescent="0.2">
      <c r="A10" s="2" t="s">
        <v>4</v>
      </c>
      <c r="B10" s="63">
        <v>94.460649787083611</v>
      </c>
      <c r="C10" s="63">
        <v>94.816221246641376</v>
      </c>
      <c r="D10" s="63">
        <v>95.357323255493469</v>
      </c>
      <c r="E10" s="63">
        <v>96.320192461720126</v>
      </c>
      <c r="F10" s="63">
        <v>96.645054145349789</v>
      </c>
      <c r="G10" s="63">
        <v>96.815278293614597</v>
      </c>
      <c r="H10" s="63">
        <v>97.610607295212986</v>
      </c>
      <c r="I10" s="63">
        <v>99.18933158031092</v>
      </c>
      <c r="J10" s="63">
        <v>99.39676218637257</v>
      </c>
      <c r="K10" s="63">
        <v>98.877506703077657</v>
      </c>
      <c r="L10" s="63">
        <v>100</v>
      </c>
      <c r="M10" s="63">
        <v>100.72818207999504</v>
      </c>
      <c r="N10" s="63">
        <f t="shared" ref="N10:N26" si="0">AVERAGE(B10:M10)</f>
        <v>97.518092419572682</v>
      </c>
      <c r="R10" s="42" t="s">
        <v>5</v>
      </c>
      <c r="S10" s="27"/>
      <c r="T10" s="27"/>
      <c r="U10" s="27"/>
      <c r="V10" s="27"/>
      <c r="W10" s="27"/>
    </row>
    <row r="11" spans="1:23" ht="19.5" customHeight="1" x14ac:dyDescent="0.2">
      <c r="A11" s="3" t="s">
        <v>6</v>
      </c>
      <c r="B11" s="63">
        <v>94.24668472740278</v>
      </c>
      <c r="C11" s="63">
        <v>94.664579958336773</v>
      </c>
      <c r="D11" s="63">
        <v>95.726097859588876</v>
      </c>
      <c r="E11" s="63">
        <v>97.504501313917331</v>
      </c>
      <c r="F11" s="63">
        <v>101.44511988002142</v>
      </c>
      <c r="G11" s="63">
        <v>104.93650769254987</v>
      </c>
      <c r="H11" s="63">
        <v>104.98017188504809</v>
      </c>
      <c r="I11" s="63">
        <v>103.656527937302</v>
      </c>
      <c r="J11" s="63">
        <v>104.36367619315247</v>
      </c>
      <c r="K11" s="63">
        <v>106.46552481992717</v>
      </c>
      <c r="L11" s="63">
        <v>100</v>
      </c>
      <c r="M11" s="63">
        <v>99.735536750984508</v>
      </c>
      <c r="N11" s="63">
        <f t="shared" si="0"/>
        <v>100.6437440848526</v>
      </c>
      <c r="R11" s="42" t="s">
        <v>7</v>
      </c>
      <c r="S11" s="31"/>
      <c r="T11" s="31"/>
      <c r="U11" s="31"/>
      <c r="V11" s="31"/>
      <c r="W11" s="31"/>
    </row>
    <row r="12" spans="1:23" ht="19.5" customHeight="1" x14ac:dyDescent="0.2">
      <c r="A12" s="3" t="s">
        <v>8</v>
      </c>
      <c r="B12" s="63">
        <v>99.517703400583073</v>
      </c>
      <c r="C12" s="63">
        <v>100.25237295485059</v>
      </c>
      <c r="D12" s="63">
        <v>100.21335202131132</v>
      </c>
      <c r="E12" s="63">
        <v>99.373879657645276</v>
      </c>
      <c r="F12" s="63">
        <v>100.50710160101978</v>
      </c>
      <c r="G12" s="63">
        <v>101.02788793438795</v>
      </c>
      <c r="H12" s="63">
        <v>100.80026106637472</v>
      </c>
      <c r="I12" s="63">
        <v>100.80026106637472</v>
      </c>
      <c r="J12" s="63">
        <v>100.84007438419323</v>
      </c>
      <c r="K12" s="63">
        <v>100.57103008165133</v>
      </c>
      <c r="L12" s="63">
        <v>100</v>
      </c>
      <c r="M12" s="63">
        <v>99.722484150204735</v>
      </c>
      <c r="N12" s="63">
        <f t="shared" si="0"/>
        <v>100.30220069321638</v>
      </c>
      <c r="R12" s="42" t="s">
        <v>24</v>
      </c>
      <c r="S12" s="27"/>
      <c r="T12" s="27"/>
      <c r="U12" s="27"/>
      <c r="V12" s="27"/>
      <c r="W12" s="27"/>
    </row>
    <row r="13" spans="1:23" ht="19.5" customHeight="1" x14ac:dyDescent="0.2">
      <c r="A13" s="3" t="s">
        <v>59</v>
      </c>
      <c r="B13" s="63">
        <v>98.665575561985548</v>
      </c>
      <c r="C13" s="63">
        <v>98.780369060095992</v>
      </c>
      <c r="D13" s="63">
        <v>98.2525445403964</v>
      </c>
      <c r="E13" s="63">
        <v>98.267629637697155</v>
      </c>
      <c r="F13" s="63">
        <v>99.300002231307175</v>
      </c>
      <c r="G13" s="63">
        <v>99.740638062076556</v>
      </c>
      <c r="H13" s="63">
        <v>100.04265697575281</v>
      </c>
      <c r="I13" s="63">
        <v>100.04265697575281</v>
      </c>
      <c r="J13" s="63">
        <v>99.552434084153802</v>
      </c>
      <c r="K13" s="63">
        <v>100.10817052554563</v>
      </c>
      <c r="L13" s="63">
        <v>100</v>
      </c>
      <c r="M13" s="63">
        <v>100.12778832118119</v>
      </c>
      <c r="N13" s="63">
        <f t="shared" si="0"/>
        <v>99.406705497995418</v>
      </c>
      <c r="R13" s="42" t="s">
        <v>9</v>
      </c>
      <c r="S13" s="27"/>
      <c r="T13" s="27"/>
      <c r="U13" s="27"/>
      <c r="V13" s="27"/>
      <c r="W13" s="27"/>
    </row>
    <row r="14" spans="1:23" ht="19.5" customHeight="1" x14ac:dyDescent="0.2">
      <c r="A14" s="3" t="s">
        <v>60</v>
      </c>
      <c r="B14" s="63">
        <v>99.992541761322812</v>
      </c>
      <c r="C14" s="63">
        <v>100.18827786834044</v>
      </c>
      <c r="D14" s="63">
        <v>100.13283090200001</v>
      </c>
      <c r="E14" s="63">
        <v>100.07177010967965</v>
      </c>
      <c r="F14" s="63">
        <v>100.09515308585779</v>
      </c>
      <c r="G14" s="63">
        <v>100.16204394100889</v>
      </c>
      <c r="H14" s="63">
        <v>100.17592769575072</v>
      </c>
      <c r="I14" s="63">
        <v>100.19682407577636</v>
      </c>
      <c r="J14" s="63">
        <v>100.21062634459075</v>
      </c>
      <c r="K14" s="63">
        <v>99.80023201288337</v>
      </c>
      <c r="L14" s="63">
        <v>100</v>
      </c>
      <c r="M14" s="63">
        <v>100.32968689559128</v>
      </c>
      <c r="N14" s="63">
        <f t="shared" si="0"/>
        <v>100.11299289106682</v>
      </c>
      <c r="R14" s="42" t="s">
        <v>10</v>
      </c>
      <c r="S14" s="27"/>
      <c r="T14" s="27"/>
      <c r="U14" s="27"/>
      <c r="V14" s="27"/>
      <c r="W14" s="27"/>
    </row>
    <row r="15" spans="1:23" ht="19.5" customHeight="1" x14ac:dyDescent="0.2">
      <c r="A15" s="3" t="s">
        <v>61</v>
      </c>
      <c r="B15" s="63">
        <v>100.90233358387275</v>
      </c>
      <c r="C15" s="63">
        <v>100.81768263253255</v>
      </c>
      <c r="D15" s="63">
        <v>100.76119142691293</v>
      </c>
      <c r="E15" s="63">
        <v>100.65859550465865</v>
      </c>
      <c r="F15" s="63">
        <v>100.51404676341606</v>
      </c>
      <c r="G15" s="63">
        <v>100.42115237786307</v>
      </c>
      <c r="H15" s="63">
        <v>100.42115237786307</v>
      </c>
      <c r="I15" s="63">
        <v>100.42115237786307</v>
      </c>
      <c r="J15" s="63">
        <v>100.42698792694624</v>
      </c>
      <c r="K15" s="63">
        <v>99.669297893960319</v>
      </c>
      <c r="L15" s="63">
        <v>100</v>
      </c>
      <c r="M15" s="63">
        <v>100</v>
      </c>
      <c r="N15" s="63">
        <f t="shared" si="0"/>
        <v>100.41779940549073</v>
      </c>
      <c r="R15" s="48" t="s">
        <v>54</v>
      </c>
      <c r="S15" s="27"/>
      <c r="T15" s="27"/>
      <c r="U15" s="27"/>
      <c r="V15" s="27"/>
      <c r="W15" s="27"/>
    </row>
    <row r="16" spans="1:23" ht="25.5" x14ac:dyDescent="0.2">
      <c r="A16" s="2" t="s">
        <v>62</v>
      </c>
      <c r="B16" s="63">
        <v>96.981386031878529</v>
      </c>
      <c r="C16" s="63">
        <v>98.017284075322507</v>
      </c>
      <c r="D16" s="63">
        <v>97.727583808447051</v>
      </c>
      <c r="E16" s="63">
        <v>98.032020871856034</v>
      </c>
      <c r="F16" s="63">
        <v>98.564350802813394</v>
      </c>
      <c r="G16" s="63">
        <v>99.039277553406293</v>
      </c>
      <c r="H16" s="63">
        <v>99.600040424083019</v>
      </c>
      <c r="I16" s="63">
        <v>99.15959894183213</v>
      </c>
      <c r="J16" s="63">
        <v>99.488666217704676</v>
      </c>
      <c r="K16" s="63">
        <v>99.590685182063368</v>
      </c>
      <c r="L16" s="63">
        <v>100</v>
      </c>
      <c r="M16" s="63">
        <v>101.64137009483825</v>
      </c>
      <c r="N16" s="63">
        <f t="shared" si="0"/>
        <v>98.986855333687103</v>
      </c>
      <c r="R16" s="42" t="s">
        <v>11</v>
      </c>
      <c r="S16" s="27"/>
      <c r="T16" s="27"/>
      <c r="U16" s="27"/>
      <c r="V16" s="27"/>
      <c r="W16" s="27"/>
    </row>
    <row r="17" spans="1:23" ht="19.5" customHeight="1" x14ac:dyDescent="0.2">
      <c r="A17" s="4" t="s">
        <v>12</v>
      </c>
      <c r="B17" s="63">
        <v>98.870588632187477</v>
      </c>
      <c r="C17" s="63">
        <v>99.289782101826759</v>
      </c>
      <c r="D17" s="63">
        <v>99.725358938896932</v>
      </c>
      <c r="E17" s="63">
        <v>99.684923340355681</v>
      </c>
      <c r="F17" s="63">
        <v>99.684923340355681</v>
      </c>
      <c r="G17" s="63">
        <v>99.684923340355681</v>
      </c>
      <c r="H17" s="63">
        <v>99.684923340355681</v>
      </c>
      <c r="I17" s="63">
        <v>99.684923340355681</v>
      </c>
      <c r="J17" s="63">
        <v>99.684923340355681</v>
      </c>
      <c r="K17" s="63">
        <v>99.696758020327181</v>
      </c>
      <c r="L17" s="63">
        <v>100</v>
      </c>
      <c r="M17" s="63">
        <v>102.72906823066211</v>
      </c>
      <c r="N17" s="63">
        <f t="shared" si="0"/>
        <v>99.868424663836208</v>
      </c>
      <c r="R17" s="42" t="s">
        <v>13</v>
      </c>
      <c r="S17" s="27"/>
      <c r="T17" s="27"/>
      <c r="U17" s="27"/>
      <c r="V17" s="27"/>
      <c r="W17" s="27"/>
    </row>
    <row r="18" spans="1:23" ht="19.5" customHeight="1" x14ac:dyDescent="0.2">
      <c r="A18" s="4" t="s">
        <v>63</v>
      </c>
      <c r="B18" s="63">
        <v>91.18418854166363</v>
      </c>
      <c r="C18" s="63">
        <v>91.628470539535613</v>
      </c>
      <c r="D18" s="63">
        <v>93.329058526227271</v>
      </c>
      <c r="E18" s="63">
        <v>93.397417404158816</v>
      </c>
      <c r="F18" s="63">
        <v>96.624836094984204</v>
      </c>
      <c r="G18" s="63">
        <v>100.15826302792303</v>
      </c>
      <c r="H18" s="63">
        <v>100.51460982439934</v>
      </c>
      <c r="I18" s="63">
        <v>99.682439385616277</v>
      </c>
      <c r="J18" s="63">
        <v>100.07408311017585</v>
      </c>
      <c r="K18" s="63">
        <v>100.04634643448804</v>
      </c>
      <c r="L18" s="63">
        <v>100</v>
      </c>
      <c r="M18" s="63">
        <v>100.55918377095475</v>
      </c>
      <c r="N18" s="63">
        <f t="shared" si="0"/>
        <v>97.266574721677216</v>
      </c>
      <c r="R18" s="42" t="s">
        <v>14</v>
      </c>
      <c r="S18" s="27"/>
      <c r="T18" s="27"/>
      <c r="U18" s="27"/>
      <c r="V18" s="27"/>
      <c r="W18" s="27"/>
    </row>
    <row r="19" spans="1:23" ht="19.5" customHeight="1" x14ac:dyDescent="0.2">
      <c r="A19" s="4" t="s">
        <v>64</v>
      </c>
      <c r="B19" s="63">
        <v>103.62217461059832</v>
      </c>
      <c r="C19" s="63">
        <v>103.17918077137161</v>
      </c>
      <c r="D19" s="63">
        <v>103.32941576065402</v>
      </c>
      <c r="E19" s="63">
        <v>103.23566875898852</v>
      </c>
      <c r="F19" s="63">
        <v>103.76356543157748</v>
      </c>
      <c r="G19" s="63">
        <v>101.76448414408917</v>
      </c>
      <c r="H19" s="63">
        <v>100.3382032811538</v>
      </c>
      <c r="I19" s="63">
        <v>100.15440306662823</v>
      </c>
      <c r="J19" s="63">
        <v>100.3381729189601</v>
      </c>
      <c r="K19" s="63">
        <v>100.3008287862166</v>
      </c>
      <c r="L19" s="63">
        <v>100</v>
      </c>
      <c r="M19" s="63">
        <v>98.24548458294187</v>
      </c>
      <c r="N19" s="63">
        <f t="shared" si="0"/>
        <v>101.52263184276497</v>
      </c>
      <c r="R19" s="42" t="s">
        <v>15</v>
      </c>
      <c r="S19" s="27"/>
      <c r="T19" s="27"/>
      <c r="U19" s="27"/>
      <c r="V19" s="27"/>
      <c r="W19" s="27"/>
    </row>
    <row r="20" spans="1:23" ht="19.5" customHeight="1" x14ac:dyDescent="0.2">
      <c r="A20" s="2" t="s">
        <v>65</v>
      </c>
      <c r="B20" s="63">
        <v>99.599067793700939</v>
      </c>
      <c r="C20" s="63">
        <v>99.496480695014611</v>
      </c>
      <c r="D20" s="63">
        <v>99.724442782508177</v>
      </c>
      <c r="E20" s="63">
        <v>99.627324668614449</v>
      </c>
      <c r="F20" s="63">
        <v>99.619131247505806</v>
      </c>
      <c r="G20" s="63">
        <v>100.16620592741987</v>
      </c>
      <c r="H20" s="63">
        <v>100.16620592741987</v>
      </c>
      <c r="I20" s="63">
        <v>100.16620592741987</v>
      </c>
      <c r="J20" s="63">
        <v>100.16620592741987</v>
      </c>
      <c r="K20" s="63">
        <v>100.16620592741987</v>
      </c>
      <c r="L20" s="63">
        <v>100</v>
      </c>
      <c r="M20" s="63">
        <v>99.997526291925183</v>
      </c>
      <c r="N20" s="63">
        <f t="shared" si="0"/>
        <v>99.907916926364067</v>
      </c>
      <c r="R20" s="43" t="s">
        <v>16</v>
      </c>
      <c r="S20" s="27"/>
      <c r="T20" s="27"/>
      <c r="U20" s="27"/>
      <c r="V20" s="27"/>
      <c r="W20" s="27"/>
    </row>
    <row r="21" spans="1:23" ht="19.5" customHeight="1" x14ac:dyDescent="0.2">
      <c r="A21" s="3" t="s">
        <v>66</v>
      </c>
      <c r="B21" s="63">
        <v>98.383199306243014</v>
      </c>
      <c r="C21" s="63">
        <v>98.383199306243014</v>
      </c>
      <c r="D21" s="63">
        <v>98.383199306243014</v>
      </c>
      <c r="E21" s="63">
        <v>98.383199306243014</v>
      </c>
      <c r="F21" s="63">
        <v>98.383199306243014</v>
      </c>
      <c r="G21" s="63">
        <v>98.383199306243014</v>
      </c>
      <c r="H21" s="63">
        <v>98.383199306243014</v>
      </c>
      <c r="I21" s="63">
        <v>100.31754724349669</v>
      </c>
      <c r="J21" s="63">
        <v>100.31754724349669</v>
      </c>
      <c r="K21" s="63">
        <v>100.31754724349669</v>
      </c>
      <c r="L21" s="63">
        <v>100</v>
      </c>
      <c r="M21" s="63">
        <v>102.94096122769429</v>
      </c>
      <c r="N21" s="63">
        <f t="shared" si="0"/>
        <v>99.381333175157138</v>
      </c>
      <c r="R21" s="43" t="s">
        <v>17</v>
      </c>
      <c r="S21" s="27"/>
      <c r="T21" s="27"/>
      <c r="U21" s="27"/>
      <c r="V21" s="27"/>
      <c r="W21" s="27"/>
    </row>
    <row r="22" spans="1:23" ht="19.5" customHeight="1" x14ac:dyDescent="0.2">
      <c r="A22" s="3" t="s">
        <v>67</v>
      </c>
      <c r="B22" s="63">
        <v>99.162835818005746</v>
      </c>
      <c r="C22" s="63">
        <v>99.255664601436038</v>
      </c>
      <c r="D22" s="63">
        <v>99.237667711412641</v>
      </c>
      <c r="E22" s="63">
        <v>99.296370963655548</v>
      </c>
      <c r="F22" s="63">
        <v>99.362674160421989</v>
      </c>
      <c r="G22" s="63">
        <v>99.362674160421989</v>
      </c>
      <c r="H22" s="63">
        <v>99.362674160421989</v>
      </c>
      <c r="I22" s="63">
        <v>99.362674160421989</v>
      </c>
      <c r="J22" s="63">
        <v>100</v>
      </c>
      <c r="K22" s="63">
        <v>100</v>
      </c>
      <c r="L22" s="63">
        <v>100</v>
      </c>
      <c r="M22" s="63">
        <v>100.35312241658123</v>
      </c>
      <c r="N22" s="63">
        <f>AVERAGE(B22:M22)</f>
        <v>99.563029846064936</v>
      </c>
      <c r="R22" s="43" t="s">
        <v>18</v>
      </c>
      <c r="S22" s="27"/>
      <c r="T22" s="27"/>
      <c r="U22" s="27"/>
      <c r="V22" s="27"/>
      <c r="W22" s="27"/>
    </row>
    <row r="23" spans="1:23" ht="19.5" customHeight="1" x14ac:dyDescent="0.2">
      <c r="A23" s="3" t="s">
        <v>68</v>
      </c>
      <c r="B23" s="63">
        <v>100</v>
      </c>
      <c r="C23" s="63">
        <v>100</v>
      </c>
      <c r="D23" s="63">
        <v>100</v>
      </c>
      <c r="E23" s="63">
        <v>100</v>
      </c>
      <c r="F23" s="63">
        <v>100</v>
      </c>
      <c r="G23" s="63">
        <v>100</v>
      </c>
      <c r="H23" s="63">
        <v>100</v>
      </c>
      <c r="I23" s="63">
        <v>100</v>
      </c>
      <c r="J23" s="63">
        <v>100</v>
      </c>
      <c r="K23" s="63">
        <v>100</v>
      </c>
      <c r="L23" s="63">
        <v>100</v>
      </c>
      <c r="M23" s="63">
        <v>100</v>
      </c>
      <c r="N23" s="63">
        <f t="shared" si="0"/>
        <v>100</v>
      </c>
      <c r="R23" s="40" t="s">
        <v>70</v>
      </c>
      <c r="S23" s="27"/>
      <c r="T23" s="27"/>
      <c r="U23" s="27"/>
      <c r="V23" s="27"/>
      <c r="W23" s="27"/>
    </row>
    <row r="24" spans="1:23" s="1" customFormat="1" ht="25.5" customHeight="1" x14ac:dyDescent="0.2">
      <c r="A24" s="2" t="s">
        <v>69</v>
      </c>
      <c r="B24" s="63">
        <v>97.54549728009647</v>
      </c>
      <c r="C24" s="63">
        <v>98.790906214322447</v>
      </c>
      <c r="D24" s="63">
        <v>98.629282580963491</v>
      </c>
      <c r="E24" s="63">
        <v>98.824280689461673</v>
      </c>
      <c r="F24" s="63">
        <v>98.552844811816257</v>
      </c>
      <c r="G24" s="63">
        <v>98.686225380972786</v>
      </c>
      <c r="H24" s="63">
        <v>98.956512235737165</v>
      </c>
      <c r="I24" s="63">
        <v>99.021079154581543</v>
      </c>
      <c r="J24" s="63">
        <v>99.039616731674911</v>
      </c>
      <c r="K24" s="63">
        <v>99.253559744161663</v>
      </c>
      <c r="L24" s="63">
        <v>100</v>
      </c>
      <c r="M24" s="63">
        <v>100.61779095800534</v>
      </c>
      <c r="N24" s="63">
        <f>AVERAGE(B24:M24)</f>
        <v>98.993132981816132</v>
      </c>
      <c r="O24" s="8"/>
      <c r="P24" s="8"/>
      <c r="Q24" s="8"/>
      <c r="R24" s="43" t="s">
        <v>19</v>
      </c>
      <c r="S24" s="27"/>
      <c r="T24" s="27"/>
      <c r="U24" s="27"/>
      <c r="V24" s="27"/>
      <c r="W24" s="27"/>
    </row>
    <row r="25" spans="1:23" s="10" customFormat="1" ht="19.5" customHeight="1" x14ac:dyDescent="0.2">
      <c r="A25" s="5" t="s">
        <v>20</v>
      </c>
      <c r="B25" s="64">
        <v>97.556557812203124</v>
      </c>
      <c r="C25" s="64">
        <v>97.886772810315676</v>
      </c>
      <c r="D25" s="64">
        <v>98.168544560245266</v>
      </c>
      <c r="E25" s="64">
        <v>98.428978856159119</v>
      </c>
      <c r="F25" s="64">
        <v>99.083543768344995</v>
      </c>
      <c r="G25" s="64">
        <v>99.526247398871192</v>
      </c>
      <c r="H25" s="64">
        <v>99.673862415771779</v>
      </c>
      <c r="I25" s="64">
        <v>99.896795864747617</v>
      </c>
      <c r="J25" s="64">
        <v>100.05423219650741</v>
      </c>
      <c r="K25" s="64">
        <v>99.981268073710126</v>
      </c>
      <c r="L25" s="64">
        <v>100</v>
      </c>
      <c r="M25" s="64">
        <v>100.49003711803641</v>
      </c>
      <c r="N25" s="64">
        <f t="shared" si="0"/>
        <v>99.228903406242736</v>
      </c>
      <c r="R25" s="44" t="s">
        <v>21</v>
      </c>
      <c r="S25" s="27"/>
      <c r="T25" s="31"/>
      <c r="U25" s="31"/>
      <c r="V25" s="31"/>
      <c r="W25" s="31"/>
    </row>
    <row r="26" spans="1:23" s="10" customFormat="1" ht="19.5" customHeight="1" x14ac:dyDescent="0.2">
      <c r="A26" s="6" t="s">
        <v>22</v>
      </c>
      <c r="B26" s="65">
        <v>97.703761893168675</v>
      </c>
      <c r="C26" s="65">
        <v>98.030077379801298</v>
      </c>
      <c r="D26" s="65">
        <v>98.277170514372855</v>
      </c>
      <c r="E26" s="65">
        <v>98.470094289740132</v>
      </c>
      <c r="F26" s="65">
        <v>98.978514471981853</v>
      </c>
      <c r="G26" s="65">
        <v>99.285630198782727</v>
      </c>
      <c r="H26" s="65">
        <v>99.437868349314044</v>
      </c>
      <c r="I26" s="65">
        <v>99.729584648415312</v>
      </c>
      <c r="J26" s="65">
        <v>99.8625729616233</v>
      </c>
      <c r="K26" s="65">
        <v>99.692885700545432</v>
      </c>
      <c r="L26" s="65">
        <v>100</v>
      </c>
      <c r="M26" s="65">
        <v>100.52551188236799</v>
      </c>
      <c r="N26" s="65">
        <f t="shared" si="0"/>
        <v>99.166139357509451</v>
      </c>
      <c r="O26" s="28"/>
      <c r="P26" s="28"/>
      <c r="Q26" s="28"/>
      <c r="R26" s="45" t="s">
        <v>23</v>
      </c>
      <c r="S26" s="27"/>
      <c r="T26" s="31"/>
      <c r="U26" s="31"/>
      <c r="V26" s="31"/>
      <c r="W26" s="31"/>
    </row>
    <row r="27" spans="1:23" x14ac:dyDescent="0.35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spans="1:23" ht="15" x14ac:dyDescent="0.35">
      <c r="A28" s="29"/>
      <c r="B28" s="60"/>
      <c r="C28" s="60"/>
      <c r="D28" s="60"/>
      <c r="E28" s="60"/>
      <c r="F28" s="61"/>
      <c r="G28" s="60"/>
      <c r="H28" s="60"/>
      <c r="I28" s="37"/>
      <c r="J28" s="37"/>
      <c r="K28" s="37"/>
      <c r="L28" s="37"/>
      <c r="M28" s="30"/>
      <c r="N28" s="37"/>
    </row>
    <row r="29" spans="1:23" ht="15" x14ac:dyDescent="0.2">
      <c r="A29" s="20"/>
      <c r="B29" s="21" t="s">
        <v>74</v>
      </c>
      <c r="C29" s="22"/>
      <c r="D29" s="22"/>
      <c r="E29" s="21"/>
      <c r="F29" s="10"/>
      <c r="G29" s="23"/>
      <c r="H29" s="24"/>
      <c r="I29" s="24"/>
      <c r="J29" s="24"/>
      <c r="K29" s="24"/>
      <c r="L29" s="24"/>
      <c r="M29" s="23"/>
      <c r="N29" s="46" t="s">
        <v>73</v>
      </c>
      <c r="O29" s="9"/>
      <c r="P29" s="9"/>
      <c r="Q29" s="9"/>
      <c r="R29" s="49" t="s">
        <v>50</v>
      </c>
    </row>
    <row r="30" spans="1:23" x14ac:dyDescent="0.35">
      <c r="A30" s="25" t="s">
        <v>51</v>
      </c>
      <c r="B30" s="50" t="s">
        <v>25</v>
      </c>
      <c r="C30" s="50" t="s">
        <v>26</v>
      </c>
      <c r="D30" s="50" t="s">
        <v>27</v>
      </c>
      <c r="E30" s="50" t="s">
        <v>28</v>
      </c>
      <c r="F30" s="50" t="s">
        <v>29</v>
      </c>
      <c r="G30" s="51" t="s">
        <v>30</v>
      </c>
      <c r="H30" s="51" t="s">
        <v>31</v>
      </c>
      <c r="I30" s="51" t="s">
        <v>32</v>
      </c>
      <c r="J30" s="51" t="s">
        <v>33</v>
      </c>
      <c r="K30" s="51" t="s">
        <v>34</v>
      </c>
      <c r="L30" s="51" t="s">
        <v>35</v>
      </c>
      <c r="M30" s="51" t="s">
        <v>36</v>
      </c>
      <c r="N30" s="62" t="s">
        <v>37</v>
      </c>
      <c r="R30" s="57" t="s">
        <v>55</v>
      </c>
    </row>
    <row r="31" spans="1:23" ht="18" customHeight="1" x14ac:dyDescent="0.35">
      <c r="A31" s="26" t="s">
        <v>1</v>
      </c>
      <c r="B31" s="53" t="s">
        <v>38</v>
      </c>
      <c r="C31" s="54" t="s">
        <v>39</v>
      </c>
      <c r="D31" s="54" t="s">
        <v>40</v>
      </c>
      <c r="E31" s="54" t="s">
        <v>41</v>
      </c>
      <c r="F31" s="54" t="s">
        <v>42</v>
      </c>
      <c r="G31" s="54" t="s">
        <v>43</v>
      </c>
      <c r="H31" s="54" t="s">
        <v>44</v>
      </c>
      <c r="I31" s="54" t="s">
        <v>45</v>
      </c>
      <c r="J31" s="54" t="s">
        <v>46</v>
      </c>
      <c r="K31" s="54" t="s">
        <v>47</v>
      </c>
      <c r="L31" s="54" t="s">
        <v>48</v>
      </c>
      <c r="M31" s="54" t="s">
        <v>49</v>
      </c>
      <c r="N31" s="55" t="s">
        <v>53</v>
      </c>
      <c r="O31" s="19"/>
      <c r="P31" s="19"/>
      <c r="Q31" s="19"/>
      <c r="R31" s="59"/>
    </row>
    <row r="32" spans="1:23" ht="19.5" customHeight="1" x14ac:dyDescent="0.2">
      <c r="A32" s="2" t="s">
        <v>2</v>
      </c>
      <c r="B32" s="63">
        <v>93.706931340645909</v>
      </c>
      <c r="C32" s="63">
        <v>94.251997728769183</v>
      </c>
      <c r="D32" s="63">
        <v>94.828263869913172</v>
      </c>
      <c r="E32" s="63">
        <v>95.328885075905475</v>
      </c>
      <c r="F32" s="63">
        <v>97.505314598245988</v>
      </c>
      <c r="G32" s="63">
        <v>98.19886673026808</v>
      </c>
      <c r="H32" s="63">
        <v>99.187912250502023</v>
      </c>
      <c r="I32" s="63">
        <v>100.11984710528105</v>
      </c>
      <c r="J32" s="63">
        <v>100.97313098618605</v>
      </c>
      <c r="K32" s="63">
        <v>100.88877557686537</v>
      </c>
      <c r="L32" s="63">
        <v>100</v>
      </c>
      <c r="M32" s="63">
        <v>100.25932876556827</v>
      </c>
      <c r="N32" s="63">
        <f>AVERAGE(B32:M32)</f>
        <v>97.937437835679205</v>
      </c>
      <c r="R32" s="42" t="s">
        <v>3</v>
      </c>
      <c r="S32" s="27"/>
      <c r="T32" s="27"/>
      <c r="U32" s="31"/>
      <c r="V32" s="27"/>
      <c r="W32" s="27"/>
    </row>
    <row r="33" spans="1:23" ht="19.5" customHeight="1" x14ac:dyDescent="0.2">
      <c r="A33" s="2" t="s">
        <v>4</v>
      </c>
      <c r="B33" s="63">
        <v>93.977327090127744</v>
      </c>
      <c r="C33" s="63">
        <v>94.616171276902534</v>
      </c>
      <c r="D33" s="63">
        <v>95.234066483556106</v>
      </c>
      <c r="E33" s="63">
        <v>95.49248766429163</v>
      </c>
      <c r="F33" s="63">
        <v>96.924751029263376</v>
      </c>
      <c r="G33" s="63">
        <v>97.249645952738589</v>
      </c>
      <c r="H33" s="63">
        <v>98.045422440904645</v>
      </c>
      <c r="I33" s="63">
        <v>99.980913592629065</v>
      </c>
      <c r="J33" s="63">
        <v>100.07737738196771</v>
      </c>
      <c r="K33" s="63">
        <v>99.506711235133295</v>
      </c>
      <c r="L33" s="63">
        <v>100</v>
      </c>
      <c r="M33" s="63">
        <v>100.09071980183511</v>
      </c>
      <c r="N33" s="63">
        <f t="shared" ref="N33:N49" si="1">AVERAGE(B33:M33)</f>
        <v>97.59963282911248</v>
      </c>
      <c r="R33" s="42" t="s">
        <v>5</v>
      </c>
      <c r="S33" s="27"/>
      <c r="T33" s="27"/>
      <c r="U33" s="31"/>
      <c r="V33" s="27"/>
      <c r="W33" s="27"/>
    </row>
    <row r="34" spans="1:23" ht="19.5" customHeight="1" x14ac:dyDescent="0.2">
      <c r="A34" s="3" t="s">
        <v>6</v>
      </c>
      <c r="B34" s="63">
        <v>92.362542553019935</v>
      </c>
      <c r="C34" s="63">
        <v>92.441352273732647</v>
      </c>
      <c r="D34" s="63">
        <v>92.810641607668344</v>
      </c>
      <c r="E34" s="63">
        <v>94.515464429040847</v>
      </c>
      <c r="F34" s="63">
        <v>100.39183612878074</v>
      </c>
      <c r="G34" s="63">
        <v>102.91832616237029</v>
      </c>
      <c r="H34" s="63">
        <v>104.86829181616899</v>
      </c>
      <c r="I34" s="63">
        <v>100.81061482996898</v>
      </c>
      <c r="J34" s="63">
        <v>105.42675536561728</v>
      </c>
      <c r="K34" s="63">
        <v>107.76030298941932</v>
      </c>
      <c r="L34" s="63">
        <v>100</v>
      </c>
      <c r="M34" s="63">
        <v>101.08171220784807</v>
      </c>
      <c r="N34" s="63">
        <f t="shared" si="1"/>
        <v>99.61565336363627</v>
      </c>
      <c r="R34" s="42" t="s">
        <v>7</v>
      </c>
      <c r="S34" s="27"/>
      <c r="T34" s="27"/>
      <c r="U34" s="31"/>
      <c r="V34" s="27"/>
      <c r="W34" s="27"/>
    </row>
    <row r="35" spans="1:23" ht="19.5" customHeight="1" x14ac:dyDescent="0.2">
      <c r="A35" s="3" t="s">
        <v>8</v>
      </c>
      <c r="B35" s="63">
        <v>97.876223878543016</v>
      </c>
      <c r="C35" s="63">
        <v>99.188177294938399</v>
      </c>
      <c r="D35" s="63">
        <v>99.188177294938399</v>
      </c>
      <c r="E35" s="63">
        <v>96.940165448512758</v>
      </c>
      <c r="F35" s="63">
        <v>99.701888307160061</v>
      </c>
      <c r="G35" s="63">
        <v>101.1864680477179</v>
      </c>
      <c r="H35" s="63">
        <v>100.71670635661698</v>
      </c>
      <c r="I35" s="63">
        <v>100.71670635661698</v>
      </c>
      <c r="J35" s="63">
        <v>100.93167276157561</v>
      </c>
      <c r="K35" s="63">
        <v>100.93167276157561</v>
      </c>
      <c r="L35" s="63">
        <v>100</v>
      </c>
      <c r="M35" s="63">
        <v>99.999155030446389</v>
      </c>
      <c r="N35" s="63">
        <f t="shared" si="1"/>
        <v>99.781417794886849</v>
      </c>
      <c r="R35" s="42" t="s">
        <v>24</v>
      </c>
      <c r="S35" s="27"/>
      <c r="T35" s="27"/>
      <c r="U35" s="31"/>
      <c r="V35" s="27"/>
      <c r="W35" s="27"/>
    </row>
    <row r="36" spans="1:23" ht="19.5" customHeight="1" x14ac:dyDescent="0.2">
      <c r="A36" s="3" t="s">
        <v>59</v>
      </c>
      <c r="B36" s="63">
        <v>97.52085867838241</v>
      </c>
      <c r="C36" s="63">
        <v>97.73753287185707</v>
      </c>
      <c r="D36" s="63">
        <v>96.921229528397276</v>
      </c>
      <c r="E36" s="63">
        <v>96.921229528397276</v>
      </c>
      <c r="F36" s="63">
        <v>99.103942041962682</v>
      </c>
      <c r="G36" s="63">
        <v>99.971465515544097</v>
      </c>
      <c r="H36" s="63">
        <v>99.971465515544097</v>
      </c>
      <c r="I36" s="63">
        <v>99.971465515544097</v>
      </c>
      <c r="J36" s="63">
        <v>99.971465515544097</v>
      </c>
      <c r="K36" s="63">
        <v>100.04854076767535</v>
      </c>
      <c r="L36" s="63">
        <v>100</v>
      </c>
      <c r="M36" s="63">
        <v>99.992077539280714</v>
      </c>
      <c r="N36" s="63">
        <f t="shared" si="1"/>
        <v>99.010939418177415</v>
      </c>
      <c r="R36" s="42" t="s">
        <v>9</v>
      </c>
      <c r="S36" s="27"/>
      <c r="T36" s="27"/>
      <c r="U36" s="31"/>
      <c r="V36" s="27"/>
      <c r="W36" s="27"/>
    </row>
    <row r="37" spans="1:23" ht="19.5" customHeight="1" x14ac:dyDescent="0.2">
      <c r="A37" s="3" t="s">
        <v>60</v>
      </c>
      <c r="B37" s="63">
        <v>100.52669395101761</v>
      </c>
      <c r="C37" s="63">
        <v>100.52567250201321</v>
      </c>
      <c r="D37" s="63">
        <v>100.46294952296822</v>
      </c>
      <c r="E37" s="63">
        <v>100.38835118913991</v>
      </c>
      <c r="F37" s="63">
        <v>100.35347989465325</v>
      </c>
      <c r="G37" s="63">
        <v>100.30747356022691</v>
      </c>
      <c r="H37" s="63">
        <v>100.30025544001271</v>
      </c>
      <c r="I37" s="63">
        <v>100.30594390415042</v>
      </c>
      <c r="J37" s="63">
        <v>100.310466408728</v>
      </c>
      <c r="K37" s="63">
        <v>99.759543799008483</v>
      </c>
      <c r="L37" s="63">
        <v>100</v>
      </c>
      <c r="M37" s="63">
        <v>100.18754324799765</v>
      </c>
      <c r="N37" s="63">
        <f t="shared" si="1"/>
        <v>100.28569778499303</v>
      </c>
      <c r="R37" s="42" t="s">
        <v>10</v>
      </c>
      <c r="S37" s="27"/>
      <c r="T37" s="27"/>
      <c r="U37" s="31"/>
      <c r="V37" s="27"/>
      <c r="W37" s="27"/>
    </row>
    <row r="38" spans="1:23" ht="19.5" customHeight="1" x14ac:dyDescent="0.2">
      <c r="A38" s="3" t="s">
        <v>61</v>
      </c>
      <c r="B38" s="63">
        <v>100.90233358555139</v>
      </c>
      <c r="C38" s="63">
        <v>100.81768263459925</v>
      </c>
      <c r="D38" s="63">
        <v>100.76119142894228</v>
      </c>
      <c r="E38" s="63">
        <v>100.65859550558088</v>
      </c>
      <c r="F38" s="63">
        <v>100.51404676463567</v>
      </c>
      <c r="G38" s="63">
        <v>100.42115237751896</v>
      </c>
      <c r="H38" s="63">
        <v>100.42115237751896</v>
      </c>
      <c r="I38" s="63">
        <v>100.42115237751896</v>
      </c>
      <c r="J38" s="63">
        <v>100.42698792642568</v>
      </c>
      <c r="K38" s="63">
        <v>99.669297895774861</v>
      </c>
      <c r="L38" s="63">
        <v>100</v>
      </c>
      <c r="M38" s="63">
        <v>100</v>
      </c>
      <c r="N38" s="63">
        <f t="shared" si="1"/>
        <v>100.41779940617225</v>
      </c>
      <c r="R38" s="48" t="s">
        <v>54</v>
      </c>
      <c r="S38" s="27"/>
      <c r="T38" s="27"/>
      <c r="U38" s="31"/>
      <c r="V38" s="27"/>
      <c r="W38" s="27"/>
    </row>
    <row r="39" spans="1:23" ht="25.5" x14ac:dyDescent="0.2">
      <c r="A39" s="2" t="s">
        <v>62</v>
      </c>
      <c r="B39" s="63">
        <v>96.584372736915128</v>
      </c>
      <c r="C39" s="63">
        <v>98.638265528768997</v>
      </c>
      <c r="D39" s="63">
        <v>97.927925660659184</v>
      </c>
      <c r="E39" s="63">
        <v>97.925949854840724</v>
      </c>
      <c r="F39" s="63">
        <v>99.420251057896607</v>
      </c>
      <c r="G39" s="63">
        <v>100.1280648743664</v>
      </c>
      <c r="H39" s="63">
        <v>100.24824648707933</v>
      </c>
      <c r="I39" s="63">
        <v>99.377216715935901</v>
      </c>
      <c r="J39" s="63">
        <v>99.377216715935901</v>
      </c>
      <c r="K39" s="63">
        <v>99.505343709545954</v>
      </c>
      <c r="L39" s="63">
        <v>100</v>
      </c>
      <c r="M39" s="63">
        <v>100.00295678160533</v>
      </c>
      <c r="N39" s="63">
        <f t="shared" si="1"/>
        <v>99.094650843629111</v>
      </c>
      <c r="R39" s="42" t="s">
        <v>11</v>
      </c>
      <c r="S39" s="27"/>
      <c r="T39" s="27"/>
      <c r="U39" s="31"/>
      <c r="V39" s="27"/>
      <c r="W39" s="27"/>
    </row>
    <row r="40" spans="1:23" ht="19.5" customHeight="1" x14ac:dyDescent="0.2">
      <c r="A40" s="4" t="s">
        <v>12</v>
      </c>
      <c r="B40" s="63">
        <v>98.538890590514995</v>
      </c>
      <c r="C40" s="63">
        <v>98.914896427990001</v>
      </c>
      <c r="D40" s="63">
        <v>99.848494171614888</v>
      </c>
      <c r="E40" s="63">
        <v>99.583157087584738</v>
      </c>
      <c r="F40" s="63">
        <v>99.583157087584738</v>
      </c>
      <c r="G40" s="63">
        <v>99.583157087584738</v>
      </c>
      <c r="H40" s="63">
        <v>99.583157087584738</v>
      </c>
      <c r="I40" s="63">
        <v>99.583157087584738</v>
      </c>
      <c r="J40" s="63">
        <v>99.583157087584738</v>
      </c>
      <c r="K40" s="63">
        <v>99.608523061111327</v>
      </c>
      <c r="L40" s="63">
        <v>100</v>
      </c>
      <c r="M40" s="63">
        <v>103.08436388211966</v>
      </c>
      <c r="N40" s="63">
        <f t="shared" si="1"/>
        <v>99.791175888238286</v>
      </c>
      <c r="R40" s="42" t="s">
        <v>13</v>
      </c>
      <c r="S40" s="27"/>
      <c r="T40" s="27"/>
      <c r="U40" s="31"/>
      <c r="V40" s="27"/>
      <c r="W40" s="27"/>
    </row>
    <row r="41" spans="1:23" ht="19.5" customHeight="1" x14ac:dyDescent="0.2">
      <c r="A41" s="4" t="s">
        <v>63</v>
      </c>
      <c r="B41" s="63">
        <v>92.403864348586211</v>
      </c>
      <c r="C41" s="63">
        <v>93.055463923231557</v>
      </c>
      <c r="D41" s="63">
        <v>94.600384918312869</v>
      </c>
      <c r="E41" s="63">
        <v>94.708884255295345</v>
      </c>
      <c r="F41" s="63">
        <v>97.146607330988914</v>
      </c>
      <c r="G41" s="63">
        <v>100.31616634137583</v>
      </c>
      <c r="H41" s="63">
        <v>100.6509811282706</v>
      </c>
      <c r="I41" s="63">
        <v>100.05151556243921</v>
      </c>
      <c r="J41" s="63">
        <v>99.999824836285228</v>
      </c>
      <c r="K41" s="63">
        <v>100</v>
      </c>
      <c r="L41" s="63">
        <v>100</v>
      </c>
      <c r="M41" s="63">
        <v>100.77953406628663</v>
      </c>
      <c r="N41" s="63">
        <f t="shared" si="1"/>
        <v>97.809435559256045</v>
      </c>
      <c r="R41" s="42" t="s">
        <v>14</v>
      </c>
      <c r="S41" s="27"/>
      <c r="T41" s="27"/>
      <c r="U41" s="31"/>
      <c r="V41" s="27"/>
      <c r="W41" s="27"/>
    </row>
    <row r="42" spans="1:23" ht="19.5" customHeight="1" x14ac:dyDescent="0.2">
      <c r="A42" s="4" t="s">
        <v>64</v>
      </c>
      <c r="B42" s="63">
        <v>103.35996842755399</v>
      </c>
      <c r="C42" s="63">
        <v>102.882884627408</v>
      </c>
      <c r="D42" s="63">
        <v>102.9648778052793</v>
      </c>
      <c r="E42" s="63">
        <v>102.94465532021593</v>
      </c>
      <c r="F42" s="63">
        <v>103.73475730266344</v>
      </c>
      <c r="G42" s="63">
        <v>101.7833370557876</v>
      </c>
      <c r="H42" s="63">
        <v>100.52399133463716</v>
      </c>
      <c r="I42" s="63">
        <v>100.17969676251627</v>
      </c>
      <c r="J42" s="63">
        <v>100.29533603581309</v>
      </c>
      <c r="K42" s="63">
        <v>100.27111121582857</v>
      </c>
      <c r="L42" s="63">
        <v>100</v>
      </c>
      <c r="M42" s="63">
        <v>98.207389454652073</v>
      </c>
      <c r="N42" s="63">
        <f t="shared" si="1"/>
        <v>101.42900044519627</v>
      </c>
      <c r="R42" s="42" t="s">
        <v>15</v>
      </c>
      <c r="S42" s="27"/>
      <c r="T42" s="27"/>
      <c r="U42" s="31"/>
      <c r="V42" s="27"/>
      <c r="W42" s="27"/>
    </row>
    <row r="43" spans="1:23" ht="19.5" customHeight="1" x14ac:dyDescent="0.2">
      <c r="A43" s="2" t="s">
        <v>65</v>
      </c>
      <c r="B43" s="63">
        <v>100.30382080290782</v>
      </c>
      <c r="C43" s="63">
        <v>100.06532786877646</v>
      </c>
      <c r="D43" s="63">
        <v>100.4864662881516</v>
      </c>
      <c r="E43" s="63">
        <v>100.30704974820148</v>
      </c>
      <c r="F43" s="63">
        <v>100.30704974820148</v>
      </c>
      <c r="G43" s="63">
        <v>100.30704974820148</v>
      </c>
      <c r="H43" s="63">
        <v>100.30704974820148</v>
      </c>
      <c r="I43" s="63">
        <v>100.30704974820148</v>
      </c>
      <c r="J43" s="63">
        <v>100.30704974820148</v>
      </c>
      <c r="K43" s="63">
        <v>100.30704974820148</v>
      </c>
      <c r="L43" s="63">
        <v>100</v>
      </c>
      <c r="M43" s="63">
        <v>99.990459446411606</v>
      </c>
      <c r="N43" s="63">
        <f t="shared" si="1"/>
        <v>100.24961855363819</v>
      </c>
      <c r="R43" s="43" t="s">
        <v>16</v>
      </c>
      <c r="S43" s="27"/>
      <c r="T43" s="27"/>
      <c r="U43" s="31"/>
      <c r="V43" s="27"/>
      <c r="W43" s="27"/>
    </row>
    <row r="44" spans="1:23" ht="19.5" customHeight="1" x14ac:dyDescent="0.2">
      <c r="A44" s="3" t="s">
        <v>66</v>
      </c>
      <c r="B44" s="63">
        <v>97.429708706604018</v>
      </c>
      <c r="C44" s="63">
        <v>97.429708706604018</v>
      </c>
      <c r="D44" s="63">
        <v>97.429708706604018</v>
      </c>
      <c r="E44" s="63">
        <v>97.429708706604018</v>
      </c>
      <c r="F44" s="63">
        <v>97.429708706604018</v>
      </c>
      <c r="G44" s="63">
        <v>97.429708706604018</v>
      </c>
      <c r="H44" s="63">
        <v>97.429708706604018</v>
      </c>
      <c r="I44" s="63">
        <v>100</v>
      </c>
      <c r="J44" s="63">
        <v>100</v>
      </c>
      <c r="K44" s="63">
        <v>100</v>
      </c>
      <c r="L44" s="63">
        <v>100</v>
      </c>
      <c r="M44" s="63">
        <v>104.0537477226346</v>
      </c>
      <c r="N44" s="63">
        <f t="shared" si="1"/>
        <v>98.838475722405235</v>
      </c>
      <c r="R44" s="43" t="s">
        <v>17</v>
      </c>
      <c r="S44" s="27"/>
      <c r="T44" s="27"/>
      <c r="U44" s="31"/>
      <c r="V44" s="27"/>
      <c r="W44" s="27"/>
    </row>
    <row r="45" spans="1:23" ht="19.5" customHeight="1" x14ac:dyDescent="0.2">
      <c r="A45" s="3" t="s">
        <v>67</v>
      </c>
      <c r="B45" s="63">
        <v>99.929220948624319</v>
      </c>
      <c r="C45" s="63">
        <v>99.935210721843603</v>
      </c>
      <c r="D45" s="63">
        <v>99.906974243542408</v>
      </c>
      <c r="E45" s="63">
        <v>99.999077551725776</v>
      </c>
      <c r="F45" s="63">
        <v>99.999077551725776</v>
      </c>
      <c r="G45" s="63">
        <v>99.999077551725776</v>
      </c>
      <c r="H45" s="63">
        <v>99.999077551725776</v>
      </c>
      <c r="I45" s="63">
        <v>99.999077551725776</v>
      </c>
      <c r="J45" s="63">
        <v>100</v>
      </c>
      <c r="K45" s="63">
        <v>100</v>
      </c>
      <c r="L45" s="63">
        <v>100</v>
      </c>
      <c r="M45" s="63">
        <v>100.28373277359736</v>
      </c>
      <c r="N45" s="63">
        <f t="shared" si="1"/>
        <v>100.0042105371864</v>
      </c>
      <c r="R45" s="43" t="s">
        <v>18</v>
      </c>
      <c r="S45" s="27"/>
      <c r="T45" s="27"/>
      <c r="U45" s="31"/>
      <c r="V45" s="27"/>
      <c r="W45" s="27"/>
    </row>
    <row r="46" spans="1:23" ht="19.5" customHeight="1" x14ac:dyDescent="0.2">
      <c r="A46" s="3" t="s">
        <v>68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f t="shared" si="1"/>
        <v>100</v>
      </c>
      <c r="R46" s="40" t="s">
        <v>70</v>
      </c>
      <c r="S46" s="27"/>
      <c r="T46" s="27"/>
      <c r="U46" s="31"/>
      <c r="V46" s="27"/>
      <c r="W46" s="27"/>
    </row>
    <row r="47" spans="1:23" s="1" customFormat="1" ht="25.5" customHeight="1" x14ac:dyDescent="0.2">
      <c r="A47" s="2" t="s">
        <v>69</v>
      </c>
      <c r="B47" s="63">
        <v>96.193764112540805</v>
      </c>
      <c r="C47" s="63">
        <v>98.579851245267918</v>
      </c>
      <c r="D47" s="63">
        <v>98.181578392413655</v>
      </c>
      <c r="E47" s="63">
        <v>98.494693554535999</v>
      </c>
      <c r="F47" s="63">
        <v>97.95670396583651</v>
      </c>
      <c r="G47" s="63">
        <v>98.188538874049158</v>
      </c>
      <c r="H47" s="63">
        <v>98.675789391184921</v>
      </c>
      <c r="I47" s="63">
        <v>98.849561386785965</v>
      </c>
      <c r="J47" s="63">
        <v>98.809086420177934</v>
      </c>
      <c r="K47" s="63">
        <v>99.296323736951535</v>
      </c>
      <c r="L47" s="63">
        <v>100</v>
      </c>
      <c r="M47" s="63">
        <v>100.80834314522829</v>
      </c>
      <c r="N47" s="63">
        <f t="shared" si="1"/>
        <v>98.669519518747734</v>
      </c>
      <c r="O47" s="8"/>
      <c r="P47" s="8"/>
      <c r="Q47" s="8"/>
      <c r="R47" s="43" t="s">
        <v>19</v>
      </c>
      <c r="S47" s="27"/>
      <c r="T47" s="27"/>
      <c r="U47" s="31"/>
      <c r="V47" s="27"/>
      <c r="W47" s="27"/>
    </row>
    <row r="48" spans="1:23" ht="19.5" customHeight="1" x14ac:dyDescent="0.2">
      <c r="A48" s="5" t="s">
        <v>20</v>
      </c>
      <c r="B48" s="64">
        <v>97.828421573715033</v>
      </c>
      <c r="C48" s="64">
        <v>98.233535223452947</v>
      </c>
      <c r="D48" s="64">
        <v>98.420876712381684</v>
      </c>
      <c r="E48" s="64">
        <v>98.469778024456261</v>
      </c>
      <c r="F48" s="64">
        <v>99.327403603820088</v>
      </c>
      <c r="G48" s="64">
        <v>99.658949961100134</v>
      </c>
      <c r="H48" s="64">
        <v>99.818903051901685</v>
      </c>
      <c r="I48" s="64">
        <v>100.03687971150563</v>
      </c>
      <c r="J48" s="64">
        <v>100.21988434716123</v>
      </c>
      <c r="K48" s="64">
        <v>100.07080371582366</v>
      </c>
      <c r="L48" s="64">
        <v>100</v>
      </c>
      <c r="M48" s="64">
        <v>100.38209717464169</v>
      </c>
      <c r="N48" s="64">
        <f t="shared" si="1"/>
        <v>99.372294424996696</v>
      </c>
      <c r="R48" s="44" t="s">
        <v>21</v>
      </c>
      <c r="S48" s="27"/>
      <c r="T48" s="27"/>
      <c r="U48" s="31"/>
      <c r="V48" s="31"/>
      <c r="W48" s="31"/>
    </row>
    <row r="49" spans="1:23" ht="19.5" customHeight="1" x14ac:dyDescent="0.2">
      <c r="A49" s="6" t="s">
        <v>22</v>
      </c>
      <c r="B49" s="65">
        <v>98.02336856846145</v>
      </c>
      <c r="C49" s="65">
        <v>98.440120231059979</v>
      </c>
      <c r="D49" s="65">
        <v>98.620972336405501</v>
      </c>
      <c r="E49" s="65">
        <v>98.610813263032213</v>
      </c>
      <c r="F49" s="65">
        <v>99.289439367680615</v>
      </c>
      <c r="G49" s="65">
        <v>99.54270048086471</v>
      </c>
      <c r="H49" s="65">
        <v>99.638810671303204</v>
      </c>
      <c r="I49" s="65">
        <v>100.00928353978227</v>
      </c>
      <c r="J49" s="65">
        <v>100.03417517701001</v>
      </c>
      <c r="K49" s="65">
        <v>99.796548693197579</v>
      </c>
      <c r="L49" s="65">
        <v>100</v>
      </c>
      <c r="M49" s="65">
        <v>100.35961186506373</v>
      </c>
      <c r="N49" s="65">
        <f t="shared" si="1"/>
        <v>99.363820349488435</v>
      </c>
      <c r="O49" s="19"/>
      <c r="P49" s="19"/>
      <c r="Q49" s="19"/>
      <c r="R49" s="45" t="s">
        <v>23</v>
      </c>
      <c r="S49" s="27"/>
      <c r="T49" s="27"/>
      <c r="U49" s="31"/>
      <c r="V49" s="31"/>
      <c r="W49" s="31"/>
    </row>
    <row r="50" spans="1:23" x14ac:dyDescent="0.35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</row>
    <row r="51" spans="1:23" ht="15" x14ac:dyDescent="0.35">
      <c r="A51" s="29"/>
      <c r="B51" s="60"/>
      <c r="C51" s="60"/>
      <c r="D51" s="60"/>
      <c r="E51" s="60"/>
      <c r="F51" s="61"/>
      <c r="G51" s="60"/>
      <c r="H51" s="60"/>
      <c r="I51" s="37"/>
      <c r="J51" s="37"/>
      <c r="K51" s="37"/>
      <c r="L51" s="37"/>
      <c r="M51" s="30"/>
      <c r="N51" s="37"/>
    </row>
    <row r="52" spans="1:23" ht="15" x14ac:dyDescent="0.2">
      <c r="A52" s="32" t="s">
        <v>51</v>
      </c>
      <c r="B52" s="21" t="s">
        <v>74</v>
      </c>
      <c r="C52" s="22"/>
      <c r="D52" s="22"/>
      <c r="E52" s="21"/>
      <c r="F52" s="10"/>
      <c r="G52" s="23"/>
      <c r="H52" s="24"/>
      <c r="I52" s="24"/>
      <c r="J52" s="24"/>
      <c r="K52" s="24"/>
      <c r="L52" s="24"/>
      <c r="M52" s="23"/>
      <c r="N52" s="46" t="s">
        <v>73</v>
      </c>
      <c r="O52" s="9"/>
      <c r="P52" s="9"/>
      <c r="Q52" s="9"/>
      <c r="R52" s="49" t="s">
        <v>50</v>
      </c>
    </row>
    <row r="53" spans="1:23" x14ac:dyDescent="0.2">
      <c r="A53" s="25" t="s">
        <v>56</v>
      </c>
      <c r="B53" s="50" t="s">
        <v>25</v>
      </c>
      <c r="C53" s="50" t="s">
        <v>26</v>
      </c>
      <c r="D53" s="50" t="s">
        <v>27</v>
      </c>
      <c r="E53" s="50" t="s">
        <v>28</v>
      </c>
      <c r="F53" s="50" t="s">
        <v>29</v>
      </c>
      <c r="G53" s="51" t="s">
        <v>30</v>
      </c>
      <c r="H53" s="51" t="s">
        <v>31</v>
      </c>
      <c r="I53" s="51" t="s">
        <v>32</v>
      </c>
      <c r="J53" s="51" t="s">
        <v>33</v>
      </c>
      <c r="K53" s="51" t="s">
        <v>34</v>
      </c>
      <c r="L53" s="51" t="s">
        <v>35</v>
      </c>
      <c r="M53" s="51" t="s">
        <v>36</v>
      </c>
      <c r="N53" s="62" t="s">
        <v>37</v>
      </c>
      <c r="R53" s="44" t="s">
        <v>57</v>
      </c>
    </row>
    <row r="54" spans="1:23" x14ac:dyDescent="0.35">
      <c r="A54" s="33"/>
      <c r="B54" s="53" t="s">
        <v>38</v>
      </c>
      <c r="C54" s="54" t="s">
        <v>39</v>
      </c>
      <c r="D54" s="54" t="s">
        <v>40</v>
      </c>
      <c r="E54" s="54" t="s">
        <v>41</v>
      </c>
      <c r="F54" s="54" t="s">
        <v>42</v>
      </c>
      <c r="G54" s="54" t="s">
        <v>43</v>
      </c>
      <c r="H54" s="54" t="s">
        <v>44</v>
      </c>
      <c r="I54" s="54" t="s">
        <v>45</v>
      </c>
      <c r="J54" s="54" t="s">
        <v>46</v>
      </c>
      <c r="K54" s="54" t="s">
        <v>47</v>
      </c>
      <c r="L54" s="54" t="s">
        <v>48</v>
      </c>
      <c r="M54" s="54" t="s">
        <v>49</v>
      </c>
      <c r="N54" s="55" t="s">
        <v>53</v>
      </c>
      <c r="O54" s="19"/>
      <c r="P54" s="19"/>
      <c r="Q54" s="19"/>
      <c r="R54" s="59"/>
    </row>
    <row r="55" spans="1:23" ht="22.5" customHeight="1" x14ac:dyDescent="0.2">
      <c r="A55" s="2" t="s">
        <v>2</v>
      </c>
      <c r="B55" s="63">
        <v>95.099891259922614</v>
      </c>
      <c r="C55" s="63">
        <v>95.297693366034366</v>
      </c>
      <c r="D55" s="63">
        <v>95.985170309576873</v>
      </c>
      <c r="E55" s="63">
        <v>97.666894068910537</v>
      </c>
      <c r="F55" s="63">
        <v>97.488103435174281</v>
      </c>
      <c r="G55" s="63">
        <v>98.309645055625978</v>
      </c>
      <c r="H55" s="63">
        <v>98.662227205216141</v>
      </c>
      <c r="I55" s="63">
        <v>99.851007542629191</v>
      </c>
      <c r="J55" s="63">
        <v>99.61988890593031</v>
      </c>
      <c r="K55" s="63">
        <v>99.593957578749155</v>
      </c>
      <c r="L55" s="63">
        <v>100</v>
      </c>
      <c r="M55" s="63">
        <v>100.78316834855094</v>
      </c>
      <c r="N55" s="63">
        <f>AVERAGE(B55:M55)</f>
        <v>98.196470589693376</v>
      </c>
      <c r="R55" s="42" t="s">
        <v>3</v>
      </c>
    </row>
    <row r="56" spans="1:23" ht="22.5" customHeight="1" x14ac:dyDescent="0.2">
      <c r="A56" s="2" t="s">
        <v>4</v>
      </c>
      <c r="B56" s="63">
        <v>94.928788235842646</v>
      </c>
      <c r="C56" s="63">
        <v>95.009986371055504</v>
      </c>
      <c r="D56" s="63">
        <v>95.476707746181006</v>
      </c>
      <c r="E56" s="63">
        <v>97.121893772953882</v>
      </c>
      <c r="F56" s="63">
        <v>96.374144324266112</v>
      </c>
      <c r="G56" s="63">
        <v>96.394556892749179</v>
      </c>
      <c r="H56" s="63">
        <v>97.189452466186665</v>
      </c>
      <c r="I56" s="63">
        <v>98.422618207142023</v>
      </c>
      <c r="J56" s="63">
        <v>98.737529454546618</v>
      </c>
      <c r="K56" s="63">
        <v>98.26806949798916</v>
      </c>
      <c r="L56" s="63">
        <v>100</v>
      </c>
      <c r="M56" s="63">
        <v>101.31506856921789</v>
      </c>
      <c r="N56" s="63">
        <f t="shared" ref="N56:N72" si="2">AVERAGE(B56:M56)</f>
        <v>97.436567961510889</v>
      </c>
      <c r="R56" s="42" t="s">
        <v>5</v>
      </c>
    </row>
    <row r="57" spans="1:23" ht="22.5" customHeight="1" x14ac:dyDescent="0.2">
      <c r="A57" s="3" t="s">
        <v>6</v>
      </c>
      <c r="B57" s="63">
        <v>95.844918712013879</v>
      </c>
      <c r="C57" s="63">
        <v>96.550445095996267</v>
      </c>
      <c r="D57" s="63">
        <v>98.199149694964618</v>
      </c>
      <c r="E57" s="63">
        <v>100.0399683267666</v>
      </c>
      <c r="F57" s="63">
        <v>102.33857362759906</v>
      </c>
      <c r="G57" s="63">
        <v>106.64844129952624</v>
      </c>
      <c r="H57" s="63">
        <v>105.07507477014575</v>
      </c>
      <c r="I57" s="63">
        <v>106.07058941696708</v>
      </c>
      <c r="J57" s="63">
        <v>103.46191342553006</v>
      </c>
      <c r="K57" s="63">
        <v>105.36722210097614</v>
      </c>
      <c r="L57" s="63">
        <v>100</v>
      </c>
      <c r="M57" s="63">
        <v>98.77727033081743</v>
      </c>
      <c r="N57" s="63">
        <f t="shared" si="2"/>
        <v>101.53113056677525</v>
      </c>
      <c r="R57" s="42" t="s">
        <v>7</v>
      </c>
    </row>
    <row r="58" spans="1:23" ht="22.5" customHeight="1" x14ac:dyDescent="0.2">
      <c r="A58" s="3" t="s">
        <v>8</v>
      </c>
      <c r="B58" s="63">
        <v>100.6253880943061</v>
      </c>
      <c r="C58" s="63">
        <v>100.97050146500482</v>
      </c>
      <c r="D58" s="63">
        <v>100.90514886528518</v>
      </c>
      <c r="E58" s="63">
        <v>101.01617122580447</v>
      </c>
      <c r="F58" s="63">
        <v>101.0504665524645</v>
      </c>
      <c r="G58" s="63">
        <v>100.92087669123453</v>
      </c>
      <c r="H58" s="63">
        <v>100.85664451304251</v>
      </c>
      <c r="I58" s="63">
        <v>100.85664451304251</v>
      </c>
      <c r="J58" s="63">
        <v>100.77826300047872</v>
      </c>
      <c r="K58" s="63">
        <v>100.32766525675308</v>
      </c>
      <c r="L58" s="63">
        <v>100</v>
      </c>
      <c r="M58" s="63">
        <v>99.484187201706945</v>
      </c>
      <c r="N58" s="63">
        <f t="shared" si="2"/>
        <v>100.64932978159361</v>
      </c>
      <c r="R58" s="42" t="s">
        <v>24</v>
      </c>
    </row>
    <row r="59" spans="1:23" ht="22.5" customHeight="1" x14ac:dyDescent="0.2">
      <c r="A59" s="3" t="s">
        <v>59</v>
      </c>
      <c r="B59" s="63">
        <v>99.84715878065073</v>
      </c>
      <c r="C59" s="63">
        <v>99.85679045082577</v>
      </c>
      <c r="D59" s="63">
        <v>99.626735398824081</v>
      </c>
      <c r="E59" s="63">
        <v>99.657391418575386</v>
      </c>
      <c r="F59" s="63">
        <v>99.502376663707111</v>
      </c>
      <c r="G59" s="63">
        <v>99.502376663707111</v>
      </c>
      <c r="H59" s="63">
        <v>100.11614120220196</v>
      </c>
      <c r="I59" s="63">
        <v>100.11614120220196</v>
      </c>
      <c r="J59" s="63">
        <v>99.119907479090088</v>
      </c>
      <c r="K59" s="63">
        <v>100.16972069768147</v>
      </c>
      <c r="L59" s="63">
        <v>100</v>
      </c>
      <c r="M59" s="63">
        <v>100.2739334219187</v>
      </c>
      <c r="N59" s="63">
        <f t="shared" si="2"/>
        <v>99.815722781615364</v>
      </c>
      <c r="R59" s="42" t="s">
        <v>9</v>
      </c>
    </row>
    <row r="60" spans="1:23" ht="22.5" customHeight="1" x14ac:dyDescent="0.2">
      <c r="A60" s="3" t="s">
        <v>60</v>
      </c>
      <c r="B60" s="63">
        <v>98.249096305988942</v>
      </c>
      <c r="C60" s="63">
        <v>99.087039022784239</v>
      </c>
      <c r="D60" s="63">
        <v>99.055340590152852</v>
      </c>
      <c r="E60" s="63">
        <v>99.03846564163085</v>
      </c>
      <c r="F60" s="63">
        <v>99.251987580830715</v>
      </c>
      <c r="G60" s="63">
        <v>99.687369094423644</v>
      </c>
      <c r="H60" s="63">
        <v>99.770128290848362</v>
      </c>
      <c r="I60" s="63">
        <v>99.840662531302982</v>
      </c>
      <c r="J60" s="63">
        <v>99.884753476448452</v>
      </c>
      <c r="K60" s="63">
        <v>99.933036264058174</v>
      </c>
      <c r="L60" s="63">
        <v>100</v>
      </c>
      <c r="M60" s="63">
        <v>101.01083961800094</v>
      </c>
      <c r="N60" s="63">
        <f t="shared" si="2"/>
        <v>99.567393201372525</v>
      </c>
      <c r="R60" s="42" t="s">
        <v>10</v>
      </c>
    </row>
    <row r="61" spans="1:23" ht="15.6" customHeight="1" x14ac:dyDescent="0.2">
      <c r="A61" s="3" t="s">
        <v>61</v>
      </c>
      <c r="B61" s="63">
        <v>100.90233353223574</v>
      </c>
      <c r="C61" s="63">
        <v>100.81768256895826</v>
      </c>
      <c r="D61" s="63">
        <v>100.76119136448793</v>
      </c>
      <c r="E61" s="63">
        <v>100.6585954762905</v>
      </c>
      <c r="F61" s="63">
        <v>100.51404672589945</v>
      </c>
      <c r="G61" s="63">
        <v>100.42115238844656</v>
      </c>
      <c r="H61" s="63">
        <v>100.42115238844656</v>
      </c>
      <c r="I61" s="63">
        <v>100.42115238844656</v>
      </c>
      <c r="J61" s="63">
        <v>100.42698794295805</v>
      </c>
      <c r="K61" s="63">
        <v>99.66929783814426</v>
      </c>
      <c r="L61" s="63">
        <v>100</v>
      </c>
      <c r="M61" s="63">
        <v>100</v>
      </c>
      <c r="N61" s="63">
        <f t="shared" si="2"/>
        <v>100.41779938452616</v>
      </c>
      <c r="R61" s="48" t="s">
        <v>58</v>
      </c>
    </row>
    <row r="62" spans="1:23" ht="30" customHeight="1" x14ac:dyDescent="0.2">
      <c r="A62" s="2" t="s">
        <v>62</v>
      </c>
      <c r="B62" s="63">
        <v>97.329390875906086</v>
      </c>
      <c r="C62" s="63">
        <v>97.472958339654994</v>
      </c>
      <c r="D62" s="63">
        <v>97.551972724597221</v>
      </c>
      <c r="E62" s="63">
        <v>98.124998180678034</v>
      </c>
      <c r="F62" s="63">
        <v>97.814105310906314</v>
      </c>
      <c r="G62" s="63">
        <v>98.08489323777539</v>
      </c>
      <c r="H62" s="63">
        <v>99.031850762143321</v>
      </c>
      <c r="I62" s="63">
        <v>98.968844525052162</v>
      </c>
      <c r="J62" s="63">
        <v>99.586358075816321</v>
      </c>
      <c r="K62" s="63">
        <v>99.665491860351665</v>
      </c>
      <c r="L62" s="63">
        <v>100</v>
      </c>
      <c r="M62" s="63">
        <v>103.23059940538532</v>
      </c>
      <c r="N62" s="63">
        <f t="shared" si="2"/>
        <v>98.905121941522239</v>
      </c>
      <c r="R62" s="42" t="s">
        <v>11</v>
      </c>
    </row>
    <row r="63" spans="1:23" ht="22.5" customHeight="1" x14ac:dyDescent="0.2">
      <c r="A63" s="4" t="s">
        <v>12</v>
      </c>
      <c r="B63" s="63">
        <v>99.160696902648553</v>
      </c>
      <c r="C63" s="63">
        <v>99.617662947637768</v>
      </c>
      <c r="D63" s="63">
        <v>99.617662947637768</v>
      </c>
      <c r="E63" s="63">
        <v>99.773929689123449</v>
      </c>
      <c r="F63" s="63">
        <v>99.773929689123449</v>
      </c>
      <c r="G63" s="63">
        <v>99.773929689123449</v>
      </c>
      <c r="H63" s="63">
        <v>99.773929689123449</v>
      </c>
      <c r="I63" s="63">
        <v>99.773929689123449</v>
      </c>
      <c r="J63" s="63">
        <v>99.773929689123449</v>
      </c>
      <c r="K63" s="63">
        <v>99.773929689123449</v>
      </c>
      <c r="L63" s="63">
        <v>100</v>
      </c>
      <c r="M63" s="63">
        <v>102.29567256656114</v>
      </c>
      <c r="N63" s="63">
        <f t="shared" si="2"/>
        <v>99.925766932362436</v>
      </c>
      <c r="R63" s="42" t="s">
        <v>13</v>
      </c>
    </row>
    <row r="64" spans="1:23" ht="22.5" customHeight="1" x14ac:dyDescent="0.2">
      <c r="A64" s="4" t="s">
        <v>63</v>
      </c>
      <c r="B64" s="63">
        <v>90.104859399918169</v>
      </c>
      <c r="C64" s="63">
        <v>90.365679611520832</v>
      </c>
      <c r="D64" s="63">
        <v>92.204022171599306</v>
      </c>
      <c r="E64" s="63">
        <v>92.236859506043018</v>
      </c>
      <c r="F64" s="63">
        <v>96.163104463391605</v>
      </c>
      <c r="G64" s="63">
        <v>100.01852946362628</v>
      </c>
      <c r="H64" s="63">
        <v>100.39393060658534</v>
      </c>
      <c r="I64" s="63">
        <v>99.355832371762247</v>
      </c>
      <c r="J64" s="63">
        <v>100.13979657154889</v>
      </c>
      <c r="K64" s="63">
        <v>100.08735983909523</v>
      </c>
      <c r="L64" s="63">
        <v>100</v>
      </c>
      <c r="M64" s="63">
        <v>100.3863907245961</v>
      </c>
      <c r="N64" s="63">
        <f t="shared" si="2"/>
        <v>96.788030394140591</v>
      </c>
      <c r="R64" s="42" t="s">
        <v>14</v>
      </c>
    </row>
    <row r="65" spans="1:18" ht="22.5" customHeight="1" x14ac:dyDescent="0.2">
      <c r="A65" s="4" t="s">
        <v>64</v>
      </c>
      <c r="B65" s="63">
        <v>103.92245652340553</v>
      </c>
      <c r="C65" s="63">
        <v>103.51850294842238</v>
      </c>
      <c r="D65" s="63">
        <v>103.7468893429312</v>
      </c>
      <c r="E65" s="63">
        <v>103.56894111371587</v>
      </c>
      <c r="F65" s="63">
        <v>103.79655687348132</v>
      </c>
      <c r="G65" s="63">
        <v>101.74289354572478</v>
      </c>
      <c r="H65" s="63">
        <v>100.12543639888985</v>
      </c>
      <c r="I65" s="63">
        <v>100.12543639888985</v>
      </c>
      <c r="J65" s="63">
        <v>100.38723027169203</v>
      </c>
      <c r="K65" s="63">
        <v>100.33486173226125</v>
      </c>
      <c r="L65" s="63">
        <v>100</v>
      </c>
      <c r="M65" s="63">
        <v>98.298197510673219</v>
      </c>
      <c r="N65" s="63">
        <f t="shared" si="2"/>
        <v>101.63061688834061</v>
      </c>
      <c r="R65" s="42" t="s">
        <v>15</v>
      </c>
    </row>
    <row r="66" spans="1:18" ht="22.5" customHeight="1" x14ac:dyDescent="0.2">
      <c r="A66" s="2" t="s">
        <v>65</v>
      </c>
      <c r="B66" s="63">
        <v>98.76740810961158</v>
      </c>
      <c r="C66" s="63">
        <v>98.825199757373312</v>
      </c>
      <c r="D66" s="63">
        <v>98.825199757373312</v>
      </c>
      <c r="E66" s="63">
        <v>98.825199757373312</v>
      </c>
      <c r="F66" s="63">
        <v>98.807337504884302</v>
      </c>
      <c r="G66" s="63">
        <v>100</v>
      </c>
      <c r="H66" s="63">
        <v>100</v>
      </c>
      <c r="I66" s="63">
        <v>100</v>
      </c>
      <c r="J66" s="63">
        <v>100</v>
      </c>
      <c r="K66" s="63">
        <v>100</v>
      </c>
      <c r="L66" s="63">
        <v>100</v>
      </c>
      <c r="M66" s="63">
        <v>100.00441803856293</v>
      </c>
      <c r="N66" s="63">
        <f t="shared" si="2"/>
        <v>99.504563577098224</v>
      </c>
      <c r="R66" s="43" t="s">
        <v>16</v>
      </c>
    </row>
    <row r="67" spans="1:18" ht="18" customHeight="1" x14ac:dyDescent="0.2">
      <c r="A67" s="3" t="s">
        <v>66</v>
      </c>
      <c r="B67" s="63">
        <v>101.19780310923477</v>
      </c>
      <c r="C67" s="63">
        <v>101.19780310923477</v>
      </c>
      <c r="D67" s="63">
        <v>101.19780310923477</v>
      </c>
      <c r="E67" s="63">
        <v>101.19780310923477</v>
      </c>
      <c r="F67" s="63">
        <v>101.19780310923477</v>
      </c>
      <c r="G67" s="63">
        <v>101.19780310923477</v>
      </c>
      <c r="H67" s="63">
        <v>101.19780310923477</v>
      </c>
      <c r="I67" s="63">
        <v>101.25491325372651</v>
      </c>
      <c r="J67" s="63">
        <v>101.25491325372651</v>
      </c>
      <c r="K67" s="63">
        <v>101.25491325372651</v>
      </c>
      <c r="L67" s="63">
        <v>100</v>
      </c>
      <c r="M67" s="63">
        <v>100.46469068422795</v>
      </c>
      <c r="N67" s="63">
        <f t="shared" si="2"/>
        <v>101.05117101750422</v>
      </c>
      <c r="R67" s="43" t="s">
        <v>17</v>
      </c>
    </row>
    <row r="68" spans="1:18" s="1" customFormat="1" ht="22.5" customHeight="1" x14ac:dyDescent="0.2">
      <c r="A68" s="3" t="s">
        <v>67</v>
      </c>
      <c r="B68" s="63">
        <v>97.815853054920765</v>
      </c>
      <c r="C68" s="63">
        <v>98.061308298918149</v>
      </c>
      <c r="D68" s="63">
        <v>98.061308298918149</v>
      </c>
      <c r="E68" s="63">
        <v>98.061308298918149</v>
      </c>
      <c r="F68" s="63">
        <v>98.244144632372283</v>
      </c>
      <c r="G68" s="63">
        <v>98.244144632372283</v>
      </c>
      <c r="H68" s="63">
        <v>98.244144632372283</v>
      </c>
      <c r="I68" s="63">
        <v>98.244144632372283</v>
      </c>
      <c r="J68" s="63">
        <v>100</v>
      </c>
      <c r="K68" s="63">
        <v>100</v>
      </c>
      <c r="L68" s="63">
        <v>100</v>
      </c>
      <c r="M68" s="63">
        <v>100.48127066234424</v>
      </c>
      <c r="N68" s="63">
        <f t="shared" si="2"/>
        <v>98.788135595292374</v>
      </c>
      <c r="R68" s="43" t="s">
        <v>18</v>
      </c>
    </row>
    <row r="69" spans="1:18" s="1" customFormat="1" ht="22.5" customHeight="1" x14ac:dyDescent="0.2">
      <c r="A69" s="3" t="s">
        <v>68</v>
      </c>
      <c r="B69" s="63">
        <v>100</v>
      </c>
      <c r="C69" s="63">
        <v>100</v>
      </c>
      <c r="D69" s="63">
        <v>100</v>
      </c>
      <c r="E69" s="63">
        <v>100</v>
      </c>
      <c r="F69" s="63">
        <v>100</v>
      </c>
      <c r="G69" s="63">
        <v>100</v>
      </c>
      <c r="H69" s="63">
        <v>100</v>
      </c>
      <c r="I69" s="63">
        <v>100</v>
      </c>
      <c r="J69" s="63">
        <v>100</v>
      </c>
      <c r="K69" s="63">
        <v>100</v>
      </c>
      <c r="L69" s="63">
        <v>100</v>
      </c>
      <c r="M69" s="63">
        <v>100</v>
      </c>
      <c r="N69" s="63">
        <f t="shared" si="2"/>
        <v>100</v>
      </c>
      <c r="R69" s="40" t="s">
        <v>70</v>
      </c>
    </row>
    <row r="70" spans="1:18" s="1" customFormat="1" ht="33.75" customHeight="1" x14ac:dyDescent="0.2">
      <c r="A70" s="2" t="s">
        <v>69</v>
      </c>
      <c r="B70" s="63">
        <v>98.943814177825786</v>
      </c>
      <c r="C70" s="63">
        <v>99.009234606835193</v>
      </c>
      <c r="D70" s="63">
        <v>99.092415651202046</v>
      </c>
      <c r="E70" s="63">
        <v>99.165226129806314</v>
      </c>
      <c r="F70" s="63">
        <v>99.169529996709286</v>
      </c>
      <c r="G70" s="63">
        <v>99.20106327139878</v>
      </c>
      <c r="H70" s="63">
        <v>99.246909413625318</v>
      </c>
      <c r="I70" s="63">
        <v>99.198507805979517</v>
      </c>
      <c r="J70" s="63">
        <v>99.278091630229</v>
      </c>
      <c r="K70" s="63">
        <v>99.209322009105875</v>
      </c>
      <c r="L70" s="63">
        <v>100</v>
      </c>
      <c r="M70" s="63">
        <v>100.41858331571684</v>
      </c>
      <c r="N70" s="63">
        <f t="shared" si="2"/>
        <v>99.327724834036175</v>
      </c>
      <c r="R70" s="43" t="s">
        <v>19</v>
      </c>
    </row>
    <row r="71" spans="1:18" ht="22.5" customHeight="1" x14ac:dyDescent="0.2">
      <c r="A71" s="5" t="s">
        <v>20</v>
      </c>
      <c r="B71" s="64">
        <v>97.199886391364188</v>
      </c>
      <c r="C71" s="64">
        <v>97.433327824526273</v>
      </c>
      <c r="D71" s="64">
        <v>97.837497617006704</v>
      </c>
      <c r="E71" s="64">
        <v>98.375452423490543</v>
      </c>
      <c r="F71" s="64">
        <v>98.763612073437429</v>
      </c>
      <c r="G71" s="64">
        <v>99.352148390029583</v>
      </c>
      <c r="H71" s="64">
        <v>99.483576481816726</v>
      </c>
      <c r="I71" s="64">
        <v>99.713012986213542</v>
      </c>
      <c r="J71" s="64">
        <v>99.836905004350058</v>
      </c>
      <c r="K71" s="64">
        <v>99.863407582968904</v>
      </c>
      <c r="L71" s="64">
        <v>100</v>
      </c>
      <c r="M71" s="64">
        <v>100.65173665058424</v>
      </c>
      <c r="N71" s="64">
        <f t="shared" si="2"/>
        <v>99.042546952149038</v>
      </c>
      <c r="R71" s="44" t="s">
        <v>21</v>
      </c>
    </row>
    <row r="72" spans="1:18" ht="22.5" customHeight="1" x14ac:dyDescent="0.2">
      <c r="A72" s="6" t="s">
        <v>22</v>
      </c>
      <c r="B72" s="65">
        <v>97.276116528758337</v>
      </c>
      <c r="C72" s="65">
        <v>97.48299858252625</v>
      </c>
      <c r="D72" s="65">
        <v>97.817151162982924</v>
      </c>
      <c r="E72" s="65">
        <v>98.281807181662856</v>
      </c>
      <c r="F72" s="65">
        <v>98.562485644662942</v>
      </c>
      <c r="G72" s="65">
        <v>98.941660804653679</v>
      </c>
      <c r="H72" s="65">
        <v>99.169000208703793</v>
      </c>
      <c r="I72" s="65">
        <v>99.355337351439346</v>
      </c>
      <c r="J72" s="65">
        <v>99.632962951552159</v>
      </c>
      <c r="K72" s="65">
        <v>99.553764376497156</v>
      </c>
      <c r="L72" s="65">
        <v>100</v>
      </c>
      <c r="M72" s="65">
        <v>100.78318519902582</v>
      </c>
      <c r="N72" s="65">
        <f t="shared" si="2"/>
        <v>98.904705832705432</v>
      </c>
      <c r="O72" s="19"/>
      <c r="P72" s="19"/>
      <c r="Q72" s="19"/>
      <c r="R72" s="45" t="s">
        <v>23</v>
      </c>
    </row>
    <row r="73" spans="1:18" ht="17.25" x14ac:dyDescent="0.2">
      <c r="A73" s="41" t="s">
        <v>76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R73" s="40" t="s">
        <v>75</v>
      </c>
    </row>
    <row r="74" spans="1:18" ht="15" customHeight="1" x14ac:dyDescent="0.35"/>
    <row r="75" spans="1:18" ht="15" customHeight="1" x14ac:dyDescent="0.35"/>
    <row r="76" spans="1:18" ht="15" customHeight="1" x14ac:dyDescent="0.35"/>
    <row r="77" spans="1:18" ht="15" customHeight="1" x14ac:dyDescent="0.35">
      <c r="Q77" s="36"/>
    </row>
    <row r="78" spans="1:18" ht="15" customHeight="1" x14ac:dyDescent="0.35">
      <c r="Q78" s="36"/>
    </row>
    <row r="79" spans="1:18" ht="15" customHeight="1" x14ac:dyDescent="0.35">
      <c r="Q79" s="36"/>
    </row>
    <row r="80" spans="1:18" ht="15" customHeight="1" x14ac:dyDescent="0.35">
      <c r="Q80" s="36"/>
    </row>
    <row r="81" spans="17:18" ht="15" customHeight="1" x14ac:dyDescent="0.35">
      <c r="Q81" s="36"/>
    </row>
    <row r="82" spans="17:18" ht="15" customHeight="1" x14ac:dyDescent="0.2">
      <c r="Q82" s="36"/>
      <c r="R82" s="2"/>
    </row>
    <row r="83" spans="17:18" ht="15" customHeight="1" x14ac:dyDescent="0.2">
      <c r="Q83" s="36"/>
      <c r="R83" s="2"/>
    </row>
    <row r="84" spans="17:18" ht="15" customHeight="1" x14ac:dyDescent="0.2">
      <c r="Q84" s="36"/>
      <c r="R84" s="2"/>
    </row>
    <row r="85" spans="17:18" ht="15" customHeight="1" x14ac:dyDescent="0.2">
      <c r="Q85" s="36"/>
      <c r="R85" s="2"/>
    </row>
    <row r="86" spans="17:18" ht="15" customHeight="1" x14ac:dyDescent="0.2">
      <c r="Q86" s="36"/>
      <c r="R86" s="2"/>
    </row>
    <row r="87" spans="17:18" ht="15" customHeight="1" x14ac:dyDescent="0.2">
      <c r="Q87" s="36"/>
      <c r="R87" s="2"/>
    </row>
    <row r="88" spans="17:18" ht="15" customHeight="1" x14ac:dyDescent="0.2">
      <c r="Q88" s="36"/>
      <c r="R88" s="2"/>
    </row>
    <row r="89" spans="17:18" ht="15" customHeight="1" x14ac:dyDescent="0.2">
      <c r="Q89" s="36"/>
      <c r="R89" s="2"/>
    </row>
    <row r="90" spans="17:18" ht="15" customHeight="1" x14ac:dyDescent="0.2">
      <c r="Q90" s="36"/>
      <c r="R90" s="2"/>
    </row>
    <row r="91" spans="17:18" ht="12.75" x14ac:dyDescent="0.2">
      <c r="R91" s="2"/>
    </row>
    <row r="92" spans="17:18" ht="12.75" x14ac:dyDescent="0.2">
      <c r="R92" s="2"/>
    </row>
    <row r="93" spans="17:18" ht="12.75" x14ac:dyDescent="0.2">
      <c r="R93" s="2"/>
    </row>
    <row r="94" spans="17:18" ht="12.75" x14ac:dyDescent="0.2">
      <c r="R94" s="2"/>
    </row>
    <row r="95" spans="17:18" ht="12.75" x14ac:dyDescent="0.2">
      <c r="R95" s="2"/>
    </row>
    <row r="96" spans="17:18" ht="12.75" x14ac:dyDescent="0.2">
      <c r="R96" s="2"/>
    </row>
    <row r="97" spans="18:18" ht="12.75" x14ac:dyDescent="0.2">
      <c r="R97" s="2"/>
    </row>
    <row r="98" spans="18:18" ht="12.75" x14ac:dyDescent="0.2">
      <c r="R98" s="2"/>
    </row>
    <row r="99" spans="18:18" ht="12.75" x14ac:dyDescent="0.2">
      <c r="R99" s="2"/>
    </row>
    <row r="100" spans="18:18" ht="12.75" x14ac:dyDescent="0.2">
      <c r="R100" s="2"/>
    </row>
    <row r="101" spans="18:18" ht="12.75" x14ac:dyDescent="0.2">
      <c r="R101" s="2"/>
    </row>
    <row r="102" spans="18:18" ht="12.75" x14ac:dyDescent="0.2">
      <c r="R102" s="2"/>
    </row>
    <row r="103" spans="18:18" ht="12.75" x14ac:dyDescent="0.2">
      <c r="R103" s="2"/>
    </row>
    <row r="104" spans="18:18" ht="12.75" x14ac:dyDescent="0.2">
      <c r="R104" s="2"/>
    </row>
  </sheetData>
  <mergeCells count="4">
    <mergeCell ref="A1:R1"/>
    <mergeCell ref="A2:R2"/>
    <mergeCell ref="A3:R3"/>
    <mergeCell ref="A4:R4"/>
  </mergeCells>
  <pageMargins left="0.7" right="0.7" top="0.75" bottom="0.75" header="0.3" footer="0.3"/>
  <pageSetup paperSize="9" scale="39" orientation="portrait" r:id="rId1"/>
  <colBreaks count="1" manualBreakCount="1">
    <brk id="19" max="7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17.5</vt:lpstr>
      <vt:lpstr>'17.5'!Print_Area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2023-06-20T10:29:59Z</cp:lastPrinted>
  <dcterms:created xsi:type="dcterms:W3CDTF">2019-03-21T03:27:43Z</dcterms:created>
  <dcterms:modified xsi:type="dcterms:W3CDTF">2023-06-20T10:30:10Z</dcterms:modified>
</cp:coreProperties>
</file>