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Geography\"/>
    </mc:Choice>
  </mc:AlternateContent>
  <xr:revisionPtr revIDLastSave="0" documentId="13_ncr:1_{35EBD277-24CB-4A68-A4F8-EC8C1176B524}" xr6:coauthVersionLast="47" xr6:coauthVersionMax="47" xr10:uidLastSave="{00000000-0000-0000-0000-000000000000}"/>
  <bookViews>
    <workbookView xWindow="-120" yWindow="-120" windowWidth="29040" windowHeight="15840" tabRatio="799" xr2:uid="{00000000-000D-0000-FFFF-FFFF00000000}"/>
  </bookViews>
  <sheets>
    <sheet name="1.2" sheetId="2" r:id="rId1"/>
    <sheet name="Sheet1" sheetId="5" state="hidden" r:id="rId2"/>
  </sheets>
  <externalReferences>
    <externalReference r:id="rId3"/>
  </externalReferences>
  <definedNames>
    <definedName name="_xlnm.Print_Area" localSheetId="0">'1.2'!$A$1:$P$44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7" i="2" l="1"/>
  <c r="B18" i="2" l="1"/>
  <c r="AK21" i="2" s="1"/>
  <c r="B17" i="2"/>
  <c r="AK20" i="2" s="1"/>
  <c r="B16" i="2"/>
  <c r="AK19" i="2" s="1"/>
  <c r="B15" i="2"/>
  <c r="AK18" i="2" s="1"/>
  <c r="B14" i="2"/>
  <c r="AK17" i="2" s="1"/>
  <c r="B12" i="2"/>
  <c r="AJ21" i="2" s="1"/>
  <c r="B11" i="2"/>
  <c r="AJ20" i="2" s="1"/>
  <c r="B10" i="2"/>
  <c r="AJ19" i="2" s="1"/>
  <c r="B9" i="2"/>
  <c r="AJ18" i="2" s="1"/>
  <c r="B8" i="2"/>
</calcChain>
</file>

<file path=xl/sharedStrings.xml><?xml version="1.0" encoding="utf-8"?>
<sst xmlns="http://schemas.openxmlformats.org/spreadsheetml/2006/main" count="65" uniqueCount="50">
  <si>
    <t>Locality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</si>
  <si>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</si>
  <si>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</si>
  <si>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</si>
  <si>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</si>
  <si>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</si>
  <si>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</si>
  <si>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</si>
  <si>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</si>
  <si>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</si>
  <si>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</si>
  <si>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</si>
  <si>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</si>
  <si>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</si>
  <si>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</si>
  <si>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</si>
  <si>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</si>
  <si>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</si>
  <si>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</si>
  <si>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</si>
  <si>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</si>
  <si>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</si>
  <si>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</si>
  <si>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</si>
  <si>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</si>
  <si>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</si>
  <si>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</si>
  <si>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</si>
  <si>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</si>
  <si>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</si>
  <si>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</si>
  <si>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</si>
  <si>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</si>
  <si>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</si>
  <si>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</si>
  <si>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</si>
  <si>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</si>
  <si>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</si>
  <si>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  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</si>
  <si>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</si>
  <si>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</si>
  <si>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</si>
  <si>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</si>
  <si>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</si>
  <si>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</si>
  <si>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</si>
  <si>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Rain fall</t>
  </si>
  <si>
    <t>Sunshine</t>
  </si>
  <si>
    <t>Table 1.2 : AVERAGE OF DAILY MAXIMUM AND MINIMUM TEMPERATURE, BY MONTH, 2022</t>
  </si>
  <si>
    <t>2022 ,urwvcnim Wviawfcsog cSwSwd idwa cSwCcawm emcnea cnimunUh uhwmcswmikea : 1.2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</si>
</sst>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sz val="10"/>
      <name val="A_Randhoo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0" fontId="2" fillId="0" borderId="0"/>
    <xf numFmtId="0" fontId="2" fillId="0" borderId="0"/>
    <xf numFmtId="43" fontId="17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top"/>
      <protection hidden="1"/>
    </xf>
    <xf numFmtId="0" fontId="5" fillId="2" borderId="2" xfId="0" applyFont="1" applyFill="1" applyBorder="1" applyAlignment="1" applyProtection="1">
      <alignment horizontal="center" vertical="top"/>
      <protection hidden="1"/>
    </xf>
    <xf numFmtId="0" fontId="6" fillId="2" borderId="0" xfId="0" applyFont="1" applyFill="1" applyAlignment="1" applyProtection="1">
      <alignment horizontal="right" vertical="center"/>
      <protection hidden="1"/>
    </xf>
    <xf numFmtId="0" fontId="6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 wrapText="1"/>
      <protection hidden="1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164" fontId="4" fillId="2" borderId="0" xfId="0" applyNumberFormat="1" applyFont="1" applyFill="1" applyAlignment="1" applyProtection="1">
      <alignment horizontal="right" vertical="center" wrapText="1"/>
      <protection hidden="1"/>
    </xf>
    <xf numFmtId="164" fontId="4" fillId="2" borderId="0" xfId="0" applyNumberFormat="1" applyFont="1" applyFill="1" applyAlignment="1" applyProtection="1">
      <alignment horizontal="right" vertical="center"/>
      <protection hidden="1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lef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8" fillId="2" borderId="0" xfId="0" applyFont="1" applyFill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center"/>
    </xf>
    <xf numFmtId="0" fontId="8" fillId="2" borderId="2" xfId="0" applyFont="1" applyFill="1" applyBorder="1" applyAlignment="1" applyProtection="1">
      <alignment horizontal="left" vertical="center"/>
      <protection hidden="1"/>
    </xf>
    <xf numFmtId="164" fontId="5" fillId="2" borderId="2" xfId="0" applyNumberFormat="1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0" applyFont="1" applyFill="1"/>
    <xf numFmtId="0" fontId="14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164" fontId="7" fillId="2" borderId="0" xfId="0" applyNumberFormat="1" applyFont="1" applyFill="1" applyAlignment="1" applyProtection="1">
      <alignment vertical="center"/>
      <protection hidden="1"/>
    </xf>
    <xf numFmtId="166" fontId="2" fillId="2" borderId="0" xfId="0" applyNumberFormat="1" applyFont="1" applyFill="1" applyAlignment="1" applyProtection="1">
      <alignment horizontal="right" vertical="center"/>
      <protection hidden="1"/>
    </xf>
    <xf numFmtId="166" fontId="7" fillId="2" borderId="0" xfId="0" applyNumberFormat="1" applyFont="1" applyFill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2" xfId="0" applyNumberFormat="1" applyFont="1" applyFill="1" applyBorder="1" applyAlignment="1" applyProtection="1">
      <alignment horizontal="right" vertical="center"/>
      <protection locked="0"/>
    </xf>
    <xf numFmtId="166" fontId="0" fillId="2" borderId="2" xfId="0" applyNumberForma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5" fillId="2" borderId="0" xfId="0" applyFont="1" applyFill="1" applyAlignment="1" applyProtection="1">
      <alignment horizontal="center" vertical="top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6" fillId="2" borderId="0" xfId="0" applyFont="1" applyFill="1" applyAlignment="1">
      <alignment vertical="center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4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0" fontId="4" fillId="2" borderId="0" xfId="0" applyFont="1" applyFill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top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</cellXfs>
  <cellStyles count="5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E8EEF8"/>
      <color rgb="FFFFF3F3"/>
      <color rgb="FFFFC1C1"/>
      <color rgb="FFF75B8F"/>
      <color rgb="FFFF0000"/>
      <color rgb="FFFF6161"/>
      <color rgb="FFFFFFC1"/>
      <color rgb="FFFFFFE5"/>
      <color rgb="FFFFF9E7"/>
      <color rgb="FFFFA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58167613768E-2"/>
          <c:y val="0.18192706643635631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31.274710061443937</c:v>
                </c:pt>
                <c:pt idx="1">
                  <c:v>31.430786610343063</c:v>
                </c:pt>
                <c:pt idx="2">
                  <c:v>31.449795186891961</c:v>
                </c:pt>
                <c:pt idx="3">
                  <c:v>31.149317076292885</c:v>
                </c:pt>
                <c:pt idx="4">
                  <c:v>31.342859062980029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D-4640-A355-B24E7A19A9D4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26.209864951356892</c:v>
                </c:pt>
                <c:pt idx="1">
                  <c:v>25.290938940092165</c:v>
                </c:pt>
                <c:pt idx="2">
                  <c:v>26.137482078853044</c:v>
                </c:pt>
                <c:pt idx="3">
                  <c:v>25.511975806451613</c:v>
                </c:pt>
                <c:pt idx="4">
                  <c:v>26.097615207373266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0D-4640-A355-B24E7A19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8626176"/>
        <c:axId val="1838622912"/>
      </c:barChart>
      <c:catAx>
        <c:axId val="18386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2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3862291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62617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51880960110473318"/>
          <c:y val="0.18696320587349885"/>
          <c:w val="0.28649859672903716"/>
          <c:h val="8.4064875478884721E-2"/>
        </c:manualLayout>
      </c:layout>
      <c:overlay val="0"/>
      <c:spPr>
        <a:ln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76926</xdr:rowOff>
    </xdr:from>
    <xdr:to>
      <xdr:col>14</xdr:col>
      <xdr:colOff>266700</xdr:colOff>
      <xdr:row>40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0.13031</cdr:x>
      <cdr:y>0.05198</cdr:y>
    </cdr:from>
    <cdr:to>
      <cdr:x>0.89834</cdr:x>
      <cdr:y>0.12954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532" y="175772"/>
          <a:ext cx="6409754" cy="2622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Figure</a:t>
          </a: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1.2: Yearly Average of daily maximum and minimum temperature, 2022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7"/>
  <sheetViews>
    <sheetView tabSelected="1" zoomScale="93" zoomScaleNormal="93" workbookViewId="0">
      <selection activeCell="AB24" sqref="AB24"/>
    </sheetView>
  </sheetViews>
  <sheetFormatPr defaultColWidth="8.85546875" defaultRowHeight="15" x14ac:dyDescent="0.25"/>
  <cols>
    <col min="1" max="1" width="18.140625" style="25" customWidth="1"/>
    <col min="2" max="14" width="8.85546875" style="25"/>
    <col min="15" max="15" width="19.5703125" style="25" customWidth="1"/>
    <col min="16" max="16384" width="8.85546875" style="25"/>
  </cols>
  <sheetData>
    <row r="1" spans="1:37" s="1" customFormat="1" ht="18" x14ac:dyDescent="0.25">
      <c r="A1" s="45" t="s">
        <v>49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37" s="5" customFormat="1" ht="15.75" x14ac:dyDescent="0.25">
      <c r="A2" s="46" t="s">
        <v>48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37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37" s="1" customFormat="1" ht="15.75" customHeight="1" x14ac:dyDescent="0.25">
      <c r="A4" s="47" t="s">
        <v>0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</row>
    <row r="5" spans="1:37" s="4" customFormat="1" ht="24.75" customHeight="1" x14ac:dyDescent="0.25">
      <c r="A5" s="48"/>
      <c r="B5" s="9" t="s">
        <v>36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8"/>
    </row>
    <row r="6" spans="1:37" s="4" customFormat="1" ht="15.75" x14ac:dyDescent="0.25">
      <c r="A6" s="42"/>
      <c r="B6" s="11"/>
      <c r="C6" s="12"/>
      <c r="D6" s="12"/>
      <c r="E6" s="12"/>
      <c r="F6" s="12"/>
      <c r="G6" s="12"/>
      <c r="H6" s="12"/>
      <c r="I6" s="12"/>
      <c r="J6" s="13"/>
      <c r="K6" s="13"/>
      <c r="L6" s="13"/>
      <c r="M6" s="13"/>
      <c r="N6" s="13"/>
      <c r="O6" s="14"/>
    </row>
    <row r="7" spans="1:37" s="4" customFormat="1" ht="19.5" customHeight="1" x14ac:dyDescent="0.25">
      <c r="A7" s="15" t="s">
        <v>37</v>
      </c>
      <c r="B7" s="16"/>
      <c r="C7" s="16"/>
      <c r="D7" s="16"/>
      <c r="E7" s="16"/>
      <c r="F7" s="16"/>
      <c r="G7" s="16"/>
      <c r="H7" s="16"/>
      <c r="I7" s="16"/>
      <c r="K7" s="8"/>
      <c r="L7" s="8"/>
      <c r="M7" s="8"/>
      <c r="N7" s="8"/>
      <c r="O7" s="8" t="s">
        <v>38</v>
      </c>
    </row>
    <row r="8" spans="1:37" s="1" customFormat="1" ht="22.9" customHeight="1" x14ac:dyDescent="0.25">
      <c r="A8" s="17" t="s">
        <v>1</v>
      </c>
      <c r="B8" s="18">
        <f>AVERAGE(C8:N8)</f>
        <v>31.274710061443937</v>
      </c>
      <c r="C8" s="32">
        <v>31.812903225806448</v>
      </c>
      <c r="D8" s="32">
        <v>31.860714285714288</v>
      </c>
      <c r="E8" s="32">
        <v>32.13225806451613</v>
      </c>
      <c r="F8" s="32">
        <v>32.63000000000001</v>
      </c>
      <c r="G8" s="32">
        <v>31.606451612903232</v>
      </c>
      <c r="H8" s="32">
        <v>31.573333333333334</v>
      </c>
      <c r="I8" s="32">
        <v>31.019354838709678</v>
      </c>
      <c r="J8" s="32">
        <v>30.793548387096777</v>
      </c>
      <c r="K8" s="32">
        <v>30.733333333333334</v>
      </c>
      <c r="L8" s="32">
        <v>30.36451612903226</v>
      </c>
      <c r="M8" s="32">
        <v>30.373333333333331</v>
      </c>
      <c r="N8" s="32">
        <v>30.396774193548385</v>
      </c>
      <c r="O8" s="8" t="s">
        <v>2</v>
      </c>
    </row>
    <row r="9" spans="1:37" s="1" customFormat="1" ht="22.9" customHeight="1" x14ac:dyDescent="0.25">
      <c r="A9" s="17" t="s">
        <v>4</v>
      </c>
      <c r="B9" s="18">
        <f>AVERAGE(C9:N9)</f>
        <v>31.430786610343063</v>
      </c>
      <c r="C9" s="32">
        <v>31.222580645161283</v>
      </c>
      <c r="D9" s="32">
        <v>31.396428571428572</v>
      </c>
      <c r="E9" s="32">
        <v>32.564516129032263</v>
      </c>
      <c r="F9" s="32">
        <v>32.93</v>
      </c>
      <c r="G9" s="32">
        <v>31.819354838709678</v>
      </c>
      <c r="H9" s="32">
        <v>31.91</v>
      </c>
      <c r="I9" s="32">
        <v>31.009677419354844</v>
      </c>
      <c r="J9" s="32">
        <v>30.674193548387088</v>
      </c>
      <c r="K9" s="32">
        <v>30.949999999999996</v>
      </c>
      <c r="L9" s="32">
        <v>30.590322580645154</v>
      </c>
      <c r="M9" s="32">
        <v>31.173333333333328</v>
      </c>
      <c r="N9" s="32">
        <v>30.929032258064517</v>
      </c>
      <c r="O9" s="8" t="s">
        <v>5</v>
      </c>
    </row>
    <row r="10" spans="1:37" s="1" customFormat="1" ht="22.9" customHeight="1" x14ac:dyDescent="0.25">
      <c r="A10" s="17" t="s">
        <v>6</v>
      </c>
      <c r="B10" s="18">
        <f>AVERAGE(C10:N10)</f>
        <v>31.449795186891961</v>
      </c>
      <c r="C10" s="32">
        <v>31.080645161290324</v>
      </c>
      <c r="D10" s="32">
        <v>31.535714285714281</v>
      </c>
      <c r="E10" s="32">
        <v>32.045161290322582</v>
      </c>
      <c r="F10" s="32">
        <v>32.746666666666677</v>
      </c>
      <c r="G10" s="32">
        <v>32.145161290322584</v>
      </c>
      <c r="H10" s="32">
        <v>32.416666666666664</v>
      </c>
      <c r="I10" s="32">
        <v>30.790322580645167</v>
      </c>
      <c r="J10" s="32">
        <v>30.70967741935484</v>
      </c>
      <c r="K10" s="32">
        <v>30.81</v>
      </c>
      <c r="L10" s="32">
        <v>30.919354838709676</v>
      </c>
      <c r="M10" s="32">
        <v>31.243333333333336</v>
      </c>
      <c r="N10" s="32">
        <v>30.954838709677418</v>
      </c>
      <c r="O10" s="8" t="s">
        <v>39</v>
      </c>
    </row>
    <row r="11" spans="1:37" s="1" customFormat="1" ht="22.9" customHeight="1" x14ac:dyDescent="0.25">
      <c r="A11" s="17" t="s">
        <v>7</v>
      </c>
      <c r="B11" s="18">
        <f>AVERAGE(C11:N11)</f>
        <v>31.149317076292885</v>
      </c>
      <c r="C11" s="32">
        <v>31.14193548387097</v>
      </c>
      <c r="D11" s="32">
        <v>31.396428571428569</v>
      </c>
      <c r="E11" s="32">
        <v>31.693548387096776</v>
      </c>
      <c r="F11" s="32">
        <v>32.08</v>
      </c>
      <c r="G11" s="32">
        <v>31.79677419354838</v>
      </c>
      <c r="H11" s="32">
        <v>31.74</v>
      </c>
      <c r="I11" s="32">
        <v>30.709677419354843</v>
      </c>
      <c r="J11" s="32">
        <v>30.583870967741937</v>
      </c>
      <c r="K11" s="32">
        <v>30.68</v>
      </c>
      <c r="L11" s="32">
        <v>30.551612903225802</v>
      </c>
      <c r="M11" s="32">
        <v>30.656666666666663</v>
      </c>
      <c r="N11" s="32">
        <v>30.761290322580642</v>
      </c>
      <c r="O11" s="8" t="s">
        <v>40</v>
      </c>
    </row>
    <row r="12" spans="1:37" s="1" customFormat="1" ht="22.9" customHeight="1" x14ac:dyDescent="0.25">
      <c r="A12" s="17" t="s">
        <v>3</v>
      </c>
      <c r="B12" s="18">
        <f>AVERAGE(C12:N12)</f>
        <v>31.342859062980029</v>
      </c>
      <c r="C12" s="32">
        <v>31.248387096774188</v>
      </c>
      <c r="D12" s="32">
        <v>31.667857142857137</v>
      </c>
      <c r="E12" s="32">
        <v>32.270967741935486</v>
      </c>
      <c r="F12" s="32">
        <v>32.376666666666672</v>
      </c>
      <c r="G12" s="32">
        <v>32.019354838709681</v>
      </c>
      <c r="H12" s="32">
        <v>31.703333333333326</v>
      </c>
      <c r="I12" s="32">
        <v>30.590322580645164</v>
      </c>
      <c r="J12" s="32">
        <v>30.741935483870968</v>
      </c>
      <c r="K12" s="32">
        <v>31.053333333333335</v>
      </c>
      <c r="L12" s="32">
        <v>30.454838709677414</v>
      </c>
      <c r="M12" s="32">
        <v>31.006666666666671</v>
      </c>
      <c r="N12" s="32">
        <v>30.980645161290326</v>
      </c>
      <c r="O12" s="8" t="s">
        <v>41</v>
      </c>
    </row>
    <row r="13" spans="1:37" s="1" customFormat="1" ht="19.5" customHeight="1" x14ac:dyDescent="0.25">
      <c r="A13" s="15" t="s">
        <v>42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8" t="s">
        <v>43</v>
      </c>
    </row>
    <row r="14" spans="1:37" s="1" customFormat="1" ht="22.9" customHeight="1" x14ac:dyDescent="0.25">
      <c r="A14" s="17" t="s">
        <v>1</v>
      </c>
      <c r="B14" s="18">
        <f>AVERAGE(C14:N14)</f>
        <v>26.209864951356892</v>
      </c>
      <c r="C14" s="32">
        <v>26.816129032258065</v>
      </c>
      <c r="D14" s="32">
        <v>26.532142857142865</v>
      </c>
      <c r="E14" s="32">
        <v>26.909677419354839</v>
      </c>
      <c r="F14" s="32">
        <v>27.350000000000005</v>
      </c>
      <c r="G14" s="32">
        <v>26.512903225806443</v>
      </c>
      <c r="H14" s="32">
        <v>26.686666666666667</v>
      </c>
      <c r="I14" s="32">
        <v>25.667741935483871</v>
      </c>
      <c r="J14" s="32">
        <v>25.6</v>
      </c>
      <c r="K14" s="32">
        <v>25.960000000000004</v>
      </c>
      <c r="L14" s="32">
        <v>25.687096774193556</v>
      </c>
      <c r="M14" s="32">
        <v>25.47666666666667</v>
      </c>
      <c r="N14" s="32">
        <v>25.319354838709685</v>
      </c>
      <c r="O14" s="8" t="s">
        <v>2</v>
      </c>
    </row>
    <row r="15" spans="1:37" s="1" customFormat="1" ht="22.9" customHeight="1" x14ac:dyDescent="0.25">
      <c r="A15" s="17" t="s">
        <v>4</v>
      </c>
      <c r="B15" s="18">
        <f>AVERAGE(C15:N15)</f>
        <v>25.290938940092165</v>
      </c>
      <c r="C15" s="32">
        <v>24.716129032258063</v>
      </c>
      <c r="D15" s="32">
        <v>24.796428571428571</v>
      </c>
      <c r="E15" s="32">
        <v>25.27741935483871</v>
      </c>
      <c r="F15" s="32">
        <v>26.036666666666669</v>
      </c>
      <c r="G15" s="32">
        <v>26.058064516129026</v>
      </c>
      <c r="H15" s="32">
        <v>26.046666666666663</v>
      </c>
      <c r="I15" s="32">
        <v>25.164516129032258</v>
      </c>
      <c r="J15" s="32">
        <v>25.012903225806447</v>
      </c>
      <c r="K15" s="32">
        <v>25.346666666666668</v>
      </c>
      <c r="L15" s="32">
        <v>24.987096774193553</v>
      </c>
      <c r="M15" s="32">
        <v>24.810000000000002</v>
      </c>
      <c r="N15" s="32">
        <v>25.238709677419354</v>
      </c>
      <c r="O15" s="8" t="s">
        <v>5</v>
      </c>
    </row>
    <row r="16" spans="1:37" s="1" customFormat="1" ht="22.9" customHeight="1" x14ac:dyDescent="0.2">
      <c r="A16" s="17" t="s">
        <v>6</v>
      </c>
      <c r="B16" s="18">
        <f>AVERAGE(C16:N16)</f>
        <v>26.137482078853044</v>
      </c>
      <c r="C16" s="32">
        <v>26.277419354838706</v>
      </c>
      <c r="D16" s="32">
        <v>26.599999999999998</v>
      </c>
      <c r="E16" s="32">
        <v>26.525806451612901</v>
      </c>
      <c r="F16" s="32">
        <v>27.446666666666669</v>
      </c>
      <c r="G16" s="32">
        <v>27.019354838709678</v>
      </c>
      <c r="H16" s="32">
        <v>26.826666666666664</v>
      </c>
      <c r="I16" s="32">
        <v>25.687096774193545</v>
      </c>
      <c r="J16" s="32">
        <v>25.306451612903228</v>
      </c>
      <c r="K16" s="32">
        <v>25.493333333333339</v>
      </c>
      <c r="L16" s="32">
        <v>25.458064516129035</v>
      </c>
      <c r="M16" s="32">
        <v>25.676666666666669</v>
      </c>
      <c r="N16" s="32">
        <v>25.332258064516129</v>
      </c>
      <c r="O16" s="8" t="s">
        <v>39</v>
      </c>
      <c r="AJ16" s="20" t="s">
        <v>44</v>
      </c>
      <c r="AK16" s="20" t="s">
        <v>45</v>
      </c>
    </row>
    <row r="17" spans="1:37" s="1" customFormat="1" ht="22.9" customHeight="1" x14ac:dyDescent="0.25">
      <c r="A17" s="17" t="s">
        <v>7</v>
      </c>
      <c r="B17" s="18">
        <f>AVERAGE(C17:N17)</f>
        <v>25.511975806451613</v>
      </c>
      <c r="C17" s="32">
        <v>25.890322580645165</v>
      </c>
      <c r="D17" s="32">
        <v>25.875</v>
      </c>
      <c r="E17" s="32">
        <v>25.638709677419353</v>
      </c>
      <c r="F17" s="32">
        <v>26.119999999999997</v>
      </c>
      <c r="G17" s="32">
        <v>26.909677419354839</v>
      </c>
      <c r="H17" s="32">
        <v>25.380000000000003</v>
      </c>
      <c r="I17" s="32">
        <v>25.067741935483873</v>
      </c>
      <c r="J17" s="32">
        <v>24.867741935483874</v>
      </c>
      <c r="K17" s="32">
        <v>24.923333333333328</v>
      </c>
      <c r="L17" s="32">
        <v>25.045161290322582</v>
      </c>
      <c r="M17" s="32">
        <v>25.206666666666671</v>
      </c>
      <c r="N17" s="32">
        <v>25.219354838709677</v>
      </c>
      <c r="O17" s="8" t="s">
        <v>40</v>
      </c>
      <c r="AH17" s="3" t="s">
        <v>1</v>
      </c>
      <c r="AJ17" s="18">
        <f>B8</f>
        <v>31.274710061443937</v>
      </c>
      <c r="AK17" s="18">
        <f>B14</f>
        <v>26.209864951356892</v>
      </c>
    </row>
    <row r="18" spans="1:37" s="1" customFormat="1" ht="22.9" customHeight="1" x14ac:dyDescent="0.25">
      <c r="A18" s="21" t="s">
        <v>3</v>
      </c>
      <c r="B18" s="22">
        <f>AVERAGE(C18:N18)</f>
        <v>26.097615207373266</v>
      </c>
      <c r="C18" s="33">
        <v>25.9</v>
      </c>
      <c r="D18" s="34">
        <v>26.314285714285717</v>
      </c>
      <c r="E18" s="33">
        <v>26.07741935483871</v>
      </c>
      <c r="F18" s="33">
        <v>25.833333333333332</v>
      </c>
      <c r="G18" s="33">
        <v>26.270967741935479</v>
      </c>
      <c r="H18" s="33">
        <v>25.209999999999994</v>
      </c>
      <c r="I18" s="33">
        <v>25.2</v>
      </c>
      <c r="J18" s="33">
        <v>24.851612903225806</v>
      </c>
      <c r="K18" s="33">
        <v>25.173333333333328</v>
      </c>
      <c r="L18" s="33">
        <v>24.493548387096777</v>
      </c>
      <c r="M18" s="33">
        <v>32.653333333333329</v>
      </c>
      <c r="N18" s="33">
        <v>25.193548387096765</v>
      </c>
      <c r="O18" s="35" t="s">
        <v>41</v>
      </c>
      <c r="AH18" s="3" t="s">
        <v>4</v>
      </c>
      <c r="AJ18" s="18">
        <f>B9</f>
        <v>31.430786610343063</v>
      </c>
      <c r="AK18" s="18">
        <f>B15</f>
        <v>25.290938940092165</v>
      </c>
    </row>
    <row r="19" spans="1:37" s="1" customFormat="1" ht="14.25" customHeight="1" x14ac:dyDescent="0.25">
      <c r="A19" s="2" t="s">
        <v>20</v>
      </c>
      <c r="B19" s="23"/>
      <c r="O19" s="36" t="s">
        <v>21</v>
      </c>
      <c r="AH19" s="3" t="s">
        <v>6</v>
      </c>
      <c r="AJ19" s="18">
        <f>B10</f>
        <v>31.449795186891961</v>
      </c>
      <c r="AK19" s="18">
        <f>B16</f>
        <v>26.137482078853044</v>
      </c>
    </row>
    <row r="20" spans="1:37" s="1" customFormat="1" ht="15.75" x14ac:dyDescent="0.25">
      <c r="A20" s="2"/>
      <c r="B20" s="23"/>
      <c r="O20" s="24"/>
      <c r="AH20" s="3" t="s">
        <v>7</v>
      </c>
      <c r="AJ20" s="18">
        <f>B11</f>
        <v>31.149317076292885</v>
      </c>
      <c r="AK20" s="18">
        <f>B17</f>
        <v>25.511975806451613</v>
      </c>
    </row>
    <row r="21" spans="1:37" x14ac:dyDescent="0.25">
      <c r="AH21" s="3" t="s">
        <v>3</v>
      </c>
      <c r="AI21" s="1"/>
      <c r="AJ21" s="18">
        <f>B12</f>
        <v>31.342859062980029</v>
      </c>
      <c r="AK21" s="18">
        <f>B18</f>
        <v>26.097615207373266</v>
      </c>
    </row>
    <row r="22" spans="1:37" x14ac:dyDescent="0.25">
      <c r="AH22" s="26"/>
      <c r="AI22" s="1"/>
      <c r="AJ22" s="1"/>
      <c r="AK22" s="1"/>
    </row>
    <row r="24" spans="1:37" s="1" customFormat="1" ht="15.75" x14ac:dyDescent="0.25">
      <c r="A24" s="2"/>
      <c r="B24" s="23"/>
      <c r="O24" s="24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3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3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3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Q30" s="4"/>
    </row>
    <row r="31" spans="1:37" s="1" customFormat="1" ht="12.75" x14ac:dyDescent="0.25">
      <c r="A31" s="3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3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6"/>
    </row>
    <row r="33" spans="1:14" s="1" customFormat="1" ht="12.75" x14ac:dyDescent="0.25">
      <c r="A33" s="3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3"/>
    </row>
    <row r="35" spans="1:14" s="1" customFormat="1" ht="12.75" x14ac:dyDescent="0.25">
      <c r="A35" s="3"/>
      <c r="B35" s="28"/>
    </row>
    <row r="36" spans="1:14" s="1" customFormat="1" ht="12.75" x14ac:dyDescent="0.25">
      <c r="A36" s="3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3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3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3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3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  <row r="53" spans="1:15" ht="18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</row>
    <row r="54" spans="1:15" ht="15.75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</row>
    <row r="55" spans="1:15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1:15" ht="15.75" x14ac:dyDescent="0.25">
      <c r="A56" s="44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x14ac:dyDescent="0.25">
      <c r="A57" s="44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8"/>
    </row>
    <row r="58" spans="1:15" ht="15.75" x14ac:dyDescent="0.25">
      <c r="A58" s="42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38"/>
    </row>
    <row r="59" spans="1:15" ht="15.75" x14ac:dyDescent="0.25">
      <c r="A59" s="15"/>
      <c r="B59" s="16"/>
      <c r="C59" s="16"/>
      <c r="D59" s="16"/>
      <c r="E59" s="16"/>
      <c r="F59" s="16"/>
      <c r="G59" s="16"/>
      <c r="H59" s="16"/>
      <c r="I59" s="16"/>
      <c r="J59" s="39"/>
      <c r="K59" s="8"/>
      <c r="L59" s="8"/>
      <c r="M59" s="8"/>
      <c r="N59" s="8"/>
      <c r="O59" s="8"/>
    </row>
    <row r="60" spans="1:15" ht="15.75" x14ac:dyDescent="0.25">
      <c r="A60" s="17"/>
      <c r="B60" s="18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8"/>
    </row>
    <row r="61" spans="1:15" ht="15.75" x14ac:dyDescent="0.25">
      <c r="A61" s="17"/>
      <c r="B61" s="18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8"/>
    </row>
    <row r="62" spans="1:15" ht="15.75" x14ac:dyDescent="0.25">
      <c r="A62" s="17"/>
      <c r="B62" s="18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8"/>
    </row>
    <row r="63" spans="1:15" ht="15.75" x14ac:dyDescent="0.25">
      <c r="A63" s="17"/>
      <c r="B63" s="18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8"/>
    </row>
    <row r="64" spans="1:15" ht="15.75" x14ac:dyDescent="0.25">
      <c r="A64" s="17"/>
      <c r="B64" s="18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8"/>
    </row>
    <row r="65" spans="1:15" ht="15.75" x14ac:dyDescent="0.25">
      <c r="A65" s="15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8"/>
    </row>
    <row r="66" spans="1:15" ht="15.75" x14ac:dyDescent="0.25">
      <c r="A66" s="17"/>
      <c r="B66" s="18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8"/>
    </row>
    <row r="67" spans="1:15" ht="15.75" x14ac:dyDescent="0.25">
      <c r="A67" s="17"/>
      <c r="B67" s="18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8"/>
    </row>
  </sheetData>
  <protectedRanges>
    <protectedRange sqref="C13:N13 M7:N7 C7:I7 K7 C65:N65 M59:N59 C59:I59 K59" name="Range1_1"/>
    <protectedRange sqref="C8:N12 C60:N64" name="Range1_1_1_1_1"/>
    <protectedRange sqref="C14:N17 C66:N67" name="Range1_1_2_1_1"/>
  </protectedRanges>
  <mergeCells count="6">
    <mergeCell ref="A56:A57"/>
    <mergeCell ref="A1:O1"/>
    <mergeCell ref="A2:O2"/>
    <mergeCell ref="A4:A5"/>
    <mergeCell ref="A53:O53"/>
    <mergeCell ref="A54:O5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 C60:N67" xr:uid="{00000000-0002-0000-0100-000000000000}">
      <formula1>0</formula1>
      <formula2>1000</formula2>
    </dataValidation>
  </dataValidations>
  <pageMargins left="0.7" right="0.7" top="0.75" bottom="0.75" header="0.3" footer="0.3"/>
  <pageSetup scale="55" orientation="portrait" horizontalDpi="4294967295" verticalDpi="4294967295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0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40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3">
        <v>2732</v>
      </c>
      <c r="K49" s="41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1.2</vt:lpstr>
      <vt:lpstr>Sheet1</vt:lpstr>
      <vt:lpstr>'1.2'!Print_Area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2023-03-22T09:46:04Z</cp:lastPrinted>
  <dcterms:created xsi:type="dcterms:W3CDTF">2019-04-10T06:39:10Z</dcterms:created>
  <dcterms:modified xsi:type="dcterms:W3CDTF">2023-03-22T09:46:11Z</dcterms:modified>
</cp:coreProperties>
</file>