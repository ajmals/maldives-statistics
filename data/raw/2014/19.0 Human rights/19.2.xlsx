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56" windowWidth="15252" windowHeight="8688" tabRatio="633"/>
  </bookViews>
  <sheets>
    <sheet name="19.2" sheetId="2" r:id="rId1"/>
  </sheets>
  <calcPr calcId="124519"/>
</workbook>
</file>

<file path=xl/calcChain.xml><?xml version="1.0" encoding="utf-8"?>
<calcChain xmlns="http://schemas.openxmlformats.org/spreadsheetml/2006/main">
  <c r="H7" i="2"/>
  <c r="G5"/>
  <c r="F5"/>
  <c r="E5"/>
  <c r="D5"/>
  <c r="C5"/>
  <c r="B5"/>
</calcChain>
</file>

<file path=xl/sharedStrings.xml><?xml version="1.0" encoding="utf-8"?>
<sst xmlns="http://schemas.openxmlformats.org/spreadsheetml/2006/main" count="17" uniqueCount="17">
  <si>
    <t>2008*</t>
  </si>
  <si>
    <t>Source: Human Rights Commission of the Maldives</t>
  </si>
  <si>
    <t>ތާވަލު 19.2: އިންސާނީ ޙައްޤުތަކާ ގުޅުންހުރި މައްސަލަތައް ހުށަހެޅުނު އަދި ބެލުނު މިންވަރު، 2007 - 2013</t>
  </si>
  <si>
    <t xml:space="preserve">TABLE 19.2:  NUMBER OF HUMAN RIGHTS RELATED CASES REPORTED AND COMPLETED,  2007 - 2013
</t>
  </si>
  <si>
    <t>Details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</si>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</sst>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rgb="FFFF0000"/>
      <name val="Faruma"/>
    </font>
    <font>
      <sz val="9"/>
      <color theme="1"/>
      <name val="Calibri"/>
      <family val="2"/>
      <scheme val="minor"/>
    </font>
    <font>
      <sz val="9"/>
      <name val="Faruma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0" xfId="0" applyFont="1" applyFill="1" applyBorder="1" applyAlignment="1">
      <alignment vertical="center"/>
    </xf>
    <xf numFmtId="0" fontId="0" fillId="2" borderId="0" xfId="0" applyFont="1" applyFill="1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0" fillId="2" borderId="0" xfId="0" applyFill="1" applyBorder="1" applyAlignment="1">
      <alignment vertical="center"/>
    </xf>
    <xf numFmtId="0" fontId="8" fillId="2" borderId="0" xfId="0" applyFont="1" applyFill="1" applyBorder="1" applyAlignment="1">
      <alignment vertical="center" wrapText="1" readingOrder="2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right" vertical="center" wrapText="1" indent="1" readingOrder="2"/>
    </xf>
    <xf numFmtId="0" fontId="4" fillId="2" borderId="0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wrapText="1" indent="1" readingOrder="2"/>
    </xf>
    <xf numFmtId="0" fontId="9" fillId="2" borderId="0" xfId="0" applyFont="1" applyFill="1" applyBorder="1" applyAlignment="1">
      <alignment horizontal="left" vertical="center" indent="1"/>
    </xf>
    <xf numFmtId="0" fontId="10" fillId="2" borderId="0" xfId="0" applyFont="1" applyFill="1" applyBorder="1" applyAlignment="1">
      <alignment horizontal="right" vertical="center" indent="1" readingOrder="2"/>
    </xf>
    <xf numFmtId="0" fontId="4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3"/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 19.2: Number of Human Rights related cases reported and completed,</a:t>
            </a:r>
            <a:r>
              <a:rPr lang="en-US" sz="1100" baseline="0">
                <a:latin typeface="+mn-lt"/>
              </a:rPr>
              <a:t> 2010 - 2013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3701547297955383"/>
          <c:y val="4.1666666666666664E-2"/>
        </c:manualLayout>
      </c:layout>
    </c:title>
    <c:plotArea>
      <c:layout>
        <c:manualLayout>
          <c:layoutTarget val="inner"/>
          <c:xMode val="edge"/>
          <c:yMode val="edge"/>
          <c:x val="5.4316020716388941E-2"/>
          <c:y val="0.15524314668999814"/>
          <c:w val="0.92459719907274096"/>
          <c:h val="0.6166063598986542"/>
        </c:manualLayout>
      </c:layout>
      <c:barChart>
        <c:barDir val="col"/>
        <c:grouping val="clustered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Lbls>
            <c:dLblPos val="inEnd"/>
            <c:showVal val="1"/>
          </c:dLbls>
          <c:cat>
            <c:numRef>
              <c:f>'19.2'!$E$4:$H$4</c:f>
              <c:numCache>
                <c:formatCode>General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'19.2'!$E$5:$H$5</c:f>
              <c:numCache>
                <c:formatCode>General</c:formatCode>
                <c:ptCount val="4"/>
                <c:pt idx="0">
                  <c:v>712</c:v>
                </c:pt>
                <c:pt idx="1">
                  <c:v>625</c:v>
                </c:pt>
                <c:pt idx="2">
                  <c:v>732</c:v>
                </c:pt>
                <c:pt idx="3">
                  <c:v>719</c:v>
                </c:pt>
              </c:numCache>
            </c:numRef>
          </c:val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Lbls>
            <c:dLblPos val="inEnd"/>
            <c:showVal val="1"/>
          </c:dLbls>
          <c:cat>
            <c:numRef>
              <c:f>'19.2'!$E$4:$H$4</c:f>
              <c:numCache>
                <c:formatCode>General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'19.2'!$E$6:$H$6</c:f>
              <c:numCache>
                <c:formatCode>General</c:formatCode>
                <c:ptCount val="4"/>
                <c:pt idx="0">
                  <c:v>120</c:v>
                </c:pt>
                <c:pt idx="1">
                  <c:v>252</c:v>
                </c:pt>
                <c:pt idx="2">
                  <c:v>221</c:v>
                </c:pt>
                <c:pt idx="3">
                  <c:v>352</c:v>
                </c:pt>
              </c:numCache>
            </c:numRef>
          </c:val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dLbls>
            <c:dLblPos val="inEnd"/>
            <c:showVal val="1"/>
          </c:dLbls>
          <c:cat>
            <c:numRef>
              <c:f>'19.2'!$E$4:$H$4</c:f>
              <c:numCache>
                <c:formatCode>General</c:formatCod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numCache>
            </c:numRef>
          </c:cat>
          <c:val>
            <c:numRef>
              <c:f>'19.2'!$E$7:$H$7</c:f>
              <c:numCache>
                <c:formatCode>General</c:formatCode>
                <c:ptCount val="4"/>
                <c:pt idx="0">
                  <c:v>592</c:v>
                </c:pt>
                <c:pt idx="1">
                  <c:v>373</c:v>
                </c:pt>
                <c:pt idx="2">
                  <c:v>511</c:v>
                </c:pt>
                <c:pt idx="3">
                  <c:v>367</c:v>
                </c:pt>
              </c:numCache>
            </c:numRef>
          </c:val>
        </c:ser>
        <c:gapWidth val="69"/>
        <c:overlap val="-2"/>
        <c:axId val="55364224"/>
        <c:axId val="55452416"/>
      </c:barChart>
      <c:catAx>
        <c:axId val="55364224"/>
        <c:scaling>
          <c:orientation val="minMax"/>
        </c:scaling>
        <c:axPos val="b"/>
        <c:numFmt formatCode="General" sourceLinked="1"/>
        <c:majorTickMark val="none"/>
        <c:tickLblPos val="nextTo"/>
        <c:crossAx val="55452416"/>
        <c:crosses val="autoZero"/>
        <c:auto val="1"/>
        <c:lblAlgn val="ctr"/>
        <c:lblOffset val="100"/>
      </c:catAx>
      <c:valAx>
        <c:axId val="55452416"/>
        <c:scaling>
          <c:orientation val="minMax"/>
        </c:scaling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crossAx val="55364224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7.8331703864119792E-2"/>
          <c:y val="0.88387540099154271"/>
          <c:w val="0.82643895118695709"/>
          <c:h val="8.710459241727754E-2"/>
        </c:manualLayout>
      </c:layout>
    </c:legend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962024</xdr:colOff>
      <xdr:row>11</xdr:row>
      <xdr:rowOff>28575</xdr:rowOff>
    </xdr:from>
    <xdr:to>
      <xdr:col>8</xdr:col>
      <xdr:colOff>868680</xdr:colOff>
      <xdr:row>25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D11" sqref="D11"/>
    </sheetView>
  </sheetViews>
  <sheetFormatPr defaultColWidth="9.109375" defaultRowHeight="14.4"/>
  <cols>
    <col min="1" max="1" width="35.44140625" style="4" customWidth="1"/>
    <col min="2" max="8" width="10.44140625" style="4" customWidth="1"/>
    <col min="9" max="9" width="50.6640625" style="4" customWidth="1"/>
    <col min="10" max="10" width="5" style="4" customWidth="1"/>
    <col min="11" max="16384" width="9.109375" style="4"/>
  </cols>
  <sheetData>
    <row r="1" spans="1:10" s="2" customFormat="1" ht="21">
      <c r="A1" s="32" t="s">
        <v>2</v>
      </c>
      <c r="B1" s="32"/>
      <c r="C1" s="32"/>
      <c r="D1" s="32"/>
      <c r="E1" s="32"/>
      <c r="F1" s="32"/>
      <c r="G1" s="32"/>
      <c r="H1" s="32"/>
      <c r="I1" s="32"/>
    </row>
    <row r="2" spans="1:10" s="3" customFormat="1" ht="25.2" customHeight="1">
      <c r="A2" s="33" t="s">
        <v>3</v>
      </c>
      <c r="B2" s="33"/>
      <c r="C2" s="33"/>
      <c r="D2" s="33"/>
      <c r="E2" s="33"/>
      <c r="F2" s="33"/>
      <c r="G2" s="33"/>
      <c r="H2" s="33"/>
      <c r="I2" s="33"/>
    </row>
    <row r="3" spans="1:10" hidden="1">
      <c r="I3" s="2"/>
    </row>
    <row r="4" spans="1:10" s="8" customFormat="1" ht="17.25" customHeight="1">
      <c r="A4" s="5" t="s">
        <v>4</v>
      </c>
      <c r="B4" s="6">
        <v>2007</v>
      </c>
      <c r="C4" s="6" t="s">
        <v>0</v>
      </c>
      <c r="D4" s="6">
        <v>2009</v>
      </c>
      <c r="E4" s="6">
        <v>2010</v>
      </c>
      <c r="F4" s="6">
        <v>2011</v>
      </c>
      <c r="G4" s="6">
        <v>2012</v>
      </c>
      <c r="H4" s="6">
        <v>2013</v>
      </c>
      <c r="I4" s="7" t="s">
        <v>5</v>
      </c>
    </row>
    <row r="5" spans="1:10" s="12" customFormat="1" ht="26.25" customHeight="1">
      <c r="A5" s="9" t="s">
        <v>6</v>
      </c>
      <c r="B5" s="10">
        <f>SUM(B6:B7)</f>
        <v>531</v>
      </c>
      <c r="C5" s="10">
        <f t="shared" ref="C5:E5" si="0">SUM(C6:C7)</f>
        <v>705</v>
      </c>
      <c r="D5" s="10">
        <f t="shared" si="0"/>
        <v>546</v>
      </c>
      <c r="E5" s="10">
        <f t="shared" si="0"/>
        <v>712</v>
      </c>
      <c r="F5" s="10">
        <f>SUM(F6:F7)</f>
        <v>625</v>
      </c>
      <c r="G5" s="10">
        <f t="shared" ref="G5" si="1">SUM(G6:G7)</f>
        <v>732</v>
      </c>
      <c r="H5" s="10">
        <v>719</v>
      </c>
      <c r="I5" s="11" t="s">
        <v>7</v>
      </c>
    </row>
    <row r="6" spans="1:10" s="16" customFormat="1" ht="26.25" customHeight="1">
      <c r="A6" s="13" t="s">
        <v>8</v>
      </c>
      <c r="B6" s="14">
        <v>293</v>
      </c>
      <c r="C6" s="14">
        <v>421</v>
      </c>
      <c r="D6" s="14">
        <v>376</v>
      </c>
      <c r="E6" s="14">
        <v>120</v>
      </c>
      <c r="F6" s="14">
        <v>252</v>
      </c>
      <c r="G6" s="14">
        <v>221</v>
      </c>
      <c r="H6" s="14">
        <v>352</v>
      </c>
      <c r="I6" s="15" t="s">
        <v>9</v>
      </c>
    </row>
    <row r="7" spans="1:10" s="20" customFormat="1" ht="26.25" customHeight="1">
      <c r="A7" s="17" t="s">
        <v>10</v>
      </c>
      <c r="B7" s="18">
        <v>238</v>
      </c>
      <c r="C7" s="18">
        <v>284</v>
      </c>
      <c r="D7" s="18">
        <v>170</v>
      </c>
      <c r="E7" s="18">
        <v>592</v>
      </c>
      <c r="F7" s="18">
        <v>373</v>
      </c>
      <c r="G7" s="18">
        <v>511</v>
      </c>
      <c r="H7" s="18">
        <f>H5-H6</f>
        <v>367</v>
      </c>
      <c r="I7" s="19" t="s">
        <v>11</v>
      </c>
    </row>
    <row r="8" spans="1:10" s="22" customFormat="1" ht="18.75" customHeight="1">
      <c r="A8" s="1" t="s">
        <v>12</v>
      </c>
      <c r="B8" s="21"/>
      <c r="C8" s="21"/>
      <c r="I8" s="23" t="s">
        <v>13</v>
      </c>
    </row>
    <row r="9" spans="1:10" s="26" customFormat="1" ht="16.5" customHeight="1">
      <c r="A9" s="24" t="s">
        <v>14</v>
      </c>
      <c r="B9" s="25"/>
      <c r="C9" s="25"/>
      <c r="I9" s="27" t="s">
        <v>15</v>
      </c>
    </row>
    <row r="10" spans="1:10" s="29" customFormat="1" ht="16.5" customHeight="1">
      <c r="A10" s="28" t="s">
        <v>1</v>
      </c>
      <c r="G10" s="30"/>
      <c r="H10" s="30"/>
      <c r="I10" s="31" t="s">
        <v>16</v>
      </c>
      <c r="J10" s="30"/>
    </row>
  </sheetData>
  <mergeCells count="2">
    <mergeCell ref="A1:I1"/>
    <mergeCell ref="A2:I2"/>
  </mergeCells>
  <pageMargins left="0.19" right="0.28000000000000003" top="0.75" bottom="0.75" header="0.3" footer="0.3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2015-01-22T08:49:47Z</cp:lastPrinted>
  <dcterms:created xsi:type="dcterms:W3CDTF">2014-04-07T03:41:52Z</dcterms:created>
  <dcterms:modified xsi:type="dcterms:W3CDTF">2015-01-22T09:07:58Z</dcterms:modified>
</cp:coreProperties>
</file>