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8" windowWidth="15480" windowHeight="11052" tabRatio="710"/>
  </bookViews>
  <sheets>
    <sheet name="20.2" sheetId="5" r:id="rId1"/>
  </sheets>
  <definedNames>
    <definedName name="_xlnm.Print_Area" localSheetId="0">'20.2'!$A$1:$E$29</definedName>
  </definedNames>
  <calcPr calcId="124519"/>
</workbook>
</file>

<file path=xl/calcChain.xml><?xml version="1.0" encoding="utf-8"?>
<calcChain xmlns="http://schemas.openxmlformats.org/spreadsheetml/2006/main">
  <c r="K19" i="5"/>
  <c r="K20" l="1"/>
  <c r="J20"/>
  <c r="J18" l="1"/>
  <c r="K17"/>
  <c r="K16"/>
  <c r="J16" l="1"/>
  <c r="J19"/>
  <c r="J17"/>
</calcChain>
</file>

<file path=xl/sharedStrings.xml><?xml version="1.0" encoding="utf-8"?>
<sst xmlns="http://schemas.openxmlformats.org/spreadsheetml/2006/main" count="25" uniqueCount="23">
  <si>
    <t>Presidential election</t>
  </si>
  <si>
    <t>Parliamentary election</t>
  </si>
  <si>
    <t xml:space="preserve">Local Council elections </t>
  </si>
  <si>
    <t>Election</t>
  </si>
  <si>
    <t>Expenditure (MVR)</t>
  </si>
  <si>
    <t>Source: Elections Commission</t>
  </si>
  <si>
    <t xml:space="preserve">މަޢުލޫމާތު ދެއްވި ފަރާތް: އިލެކްޝަންސް ކޮމިޝަން </t>
  </si>
  <si>
    <t>Year</t>
  </si>
  <si>
    <t>އިންތިހާބުތައް</t>
  </si>
  <si>
    <t>ލޯކަލް ކައުންސިލް އިންތިހާބު</t>
  </si>
  <si>
    <t>ރައްޔިތުންގެ މަޖިލީހުގެ އިންތިހާބު</t>
  </si>
  <si>
    <t>ރިޔާސީ އިންތިހާބު</t>
  </si>
  <si>
    <t>އަހަރު</t>
  </si>
  <si>
    <t>ހިނގި ޚަރަދު (ރުފިޔާ)</t>
  </si>
  <si>
    <t>million Rf</t>
  </si>
  <si>
    <t>Rf</t>
  </si>
  <si>
    <t>Presidential election, 2008</t>
  </si>
  <si>
    <t>Parliamentary election,2009</t>
  </si>
  <si>
    <t>No election in 2010</t>
  </si>
  <si>
    <t>Local Council elections ,2011</t>
  </si>
  <si>
    <t xml:space="preserve">TABLE 20.2: EXPENDITURE ON ELECTIONS, 2008 - 2013 </t>
  </si>
  <si>
    <t>ތާވަލު 20.2: އިންތިޚާބުތަކަށް ހިނގި ޚަރަދު، 2008 - 2013</t>
  </si>
  <si>
    <t>Presidential election, 2013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</si>
</sst>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color theme="1"/>
      <name val="Faruma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0" fillId="2" borderId="0" xfId="0" applyFill="1" applyBorder="1"/>
    <xf numFmtId="0" fontId="5" fillId="2" borderId="0" xfId="0" applyFont="1" applyFill="1"/>
    <xf numFmtId="0" fontId="7" fillId="2" borderId="0" xfId="0" applyFont="1" applyFill="1"/>
    <xf numFmtId="0" fontId="7" fillId="2" borderId="0" xfId="0" applyFont="1" applyFill="1" applyBorder="1"/>
    <xf numFmtId="0" fontId="7" fillId="2" borderId="1" xfId="0" applyFont="1" applyFill="1" applyBorder="1"/>
    <xf numFmtId="0" fontId="5" fillId="2" borderId="1" xfId="0" applyFont="1" applyFill="1" applyBorder="1"/>
    <xf numFmtId="0" fontId="4" fillId="2" borderId="0" xfId="0" applyFont="1" applyFill="1" applyAlignment="1">
      <alignment horizontal="left" vertical="top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/>
    <xf numFmtId="0" fontId="8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43" fontId="7" fillId="2" borderId="0" xfId="1" applyFont="1" applyFill="1" applyAlignment="1">
      <alignment horizontal="right" vertical="center"/>
    </xf>
    <xf numFmtId="0" fontId="5" fillId="2" borderId="0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43" fontId="0" fillId="2" borderId="0" xfId="0" applyNumberFormat="1" applyFill="1"/>
    <xf numFmtId="43" fontId="7" fillId="2" borderId="1" xfId="1" applyFont="1" applyFill="1" applyBorder="1" applyAlignment="1">
      <alignment horizontal="right" vertical="center"/>
    </xf>
    <xf numFmtId="164" fontId="0" fillId="2" borderId="0" xfId="0" applyNumberFormat="1" applyFill="1"/>
    <xf numFmtId="165" fontId="0" fillId="2" borderId="0" xfId="0" applyNumberFormat="1" applyFill="1"/>
    <xf numFmtId="0" fontId="0" fillId="2" borderId="1" xfId="0" applyFill="1" applyBorder="1"/>
    <xf numFmtId="43" fontId="7" fillId="2" borderId="0" xfId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</cellXfs>
  <cellStyles count="4">
    <cellStyle name="Comma" xfId="1" builtinId="3"/>
    <cellStyle name="Comma 2" xfId="2"/>
    <cellStyle name="Comma 3" xf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100"/>
              <a:t>Figure 20.2: Expenditure on elections during 2008 - 2013</a:t>
            </a:r>
          </a:p>
        </c:rich>
      </c:tx>
      <c:layout>
        <c:manualLayout>
          <c:xMode val="edge"/>
          <c:yMode val="edge"/>
          <c:x val="0.26963536965286788"/>
          <c:y val="5.0925925925925923E-2"/>
        </c:manualLayout>
      </c:layout>
    </c:title>
    <c:plotArea>
      <c:layout>
        <c:manualLayout>
          <c:layoutTarget val="inner"/>
          <c:xMode val="edge"/>
          <c:yMode val="edge"/>
          <c:x val="0.1815701673170059"/>
          <c:y val="0.15524314668999786"/>
          <c:w val="0.79256263392113957"/>
          <c:h val="0.63787802566346152"/>
        </c:manualLayout>
      </c:layout>
      <c:barChart>
        <c:barDir val="col"/>
        <c:grouping val="clustered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cat>
            <c:strRef>
              <c:f>'20.2'!$I$16:$I$20</c:f>
              <c:strCache>
                <c:ptCount val="5"/>
                <c:pt idx="0">
                  <c:v>Presidential election, 2008</c:v>
                </c:pt>
                <c:pt idx="1">
                  <c:v>Parliamentary election,2009</c:v>
                </c:pt>
                <c:pt idx="2">
                  <c:v>No election in 2010</c:v>
                </c:pt>
                <c:pt idx="3">
                  <c:v>Local Council elections ,2011</c:v>
                </c:pt>
                <c:pt idx="4">
                  <c:v>Presidential election, 2013</c:v>
                </c:pt>
              </c:strCache>
            </c:strRef>
          </c:cat>
          <c:val>
            <c:numRef>
              <c:f>'20.2'!$K$16:$K$20</c:f>
              <c:numCache>
                <c:formatCode>_(* #,##0_);_(* \(#,##0\);_(* "-"??_);_(@_)</c:formatCode>
                <c:ptCount val="5"/>
                <c:pt idx="0">
                  <c:v>61599484.75</c:v>
                </c:pt>
                <c:pt idx="1">
                  <c:v>22069176.829999998</c:v>
                </c:pt>
                <c:pt idx="3">
                  <c:v>45434174.030000001</c:v>
                </c:pt>
                <c:pt idx="4" formatCode="_(* #,##0.00_);_(* \(#,##0.00\);_(* &quot;-&quot;??_);_(@_)">
                  <c:v>76487272</c:v>
                </c:pt>
              </c:numCache>
            </c:numRef>
          </c:val>
        </c:ser>
        <c:axId val="54394240"/>
        <c:axId val="55170176"/>
      </c:barChart>
      <c:catAx>
        <c:axId val="54394240"/>
        <c:scaling>
          <c:orientation val="minMax"/>
        </c:scaling>
        <c:axPos val="b"/>
        <c:tickLblPos val="nextTo"/>
        <c:crossAx val="55170176"/>
        <c:crosses val="autoZero"/>
        <c:auto val="1"/>
        <c:lblAlgn val="ctr"/>
        <c:lblOffset val="100"/>
      </c:catAx>
      <c:valAx>
        <c:axId val="55170176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MVR</a:t>
                </a:r>
              </a:p>
            </c:rich>
          </c:tx>
          <c:layout>
            <c:manualLayout>
              <c:xMode val="edge"/>
              <c:yMode val="edge"/>
              <c:x val="1.0390380177681872E-2"/>
              <c:y val="0.34262961695005562"/>
            </c:manualLayout>
          </c:layout>
        </c:title>
        <c:numFmt formatCode="#,##0" sourceLinked="0"/>
        <c:tickLblPos val="nextTo"/>
        <c:crossAx val="54394240"/>
        <c:crosses val="autoZero"/>
        <c:crossBetween val="between"/>
      </c:valAx>
      <c:spPr>
        <a:ln>
          <a:solidFill>
            <a:sysClr val="window" lastClr="FFFFFF">
              <a:lumMod val="50000"/>
            </a:sysClr>
          </a:solidFill>
        </a:ln>
      </c:spPr>
    </c:plotArea>
    <c:plotVisOnly val="1"/>
    <c:dispBlanksAs val="gap"/>
  </c:chart>
  <c:spPr>
    <a:solidFill>
      <a:schemeClr val="accent5">
        <a:lumMod val="40000"/>
        <a:lumOff val="60000"/>
      </a:schemeClr>
    </a:solidFill>
  </c:sp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10</xdr:row>
      <xdr:rowOff>142875</xdr:rowOff>
    </xdr:from>
    <xdr:to>
      <xdr:col>4</xdr:col>
      <xdr:colOff>0</xdr:colOff>
      <xdr:row>25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K20"/>
  <sheetViews>
    <sheetView tabSelected="1" workbookViewId="0">
      <selection activeCell="F9" sqref="F9"/>
    </sheetView>
  </sheetViews>
  <sheetFormatPr defaultColWidth="9.109375" defaultRowHeight="14.4"/>
  <cols>
    <col min="1" max="1" width="24.6640625" style="1" customWidth="1"/>
    <col min="2" max="2" width="13.33203125" style="1" customWidth="1"/>
    <col min="3" max="3" width="19.109375" style="1" customWidth="1"/>
    <col min="4" max="4" width="25.44140625" style="1" customWidth="1"/>
    <col min="5" max="5" width="3" style="1" customWidth="1"/>
    <col min="6" max="7" width="22.109375" style="1" customWidth="1"/>
    <col min="8" max="8" width="8.33203125" style="1" customWidth="1"/>
    <col min="9" max="9" width="26.5546875" style="1" bestFit="1" customWidth="1"/>
    <col min="10" max="10" width="9.109375" style="1"/>
    <col min="11" max="11" width="13.6640625" style="1" bestFit="1" customWidth="1"/>
    <col min="12" max="16384" width="9.109375" style="1"/>
  </cols>
  <sheetData>
    <row r="1" spans="1:11" ht="19.2">
      <c r="A1" s="23" t="s">
        <v>21</v>
      </c>
      <c r="B1" s="23"/>
      <c r="C1" s="23"/>
      <c r="D1" s="23"/>
    </row>
    <row r="2" spans="1:11">
      <c r="A2" s="28" t="s">
        <v>20</v>
      </c>
      <c r="B2" s="28"/>
      <c r="C2" s="28"/>
      <c r="D2" s="28"/>
    </row>
    <row r="4" spans="1:11">
      <c r="A4" s="24" t="s">
        <v>3</v>
      </c>
      <c r="B4" s="9" t="s">
        <v>7</v>
      </c>
      <c r="C4" s="10" t="s">
        <v>4</v>
      </c>
      <c r="D4" s="26" t="s">
        <v>8</v>
      </c>
    </row>
    <row r="5" spans="1:11" ht="21" customHeight="1">
      <c r="A5" s="25"/>
      <c r="B5" s="11" t="s">
        <v>12</v>
      </c>
      <c r="C5" s="11" t="s">
        <v>13</v>
      </c>
      <c r="D5" s="27"/>
    </row>
    <row r="6" spans="1:11" ht="24.75" customHeight="1">
      <c r="A6" s="4" t="s">
        <v>0</v>
      </c>
      <c r="B6" s="12">
        <v>2008</v>
      </c>
      <c r="C6" s="13">
        <v>61599484.75</v>
      </c>
      <c r="D6" s="14" t="s">
        <v>11</v>
      </c>
    </row>
    <row r="7" spans="1:11" ht="24.75" customHeight="1">
      <c r="A7" s="4" t="s">
        <v>1</v>
      </c>
      <c r="B7" s="12">
        <v>2009</v>
      </c>
      <c r="C7" s="13">
        <v>22069176.829999998</v>
      </c>
      <c r="D7" s="14" t="s">
        <v>10</v>
      </c>
    </row>
    <row r="8" spans="1:11" s="2" customFormat="1" ht="24.75" customHeight="1">
      <c r="A8" s="5" t="s">
        <v>2</v>
      </c>
      <c r="B8" s="16">
        <v>2011</v>
      </c>
      <c r="C8" s="22">
        <v>45434174.030000001</v>
      </c>
      <c r="D8" s="14" t="s">
        <v>9</v>
      </c>
    </row>
    <row r="9" spans="1:11" ht="24.75" customHeight="1">
      <c r="A9" s="6" t="s">
        <v>0</v>
      </c>
      <c r="B9" s="15">
        <v>2013</v>
      </c>
      <c r="C9" s="18">
        <v>76487272</v>
      </c>
      <c r="D9" s="7" t="s">
        <v>11</v>
      </c>
    </row>
    <row r="10" spans="1:11" ht="18.600000000000001">
      <c r="A10" s="8" t="s">
        <v>5</v>
      </c>
      <c r="D10" s="3" t="s">
        <v>6</v>
      </c>
    </row>
    <row r="15" spans="1:11">
      <c r="J15" s="1" t="s">
        <v>14</v>
      </c>
      <c r="K15" s="1" t="s">
        <v>15</v>
      </c>
    </row>
    <row r="16" spans="1:11">
      <c r="I16" s="1" t="s">
        <v>16</v>
      </c>
      <c r="J16" s="19">
        <f>K16/1000000</f>
        <v>61.599484750000002</v>
      </c>
      <c r="K16" s="20">
        <f>C6</f>
        <v>61599484.75</v>
      </c>
    </row>
    <row r="17" spans="9:11">
      <c r="I17" s="1" t="s">
        <v>17</v>
      </c>
      <c r="J17" s="19">
        <f t="shared" ref="J17:J18" si="0">K17/1000000</f>
        <v>22.06917683</v>
      </c>
      <c r="K17" s="20">
        <f>C7</f>
        <v>22069176.829999998</v>
      </c>
    </row>
    <row r="18" spans="9:11">
      <c r="I18" s="1" t="s">
        <v>18</v>
      </c>
      <c r="J18" s="19">
        <f t="shared" si="0"/>
        <v>0</v>
      </c>
    </row>
    <row r="19" spans="9:11">
      <c r="I19" s="21" t="s">
        <v>19</v>
      </c>
      <c r="J19" s="19">
        <f>K19/1000000</f>
        <v>45.434174030000001</v>
      </c>
      <c r="K19" s="20">
        <f>C8</f>
        <v>45434174.030000001</v>
      </c>
    </row>
    <row r="20" spans="9:11">
      <c r="I20" s="1" t="s">
        <v>22</v>
      </c>
      <c r="J20" s="19">
        <f>K20/1000000</f>
        <v>76.487272000000004</v>
      </c>
      <c r="K20" s="17">
        <f>C9</f>
        <v>76487272</v>
      </c>
    </row>
  </sheetData>
  <mergeCells count="4">
    <mergeCell ref="A4:A5"/>
    <mergeCell ref="D4:D5"/>
    <mergeCell ref="A1:D1"/>
    <mergeCell ref="A2:D2"/>
  </mergeCells>
  <pageMargins left="0.19" right="0.1" top="0.53" bottom="0.75" header="0.3" footer="0.3"/>
  <pageSetup paperSize="9" scale="11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20.2</vt:lpstr>
      <vt:lpstr>'20.2'!Print_Area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F.shifaza</cp:lastModifiedBy>
  <cp:lastPrinted>2015-01-22T06:40:37Z</cp:lastPrinted>
  <dcterms:created xsi:type="dcterms:W3CDTF">2013-02-14T16:19:10Z</dcterms:created>
  <dcterms:modified xsi:type="dcterms:W3CDTF">2015-01-22T06:57:25Z</dcterms:modified>
</cp:coreProperties>
</file>