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1 " sheetId="12" r:id="rId1"/>
  </sheets>
  <definedNames>
    <definedName name="_xlnm.Print_Area" localSheetId="0">'20.1 '!$A$1:$L$41</definedName>
  </definedNames>
  <calcPr calcId="124519"/>
</workbook>
</file>

<file path=xl/calcChain.xml><?xml version="1.0" encoding="utf-8"?>
<calcChain xmlns="http://schemas.openxmlformats.org/spreadsheetml/2006/main">
  <c r="U29" i="12"/>
  <c r="U28"/>
  <c r="T28"/>
  <c r="T29" l="1"/>
  <c r="S29"/>
  <c r="S28"/>
  <c r="I23"/>
  <c r="H23"/>
  <c r="G23"/>
  <c r="F23"/>
  <c r="E23"/>
  <c r="D23"/>
</calcChain>
</file>

<file path=xl/sharedStrings.xml><?xml version="1.0" encoding="utf-8"?>
<sst xmlns="http://schemas.openxmlformats.org/spreadsheetml/2006/main" count="69" uniqueCount="66">
  <si>
    <t>ދިވެހިރައްޔިތުންގެ ޑިމޮކްރެޓިކް ޕާޓީ</t>
  </si>
  <si>
    <t xml:space="preserve">ދިވެހިރައްޔިތުންގެ ޕާޓީ </t>
  </si>
  <si>
    <t xml:space="preserve">ޢަދާލަތު ޕާޓީ </t>
  </si>
  <si>
    <t xml:space="preserve">އިސްލާމިކް ޑިމޮކްރެޓިކް ޕާޓީ </t>
  </si>
  <si>
    <t xml:space="preserve">ދިވެހިރައްޔިތުންގެ ސޯޝަލް ޑިމޮކްރެޓިކް ޕާޓީ </t>
  </si>
  <si>
    <t xml:space="preserve">ޕީޕަލްސް ޕާޓީ </t>
  </si>
  <si>
    <t xml:space="preserve">މޯލްޑިވިއަން ނެޝަނަލް ކޮންގްރެސް </t>
  </si>
  <si>
    <t>ސޯޝަލް ލިބަރަލް ޕާޓީ</t>
  </si>
  <si>
    <t xml:space="preserve">ޖުމްހޫރީ ޕާޓީ </t>
  </si>
  <si>
    <t xml:space="preserve">ޕީޕަލްސް އެލަޔަންސް </t>
  </si>
  <si>
    <t>މޯލްޑިވިއަން ލޭބަރ ޕާޓީ</t>
  </si>
  <si>
    <t>ޤައުމީ އިއްތިޚާދު</t>
  </si>
  <si>
    <t>ދިވެހި ޤައުމީ ޕާޓީ</t>
  </si>
  <si>
    <t>މޯލްޑިވްސް ރިފޯމް މޫވްމަންޓް</t>
  </si>
  <si>
    <t>ޕްރޮގްރެސިވް ޕާޓީ އޮފް މޯލްޑިވްސް</t>
  </si>
  <si>
    <t xml:space="preserve">Political parties </t>
  </si>
  <si>
    <t>Year of registration</t>
  </si>
  <si>
    <t>Source: Elections Commission</t>
  </si>
  <si>
    <t xml:space="preserve">މަޢުލޫމާތު ދެއްވި ފަރާތް: އިލެކްޝަންސް ކޮމިޝަން </t>
  </si>
  <si>
    <t>Maldivian Democratic Party</t>
  </si>
  <si>
    <t xml:space="preserve"> ސިޔާސީ ޕާޓީތައް </t>
  </si>
  <si>
    <t>26th June 2005</t>
  </si>
  <si>
    <t>21st July 2005</t>
  </si>
  <si>
    <t>18th August 2005</t>
  </si>
  <si>
    <t>12th December 2005</t>
  </si>
  <si>
    <t>25th December 2006</t>
  </si>
  <si>
    <t>26th December 2007</t>
  </si>
  <si>
    <t>2nd December 2007</t>
  </si>
  <si>
    <t>3rd August 2008</t>
  </si>
  <si>
    <t>4th September 2008</t>
  </si>
  <si>
    <t>27th January 2009</t>
  </si>
  <si>
    <t>22nd March 2011</t>
  </si>
  <si>
    <t>27th October 2011</t>
  </si>
  <si>
    <t>Adhaalathu Party</t>
  </si>
  <si>
    <t>Dhivehi Qaumee Party</t>
  </si>
  <si>
    <t>Dhivehi Rayyithunge Party</t>
  </si>
  <si>
    <t>Gaumee Ihthihaadh</t>
  </si>
  <si>
    <t>Islamic Democratic Party</t>
  </si>
  <si>
    <t>Jumhooree Party</t>
  </si>
  <si>
    <t>Maldives Reform Movement</t>
  </si>
  <si>
    <t>Maldivian Labour Party</t>
  </si>
  <si>
    <t>Maldivian National Congress</t>
  </si>
  <si>
    <t>Maldivian Social Democratic Party</t>
  </si>
  <si>
    <t>Peoples Alliance</t>
  </si>
  <si>
    <t>Peoples Party</t>
  </si>
  <si>
    <t>Progressive Party Of Maldives</t>
  </si>
  <si>
    <t>Social Liberal Party</t>
  </si>
  <si>
    <t xml:space="preserve">Note: Due to some reasons money was not given to some of the parties. </t>
  </si>
  <si>
    <t xml:space="preserve">          Total</t>
  </si>
  <si>
    <t xml:space="preserve">      ޖުމްލަ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</si>
  <si>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</si>
  <si>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</si>
  <si>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</si>
  <si>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</si>
  <si>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</si>
  <si>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 xml:space="preserve">ނޯޓް: އެކި ސަބަބުތަކާހުރެ ބައެއް ސިޔާސީ ޕާޓީތަކަށް ފައިސާދޫކުރެވިފައެއް ނުވެއެވެ. </t>
  </si>
  <si>
    <t>Persons registered in political parties</t>
  </si>
  <si>
    <t>Population 18+ (DNP projected)</t>
  </si>
  <si>
    <t>% share</t>
  </si>
  <si>
    <t>ތާވަލު 20.1: 2013 ގެ ނިޔަލަށް ރަޖިސްޓްރީކުރެވިފައިވާ ސިޔާސީ ޕާޓީތަކުގެ ޢަދަދާއި، މެމްބަރުން އަދި ބަޖެޓުން ކުރެވުނެ ހޭދަ</t>
  </si>
  <si>
    <t>TABLE: 20.1:  POLITICAL PARTIES REGISTERED At THE END OF 2013, BY MEMBERSHIP AND BUDGET EXPENDITURE</t>
  </si>
  <si>
    <t>-</t>
  </si>
  <si>
    <t>20th December 2012</t>
  </si>
  <si>
    <t>Maldives Development Alliance</t>
  </si>
  <si>
    <t>މޯލްޑިވްސް ޑިވެލޮޕްމަންޓް އެލަޔަންސް</t>
  </si>
  <si>
    <t xml:space="preserve">* 2011 &amp; 2012 figures revised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</si>
</sst>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hair">
        <color theme="1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theme="1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top"/>
    </xf>
    <xf numFmtId="0" fontId="10" fillId="2" borderId="0" xfId="0" applyFont="1" applyFill="1" applyAlignment="1">
      <alignment horizontal="left" vertical="top"/>
    </xf>
    <xf numFmtId="0" fontId="6" fillId="2" borderId="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right" vertical="center" wrapText="1"/>
    </xf>
    <xf numFmtId="165" fontId="0" fillId="2" borderId="0" xfId="2" applyNumberFormat="1" applyFont="1" applyFill="1" applyBorder="1" applyAlignment="1">
      <alignment horizontal="right" vertical="center"/>
    </xf>
    <xf numFmtId="165" fontId="2" fillId="2" borderId="1" xfId="2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165" fontId="0" fillId="2" borderId="11" xfId="2" applyNumberFormat="1" applyFont="1" applyFill="1" applyBorder="1" applyAlignment="1">
      <alignment horizontal="right" vertical="center"/>
    </xf>
    <xf numFmtId="0" fontId="5" fillId="2" borderId="0" xfId="1" applyFont="1" applyFill="1" applyAlignment="1" applyProtection="1">
      <alignment vertical="center" wrapText="1"/>
    </xf>
    <xf numFmtId="0" fontId="0" fillId="2" borderId="0" xfId="0" applyFont="1" applyFill="1" applyAlignment="1">
      <alignment horizontal="right" vertical="center" wrapText="1"/>
    </xf>
    <xf numFmtId="165" fontId="0" fillId="2" borderId="12" xfId="2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0" fontId="2" fillId="3" borderId="0" xfId="0" applyFont="1" applyFill="1"/>
    <xf numFmtId="165" fontId="0" fillId="3" borderId="0" xfId="2" applyNumberFormat="1" applyFont="1" applyFill="1"/>
    <xf numFmtId="165" fontId="0" fillId="2" borderId="0" xfId="2" applyNumberFormat="1" applyFont="1" applyFill="1" applyAlignment="1">
      <alignment horizontal="center" vertical="center"/>
    </xf>
    <xf numFmtId="165" fontId="2" fillId="2" borderId="5" xfId="2" applyNumberFormat="1" applyFont="1" applyFill="1" applyBorder="1" applyAlignment="1">
      <alignment horizontal="right" vertical="center"/>
    </xf>
    <xf numFmtId="165" fontId="2" fillId="2" borderId="1" xfId="2" applyNumberFormat="1" applyFont="1" applyFill="1" applyBorder="1" applyAlignment="1">
      <alignment horizontal="center" vertical="center"/>
    </xf>
    <xf numFmtId="0" fontId="0" fillId="3" borderId="0" xfId="0" applyFont="1" applyFill="1"/>
    <xf numFmtId="164" fontId="0" fillId="3" borderId="0" xfId="0" applyNumberFormat="1" applyFont="1" applyFill="1"/>
    <xf numFmtId="165" fontId="0" fillId="3" borderId="0" xfId="0" applyNumberFormat="1" applyFont="1" applyFill="1"/>
    <xf numFmtId="1" fontId="0" fillId="2" borderId="0" xfId="0" applyNumberFormat="1" applyFont="1" applyFill="1"/>
    <xf numFmtId="3" fontId="0" fillId="0" borderId="0" xfId="0" applyNumberFormat="1" applyFont="1"/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 applyProtection="1">
      <alignment horizontal="righ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5">
    <cellStyle name="Comma" xfId="2" builtinId="3"/>
    <cellStyle name="Comma 2" xfId="3"/>
    <cellStyle name="Comma 3" xf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>
              <a:defRPr sz="1100"/>
            </a:pPr>
            <a:r>
              <a:rPr lang="en-US" sz="1100"/>
              <a:t>Figure 20.1: Percentage share of persons aged 18 years and above, who are members of a political party, 2011</a:t>
            </a:r>
            <a:r>
              <a:rPr lang="en-US" sz="1100" baseline="0"/>
              <a:t> - 2013</a:t>
            </a:r>
            <a:endParaRPr lang="en-US" sz="1100"/>
          </a:p>
        </c:rich>
      </c:tx>
      <c:layout>
        <c:manualLayout>
          <c:xMode val="edge"/>
          <c:yMode val="edge"/>
          <c:x val="0.14992839585479106"/>
          <c:y val="3.626740045807049E-2"/>
        </c:manualLayout>
      </c:layout>
    </c:title>
    <c:plotArea>
      <c:layout/>
      <c:barChart>
        <c:barDir val="col"/>
        <c:grouping val="clustered"/>
        <c:ser>
          <c:idx val="1"/>
          <c:order val="0"/>
          <c:tx>
            <c:strRef>
              <c:f>'20.1 '!$R$28</c:f>
              <c:strCache>
                <c:ptCount val="1"/>
                <c:pt idx="0">
                  <c:v>% share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spPr>
              <a:solidFill>
                <a:schemeClr val="accent5">
                  <a:lumMod val="75000"/>
                </a:schemeClr>
              </a:solidFill>
            </c:spPr>
          </c:dPt>
          <c:cat>
            <c:numRef>
              <c:f>'20.1 '!$S$27:$U$27</c:f>
              <c:numCache>
                <c:formatCode>General</c:formatCod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numCache>
            </c:numRef>
          </c:cat>
          <c:val>
            <c:numRef>
              <c:f>'20.1 '!$S$28:$U$28</c:f>
              <c:numCache>
                <c:formatCode>0.0</c:formatCode>
                <c:ptCount val="3"/>
                <c:pt idx="0">
                  <c:v>55.489914913443315</c:v>
                </c:pt>
                <c:pt idx="1">
                  <c:v>59.042267748350639</c:v>
                </c:pt>
                <c:pt idx="2">
                  <c:v>59.533782953088497</c:v>
                </c:pt>
              </c:numCache>
            </c:numRef>
          </c:val>
        </c:ser>
        <c:gapWidth val="336"/>
        <c:axId val="53763072"/>
        <c:axId val="53781632"/>
      </c:barChart>
      <c:catAx>
        <c:axId val="53763072"/>
        <c:scaling>
          <c:orientation val="minMax"/>
        </c:scaling>
        <c:axPos val="b"/>
        <c:numFmt formatCode="General" sourceLinked="1"/>
        <c:tickLblPos val="nextTo"/>
        <c:crossAx val="53781632"/>
        <c:crosses val="autoZero"/>
        <c:auto val="1"/>
        <c:lblAlgn val="ctr"/>
        <c:lblOffset val="100"/>
      </c:catAx>
      <c:valAx>
        <c:axId val="53781632"/>
        <c:scaling>
          <c:orientation val="minMax"/>
          <c:max val="7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persons</a:t>
                </a:r>
              </a:p>
            </c:rich>
          </c:tx>
          <c:layout>
            <c:manualLayout>
              <c:xMode val="edge"/>
              <c:yMode val="edge"/>
              <c:x val="1.8806863115909643E-2"/>
              <c:y val="0.32281641878098727"/>
            </c:manualLayout>
          </c:layout>
        </c:title>
        <c:numFmt formatCode="0" sourceLinked="0"/>
        <c:tickLblPos val="nextTo"/>
        <c:crossAx val="5376307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59646</xdr:colOff>
      <xdr:row>24</xdr:row>
      <xdr:rowOff>119595</xdr:rowOff>
    </xdr:from>
    <xdr:to>
      <xdr:col>8</xdr:col>
      <xdr:colOff>710241</xdr:colOff>
      <xdr:row>38</xdr:row>
      <xdr:rowOff>109988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U30"/>
  <sheetViews>
    <sheetView tabSelected="1" workbookViewId="0">
      <selection activeCell="B1" sqref="B1"/>
    </sheetView>
  </sheetViews>
  <sheetFormatPr defaultColWidth="9.109375" defaultRowHeight="14.4"/>
  <cols>
    <col min="1" max="1" width="4" style="13" customWidth="1"/>
    <col min="2" max="2" width="33.5546875" style="14" customWidth="1"/>
    <col min="3" max="3" width="18.33203125" style="14" customWidth="1"/>
    <col min="4" max="6" width="10.88671875" style="14" customWidth="1"/>
    <col min="7" max="9" width="13.6640625" style="14" customWidth="1"/>
    <col min="10" max="10" width="31.21875" style="14" customWidth="1"/>
    <col min="11" max="11" width="6" style="14" customWidth="1"/>
    <col min="12" max="12" width="3.6640625" style="14" customWidth="1"/>
    <col min="13" max="17" width="9.109375" style="14"/>
    <col min="18" max="18" width="29.33203125" style="14" customWidth="1"/>
    <col min="19" max="20" width="15.44140625" style="14" customWidth="1"/>
    <col min="21" max="21" width="12" style="14" customWidth="1"/>
    <col min="22" max="16384" width="9.109375" style="14"/>
  </cols>
  <sheetData>
    <row r="2" spans="1:11" ht="18.75" customHeight="1">
      <c r="A2" s="34" t="s">
        <v>59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37" t="s">
        <v>60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s="15" customFormat="1" ht="15" customHeight="1">
      <c r="A4" s="41"/>
      <c r="B4" s="38" t="s">
        <v>15</v>
      </c>
      <c r="C4" s="3" t="s">
        <v>16</v>
      </c>
      <c r="D4" s="35" t="s">
        <v>50</v>
      </c>
      <c r="E4" s="35"/>
      <c r="F4" s="36"/>
      <c r="G4" s="56" t="s">
        <v>51</v>
      </c>
      <c r="H4" s="57"/>
      <c r="I4" s="57"/>
      <c r="J4" s="44" t="s">
        <v>20</v>
      </c>
      <c r="K4" s="47"/>
    </row>
    <row r="5" spans="1:11" s="15" customFormat="1" ht="30" customHeight="1">
      <c r="A5" s="42"/>
      <c r="B5" s="39"/>
      <c r="C5" s="5" t="s">
        <v>52</v>
      </c>
      <c r="D5" s="52" t="s">
        <v>53</v>
      </c>
      <c r="E5" s="52"/>
      <c r="F5" s="53"/>
      <c r="G5" s="54" t="s">
        <v>54</v>
      </c>
      <c r="H5" s="55"/>
      <c r="I5" s="55"/>
      <c r="J5" s="45"/>
      <c r="K5" s="48"/>
    </row>
    <row r="6" spans="1:11" s="15" customFormat="1" ht="21" customHeight="1">
      <c r="A6" s="43"/>
      <c r="B6" s="40"/>
      <c r="C6" s="4"/>
      <c r="D6" s="1">
        <v>2011</v>
      </c>
      <c r="E6" s="1">
        <v>2012</v>
      </c>
      <c r="F6" s="9">
        <v>2013</v>
      </c>
      <c r="G6" s="1">
        <v>2011</v>
      </c>
      <c r="H6" s="1">
        <v>2012</v>
      </c>
      <c r="I6" s="1">
        <v>2013</v>
      </c>
      <c r="J6" s="46"/>
      <c r="K6" s="49"/>
    </row>
    <row r="7" spans="1:11" s="16" customFormat="1" ht="19.5" customHeight="1">
      <c r="A7" s="13">
        <v>1</v>
      </c>
      <c r="B7" s="16" t="s">
        <v>19</v>
      </c>
      <c r="C7" s="16" t="s">
        <v>21</v>
      </c>
      <c r="D7" s="10">
        <v>47365</v>
      </c>
      <c r="E7" s="10">
        <v>46349</v>
      </c>
      <c r="F7" s="17">
        <v>42304</v>
      </c>
      <c r="G7" s="25">
        <v>3575294.74</v>
      </c>
      <c r="H7" s="25">
        <v>3753399.17</v>
      </c>
      <c r="I7" s="25">
        <v>3632254.22</v>
      </c>
      <c r="J7" s="18" t="s">
        <v>0</v>
      </c>
      <c r="K7" s="19">
        <v>1</v>
      </c>
    </row>
    <row r="8" spans="1:11" s="16" customFormat="1" ht="19.5" customHeight="1">
      <c r="A8" s="13">
        <v>2</v>
      </c>
      <c r="B8" s="16" t="s">
        <v>35</v>
      </c>
      <c r="C8" s="16" t="s">
        <v>22</v>
      </c>
      <c r="D8" s="10">
        <v>29459</v>
      </c>
      <c r="E8" s="10">
        <v>22575</v>
      </c>
      <c r="F8" s="20">
        <v>17864</v>
      </c>
      <c r="G8" s="25">
        <v>3153514.66</v>
      </c>
      <c r="H8" s="25">
        <v>2480924.23</v>
      </c>
      <c r="I8" s="25">
        <v>1965343.24</v>
      </c>
      <c r="J8" s="18" t="s">
        <v>1</v>
      </c>
      <c r="K8" s="19">
        <v>2</v>
      </c>
    </row>
    <row r="9" spans="1:11" s="16" customFormat="1" ht="19.5" customHeight="1">
      <c r="A9" s="13">
        <v>3</v>
      </c>
      <c r="B9" s="16" t="s">
        <v>33</v>
      </c>
      <c r="C9" s="16" t="s">
        <v>23</v>
      </c>
      <c r="D9" s="10">
        <v>6117</v>
      </c>
      <c r="E9" s="10">
        <v>5881</v>
      </c>
      <c r="F9" s="20">
        <v>10194</v>
      </c>
      <c r="G9" s="25">
        <v>842441.62</v>
      </c>
      <c r="H9" s="25">
        <v>822144.49</v>
      </c>
      <c r="I9" s="25">
        <v>794845.56</v>
      </c>
      <c r="J9" s="18" t="s">
        <v>2</v>
      </c>
      <c r="K9" s="19">
        <v>3</v>
      </c>
    </row>
    <row r="10" spans="1:11" s="16" customFormat="1" ht="19.5" customHeight="1">
      <c r="A10" s="13">
        <v>4</v>
      </c>
      <c r="B10" s="16" t="s">
        <v>37</v>
      </c>
      <c r="C10" s="16" t="s">
        <v>24</v>
      </c>
      <c r="D10" s="10">
        <v>3609</v>
      </c>
      <c r="E10" s="10">
        <v>3113</v>
      </c>
      <c r="F10" s="20">
        <v>2378</v>
      </c>
      <c r="G10" s="25">
        <v>669757.49</v>
      </c>
      <c r="H10" s="25">
        <v>463915.56</v>
      </c>
      <c r="I10" s="25">
        <v>600767.6</v>
      </c>
      <c r="J10" s="18" t="s">
        <v>3</v>
      </c>
      <c r="K10" s="19">
        <v>4</v>
      </c>
    </row>
    <row r="11" spans="1:11" s="16" customFormat="1" ht="19.5" customHeight="1">
      <c r="A11" s="13">
        <v>5</v>
      </c>
      <c r="B11" s="16" t="s">
        <v>42</v>
      </c>
      <c r="C11" s="16" t="s">
        <v>25</v>
      </c>
      <c r="D11" s="10">
        <v>1982</v>
      </c>
      <c r="E11" s="10">
        <v>1797</v>
      </c>
      <c r="F11" s="20">
        <v>1418</v>
      </c>
      <c r="G11" s="25">
        <v>535473.88</v>
      </c>
      <c r="H11" s="25">
        <v>0</v>
      </c>
      <c r="I11" s="25">
        <v>0</v>
      </c>
      <c r="J11" s="18" t="s">
        <v>4</v>
      </c>
      <c r="K11" s="19">
        <v>5</v>
      </c>
    </row>
    <row r="12" spans="1:11" s="16" customFormat="1" ht="19.5" customHeight="1">
      <c r="A12" s="13">
        <v>6</v>
      </c>
      <c r="B12" s="16" t="s">
        <v>44</v>
      </c>
      <c r="C12" s="16" t="s">
        <v>26</v>
      </c>
      <c r="D12" s="10">
        <v>1814</v>
      </c>
      <c r="E12" s="10">
        <v>1613</v>
      </c>
      <c r="F12" s="20">
        <v>1357</v>
      </c>
      <c r="G12" s="25">
        <v>574230.19999999995</v>
      </c>
      <c r="H12" s="25">
        <v>516355.39</v>
      </c>
      <c r="I12" s="25">
        <v>445595.29</v>
      </c>
      <c r="J12" s="18" t="s">
        <v>5</v>
      </c>
      <c r="K12" s="19">
        <v>6</v>
      </c>
    </row>
    <row r="13" spans="1:11" s="16" customFormat="1" ht="19.5" customHeight="1">
      <c r="A13" s="13">
        <v>7</v>
      </c>
      <c r="B13" s="16" t="s">
        <v>41</v>
      </c>
      <c r="C13" s="16" t="s">
        <v>26</v>
      </c>
      <c r="D13" s="10">
        <v>1542</v>
      </c>
      <c r="E13" s="10">
        <v>1373</v>
      </c>
      <c r="F13" s="20">
        <v>1146</v>
      </c>
      <c r="G13" s="25">
        <v>497259.61</v>
      </c>
      <c r="H13" s="25">
        <v>467025.93</v>
      </c>
      <c r="I13" s="25">
        <v>478767.72</v>
      </c>
      <c r="J13" s="18" t="s">
        <v>6</v>
      </c>
      <c r="K13" s="19">
        <v>7</v>
      </c>
    </row>
    <row r="14" spans="1:11" s="16" customFormat="1" ht="19.5" customHeight="1">
      <c r="A14" s="13">
        <v>8</v>
      </c>
      <c r="B14" s="16" t="s">
        <v>46</v>
      </c>
      <c r="C14" s="16" t="s">
        <v>27</v>
      </c>
      <c r="D14" s="10">
        <v>685</v>
      </c>
      <c r="E14" s="10">
        <v>598</v>
      </c>
      <c r="F14" s="20">
        <v>523</v>
      </c>
      <c r="G14" s="25">
        <v>0</v>
      </c>
      <c r="H14" s="25">
        <v>336123.94</v>
      </c>
      <c r="I14" s="25">
        <v>0</v>
      </c>
      <c r="J14" s="18" t="s">
        <v>7</v>
      </c>
      <c r="K14" s="19">
        <v>8</v>
      </c>
    </row>
    <row r="15" spans="1:11" s="16" customFormat="1" ht="19.5" customHeight="1">
      <c r="A15" s="13">
        <v>9</v>
      </c>
      <c r="B15" s="16" t="s">
        <v>38</v>
      </c>
      <c r="C15" s="16" t="s">
        <v>28</v>
      </c>
      <c r="D15" s="10">
        <v>5090</v>
      </c>
      <c r="E15" s="10">
        <v>11154</v>
      </c>
      <c r="F15" s="20">
        <v>14723</v>
      </c>
      <c r="G15" s="25">
        <v>816538.47</v>
      </c>
      <c r="H15" s="25">
        <v>749161.59</v>
      </c>
      <c r="I15" s="25">
        <v>1164561.29</v>
      </c>
      <c r="J15" s="18" t="s">
        <v>8</v>
      </c>
      <c r="K15" s="19">
        <v>9</v>
      </c>
    </row>
    <row r="16" spans="1:11" s="16" customFormat="1" ht="19.5" customHeight="1">
      <c r="A16" s="13">
        <v>10</v>
      </c>
      <c r="B16" s="16" t="s">
        <v>43</v>
      </c>
      <c r="C16" s="16" t="s">
        <v>28</v>
      </c>
      <c r="D16" s="10">
        <v>2625</v>
      </c>
      <c r="E16" s="10">
        <v>2101</v>
      </c>
      <c r="F16" s="20">
        <v>1633</v>
      </c>
      <c r="G16" s="25">
        <v>622691.85</v>
      </c>
      <c r="H16" s="25">
        <v>573988.42000000004</v>
      </c>
      <c r="I16" s="25">
        <v>0</v>
      </c>
      <c r="J16" s="18" t="s">
        <v>9</v>
      </c>
      <c r="K16" s="19">
        <v>10</v>
      </c>
    </row>
    <row r="17" spans="1:21" s="16" customFormat="1" ht="19.5" customHeight="1">
      <c r="A17" s="13">
        <v>11</v>
      </c>
      <c r="B17" s="16" t="s">
        <v>40</v>
      </c>
      <c r="C17" s="16" t="s">
        <v>29</v>
      </c>
      <c r="D17" s="10">
        <v>944</v>
      </c>
      <c r="E17" s="10">
        <v>838</v>
      </c>
      <c r="F17" s="20">
        <v>720</v>
      </c>
      <c r="G17" s="25">
        <v>500363.53</v>
      </c>
      <c r="H17" s="25">
        <v>0</v>
      </c>
      <c r="I17" s="25">
        <v>0</v>
      </c>
      <c r="J17" s="18" t="s">
        <v>10</v>
      </c>
      <c r="K17" s="19">
        <v>11</v>
      </c>
    </row>
    <row r="18" spans="1:21" s="16" customFormat="1" ht="19.5" customHeight="1">
      <c r="A18" s="13">
        <v>12</v>
      </c>
      <c r="B18" s="16" t="s">
        <v>36</v>
      </c>
      <c r="C18" s="16" t="s">
        <v>29</v>
      </c>
      <c r="D18" s="10">
        <v>2640</v>
      </c>
      <c r="E18" s="10">
        <v>3219</v>
      </c>
      <c r="F18" s="20">
        <v>5657</v>
      </c>
      <c r="G18" s="25">
        <v>643471.30000000005</v>
      </c>
      <c r="H18" s="25">
        <v>575054.39</v>
      </c>
      <c r="I18" s="25">
        <v>608199.77</v>
      </c>
      <c r="J18" s="18" t="s">
        <v>11</v>
      </c>
      <c r="K18" s="19">
        <v>12</v>
      </c>
    </row>
    <row r="19" spans="1:21" s="16" customFormat="1" ht="19.5" customHeight="1">
      <c r="A19" s="13">
        <v>13</v>
      </c>
      <c r="B19" s="16" t="s">
        <v>34</v>
      </c>
      <c r="C19" s="16" t="s">
        <v>30</v>
      </c>
      <c r="D19" s="10">
        <v>2312</v>
      </c>
      <c r="E19" s="10">
        <v>2099</v>
      </c>
      <c r="F19" s="20">
        <v>1753</v>
      </c>
      <c r="G19" s="25">
        <v>618279.78</v>
      </c>
      <c r="H19" s="25">
        <v>551745.34</v>
      </c>
      <c r="I19" s="25">
        <v>529671.12</v>
      </c>
      <c r="J19" s="18" t="s">
        <v>12</v>
      </c>
      <c r="K19" s="19">
        <v>13</v>
      </c>
    </row>
    <row r="20" spans="1:21" s="16" customFormat="1" ht="19.5" customHeight="1">
      <c r="A20" s="13">
        <v>14</v>
      </c>
      <c r="B20" s="16" t="s">
        <v>39</v>
      </c>
      <c r="C20" s="16" t="s">
        <v>31</v>
      </c>
      <c r="D20" s="10">
        <v>2628</v>
      </c>
      <c r="E20" s="10">
        <v>1969</v>
      </c>
      <c r="F20" s="20">
        <v>1532</v>
      </c>
      <c r="G20" s="25">
        <v>0</v>
      </c>
      <c r="H20" s="25">
        <v>574201.62</v>
      </c>
      <c r="I20" s="25">
        <v>0</v>
      </c>
      <c r="J20" s="18" t="s">
        <v>13</v>
      </c>
      <c r="K20" s="19">
        <v>14</v>
      </c>
    </row>
    <row r="21" spans="1:21" s="16" customFormat="1" ht="19.5" customHeight="1">
      <c r="A21" s="13">
        <v>15</v>
      </c>
      <c r="B21" s="16" t="s">
        <v>45</v>
      </c>
      <c r="C21" s="16" t="s">
        <v>32</v>
      </c>
      <c r="D21" s="10">
        <v>13859</v>
      </c>
      <c r="E21" s="10">
        <v>22803</v>
      </c>
      <c r="F21" s="20">
        <v>24970</v>
      </c>
      <c r="G21" s="25">
        <v>0</v>
      </c>
      <c r="H21" s="25">
        <v>1372323.25</v>
      </c>
      <c r="I21" s="25">
        <v>1981329.43</v>
      </c>
      <c r="J21" s="18" t="s">
        <v>14</v>
      </c>
      <c r="K21" s="19">
        <v>15</v>
      </c>
    </row>
    <row r="22" spans="1:21" s="16" customFormat="1" ht="19.5" customHeight="1">
      <c r="A22" s="13">
        <v>16</v>
      </c>
      <c r="B22" s="16" t="s">
        <v>63</v>
      </c>
      <c r="C22" s="16" t="s">
        <v>62</v>
      </c>
      <c r="D22" s="10" t="s">
        <v>61</v>
      </c>
      <c r="E22" s="10">
        <v>3446</v>
      </c>
      <c r="F22" s="20">
        <v>7415</v>
      </c>
      <c r="G22" s="25">
        <v>0</v>
      </c>
      <c r="H22" s="25">
        <v>0</v>
      </c>
      <c r="I22" s="25">
        <v>624115.85</v>
      </c>
      <c r="J22" s="18" t="s">
        <v>64</v>
      </c>
      <c r="K22" s="19">
        <v>16</v>
      </c>
    </row>
    <row r="23" spans="1:21" s="2" customFormat="1" ht="19.5" customHeight="1">
      <c r="A23" s="50" t="s">
        <v>48</v>
      </c>
      <c r="B23" s="50"/>
      <c r="C23" s="50"/>
      <c r="D23" s="11">
        <f t="shared" ref="D23" si="0">SUM(D7:D21)</f>
        <v>122671</v>
      </c>
      <c r="E23" s="11">
        <f>SUM(E7:E22)</f>
        <v>130928</v>
      </c>
      <c r="F23" s="26">
        <f>SUM(F7:F22)</f>
        <v>135587</v>
      </c>
      <c r="G23" s="27">
        <f>SUM(G7:G21)</f>
        <v>13049317.129999999</v>
      </c>
      <c r="H23" s="27">
        <f>SUM(H7:H21)</f>
        <v>13236363.319999998</v>
      </c>
      <c r="I23" s="27">
        <f>SUM(I7:I22)</f>
        <v>12825451.089999996</v>
      </c>
      <c r="J23" s="51" t="s">
        <v>49</v>
      </c>
      <c r="K23" s="51"/>
    </row>
    <row r="24" spans="1:21" ht="16.8">
      <c r="A24" s="33" t="s">
        <v>47</v>
      </c>
      <c r="B24" s="33"/>
      <c r="C24" s="33"/>
      <c r="D24" s="33"/>
      <c r="K24" s="6" t="s">
        <v>55</v>
      </c>
    </row>
    <row r="25" spans="1:21" ht="15" customHeight="1">
      <c r="A25" s="8"/>
      <c r="B25" s="12" t="s">
        <v>65</v>
      </c>
      <c r="C25" s="8"/>
      <c r="D25" s="8"/>
      <c r="K25" s="6"/>
    </row>
    <row r="26" spans="1:21" s="22" customFormat="1" ht="16.8">
      <c r="A26" s="7" t="s">
        <v>17</v>
      </c>
      <c r="B26" s="21"/>
      <c r="K26" s="6" t="s">
        <v>18</v>
      </c>
    </row>
    <row r="27" spans="1:21">
      <c r="R27" s="23"/>
      <c r="S27" s="23">
        <v>2011</v>
      </c>
      <c r="T27" s="23">
        <v>2012</v>
      </c>
      <c r="U27" s="14">
        <v>2013</v>
      </c>
    </row>
    <row r="28" spans="1:21">
      <c r="R28" s="28" t="s">
        <v>58</v>
      </c>
      <c r="S28" s="29">
        <f>S29/S30*100</f>
        <v>55.489914913443315</v>
      </c>
      <c r="T28" s="29">
        <f>T29/T30*100</f>
        <v>59.042267748350639</v>
      </c>
      <c r="U28" s="29">
        <f>U29/U30*100</f>
        <v>59.533782953088497</v>
      </c>
    </row>
    <row r="29" spans="1:21">
      <c r="R29" s="28" t="s">
        <v>56</v>
      </c>
      <c r="S29" s="30">
        <f>D23</f>
        <v>122671</v>
      </c>
      <c r="T29" s="30">
        <f>E23</f>
        <v>130928</v>
      </c>
      <c r="U29" s="31">
        <f>F23</f>
        <v>135587</v>
      </c>
    </row>
    <row r="30" spans="1:21">
      <c r="R30" s="28" t="s">
        <v>57</v>
      </c>
      <c r="S30" s="24">
        <v>221069</v>
      </c>
      <c r="T30" s="24">
        <v>221753</v>
      </c>
      <c r="U30" s="32">
        <v>227748</v>
      </c>
    </row>
  </sheetData>
  <mergeCells count="13">
    <mergeCell ref="A24:D24"/>
    <mergeCell ref="A2:K2"/>
    <mergeCell ref="D4:F4"/>
    <mergeCell ref="A3:K3"/>
    <mergeCell ref="B4:B6"/>
    <mergeCell ref="A4:A6"/>
    <mergeCell ref="J4:J6"/>
    <mergeCell ref="K4:K6"/>
    <mergeCell ref="A23:C23"/>
    <mergeCell ref="J23:K23"/>
    <mergeCell ref="D5:F5"/>
    <mergeCell ref="G5:I5"/>
    <mergeCell ref="G4:I4"/>
  </mergeCells>
  <pageMargins left="0.22" right="0.1" top="0.2" bottom="0.16" header="0.12" footer="0.09"/>
  <pageSetup paperSize="9" scale="79" orientation="landscape" r:id="rId1"/>
  <rowBreaks count="1" manualBreakCount="1">
    <brk id="40" max="11" man="1"/>
  </rowBreaks>
  <colBreaks count="1" manualBreakCount="1">
    <brk id="12" max="1048575" man="1"/>
  </colBreaks>
  <ignoredErrors>
    <ignoredError sqref="D23:F23 G23:I2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 </vt:lpstr>
      <vt:lpstr>'20.1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2015-01-22T06:57:04Z</dcterms:modified>
</cp:coreProperties>
</file>