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9168" windowHeight="4368" tabRatio="884"/>
  </bookViews>
  <sheets>
    <sheet name="5.10" sheetId="10" r:id="rId1"/>
  </sheets>
  <calcPr calcId="124519"/>
</workbook>
</file>

<file path=xl/calcChain.xml><?xml version="1.0" encoding="utf-8"?>
<calcChain xmlns="http://schemas.openxmlformats.org/spreadsheetml/2006/main">
  <c r="S51" i="10"/>
  <c r="S50"/>
  <c r="K21"/>
  <c r="G21"/>
  <c r="E21"/>
  <c r="D21"/>
  <c r="C21" s="1"/>
  <c r="K20"/>
  <c r="G20"/>
  <c r="E20"/>
  <c r="D20"/>
  <c r="C20"/>
  <c r="K19"/>
  <c r="G19"/>
  <c r="E19"/>
  <c r="D19"/>
  <c r="C19" s="1"/>
  <c r="K18"/>
  <c r="G18"/>
  <c r="E18"/>
  <c r="D18"/>
  <c r="C18"/>
  <c r="K17"/>
  <c r="G17"/>
  <c r="E17"/>
  <c r="D17"/>
  <c r="C17" s="1"/>
  <c r="K16"/>
  <c r="G16"/>
  <c r="E16"/>
  <c r="D16"/>
  <c r="C16"/>
  <c r="K15"/>
  <c r="G15"/>
  <c r="E15"/>
  <c r="D15"/>
  <c r="C15" s="1"/>
  <c r="K14"/>
  <c r="G14"/>
  <c r="E14"/>
  <c r="D14"/>
  <c r="C14"/>
  <c r="K13"/>
  <c r="G13"/>
  <c r="E13"/>
  <c r="D13"/>
  <c r="C13" s="1"/>
  <c r="K12"/>
  <c r="G12"/>
  <c r="E12"/>
  <c r="D12"/>
  <c r="C12"/>
  <c r="K11"/>
  <c r="G11"/>
  <c r="G10" s="1"/>
  <c r="E11"/>
  <c r="D11"/>
  <c r="C11" s="1"/>
  <c r="C10" s="1"/>
  <c r="M10"/>
  <c r="L10"/>
  <c r="K10"/>
  <c r="I10"/>
  <c r="H10"/>
  <c r="E10"/>
  <c r="D10" l="1"/>
</calcChain>
</file>

<file path=xl/sharedStrings.xml><?xml version="1.0" encoding="utf-8"?>
<sst xmlns="http://schemas.openxmlformats.org/spreadsheetml/2006/main" count="68" uniqueCount="30">
  <si>
    <t>Republic</t>
  </si>
  <si>
    <t>Male'</t>
  </si>
  <si>
    <t>Atolls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</si>
  <si>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</si>
  <si>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</si>
  <si>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</si>
  <si>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</si>
  <si>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</si>
  <si>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</si>
  <si>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</si>
  <si>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</si>
  <si>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</si>
  <si>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</si>
  <si>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</si>
  <si>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</si>
  <si>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</si>
  <si>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</si>
  <si>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</si>
  <si>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</si>
  <si>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</si>
  <si>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</si>
  <si>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</si>
  <si>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</si>
  <si>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</si>
  <si>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>Source: Civil Service Commision</t>
  </si>
  <si>
    <t>ދެޖިންސް</t>
  </si>
  <si>
    <t>އުމުރުފުރާ</t>
  </si>
  <si>
    <t>Table 5.10 :  CIVIL SERVANTS CLASSIFIED BY AGE AND SEX, 2013</t>
  </si>
  <si>
    <t>ތާވަލް 5.10: ސިވިލް ސަރވަންޓުން ބެހިފައިވާ ގޮތް، ޖިންސް އަދި އުމުރުފުރާއިން، 2013</t>
  </si>
  <si>
    <t>މަޢުލޫމާތު ދެއްވި ފަރާތް: ސިވިލް ސަރވިސް ކޮމިޝަން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</si>
</sst>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-* #,##0\ _ރ_._-;_-* #,##0\ _ރ_.\-;_-* &quot;-&quot;??\ _ރ_._-;_-@_-"/>
    <numFmt numFmtId="171" formatCode="_(* #,##0_);_(* \(#,##0\);_(* &quot;-&quot;??_);_(@_)"/>
    <numFmt numFmtId="174" formatCode="General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i/>
      <sz val="10"/>
      <name val="Calibri"/>
      <family val="2"/>
      <scheme val="minor"/>
    </font>
    <font>
      <sz val="9"/>
      <name val="Faruma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1"/>
      <color theme="1"/>
      <name val="Faruma"/>
    </font>
    <font>
      <b/>
      <sz val="10"/>
      <color theme="1"/>
      <name val="Faruma"/>
    </font>
    <font>
      <b/>
      <sz val="11"/>
      <name val="A_Reethi"/>
    </font>
    <font>
      <sz val="10"/>
      <name val="MS Sans Serif"/>
      <family val="2"/>
    </font>
    <font>
      <sz val="10"/>
      <color theme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theme="1" tint="4.9989318521683403E-2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71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12" fillId="0" borderId="0"/>
    <xf numFmtId="0" fontId="3" fillId="0" borderId="0"/>
    <xf numFmtId="0" fontId="18" fillId="0" borderId="0"/>
  </cellStyleXfs>
  <cellXfs count="39">
    <xf numFmtId="0" fontId="0" fillId="0" borderId="0" xfId="0"/>
    <xf numFmtId="0" fontId="0" fillId="2" borderId="0" xfId="0" applyFill="1"/>
    <xf numFmtId="3" fontId="7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9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11" fillId="2" borderId="4" xfId="8" applyFont="1" applyFill="1" applyBorder="1"/>
    <xf numFmtId="0" fontId="15" fillId="2" borderId="0" xfId="0" applyFont="1" applyFill="1" applyBorder="1" applyAlignment="1">
      <alignment horizontal="center" readingOrder="2"/>
    </xf>
    <xf numFmtId="0" fontId="8" fillId="2" borderId="1" xfId="2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0" fontId="10" fillId="2" borderId="0" xfId="0" applyFont="1" applyFill="1" applyBorder="1"/>
    <xf numFmtId="3" fontId="10" fillId="2" borderId="0" xfId="0" applyNumberFormat="1" applyFont="1" applyFill="1" applyBorder="1"/>
    <xf numFmtId="3" fontId="9" fillId="2" borderId="0" xfId="0" applyNumberFormat="1" applyFont="1" applyFill="1" applyBorder="1" applyProtection="1">
      <protection locked="0"/>
    </xf>
    <xf numFmtId="3" fontId="9" fillId="2" borderId="3" xfId="0" applyNumberFormat="1" applyFont="1" applyFill="1" applyBorder="1" applyProtection="1">
      <protection locked="0"/>
    </xf>
    <xf numFmtId="174" fontId="4" fillId="2" borderId="1" xfId="7" applyNumberFormat="1" applyFont="1" applyFill="1" applyBorder="1" applyAlignment="1" applyProtection="1">
      <alignment horizontal="center" vertical="center"/>
    </xf>
    <xf numFmtId="0" fontId="16" fillId="2" borderId="3" xfId="0" applyFont="1" applyFill="1" applyBorder="1" applyAlignment="1">
      <alignment horizontal="center" readingOrder="2"/>
    </xf>
    <xf numFmtId="0" fontId="6" fillId="2" borderId="0" xfId="8" applyFont="1" applyFill="1" applyBorder="1"/>
    <xf numFmtId="0" fontId="10" fillId="2" borderId="1" xfId="0" applyFont="1" applyFill="1" applyBorder="1"/>
    <xf numFmtId="171" fontId="0" fillId="2" borderId="0" xfId="0" applyNumberFormat="1" applyFill="1"/>
    <xf numFmtId="1" fontId="0" fillId="2" borderId="0" xfId="0" applyNumberFormat="1" applyFill="1"/>
    <xf numFmtId="0" fontId="10" fillId="2" borderId="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9" fillId="2" borderId="0" xfId="4" applyFont="1" applyFill="1" applyBorder="1" applyAlignment="1">
      <alignment vertical="center"/>
    </xf>
    <xf numFmtId="171" fontId="0" fillId="2" borderId="0" xfId="1" applyNumberFormat="1" applyFont="1" applyFill="1"/>
    <xf numFmtId="0" fontId="17" fillId="2" borderId="0" xfId="5" applyFont="1" applyFill="1" applyBorder="1" applyAlignment="1">
      <alignment horizontal="center"/>
    </xf>
    <xf numFmtId="174" fontId="4" fillId="2" borderId="0" xfId="7" applyNumberFormat="1" applyFont="1" applyFill="1" applyBorder="1" applyAlignment="1" applyProtection="1">
      <alignment horizontal="center" vertical="center"/>
    </xf>
    <xf numFmtId="164" fontId="10" fillId="2" borderId="5" xfId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74" fontId="8" fillId="2" borderId="1" xfId="7" applyNumberFormat="1" applyFont="1" applyFill="1" applyBorder="1" applyAlignment="1" applyProtection="1">
      <alignment horizontal="center" vertical="center"/>
    </xf>
    <xf numFmtId="174" fontId="8" fillId="2" borderId="0" xfId="7" applyNumberFormat="1" applyFont="1" applyFill="1" applyBorder="1" applyAlignment="1" applyProtection="1">
      <alignment horizontal="center" vertical="center"/>
    </xf>
    <xf numFmtId="0" fontId="8" fillId="2" borderId="1" xfId="2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</cellXfs>
  <cellStyles count="10">
    <cellStyle name="Comma" xfId="1" builtinId="3"/>
    <cellStyle name="Comma 3" xfId="3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>
                <a:latin typeface="Candara" pitchFamily="34" charset="0"/>
              </a:defRPr>
            </a:pPr>
            <a:r>
              <a:rPr lang="en-US" sz="1050">
                <a:solidFill>
                  <a:schemeClr val="tx1"/>
                </a:solidFill>
                <a:latin typeface="Candara" pitchFamily="34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andara" pitchFamily="34" charset="0"/>
              </a:rPr>
              <a:t> 5: </a:t>
            </a:r>
            <a:r>
              <a:rPr lang="en-US" sz="1050" baseline="0">
                <a:latin typeface="Candara" pitchFamily="34" charset="0"/>
              </a:rPr>
              <a:t>Number of civil servants by locaity &amp; sex, 2012 - 2013</a:t>
            </a:r>
            <a:endParaRPr lang="en-US" sz="1050">
              <a:latin typeface="Candara" pitchFamily="34" charset="0"/>
            </a:endParaRPr>
          </a:p>
        </c:rich>
      </c:tx>
      <c:layout>
        <c:manualLayout>
          <c:xMode val="edge"/>
          <c:yMode val="edge"/>
          <c:x val="0.25025847365238812"/>
          <c:y val="4.6920800242838595E-2"/>
        </c:manualLayout>
      </c:layout>
    </c:title>
    <c:plotArea>
      <c:layout>
        <c:manualLayout>
          <c:layoutTarget val="inner"/>
          <c:xMode val="edge"/>
          <c:yMode val="edge"/>
          <c:x val="0.113231022470739"/>
          <c:y val="0.14420107547532224"/>
          <c:w val="0.86275252937781122"/>
          <c:h val="0.60310145714544383"/>
        </c:manualLayout>
      </c:layout>
      <c:barChart>
        <c:barDir val="col"/>
        <c:grouping val="clustered"/>
        <c:ser>
          <c:idx val="0"/>
          <c:order val="0"/>
          <c:tx>
            <c:strRef>
              <c:f>'5.10'!$R$45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Lbls>
            <c:dLbl>
              <c:idx val="4"/>
              <c:layout>
                <c:manualLayout>
                  <c:x val="0"/>
                  <c:y val="1.6260162601625945E-2"/>
                </c:manualLayout>
              </c:layout>
              <c:dLblPos val="inEnd"/>
              <c:showVal val="1"/>
            </c:dLbl>
            <c:dLbl>
              <c:idx val="5"/>
              <c:layout>
                <c:manualLayout>
                  <c:x val="0"/>
                  <c:y val="2.4390243902438939E-2"/>
                </c:manualLayout>
              </c:layout>
              <c:dLblPos val="inEnd"/>
              <c:showVal val="1"/>
            </c:dLbl>
            <c:txPr>
              <a:bodyPr rot="-5400000" vert="horz"/>
              <a:lstStyle/>
              <a:p>
                <a:pPr>
                  <a:defRPr sz="700" b="0">
                    <a:solidFill>
                      <a:sysClr val="windowText" lastClr="000000"/>
                    </a:solidFill>
                    <a:latin typeface="Tahoma" pitchFamily="34" charset="0"/>
                    <a:cs typeface="Rod Transparent" pitchFamily="49" charset="-79"/>
                  </a:defRPr>
                </a:pPr>
                <a:endParaRPr lang="en-US"/>
              </a:p>
            </c:txPr>
            <c:dLblPos val="inEnd"/>
            <c:showVal val="1"/>
          </c:dLbls>
          <c:cat>
            <c:multiLvlStrRef>
              <c:f>'5.10'!$S$42:$AA$43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'5.10'!$S$45:$AA$45</c:f>
              <c:numCache>
                <c:formatCode>_(* #,##0_);_(* \(#,##0\);_(* "-"??_);_(@_)</c:formatCode>
                <c:ptCount val="9"/>
                <c:pt idx="0">
                  <c:v>17657</c:v>
                </c:pt>
                <c:pt idx="1">
                  <c:v>8603</c:v>
                </c:pt>
                <c:pt idx="2">
                  <c:v>9054</c:v>
                </c:pt>
                <c:pt idx="3">
                  <c:v>7540</c:v>
                </c:pt>
                <c:pt idx="4">
                  <c:v>3549</c:v>
                </c:pt>
                <c:pt idx="5">
                  <c:v>3991</c:v>
                </c:pt>
                <c:pt idx="6">
                  <c:v>10117</c:v>
                </c:pt>
                <c:pt idx="7">
                  <c:v>5054</c:v>
                </c:pt>
                <c:pt idx="8">
                  <c:v>5063</c:v>
                </c:pt>
              </c:numCache>
            </c:numRef>
          </c:val>
        </c:ser>
        <c:ser>
          <c:idx val="1"/>
          <c:order val="1"/>
          <c:tx>
            <c:strRef>
              <c:f>'5.10'!$R$46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Lbls>
            <c:dLbl>
              <c:idx val="4"/>
              <c:layout>
                <c:manualLayout>
                  <c:x val="0"/>
                  <c:y val="2.0325203252032437E-2"/>
                </c:manualLayout>
              </c:layout>
              <c:dLblPos val="inEnd"/>
              <c:showVal val="1"/>
            </c:dLbl>
            <c:numFmt formatCode="#,##0" sourceLinked="0"/>
            <c:txPr>
              <a:bodyPr rot="-5400000" vert="horz"/>
              <a:lstStyle/>
              <a:p>
                <a:pPr>
                  <a:defRPr sz="700" b="0">
                    <a:latin typeface="Tahoma" pitchFamily="34" charset="0"/>
                    <a:cs typeface="Rod Transparent" pitchFamily="49" charset="-79"/>
                  </a:defRPr>
                </a:pPr>
                <a:endParaRPr lang="en-US"/>
              </a:p>
            </c:txPr>
            <c:dLblPos val="inEnd"/>
            <c:showVal val="1"/>
          </c:dLbls>
          <c:cat>
            <c:multiLvlStrRef>
              <c:f>'5.10'!$S$42:$AA$43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'5.10'!$S$46:$AA$46</c:f>
              <c:numCache>
                <c:formatCode>General</c:formatCode>
                <c:ptCount val="9"/>
                <c:pt idx="0">
                  <c:v>24207</c:v>
                </c:pt>
                <c:pt idx="1">
                  <c:v>11219</c:v>
                </c:pt>
                <c:pt idx="2">
                  <c:v>12988</c:v>
                </c:pt>
                <c:pt idx="3">
                  <c:v>8522</c:v>
                </c:pt>
                <c:pt idx="4">
                  <c:v>3837</c:v>
                </c:pt>
                <c:pt idx="5">
                  <c:v>4685</c:v>
                </c:pt>
                <c:pt idx="6">
                  <c:v>15685</c:v>
                </c:pt>
                <c:pt idx="7">
                  <c:v>7382</c:v>
                </c:pt>
                <c:pt idx="8">
                  <c:v>8303</c:v>
                </c:pt>
              </c:numCache>
            </c:numRef>
          </c:val>
        </c:ser>
        <c:gapWidth val="63"/>
        <c:axId val="74056064"/>
        <c:axId val="74057600"/>
      </c:barChart>
      <c:catAx>
        <c:axId val="74056064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74057600"/>
        <c:crosses val="autoZero"/>
        <c:auto val="1"/>
        <c:lblAlgn val="ctr"/>
        <c:lblOffset val="100"/>
      </c:catAx>
      <c:valAx>
        <c:axId val="74057600"/>
        <c:scaling>
          <c:orientation val="minMax"/>
          <c:max val="25000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8.0712939928152226E-3"/>
              <c:y val="0.31101203728844307"/>
            </c:manualLayout>
          </c:layout>
        </c:title>
        <c:numFmt formatCode="_(* #,##0_);_(* \(#,##0\);_(* &quot;-&quot;??_);_(@_)" sourceLinked="1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7405606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9018573299663977"/>
          <c:y val="0.18104464009605381"/>
          <c:w val="0.17066777367114822"/>
          <c:h val="5.5389351990825349E-2"/>
        </c:manualLayout>
      </c:layout>
      <c:txPr>
        <a:bodyPr/>
        <a:lstStyle/>
        <a:p>
          <a:pPr>
            <a:defRPr sz="900" b="1"/>
          </a:pPr>
          <a:endParaRPr lang="en-US"/>
        </a:p>
      </c:txPr>
    </c:legend>
    <c:plotVisOnly val="1"/>
    <c:dispBlanksAs val="gap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23</xdr:row>
      <xdr:rowOff>123825</xdr:rowOff>
    </xdr:from>
    <xdr:to>
      <xdr:col>12</xdr:col>
      <xdr:colOff>561975</xdr:colOff>
      <xdr:row>38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2:AA51"/>
  <sheetViews>
    <sheetView tabSelected="1" workbookViewId="0">
      <selection activeCell="Q32" sqref="Q32"/>
    </sheetView>
  </sheetViews>
  <sheetFormatPr defaultColWidth="9.109375" defaultRowHeight="14.4"/>
  <cols>
    <col min="1" max="1" width="10.33203125" style="1" customWidth="1"/>
    <col min="2" max="2" width="1.88671875" style="1" customWidth="1"/>
    <col min="3" max="5" width="9.109375" style="1"/>
    <col min="6" max="6" width="1.6640625" style="1" customWidth="1"/>
    <col min="7" max="9" width="9.109375" style="1"/>
    <col min="10" max="10" width="1.6640625" style="1" customWidth="1"/>
    <col min="11" max="13" width="9.109375" style="1"/>
    <col min="14" max="14" width="7.33203125" style="1" customWidth="1"/>
    <col min="15" max="16384" width="9.109375" style="1"/>
  </cols>
  <sheetData>
    <row r="2" spans="1:15" ht="19.2">
      <c r="A2" s="29" t="s">
        <v>28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5">
      <c r="A3" s="30" t="s">
        <v>27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1:15" ht="13.5" customHeight="1">
      <c r="A5" s="34" t="s">
        <v>26</v>
      </c>
      <c r="B5" s="19"/>
      <c r="C5" s="36" t="s">
        <v>8</v>
      </c>
      <c r="D5" s="36"/>
      <c r="E5" s="36"/>
      <c r="F5" s="12"/>
      <c r="G5" s="36" t="s">
        <v>7</v>
      </c>
      <c r="H5" s="36"/>
      <c r="I5" s="36"/>
      <c r="J5" s="12"/>
      <c r="K5" s="36" t="s">
        <v>9</v>
      </c>
      <c r="L5" s="36"/>
      <c r="M5" s="36"/>
    </row>
    <row r="6" spans="1:15" ht="12" customHeight="1">
      <c r="A6" s="35"/>
      <c r="B6" s="6"/>
      <c r="C6" s="37" t="s">
        <v>0</v>
      </c>
      <c r="D6" s="37"/>
      <c r="E6" s="37"/>
      <c r="F6" s="6"/>
      <c r="G6" s="38" t="s">
        <v>1</v>
      </c>
      <c r="H6" s="38"/>
      <c r="I6" s="38"/>
      <c r="J6" s="6"/>
      <c r="K6" s="38" t="s">
        <v>2</v>
      </c>
      <c r="L6" s="38"/>
      <c r="M6" s="38"/>
    </row>
    <row r="7" spans="1:15">
      <c r="A7" s="32" t="s">
        <v>10</v>
      </c>
      <c r="B7" s="6"/>
      <c r="C7" s="7" t="s">
        <v>11</v>
      </c>
      <c r="D7" s="7" t="s">
        <v>5</v>
      </c>
      <c r="E7" s="7" t="s">
        <v>6</v>
      </c>
      <c r="F7" s="25"/>
      <c r="G7" s="7" t="s">
        <v>11</v>
      </c>
      <c r="H7" s="7" t="s">
        <v>5</v>
      </c>
      <c r="I7" s="7" t="s">
        <v>6</v>
      </c>
      <c r="J7" s="25"/>
      <c r="K7" s="7" t="s">
        <v>11</v>
      </c>
      <c r="L7" s="7" t="s">
        <v>5</v>
      </c>
      <c r="M7" s="7" t="s">
        <v>6</v>
      </c>
    </row>
    <row r="8" spans="1:15" ht="18.600000000000001">
      <c r="A8" s="33"/>
      <c r="B8" s="14"/>
      <c r="C8" s="20" t="s">
        <v>25</v>
      </c>
      <c r="D8" s="20" t="s">
        <v>3</v>
      </c>
      <c r="E8" s="20" t="s">
        <v>4</v>
      </c>
      <c r="F8" s="26"/>
      <c r="G8" s="20" t="s">
        <v>25</v>
      </c>
      <c r="H8" s="20" t="s">
        <v>3</v>
      </c>
      <c r="I8" s="20" t="s">
        <v>4</v>
      </c>
      <c r="J8" s="26"/>
      <c r="K8" s="20" t="s">
        <v>25</v>
      </c>
      <c r="L8" s="20" t="s">
        <v>3</v>
      </c>
      <c r="M8" s="20" t="s">
        <v>4</v>
      </c>
    </row>
    <row r="9" spans="1:15" s="3" customFormat="1" ht="9.6" customHeight="1">
      <c r="A9" s="25"/>
      <c r="B9" s="6"/>
      <c r="C9" s="11"/>
      <c r="D9" s="11"/>
      <c r="E9" s="11"/>
      <c r="F9" s="13"/>
      <c r="G9" s="11"/>
      <c r="H9" s="11"/>
      <c r="I9" s="11"/>
      <c r="J9" s="13"/>
      <c r="K9" s="11"/>
      <c r="L9" s="11"/>
      <c r="M9" s="11"/>
    </row>
    <row r="10" spans="1:15">
      <c r="A10" s="15" t="s">
        <v>12</v>
      </c>
      <c r="B10" s="15"/>
      <c r="C10" s="16">
        <f>SUM(C11:C21)</f>
        <v>24207</v>
      </c>
      <c r="D10" s="16">
        <f>SUM(D11:D21)</f>
        <v>11219</v>
      </c>
      <c r="E10" s="16">
        <f>SUM(E11:E21)</f>
        <v>12988</v>
      </c>
      <c r="F10" s="16"/>
      <c r="G10" s="16">
        <f>SUM(G11:G21)</f>
        <v>8522</v>
      </c>
      <c r="H10" s="16">
        <f>SUM(H11:H21)</f>
        <v>3837</v>
      </c>
      <c r="I10" s="16">
        <f>SUM(I11:I21)</f>
        <v>4685</v>
      </c>
      <c r="J10" s="16"/>
      <c r="K10" s="16">
        <f>SUM(K11:K21)</f>
        <v>15685</v>
      </c>
      <c r="L10" s="16">
        <f>SUM(L11:L21)</f>
        <v>7382</v>
      </c>
      <c r="M10" s="16">
        <f>SUM(M11:M21)</f>
        <v>8303</v>
      </c>
      <c r="N10" s="24"/>
      <c r="O10" s="24"/>
    </row>
    <row r="11" spans="1:15">
      <c r="A11" s="8" t="s">
        <v>13</v>
      </c>
      <c r="B11" s="8"/>
      <c r="C11" s="17">
        <f>D11+E11</f>
        <v>126</v>
      </c>
      <c r="D11" s="17">
        <f>H11+L11</f>
        <v>64</v>
      </c>
      <c r="E11" s="17">
        <f>I11+M11</f>
        <v>62</v>
      </c>
      <c r="F11" s="17"/>
      <c r="G11" s="17">
        <f>H11+I11</f>
        <v>78</v>
      </c>
      <c r="H11" s="17">
        <v>41</v>
      </c>
      <c r="I11" s="17">
        <v>37</v>
      </c>
      <c r="J11" s="17"/>
      <c r="K11" s="17">
        <f>L11+M11</f>
        <v>48</v>
      </c>
      <c r="L11" s="17">
        <v>23</v>
      </c>
      <c r="M11" s="17">
        <v>25</v>
      </c>
      <c r="N11" s="24"/>
      <c r="O11" s="24"/>
    </row>
    <row r="12" spans="1:15">
      <c r="A12" s="8" t="s">
        <v>14</v>
      </c>
      <c r="B12" s="8"/>
      <c r="C12" s="17">
        <f t="shared" ref="C12:C21" si="0">D12+E12</f>
        <v>2235</v>
      </c>
      <c r="D12" s="17">
        <f t="shared" ref="D12:E21" si="1">H12+L12</f>
        <v>819</v>
      </c>
      <c r="E12" s="17">
        <f t="shared" si="1"/>
        <v>1416</v>
      </c>
      <c r="F12" s="17"/>
      <c r="G12" s="17">
        <f t="shared" ref="G12:G21" si="2">H12+I12</f>
        <v>841</v>
      </c>
      <c r="H12" s="17">
        <v>356</v>
      </c>
      <c r="I12" s="17">
        <v>485</v>
      </c>
      <c r="J12" s="17"/>
      <c r="K12" s="17">
        <f t="shared" ref="K12:K21" si="3">L12+M12</f>
        <v>1394</v>
      </c>
      <c r="L12" s="17">
        <v>463</v>
      </c>
      <c r="M12" s="17">
        <v>931</v>
      </c>
      <c r="N12" s="24"/>
      <c r="O12" s="24"/>
    </row>
    <row r="13" spans="1:15">
      <c r="A13" s="8" t="s">
        <v>15</v>
      </c>
      <c r="B13" s="8"/>
      <c r="C13" s="17">
        <f t="shared" si="0"/>
        <v>5471</v>
      </c>
      <c r="D13" s="17">
        <f t="shared" si="1"/>
        <v>2050</v>
      </c>
      <c r="E13" s="17">
        <f t="shared" si="1"/>
        <v>3421</v>
      </c>
      <c r="F13" s="17"/>
      <c r="G13" s="17">
        <f t="shared" si="2"/>
        <v>1808</v>
      </c>
      <c r="H13" s="17">
        <v>725</v>
      </c>
      <c r="I13" s="17">
        <v>1083</v>
      </c>
      <c r="J13" s="17"/>
      <c r="K13" s="17">
        <f t="shared" si="3"/>
        <v>3663</v>
      </c>
      <c r="L13" s="17">
        <v>1325</v>
      </c>
      <c r="M13" s="17">
        <v>2338</v>
      </c>
      <c r="N13" s="24"/>
      <c r="O13" s="24"/>
    </row>
    <row r="14" spans="1:15">
      <c r="A14" s="8" t="s">
        <v>16</v>
      </c>
      <c r="B14" s="8"/>
      <c r="C14" s="17">
        <f t="shared" si="0"/>
        <v>4673</v>
      </c>
      <c r="D14" s="17">
        <f t="shared" si="1"/>
        <v>2055</v>
      </c>
      <c r="E14" s="17">
        <f t="shared" si="1"/>
        <v>2618</v>
      </c>
      <c r="F14" s="17"/>
      <c r="G14" s="17">
        <f t="shared" si="2"/>
        <v>1667</v>
      </c>
      <c r="H14" s="17">
        <v>741</v>
      </c>
      <c r="I14" s="17">
        <v>926</v>
      </c>
      <c r="J14" s="17"/>
      <c r="K14" s="17">
        <f t="shared" si="3"/>
        <v>3006</v>
      </c>
      <c r="L14" s="17">
        <v>1314</v>
      </c>
      <c r="M14" s="17">
        <v>1692</v>
      </c>
      <c r="N14" s="24"/>
      <c r="O14" s="24"/>
    </row>
    <row r="15" spans="1:15">
      <c r="A15" s="8" t="s">
        <v>17</v>
      </c>
      <c r="B15" s="8"/>
      <c r="C15" s="17">
        <f t="shared" si="0"/>
        <v>3647</v>
      </c>
      <c r="D15" s="17">
        <f t="shared" si="1"/>
        <v>1673</v>
      </c>
      <c r="E15" s="17">
        <f t="shared" si="1"/>
        <v>1974</v>
      </c>
      <c r="F15" s="17"/>
      <c r="G15" s="17">
        <f t="shared" si="2"/>
        <v>1298</v>
      </c>
      <c r="H15" s="17">
        <v>560</v>
      </c>
      <c r="I15" s="17">
        <v>738</v>
      </c>
      <c r="J15" s="17"/>
      <c r="K15" s="17">
        <f t="shared" si="3"/>
        <v>2349</v>
      </c>
      <c r="L15" s="17">
        <v>1113</v>
      </c>
      <c r="M15" s="17">
        <v>1236</v>
      </c>
      <c r="N15" s="24"/>
      <c r="O15" s="24"/>
    </row>
    <row r="16" spans="1:15">
      <c r="A16" s="8" t="s">
        <v>18</v>
      </c>
      <c r="B16" s="8"/>
      <c r="C16" s="17">
        <f t="shared" si="0"/>
        <v>2857</v>
      </c>
      <c r="D16" s="17">
        <f t="shared" si="1"/>
        <v>1428</v>
      </c>
      <c r="E16" s="17">
        <f t="shared" si="1"/>
        <v>1429</v>
      </c>
      <c r="F16" s="17"/>
      <c r="G16" s="17">
        <f t="shared" si="2"/>
        <v>1073</v>
      </c>
      <c r="H16" s="17">
        <v>493</v>
      </c>
      <c r="I16" s="17">
        <v>580</v>
      </c>
      <c r="J16" s="17"/>
      <c r="K16" s="17">
        <f t="shared" si="3"/>
        <v>1784</v>
      </c>
      <c r="L16" s="17">
        <v>935</v>
      </c>
      <c r="M16" s="17">
        <v>849</v>
      </c>
      <c r="N16" s="24"/>
      <c r="O16" s="24"/>
    </row>
    <row r="17" spans="1:20">
      <c r="A17" s="8" t="s">
        <v>19</v>
      </c>
      <c r="B17" s="8"/>
      <c r="C17" s="17">
        <f t="shared" si="0"/>
        <v>2146</v>
      </c>
      <c r="D17" s="17">
        <f t="shared" si="1"/>
        <v>1144</v>
      </c>
      <c r="E17" s="17">
        <f t="shared" si="1"/>
        <v>1002</v>
      </c>
      <c r="F17" s="17"/>
      <c r="G17" s="17">
        <f t="shared" si="2"/>
        <v>765</v>
      </c>
      <c r="H17" s="17">
        <v>368</v>
      </c>
      <c r="I17" s="17">
        <v>397</v>
      </c>
      <c r="J17" s="17"/>
      <c r="K17" s="17">
        <f t="shared" si="3"/>
        <v>1381</v>
      </c>
      <c r="L17" s="17">
        <v>776</v>
      </c>
      <c r="M17" s="17">
        <v>605</v>
      </c>
      <c r="N17" s="24"/>
      <c r="O17" s="24"/>
    </row>
    <row r="18" spans="1:20">
      <c r="A18" s="8" t="s">
        <v>20</v>
      </c>
      <c r="B18" s="8"/>
      <c r="C18" s="17">
        <f t="shared" si="0"/>
        <v>1466</v>
      </c>
      <c r="D18" s="17">
        <f t="shared" si="1"/>
        <v>907</v>
      </c>
      <c r="E18" s="17">
        <f t="shared" si="1"/>
        <v>559</v>
      </c>
      <c r="F18" s="17"/>
      <c r="G18" s="17">
        <f t="shared" si="2"/>
        <v>516</v>
      </c>
      <c r="H18" s="17">
        <v>275</v>
      </c>
      <c r="I18" s="17">
        <v>241</v>
      </c>
      <c r="J18" s="17"/>
      <c r="K18" s="17">
        <f t="shared" si="3"/>
        <v>950</v>
      </c>
      <c r="L18" s="17">
        <v>632</v>
      </c>
      <c r="M18" s="17">
        <v>318</v>
      </c>
      <c r="N18" s="24"/>
      <c r="O18" s="24"/>
    </row>
    <row r="19" spans="1:20">
      <c r="A19" s="8" t="s">
        <v>21</v>
      </c>
      <c r="B19" s="8"/>
      <c r="C19" s="17">
        <f t="shared" si="0"/>
        <v>1045</v>
      </c>
      <c r="D19" s="17">
        <f t="shared" si="1"/>
        <v>692</v>
      </c>
      <c r="E19" s="17">
        <f t="shared" si="1"/>
        <v>353</v>
      </c>
      <c r="F19" s="17"/>
      <c r="G19" s="17">
        <f t="shared" si="2"/>
        <v>322</v>
      </c>
      <c r="H19" s="17">
        <v>174</v>
      </c>
      <c r="I19" s="17">
        <v>148</v>
      </c>
      <c r="J19" s="17"/>
      <c r="K19" s="17">
        <f t="shared" si="3"/>
        <v>723</v>
      </c>
      <c r="L19" s="17">
        <v>518</v>
      </c>
      <c r="M19" s="17">
        <v>205</v>
      </c>
      <c r="N19" s="24"/>
      <c r="O19" s="24"/>
    </row>
    <row r="20" spans="1:20">
      <c r="A20" s="8" t="s">
        <v>22</v>
      </c>
      <c r="B20" s="8"/>
      <c r="C20" s="17">
        <f t="shared" si="0"/>
        <v>501</v>
      </c>
      <c r="D20" s="17">
        <f t="shared" si="1"/>
        <v>359</v>
      </c>
      <c r="E20" s="17">
        <f t="shared" si="1"/>
        <v>142</v>
      </c>
      <c r="F20" s="17"/>
      <c r="G20" s="17">
        <f t="shared" si="2"/>
        <v>145</v>
      </c>
      <c r="H20" s="17">
        <v>97</v>
      </c>
      <c r="I20" s="17">
        <v>48</v>
      </c>
      <c r="J20" s="17"/>
      <c r="K20" s="17">
        <f t="shared" si="3"/>
        <v>356</v>
      </c>
      <c r="L20" s="17">
        <v>262</v>
      </c>
      <c r="M20" s="17">
        <v>94</v>
      </c>
      <c r="N20" s="24"/>
      <c r="O20" s="24"/>
    </row>
    <row r="21" spans="1:20">
      <c r="A21" s="9" t="s">
        <v>23</v>
      </c>
      <c r="B21" s="9"/>
      <c r="C21" s="18">
        <f t="shared" si="0"/>
        <v>40</v>
      </c>
      <c r="D21" s="18">
        <f t="shared" si="1"/>
        <v>28</v>
      </c>
      <c r="E21" s="18">
        <f t="shared" si="1"/>
        <v>12</v>
      </c>
      <c r="F21" s="18"/>
      <c r="G21" s="18">
        <f t="shared" si="2"/>
        <v>9</v>
      </c>
      <c r="H21" s="18">
        <v>7</v>
      </c>
      <c r="I21" s="18">
        <v>2</v>
      </c>
      <c r="J21" s="18"/>
      <c r="K21" s="18">
        <f t="shared" si="3"/>
        <v>31</v>
      </c>
      <c r="L21" s="18">
        <v>21</v>
      </c>
      <c r="M21" s="18">
        <v>10</v>
      </c>
      <c r="N21" s="24"/>
      <c r="O21" s="24"/>
    </row>
    <row r="22" spans="1:20" s="5" customFormat="1" ht="16.8">
      <c r="A22" s="10" t="s">
        <v>24</v>
      </c>
      <c r="B22" s="21"/>
      <c r="C22" s="4"/>
      <c r="D22" s="4"/>
      <c r="E22" s="4"/>
      <c r="F22" s="4"/>
      <c r="G22" s="4"/>
      <c r="H22" s="4"/>
      <c r="I22" s="4"/>
      <c r="M22" s="2" t="s">
        <v>29</v>
      </c>
    </row>
    <row r="27" spans="1:20">
      <c r="C27" s="6" t="s">
        <v>10</v>
      </c>
      <c r="D27" s="1" t="s">
        <v>5</v>
      </c>
      <c r="E27" s="1" t="s">
        <v>6</v>
      </c>
    </row>
    <row r="28" spans="1:20">
      <c r="C28" s="8" t="s">
        <v>13</v>
      </c>
      <c r="D28" s="17">
        <v>8</v>
      </c>
      <c r="E28" s="17">
        <v>12</v>
      </c>
      <c r="T28" s="27"/>
    </row>
    <row r="29" spans="1:20">
      <c r="C29" s="8" t="s">
        <v>14</v>
      </c>
      <c r="D29" s="17">
        <v>554</v>
      </c>
      <c r="E29" s="17">
        <v>736</v>
      </c>
    </row>
    <row r="30" spans="1:20">
      <c r="C30" s="8" t="s">
        <v>15</v>
      </c>
      <c r="D30" s="17">
        <v>1534</v>
      </c>
      <c r="E30" s="17">
        <v>2232</v>
      </c>
    </row>
    <row r="31" spans="1:20">
      <c r="C31" s="8" t="s">
        <v>16</v>
      </c>
      <c r="D31" s="17">
        <v>1451</v>
      </c>
      <c r="E31" s="17">
        <v>1873</v>
      </c>
    </row>
    <row r="32" spans="1:20">
      <c r="C32" s="8" t="s">
        <v>17</v>
      </c>
      <c r="D32" s="17">
        <v>1208</v>
      </c>
      <c r="E32" s="17">
        <v>1440</v>
      </c>
    </row>
    <row r="33" spans="3:27">
      <c r="C33" s="8" t="s">
        <v>18</v>
      </c>
      <c r="D33" s="17">
        <v>1108</v>
      </c>
      <c r="E33" s="17">
        <v>1123</v>
      </c>
    </row>
    <row r="34" spans="3:27">
      <c r="C34" s="8" t="s">
        <v>19</v>
      </c>
      <c r="D34" s="17">
        <v>954</v>
      </c>
      <c r="E34" s="17">
        <v>776</v>
      </c>
    </row>
    <row r="35" spans="3:27">
      <c r="C35" s="8" t="s">
        <v>20</v>
      </c>
      <c r="D35" s="17">
        <v>781</v>
      </c>
      <c r="E35" s="17">
        <v>448</v>
      </c>
    </row>
    <row r="36" spans="3:27">
      <c r="C36" s="8" t="s">
        <v>21</v>
      </c>
      <c r="D36" s="17">
        <v>611</v>
      </c>
      <c r="E36" s="17">
        <v>282</v>
      </c>
    </row>
    <row r="37" spans="3:27">
      <c r="C37" s="8" t="s">
        <v>22</v>
      </c>
      <c r="D37" s="17">
        <v>327</v>
      </c>
      <c r="E37" s="17">
        <v>114</v>
      </c>
    </row>
    <row r="38" spans="3:27">
      <c r="C38" s="9" t="s">
        <v>23</v>
      </c>
      <c r="D38" s="18">
        <v>67</v>
      </c>
      <c r="E38" s="18">
        <v>18</v>
      </c>
    </row>
    <row r="42" spans="3:27">
      <c r="S42" s="31" t="s">
        <v>0</v>
      </c>
      <c r="T42" s="31"/>
      <c r="U42" s="31"/>
      <c r="V42" s="31" t="s">
        <v>1</v>
      </c>
      <c r="W42" s="31"/>
      <c r="X42" s="31"/>
      <c r="Y42" s="31" t="s">
        <v>2</v>
      </c>
      <c r="Z42" s="31"/>
      <c r="AA42" s="31"/>
    </row>
    <row r="43" spans="3:27">
      <c r="R43" s="6"/>
      <c r="S43" s="7" t="s">
        <v>11</v>
      </c>
      <c r="T43" s="7" t="s">
        <v>5</v>
      </c>
      <c r="U43" s="7" t="s">
        <v>6</v>
      </c>
      <c r="V43" s="7" t="s">
        <v>11</v>
      </c>
      <c r="W43" s="7" t="s">
        <v>5</v>
      </c>
      <c r="X43" s="7" t="s">
        <v>6</v>
      </c>
      <c r="Y43" s="7" t="s">
        <v>11</v>
      </c>
      <c r="Z43" s="7" t="s">
        <v>5</v>
      </c>
      <c r="AA43" s="7" t="s">
        <v>6</v>
      </c>
    </row>
    <row r="44" spans="3:27">
      <c r="R44" s="22">
        <v>2011</v>
      </c>
      <c r="S44" s="28">
        <v>19125</v>
      </c>
      <c r="T44" s="28">
        <v>9728</v>
      </c>
      <c r="U44" s="28">
        <v>9397</v>
      </c>
      <c r="V44" s="28">
        <v>6842</v>
      </c>
      <c r="W44" s="28">
        <v>3309</v>
      </c>
      <c r="X44" s="28">
        <v>3533</v>
      </c>
      <c r="Y44" s="28">
        <v>12283</v>
      </c>
      <c r="Z44" s="28">
        <v>6419</v>
      </c>
      <c r="AA44" s="28">
        <v>5864</v>
      </c>
    </row>
    <row r="45" spans="3:27">
      <c r="R45" s="1">
        <v>2012</v>
      </c>
      <c r="S45" s="28">
        <v>17657</v>
      </c>
      <c r="T45" s="28">
        <v>8603</v>
      </c>
      <c r="U45" s="28">
        <v>9054</v>
      </c>
      <c r="V45" s="28">
        <v>7540</v>
      </c>
      <c r="W45" s="28">
        <v>3549</v>
      </c>
      <c r="X45" s="28">
        <v>3991</v>
      </c>
      <c r="Y45" s="28">
        <v>10117</v>
      </c>
      <c r="Z45" s="28">
        <v>5054</v>
      </c>
      <c r="AA45" s="28">
        <v>5063</v>
      </c>
    </row>
    <row r="46" spans="3:27">
      <c r="R46" s="1">
        <v>2013</v>
      </c>
      <c r="S46" s="1">
        <v>24207</v>
      </c>
      <c r="T46" s="1">
        <v>11219</v>
      </c>
      <c r="U46" s="1">
        <v>12988</v>
      </c>
      <c r="V46" s="1">
        <v>8522</v>
      </c>
      <c r="W46" s="1">
        <v>3837</v>
      </c>
      <c r="X46" s="1">
        <v>4685</v>
      </c>
      <c r="Y46" s="1">
        <v>15685</v>
      </c>
      <c r="Z46" s="1">
        <v>7382</v>
      </c>
      <c r="AA46" s="1">
        <v>8303</v>
      </c>
    </row>
    <row r="50" spans="19:19">
      <c r="S50" s="23">
        <f>V45+Y45</f>
        <v>17657</v>
      </c>
    </row>
    <row r="51" spans="19:19">
      <c r="S51" s="23">
        <f>V46+Y46</f>
        <v>24207</v>
      </c>
    </row>
  </sheetData>
  <mergeCells count="14">
    <mergeCell ref="S42:U42"/>
    <mergeCell ref="V42:X42"/>
    <mergeCell ref="Y42:AA42"/>
    <mergeCell ref="A7:A8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</mergeCells>
  <pageMargins left="0.28999999999999998" right="0.22" top="0.75" bottom="0.75" header="0.3" footer="0.3"/>
  <pageSetup paperSize="9" scale="95" orientation="portrait" r:id="rId1"/>
  <ignoredErrors>
    <ignoredError sqref="C11:M2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5.10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2015-01-20T06:54:33Z</cp:lastPrinted>
  <dcterms:created xsi:type="dcterms:W3CDTF">2013-03-26T05:45:33Z</dcterms:created>
  <dcterms:modified xsi:type="dcterms:W3CDTF">2015-01-20T07:01:59Z</dcterms:modified>
</cp:coreProperties>
</file>