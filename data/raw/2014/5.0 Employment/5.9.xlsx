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9" sheetId="9" r:id="rId1"/>
  </sheets>
  <definedNames>
    <definedName name="_xlnm.Print_Area" localSheetId="0">'5.9'!$A$1:$N$86</definedName>
  </definedNames>
  <calcPr calcId="124519"/>
</workbook>
</file>

<file path=xl/calcChain.xml><?xml version="1.0" encoding="utf-8"?>
<calcChain xmlns="http://schemas.openxmlformats.org/spreadsheetml/2006/main">
  <c r="C56" i="9"/>
  <c r="E17" l="1"/>
  <c r="K68"/>
  <c r="G68"/>
  <c r="E68"/>
  <c r="D68"/>
  <c r="C68" s="1"/>
  <c r="K67"/>
  <c r="G67"/>
  <c r="E67"/>
  <c r="D67"/>
  <c r="C67"/>
  <c r="K66"/>
  <c r="G66"/>
  <c r="E66"/>
  <c r="D66"/>
  <c r="C66" s="1"/>
  <c r="K65"/>
  <c r="G65"/>
  <c r="E65"/>
  <c r="D65"/>
  <c r="C65"/>
  <c r="K64"/>
  <c r="G64"/>
  <c r="E64"/>
  <c r="D64"/>
  <c r="C64" s="1"/>
  <c r="K63"/>
  <c r="G63"/>
  <c r="E63"/>
  <c r="D63"/>
  <c r="C63"/>
  <c r="K62"/>
  <c r="G62"/>
  <c r="E62"/>
  <c r="D62"/>
  <c r="C62" s="1"/>
  <c r="K61"/>
  <c r="G61"/>
  <c r="E61"/>
  <c r="D61"/>
  <c r="C61"/>
  <c r="K60"/>
  <c r="G60"/>
  <c r="E60"/>
  <c r="D60"/>
  <c r="C60" s="1"/>
  <c r="K59"/>
  <c r="G59"/>
  <c r="E59"/>
  <c r="D59"/>
  <c r="K58"/>
  <c r="G58"/>
  <c r="E58"/>
  <c r="D58"/>
  <c r="C58"/>
  <c r="K57"/>
  <c r="G57"/>
  <c r="E57"/>
  <c r="D57"/>
  <c r="C57" s="1"/>
  <c r="K56"/>
  <c r="G56"/>
  <c r="E56"/>
  <c r="D56"/>
  <c r="K55"/>
  <c r="G55"/>
  <c r="E55"/>
  <c r="D55"/>
  <c r="C55" s="1"/>
  <c r="K54"/>
  <c r="G54"/>
  <c r="E54"/>
  <c r="D54"/>
  <c r="C54"/>
  <c r="K53"/>
  <c r="G53"/>
  <c r="E53"/>
  <c r="D53"/>
  <c r="C53" s="1"/>
  <c r="K52"/>
  <c r="G52"/>
  <c r="E52"/>
  <c r="D52"/>
  <c r="C52"/>
  <c r="K51"/>
  <c r="G51"/>
  <c r="E51"/>
  <c r="D51"/>
  <c r="C51" s="1"/>
  <c r="K50"/>
  <c r="G50"/>
  <c r="E50"/>
  <c r="D50"/>
  <c r="C50"/>
  <c r="K49"/>
  <c r="G49"/>
  <c r="E49"/>
  <c r="D49"/>
  <c r="C49" s="1"/>
  <c r="K48"/>
  <c r="G48"/>
  <c r="E48"/>
  <c r="D48"/>
  <c r="C48"/>
  <c r="K47"/>
  <c r="G47"/>
  <c r="E47"/>
  <c r="D47"/>
  <c r="C47" s="1"/>
  <c r="K46"/>
  <c r="G46"/>
  <c r="E46"/>
  <c r="D46"/>
  <c r="C46"/>
  <c r="K45"/>
  <c r="G45"/>
  <c r="E45"/>
  <c r="D45"/>
  <c r="C45" s="1"/>
  <c r="K44"/>
  <c r="G44"/>
  <c r="E44"/>
  <c r="D44"/>
  <c r="C44"/>
  <c r="K43"/>
  <c r="G43"/>
  <c r="E43"/>
  <c r="D43"/>
  <c r="C43" s="1"/>
  <c r="K42"/>
  <c r="G42"/>
  <c r="E42"/>
  <c r="D42"/>
  <c r="C42"/>
  <c r="K41"/>
  <c r="G41"/>
  <c r="E41"/>
  <c r="D41"/>
  <c r="C41" s="1"/>
  <c r="K40"/>
  <c r="G40"/>
  <c r="E40"/>
  <c r="D40"/>
  <c r="C40"/>
  <c r="K39"/>
  <c r="G39"/>
  <c r="E39"/>
  <c r="D39"/>
  <c r="C39" s="1"/>
  <c r="K38"/>
  <c r="G38"/>
  <c r="E38"/>
  <c r="D38"/>
  <c r="C38"/>
  <c r="K37"/>
  <c r="G37"/>
  <c r="E37"/>
  <c r="D37"/>
  <c r="C37" s="1"/>
  <c r="K36"/>
  <c r="G36"/>
  <c r="E36"/>
  <c r="D36"/>
  <c r="C36"/>
  <c r="K35"/>
  <c r="G35"/>
  <c r="E35"/>
  <c r="D35"/>
  <c r="C35" s="1"/>
  <c r="K34"/>
  <c r="G34"/>
  <c r="E34"/>
  <c r="D34"/>
  <c r="C34"/>
  <c r="K33"/>
  <c r="G33"/>
  <c r="E33"/>
  <c r="D33"/>
  <c r="C33" s="1"/>
  <c r="K32"/>
  <c r="G32"/>
  <c r="E32"/>
  <c r="D32"/>
  <c r="C32"/>
  <c r="K31"/>
  <c r="G31"/>
  <c r="E31"/>
  <c r="D31"/>
  <c r="C31" s="1"/>
  <c r="K30"/>
  <c r="G30"/>
  <c r="E30"/>
  <c r="D30"/>
  <c r="C30"/>
  <c r="K29"/>
  <c r="G29"/>
  <c r="E29"/>
  <c r="D29"/>
  <c r="C29" s="1"/>
  <c r="K28"/>
  <c r="G28"/>
  <c r="E28"/>
  <c r="D28"/>
  <c r="C28"/>
  <c r="K27"/>
  <c r="G27"/>
  <c r="E27"/>
  <c r="D27"/>
  <c r="C27" s="1"/>
  <c r="K26"/>
  <c r="G26"/>
  <c r="E26"/>
  <c r="D26"/>
  <c r="C26"/>
  <c r="K25"/>
  <c r="G25"/>
  <c r="E25"/>
  <c r="D25"/>
  <c r="C25" s="1"/>
  <c r="K24"/>
  <c r="G24"/>
  <c r="E24"/>
  <c r="D24"/>
  <c r="C24"/>
  <c r="K23"/>
  <c r="G23"/>
  <c r="E23"/>
  <c r="D23"/>
  <c r="C23" s="1"/>
  <c r="K22"/>
  <c r="G22"/>
  <c r="E22"/>
  <c r="D22"/>
  <c r="C22"/>
  <c r="K21"/>
  <c r="G21"/>
  <c r="E21"/>
  <c r="D21"/>
  <c r="C21" s="1"/>
  <c r="K20"/>
  <c r="G20"/>
  <c r="E20"/>
  <c r="D20"/>
  <c r="C20"/>
  <c r="K19"/>
  <c r="G19"/>
  <c r="E19"/>
  <c r="D19"/>
  <c r="C19" s="1"/>
  <c r="K18"/>
  <c r="G18"/>
  <c r="E18"/>
  <c r="D18"/>
  <c r="C18"/>
  <c r="K17"/>
  <c r="G17"/>
  <c r="D17"/>
  <c r="C17"/>
  <c r="K16"/>
  <c r="G16"/>
  <c r="E16"/>
  <c r="D16"/>
  <c r="C16" s="1"/>
  <c r="K15"/>
  <c r="G15"/>
  <c r="E15"/>
  <c r="D15"/>
  <c r="C15"/>
  <c r="K14"/>
  <c r="G14"/>
  <c r="E14"/>
  <c r="D14"/>
  <c r="C14" s="1"/>
  <c r="K13"/>
  <c r="G13"/>
  <c r="E13"/>
  <c r="D13"/>
  <c r="C13"/>
  <c r="K12"/>
  <c r="G12"/>
  <c r="E12"/>
  <c r="D12"/>
  <c r="C12" s="1"/>
  <c r="K11"/>
  <c r="G11"/>
  <c r="E11"/>
  <c r="D11"/>
  <c r="C11"/>
  <c r="K10"/>
  <c r="G10"/>
  <c r="E10"/>
  <c r="D10"/>
  <c r="D9" s="1"/>
  <c r="M9"/>
  <c r="L9"/>
  <c r="I9"/>
  <c r="H9"/>
  <c r="G9"/>
  <c r="C10" l="1"/>
  <c r="E9"/>
  <c r="K9"/>
  <c r="C59"/>
  <c r="C9"/>
</calcChain>
</file>

<file path=xl/sharedStrings.xml><?xml version="1.0" encoding="utf-8"?>
<sst xmlns="http://schemas.openxmlformats.org/spreadsheetml/2006/main" count="162" uniqueCount="79">
  <si>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</si>
  <si>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</si>
  <si>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</si>
  <si>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</si>
  <si>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</si>
  <si>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</si>
  <si>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</si>
  <si>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</si>
  <si>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Rank</t>
  </si>
  <si>
    <t>Both Sexes</t>
  </si>
  <si>
    <t xml:space="preserve">SS1   </t>
  </si>
  <si>
    <t xml:space="preserve">SS2   </t>
  </si>
  <si>
    <t xml:space="preserve">GS1   </t>
  </si>
  <si>
    <t xml:space="preserve">SS3   </t>
  </si>
  <si>
    <t xml:space="preserve">GS2   </t>
  </si>
  <si>
    <t xml:space="preserve">SS4   </t>
  </si>
  <si>
    <t xml:space="preserve">GS3   </t>
  </si>
  <si>
    <t xml:space="preserve">GS4   </t>
  </si>
  <si>
    <t>CS3-1</t>
  </si>
  <si>
    <t xml:space="preserve">MS1   </t>
  </si>
  <si>
    <t>CS3-2</t>
  </si>
  <si>
    <t>CS4-1</t>
  </si>
  <si>
    <t xml:space="preserve">MS2   </t>
  </si>
  <si>
    <t>CS4-3</t>
  </si>
  <si>
    <t xml:space="preserve">AGL1  </t>
  </si>
  <si>
    <t xml:space="preserve">MS3   </t>
  </si>
  <si>
    <t>CS5-2</t>
  </si>
  <si>
    <t>CS3-3</t>
  </si>
  <si>
    <t>CS5-3</t>
  </si>
  <si>
    <t>CS6-1</t>
  </si>
  <si>
    <t xml:space="preserve">MS4   </t>
  </si>
  <si>
    <t>CS6-2</t>
  </si>
  <si>
    <t>CS5-1</t>
  </si>
  <si>
    <t xml:space="preserve">EX1   </t>
  </si>
  <si>
    <t xml:space="preserve">AGL3  </t>
  </si>
  <si>
    <t xml:space="preserve">AGL4  </t>
  </si>
  <si>
    <t xml:space="preserve">EX2   </t>
  </si>
  <si>
    <t xml:space="preserve">EX3   </t>
  </si>
  <si>
    <t>CS10-2</t>
  </si>
  <si>
    <t>CS11-2</t>
  </si>
  <si>
    <t xml:space="preserve">EX4   </t>
  </si>
  <si>
    <t xml:space="preserve">AGL11 </t>
  </si>
  <si>
    <t xml:space="preserve">EX5   </t>
  </si>
  <si>
    <t>CS13-1</t>
  </si>
  <si>
    <t>CS13-2</t>
  </si>
  <si>
    <t xml:space="preserve">EX6   </t>
  </si>
  <si>
    <t xml:space="preserve">EX7   </t>
  </si>
  <si>
    <t xml:space="preserve">EX8   </t>
  </si>
  <si>
    <t xml:space="preserve">ZV7   </t>
  </si>
  <si>
    <t>Source: Civil Service Commision</t>
  </si>
  <si>
    <t>ދެޖިންސް</t>
  </si>
  <si>
    <t>މުވައްޒަފުންގެ އަދަދު</t>
  </si>
  <si>
    <t>No. of Employees</t>
  </si>
  <si>
    <t>ރޭންކް</t>
  </si>
  <si>
    <t>No: of Employee</t>
  </si>
  <si>
    <r>
      <t xml:space="preserve">Note:  </t>
    </r>
    <r>
      <rPr>
        <sz val="9"/>
        <color theme="1"/>
        <rFont val="Calibri"/>
        <family val="2"/>
        <scheme val="minor"/>
      </rPr>
      <t>Highest 10 job ranks</t>
    </r>
  </si>
  <si>
    <t>ތާވަލް 5.9: ސިވިލް ސަރވިސްގައި ވަޒީފާއަދާކުރާ މުވައްޒަފުން، ރޭންކު އަދި ބޭސިކް މުސާރަ، 2013</t>
  </si>
  <si>
    <t>Table 5.9 :  CIVIL SERVANTS CLASSIFIED BY JOB RANK AND BASIC SALARY, 2013</t>
  </si>
  <si>
    <t xml:space="preserve">AGL5  </t>
  </si>
  <si>
    <t xml:space="preserve">AGL7  </t>
  </si>
  <si>
    <t>CS10-1</t>
  </si>
  <si>
    <t>CS10-3</t>
  </si>
  <si>
    <t>CS11-3</t>
  </si>
  <si>
    <t>CS14-1</t>
  </si>
  <si>
    <t>CS14-3</t>
  </si>
  <si>
    <t>CS15</t>
  </si>
  <si>
    <t>CS16</t>
  </si>
  <si>
    <t>CS2</t>
  </si>
  <si>
    <t>CS6-3</t>
  </si>
  <si>
    <t>CS7-1</t>
  </si>
  <si>
    <t>CS7-2</t>
  </si>
  <si>
    <t>CS7-3</t>
  </si>
  <si>
    <t>CS8-1</t>
  </si>
  <si>
    <t>CS8-2</t>
  </si>
  <si>
    <t>CS9-1</t>
  </si>
  <si>
    <t>CS9-2</t>
  </si>
  <si>
    <t>CS9-3</t>
  </si>
  <si>
    <t xml:space="preserve">SS5   </t>
  </si>
  <si>
    <t>މަޢުލޫމާތު ދެއްވި ފަރާތް: ސިވިލް ސަރވިސް ކޮމިޝަން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</si>
</sst>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color theme="1"/>
      <name val="Faruma"/>
    </font>
    <font>
      <b/>
      <sz val="11"/>
      <name val="A_Reethi"/>
    </font>
    <font>
      <b/>
      <sz val="12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1" fillId="0" borderId="0"/>
    <xf numFmtId="0" fontId="3" fillId="0" borderId="0"/>
    <xf numFmtId="0" fontId="17" fillId="0" borderId="0"/>
  </cellStyleXfs>
  <cellXfs count="50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7" fillId="2" borderId="0" xfId="0" applyFont="1" applyFill="1"/>
    <xf numFmtId="0" fontId="0" fillId="2" borderId="0" xfId="0" applyFont="1" applyFill="1"/>
    <xf numFmtId="3" fontId="7" fillId="2" borderId="2" xfId="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 readingOrder="2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9" fillId="2" borderId="4" xfId="8" applyFont="1" applyFill="1" applyBorder="1"/>
    <xf numFmtId="3" fontId="0" fillId="2" borderId="0" xfId="0" applyNumberFormat="1" applyFont="1" applyFill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vertical="center"/>
    </xf>
    <xf numFmtId="171" fontId="0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64" fontId="8" fillId="2" borderId="7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5" fillId="2" borderId="0" xfId="5" applyFont="1" applyFill="1" applyBorder="1" applyAlignment="1"/>
    <xf numFmtId="174" fontId="16" fillId="2" borderId="0" xfId="7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indent="2"/>
    </xf>
    <xf numFmtId="0" fontId="7" fillId="2" borderId="2" xfId="0" applyFont="1" applyFill="1" applyBorder="1" applyAlignment="1">
      <alignment horizontal="left" vertical="center" indent="2"/>
    </xf>
    <xf numFmtId="164" fontId="10" fillId="2" borderId="0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3" fontId="8" fillId="2" borderId="0" xfId="1" applyNumberFormat="1" applyFont="1" applyFill="1" applyAlignment="1">
      <alignment horizontal="right" vertical="center"/>
    </xf>
    <xf numFmtId="3" fontId="7" fillId="2" borderId="0" xfId="1" applyNumberFormat="1" applyFont="1" applyFill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71" fontId="0" fillId="2" borderId="0" xfId="1" applyNumberFormat="1" applyFont="1" applyFill="1" applyBorder="1"/>
    <xf numFmtId="171" fontId="0" fillId="2" borderId="0" xfId="0" applyNumberFormat="1" applyFill="1" applyBorder="1"/>
    <xf numFmtId="0" fontId="14" fillId="2" borderId="1" xfId="0" applyFont="1" applyFill="1" applyBorder="1" applyAlignment="1">
      <alignment horizontal="center" vertical="center" readingOrder="2"/>
    </xf>
    <xf numFmtId="0" fontId="14" fillId="2" borderId="0" xfId="0" applyFont="1" applyFill="1" applyBorder="1" applyAlignment="1">
      <alignment horizontal="center" vertical="center" readingOrder="2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164" fontId="8" fillId="2" borderId="2" xfId="1" applyNumberFormat="1" applyFont="1" applyFill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15" fillId="2" borderId="0" xfId="5" applyFont="1" applyFill="1" applyBorder="1" applyAlignment="1">
      <alignment horizontal="center"/>
    </xf>
    <xf numFmtId="174" fontId="4" fillId="2" borderId="0" xfId="7" applyNumberFormat="1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>
      <alignment horizontal="center" vertical="center" readingOrder="2"/>
    </xf>
    <xf numFmtId="0" fontId="14" fillId="2" borderId="0" xfId="0" applyFont="1" applyFill="1" applyBorder="1" applyAlignment="1">
      <alignment horizontal="center" vertical="center" readingOrder="2"/>
    </xf>
    <xf numFmtId="0" fontId="8" fillId="2" borderId="5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readingOrder="2"/>
    </xf>
    <xf numFmtId="164" fontId="8" fillId="2" borderId="6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 sz="1000"/>
            </a:pPr>
            <a:r>
              <a:rPr lang="en-US" sz="1000">
                <a:solidFill>
                  <a:schemeClr val="tx1"/>
                </a:solidFill>
              </a:rPr>
              <a:t> Figure 5.3</a:t>
            </a:r>
            <a:r>
              <a:rPr lang="en-US" sz="1000"/>
              <a:t>: Number of civil servants selected by job rank, 2013</a:t>
            </a:r>
          </a:p>
        </c:rich>
      </c:tx>
      <c:layout>
        <c:manualLayout>
          <c:xMode val="edge"/>
          <c:yMode val="edge"/>
          <c:x val="0.20814271417511659"/>
          <c:y val="3.2217322811935151E-2"/>
        </c:manualLayout>
      </c:layout>
    </c:title>
    <c:plotArea>
      <c:layout>
        <c:manualLayout>
          <c:layoutTarget val="inner"/>
          <c:xMode val="edge"/>
          <c:yMode val="edge"/>
          <c:x val="0.15538683567537856"/>
          <c:y val="0.11616725698678311"/>
          <c:w val="0.8304690728190246"/>
          <c:h val="0.66981428161020962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Val val="1"/>
          </c:dLbls>
          <c:cat>
            <c:strRef>
              <c:f>'5.9'!$T$63:$T$72</c:f>
              <c:strCache>
                <c:ptCount val="10"/>
                <c:pt idx="0">
                  <c:v>MS1   </c:v>
                </c:pt>
                <c:pt idx="1">
                  <c:v>SS1   </c:v>
                </c:pt>
                <c:pt idx="2">
                  <c:v>GS3   </c:v>
                </c:pt>
                <c:pt idx="3">
                  <c:v>MS2   </c:v>
                </c:pt>
                <c:pt idx="4">
                  <c:v>SS2   </c:v>
                </c:pt>
                <c:pt idx="5">
                  <c:v>GS4   </c:v>
                </c:pt>
                <c:pt idx="6">
                  <c:v>MS3   </c:v>
                </c:pt>
                <c:pt idx="7">
                  <c:v>GS2   </c:v>
                </c:pt>
                <c:pt idx="8">
                  <c:v>MS4   </c:v>
                </c:pt>
                <c:pt idx="9">
                  <c:v>GS1   </c:v>
                </c:pt>
              </c:strCache>
            </c:strRef>
          </c:cat>
          <c:val>
            <c:numRef>
              <c:f>'5.9'!$U$63:$U$72</c:f>
              <c:numCache>
                <c:formatCode>General</c:formatCode>
                <c:ptCount val="10"/>
                <c:pt idx="0">
                  <c:v>4631</c:v>
                </c:pt>
                <c:pt idx="1">
                  <c:v>3634</c:v>
                </c:pt>
                <c:pt idx="2">
                  <c:v>3357</c:v>
                </c:pt>
                <c:pt idx="3">
                  <c:v>2684</c:v>
                </c:pt>
                <c:pt idx="4">
                  <c:v>2092</c:v>
                </c:pt>
                <c:pt idx="5">
                  <c:v>1838</c:v>
                </c:pt>
                <c:pt idx="6">
                  <c:v>1829</c:v>
                </c:pt>
                <c:pt idx="7">
                  <c:v>1004</c:v>
                </c:pt>
                <c:pt idx="8">
                  <c:v>890</c:v>
                </c:pt>
                <c:pt idx="9">
                  <c:v>585</c:v>
                </c:pt>
              </c:numCache>
            </c:numRef>
          </c:val>
        </c:ser>
        <c:gapWidth val="85"/>
        <c:axId val="71998080"/>
        <c:axId val="72033024"/>
      </c:barChart>
      <c:catAx>
        <c:axId val="71998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Job Rank</a:t>
                </a:r>
              </a:p>
            </c:rich>
          </c:tx>
          <c:layout>
            <c:manualLayout>
              <c:xMode val="edge"/>
              <c:yMode val="edge"/>
              <c:x val="0.47192988541630532"/>
              <c:y val="0.90759848820365452"/>
            </c:manualLayout>
          </c:layout>
        </c:title>
        <c:numFmt formatCode="General" sourceLinked="1"/>
        <c:maj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2033024"/>
        <c:crosses val="autoZero"/>
        <c:auto val="1"/>
        <c:lblAlgn val="ctr"/>
        <c:lblOffset val="100"/>
      </c:catAx>
      <c:valAx>
        <c:axId val="72033024"/>
        <c:scaling>
          <c:orientation val="minMax"/>
        </c:scaling>
        <c:axPos val="l"/>
        <c:title>
          <c:tx>
            <c:rich>
              <a:bodyPr/>
              <a:lstStyle/>
              <a:p>
                <a:pPr algn="ctr" rtl="0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1197598097594628E-2"/>
              <c:y val="0.23392843521336357"/>
            </c:manualLayout>
          </c:layout>
        </c:title>
        <c:numFmt formatCode="#,##0" sourceLinked="0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199808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205741</xdr:colOff>
      <xdr:row>70</xdr:row>
      <xdr:rowOff>134198</xdr:rowOff>
    </xdr:from>
    <xdr:to>
      <xdr:col>11</xdr:col>
      <xdr:colOff>563881</xdr:colOff>
      <xdr:row>84</xdr:row>
      <xdr:rowOff>147929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6509</xdr:colOff>
      <xdr:row>99</xdr:row>
      <xdr:rowOff>91440</xdr:rowOff>
    </xdr:from>
    <xdr:to>
      <xdr:col>2</xdr:col>
      <xdr:colOff>563880</xdr:colOff>
      <xdr:row>100</xdr:row>
      <xdr:rowOff>56585</xdr:rowOff>
    </xdr:to>
    <xdr:sp macro="" textlink="">
      <xdr:nvSpPr>
        <xdr:cNvPr id="7" name="TextBox 6"/>
        <xdr:cNvSpPr txBox="1"/>
      </xdr:nvSpPr>
      <xdr:spPr>
        <a:xfrm>
          <a:off x="6509" y="18333720"/>
          <a:ext cx="1235551" cy="148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1"/>
            <a:t>Note: The highest  10 Ranks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U147"/>
  <sheetViews>
    <sheetView tabSelected="1" zoomScaleSheetLayoutView="100" workbookViewId="0">
      <selection activeCell="Q71" sqref="Q71"/>
    </sheetView>
  </sheetViews>
  <sheetFormatPr defaultColWidth="9.109375" defaultRowHeight="14.4"/>
  <cols>
    <col min="1" max="1" width="9.88671875" style="13" customWidth="1"/>
    <col min="2" max="2" width="1" style="12" hidden="1" customWidth="1"/>
    <col min="3" max="3" width="10.6640625" style="15" customWidth="1"/>
    <col min="4" max="5" width="9.109375" style="15" customWidth="1"/>
    <col min="6" max="6" width="2.109375" style="15" customWidth="1"/>
    <col min="7" max="7" width="11.33203125" style="15" customWidth="1"/>
    <col min="8" max="8" width="9.33203125" style="15" customWidth="1"/>
    <col min="9" max="9" width="9.109375" style="15" customWidth="1"/>
    <col min="10" max="10" width="2.109375" style="15" customWidth="1"/>
    <col min="11" max="13" width="9.109375" style="15" customWidth="1"/>
    <col min="14" max="14" width="6.109375" style="12" customWidth="1"/>
    <col min="15" max="16384" width="9.109375" style="12"/>
  </cols>
  <sheetData>
    <row r="1" spans="1:18" ht="19.2">
      <c r="A1" s="41" t="s">
        <v>56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21"/>
      <c r="O1" s="21"/>
      <c r="P1" s="21"/>
      <c r="Q1" s="21"/>
      <c r="R1" s="1"/>
    </row>
    <row r="2" spans="1:18" ht="15.6">
      <c r="A2" s="42" t="s">
        <v>57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22"/>
      <c r="O2" s="22"/>
      <c r="P2" s="22"/>
      <c r="Q2" s="22"/>
      <c r="R2" s="22"/>
    </row>
    <row r="3" spans="1:18" ht="4.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8" s="4" customFormat="1" ht="18.600000000000001" customHeight="1">
      <c r="A4" s="43" t="s">
        <v>53</v>
      </c>
      <c r="B4" s="34"/>
      <c r="C4" s="45" t="s">
        <v>52</v>
      </c>
      <c r="D4" s="45"/>
      <c r="E4" s="45"/>
      <c r="F4" s="45"/>
      <c r="G4" s="45"/>
      <c r="H4" s="46" t="s">
        <v>51</v>
      </c>
      <c r="I4" s="46"/>
      <c r="J4" s="46"/>
      <c r="K4" s="46"/>
      <c r="L4" s="46"/>
      <c r="M4" s="46"/>
      <c r="Q4" s="7"/>
      <c r="R4" s="7"/>
    </row>
    <row r="5" spans="1:18" s="8" customFormat="1" ht="15" customHeight="1">
      <c r="A5" s="44"/>
      <c r="B5" s="35"/>
      <c r="C5" s="47" t="s">
        <v>1</v>
      </c>
      <c r="D5" s="47"/>
      <c r="E5" s="47"/>
      <c r="F5" s="18"/>
      <c r="G5" s="47" t="s">
        <v>2</v>
      </c>
      <c r="H5" s="47"/>
      <c r="I5" s="47"/>
      <c r="J5" s="18"/>
      <c r="K5" s="47" t="s">
        <v>3</v>
      </c>
      <c r="L5" s="47"/>
      <c r="M5" s="47"/>
    </row>
    <row r="6" spans="1:18" s="8" customFormat="1" ht="18.600000000000001">
      <c r="A6" s="48" t="s">
        <v>8</v>
      </c>
      <c r="B6" s="9"/>
      <c r="C6" s="7" t="s">
        <v>50</v>
      </c>
      <c r="D6" s="7" t="s">
        <v>4</v>
      </c>
      <c r="E6" s="7" t="s">
        <v>5</v>
      </c>
      <c r="F6" s="7"/>
      <c r="G6" s="7" t="s">
        <v>50</v>
      </c>
      <c r="H6" s="7" t="s">
        <v>4</v>
      </c>
      <c r="I6" s="7" t="s">
        <v>5</v>
      </c>
      <c r="J6" s="7"/>
      <c r="K6" s="7" t="s">
        <v>50</v>
      </c>
      <c r="L6" s="7" t="s">
        <v>4</v>
      </c>
      <c r="M6" s="7" t="s">
        <v>5</v>
      </c>
    </row>
    <row r="7" spans="1:18" s="14" customFormat="1" ht="13.8">
      <c r="A7" s="49"/>
      <c r="B7" s="37"/>
      <c r="C7" s="38" t="s">
        <v>9</v>
      </c>
      <c r="D7" s="38" t="s">
        <v>6</v>
      </c>
      <c r="E7" s="38" t="s">
        <v>7</v>
      </c>
      <c r="F7" s="38"/>
      <c r="G7" s="38" t="s">
        <v>9</v>
      </c>
      <c r="H7" s="38" t="s">
        <v>6</v>
      </c>
      <c r="I7" s="38" t="s">
        <v>7</v>
      </c>
      <c r="J7" s="38"/>
      <c r="K7" s="38" t="s">
        <v>9</v>
      </c>
      <c r="L7" s="38" t="s">
        <v>6</v>
      </c>
      <c r="M7" s="38" t="s">
        <v>7</v>
      </c>
    </row>
    <row r="8" spans="1:18" s="14" customFormat="1" ht="13.8">
      <c r="A8" s="36"/>
      <c r="B8" s="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8" s="23" customFormat="1">
      <c r="A9" s="36" t="s">
        <v>0</v>
      </c>
      <c r="B9" s="28"/>
      <c r="C9" s="28">
        <f>SUM(D9:E9)</f>
        <v>24207</v>
      </c>
      <c r="D9" s="28">
        <f>SUM(D10:D68)</f>
        <v>11219</v>
      </c>
      <c r="E9" s="28">
        <f>SUM(E10:E68)</f>
        <v>12988</v>
      </c>
      <c r="F9" s="28"/>
      <c r="G9" s="28">
        <f>SUM(H9:I9)</f>
        <v>8522</v>
      </c>
      <c r="H9" s="28">
        <f>SUM(H10:H68)</f>
        <v>3837</v>
      </c>
      <c r="I9" s="28">
        <f>SUM(I10:I68)</f>
        <v>4685</v>
      </c>
      <c r="J9" s="28"/>
      <c r="K9" s="28">
        <f>SUM(K10:K68)</f>
        <v>15685</v>
      </c>
      <c r="L9" s="28">
        <f>SUM(L10:L68)</f>
        <v>7382</v>
      </c>
      <c r="M9" s="28">
        <f>SUM(M10:M68)</f>
        <v>8303</v>
      </c>
    </row>
    <row r="10" spans="1:18">
      <c r="A10" s="24" t="s">
        <v>24</v>
      </c>
      <c r="B10" s="29"/>
      <c r="C10" s="29">
        <f>D10+E10</f>
        <v>3</v>
      </c>
      <c r="D10" s="29">
        <f>H10+L10</f>
        <v>2</v>
      </c>
      <c r="E10" s="29">
        <f>I10+M10</f>
        <v>1</v>
      </c>
      <c r="F10" s="29"/>
      <c r="G10" s="29">
        <f>SUM(H10:I10)</f>
        <v>3</v>
      </c>
      <c r="H10" s="29">
        <v>2</v>
      </c>
      <c r="I10" s="29">
        <v>1</v>
      </c>
      <c r="J10" s="29"/>
      <c r="K10" s="29">
        <f>L10+M10</f>
        <v>0</v>
      </c>
      <c r="L10" s="29">
        <v>0</v>
      </c>
      <c r="M10" s="29">
        <v>0</v>
      </c>
      <c r="O10" s="30"/>
      <c r="P10" s="31"/>
    </row>
    <row r="11" spans="1:18">
      <c r="A11" s="24" t="s">
        <v>41</v>
      </c>
      <c r="B11" s="29"/>
      <c r="C11" s="29">
        <f t="shared" ref="C11:C68" si="0">D11+E11</f>
        <v>1</v>
      </c>
      <c r="D11" s="29">
        <f t="shared" ref="D11:E50" si="1">H11+L11</f>
        <v>0</v>
      </c>
      <c r="E11" s="29">
        <f t="shared" si="1"/>
        <v>1</v>
      </c>
      <c r="F11" s="29"/>
      <c r="G11" s="29">
        <f>SUM(H11:I11)</f>
        <v>1</v>
      </c>
      <c r="H11" s="29">
        <v>0</v>
      </c>
      <c r="I11" s="29">
        <v>1</v>
      </c>
      <c r="J11" s="29"/>
      <c r="K11" s="29">
        <f>L11+M11</f>
        <v>0</v>
      </c>
      <c r="L11" s="29">
        <v>0</v>
      </c>
      <c r="M11" s="29">
        <v>0</v>
      </c>
      <c r="O11" s="30"/>
      <c r="P11" s="31"/>
    </row>
    <row r="12" spans="1:18">
      <c r="A12" s="24" t="s">
        <v>34</v>
      </c>
      <c r="B12" s="29"/>
      <c r="C12" s="29">
        <f t="shared" si="0"/>
        <v>13</v>
      </c>
      <c r="D12" s="29">
        <f t="shared" si="1"/>
        <v>3</v>
      </c>
      <c r="E12" s="29">
        <f t="shared" si="1"/>
        <v>10</v>
      </c>
      <c r="F12" s="29"/>
      <c r="G12" s="29">
        <f>SUM(H12:I12)</f>
        <v>13</v>
      </c>
      <c r="H12" s="29">
        <v>3</v>
      </c>
      <c r="I12" s="29">
        <v>10</v>
      </c>
      <c r="J12" s="29"/>
      <c r="K12" s="29">
        <f t="shared" ref="K12:K68" si="2">L12+M12</f>
        <v>0</v>
      </c>
      <c r="L12" s="29">
        <v>0</v>
      </c>
      <c r="M12" s="29">
        <v>0</v>
      </c>
      <c r="O12" s="30"/>
      <c r="P12" s="31"/>
    </row>
    <row r="13" spans="1:18">
      <c r="A13" s="24" t="s">
        <v>35</v>
      </c>
      <c r="B13" s="29"/>
      <c r="C13" s="29">
        <f t="shared" si="0"/>
        <v>2</v>
      </c>
      <c r="D13" s="29">
        <f t="shared" si="1"/>
        <v>0</v>
      </c>
      <c r="E13" s="29">
        <f t="shared" si="1"/>
        <v>2</v>
      </c>
      <c r="F13" s="29"/>
      <c r="G13" s="29">
        <f>SUM(H13:I13)</f>
        <v>2</v>
      </c>
      <c r="H13" s="29">
        <v>0</v>
      </c>
      <c r="I13" s="29">
        <v>2</v>
      </c>
      <c r="J13" s="29"/>
      <c r="K13" s="29">
        <f t="shared" si="2"/>
        <v>0</v>
      </c>
      <c r="L13" s="29">
        <v>0</v>
      </c>
      <c r="M13" s="29">
        <v>0</v>
      </c>
      <c r="O13" s="30"/>
      <c r="P13" s="31"/>
    </row>
    <row r="14" spans="1:18">
      <c r="A14" s="24" t="s">
        <v>58</v>
      </c>
      <c r="B14" s="29"/>
      <c r="C14" s="29">
        <f t="shared" si="0"/>
        <v>2</v>
      </c>
      <c r="D14" s="29">
        <f t="shared" si="1"/>
        <v>0</v>
      </c>
      <c r="E14" s="29">
        <f t="shared" si="1"/>
        <v>2</v>
      </c>
      <c r="F14" s="29"/>
      <c r="G14" s="29">
        <f>H14+I14</f>
        <v>2</v>
      </c>
      <c r="H14" s="29">
        <v>0</v>
      </c>
      <c r="I14" s="29">
        <v>2</v>
      </c>
      <c r="J14" s="29"/>
      <c r="K14" s="29">
        <f t="shared" si="2"/>
        <v>0</v>
      </c>
      <c r="L14" s="29">
        <v>0</v>
      </c>
      <c r="M14" s="29">
        <v>0</v>
      </c>
      <c r="O14" s="30"/>
      <c r="P14" s="31"/>
    </row>
    <row r="15" spans="1:18">
      <c r="A15" s="24" t="s">
        <v>59</v>
      </c>
      <c r="B15" s="29"/>
      <c r="C15" s="29">
        <f t="shared" si="0"/>
        <v>1</v>
      </c>
      <c r="D15" s="29">
        <f t="shared" si="1"/>
        <v>1</v>
      </c>
      <c r="E15" s="29">
        <f t="shared" si="1"/>
        <v>0</v>
      </c>
      <c r="F15" s="29"/>
      <c r="G15" s="29">
        <f>H15+I15</f>
        <v>1</v>
      </c>
      <c r="H15" s="29">
        <v>1</v>
      </c>
      <c r="I15" s="29">
        <v>0</v>
      </c>
      <c r="J15" s="29"/>
      <c r="K15" s="29">
        <f t="shared" si="2"/>
        <v>0</v>
      </c>
      <c r="L15" s="29">
        <v>0</v>
      </c>
      <c r="M15" s="29">
        <v>0</v>
      </c>
      <c r="P15" s="31"/>
    </row>
    <row r="16" spans="1:18">
      <c r="A16" s="24" t="s">
        <v>60</v>
      </c>
      <c r="B16" s="29"/>
      <c r="C16" s="29">
        <f t="shared" si="0"/>
        <v>6</v>
      </c>
      <c r="D16" s="29">
        <f t="shared" si="1"/>
        <v>2</v>
      </c>
      <c r="E16" s="29">
        <f t="shared" si="1"/>
        <v>4</v>
      </c>
      <c r="F16" s="29"/>
      <c r="G16" s="29">
        <f>H16+I16</f>
        <v>6</v>
      </c>
      <c r="H16" s="29">
        <v>2</v>
      </c>
      <c r="I16" s="29">
        <v>4</v>
      </c>
      <c r="J16" s="29"/>
      <c r="K16" s="29">
        <f t="shared" si="2"/>
        <v>0</v>
      </c>
      <c r="L16" s="29">
        <v>0</v>
      </c>
      <c r="M16" s="29">
        <v>0</v>
      </c>
      <c r="O16" s="30"/>
      <c r="P16" s="31"/>
    </row>
    <row r="17" spans="1:16">
      <c r="A17" s="24" t="s">
        <v>38</v>
      </c>
      <c r="B17" s="29"/>
      <c r="C17" s="29">
        <f t="shared" si="0"/>
        <v>8</v>
      </c>
      <c r="D17" s="29">
        <f t="shared" si="1"/>
        <v>8</v>
      </c>
      <c r="E17" s="29">
        <f>I17+M17</f>
        <v>0</v>
      </c>
      <c r="F17" s="29"/>
      <c r="G17" s="29">
        <f>H17+I17</f>
        <v>8</v>
      </c>
      <c r="H17" s="29">
        <v>8</v>
      </c>
      <c r="I17" s="29">
        <v>0</v>
      </c>
      <c r="J17" s="29"/>
      <c r="K17" s="29">
        <f t="shared" si="2"/>
        <v>0</v>
      </c>
      <c r="L17" s="29">
        <v>0</v>
      </c>
      <c r="M17" s="29">
        <v>0</v>
      </c>
      <c r="P17" s="31"/>
    </row>
    <row r="18" spans="1:16">
      <c r="A18" s="24" t="s">
        <v>61</v>
      </c>
      <c r="B18" s="29"/>
      <c r="C18" s="29">
        <f t="shared" si="0"/>
        <v>4</v>
      </c>
      <c r="D18" s="29">
        <f t="shared" si="1"/>
        <v>4</v>
      </c>
      <c r="E18" s="29">
        <f t="shared" si="1"/>
        <v>0</v>
      </c>
      <c r="F18" s="29"/>
      <c r="G18" s="29">
        <f t="shared" ref="G18:G68" si="3">H18+I18</f>
        <v>4</v>
      </c>
      <c r="H18" s="29">
        <v>4</v>
      </c>
      <c r="I18" s="29">
        <v>0</v>
      </c>
      <c r="J18" s="29"/>
      <c r="K18" s="29">
        <f t="shared" si="2"/>
        <v>0</v>
      </c>
      <c r="L18" s="29">
        <v>0</v>
      </c>
      <c r="M18" s="29">
        <v>0</v>
      </c>
      <c r="P18" s="31"/>
    </row>
    <row r="19" spans="1:16">
      <c r="A19" s="24" t="s">
        <v>39</v>
      </c>
      <c r="B19" s="29"/>
      <c r="C19" s="29">
        <f t="shared" si="0"/>
        <v>3</v>
      </c>
      <c r="D19" s="29">
        <f t="shared" si="1"/>
        <v>2</v>
      </c>
      <c r="E19" s="29">
        <f t="shared" si="1"/>
        <v>1</v>
      </c>
      <c r="F19" s="29"/>
      <c r="G19" s="29">
        <f t="shared" si="3"/>
        <v>3</v>
      </c>
      <c r="H19" s="29">
        <v>2</v>
      </c>
      <c r="I19" s="29">
        <v>1</v>
      </c>
      <c r="J19" s="29"/>
      <c r="K19" s="29">
        <f t="shared" si="2"/>
        <v>0</v>
      </c>
      <c r="L19" s="29">
        <v>0</v>
      </c>
      <c r="M19" s="29">
        <v>0</v>
      </c>
      <c r="O19" s="30"/>
      <c r="P19" s="31"/>
    </row>
    <row r="20" spans="1:16">
      <c r="A20" s="24" t="s">
        <v>62</v>
      </c>
      <c r="B20" s="29"/>
      <c r="C20" s="29">
        <f t="shared" si="0"/>
        <v>3</v>
      </c>
      <c r="D20" s="29">
        <f t="shared" si="1"/>
        <v>3</v>
      </c>
      <c r="E20" s="29">
        <f t="shared" si="1"/>
        <v>0</v>
      </c>
      <c r="F20" s="29"/>
      <c r="G20" s="29">
        <f t="shared" si="3"/>
        <v>3</v>
      </c>
      <c r="H20" s="29">
        <v>3</v>
      </c>
      <c r="I20" s="29">
        <v>0</v>
      </c>
      <c r="J20" s="29"/>
      <c r="K20" s="29">
        <f t="shared" si="2"/>
        <v>0</v>
      </c>
      <c r="L20" s="29">
        <v>0</v>
      </c>
      <c r="M20" s="29">
        <v>0</v>
      </c>
      <c r="P20" s="31"/>
    </row>
    <row r="21" spans="1:16">
      <c r="A21" s="24" t="s">
        <v>43</v>
      </c>
      <c r="B21" s="29"/>
      <c r="C21" s="29">
        <f t="shared" si="0"/>
        <v>2</v>
      </c>
      <c r="D21" s="29">
        <f t="shared" si="1"/>
        <v>1</v>
      </c>
      <c r="E21" s="29">
        <f t="shared" si="1"/>
        <v>1</v>
      </c>
      <c r="F21" s="29"/>
      <c r="G21" s="29">
        <f t="shared" si="3"/>
        <v>2</v>
      </c>
      <c r="H21" s="29">
        <v>1</v>
      </c>
      <c r="I21" s="29">
        <v>1</v>
      </c>
      <c r="J21" s="29"/>
      <c r="K21" s="29">
        <f t="shared" si="2"/>
        <v>0</v>
      </c>
      <c r="L21" s="29">
        <v>0</v>
      </c>
      <c r="M21" s="29">
        <v>0</v>
      </c>
      <c r="O21" s="30"/>
      <c r="P21" s="31"/>
    </row>
    <row r="22" spans="1:16">
      <c r="A22" s="24" t="s">
        <v>44</v>
      </c>
      <c r="B22" s="29"/>
      <c r="C22" s="29">
        <f t="shared" si="0"/>
        <v>1</v>
      </c>
      <c r="D22" s="29">
        <f t="shared" si="1"/>
        <v>1</v>
      </c>
      <c r="E22" s="29">
        <f t="shared" si="1"/>
        <v>0</v>
      </c>
      <c r="F22" s="29"/>
      <c r="G22" s="29">
        <f t="shared" si="3"/>
        <v>1</v>
      </c>
      <c r="H22" s="29">
        <v>1</v>
      </c>
      <c r="I22" s="29">
        <v>0</v>
      </c>
      <c r="J22" s="29"/>
      <c r="K22" s="29">
        <f t="shared" si="2"/>
        <v>0</v>
      </c>
      <c r="L22" s="29">
        <v>0</v>
      </c>
      <c r="M22" s="29">
        <v>0</v>
      </c>
      <c r="P22" s="31"/>
    </row>
    <row r="23" spans="1:16">
      <c r="A23" s="24" t="s">
        <v>63</v>
      </c>
      <c r="B23" s="29"/>
      <c r="C23" s="29">
        <f t="shared" si="0"/>
        <v>1</v>
      </c>
      <c r="D23" s="29">
        <f t="shared" si="1"/>
        <v>1</v>
      </c>
      <c r="E23" s="29">
        <f t="shared" si="1"/>
        <v>0</v>
      </c>
      <c r="F23" s="29"/>
      <c r="G23" s="29">
        <f t="shared" si="3"/>
        <v>1</v>
      </c>
      <c r="H23" s="29">
        <v>1</v>
      </c>
      <c r="I23" s="29">
        <v>0</v>
      </c>
      <c r="J23" s="29"/>
      <c r="K23" s="29">
        <f t="shared" si="2"/>
        <v>0</v>
      </c>
      <c r="L23" s="29">
        <v>0</v>
      </c>
      <c r="M23" s="29">
        <v>0</v>
      </c>
      <c r="P23" s="31"/>
    </row>
    <row r="24" spans="1:16">
      <c r="A24" s="24" t="s">
        <v>64</v>
      </c>
      <c r="B24" s="29"/>
      <c r="C24" s="29">
        <f t="shared" si="0"/>
        <v>1</v>
      </c>
      <c r="D24" s="29">
        <f t="shared" si="1"/>
        <v>1</v>
      </c>
      <c r="E24" s="29">
        <f t="shared" si="1"/>
        <v>0</v>
      </c>
      <c r="F24" s="29"/>
      <c r="G24" s="29">
        <f t="shared" si="3"/>
        <v>1</v>
      </c>
      <c r="H24" s="29">
        <v>1</v>
      </c>
      <c r="I24" s="29">
        <v>0</v>
      </c>
      <c r="J24" s="29"/>
      <c r="K24" s="29">
        <f t="shared" si="2"/>
        <v>0</v>
      </c>
      <c r="L24" s="29">
        <v>0</v>
      </c>
      <c r="M24" s="29">
        <v>0</v>
      </c>
      <c r="P24" s="31"/>
    </row>
    <row r="25" spans="1:16">
      <c r="A25" s="24" t="s">
        <v>65</v>
      </c>
      <c r="B25" s="29"/>
      <c r="C25" s="29">
        <f t="shared" si="0"/>
        <v>1</v>
      </c>
      <c r="D25" s="29">
        <f t="shared" si="1"/>
        <v>1</v>
      </c>
      <c r="E25" s="29">
        <f t="shared" si="1"/>
        <v>0</v>
      </c>
      <c r="F25" s="29"/>
      <c r="G25" s="29">
        <f t="shared" si="3"/>
        <v>1</v>
      </c>
      <c r="H25" s="29">
        <v>1</v>
      </c>
      <c r="I25" s="29">
        <v>0</v>
      </c>
      <c r="J25" s="29"/>
      <c r="K25" s="29">
        <f t="shared" si="2"/>
        <v>0</v>
      </c>
      <c r="L25" s="29">
        <v>0</v>
      </c>
      <c r="M25" s="29">
        <v>0</v>
      </c>
      <c r="P25" s="31"/>
    </row>
    <row r="26" spans="1:16">
      <c r="A26" s="24" t="s">
        <v>66</v>
      </c>
      <c r="B26" s="29"/>
      <c r="C26" s="29">
        <f t="shared" si="0"/>
        <v>1</v>
      </c>
      <c r="D26" s="29">
        <f t="shared" si="1"/>
        <v>1</v>
      </c>
      <c r="E26" s="29">
        <f t="shared" si="1"/>
        <v>0</v>
      </c>
      <c r="F26" s="29"/>
      <c r="G26" s="29">
        <f t="shared" si="3"/>
        <v>1</v>
      </c>
      <c r="H26" s="29">
        <v>1</v>
      </c>
      <c r="I26" s="29">
        <v>0</v>
      </c>
      <c r="J26" s="29"/>
      <c r="K26" s="29">
        <f t="shared" si="2"/>
        <v>0</v>
      </c>
      <c r="L26" s="29">
        <v>0</v>
      </c>
      <c r="M26" s="29">
        <v>0</v>
      </c>
      <c r="P26" s="31"/>
    </row>
    <row r="27" spans="1:16">
      <c r="A27" s="24" t="s">
        <v>67</v>
      </c>
      <c r="B27" s="29"/>
      <c r="C27" s="29">
        <f t="shared" si="0"/>
        <v>55</v>
      </c>
      <c r="D27" s="29">
        <f t="shared" si="1"/>
        <v>41</v>
      </c>
      <c r="E27" s="29">
        <f t="shared" si="1"/>
        <v>14</v>
      </c>
      <c r="F27" s="29"/>
      <c r="G27" s="29">
        <f t="shared" si="3"/>
        <v>55</v>
      </c>
      <c r="H27" s="29">
        <v>41</v>
      </c>
      <c r="I27" s="29">
        <v>14</v>
      </c>
      <c r="J27" s="29"/>
      <c r="K27" s="29">
        <f t="shared" si="2"/>
        <v>0</v>
      </c>
      <c r="L27" s="29">
        <v>0</v>
      </c>
      <c r="M27" s="29">
        <v>0</v>
      </c>
      <c r="O27" s="30"/>
      <c r="P27" s="31"/>
    </row>
    <row r="28" spans="1:16">
      <c r="A28" s="24" t="s">
        <v>18</v>
      </c>
      <c r="B28" s="29"/>
      <c r="C28" s="29">
        <f t="shared" si="0"/>
        <v>60</v>
      </c>
      <c r="D28" s="29">
        <f t="shared" si="1"/>
        <v>39</v>
      </c>
      <c r="E28" s="29">
        <f t="shared" si="1"/>
        <v>21</v>
      </c>
      <c r="F28" s="29"/>
      <c r="G28" s="29">
        <f t="shared" si="3"/>
        <v>60</v>
      </c>
      <c r="H28" s="29">
        <v>39</v>
      </c>
      <c r="I28" s="29">
        <v>21</v>
      </c>
      <c r="J28" s="29"/>
      <c r="K28" s="29">
        <f t="shared" si="2"/>
        <v>0</v>
      </c>
      <c r="L28" s="29">
        <v>0</v>
      </c>
      <c r="M28" s="29">
        <v>0</v>
      </c>
      <c r="O28" s="30"/>
      <c r="P28" s="31"/>
    </row>
    <row r="29" spans="1:16">
      <c r="A29" s="24" t="s">
        <v>20</v>
      </c>
      <c r="B29" s="29"/>
      <c r="C29" s="29">
        <f t="shared" si="0"/>
        <v>24</v>
      </c>
      <c r="D29" s="29">
        <f t="shared" si="1"/>
        <v>24</v>
      </c>
      <c r="E29" s="29">
        <f t="shared" si="1"/>
        <v>0</v>
      </c>
      <c r="F29" s="29"/>
      <c r="G29" s="29">
        <f t="shared" si="3"/>
        <v>24</v>
      </c>
      <c r="H29" s="29">
        <v>24</v>
      </c>
      <c r="I29" s="29">
        <v>0</v>
      </c>
      <c r="J29" s="29"/>
      <c r="K29" s="29">
        <f t="shared" si="2"/>
        <v>0</v>
      </c>
      <c r="L29" s="29">
        <v>0</v>
      </c>
      <c r="M29" s="29">
        <v>0</v>
      </c>
      <c r="P29" s="31"/>
    </row>
    <row r="30" spans="1:16">
      <c r="A30" s="24" t="s">
        <v>27</v>
      </c>
      <c r="B30" s="29"/>
      <c r="C30" s="29">
        <f t="shared" si="0"/>
        <v>54</v>
      </c>
      <c r="D30" s="29">
        <f t="shared" si="1"/>
        <v>53</v>
      </c>
      <c r="E30" s="29">
        <f t="shared" si="1"/>
        <v>1</v>
      </c>
      <c r="F30" s="29"/>
      <c r="G30" s="29">
        <f t="shared" si="3"/>
        <v>54</v>
      </c>
      <c r="H30" s="29">
        <v>53</v>
      </c>
      <c r="I30" s="29">
        <v>1</v>
      </c>
      <c r="J30" s="29"/>
      <c r="K30" s="29">
        <f t="shared" si="2"/>
        <v>0</v>
      </c>
      <c r="L30" s="29">
        <v>0</v>
      </c>
      <c r="M30" s="29">
        <v>0</v>
      </c>
      <c r="O30" s="30"/>
      <c r="P30" s="31"/>
    </row>
    <row r="31" spans="1:16">
      <c r="A31" s="24" t="s">
        <v>21</v>
      </c>
      <c r="B31" s="29"/>
      <c r="C31" s="29">
        <f t="shared" si="0"/>
        <v>8</v>
      </c>
      <c r="D31" s="29">
        <f t="shared" si="1"/>
        <v>8</v>
      </c>
      <c r="E31" s="29">
        <f t="shared" si="1"/>
        <v>0</v>
      </c>
      <c r="F31" s="29"/>
      <c r="G31" s="29">
        <f t="shared" si="3"/>
        <v>8</v>
      </c>
      <c r="H31" s="29">
        <v>8</v>
      </c>
      <c r="I31" s="29">
        <v>0</v>
      </c>
      <c r="J31" s="29"/>
      <c r="K31" s="29">
        <f t="shared" si="2"/>
        <v>0</v>
      </c>
      <c r="L31" s="29">
        <v>0</v>
      </c>
      <c r="M31" s="29">
        <v>0</v>
      </c>
      <c r="P31" s="31"/>
    </row>
    <row r="32" spans="1:16">
      <c r="A32" s="24" t="s">
        <v>23</v>
      </c>
      <c r="B32" s="29"/>
      <c r="C32" s="29">
        <f t="shared" si="0"/>
        <v>57</v>
      </c>
      <c r="D32" s="29">
        <f t="shared" si="1"/>
        <v>42</v>
      </c>
      <c r="E32" s="29">
        <f t="shared" si="1"/>
        <v>15</v>
      </c>
      <c r="F32" s="29"/>
      <c r="G32" s="29">
        <f t="shared" si="3"/>
        <v>57</v>
      </c>
      <c r="H32" s="29">
        <v>42</v>
      </c>
      <c r="I32" s="29">
        <v>15</v>
      </c>
      <c r="J32" s="29"/>
      <c r="K32" s="29">
        <f t="shared" si="2"/>
        <v>0</v>
      </c>
      <c r="L32" s="29">
        <v>0</v>
      </c>
      <c r="M32" s="29">
        <v>0</v>
      </c>
      <c r="O32" s="30"/>
      <c r="P32" s="31"/>
    </row>
    <row r="33" spans="1:16">
      <c r="A33" s="24" t="s">
        <v>32</v>
      </c>
      <c r="B33" s="29"/>
      <c r="C33" s="29">
        <f t="shared" si="0"/>
        <v>23</v>
      </c>
      <c r="D33" s="29">
        <f t="shared" si="1"/>
        <v>14</v>
      </c>
      <c r="E33" s="29">
        <f t="shared" si="1"/>
        <v>9</v>
      </c>
      <c r="F33" s="29"/>
      <c r="G33" s="29">
        <f t="shared" si="3"/>
        <v>23</v>
      </c>
      <c r="H33" s="29">
        <v>14</v>
      </c>
      <c r="I33" s="29">
        <v>9</v>
      </c>
      <c r="J33" s="29"/>
      <c r="K33" s="29">
        <f t="shared" si="2"/>
        <v>0</v>
      </c>
      <c r="L33" s="29">
        <v>0</v>
      </c>
      <c r="M33" s="29">
        <v>0</v>
      </c>
      <c r="O33" s="30"/>
      <c r="P33" s="31"/>
    </row>
    <row r="34" spans="1:16">
      <c r="A34" s="24" t="s">
        <v>26</v>
      </c>
      <c r="B34" s="29"/>
      <c r="C34" s="29">
        <f t="shared" si="0"/>
        <v>54</v>
      </c>
      <c r="D34" s="29">
        <f t="shared" si="1"/>
        <v>39</v>
      </c>
      <c r="E34" s="29">
        <f t="shared" si="1"/>
        <v>15</v>
      </c>
      <c r="F34" s="29"/>
      <c r="G34" s="29">
        <f t="shared" si="3"/>
        <v>54</v>
      </c>
      <c r="H34" s="29">
        <v>39</v>
      </c>
      <c r="I34" s="29">
        <v>15</v>
      </c>
      <c r="J34" s="29"/>
      <c r="K34" s="29">
        <f t="shared" si="2"/>
        <v>0</v>
      </c>
      <c r="L34" s="29">
        <v>0</v>
      </c>
      <c r="M34" s="29">
        <v>0</v>
      </c>
      <c r="O34" s="30"/>
      <c r="P34" s="31"/>
    </row>
    <row r="35" spans="1:16">
      <c r="A35" s="24" t="s">
        <v>28</v>
      </c>
      <c r="B35" s="29"/>
      <c r="C35" s="29">
        <f t="shared" si="0"/>
        <v>68</v>
      </c>
      <c r="D35" s="29">
        <f t="shared" si="1"/>
        <v>49</v>
      </c>
      <c r="E35" s="29">
        <f t="shared" si="1"/>
        <v>19</v>
      </c>
      <c r="F35" s="29"/>
      <c r="G35" s="29">
        <f t="shared" si="3"/>
        <v>68</v>
      </c>
      <c r="H35" s="29">
        <v>49</v>
      </c>
      <c r="I35" s="29">
        <v>19</v>
      </c>
      <c r="J35" s="29"/>
      <c r="K35" s="29">
        <f t="shared" si="2"/>
        <v>0</v>
      </c>
      <c r="L35" s="29">
        <v>0</v>
      </c>
      <c r="M35" s="29">
        <v>0</v>
      </c>
      <c r="O35" s="30"/>
      <c r="P35" s="31"/>
    </row>
    <row r="36" spans="1:16">
      <c r="A36" s="24" t="s">
        <v>29</v>
      </c>
      <c r="B36" s="29"/>
      <c r="C36" s="29">
        <f t="shared" si="0"/>
        <v>8</v>
      </c>
      <c r="D36" s="29">
        <f t="shared" si="1"/>
        <v>6</v>
      </c>
      <c r="E36" s="29">
        <f t="shared" si="1"/>
        <v>2</v>
      </c>
      <c r="F36" s="29"/>
      <c r="G36" s="29">
        <f t="shared" si="3"/>
        <v>8</v>
      </c>
      <c r="H36" s="29">
        <v>6</v>
      </c>
      <c r="I36" s="29">
        <v>2</v>
      </c>
      <c r="J36" s="29"/>
      <c r="K36" s="29">
        <f t="shared" si="2"/>
        <v>0</v>
      </c>
      <c r="L36" s="29">
        <v>0</v>
      </c>
      <c r="M36" s="29">
        <v>0</v>
      </c>
      <c r="O36" s="30"/>
      <c r="P36" s="31"/>
    </row>
    <row r="37" spans="1:16">
      <c r="A37" s="24" t="s">
        <v>31</v>
      </c>
      <c r="B37" s="29"/>
      <c r="C37" s="29">
        <f t="shared" si="0"/>
        <v>13</v>
      </c>
      <c r="D37" s="29">
        <f t="shared" si="1"/>
        <v>8</v>
      </c>
      <c r="E37" s="29">
        <f t="shared" si="1"/>
        <v>5</v>
      </c>
      <c r="F37" s="29"/>
      <c r="G37" s="29">
        <f t="shared" si="3"/>
        <v>13</v>
      </c>
      <c r="H37" s="29">
        <v>8</v>
      </c>
      <c r="I37" s="29">
        <v>5</v>
      </c>
      <c r="J37" s="29"/>
      <c r="K37" s="29">
        <f t="shared" si="2"/>
        <v>0</v>
      </c>
      <c r="L37" s="29">
        <v>0</v>
      </c>
      <c r="M37" s="29">
        <v>0</v>
      </c>
      <c r="O37" s="30"/>
      <c r="P37" s="31"/>
    </row>
    <row r="38" spans="1:16">
      <c r="A38" s="24" t="s">
        <v>68</v>
      </c>
      <c r="B38" s="29"/>
      <c r="C38" s="29">
        <f t="shared" si="0"/>
        <v>13</v>
      </c>
      <c r="D38" s="29">
        <f t="shared" si="1"/>
        <v>9</v>
      </c>
      <c r="E38" s="29">
        <f t="shared" si="1"/>
        <v>4</v>
      </c>
      <c r="F38" s="29"/>
      <c r="G38" s="29">
        <f t="shared" si="3"/>
        <v>13</v>
      </c>
      <c r="H38" s="29">
        <v>9</v>
      </c>
      <c r="I38" s="29">
        <v>4</v>
      </c>
      <c r="J38" s="29"/>
      <c r="K38" s="29">
        <f t="shared" si="2"/>
        <v>0</v>
      </c>
      <c r="L38" s="29">
        <v>0</v>
      </c>
      <c r="M38" s="29">
        <v>0</v>
      </c>
      <c r="O38" s="30"/>
      <c r="P38" s="31"/>
    </row>
    <row r="39" spans="1:16">
      <c r="A39" s="24" t="s">
        <v>69</v>
      </c>
      <c r="B39" s="29"/>
      <c r="C39" s="29">
        <f t="shared" si="0"/>
        <v>19</v>
      </c>
      <c r="D39" s="29">
        <f t="shared" si="1"/>
        <v>11</v>
      </c>
      <c r="E39" s="29">
        <f t="shared" si="1"/>
        <v>8</v>
      </c>
      <c r="F39" s="29"/>
      <c r="G39" s="29">
        <f t="shared" si="3"/>
        <v>19</v>
      </c>
      <c r="H39" s="29">
        <v>11</v>
      </c>
      <c r="I39" s="29">
        <v>8</v>
      </c>
      <c r="J39" s="29"/>
      <c r="K39" s="29">
        <f t="shared" si="2"/>
        <v>0</v>
      </c>
      <c r="L39" s="29">
        <v>0</v>
      </c>
      <c r="M39" s="29">
        <v>0</v>
      </c>
      <c r="O39" s="30"/>
      <c r="P39" s="31"/>
    </row>
    <row r="40" spans="1:16">
      <c r="A40" s="24" t="s">
        <v>70</v>
      </c>
      <c r="B40" s="29"/>
      <c r="C40" s="29">
        <f t="shared" si="0"/>
        <v>14</v>
      </c>
      <c r="D40" s="29">
        <f t="shared" si="1"/>
        <v>8</v>
      </c>
      <c r="E40" s="29">
        <f t="shared" si="1"/>
        <v>6</v>
      </c>
      <c r="F40" s="29"/>
      <c r="G40" s="29">
        <f t="shared" si="3"/>
        <v>14</v>
      </c>
      <c r="H40" s="29">
        <v>8</v>
      </c>
      <c r="I40" s="29">
        <v>6</v>
      </c>
      <c r="J40" s="29"/>
      <c r="K40" s="29">
        <f t="shared" si="2"/>
        <v>0</v>
      </c>
      <c r="L40" s="29">
        <v>0</v>
      </c>
      <c r="M40" s="29">
        <v>0</v>
      </c>
      <c r="O40" s="30"/>
      <c r="P40" s="31"/>
    </row>
    <row r="41" spans="1:16">
      <c r="A41" s="24" t="s">
        <v>71</v>
      </c>
      <c r="B41" s="29"/>
      <c r="C41" s="29">
        <f t="shared" si="0"/>
        <v>5</v>
      </c>
      <c r="D41" s="29">
        <f t="shared" si="1"/>
        <v>3</v>
      </c>
      <c r="E41" s="29">
        <f t="shared" si="1"/>
        <v>2</v>
      </c>
      <c r="F41" s="29"/>
      <c r="G41" s="29">
        <f t="shared" si="3"/>
        <v>5</v>
      </c>
      <c r="H41" s="29">
        <v>3</v>
      </c>
      <c r="I41" s="29">
        <v>2</v>
      </c>
      <c r="J41" s="29"/>
      <c r="K41" s="29">
        <f t="shared" si="2"/>
        <v>0</v>
      </c>
      <c r="L41" s="29">
        <v>0</v>
      </c>
      <c r="M41" s="29">
        <v>0</v>
      </c>
      <c r="O41" s="30"/>
      <c r="P41" s="31"/>
    </row>
    <row r="42" spans="1:16">
      <c r="A42" s="24" t="s">
        <v>72</v>
      </c>
      <c r="B42" s="29"/>
      <c r="C42" s="29">
        <f t="shared" si="0"/>
        <v>11</v>
      </c>
      <c r="D42" s="29">
        <f t="shared" si="1"/>
        <v>7</v>
      </c>
      <c r="E42" s="29">
        <f t="shared" si="1"/>
        <v>4</v>
      </c>
      <c r="F42" s="29"/>
      <c r="G42" s="29">
        <f t="shared" si="3"/>
        <v>11</v>
      </c>
      <c r="H42" s="29">
        <v>7</v>
      </c>
      <c r="I42" s="29">
        <v>4</v>
      </c>
      <c r="J42" s="29"/>
      <c r="K42" s="29">
        <f t="shared" si="2"/>
        <v>0</v>
      </c>
      <c r="L42" s="29">
        <v>0</v>
      </c>
      <c r="M42" s="29">
        <v>0</v>
      </c>
      <c r="O42" s="30"/>
      <c r="P42" s="31"/>
    </row>
    <row r="43" spans="1:16">
      <c r="A43" s="24" t="s">
        <v>73</v>
      </c>
      <c r="B43" s="29"/>
      <c r="C43" s="29">
        <f t="shared" si="0"/>
        <v>4</v>
      </c>
      <c r="D43" s="29">
        <f t="shared" si="1"/>
        <v>0</v>
      </c>
      <c r="E43" s="29">
        <f t="shared" si="1"/>
        <v>4</v>
      </c>
      <c r="F43" s="29"/>
      <c r="G43" s="29">
        <f t="shared" si="3"/>
        <v>4</v>
      </c>
      <c r="H43" s="29">
        <v>0</v>
      </c>
      <c r="I43" s="29">
        <v>4</v>
      </c>
      <c r="J43" s="29"/>
      <c r="K43" s="29">
        <f t="shared" si="2"/>
        <v>0</v>
      </c>
      <c r="L43" s="29">
        <v>0</v>
      </c>
      <c r="M43" s="29">
        <v>0</v>
      </c>
      <c r="O43" s="30"/>
      <c r="P43" s="31"/>
    </row>
    <row r="44" spans="1:16">
      <c r="A44" s="24" t="s">
        <v>74</v>
      </c>
      <c r="B44" s="29"/>
      <c r="C44" s="29">
        <f t="shared" si="0"/>
        <v>11</v>
      </c>
      <c r="D44" s="29">
        <f t="shared" si="1"/>
        <v>5</v>
      </c>
      <c r="E44" s="29">
        <f t="shared" si="1"/>
        <v>6</v>
      </c>
      <c r="F44" s="29"/>
      <c r="G44" s="29">
        <f t="shared" si="3"/>
        <v>11</v>
      </c>
      <c r="H44" s="29">
        <v>5</v>
      </c>
      <c r="I44" s="29">
        <v>6</v>
      </c>
      <c r="J44" s="29"/>
      <c r="K44" s="29">
        <f t="shared" si="2"/>
        <v>0</v>
      </c>
      <c r="L44" s="29">
        <v>0</v>
      </c>
      <c r="M44" s="29">
        <v>0</v>
      </c>
      <c r="O44" s="30"/>
      <c r="P44" s="31"/>
    </row>
    <row r="45" spans="1:16">
      <c r="A45" s="24" t="s">
        <v>75</v>
      </c>
      <c r="B45" s="29"/>
      <c r="C45" s="29">
        <f t="shared" si="0"/>
        <v>7</v>
      </c>
      <c r="D45" s="29">
        <f t="shared" si="1"/>
        <v>6</v>
      </c>
      <c r="E45" s="29">
        <f t="shared" si="1"/>
        <v>1</v>
      </c>
      <c r="F45" s="29"/>
      <c r="G45" s="29">
        <f t="shared" si="3"/>
        <v>7</v>
      </c>
      <c r="H45" s="29">
        <v>6</v>
      </c>
      <c r="I45" s="29">
        <v>1</v>
      </c>
      <c r="J45" s="29"/>
      <c r="K45" s="29">
        <f t="shared" si="2"/>
        <v>0</v>
      </c>
      <c r="L45" s="29">
        <v>0</v>
      </c>
      <c r="M45" s="29">
        <v>0</v>
      </c>
      <c r="O45" s="30"/>
      <c r="P45" s="31"/>
    </row>
    <row r="46" spans="1:16">
      <c r="A46" s="24" t="s">
        <v>76</v>
      </c>
      <c r="B46" s="29"/>
      <c r="C46" s="29">
        <f t="shared" si="0"/>
        <v>5</v>
      </c>
      <c r="D46" s="29">
        <f t="shared" si="1"/>
        <v>4</v>
      </c>
      <c r="E46" s="29">
        <f t="shared" si="1"/>
        <v>1</v>
      </c>
      <c r="F46" s="29"/>
      <c r="G46" s="29">
        <f t="shared" si="3"/>
        <v>5</v>
      </c>
      <c r="H46" s="29">
        <v>4</v>
      </c>
      <c r="I46" s="29">
        <v>1</v>
      </c>
      <c r="J46" s="29"/>
      <c r="K46" s="29">
        <f t="shared" si="2"/>
        <v>0</v>
      </c>
      <c r="L46" s="29">
        <v>0</v>
      </c>
      <c r="M46" s="29">
        <v>0</v>
      </c>
      <c r="O46" s="30"/>
      <c r="P46" s="31"/>
    </row>
    <row r="47" spans="1:16">
      <c r="A47" s="24" t="s">
        <v>33</v>
      </c>
      <c r="B47" s="29"/>
      <c r="C47" s="29">
        <f t="shared" si="0"/>
        <v>398</v>
      </c>
      <c r="D47" s="29">
        <f t="shared" si="1"/>
        <v>277</v>
      </c>
      <c r="E47" s="29">
        <f t="shared" si="1"/>
        <v>121</v>
      </c>
      <c r="F47" s="29"/>
      <c r="G47" s="29">
        <f t="shared" si="3"/>
        <v>226</v>
      </c>
      <c r="H47" s="29">
        <v>129</v>
      </c>
      <c r="I47" s="29">
        <v>97</v>
      </c>
      <c r="J47" s="29"/>
      <c r="K47" s="29">
        <f t="shared" si="2"/>
        <v>172</v>
      </c>
      <c r="L47" s="29">
        <v>148</v>
      </c>
      <c r="M47" s="29">
        <v>24</v>
      </c>
      <c r="O47" s="30"/>
      <c r="P47" s="31"/>
    </row>
    <row r="48" spans="1:16">
      <c r="A48" s="24" t="s">
        <v>36</v>
      </c>
      <c r="B48" s="29"/>
      <c r="C48" s="29">
        <f t="shared" si="0"/>
        <v>38</v>
      </c>
      <c r="D48" s="29">
        <f t="shared" si="1"/>
        <v>25</v>
      </c>
      <c r="E48" s="29">
        <f t="shared" si="1"/>
        <v>13</v>
      </c>
      <c r="F48" s="29"/>
      <c r="G48" s="29">
        <f t="shared" si="3"/>
        <v>28</v>
      </c>
      <c r="H48" s="29">
        <v>17</v>
      </c>
      <c r="I48" s="29">
        <v>11</v>
      </c>
      <c r="J48" s="29"/>
      <c r="K48" s="29">
        <f t="shared" si="2"/>
        <v>10</v>
      </c>
      <c r="L48" s="29">
        <v>8</v>
      </c>
      <c r="M48" s="29">
        <v>2</v>
      </c>
      <c r="O48" s="30"/>
      <c r="P48" s="31"/>
    </row>
    <row r="49" spans="1:21">
      <c r="A49" s="24" t="s">
        <v>37</v>
      </c>
      <c r="B49" s="29"/>
      <c r="C49" s="29">
        <f t="shared" si="0"/>
        <v>48</v>
      </c>
      <c r="D49" s="29">
        <f t="shared" si="1"/>
        <v>33</v>
      </c>
      <c r="E49" s="29">
        <f t="shared" si="1"/>
        <v>15</v>
      </c>
      <c r="F49" s="29"/>
      <c r="G49" s="29">
        <f t="shared" si="3"/>
        <v>42</v>
      </c>
      <c r="H49" s="29">
        <v>31</v>
      </c>
      <c r="I49" s="29">
        <v>11</v>
      </c>
      <c r="J49" s="29"/>
      <c r="K49" s="29">
        <f t="shared" si="2"/>
        <v>6</v>
      </c>
      <c r="L49" s="29">
        <v>2</v>
      </c>
      <c r="M49" s="29">
        <v>4</v>
      </c>
      <c r="O49" s="30"/>
      <c r="P49" s="31"/>
    </row>
    <row r="50" spans="1:21">
      <c r="A50" s="24" t="s">
        <v>40</v>
      </c>
      <c r="B50" s="29"/>
      <c r="C50" s="29">
        <f t="shared" si="0"/>
        <v>133</v>
      </c>
      <c r="D50" s="29">
        <f t="shared" si="1"/>
        <v>111</v>
      </c>
      <c r="E50" s="29">
        <f t="shared" si="1"/>
        <v>22</v>
      </c>
      <c r="F50" s="29"/>
      <c r="G50" s="29">
        <f t="shared" si="3"/>
        <v>51</v>
      </c>
      <c r="H50" s="29">
        <v>40</v>
      </c>
      <c r="I50" s="29">
        <v>11</v>
      </c>
      <c r="J50" s="29"/>
      <c r="K50" s="29">
        <f t="shared" si="2"/>
        <v>82</v>
      </c>
      <c r="L50" s="29">
        <v>71</v>
      </c>
      <c r="M50" s="29">
        <v>11</v>
      </c>
      <c r="O50" s="30"/>
      <c r="P50" s="31"/>
    </row>
    <row r="51" spans="1:21">
      <c r="A51" s="24" t="s">
        <v>42</v>
      </c>
      <c r="B51" s="29"/>
      <c r="C51" s="29">
        <f t="shared" si="0"/>
        <v>72</v>
      </c>
      <c r="D51" s="29">
        <f>H51+L51</f>
        <v>52</v>
      </c>
      <c r="E51" s="29">
        <f t="shared" ref="E51:E68" si="4">I51+M51</f>
        <v>20</v>
      </c>
      <c r="F51" s="29"/>
      <c r="G51" s="29">
        <f t="shared" si="3"/>
        <v>64</v>
      </c>
      <c r="H51" s="29">
        <v>44</v>
      </c>
      <c r="I51" s="29">
        <v>20</v>
      </c>
      <c r="J51" s="29"/>
      <c r="K51" s="29">
        <f t="shared" si="2"/>
        <v>8</v>
      </c>
      <c r="L51" s="29">
        <v>8</v>
      </c>
      <c r="M51" s="29">
        <v>0</v>
      </c>
      <c r="P51" s="31"/>
    </row>
    <row r="52" spans="1:21">
      <c r="A52" s="24" t="s">
        <v>45</v>
      </c>
      <c r="B52" s="29"/>
      <c r="C52" s="29">
        <f t="shared" si="0"/>
        <v>18</v>
      </c>
      <c r="D52" s="29">
        <f t="shared" ref="D52:D68" si="5">H52+L52</f>
        <v>13</v>
      </c>
      <c r="E52" s="29">
        <f t="shared" si="4"/>
        <v>5</v>
      </c>
      <c r="F52" s="29"/>
      <c r="G52" s="29">
        <f t="shared" si="3"/>
        <v>18</v>
      </c>
      <c r="H52" s="29">
        <v>13</v>
      </c>
      <c r="I52" s="29">
        <v>5</v>
      </c>
      <c r="J52" s="29"/>
      <c r="K52" s="29">
        <f t="shared" si="2"/>
        <v>0</v>
      </c>
      <c r="L52" s="29">
        <v>0</v>
      </c>
      <c r="M52" s="29">
        <v>0</v>
      </c>
      <c r="P52" s="31"/>
    </row>
    <row r="53" spans="1:21">
      <c r="A53" s="24" t="s">
        <v>46</v>
      </c>
      <c r="B53" s="29"/>
      <c r="C53" s="29">
        <f t="shared" si="0"/>
        <v>15</v>
      </c>
      <c r="D53" s="29">
        <f t="shared" si="5"/>
        <v>11</v>
      </c>
      <c r="E53" s="29">
        <f t="shared" si="4"/>
        <v>4</v>
      </c>
      <c r="F53" s="29"/>
      <c r="G53" s="29">
        <f t="shared" si="3"/>
        <v>13</v>
      </c>
      <c r="H53" s="29">
        <v>9</v>
      </c>
      <c r="I53" s="29">
        <v>4</v>
      </c>
      <c r="J53" s="29"/>
      <c r="K53" s="29">
        <f t="shared" si="2"/>
        <v>2</v>
      </c>
      <c r="L53" s="29">
        <v>2</v>
      </c>
      <c r="M53" s="29">
        <v>0</v>
      </c>
      <c r="P53" s="31"/>
    </row>
    <row r="54" spans="1:21">
      <c r="A54" s="24" t="s">
        <v>47</v>
      </c>
      <c r="B54" s="29"/>
      <c r="C54" s="29">
        <f t="shared" si="0"/>
        <v>3</v>
      </c>
      <c r="D54" s="29">
        <f t="shared" si="5"/>
        <v>2</v>
      </c>
      <c r="E54" s="29">
        <f t="shared" si="4"/>
        <v>1</v>
      </c>
      <c r="F54" s="29"/>
      <c r="G54" s="29">
        <f t="shared" si="3"/>
        <v>3</v>
      </c>
      <c r="H54" s="29">
        <v>2</v>
      </c>
      <c r="I54" s="29">
        <v>1</v>
      </c>
      <c r="J54" s="29"/>
      <c r="K54" s="29">
        <f t="shared" si="2"/>
        <v>0</v>
      </c>
      <c r="L54" s="29">
        <v>0</v>
      </c>
      <c r="M54" s="29">
        <v>0</v>
      </c>
      <c r="P54" s="31"/>
    </row>
    <row r="55" spans="1:21">
      <c r="A55" s="24" t="s">
        <v>12</v>
      </c>
      <c r="B55" s="29"/>
      <c r="C55" s="29">
        <f t="shared" si="0"/>
        <v>585</v>
      </c>
      <c r="D55" s="29">
        <f t="shared" si="5"/>
        <v>216</v>
      </c>
      <c r="E55" s="29">
        <f t="shared" si="4"/>
        <v>369</v>
      </c>
      <c r="F55" s="29"/>
      <c r="G55" s="29">
        <f t="shared" si="3"/>
        <v>53</v>
      </c>
      <c r="H55" s="29">
        <v>13</v>
      </c>
      <c r="I55" s="29">
        <v>40</v>
      </c>
      <c r="J55" s="29"/>
      <c r="K55" s="29">
        <f t="shared" si="2"/>
        <v>532</v>
      </c>
      <c r="L55" s="29">
        <v>203</v>
      </c>
      <c r="M55" s="29">
        <v>329</v>
      </c>
      <c r="O55" s="30"/>
      <c r="P55" s="31"/>
    </row>
    <row r="56" spans="1:21">
      <c r="A56" s="24" t="s">
        <v>14</v>
      </c>
      <c r="B56" s="29"/>
      <c r="C56" s="29">
        <f>D56+E56</f>
        <v>1004</v>
      </c>
      <c r="D56" s="29">
        <f t="shared" si="5"/>
        <v>340</v>
      </c>
      <c r="E56" s="29">
        <f t="shared" si="4"/>
        <v>664</v>
      </c>
      <c r="F56" s="29"/>
      <c r="G56" s="29">
        <f t="shared" si="3"/>
        <v>297</v>
      </c>
      <c r="H56" s="29">
        <v>94</v>
      </c>
      <c r="I56" s="29">
        <v>203</v>
      </c>
      <c r="J56" s="29"/>
      <c r="K56" s="29">
        <f t="shared" si="2"/>
        <v>707</v>
      </c>
      <c r="L56" s="29">
        <v>246</v>
      </c>
      <c r="M56" s="29">
        <v>461</v>
      </c>
      <c r="O56" s="30"/>
      <c r="P56" s="31"/>
    </row>
    <row r="57" spans="1:21">
      <c r="A57" s="24" t="s">
        <v>16</v>
      </c>
      <c r="B57" s="29"/>
      <c r="C57" s="29">
        <f t="shared" si="0"/>
        <v>3357</v>
      </c>
      <c r="D57" s="29">
        <f t="shared" si="5"/>
        <v>1418</v>
      </c>
      <c r="E57" s="29">
        <f t="shared" si="4"/>
        <v>1939</v>
      </c>
      <c r="F57" s="29"/>
      <c r="G57" s="29">
        <f t="shared" si="3"/>
        <v>1259</v>
      </c>
      <c r="H57" s="29">
        <v>474</v>
      </c>
      <c r="I57" s="29">
        <v>785</v>
      </c>
      <c r="J57" s="29"/>
      <c r="K57" s="29">
        <f t="shared" si="2"/>
        <v>2098</v>
      </c>
      <c r="L57" s="29">
        <v>944</v>
      </c>
      <c r="M57" s="29">
        <v>1154</v>
      </c>
      <c r="O57" s="30"/>
      <c r="P57" s="31"/>
    </row>
    <row r="58" spans="1:21">
      <c r="A58" s="24" t="s">
        <v>17</v>
      </c>
      <c r="B58" s="29"/>
      <c r="C58" s="29">
        <f t="shared" si="0"/>
        <v>1838</v>
      </c>
      <c r="D58" s="29">
        <f t="shared" si="5"/>
        <v>571</v>
      </c>
      <c r="E58" s="29">
        <f t="shared" si="4"/>
        <v>1267</v>
      </c>
      <c r="F58" s="29"/>
      <c r="G58" s="29">
        <f t="shared" si="3"/>
        <v>595</v>
      </c>
      <c r="H58" s="29">
        <v>205</v>
      </c>
      <c r="I58" s="29">
        <v>390</v>
      </c>
      <c r="J58" s="29"/>
      <c r="K58" s="29">
        <f t="shared" si="2"/>
        <v>1243</v>
      </c>
      <c r="L58" s="29">
        <v>366</v>
      </c>
      <c r="M58" s="29">
        <v>877</v>
      </c>
      <c r="O58" s="30"/>
      <c r="P58" s="31"/>
    </row>
    <row r="59" spans="1:21">
      <c r="A59" s="24" t="s">
        <v>19</v>
      </c>
      <c r="B59" s="29"/>
      <c r="C59" s="29">
        <f>D59+E59</f>
        <v>4631</v>
      </c>
      <c r="D59" s="29">
        <f t="shared" si="5"/>
        <v>1304</v>
      </c>
      <c r="E59" s="29">
        <f t="shared" si="4"/>
        <v>3327</v>
      </c>
      <c r="F59" s="29"/>
      <c r="G59" s="29">
        <f t="shared" si="3"/>
        <v>1220</v>
      </c>
      <c r="H59" s="29">
        <v>296</v>
      </c>
      <c r="I59" s="29">
        <v>924</v>
      </c>
      <c r="J59" s="29"/>
      <c r="K59" s="29">
        <f t="shared" si="2"/>
        <v>3411</v>
      </c>
      <c r="L59" s="29">
        <v>1008</v>
      </c>
      <c r="M59" s="29">
        <v>2403</v>
      </c>
      <c r="O59" s="30"/>
      <c r="P59" s="31"/>
    </row>
    <row r="60" spans="1:21">
      <c r="A60" s="24" t="s">
        <v>22</v>
      </c>
      <c r="B60" s="29"/>
      <c r="C60" s="29">
        <f t="shared" si="0"/>
        <v>2684</v>
      </c>
      <c r="D60" s="29">
        <f t="shared" si="5"/>
        <v>1285</v>
      </c>
      <c r="E60" s="29">
        <f t="shared" si="4"/>
        <v>1399</v>
      </c>
      <c r="F60" s="29"/>
      <c r="G60" s="29">
        <f t="shared" si="3"/>
        <v>945</v>
      </c>
      <c r="H60" s="29">
        <v>305</v>
      </c>
      <c r="I60" s="29">
        <v>640</v>
      </c>
      <c r="J60" s="29"/>
      <c r="K60" s="29">
        <f t="shared" si="2"/>
        <v>1739</v>
      </c>
      <c r="L60" s="29">
        <v>980</v>
      </c>
      <c r="M60" s="29">
        <v>759</v>
      </c>
      <c r="O60" s="30"/>
      <c r="P60" s="31"/>
    </row>
    <row r="61" spans="1:21">
      <c r="A61" s="24" t="s">
        <v>25</v>
      </c>
      <c r="B61" s="29"/>
      <c r="C61" s="29">
        <f t="shared" si="0"/>
        <v>1829</v>
      </c>
      <c r="D61" s="29">
        <f t="shared" si="5"/>
        <v>1039</v>
      </c>
      <c r="E61" s="29">
        <f t="shared" si="4"/>
        <v>790</v>
      </c>
      <c r="F61" s="29"/>
      <c r="G61" s="29">
        <f t="shared" si="3"/>
        <v>776</v>
      </c>
      <c r="H61" s="29">
        <v>334</v>
      </c>
      <c r="I61" s="29">
        <v>442</v>
      </c>
      <c r="J61" s="29"/>
      <c r="K61" s="29">
        <f t="shared" si="2"/>
        <v>1053</v>
      </c>
      <c r="L61" s="29">
        <v>705</v>
      </c>
      <c r="M61" s="29">
        <v>348</v>
      </c>
      <c r="O61" s="30"/>
      <c r="P61" s="31"/>
    </row>
    <row r="62" spans="1:21">
      <c r="A62" s="24" t="s">
        <v>30</v>
      </c>
      <c r="B62" s="29"/>
      <c r="C62" s="29">
        <f t="shared" si="0"/>
        <v>890</v>
      </c>
      <c r="D62" s="29">
        <f t="shared" si="5"/>
        <v>551</v>
      </c>
      <c r="E62" s="29">
        <f t="shared" si="4"/>
        <v>339</v>
      </c>
      <c r="F62" s="29"/>
      <c r="G62" s="29">
        <f t="shared" si="3"/>
        <v>378</v>
      </c>
      <c r="H62" s="29">
        <v>157</v>
      </c>
      <c r="I62" s="29">
        <v>221</v>
      </c>
      <c r="J62" s="29"/>
      <c r="K62" s="29">
        <f t="shared" si="2"/>
        <v>512</v>
      </c>
      <c r="L62" s="29">
        <v>394</v>
      </c>
      <c r="M62" s="29">
        <v>118</v>
      </c>
      <c r="O62" s="30"/>
      <c r="P62" s="31"/>
      <c r="S62" s="15"/>
      <c r="T62" s="20" t="s">
        <v>8</v>
      </c>
      <c r="U62" s="19" t="s">
        <v>54</v>
      </c>
    </row>
    <row r="63" spans="1:21">
      <c r="A63" s="24" t="s">
        <v>10</v>
      </c>
      <c r="B63" s="29"/>
      <c r="C63" s="29">
        <f t="shared" si="0"/>
        <v>3634</v>
      </c>
      <c r="D63" s="29">
        <f t="shared" si="5"/>
        <v>1976</v>
      </c>
      <c r="E63" s="29">
        <f t="shared" si="4"/>
        <v>1658</v>
      </c>
      <c r="F63" s="29"/>
      <c r="G63" s="29">
        <f t="shared" si="3"/>
        <v>898</v>
      </c>
      <c r="H63" s="29">
        <v>461</v>
      </c>
      <c r="I63" s="29">
        <v>437</v>
      </c>
      <c r="J63" s="29"/>
      <c r="K63" s="29">
        <f t="shared" si="2"/>
        <v>2736</v>
      </c>
      <c r="L63" s="29">
        <v>1515</v>
      </c>
      <c r="M63" s="29">
        <v>1221</v>
      </c>
      <c r="O63" s="30"/>
      <c r="P63" s="31"/>
      <c r="S63" s="15"/>
      <c r="T63" s="12" t="s">
        <v>19</v>
      </c>
      <c r="U63" s="12">
        <v>4631</v>
      </c>
    </row>
    <row r="64" spans="1:21">
      <c r="A64" s="24" t="s">
        <v>11</v>
      </c>
      <c r="B64" s="29"/>
      <c r="C64" s="29">
        <f t="shared" si="0"/>
        <v>2092</v>
      </c>
      <c r="D64" s="29">
        <f t="shared" si="5"/>
        <v>1350</v>
      </c>
      <c r="E64" s="29">
        <f t="shared" si="4"/>
        <v>742</v>
      </c>
      <c r="F64" s="29"/>
      <c r="G64" s="29">
        <f t="shared" si="3"/>
        <v>925</v>
      </c>
      <c r="H64" s="29">
        <v>675</v>
      </c>
      <c r="I64" s="29">
        <v>250</v>
      </c>
      <c r="J64" s="29"/>
      <c r="K64" s="29">
        <f t="shared" si="2"/>
        <v>1167</v>
      </c>
      <c r="L64" s="29">
        <v>675</v>
      </c>
      <c r="M64" s="29">
        <v>492</v>
      </c>
      <c r="O64" s="30"/>
      <c r="P64" s="31"/>
      <c r="S64" s="15"/>
      <c r="T64" s="12" t="s">
        <v>10</v>
      </c>
      <c r="U64" s="12">
        <v>3634</v>
      </c>
    </row>
    <row r="65" spans="1:21">
      <c r="A65" s="24" t="s">
        <v>13</v>
      </c>
      <c r="B65" s="29"/>
      <c r="C65" s="29">
        <f t="shared" si="0"/>
        <v>322</v>
      </c>
      <c r="D65" s="29">
        <f t="shared" si="5"/>
        <v>195</v>
      </c>
      <c r="E65" s="29">
        <f t="shared" si="4"/>
        <v>127</v>
      </c>
      <c r="F65" s="29"/>
      <c r="G65" s="29">
        <f t="shared" si="3"/>
        <v>124</v>
      </c>
      <c r="H65" s="29">
        <v>93</v>
      </c>
      <c r="I65" s="29">
        <v>31</v>
      </c>
      <c r="J65" s="29"/>
      <c r="K65" s="29">
        <f t="shared" si="2"/>
        <v>198</v>
      </c>
      <c r="L65" s="29">
        <v>102</v>
      </c>
      <c r="M65" s="29">
        <v>96</v>
      </c>
      <c r="O65" s="30"/>
      <c r="P65" s="31"/>
      <c r="S65" s="15"/>
      <c r="T65" s="12" t="s">
        <v>16</v>
      </c>
      <c r="U65" s="12">
        <v>3357</v>
      </c>
    </row>
    <row r="66" spans="1:21">
      <c r="A66" s="24" t="s">
        <v>15</v>
      </c>
      <c r="B66" s="29"/>
      <c r="C66" s="29">
        <f t="shared" si="0"/>
        <v>31</v>
      </c>
      <c r="D66" s="29">
        <f t="shared" si="5"/>
        <v>27</v>
      </c>
      <c r="E66" s="29">
        <f t="shared" si="4"/>
        <v>4</v>
      </c>
      <c r="F66" s="29"/>
      <c r="G66" s="29">
        <f t="shared" si="3"/>
        <v>23</v>
      </c>
      <c r="H66" s="29">
        <v>22</v>
      </c>
      <c r="I66" s="29">
        <v>1</v>
      </c>
      <c r="J66" s="29"/>
      <c r="K66" s="29">
        <f t="shared" si="2"/>
        <v>8</v>
      </c>
      <c r="L66" s="29">
        <v>5</v>
      </c>
      <c r="M66" s="29">
        <v>3</v>
      </c>
      <c r="O66" s="30"/>
      <c r="P66" s="31"/>
      <c r="S66" s="15"/>
      <c r="T66" s="12" t="s">
        <v>22</v>
      </c>
      <c r="U66" s="12">
        <v>2684</v>
      </c>
    </row>
    <row r="67" spans="1:21">
      <c r="A67" s="24" t="s">
        <v>77</v>
      </c>
      <c r="B67" s="29"/>
      <c r="C67" s="29">
        <f t="shared" si="0"/>
        <v>1</v>
      </c>
      <c r="D67" s="29">
        <f t="shared" si="5"/>
        <v>0</v>
      </c>
      <c r="E67" s="29">
        <f t="shared" si="4"/>
        <v>1</v>
      </c>
      <c r="F67" s="29"/>
      <c r="G67" s="29">
        <f t="shared" si="3"/>
        <v>0</v>
      </c>
      <c r="H67" s="29">
        <v>0</v>
      </c>
      <c r="I67" s="29">
        <v>0</v>
      </c>
      <c r="J67" s="29"/>
      <c r="K67" s="29">
        <f t="shared" si="2"/>
        <v>1</v>
      </c>
      <c r="L67" s="29">
        <v>0</v>
      </c>
      <c r="M67" s="29">
        <v>1</v>
      </c>
      <c r="O67" s="30"/>
      <c r="P67" s="31"/>
      <c r="S67" s="15"/>
      <c r="T67" s="12" t="s">
        <v>11</v>
      </c>
      <c r="U67" s="12">
        <v>2092</v>
      </c>
    </row>
    <row r="68" spans="1:21">
      <c r="A68" s="25" t="s">
        <v>48</v>
      </c>
      <c r="B68" s="6"/>
      <c r="C68" s="6">
        <f t="shared" si="0"/>
        <v>18</v>
      </c>
      <c r="D68" s="6">
        <f t="shared" si="5"/>
        <v>16</v>
      </c>
      <c r="E68" s="6">
        <f t="shared" si="4"/>
        <v>2</v>
      </c>
      <c r="F68" s="6"/>
      <c r="G68" s="6">
        <f t="shared" si="3"/>
        <v>18</v>
      </c>
      <c r="H68" s="6">
        <v>16</v>
      </c>
      <c r="I68" s="6">
        <v>2</v>
      </c>
      <c r="J68" s="6"/>
      <c r="K68" s="6">
        <f t="shared" si="2"/>
        <v>0</v>
      </c>
      <c r="L68" s="6">
        <v>0</v>
      </c>
      <c r="M68" s="6">
        <v>0</v>
      </c>
      <c r="O68" s="30"/>
      <c r="P68" s="31"/>
      <c r="S68" s="15"/>
      <c r="T68" s="12" t="s">
        <v>17</v>
      </c>
      <c r="U68" s="12">
        <v>1838</v>
      </c>
    </row>
    <row r="69" spans="1:21" s="1" customFormat="1" ht="16.8">
      <c r="A69" s="10" t="s">
        <v>49</v>
      </c>
      <c r="B69" s="11"/>
      <c r="C69" s="11"/>
      <c r="D69" s="11"/>
      <c r="E69" s="11"/>
      <c r="F69" s="11"/>
      <c r="G69" s="11"/>
      <c r="H69" s="11"/>
      <c r="I69" s="5"/>
      <c r="J69" s="5"/>
      <c r="K69" s="5"/>
      <c r="M69" s="2" t="s">
        <v>78</v>
      </c>
      <c r="S69" s="15"/>
      <c r="T69" s="12" t="s">
        <v>25</v>
      </c>
      <c r="U69" s="12">
        <v>1829</v>
      </c>
    </row>
    <row r="70" spans="1:21"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T70" s="12" t="s">
        <v>14</v>
      </c>
      <c r="U70" s="12">
        <v>1004</v>
      </c>
    </row>
    <row r="71" spans="1:21"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S71" s="26"/>
      <c r="T71" s="12" t="s">
        <v>30</v>
      </c>
      <c r="U71" s="12">
        <v>890</v>
      </c>
    </row>
    <row r="72" spans="1:21">
      <c r="D72" s="12"/>
      <c r="E72" s="27"/>
      <c r="S72" s="15"/>
      <c r="T72" s="12" t="s">
        <v>12</v>
      </c>
      <c r="U72" s="12">
        <v>585</v>
      </c>
    </row>
    <row r="73" spans="1:21">
      <c r="F73" s="26"/>
      <c r="R73" s="3"/>
      <c r="S73" s="27" t="s">
        <v>55</v>
      </c>
      <c r="T73" s="15"/>
      <c r="U73" s="15"/>
    </row>
    <row r="74" spans="1:21">
      <c r="F74" s="26"/>
      <c r="R74" s="3"/>
    </row>
    <row r="75" spans="1:21">
      <c r="F75" s="26"/>
      <c r="R75" s="3"/>
      <c r="S75" s="32"/>
      <c r="T75" s="32"/>
    </row>
    <row r="76" spans="1:21">
      <c r="F76" s="26"/>
      <c r="R76" s="3"/>
      <c r="S76" s="32"/>
      <c r="T76" s="32"/>
    </row>
    <row r="77" spans="1:21">
      <c r="F77" s="26"/>
      <c r="R77" s="3"/>
      <c r="S77" s="32"/>
      <c r="T77" s="32"/>
    </row>
    <row r="78" spans="1:21">
      <c r="F78" s="26"/>
      <c r="R78" s="3"/>
      <c r="S78" s="33"/>
      <c r="T78" s="33"/>
    </row>
    <row r="79" spans="1:21">
      <c r="F79" s="26"/>
    </row>
    <row r="80" spans="1:21">
      <c r="F80" s="26"/>
    </row>
    <row r="81" spans="1:19">
      <c r="F81" s="26"/>
    </row>
    <row r="82" spans="1:19" s="19" customFormat="1" ht="18.600000000000001" customHeight="1">
      <c r="A82" s="20"/>
      <c r="F82" s="26"/>
      <c r="G82" s="26"/>
      <c r="H82" s="26"/>
      <c r="I82" s="26"/>
      <c r="J82" s="26"/>
      <c r="K82" s="26"/>
      <c r="L82" s="26"/>
      <c r="M82" s="26"/>
    </row>
    <row r="83" spans="1:19" ht="15" customHeight="1"/>
    <row r="88" spans="1:19">
      <c r="R88" s="12" t="s">
        <v>0</v>
      </c>
      <c r="S88" s="12">
        <v>24207</v>
      </c>
    </row>
    <row r="89" spans="1:19">
      <c r="R89" s="12" t="s">
        <v>19</v>
      </c>
      <c r="S89" s="12">
        <v>4631</v>
      </c>
    </row>
    <row r="90" spans="1:19">
      <c r="R90" s="12" t="s">
        <v>10</v>
      </c>
      <c r="S90" s="12">
        <v>3634</v>
      </c>
    </row>
    <row r="91" spans="1:19">
      <c r="R91" s="12" t="s">
        <v>16</v>
      </c>
      <c r="S91" s="12">
        <v>3357</v>
      </c>
    </row>
    <row r="92" spans="1:19">
      <c r="R92" s="12" t="s">
        <v>22</v>
      </c>
      <c r="S92" s="12">
        <v>2684</v>
      </c>
    </row>
    <row r="93" spans="1:19">
      <c r="R93" s="12" t="s">
        <v>11</v>
      </c>
      <c r="S93" s="12">
        <v>2092</v>
      </c>
    </row>
    <row r="94" spans="1:19">
      <c r="R94" s="12" t="s">
        <v>17</v>
      </c>
      <c r="S94" s="12">
        <v>1838</v>
      </c>
    </row>
    <row r="95" spans="1:19">
      <c r="R95" s="12" t="s">
        <v>25</v>
      </c>
      <c r="S95" s="12">
        <v>1829</v>
      </c>
    </row>
    <row r="96" spans="1:19">
      <c r="R96" s="12" t="s">
        <v>14</v>
      </c>
      <c r="S96" s="12">
        <v>1004</v>
      </c>
    </row>
    <row r="97" spans="18:19">
      <c r="R97" s="12" t="s">
        <v>30</v>
      </c>
      <c r="S97" s="12">
        <v>890</v>
      </c>
    </row>
    <row r="98" spans="18:19">
      <c r="R98" s="12" t="s">
        <v>12</v>
      </c>
      <c r="S98" s="12">
        <v>585</v>
      </c>
    </row>
    <row r="99" spans="18:19">
      <c r="R99" s="12" t="s">
        <v>33</v>
      </c>
      <c r="S99" s="12">
        <v>398</v>
      </c>
    </row>
    <row r="100" spans="18:19">
      <c r="R100" s="12" t="s">
        <v>13</v>
      </c>
      <c r="S100" s="12">
        <v>322</v>
      </c>
    </row>
    <row r="101" spans="18:19">
      <c r="R101" s="12" t="s">
        <v>40</v>
      </c>
      <c r="S101" s="12">
        <v>133</v>
      </c>
    </row>
    <row r="102" spans="18:19">
      <c r="R102" s="12" t="s">
        <v>42</v>
      </c>
      <c r="S102" s="12">
        <v>72</v>
      </c>
    </row>
    <row r="103" spans="18:19">
      <c r="R103" s="12" t="s">
        <v>28</v>
      </c>
      <c r="S103" s="12">
        <v>68</v>
      </c>
    </row>
    <row r="104" spans="18:19">
      <c r="R104" s="12" t="s">
        <v>18</v>
      </c>
      <c r="S104" s="12">
        <v>60</v>
      </c>
    </row>
    <row r="105" spans="18:19">
      <c r="R105" s="12" t="s">
        <v>23</v>
      </c>
      <c r="S105" s="12">
        <v>57</v>
      </c>
    </row>
    <row r="106" spans="18:19">
      <c r="R106" s="12" t="s">
        <v>67</v>
      </c>
      <c r="S106" s="12">
        <v>55</v>
      </c>
    </row>
    <row r="107" spans="18:19">
      <c r="R107" s="12" t="s">
        <v>27</v>
      </c>
      <c r="S107" s="12">
        <v>54</v>
      </c>
    </row>
    <row r="108" spans="18:19">
      <c r="R108" s="12" t="s">
        <v>26</v>
      </c>
      <c r="S108" s="12">
        <v>54</v>
      </c>
    </row>
    <row r="109" spans="18:19">
      <c r="R109" s="12" t="s">
        <v>37</v>
      </c>
      <c r="S109" s="12">
        <v>48</v>
      </c>
    </row>
    <row r="110" spans="18:19">
      <c r="R110" s="12" t="s">
        <v>36</v>
      </c>
      <c r="S110" s="12">
        <v>38</v>
      </c>
    </row>
    <row r="111" spans="18:19">
      <c r="R111" s="12" t="s">
        <v>15</v>
      </c>
      <c r="S111" s="12">
        <v>31</v>
      </c>
    </row>
    <row r="112" spans="18:19">
      <c r="R112" s="12" t="s">
        <v>20</v>
      </c>
      <c r="S112" s="12">
        <v>24</v>
      </c>
    </row>
    <row r="113" spans="18:19">
      <c r="R113" s="12" t="s">
        <v>32</v>
      </c>
      <c r="S113" s="12">
        <v>23</v>
      </c>
    </row>
    <row r="114" spans="18:19">
      <c r="R114" s="12" t="s">
        <v>69</v>
      </c>
      <c r="S114" s="12">
        <v>19</v>
      </c>
    </row>
    <row r="115" spans="18:19">
      <c r="R115" s="12" t="s">
        <v>45</v>
      </c>
      <c r="S115" s="12">
        <v>18</v>
      </c>
    </row>
    <row r="116" spans="18:19">
      <c r="R116" s="12" t="s">
        <v>48</v>
      </c>
      <c r="S116" s="12">
        <v>18</v>
      </c>
    </row>
    <row r="117" spans="18:19">
      <c r="R117" s="12" t="s">
        <v>46</v>
      </c>
      <c r="S117" s="12">
        <v>15</v>
      </c>
    </row>
    <row r="118" spans="18:19">
      <c r="R118" s="12" t="s">
        <v>70</v>
      </c>
      <c r="S118" s="12">
        <v>14</v>
      </c>
    </row>
    <row r="119" spans="18:19">
      <c r="R119" s="12" t="s">
        <v>34</v>
      </c>
      <c r="S119" s="12">
        <v>13</v>
      </c>
    </row>
    <row r="120" spans="18:19">
      <c r="R120" s="12" t="s">
        <v>31</v>
      </c>
      <c r="S120" s="12">
        <v>13</v>
      </c>
    </row>
    <row r="121" spans="18:19">
      <c r="R121" s="12" t="s">
        <v>68</v>
      </c>
      <c r="S121" s="12">
        <v>13</v>
      </c>
    </row>
    <row r="122" spans="18:19">
      <c r="R122" s="12" t="s">
        <v>72</v>
      </c>
      <c r="S122" s="12">
        <v>11</v>
      </c>
    </row>
    <row r="123" spans="18:19">
      <c r="R123" s="12" t="s">
        <v>74</v>
      </c>
      <c r="S123" s="12">
        <v>11</v>
      </c>
    </row>
    <row r="124" spans="18:19">
      <c r="R124" s="12" t="s">
        <v>38</v>
      </c>
      <c r="S124" s="12">
        <v>8</v>
      </c>
    </row>
    <row r="125" spans="18:19">
      <c r="R125" s="12" t="s">
        <v>21</v>
      </c>
      <c r="S125" s="12">
        <v>8</v>
      </c>
    </row>
    <row r="126" spans="18:19">
      <c r="R126" s="12" t="s">
        <v>29</v>
      </c>
      <c r="S126" s="12">
        <v>8</v>
      </c>
    </row>
    <row r="127" spans="18:19">
      <c r="R127" s="12" t="s">
        <v>75</v>
      </c>
      <c r="S127" s="12">
        <v>7</v>
      </c>
    </row>
    <row r="128" spans="18:19">
      <c r="R128" s="12" t="s">
        <v>60</v>
      </c>
      <c r="S128" s="12">
        <v>6</v>
      </c>
    </row>
    <row r="129" spans="18:19">
      <c r="R129" s="12" t="s">
        <v>71</v>
      </c>
      <c r="S129" s="12">
        <v>5</v>
      </c>
    </row>
    <row r="130" spans="18:19">
      <c r="R130" s="12" t="s">
        <v>76</v>
      </c>
      <c r="S130" s="12">
        <v>5</v>
      </c>
    </row>
    <row r="131" spans="18:19">
      <c r="R131" s="12" t="s">
        <v>61</v>
      </c>
      <c r="S131" s="12">
        <v>4</v>
      </c>
    </row>
    <row r="132" spans="18:19">
      <c r="R132" s="12" t="s">
        <v>73</v>
      </c>
      <c r="S132" s="12">
        <v>4</v>
      </c>
    </row>
    <row r="133" spans="18:19">
      <c r="R133" s="12" t="s">
        <v>24</v>
      </c>
      <c r="S133" s="12">
        <v>3</v>
      </c>
    </row>
    <row r="134" spans="18:19">
      <c r="R134" s="12" t="s">
        <v>39</v>
      </c>
      <c r="S134" s="12">
        <v>3</v>
      </c>
    </row>
    <row r="135" spans="18:19">
      <c r="R135" s="12" t="s">
        <v>62</v>
      </c>
      <c r="S135" s="12">
        <v>3</v>
      </c>
    </row>
    <row r="136" spans="18:19">
      <c r="R136" s="12" t="s">
        <v>47</v>
      </c>
      <c r="S136" s="12">
        <v>3</v>
      </c>
    </row>
    <row r="137" spans="18:19">
      <c r="R137" s="12" t="s">
        <v>35</v>
      </c>
      <c r="S137" s="12">
        <v>2</v>
      </c>
    </row>
    <row r="138" spans="18:19">
      <c r="R138" s="12" t="s">
        <v>58</v>
      </c>
      <c r="S138" s="12">
        <v>2</v>
      </c>
    </row>
    <row r="139" spans="18:19">
      <c r="R139" s="12" t="s">
        <v>43</v>
      </c>
      <c r="S139" s="12">
        <v>2</v>
      </c>
    </row>
    <row r="140" spans="18:19">
      <c r="R140" s="12" t="s">
        <v>41</v>
      </c>
      <c r="S140" s="12">
        <v>1</v>
      </c>
    </row>
    <row r="141" spans="18:19">
      <c r="R141" s="12" t="s">
        <v>59</v>
      </c>
      <c r="S141" s="12">
        <v>1</v>
      </c>
    </row>
    <row r="142" spans="18:19">
      <c r="R142" s="12" t="s">
        <v>44</v>
      </c>
      <c r="S142" s="12">
        <v>1</v>
      </c>
    </row>
    <row r="143" spans="18:19">
      <c r="R143" s="12" t="s">
        <v>63</v>
      </c>
      <c r="S143" s="12">
        <v>1</v>
      </c>
    </row>
    <row r="144" spans="18:19">
      <c r="R144" s="12" t="s">
        <v>64</v>
      </c>
      <c r="S144" s="12">
        <v>1</v>
      </c>
    </row>
    <row r="145" spans="18:19">
      <c r="R145" s="12" t="s">
        <v>65</v>
      </c>
      <c r="S145" s="12">
        <v>1</v>
      </c>
    </row>
    <row r="146" spans="18:19">
      <c r="R146" s="12" t="s">
        <v>66</v>
      </c>
      <c r="S146" s="12">
        <v>1</v>
      </c>
    </row>
    <row r="147" spans="18:19">
      <c r="R147" s="12" t="s">
        <v>77</v>
      </c>
      <c r="S147" s="12">
        <v>1</v>
      </c>
    </row>
  </sheetData>
  <sortState ref="R124:S183">
    <sortCondition descending="1" ref="S124:S183"/>
  </sortState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62" right="0.59" top="0.26" bottom="0.19" header="0.13" footer="0.14000000000000001"/>
  <pageSetup paperSize="9" scale="76" orientation="portrait" r:id="rId1"/>
  <rowBreaks count="1" manualBreakCount="1">
    <brk id="70" max="1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2015-01-20T07:01:11Z</dcterms:modified>
</cp:coreProperties>
</file>