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8" windowWidth="15120" windowHeight="8016" tabRatio="725"/>
  </bookViews>
  <sheets>
    <sheet name="4.6" sheetId="6" r:id="rId1"/>
  </sheets>
  <calcPr calcId="124519"/>
</workbook>
</file>

<file path=xl/calcChain.xml><?xml version="1.0" encoding="utf-8"?>
<calcChain xmlns="http://schemas.openxmlformats.org/spreadsheetml/2006/main">
  <c r="T32" i="6"/>
  <c r="S32"/>
  <c r="T31"/>
  <c r="S31"/>
  <c r="T30"/>
  <c r="T33" s="1"/>
  <c r="S30"/>
  <c r="S33" s="1"/>
  <c r="T25"/>
  <c r="S25"/>
  <c r="R25"/>
  <c r="T24"/>
  <c r="S24"/>
  <c r="R24"/>
  <c r="T23"/>
  <c r="T26" s="1"/>
  <c r="S23"/>
  <c r="S26" s="1"/>
  <c r="R23"/>
  <c r="H14"/>
  <c r="G14"/>
  <c r="E14"/>
  <c r="D14"/>
  <c r="L13"/>
  <c r="V32" s="1"/>
  <c r="J13"/>
  <c r="U32" s="1"/>
  <c r="I13"/>
  <c r="U25" s="1"/>
  <c r="K12"/>
  <c r="K13" s="1"/>
  <c r="V25" s="1"/>
  <c r="L11"/>
  <c r="V31" s="1"/>
  <c r="K11"/>
  <c r="V24" s="1"/>
  <c r="J11"/>
  <c r="U31" s="1"/>
  <c r="I11"/>
  <c r="U24" s="1"/>
  <c r="L9"/>
  <c r="V30" s="1"/>
  <c r="K9"/>
  <c r="V23" s="1"/>
  <c r="J9"/>
  <c r="U30" s="1"/>
  <c r="U33" s="1"/>
  <c r="I9"/>
  <c r="U23" s="1"/>
  <c r="U26" s="1"/>
  <c r="I14" l="1"/>
  <c r="J14"/>
  <c r="K14"/>
  <c r="V26" s="1"/>
  <c r="L14"/>
  <c r="V33" s="1"/>
</calcChain>
</file>

<file path=xl/sharedStrings.xml><?xml version="1.0" encoding="utf-8"?>
<sst xmlns="http://schemas.openxmlformats.org/spreadsheetml/2006/main" count="61" uniqueCount="36">
  <si>
    <t>އަހަރު</t>
  </si>
  <si>
    <t>Year</t>
  </si>
  <si>
    <t>Type</t>
  </si>
  <si>
    <t>HDFC</t>
  </si>
  <si>
    <t>HDFC: Source: Housing Development Finance Corporation</t>
  </si>
  <si>
    <t>އެޗް.ޑީ.އެފް.ސީ</t>
  </si>
  <si>
    <t xml:space="preserve"> ތާވަލް 4.6: އިމާރާތް ކުރުމަށްޓަކައި ދޫކުރެވިފައިވާ ލޯނުގެ އަދަދު 2010 - 2013</t>
  </si>
  <si>
    <t>TABLE 4.6: HOUSING FINANCE/LOANS PROVIDED, 2010 - 2013</t>
  </si>
  <si>
    <t>ލޯނުދޫކުރިފަރާތް</t>
  </si>
  <si>
    <t>Loan provider</t>
  </si>
  <si>
    <t>ލޯނުގެ އަދަދު</t>
  </si>
  <si>
    <t>އަދަދު (ރުފިޔާ)</t>
  </si>
  <si>
    <t xml:space="preserve">ލޯނުގެ އަދަދު </t>
  </si>
  <si>
    <t>No. of loans</t>
  </si>
  <si>
    <t>Value (MVR)</t>
  </si>
  <si>
    <t>&lt; 1 MILLION</t>
  </si>
  <si>
    <t xml:space="preserve">އެއް މިލިއަން ރުފިޔާއިން ދަށް </t>
  </si>
  <si>
    <t>MHUD</t>
  </si>
  <si>
    <t>މޯލްޑިވްސް ހައުސިންގް އެންޑް އަރބަން ޑިވެލޮޕްމަންޓް</t>
  </si>
  <si>
    <t>Total</t>
  </si>
  <si>
    <t>ޖުމްލަ</t>
  </si>
  <si>
    <t>1 MILLION</t>
  </si>
  <si>
    <t xml:space="preserve">އެއް މިލިއަން ރުފިޔާގެ </t>
  </si>
  <si>
    <t>1 MILLION PLUS</t>
  </si>
  <si>
    <t>އެއް މިލިއަން ރުފިޔާއިން މަތި</t>
  </si>
  <si>
    <t>Grand Total</t>
  </si>
  <si>
    <t>މުޅި ޖުމްލަ</t>
  </si>
  <si>
    <t>Source: Housing Development Finance Corporation</t>
  </si>
  <si>
    <t>މަޢުލޫމާތުދެއްވި ފަރާތް: ހައުސިންގް ޑިވެލޮޕްމަންޓް ފައިނޭންސް ކޯޕަރޭޝަން</t>
  </si>
  <si>
    <t>HDC: Housing Development Corporation</t>
  </si>
  <si>
    <t xml:space="preserve">އެޗް.ޑީ.ސީ: ހައުސިންގް ޑިވެލޮޕްމަންޓް ކޯޕަރޭޝަން </t>
  </si>
  <si>
    <t>އެޗް.ޑީ.އެފް.ސީ: ހައުސިންގް ޑިވެލޮޕްމަންޓް ފައިނޭންސް ކޯޕަރޭޝަން</t>
  </si>
  <si>
    <t>MHUD: Maldives Housing and Urban Development</t>
  </si>
  <si>
    <t>އެމް.އެޗް.ޔޫ.ޑީ: މޯލްޑިވްސް ހައުސިންގް އެންޑް އަރބަން ޑިވެލޮޕްމަންޓް</t>
  </si>
  <si>
    <r>
      <t>Value of loans (</t>
    </r>
    <r>
      <rPr>
        <sz val="10"/>
        <color rgb="FFFF0000"/>
        <rFont val="Arial"/>
        <family val="2"/>
      </rPr>
      <t>mill rf</t>
    </r>
    <r>
      <rPr>
        <sz val="10"/>
        <rFont val="Arial"/>
        <family val="2"/>
      </rPr>
      <t>)</t>
    </r>
  </si>
  <si>
    <t>އެޗް.ޑީއެފް.ސީ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</si>
</sst>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5" formatCode="_(* #,##0_);_(* \(#,##0\);_(* &quot;-&quot;??_);_(@_)"/>
    <numFmt numFmtId="166" formatCode="General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sz val="10"/>
      <name val="Faruma"/>
    </font>
    <font>
      <sz val="10"/>
      <name val="Courier"/>
      <family val="3"/>
    </font>
    <font>
      <sz val="9"/>
      <name val="Calibri"/>
      <family val="2"/>
      <scheme val="minor"/>
    </font>
    <font>
      <b/>
      <sz val="12"/>
      <name val="A_Randhoo"/>
    </font>
    <font>
      <sz val="12"/>
      <name val="Arial"/>
      <family val="2"/>
    </font>
    <font>
      <b/>
      <sz val="12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2"/>
      <name val="Arial"/>
      <family val="2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9"/>
      <name val="Faruma"/>
    </font>
    <font>
      <sz val="9"/>
      <name val="A_Randhoo"/>
    </font>
    <font>
      <sz val="9"/>
      <name val="Arial"/>
      <family val="2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indexed="64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theme="1" tint="4.9989318521683403E-2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5" fillId="0" borderId="0"/>
  </cellStyleXfs>
  <cellXfs count="101">
    <xf numFmtId="0" fontId="0" fillId="0" borderId="0" xfId="0"/>
    <xf numFmtId="0" fontId="7" fillId="2" borderId="0" xfId="2" applyFont="1" applyFill="1" applyAlignment="1"/>
    <xf numFmtId="166" fontId="8" fillId="2" borderId="0" xfId="0" applyNumberFormat="1" applyFont="1" applyFill="1"/>
    <xf numFmtId="166" fontId="9" fillId="2" borderId="2" xfId="3" applyNumberFormat="1" applyFont="1" applyFill="1" applyBorder="1" applyAlignment="1" applyProtection="1">
      <alignment horizontal="center" vertical="center"/>
    </xf>
    <xf numFmtId="166" fontId="9" fillId="2" borderId="3" xfId="3" applyNumberFormat="1" applyFont="1" applyFill="1" applyBorder="1" applyAlignment="1" applyProtection="1">
      <alignment horizontal="center" vertical="center"/>
    </xf>
    <xf numFmtId="166" fontId="9" fillId="2" borderId="6" xfId="3" applyNumberFormat="1" applyFont="1" applyFill="1" applyBorder="1" applyAlignment="1" applyProtection="1">
      <alignment horizontal="center" vertical="center"/>
    </xf>
    <xf numFmtId="166" fontId="9" fillId="2" borderId="8" xfId="3" applyNumberFormat="1" applyFont="1" applyFill="1" applyBorder="1" applyAlignment="1" applyProtection="1">
      <alignment horizontal="center" vertical="center"/>
    </xf>
    <xf numFmtId="166" fontId="9" fillId="2" borderId="9" xfId="3" applyNumberFormat="1" applyFont="1" applyFill="1" applyBorder="1" applyAlignment="1" applyProtection="1">
      <alignment horizontal="center" vertical="center"/>
    </xf>
    <xf numFmtId="166" fontId="3" fillId="2" borderId="10" xfId="3" applyNumberFormat="1" applyFont="1" applyFill="1" applyBorder="1" applyAlignment="1" applyProtection="1">
      <alignment horizontal="right" vertical="center"/>
    </xf>
    <xf numFmtId="166" fontId="9" fillId="2" borderId="0" xfId="3" applyNumberFormat="1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right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right" vertical="center" wrapText="1"/>
    </xf>
    <xf numFmtId="0" fontId="10" fillId="2" borderId="15" xfId="0" applyFont="1" applyFill="1" applyBorder="1" applyAlignment="1">
      <alignment horizontal="right" vertical="center" wrapText="1"/>
    </xf>
    <xf numFmtId="166" fontId="8" fillId="2" borderId="0" xfId="0" applyNumberFormat="1" applyFont="1" applyFill="1" applyAlignment="1">
      <alignment vertical="center"/>
    </xf>
    <xf numFmtId="166" fontId="9" fillId="2" borderId="16" xfId="3" applyNumberFormat="1" applyFont="1" applyFill="1" applyBorder="1" applyAlignment="1" applyProtection="1">
      <alignment horizontal="center" vertical="center"/>
    </xf>
    <xf numFmtId="166" fontId="9" fillId="2" borderId="17" xfId="3" applyNumberFormat="1" applyFont="1" applyFill="1" applyBorder="1" applyAlignment="1" applyProtection="1">
      <alignment horizontal="center" vertical="center"/>
    </xf>
    <xf numFmtId="166" fontId="9" fillId="2" borderId="18" xfId="3" applyNumberFormat="1" applyFont="1" applyFill="1" applyBorder="1" applyAlignment="1" applyProtection="1">
      <alignment horizontal="center" vertical="center"/>
    </xf>
    <xf numFmtId="166" fontId="9" fillId="2" borderId="19" xfId="3" applyNumberFormat="1" applyFont="1" applyFill="1" applyBorder="1" applyAlignment="1" applyProtection="1">
      <alignment horizontal="right" vertical="center"/>
    </xf>
    <xf numFmtId="166" fontId="9" fillId="2" borderId="1" xfId="3" applyNumberFormat="1" applyFont="1" applyFill="1" applyBorder="1" applyAlignment="1" applyProtection="1">
      <alignment horizontal="right" vertical="center"/>
    </xf>
    <xf numFmtId="166" fontId="9" fillId="2" borderId="1" xfId="3" applyNumberFormat="1" applyFont="1" applyFill="1" applyBorder="1" applyAlignment="1" applyProtection="1">
      <alignment horizontal="center" vertical="center"/>
    </xf>
    <xf numFmtId="166" fontId="9" fillId="2" borderId="20" xfId="3" applyNumberFormat="1" applyFont="1" applyFill="1" applyBorder="1" applyAlignment="1" applyProtection="1">
      <alignment horizontal="center" vertical="center"/>
    </xf>
    <xf numFmtId="166" fontId="9" fillId="2" borderId="17" xfId="3" applyNumberFormat="1" applyFont="1" applyFill="1" applyBorder="1" applyAlignment="1" applyProtection="1">
      <alignment horizontal="right" vertical="center"/>
    </xf>
    <xf numFmtId="166" fontId="9" fillId="2" borderId="21" xfId="3" applyNumberFormat="1" applyFont="1" applyFill="1" applyBorder="1" applyAlignment="1" applyProtection="1">
      <alignment horizontal="right" vertical="center"/>
    </xf>
    <xf numFmtId="166" fontId="8" fillId="2" borderId="22" xfId="0" applyNumberFormat="1" applyFont="1" applyFill="1" applyBorder="1"/>
    <xf numFmtId="166" fontId="12" fillId="2" borderId="0" xfId="3" applyNumberFormat="1" applyFont="1" applyFill="1" applyBorder="1" applyAlignment="1" applyProtection="1">
      <alignment horizontal="center" vertical="center"/>
    </xf>
    <xf numFmtId="166" fontId="12" fillId="2" borderId="11" xfId="3" applyNumberFormat="1" applyFont="1" applyFill="1" applyBorder="1" applyAlignment="1" applyProtection="1">
      <alignment horizontal="center" vertical="center"/>
    </xf>
    <xf numFmtId="165" fontId="12" fillId="2" borderId="12" xfId="1" applyNumberFormat="1" applyFont="1" applyFill="1" applyBorder="1" applyAlignment="1" applyProtection="1">
      <alignment horizontal="center" vertical="center"/>
    </xf>
    <xf numFmtId="165" fontId="12" fillId="2" borderId="0" xfId="1" applyNumberFormat="1" applyFont="1" applyFill="1" applyBorder="1" applyAlignment="1" applyProtection="1">
      <alignment horizontal="center" vertical="center"/>
    </xf>
    <xf numFmtId="165" fontId="12" fillId="2" borderId="23" xfId="1" applyNumberFormat="1" applyFont="1" applyFill="1" applyBorder="1" applyAlignment="1" applyProtection="1">
      <alignment horizontal="center" vertical="center"/>
    </xf>
    <xf numFmtId="166" fontId="13" fillId="2" borderId="0" xfId="3" applyNumberFormat="1" applyFont="1" applyFill="1" applyBorder="1" applyAlignment="1" applyProtection="1">
      <alignment horizontal="right" vertical="center" wrapText="1"/>
    </xf>
    <xf numFmtId="166" fontId="8" fillId="2" borderId="0" xfId="0" applyNumberFormat="1" applyFont="1" applyFill="1" applyBorder="1"/>
    <xf numFmtId="165" fontId="12" fillId="2" borderId="12" xfId="1" applyNumberFormat="1" applyFont="1" applyFill="1" applyBorder="1" applyAlignment="1">
      <alignment horizontal="center" vertical="center"/>
    </xf>
    <xf numFmtId="165" fontId="12" fillId="2" borderId="0" xfId="1" applyNumberFormat="1" applyFont="1" applyFill="1" applyBorder="1" applyAlignment="1">
      <alignment horizontal="center" vertical="center"/>
    </xf>
    <xf numFmtId="165" fontId="12" fillId="2" borderId="23" xfId="1" applyNumberFormat="1" applyFont="1" applyFill="1" applyBorder="1" applyAlignment="1">
      <alignment horizontal="center" vertical="center"/>
    </xf>
    <xf numFmtId="166" fontId="9" fillId="2" borderId="24" xfId="3" applyNumberFormat="1" applyFont="1" applyFill="1" applyBorder="1" applyAlignment="1" applyProtection="1">
      <alignment horizontal="center" vertical="center"/>
    </xf>
    <xf numFmtId="166" fontId="8" fillId="2" borderId="24" xfId="0" applyNumberFormat="1" applyFont="1" applyFill="1" applyBorder="1"/>
    <xf numFmtId="166" fontId="9" fillId="2" borderId="25" xfId="3" applyNumberFormat="1" applyFont="1" applyFill="1" applyBorder="1" applyAlignment="1" applyProtection="1">
      <alignment horizontal="center" vertical="center"/>
    </xf>
    <xf numFmtId="165" fontId="9" fillId="2" borderId="26" xfId="1" applyNumberFormat="1" applyFont="1" applyFill="1" applyBorder="1" applyAlignment="1">
      <alignment horizontal="center" vertical="center"/>
    </xf>
    <xf numFmtId="165" fontId="9" fillId="2" borderId="24" xfId="1" applyNumberFormat="1" applyFont="1" applyFill="1" applyBorder="1" applyAlignment="1">
      <alignment horizontal="center" vertical="center"/>
    </xf>
    <xf numFmtId="165" fontId="9" fillId="2" borderId="26" xfId="1" applyNumberFormat="1" applyFont="1" applyFill="1" applyBorder="1" applyAlignment="1" applyProtection="1">
      <alignment horizontal="center" vertical="center"/>
    </xf>
    <xf numFmtId="165" fontId="9" fillId="2" borderId="24" xfId="1" applyNumberFormat="1" applyFont="1" applyFill="1" applyBorder="1" applyAlignment="1" applyProtection="1">
      <alignment horizontal="right" vertical="center"/>
    </xf>
    <xf numFmtId="165" fontId="9" fillId="2" borderId="27" xfId="1" applyNumberFormat="1" applyFont="1" applyFill="1" applyBorder="1" applyAlignment="1" applyProtection="1">
      <alignment horizontal="right" vertical="center"/>
    </xf>
    <xf numFmtId="166" fontId="13" fillId="2" borderId="24" xfId="3" applyNumberFormat="1" applyFont="1" applyFill="1" applyBorder="1" applyAlignment="1" applyProtection="1">
      <alignment horizontal="right" vertical="center" wrapText="1"/>
    </xf>
    <xf numFmtId="0" fontId="10" fillId="2" borderId="24" xfId="0" applyFont="1" applyFill="1" applyBorder="1" applyAlignment="1">
      <alignment horizontal="right" wrapText="1"/>
    </xf>
    <xf numFmtId="166" fontId="3" fillId="2" borderId="0" xfId="3" applyNumberFormat="1" applyFont="1" applyFill="1" applyBorder="1" applyAlignment="1" applyProtection="1">
      <alignment horizontal="right" vertical="center"/>
    </xf>
    <xf numFmtId="166" fontId="9" fillId="2" borderId="11" xfId="3" applyNumberFormat="1" applyFont="1" applyFill="1" applyBorder="1" applyAlignment="1" applyProtection="1">
      <alignment horizontal="center" vertical="center"/>
    </xf>
    <xf numFmtId="165" fontId="9" fillId="2" borderId="12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 applyAlignment="1" applyProtection="1">
      <alignment horizontal="right" vertical="center"/>
    </xf>
    <xf numFmtId="165" fontId="9" fillId="2" borderId="23" xfId="1" applyNumberFormat="1" applyFont="1" applyFill="1" applyBorder="1" applyAlignment="1" applyProtection="1">
      <alignment horizontal="right" vertical="center"/>
    </xf>
    <xf numFmtId="166" fontId="3" fillId="2" borderId="0" xfId="3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Border="1" applyAlignment="1">
      <alignment horizontal="right" wrapText="1"/>
    </xf>
    <xf numFmtId="166" fontId="14" fillId="2" borderId="0" xfId="0" applyNumberFormat="1" applyFont="1" applyFill="1" applyBorder="1"/>
    <xf numFmtId="166" fontId="9" fillId="2" borderId="28" xfId="3" applyNumberFormat="1" applyFont="1" applyFill="1" applyBorder="1" applyAlignment="1" applyProtection="1">
      <alignment horizontal="right" vertical="center"/>
    </xf>
    <xf numFmtId="166" fontId="9" fillId="2" borderId="29" xfId="3" applyNumberFormat="1" applyFont="1" applyFill="1" applyBorder="1" applyAlignment="1" applyProtection="1">
      <alignment horizontal="right" vertical="center"/>
    </xf>
    <xf numFmtId="3" fontId="9" fillId="2" borderId="30" xfId="3" applyNumberFormat="1" applyFont="1" applyFill="1" applyBorder="1" applyAlignment="1" applyProtection="1">
      <alignment horizontal="center" vertical="center"/>
    </xf>
    <xf numFmtId="3" fontId="9" fillId="2" borderId="29" xfId="3" applyNumberFormat="1" applyFont="1" applyFill="1" applyBorder="1" applyAlignment="1" applyProtection="1">
      <alignment horizontal="right" vertical="center"/>
    </xf>
    <xf numFmtId="3" fontId="9" fillId="2" borderId="28" xfId="3" applyNumberFormat="1" applyFont="1" applyFill="1" applyBorder="1" applyAlignment="1" applyProtection="1">
      <alignment horizontal="right" vertical="center"/>
    </xf>
    <xf numFmtId="3" fontId="9" fillId="2" borderId="28" xfId="3" applyNumberFormat="1" applyFont="1" applyFill="1" applyBorder="1" applyAlignment="1" applyProtection="1">
      <alignment horizontal="center" vertical="center"/>
    </xf>
    <xf numFmtId="3" fontId="9" fillId="2" borderId="31" xfId="3" applyNumberFormat="1" applyFont="1" applyFill="1" applyBorder="1" applyAlignment="1" applyProtection="1">
      <alignment horizontal="right" vertical="center"/>
    </xf>
    <xf numFmtId="0" fontId="10" fillId="2" borderId="28" xfId="0" applyFont="1" applyFill="1" applyBorder="1" applyAlignment="1">
      <alignment horizontal="right" vertical="center" wrapText="1"/>
    </xf>
    <xf numFmtId="166" fontId="3" fillId="2" borderId="28" xfId="3" applyNumberFormat="1" applyFont="1" applyFill="1" applyBorder="1" applyAlignment="1" applyProtection="1">
      <alignment horizontal="right" vertical="center"/>
    </xf>
    <xf numFmtId="0" fontId="15" fillId="2" borderId="0" xfId="2" applyFont="1" applyFill="1" applyBorder="1" applyAlignment="1">
      <alignment horizontal="left" vertical="center"/>
    </xf>
    <xf numFmtId="0" fontId="16" fillId="2" borderId="0" xfId="2" applyFont="1" applyFill="1" applyBorder="1" applyAlignment="1">
      <alignment horizontal="left" vertical="center"/>
    </xf>
    <xf numFmtId="0" fontId="16" fillId="2" borderId="0" xfId="2" applyFont="1" applyFill="1" applyBorder="1" applyAlignment="1">
      <alignment horizontal="left" vertical="center" wrapText="1"/>
    </xf>
    <xf numFmtId="166" fontId="17" fillId="2" borderId="32" xfId="3" applyNumberFormat="1" applyFont="1" applyFill="1" applyBorder="1" applyAlignment="1" applyProtection="1">
      <alignment horizontal="right" vertical="center"/>
    </xf>
    <xf numFmtId="0" fontId="16" fillId="2" borderId="0" xfId="2" applyFont="1" applyFill="1" applyAlignment="1">
      <alignment horizontal="left" vertical="center"/>
    </xf>
    <xf numFmtId="0" fontId="18" fillId="2" borderId="0" xfId="2" applyFont="1" applyFill="1" applyAlignment="1">
      <alignment horizontal="right" vertical="center"/>
    </xf>
    <xf numFmtId="166" fontId="19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43" fontId="6" fillId="2" borderId="0" xfId="1" applyFont="1" applyFill="1" applyAlignment="1">
      <alignment vertical="center"/>
    </xf>
    <xf numFmtId="166" fontId="19" fillId="2" borderId="0" xfId="0" applyNumberFormat="1" applyFont="1" applyFill="1" applyAlignment="1">
      <alignment vertical="center" wrapText="1"/>
    </xf>
    <xf numFmtId="0" fontId="20" fillId="2" borderId="0" xfId="2" applyFont="1" applyFill="1" applyBorder="1" applyAlignment="1">
      <alignment horizontal="left"/>
    </xf>
    <xf numFmtId="166" fontId="2" fillId="2" borderId="0" xfId="0" applyNumberFormat="1" applyFont="1" applyFill="1"/>
    <xf numFmtId="166" fontId="2" fillId="2" borderId="0" xfId="0" applyNumberFormat="1" applyFont="1" applyFill="1" applyAlignment="1">
      <alignment wrapText="1"/>
    </xf>
    <xf numFmtId="166" fontId="4" fillId="2" borderId="0" xfId="3" applyNumberFormat="1" applyFont="1" applyFill="1" applyBorder="1" applyAlignment="1" applyProtection="1">
      <alignment horizontal="right" vertical="center"/>
    </xf>
    <xf numFmtId="166" fontId="8" fillId="2" borderId="0" xfId="0" applyNumberFormat="1" applyFont="1" applyFill="1" applyAlignment="1">
      <alignment wrapText="1"/>
    </xf>
    <xf numFmtId="166" fontId="8" fillId="2" borderId="0" xfId="0" applyNumberFormat="1" applyFont="1" applyFill="1" applyBorder="1" applyAlignment="1">
      <alignment horizontal="right"/>
    </xf>
    <xf numFmtId="166" fontId="8" fillId="3" borderId="0" xfId="0" applyNumberFormat="1" applyFont="1" applyFill="1"/>
    <xf numFmtId="166" fontId="2" fillId="3" borderId="0" xfId="0" applyNumberFormat="1" applyFont="1" applyFill="1"/>
    <xf numFmtId="166" fontId="21" fillId="3" borderId="18" xfId="3" applyNumberFormat="1" applyFont="1" applyFill="1" applyBorder="1" applyAlignment="1" applyProtection="1">
      <alignment horizontal="center" vertical="center"/>
    </xf>
    <xf numFmtId="165" fontId="2" fillId="3" borderId="0" xfId="1" applyNumberFormat="1" applyFont="1" applyFill="1"/>
    <xf numFmtId="165" fontId="8" fillId="2" borderId="0" xfId="1" applyNumberFormat="1" applyFont="1" applyFill="1"/>
    <xf numFmtId="166" fontId="9" fillId="2" borderId="0" xfId="3" applyNumberFormat="1" applyFont="1" applyFill="1" applyBorder="1" applyAlignment="1" applyProtection="1">
      <alignment horizontal="center" vertical="center"/>
    </xf>
    <xf numFmtId="166" fontId="3" fillId="2" borderId="0" xfId="3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wrapText="1"/>
    </xf>
    <xf numFmtId="166" fontId="9" fillId="2" borderId="1" xfId="3" applyNumberFormat="1" applyFont="1" applyFill="1" applyBorder="1" applyAlignment="1" applyProtection="1">
      <alignment horizontal="center" vertical="center" wrapText="1"/>
    </xf>
    <xf numFmtId="166" fontId="9" fillId="2" borderId="0" xfId="3" applyNumberFormat="1" applyFont="1" applyFill="1" applyBorder="1" applyAlignment="1" applyProtection="1">
      <alignment horizontal="center" vertical="center" wrapText="1"/>
    </xf>
    <xf numFmtId="166" fontId="9" fillId="2" borderId="4" xfId="3" applyNumberFormat="1" applyFont="1" applyFill="1" applyBorder="1" applyAlignment="1" applyProtection="1">
      <alignment horizontal="center" vertical="center"/>
    </xf>
    <xf numFmtId="166" fontId="9" fillId="2" borderId="5" xfId="3" applyNumberFormat="1" applyFont="1" applyFill="1" applyBorder="1" applyAlignment="1" applyProtection="1">
      <alignment horizontal="center" vertical="center"/>
    </xf>
    <xf numFmtId="166" fontId="9" fillId="2" borderId="6" xfId="3" applyNumberFormat="1" applyFont="1" applyFill="1" applyBorder="1" applyAlignment="1" applyProtection="1">
      <alignment horizontal="center" vertical="center"/>
    </xf>
    <xf numFmtId="166" fontId="9" fillId="2" borderId="7" xfId="3" applyNumberFormat="1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  <xf numFmtId="166" fontId="3" fillId="2" borderId="1" xfId="3" applyNumberFormat="1" applyFont="1" applyFill="1" applyBorder="1" applyAlignment="1" applyProtection="1">
      <alignment horizontal="right" vertical="center"/>
    </xf>
  </cellXfs>
  <cellStyles count="4">
    <cellStyle name="Comma" xfId="1" builtinId="3"/>
    <cellStyle name="Normal" xfId="0" builtinId="0"/>
    <cellStyle name="Normal 2" xfId="3"/>
    <cellStyle name="Normal_Housing - 3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4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4.4: Number of loans provided, 2010 - 2013</a:t>
            </a:r>
          </a:p>
        </c:rich>
      </c:tx>
      <c:layout>
        <c:manualLayout>
          <c:xMode val="edge"/>
          <c:yMode val="edge"/>
          <c:x val="0.21008104263354319"/>
          <c:y val="4.3775774279698927E-2"/>
        </c:manualLayout>
      </c:layout>
    </c:title>
    <c:plotArea>
      <c:layout>
        <c:manualLayout>
          <c:layoutTarget val="inner"/>
          <c:xMode val="edge"/>
          <c:yMode val="edge"/>
          <c:x val="8.7259727513244498E-2"/>
          <c:y val="0.18269045914715226"/>
          <c:w val="0.89159184509211731"/>
          <c:h val="0.64262098816595292"/>
        </c:manualLayout>
      </c:layout>
      <c:barChart>
        <c:barDir val="col"/>
        <c:grouping val="clustered"/>
        <c:ser>
          <c:idx val="0"/>
          <c:order val="0"/>
          <c:tx>
            <c:strRef>
              <c:f>'4.6'!$R$23</c:f>
              <c:strCache>
                <c:ptCount val="1"/>
                <c:pt idx="0">
                  <c:v>&lt; 1 MILLION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numRef>
              <c:f>'4.6'!$S$22:$V$22</c:f>
              <c:numCache>
                <c:formatCode>General_)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'4.6'!$S$23:$V$23</c:f>
              <c:numCache>
                <c:formatCode>General_)</c:formatCode>
                <c:ptCount val="4"/>
                <c:pt idx="0">
                  <c:v>64</c:v>
                </c:pt>
                <c:pt idx="1">
                  <c:v>202</c:v>
                </c:pt>
                <c:pt idx="2">
                  <c:v>96</c:v>
                </c:pt>
                <c:pt idx="3">
                  <c:v>54</c:v>
                </c:pt>
              </c:numCache>
            </c:numRef>
          </c:val>
        </c:ser>
        <c:ser>
          <c:idx val="1"/>
          <c:order val="1"/>
          <c:tx>
            <c:strRef>
              <c:f>'4.6'!$R$24</c:f>
              <c:strCache>
                <c:ptCount val="1"/>
                <c:pt idx="0">
                  <c:v>1 MILLION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cat>
            <c:numRef>
              <c:f>'4.6'!$S$22:$V$22</c:f>
              <c:numCache>
                <c:formatCode>General_)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'4.6'!$S$24:$V$24</c:f>
              <c:numCache>
                <c:formatCode>General_)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'4.6'!$R$25</c:f>
              <c:strCache>
                <c:ptCount val="1"/>
                <c:pt idx="0">
                  <c:v>1 MILLION PLUS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'4.6'!$S$22:$V$22</c:f>
              <c:numCache>
                <c:formatCode>General_)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'4.6'!$S$25:$V$25</c:f>
              <c:numCache>
                <c:formatCode>General_)</c:formatCode>
                <c:ptCount val="4"/>
                <c:pt idx="0">
                  <c:v>43</c:v>
                </c:pt>
                <c:pt idx="1">
                  <c:v>115</c:v>
                </c:pt>
                <c:pt idx="2">
                  <c:v>74</c:v>
                </c:pt>
                <c:pt idx="3">
                  <c:v>72</c:v>
                </c:pt>
              </c:numCache>
            </c:numRef>
          </c:val>
        </c:ser>
        <c:axId val="64248832"/>
        <c:axId val="64254720"/>
      </c:barChart>
      <c:catAx>
        <c:axId val="64248832"/>
        <c:scaling>
          <c:orientation val="minMax"/>
        </c:scaling>
        <c:axPos val="b"/>
        <c:numFmt formatCode="General_)" sourceLinked="1"/>
        <c:majorTickMark val="none"/>
        <c:tickLblPos val="nextTo"/>
        <c:crossAx val="64254720"/>
        <c:crosses val="autoZero"/>
        <c:auto val="1"/>
        <c:lblAlgn val="ctr"/>
        <c:lblOffset val="100"/>
      </c:catAx>
      <c:valAx>
        <c:axId val="64254720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b="1"/>
                </a:pPr>
                <a:r>
                  <a:rPr lang="en-US" b="1"/>
                  <a:t>Number of loans</a:t>
                </a:r>
              </a:p>
            </c:rich>
          </c:tx>
          <c:layout>
            <c:manualLayout>
              <c:xMode val="edge"/>
              <c:yMode val="edge"/>
              <c:x val="6.0031297060822919E-3"/>
              <c:y val="0.1030115553737601"/>
            </c:manualLayout>
          </c:layout>
        </c:title>
        <c:numFmt formatCode="General_)" sourceLinked="1"/>
        <c:tickLblPos val="nextTo"/>
        <c:crossAx val="64248832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048048062022732"/>
          <c:y val="0.92734962710557933"/>
          <c:w val="0.64949519294653968"/>
          <c:h val="5.7353853495585791E-2"/>
        </c:manualLayout>
      </c:layout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25400"/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style val="4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4.5: Total value</a:t>
            </a:r>
            <a:r>
              <a:rPr lang="en-US" sz="1200" baseline="0"/>
              <a:t> of </a:t>
            </a:r>
            <a:r>
              <a:rPr lang="en-US" sz="1200"/>
              <a:t>loans (MVR),</a:t>
            </a:r>
            <a:r>
              <a:rPr lang="en-US" sz="1200" baseline="0"/>
              <a:t> 2010 - 2013</a:t>
            </a:r>
            <a:endParaRPr lang="en-US" sz="1200"/>
          </a:p>
        </c:rich>
      </c:tx>
      <c:layout>
        <c:manualLayout>
          <c:xMode val="edge"/>
          <c:yMode val="edge"/>
          <c:x val="0.25085454633373733"/>
          <c:y val="3.9290923638323996E-2"/>
        </c:manualLayout>
      </c:layout>
    </c:title>
    <c:plotArea>
      <c:layout>
        <c:manualLayout>
          <c:layoutTarget val="inner"/>
          <c:xMode val="edge"/>
          <c:yMode val="edge"/>
          <c:x val="0.15793772709660045"/>
          <c:y val="0.14530333298644948"/>
          <c:w val="0.80297308777470089"/>
          <c:h val="0.66590040799604"/>
        </c:manualLayout>
      </c:layout>
      <c:barChart>
        <c:barDir val="col"/>
        <c:grouping val="stacked"/>
        <c:ser>
          <c:idx val="0"/>
          <c:order val="0"/>
          <c:tx>
            <c:strRef>
              <c:f>'4.6'!$R$30</c:f>
              <c:strCache>
                <c:ptCount val="1"/>
                <c:pt idx="0">
                  <c:v>&lt; 1 MILLION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cat>
            <c:numRef>
              <c:f>'4.6'!$S$29:$V$29</c:f>
              <c:numCache>
                <c:formatCode>General_)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'4.6'!$S$30:$V$30</c:f>
              <c:numCache>
                <c:formatCode>_(* #,##0_);_(* \(#,##0\);_(* "-"??_);_(@_)</c:formatCode>
                <c:ptCount val="4"/>
                <c:pt idx="0">
                  <c:v>24376348</c:v>
                </c:pt>
                <c:pt idx="1">
                  <c:v>81778087</c:v>
                </c:pt>
                <c:pt idx="2">
                  <c:v>53959231.93</c:v>
                </c:pt>
                <c:pt idx="3">
                  <c:v>27603491.469999999</c:v>
                </c:pt>
              </c:numCache>
            </c:numRef>
          </c:val>
        </c:ser>
        <c:ser>
          <c:idx val="1"/>
          <c:order val="1"/>
          <c:tx>
            <c:strRef>
              <c:f>'4.6'!$R$31</c:f>
              <c:strCache>
                <c:ptCount val="1"/>
                <c:pt idx="0">
                  <c:v>1 MILLION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'4.6'!$S$29:$V$29</c:f>
              <c:numCache>
                <c:formatCode>General_)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'4.6'!$S$31:$V$31</c:f>
              <c:numCache>
                <c:formatCode>_(* #,##0_);_(* \(#,##0\);_(* "-"??_);_(@_)</c:formatCode>
                <c:ptCount val="4"/>
                <c:pt idx="0">
                  <c:v>4000000</c:v>
                </c:pt>
                <c:pt idx="1">
                  <c:v>11000000</c:v>
                </c:pt>
                <c:pt idx="2">
                  <c:v>4000000</c:v>
                </c:pt>
                <c:pt idx="3">
                  <c:v>1000000</c:v>
                </c:pt>
              </c:numCache>
            </c:numRef>
          </c:val>
        </c:ser>
        <c:ser>
          <c:idx val="2"/>
          <c:order val="2"/>
          <c:tx>
            <c:strRef>
              <c:f>'4.6'!$R$32</c:f>
              <c:strCache>
                <c:ptCount val="1"/>
                <c:pt idx="0">
                  <c:v>1 MILLION PLUS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numRef>
              <c:f>'4.6'!$S$29:$V$29</c:f>
              <c:numCache>
                <c:formatCode>General_)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'4.6'!$S$32:$V$32</c:f>
              <c:numCache>
                <c:formatCode>_(* #,##0_);_(* \(#,##0\);_(* "-"??_);_(@_)</c:formatCode>
                <c:ptCount val="4"/>
                <c:pt idx="0">
                  <c:v>120927102</c:v>
                </c:pt>
                <c:pt idx="1">
                  <c:v>280726560</c:v>
                </c:pt>
                <c:pt idx="2">
                  <c:v>142885813.94</c:v>
                </c:pt>
                <c:pt idx="3">
                  <c:v>179525526.21000001</c:v>
                </c:pt>
              </c:numCache>
            </c:numRef>
          </c:val>
        </c:ser>
        <c:gapWidth val="97"/>
        <c:overlap val="100"/>
        <c:axId val="65673856"/>
        <c:axId val="65687936"/>
      </c:barChart>
      <c:catAx>
        <c:axId val="65673856"/>
        <c:scaling>
          <c:orientation val="minMax"/>
        </c:scaling>
        <c:axPos val="b"/>
        <c:numFmt formatCode="General_)" sourceLinked="1"/>
        <c:majorTickMark val="none"/>
        <c:tickLblPos val="nextTo"/>
        <c:crossAx val="65687936"/>
        <c:crosses val="autoZero"/>
        <c:auto val="1"/>
        <c:lblAlgn val="ctr"/>
        <c:lblOffset val="100"/>
      </c:catAx>
      <c:valAx>
        <c:axId val="65687936"/>
        <c:scaling>
          <c:orientation val="minMax"/>
        </c:scaling>
        <c:axPos val="l"/>
        <c:majorGridlines/>
        <c:numFmt formatCode="_(* #,##0_);_(* \(#,##0\);_(* &quot;-&quot;??_);_(@_)" sourceLinked="1"/>
        <c:majorTickMark val="none"/>
        <c:tickLblPos val="nextTo"/>
        <c:spPr>
          <a:ln w="9525">
            <a:noFill/>
          </a:ln>
        </c:spPr>
        <c:crossAx val="6567385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22855686535723571"/>
          <c:y val="0.92208846173543391"/>
          <c:w val="0.63459092112763038"/>
          <c:h val="5.6676966148278392E-2"/>
        </c:manualLayout>
      </c:layout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</c:chart>
  <c:spPr>
    <a:solidFill>
      <a:srgbClr val="4BACC6">
        <a:lumMod val="40000"/>
        <a:lumOff val="60000"/>
      </a:srgbClr>
    </a:solidFill>
    <a:ln w="25400"/>
  </c:spPr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499696</xdr:colOff>
      <xdr:row>18</xdr:row>
      <xdr:rowOff>130552</xdr:rowOff>
    </xdr:from>
    <xdr:to>
      <xdr:col>7</xdr:col>
      <xdr:colOff>240741</xdr:colOff>
      <xdr:row>34</xdr:row>
      <xdr:rowOff>6727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843337</xdr:colOff>
      <xdr:row>18</xdr:row>
      <xdr:rowOff>163809</xdr:rowOff>
    </xdr:from>
    <xdr:to>
      <xdr:col>12</xdr:col>
      <xdr:colOff>1074420</xdr:colOff>
      <xdr:row>34</xdr:row>
      <xdr:rowOff>37139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0.00988</cdr:x>
      <cdr:y>0.0507</cdr:y>
    </cdr:from>
    <cdr:to>
      <cdr:x>0.16643</cdr:x>
      <cdr:y>0.09359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112" y="148495"/>
          <a:ext cx="825872" cy="12563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in 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V33"/>
  <sheetViews>
    <sheetView tabSelected="1" view="pageBreakPreview" zoomScaleSheetLayoutView="100" workbookViewId="0">
      <selection activeCell="G16" sqref="G16"/>
    </sheetView>
  </sheetViews>
  <sheetFormatPr defaultColWidth="9.109375" defaultRowHeight="15"/>
  <cols>
    <col min="1" max="1" width="19.33203125" style="2" customWidth="1"/>
    <col min="2" max="2" width="14.5546875" style="2" customWidth="1"/>
    <col min="3" max="3" width="1.88671875" style="2" customWidth="1"/>
    <col min="4" max="4" width="13.88671875" style="2" customWidth="1"/>
    <col min="5" max="5" width="15.33203125" style="2" customWidth="1"/>
    <col min="6" max="6" width="2.6640625" style="2" customWidth="1"/>
    <col min="7" max="7" width="14.44140625" style="2" customWidth="1"/>
    <col min="8" max="8" width="16.21875" style="2" customWidth="1"/>
    <col min="9" max="9" width="14.88671875" style="2" customWidth="1"/>
    <col min="10" max="10" width="13.5546875" style="2" customWidth="1"/>
    <col min="11" max="11" width="14.88671875" style="2" customWidth="1"/>
    <col min="12" max="12" width="14" style="2" customWidth="1"/>
    <col min="13" max="13" width="22.88671875" style="81" customWidth="1"/>
    <col min="14" max="14" width="27.5546875" style="82" customWidth="1"/>
    <col min="15" max="15" width="2.6640625" style="2" customWidth="1"/>
    <col min="16" max="16" width="33" style="2" customWidth="1"/>
    <col min="17" max="17" width="9.109375" style="2"/>
    <col min="18" max="21" width="13.88671875" style="2" customWidth="1"/>
    <col min="22" max="22" width="18.33203125" style="2" bestFit="1" customWidth="1"/>
    <col min="23" max="16384" width="9.109375" style="2"/>
  </cols>
  <sheetData>
    <row r="2" spans="1:19" ht="21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1"/>
      <c r="P2" s="1"/>
      <c r="Q2" s="1"/>
      <c r="R2" s="1"/>
      <c r="S2" s="1"/>
    </row>
    <row r="3" spans="1:19" ht="15.6">
      <c r="A3" s="91" t="s">
        <v>7</v>
      </c>
      <c r="B3" s="92"/>
      <c r="C3" s="92"/>
      <c r="D3" s="91"/>
      <c r="E3" s="91"/>
      <c r="F3" s="91"/>
      <c r="G3" s="91"/>
      <c r="H3" s="91"/>
      <c r="I3" s="91"/>
      <c r="J3" s="91"/>
      <c r="K3" s="92"/>
      <c r="L3" s="92"/>
      <c r="M3" s="91"/>
      <c r="N3" s="91"/>
    </row>
    <row r="4" spans="1:19" ht="21">
      <c r="A4" s="3" t="s">
        <v>1</v>
      </c>
      <c r="B4" s="4"/>
      <c r="C4" s="4"/>
      <c r="D4" s="93">
        <v>2010</v>
      </c>
      <c r="E4" s="94"/>
      <c r="F4" s="5"/>
      <c r="G4" s="95">
        <v>2011</v>
      </c>
      <c r="H4" s="96"/>
      <c r="I4" s="6">
        <v>2012</v>
      </c>
      <c r="J4" s="5"/>
      <c r="K4" s="6">
        <v>2013</v>
      </c>
      <c r="L4" s="7"/>
      <c r="M4" s="97" t="s">
        <v>8</v>
      </c>
      <c r="N4" s="8" t="s">
        <v>0</v>
      </c>
    </row>
    <row r="5" spans="1:19" s="17" customFormat="1" ht="19.2">
      <c r="A5" s="9" t="s">
        <v>2</v>
      </c>
      <c r="B5" s="10" t="s">
        <v>9</v>
      </c>
      <c r="C5" s="10"/>
      <c r="D5" s="11" t="s">
        <v>10</v>
      </c>
      <c r="E5" s="12" t="s">
        <v>11</v>
      </c>
      <c r="F5" s="13"/>
      <c r="G5" s="14" t="s">
        <v>10</v>
      </c>
      <c r="H5" s="12" t="s">
        <v>11</v>
      </c>
      <c r="I5" s="11" t="s">
        <v>10</v>
      </c>
      <c r="J5" s="15" t="s">
        <v>11</v>
      </c>
      <c r="K5" s="11" t="s">
        <v>10</v>
      </c>
      <c r="L5" s="16" t="s">
        <v>11</v>
      </c>
      <c r="M5" s="98"/>
      <c r="N5" s="89" t="s">
        <v>12</v>
      </c>
    </row>
    <row r="6" spans="1:19" s="27" customFormat="1" ht="15.6">
      <c r="A6" s="18"/>
      <c r="B6" s="18"/>
      <c r="C6" s="19"/>
      <c r="D6" s="20" t="s">
        <v>13</v>
      </c>
      <c r="E6" s="21" t="s">
        <v>14</v>
      </c>
      <c r="F6" s="22"/>
      <c r="G6" s="23" t="s">
        <v>13</v>
      </c>
      <c r="H6" s="21" t="s">
        <v>14</v>
      </c>
      <c r="I6" s="24" t="s">
        <v>13</v>
      </c>
      <c r="J6" s="25" t="s">
        <v>14</v>
      </c>
      <c r="K6" s="24" t="s">
        <v>13</v>
      </c>
      <c r="L6" s="26" t="s">
        <v>14</v>
      </c>
      <c r="M6" s="99"/>
      <c r="N6" s="100"/>
    </row>
    <row r="7" spans="1:19" s="34" customFormat="1" ht="21">
      <c r="A7" s="88" t="s">
        <v>15</v>
      </c>
      <c r="B7" s="28" t="s">
        <v>3</v>
      </c>
      <c r="C7" s="28"/>
      <c r="D7" s="29">
        <v>53</v>
      </c>
      <c r="E7" s="30">
        <v>22326606</v>
      </c>
      <c r="F7" s="31"/>
      <c r="G7" s="28">
        <v>202</v>
      </c>
      <c r="H7" s="30">
        <v>81778087</v>
      </c>
      <c r="I7" s="29">
        <v>96</v>
      </c>
      <c r="J7" s="31">
        <v>53959231.93</v>
      </c>
      <c r="K7" s="29">
        <v>54</v>
      </c>
      <c r="L7" s="32">
        <v>27603491.469999999</v>
      </c>
      <c r="M7" s="33" t="s">
        <v>5</v>
      </c>
      <c r="N7" s="89" t="s">
        <v>16</v>
      </c>
    </row>
    <row r="8" spans="1:19" s="34" customFormat="1" ht="42">
      <c r="A8" s="88"/>
      <c r="B8" s="28" t="s">
        <v>17</v>
      </c>
      <c r="C8" s="28"/>
      <c r="D8" s="29">
        <v>11</v>
      </c>
      <c r="E8" s="35">
        <v>2049742</v>
      </c>
      <c r="F8" s="36"/>
      <c r="G8" s="28">
        <v>0</v>
      </c>
      <c r="H8" s="35">
        <v>0</v>
      </c>
      <c r="I8" s="29">
        <v>0</v>
      </c>
      <c r="J8" s="36">
        <v>0</v>
      </c>
      <c r="K8" s="29">
        <v>0</v>
      </c>
      <c r="L8" s="37">
        <v>0</v>
      </c>
      <c r="M8" s="33" t="s">
        <v>18</v>
      </c>
      <c r="N8" s="89"/>
    </row>
    <row r="9" spans="1:19" s="34" customFormat="1" ht="21">
      <c r="A9" s="38" t="s">
        <v>19</v>
      </c>
      <c r="B9" s="39"/>
      <c r="C9" s="39"/>
      <c r="D9" s="40">
        <v>64</v>
      </c>
      <c r="E9" s="41">
        <v>24376348</v>
      </c>
      <c r="F9" s="42"/>
      <c r="G9" s="38">
        <v>202</v>
      </c>
      <c r="H9" s="43">
        <v>81778087</v>
      </c>
      <c r="I9" s="40">
        <f>SUM(I7:I8)</f>
        <v>96</v>
      </c>
      <c r="J9" s="44">
        <f>SUM(J7:J8)</f>
        <v>53959231.93</v>
      </c>
      <c r="K9" s="40">
        <f>SUM(K7:K8)</f>
        <v>54</v>
      </c>
      <c r="L9" s="45">
        <f>SUM(L7:L8)</f>
        <v>27603491.469999999</v>
      </c>
      <c r="M9" s="46"/>
      <c r="N9" s="47" t="s">
        <v>20</v>
      </c>
    </row>
    <row r="10" spans="1:19" s="34" customFormat="1" ht="21">
      <c r="A10" s="9" t="s">
        <v>21</v>
      </c>
      <c r="B10" s="28" t="s">
        <v>3</v>
      </c>
      <c r="C10" s="28"/>
      <c r="D10" s="29">
        <v>4</v>
      </c>
      <c r="E10" s="35">
        <v>4000000</v>
      </c>
      <c r="F10" s="36"/>
      <c r="G10" s="28">
        <v>11</v>
      </c>
      <c r="H10" s="35">
        <v>11000000</v>
      </c>
      <c r="I10" s="29">
        <v>4</v>
      </c>
      <c r="J10" s="36">
        <v>4000000</v>
      </c>
      <c r="K10" s="29">
        <v>1</v>
      </c>
      <c r="L10" s="37">
        <v>1000000</v>
      </c>
      <c r="M10" s="33" t="s">
        <v>5</v>
      </c>
      <c r="N10" s="48" t="s">
        <v>22</v>
      </c>
    </row>
    <row r="11" spans="1:19" s="34" customFormat="1" ht="21">
      <c r="A11" s="38" t="s">
        <v>19</v>
      </c>
      <c r="B11" s="39"/>
      <c r="C11" s="39"/>
      <c r="D11" s="40">
        <v>4</v>
      </c>
      <c r="E11" s="41">
        <v>4000000</v>
      </c>
      <c r="F11" s="42"/>
      <c r="G11" s="38">
        <v>11</v>
      </c>
      <c r="H11" s="41">
        <v>11000000</v>
      </c>
      <c r="I11" s="40">
        <f>SUM(I10:I10)</f>
        <v>4</v>
      </c>
      <c r="J11" s="44">
        <f>SUM(J10:J10)</f>
        <v>4000000</v>
      </c>
      <c r="K11" s="40">
        <f>SUM(K10)</f>
        <v>1</v>
      </c>
      <c r="L11" s="45">
        <f>SUM(L10)</f>
        <v>1000000</v>
      </c>
      <c r="M11" s="46"/>
      <c r="N11" s="47" t="s">
        <v>20</v>
      </c>
    </row>
    <row r="12" spans="1:19" s="34" customFormat="1" ht="21">
      <c r="A12" s="9" t="s">
        <v>23</v>
      </c>
      <c r="B12" s="28" t="s">
        <v>3</v>
      </c>
      <c r="C12" s="28"/>
      <c r="D12" s="29">
        <v>43</v>
      </c>
      <c r="E12" s="35">
        <v>120927102</v>
      </c>
      <c r="F12" s="36"/>
      <c r="G12" s="28">
        <v>115</v>
      </c>
      <c r="H12" s="35">
        <v>280726560</v>
      </c>
      <c r="I12" s="29">
        <v>74</v>
      </c>
      <c r="J12" s="36">
        <v>142885813.94</v>
      </c>
      <c r="K12" s="29">
        <f>54+18</f>
        <v>72</v>
      </c>
      <c r="L12" s="37">
        <v>179525526.21000001</v>
      </c>
      <c r="M12" s="33" t="s">
        <v>35</v>
      </c>
      <c r="N12" s="48" t="s">
        <v>24</v>
      </c>
    </row>
    <row r="13" spans="1:19" s="56" customFormat="1" ht="21">
      <c r="A13" s="9" t="s">
        <v>19</v>
      </c>
      <c r="B13" s="9"/>
      <c r="C13" s="9"/>
      <c r="D13" s="49">
        <v>43</v>
      </c>
      <c r="E13" s="50">
        <v>120927102</v>
      </c>
      <c r="F13" s="51"/>
      <c r="G13" s="9">
        <v>115</v>
      </c>
      <c r="H13" s="50">
        <v>280726560</v>
      </c>
      <c r="I13" s="49">
        <f>SUM(I12:I12)</f>
        <v>74</v>
      </c>
      <c r="J13" s="52">
        <f>SUM(J12:J12)</f>
        <v>142885813.94</v>
      </c>
      <c r="K13" s="49">
        <f>SUM(K12:K12)</f>
        <v>72</v>
      </c>
      <c r="L13" s="53">
        <f>SUM(L12:L12)</f>
        <v>179525526.21000001</v>
      </c>
      <c r="M13" s="54"/>
      <c r="N13" s="55" t="s">
        <v>20</v>
      </c>
    </row>
    <row r="14" spans="1:19" s="34" customFormat="1" ht="21.6" thickBot="1">
      <c r="A14" s="57" t="s">
        <v>25</v>
      </c>
      <c r="B14" s="57"/>
      <c r="C14" s="58"/>
      <c r="D14" s="59">
        <f>D9+D11+D13</f>
        <v>111</v>
      </c>
      <c r="E14" s="60">
        <f>E9+E11+E13</f>
        <v>149303450</v>
      </c>
      <c r="F14" s="61"/>
      <c r="G14" s="62">
        <f>G9+G11+G13</f>
        <v>328</v>
      </c>
      <c r="H14" s="60">
        <f>H9+H11+H13</f>
        <v>373504647</v>
      </c>
      <c r="I14" s="59">
        <f>I9+I11+I13</f>
        <v>174</v>
      </c>
      <c r="J14" s="61">
        <f>J9+J11+J13</f>
        <v>200845045.87</v>
      </c>
      <c r="K14" s="59">
        <f>+K9+K11+K13</f>
        <v>127</v>
      </c>
      <c r="L14" s="63">
        <f>L9+L11+L13</f>
        <v>208129017.68000001</v>
      </c>
      <c r="M14" s="64"/>
      <c r="N14" s="65" t="s">
        <v>26</v>
      </c>
    </row>
    <row r="15" spans="1:19" s="72" customFormat="1" ht="17.399999999999999" thickTop="1">
      <c r="A15" s="66" t="s">
        <v>27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8"/>
      <c r="N15" s="69" t="s">
        <v>28</v>
      </c>
      <c r="O15" s="70"/>
      <c r="P15" s="70"/>
      <c r="Q15" s="71"/>
    </row>
    <row r="16" spans="1:19" s="72" customFormat="1" ht="16.8">
      <c r="A16" s="66" t="s">
        <v>29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69" t="s">
        <v>30</v>
      </c>
      <c r="O16" s="73"/>
      <c r="P16" s="73"/>
      <c r="Q16" s="73"/>
      <c r="R16" s="73"/>
    </row>
    <row r="17" spans="1:22" s="72" customFormat="1" ht="14.25" customHeight="1">
      <c r="A17" s="66" t="s">
        <v>4</v>
      </c>
      <c r="B17" s="73"/>
      <c r="C17" s="73"/>
      <c r="D17" s="73"/>
      <c r="E17" s="73"/>
      <c r="F17" s="73"/>
      <c r="G17" s="73"/>
      <c r="H17" s="75"/>
      <c r="I17" s="75"/>
      <c r="J17" s="75"/>
      <c r="K17" s="75"/>
      <c r="L17" s="75"/>
      <c r="M17" s="74"/>
      <c r="N17" s="69" t="s">
        <v>31</v>
      </c>
      <c r="O17" s="73"/>
      <c r="P17" s="73"/>
      <c r="Q17" s="73"/>
      <c r="R17" s="73"/>
    </row>
    <row r="18" spans="1:22" s="72" customFormat="1" ht="14.25" customHeight="1">
      <c r="A18" s="66" t="s">
        <v>32</v>
      </c>
      <c r="M18" s="76"/>
      <c r="N18" s="69" t="s">
        <v>33</v>
      </c>
    </row>
    <row r="19" spans="1:22" s="78" customFormat="1" ht="15.75" customHeight="1">
      <c r="A19" s="77"/>
      <c r="M19" s="79"/>
      <c r="N19" s="80"/>
    </row>
    <row r="21" spans="1:22">
      <c r="R21" s="83" t="s">
        <v>13</v>
      </c>
      <c r="S21" s="83"/>
      <c r="T21" s="83"/>
      <c r="U21" s="83"/>
    </row>
    <row r="22" spans="1:22">
      <c r="R22" s="84"/>
      <c r="S22" s="85">
        <v>2010</v>
      </c>
      <c r="T22" s="84">
        <v>2011</v>
      </c>
      <c r="U22" s="84">
        <v>2012</v>
      </c>
      <c r="V22" s="2">
        <v>2013</v>
      </c>
    </row>
    <row r="23" spans="1:22">
      <c r="R23" s="84" t="str">
        <f>A7</f>
        <v>&lt; 1 MILLION</v>
      </c>
      <c r="S23" s="84">
        <f>D9</f>
        <v>64</v>
      </c>
      <c r="T23" s="84">
        <f>G9</f>
        <v>202</v>
      </c>
      <c r="U23" s="84">
        <f>I9</f>
        <v>96</v>
      </c>
      <c r="V23" s="2">
        <f>K9</f>
        <v>54</v>
      </c>
    </row>
    <row r="24" spans="1:22">
      <c r="R24" s="84" t="str">
        <f>A10</f>
        <v>1 MILLION</v>
      </c>
      <c r="S24" s="84">
        <f>D11</f>
        <v>4</v>
      </c>
      <c r="T24" s="84">
        <f>G11</f>
        <v>11</v>
      </c>
      <c r="U24" s="84">
        <f>I11</f>
        <v>4</v>
      </c>
      <c r="V24" s="2">
        <f>K11</f>
        <v>1</v>
      </c>
    </row>
    <row r="25" spans="1:22">
      <c r="R25" s="84" t="str">
        <f>A12</f>
        <v>1 MILLION PLUS</v>
      </c>
      <c r="S25" s="84">
        <f>D13</f>
        <v>43</v>
      </c>
      <c r="T25" s="84">
        <f>G13</f>
        <v>115</v>
      </c>
      <c r="U25" s="84">
        <f>I13</f>
        <v>74</v>
      </c>
      <c r="V25" s="2">
        <f>K13</f>
        <v>72</v>
      </c>
    </row>
    <row r="26" spans="1:22">
      <c r="R26" s="84" t="s">
        <v>19</v>
      </c>
      <c r="S26" s="84">
        <f>SUM(S23:S25)</f>
        <v>111</v>
      </c>
      <c r="T26" s="84">
        <f t="shared" ref="T26:U26" si="0">SUM(T23:T25)</f>
        <v>328</v>
      </c>
      <c r="U26" s="84">
        <f t="shared" si="0"/>
        <v>174</v>
      </c>
      <c r="V26" s="2">
        <f>K14</f>
        <v>127</v>
      </c>
    </row>
    <row r="27" spans="1:22">
      <c r="R27" s="84"/>
      <c r="S27" s="84"/>
      <c r="T27" s="84"/>
      <c r="U27" s="84"/>
    </row>
    <row r="28" spans="1:22">
      <c r="R28" s="84" t="s">
        <v>34</v>
      </c>
      <c r="S28" s="84"/>
      <c r="T28" s="84"/>
      <c r="U28" s="84"/>
    </row>
    <row r="29" spans="1:22">
      <c r="R29" s="84"/>
      <c r="S29" s="85">
        <v>2010</v>
      </c>
      <c r="T29" s="84">
        <v>2011</v>
      </c>
      <c r="U29" s="84">
        <v>2012</v>
      </c>
      <c r="V29" s="2">
        <v>2013</v>
      </c>
    </row>
    <row r="30" spans="1:22">
      <c r="R30" s="84" t="s">
        <v>15</v>
      </c>
      <c r="S30" s="86">
        <f>E9</f>
        <v>24376348</v>
      </c>
      <c r="T30" s="86">
        <f>H9</f>
        <v>81778087</v>
      </c>
      <c r="U30" s="86">
        <f>J9</f>
        <v>53959231.93</v>
      </c>
      <c r="V30" s="87">
        <f>L9</f>
        <v>27603491.469999999</v>
      </c>
    </row>
    <row r="31" spans="1:22">
      <c r="R31" s="84" t="s">
        <v>21</v>
      </c>
      <c r="S31" s="86">
        <f>E11</f>
        <v>4000000</v>
      </c>
      <c r="T31" s="86">
        <f>H11</f>
        <v>11000000</v>
      </c>
      <c r="U31" s="86">
        <f>J11</f>
        <v>4000000</v>
      </c>
      <c r="V31" s="87">
        <f>L11</f>
        <v>1000000</v>
      </c>
    </row>
    <row r="32" spans="1:22">
      <c r="R32" s="84" t="s">
        <v>23</v>
      </c>
      <c r="S32" s="86">
        <f>E13</f>
        <v>120927102</v>
      </c>
      <c r="T32" s="86">
        <f>H13</f>
        <v>280726560</v>
      </c>
      <c r="U32" s="86">
        <f>J13</f>
        <v>142885813.94</v>
      </c>
      <c r="V32" s="87">
        <f>L13</f>
        <v>179525526.21000001</v>
      </c>
    </row>
    <row r="33" spans="18:22">
      <c r="R33" s="84" t="s">
        <v>19</v>
      </c>
      <c r="S33" s="86">
        <f>SUM(S30:S32)</f>
        <v>149303450</v>
      </c>
      <c r="T33" s="86">
        <f t="shared" ref="T33:U33" si="1">SUM(T30:T32)</f>
        <v>373504647</v>
      </c>
      <c r="U33" s="86">
        <f t="shared" si="1"/>
        <v>200845045.87</v>
      </c>
      <c r="V33" s="87">
        <f>L14</f>
        <v>208129017.68000001</v>
      </c>
    </row>
  </sheetData>
  <mergeCells count="8">
    <mergeCell ref="A7:A8"/>
    <mergeCell ref="N7:N8"/>
    <mergeCell ref="A2:N2"/>
    <mergeCell ref="A3:N3"/>
    <mergeCell ref="D4:E4"/>
    <mergeCell ref="G4:H4"/>
    <mergeCell ref="M4:M6"/>
    <mergeCell ref="N5:N6"/>
  </mergeCells>
  <pageMargins left="0.3" right="0.23" top="0.75" bottom="0.75" header="0.3" footer="0.3"/>
  <pageSetup paperSize="9" scale="67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4.6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2014-03-24T03:02:36Z</cp:lastPrinted>
  <dcterms:created xsi:type="dcterms:W3CDTF">2014-03-04T07:02:54Z</dcterms:created>
  <dcterms:modified xsi:type="dcterms:W3CDTF">2014-10-08T07:54:15Z</dcterms:modified>
</cp:coreProperties>
</file>