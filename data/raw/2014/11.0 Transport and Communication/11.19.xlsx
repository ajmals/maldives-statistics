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0" windowWidth="15252" windowHeight="8160" tabRatio="894"/>
  </bookViews>
  <sheets>
    <sheet name="11.19" sheetId="15" r:id="rId1"/>
  </sheets>
  <definedNames>
    <definedName name="_xlnm.Print_Area" localSheetId="0">'11.19'!$A$1:$AD$58</definedName>
  </definedNames>
  <calcPr calcId="124519"/>
</workbook>
</file>

<file path=xl/calcChain.xml><?xml version="1.0" encoding="utf-8"?>
<calcChain xmlns="http://schemas.openxmlformats.org/spreadsheetml/2006/main">
  <c r="G18" i="15"/>
  <c r="C18"/>
  <c r="B18"/>
  <c r="G17"/>
  <c r="C17"/>
  <c r="B17"/>
  <c r="G16"/>
  <c r="C16"/>
  <c r="B16"/>
  <c r="G15"/>
  <c r="C15"/>
  <c r="B15"/>
  <c r="G14"/>
  <c r="C14"/>
  <c r="B14"/>
  <c r="G13"/>
  <c r="C13"/>
  <c r="B13"/>
  <c r="G12"/>
  <c r="C12"/>
  <c r="B12"/>
  <c r="G11"/>
  <c r="C11"/>
  <c r="B11"/>
  <c r="G10"/>
  <c r="C10"/>
  <c r="B10"/>
  <c r="G9"/>
  <c r="C9"/>
  <c r="B9"/>
  <c r="G8"/>
  <c r="C8"/>
  <c r="B8"/>
  <c r="G7"/>
  <c r="C7"/>
  <c r="B7"/>
  <c r="I6"/>
  <c r="H6"/>
  <c r="G6"/>
  <c r="F6"/>
  <c r="E6"/>
  <c r="D6"/>
  <c r="C6"/>
  <c r="B6"/>
  <c r="AB56" l="1"/>
  <c r="AB55"/>
  <c r="AB54"/>
  <c r="AB53"/>
  <c r="AB52"/>
  <c r="AB51"/>
  <c r="AB48"/>
  <c r="AB47"/>
  <c r="AB46"/>
  <c r="AB45"/>
</calcChain>
</file>

<file path=xl/sharedStrings.xml><?xml version="1.0" encoding="utf-8"?>
<sst xmlns="http://schemas.openxmlformats.org/spreadsheetml/2006/main" count="73" uniqueCount="47">
  <si>
    <t>wlcmuj</t>
  </si>
  <si>
    <t>Total</t>
  </si>
  <si>
    <t>Source: Civil Aviation Authority</t>
  </si>
  <si>
    <t>މައުލޫމާތު ދެއްވީ: ސިވިލް އޭވިއޭޝަން އޮތޯރިޓީ</t>
  </si>
  <si>
    <t>Month</t>
  </si>
  <si>
    <t>cswm</t>
  </si>
  <si>
    <t>Jan</t>
  </si>
  <si>
    <t>January</t>
  </si>
  <si>
    <t>Irwaunej</t>
  </si>
  <si>
    <t>Feb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</si>
  <si>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</si>
  <si>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</si>
  <si>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</si>
  <si>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</si>
  <si>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</si>
  <si>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</si>
  <si>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</si>
  <si>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</si>
  <si>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</si>
  <si>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</si>
  <si>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</si>
  <si>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</si>
  <si>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</t>
  </si>
  <si>
    <t>August</t>
  </si>
  <si>
    <t>cTcswgoa</t>
  </si>
  <si>
    <t>Sep</t>
  </si>
  <si>
    <t>September</t>
  </si>
  <si>
    <t>rwbcmeTcpes</t>
  </si>
  <si>
    <t>Oct</t>
  </si>
  <si>
    <t>October</t>
  </si>
  <si>
    <t>rwbUTckoa</t>
  </si>
  <si>
    <t>Nov</t>
  </si>
  <si>
    <t>November</t>
  </si>
  <si>
    <t>rwbcmevon</t>
  </si>
  <si>
    <t>Dec</t>
  </si>
  <si>
    <t>December</t>
  </si>
  <si>
    <t>rwbcmesiD</t>
  </si>
  <si>
    <t>Domestic</t>
  </si>
  <si>
    <t>International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</si>
  <si>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</si>
  <si>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</si>
  <si>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</si>
  <si>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</si>
  <si>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</si>
  <si>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</si>
  <si>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t>Table 11.19 :  AIRCRAFT MOVEMENT AT HANIMAADHOO INTERNATIONAL AIRPORT BY MONTH, 2013</t>
  </si>
  <si>
    <t>ތާވަލު 11.19: މަސްމަހުގެ ގޮތުން ގަން އިންޓަރނޭޝަނަލް އެއަރޕޯޓުން ދަތުރުކުރި ފްލައިޓްތައް، 2013</t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</si>
</sst>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0.0"/>
    <numFmt numFmtId="166" formatCode="_(* #,##0_);_(* \(#,##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b/>
      <sz val="11"/>
      <color theme="1"/>
      <name val="Faruma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0" fillId="0" borderId="0"/>
    <xf numFmtId="40" fontId="13" fillId="0" borderId="0" applyFont="0" applyFill="0" applyBorder="0" applyAlignment="0" applyProtection="0"/>
    <xf numFmtId="0" fontId="6" fillId="0" borderId="0"/>
    <xf numFmtId="0" fontId="15" fillId="0" borderId="0"/>
    <xf numFmtId="166" fontId="10" fillId="0" borderId="0"/>
    <xf numFmtId="166" fontId="10" fillId="0" borderId="0"/>
    <xf numFmtId="165" fontId="10" fillId="0" borderId="0" applyFont="0" applyFill="0" applyBorder="0" applyAlignment="0" applyProtection="0"/>
  </cellStyleXfs>
  <cellXfs count="42">
    <xf numFmtId="0" fontId="0" fillId="0" borderId="0" xfId="0"/>
    <xf numFmtId="0" fontId="9" fillId="2" borderId="1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2" fillId="2" borderId="3" xfId="5" applyNumberFormat="1" applyFont="1" applyFill="1" applyBorder="1" applyAlignment="1" applyProtection="1">
      <alignment horizontal="right" vertical="center"/>
    </xf>
    <xf numFmtId="164" fontId="8" fillId="2" borderId="0" xfId="5" applyNumberFormat="1" applyFont="1" applyFill="1" applyBorder="1" applyAlignment="1" applyProtection="1">
      <alignment horizontal="left" vertical="center"/>
    </xf>
    <xf numFmtId="164" fontId="8" fillId="2" borderId="0" xfId="5" applyNumberFormat="1" applyFont="1" applyFill="1" applyAlignment="1" applyProtection="1">
      <alignment horizontal="left" vertical="center"/>
    </xf>
    <xf numFmtId="164" fontId="0" fillId="2" borderId="0" xfId="0" applyNumberFormat="1" applyFill="1" applyBorder="1"/>
    <xf numFmtId="3" fontId="2" fillId="2" borderId="0" xfId="5" applyNumberFormat="1" applyFont="1" applyFill="1" applyBorder="1" applyAlignment="1" applyProtection="1">
      <alignment horizontal="right" vertical="center"/>
    </xf>
    <xf numFmtId="0" fontId="12" fillId="2" borderId="0" xfId="8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4" fillId="2" borderId="0" xfId="8" applyFont="1" applyFill="1" applyBorder="1" applyAlignment="1">
      <alignment horizontal="right"/>
    </xf>
    <xf numFmtId="164" fontId="3" fillId="2" borderId="3" xfId="5" applyNumberFormat="1" applyFont="1" applyFill="1" applyBorder="1" applyAlignment="1" applyProtection="1">
      <alignment horizontal="left" vertical="center"/>
    </xf>
    <xf numFmtId="0" fontId="14" fillId="2" borderId="3" xfId="8" applyFont="1" applyFill="1" applyBorder="1" applyAlignment="1">
      <alignment horizontal="right"/>
    </xf>
    <xf numFmtId="3" fontId="3" fillId="2" borderId="0" xfId="5" applyNumberFormat="1" applyFont="1" applyFill="1" applyBorder="1" applyAlignment="1" applyProtection="1">
      <alignment horizontal="right" vertical="center"/>
      <protection locked="0"/>
    </xf>
    <xf numFmtId="3" fontId="3" fillId="2" borderId="3" xfId="5" applyNumberFormat="1" applyFont="1" applyFill="1" applyBorder="1" applyAlignment="1" applyProtection="1">
      <alignment horizontal="right" vertical="center"/>
      <protection locked="0"/>
    </xf>
    <xf numFmtId="164" fontId="2" fillId="2" borderId="7" xfId="5" applyNumberFormat="1" applyFont="1" applyFill="1" applyBorder="1" applyAlignment="1" applyProtection="1">
      <alignment horizontal="right" vertical="center"/>
    </xf>
    <xf numFmtId="164" fontId="2" fillId="2" borderId="11" xfId="5" applyNumberFormat="1" applyFont="1" applyFill="1" applyBorder="1" applyAlignment="1" applyProtection="1">
      <alignment horizontal="right" vertical="center"/>
    </xf>
    <xf numFmtId="3" fontId="2" fillId="2" borderId="5" xfId="5" applyNumberFormat="1" applyFont="1" applyFill="1" applyBorder="1" applyAlignment="1" applyProtection="1">
      <alignment horizontal="right" vertical="center"/>
    </xf>
    <xf numFmtId="3" fontId="2" fillId="2" borderId="6" xfId="5" applyNumberFormat="1" applyFont="1" applyFill="1" applyBorder="1" applyAlignment="1" applyProtection="1">
      <alignment horizontal="right" vertical="center"/>
    </xf>
    <xf numFmtId="3" fontId="2" fillId="2" borderId="3" xfId="5" applyNumberFormat="1" applyFont="1" applyFill="1" applyBorder="1" applyAlignment="1" applyProtection="1">
      <alignment horizontal="right" vertical="center"/>
    </xf>
    <xf numFmtId="3" fontId="2" fillId="2" borderId="7" xfId="5" applyNumberFormat="1" applyFont="1" applyFill="1" applyBorder="1" applyAlignment="1" applyProtection="1">
      <alignment horizontal="right" vertical="center"/>
    </xf>
    <xf numFmtId="37" fontId="3" fillId="2" borderId="0" xfId="5" applyNumberFormat="1" applyFont="1" applyFill="1" applyBorder="1" applyAlignment="1" applyProtection="1">
      <alignment vertical="center"/>
    </xf>
    <xf numFmtId="0" fontId="3" fillId="2" borderId="0" xfId="7" applyFont="1" applyFill="1" applyBorder="1" applyAlignment="1">
      <alignment vertical="center"/>
    </xf>
    <xf numFmtId="164" fontId="0" fillId="2" borderId="0" xfId="0" applyNumberFormat="1" applyFill="1" applyAlignment="1">
      <alignment horizontal="right" vertical="center"/>
    </xf>
    <xf numFmtId="3" fontId="2" fillId="2" borderId="2" xfId="5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Border="1" applyAlignment="1">
      <alignment horizontal="right" vertical="center"/>
    </xf>
    <xf numFmtId="0" fontId="9" fillId="2" borderId="0" xfId="0" applyNumberFormat="1" applyFont="1" applyFill="1" applyBorder="1" applyAlignment="1">
      <alignment horizontal="right" vertical="center"/>
    </xf>
    <xf numFmtId="164" fontId="2" fillId="2" borderId="3" xfId="5" applyNumberFormat="1" applyFont="1" applyFill="1" applyBorder="1" applyAlignment="1" applyProtection="1">
      <alignment horizontal="right" vertical="center" wrapText="1"/>
    </xf>
    <xf numFmtId="164" fontId="2" fillId="2" borderId="8" xfId="5" applyNumberFormat="1" applyFont="1" applyFill="1" applyBorder="1" applyAlignment="1" applyProtection="1">
      <alignment horizontal="right" vertical="center" wrapText="1"/>
    </xf>
    <xf numFmtId="164" fontId="7" fillId="2" borderId="3" xfId="5" applyNumberFormat="1" applyFont="1" applyFill="1" applyBorder="1" applyAlignment="1" applyProtection="1">
      <alignment horizontal="center" vertical="center"/>
    </xf>
    <xf numFmtId="0" fontId="12" fillId="2" borderId="2" xfId="8" applyFont="1" applyFill="1" applyBorder="1" applyAlignment="1">
      <alignment horizontal="right" vertical="center"/>
    </xf>
    <xf numFmtId="0" fontId="12" fillId="2" borderId="3" xfId="8" applyFont="1" applyFill="1" applyBorder="1" applyAlignment="1">
      <alignment horizontal="right" vertical="center"/>
    </xf>
    <xf numFmtId="0" fontId="11" fillId="2" borderId="4" xfId="0" applyNumberFormat="1" applyFont="1" applyFill="1" applyBorder="1" applyAlignment="1">
      <alignment horizontal="center" vertical="center"/>
    </xf>
    <xf numFmtId="0" fontId="11" fillId="2" borderId="0" xfId="0" applyNumberFormat="1" applyFont="1" applyFill="1" applyBorder="1" applyAlignment="1">
      <alignment horizontal="center" vertical="center"/>
    </xf>
    <xf numFmtId="164" fontId="4" fillId="2" borderId="3" xfId="5" applyNumberFormat="1" applyFont="1" applyFill="1" applyBorder="1" applyAlignment="1" applyProtection="1">
      <alignment horizontal="center" vertical="center"/>
    </xf>
    <xf numFmtId="164" fontId="2" fillId="2" borderId="11" xfId="5" applyNumberFormat="1" applyFont="1" applyFill="1" applyBorder="1" applyAlignment="1" applyProtection="1">
      <alignment horizontal="center" vertical="center"/>
    </xf>
    <xf numFmtId="164" fontId="2" fillId="2" borderId="9" xfId="5" applyNumberFormat="1" applyFont="1" applyFill="1" applyBorder="1" applyAlignment="1" applyProtection="1">
      <alignment horizontal="center" vertical="center"/>
    </xf>
    <xf numFmtId="164" fontId="2" fillId="2" borderId="10" xfId="5" applyNumberFormat="1" applyFont="1" applyFill="1" applyBorder="1" applyAlignment="1" applyProtection="1">
      <alignment horizontal="center" vertical="center"/>
    </xf>
    <xf numFmtId="164" fontId="7" fillId="2" borderId="2" xfId="5" applyNumberFormat="1" applyFont="1" applyFill="1" applyBorder="1" applyAlignment="1" applyProtection="1">
      <alignment horizontal="center" vertical="center"/>
    </xf>
    <xf numFmtId="164" fontId="2" fillId="2" borderId="2" xfId="5" applyNumberFormat="1" applyFont="1" applyFill="1" applyBorder="1" applyAlignment="1" applyProtection="1">
      <alignment horizontal="right" vertical="center" wrapText="1"/>
    </xf>
    <xf numFmtId="164" fontId="2" fillId="2" borderId="3" xfId="5" applyNumberFormat="1" applyFont="1" applyFill="1" applyBorder="1" applyAlignment="1" applyProtection="1">
      <alignment horizontal="right" vertical="center" wrapText="1"/>
    </xf>
  </cellXfs>
  <cellStyles count="12">
    <cellStyle name="Comma 2" xfId="6"/>
    <cellStyle name="Comma 4" xfId="11"/>
    <cellStyle name="Hyperlink 2" xfId="1"/>
    <cellStyle name="Normal" xfId="0" builtinId="0"/>
    <cellStyle name="Normal 2" xfId="5"/>
    <cellStyle name="Normal 2 3" xfId="3"/>
    <cellStyle name="Normal 3" xfId="9"/>
    <cellStyle name="Normal 3 2" xfId="4"/>
    <cellStyle name="Normal 4" xfId="10"/>
    <cellStyle name="Normal 5" xfId="2"/>
    <cellStyle name="Normal_IX-6(Trans &amp; Comm)" xfId="7"/>
    <cellStyle name="Normal_X-5 (Electricity)" xfId="8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/>
          <a:lstStyle/>
          <a:p>
            <a:pPr>
              <a:defRPr sz="1000"/>
            </a:pPr>
            <a:r>
              <a:rPr lang="en-US" sz="1000" b="1" i="0" u="none" strike="noStrike" baseline="0"/>
              <a:t>Figure 11.12: </a:t>
            </a:r>
            <a:r>
              <a:rPr lang="en-US" sz="1000"/>
              <a:t>International aircraft movements at Ibrahim Nasir International airport, 2012 </a:t>
            </a:r>
          </a:p>
        </c:rich>
      </c:tx>
      <c:layout>
        <c:manualLayout>
          <c:xMode val="edge"/>
          <c:yMode val="edge"/>
          <c:x val="0.15570863629330209"/>
          <c:y val="4.764174167966434E-2"/>
        </c:manualLayout>
      </c:layout>
    </c:title>
    <c:plotArea>
      <c:layout>
        <c:manualLayout>
          <c:layoutTarget val="inner"/>
          <c:xMode val="edge"/>
          <c:yMode val="edge"/>
          <c:x val="0.11193780349120278"/>
          <c:y val="0.15214552834833595"/>
          <c:w val="0.87069733252042669"/>
          <c:h val="0.71668088624960413"/>
        </c:manualLayout>
      </c:layout>
      <c:barChart>
        <c:barDir val="col"/>
        <c:grouping val="clustered"/>
        <c:ser>
          <c:idx val="0"/>
          <c:order val="0"/>
          <c:tx>
            <c:strRef>
              <c:f>'11.19'!#REF!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cat>
            <c:strRef>
              <c:f>'11.19'!#REF!</c:f>
            </c:strRef>
          </c:cat>
          <c:val>
            <c:numRef>
              <c:f>'11.19'!#REF!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'11.19'!#REF!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cat>
            <c:strRef>
              <c:f>'11.19'!#REF!</c:f>
            </c:strRef>
          </c:cat>
          <c:val>
            <c:numRef>
              <c:f>'11.19'!#REF!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'11.19'!#REF!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'11.19'!#REF!</c:f>
            </c:strRef>
          </c:cat>
          <c:val>
            <c:numRef>
              <c:f>'11.19'!#REF!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gapWidth val="59"/>
        <c:axId val="207790464"/>
        <c:axId val="207792000"/>
      </c:barChart>
      <c:catAx>
        <c:axId val="207790464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7792000"/>
        <c:crosses val="autoZero"/>
        <c:auto val="1"/>
        <c:lblAlgn val="ctr"/>
        <c:lblOffset val="100"/>
      </c:catAx>
      <c:valAx>
        <c:axId val="207792000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1.2485153529567403E-2"/>
              <c:y val="7.4195403378873578E-2"/>
            </c:manualLayout>
          </c:layout>
        </c:title>
        <c:numFmt formatCode="#,##0" sourceLinked="0"/>
        <c:tickLblPos val="nextTo"/>
        <c:crossAx val="20779046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2350635999742296"/>
          <c:y val="0.17662218608907163"/>
          <c:w val="0.41109841259170243"/>
          <c:h val="7.3289739356194261E-2"/>
        </c:manualLayout>
      </c:layout>
    </c:legend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 sz="1000" b="1" i="0" u="none" strike="noStrike" baseline="0"/>
              <a:t>Figure 11.13: </a:t>
            </a:r>
            <a:r>
              <a:rPr lang="en-US" sz="1000" b="1" i="0" baseline="0"/>
              <a:t>Domestic aircraft  movements at </a:t>
            </a:r>
            <a:r>
              <a:rPr lang="en-US" sz="1000" b="1" i="0" u="none" strike="noStrike" baseline="0"/>
              <a:t>at Ibrahim Nasir International airport, 2012 </a:t>
            </a:r>
            <a:endParaRPr lang="en-US" sz="1000"/>
          </a:p>
        </c:rich>
      </c:tx>
      <c:layout>
        <c:manualLayout>
          <c:xMode val="edge"/>
          <c:yMode val="edge"/>
          <c:x val="0.13616246217630537"/>
          <c:y val="5.2380952380952375E-2"/>
        </c:manualLayout>
      </c:layout>
    </c:title>
    <c:plotArea>
      <c:layout>
        <c:manualLayout>
          <c:layoutTarget val="inner"/>
          <c:xMode val="edge"/>
          <c:yMode val="edge"/>
          <c:x val="8.6135258092738448E-2"/>
          <c:y val="0.15967866516685414"/>
          <c:w val="0.88925476815398052"/>
          <c:h val="0.71912665271858212"/>
        </c:manualLayout>
      </c:layout>
      <c:barChart>
        <c:barDir val="col"/>
        <c:grouping val="clustered"/>
        <c:ser>
          <c:idx val="0"/>
          <c:order val="0"/>
          <c:tx>
            <c:strRef>
              <c:f>'11.19'!#REF!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'11.19'!#REF!</c:f>
            </c:strRef>
          </c:cat>
          <c:val>
            <c:numRef>
              <c:f>'11.19'!#REF!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'11.19'!#REF!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cat>
            <c:strRef>
              <c:f>'11.19'!#REF!</c:f>
            </c:strRef>
          </c:cat>
          <c:val>
            <c:numRef>
              <c:f>'11.19'!#REF!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207833728"/>
        <c:axId val="207847808"/>
      </c:barChart>
      <c:catAx>
        <c:axId val="207833728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207847808"/>
        <c:crosses val="autoZero"/>
        <c:auto val="1"/>
        <c:lblAlgn val="ctr"/>
        <c:lblOffset val="100"/>
      </c:catAx>
      <c:valAx>
        <c:axId val="207847808"/>
        <c:scaling>
          <c:orientation val="minMax"/>
        </c:scaling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6.6666666666666714E-3"/>
              <c:y val="7.3374953130858664E-2"/>
            </c:manualLayout>
          </c:layout>
        </c:title>
        <c:numFmt formatCode="#,##0" sourceLinked="0"/>
        <c:tickLblPos val="nextTo"/>
        <c:crossAx val="20783372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7515398671109257"/>
          <c:y val="0.20568946400111054"/>
          <c:w val="0.28310036164046287"/>
          <c:h val="8.5542632321595827E-2"/>
        </c:manualLayout>
      </c:layout>
      <c:txPr>
        <a:bodyPr/>
        <a:lstStyle/>
        <a:p>
          <a:pPr>
            <a:defRPr b="0"/>
          </a:pPr>
          <a:endParaRPr lang="en-US"/>
        </a:p>
      </c:txPr>
    </c:legend>
    <c:plotVisOnly val="1"/>
    <c:dispBlanksAs val="gap"/>
  </c:chart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/>
          <a:lstStyle/>
          <a:p>
            <a:pPr>
              <a:defRPr sz="1000"/>
            </a:pPr>
            <a:r>
              <a:rPr lang="en-US" sz="1000" b="1" i="0" u="none" strike="noStrike" baseline="0"/>
              <a:t>Figure 11.12: </a:t>
            </a:r>
            <a:r>
              <a:rPr lang="en-US" sz="1000"/>
              <a:t>International aircraft movements at Ibrahim Nasir International airport, 2012 </a:t>
            </a:r>
          </a:p>
        </c:rich>
      </c:tx>
      <c:layout>
        <c:manualLayout>
          <c:xMode val="edge"/>
          <c:yMode val="edge"/>
          <c:x val="0.15570863629330217"/>
          <c:y val="4.7641741679664312E-2"/>
        </c:manualLayout>
      </c:layout>
    </c:title>
    <c:plotArea>
      <c:layout>
        <c:manualLayout>
          <c:layoutTarget val="inner"/>
          <c:xMode val="edge"/>
          <c:yMode val="edge"/>
          <c:x val="0.11193780349120278"/>
          <c:y val="0.15214552834833595"/>
          <c:w val="0.87069733252042714"/>
          <c:h val="0.71668088624960435"/>
        </c:manualLayout>
      </c:layout>
      <c:barChart>
        <c:barDir val="col"/>
        <c:grouping val="clustered"/>
        <c:ser>
          <c:idx val="0"/>
          <c:order val="0"/>
          <c:tx>
            <c:strRef>
              <c:f>'[4]11.18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cat>
            <c:strRef>
              <c:f>'[4]11.18 '!#REF!</c:f>
            </c:strRef>
          </c:cat>
          <c:val>
            <c:numRef>
              <c:f>'[4]11.18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'[4]11.18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cat>
            <c:strRef>
              <c:f>'[4]11.18 '!#REF!</c:f>
            </c:strRef>
          </c:cat>
          <c:val>
            <c:numRef>
              <c:f>'[4]11.18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'[4]11.18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'[4]11.18 '!#REF!</c:f>
            </c:strRef>
          </c:cat>
          <c:val>
            <c:numRef>
              <c:f>'[4]11.18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gapWidth val="59"/>
        <c:axId val="207927936"/>
        <c:axId val="208015744"/>
      </c:barChart>
      <c:catAx>
        <c:axId val="207927936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8015744"/>
        <c:crosses val="autoZero"/>
        <c:auto val="1"/>
        <c:lblAlgn val="ctr"/>
        <c:lblOffset val="100"/>
      </c:catAx>
      <c:valAx>
        <c:axId val="208015744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1.2485153529567406E-2"/>
              <c:y val="7.4195403378873578E-2"/>
            </c:manualLayout>
          </c:layout>
        </c:title>
        <c:numFmt formatCode="#,##0" sourceLinked="0"/>
        <c:tickLblPos val="nextTo"/>
        <c:crossAx val="20792793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2350635999742296"/>
          <c:y val="0.17662218608907168"/>
          <c:w val="0.41109841259170243"/>
          <c:h val="7.3289739356194261E-2"/>
        </c:manualLayout>
      </c:layout>
    </c:legend>
    <c:plotVisOnly val="1"/>
    <c:dispBlanksAs val="gap"/>
  </c:chart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 sz="1000" b="1" i="0" u="none" strike="noStrike" baseline="0"/>
              <a:t>Figure 11.13: </a:t>
            </a:r>
            <a:r>
              <a:rPr lang="en-US" sz="1000" b="1" i="0" baseline="0"/>
              <a:t>Domestic aircraft  movements at </a:t>
            </a:r>
            <a:r>
              <a:rPr lang="en-US" sz="1000" b="1" i="0" u="none" strike="noStrike" baseline="0"/>
              <a:t>at Ibrahim Nasir International airport, 2012 </a:t>
            </a:r>
            <a:endParaRPr lang="en-US" sz="1000"/>
          </a:p>
        </c:rich>
      </c:tx>
      <c:layout>
        <c:manualLayout>
          <c:xMode val="edge"/>
          <c:yMode val="edge"/>
          <c:x val="0.13616246217630545"/>
          <c:y val="5.2380952380952375E-2"/>
        </c:manualLayout>
      </c:layout>
    </c:title>
    <c:plotArea>
      <c:layout>
        <c:manualLayout>
          <c:layoutTarget val="inner"/>
          <c:xMode val="edge"/>
          <c:yMode val="edge"/>
          <c:x val="8.6135258092738448E-2"/>
          <c:y val="0.15967866516685414"/>
          <c:w val="0.88925476815398052"/>
          <c:h val="0.71912665271858256"/>
        </c:manualLayout>
      </c:layout>
      <c:barChart>
        <c:barDir val="col"/>
        <c:grouping val="clustered"/>
        <c:ser>
          <c:idx val="0"/>
          <c:order val="0"/>
          <c:tx>
            <c:strRef>
              <c:f>'[4]11.18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'[4]11.18 '!#REF!</c:f>
            </c:strRef>
          </c:cat>
          <c:val>
            <c:numRef>
              <c:f>'[4]11.18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'[4]11.18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cat>
            <c:strRef>
              <c:f>'[4]11.18 '!#REF!</c:f>
            </c:strRef>
          </c:cat>
          <c:val>
            <c:numRef>
              <c:f>'[4]11.18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211376000"/>
        <c:axId val="211377536"/>
      </c:barChart>
      <c:catAx>
        <c:axId val="211376000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211377536"/>
        <c:crosses val="autoZero"/>
        <c:auto val="1"/>
        <c:lblAlgn val="ctr"/>
        <c:lblOffset val="100"/>
      </c:catAx>
      <c:valAx>
        <c:axId val="211377536"/>
        <c:scaling>
          <c:orientation val="minMax"/>
        </c:scaling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6.6666666666666714E-3"/>
              <c:y val="7.3374953130858664E-2"/>
            </c:manualLayout>
          </c:layout>
        </c:title>
        <c:numFmt formatCode="#,##0" sourceLinked="0"/>
        <c:tickLblPos val="nextTo"/>
        <c:crossAx val="21137600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7515398671109257"/>
          <c:y val="0.20568946400111054"/>
          <c:w val="0.28310036164046304"/>
          <c:h val="8.5542632321595827E-2"/>
        </c:manualLayout>
      </c:layout>
      <c:txPr>
        <a:bodyPr/>
        <a:lstStyle/>
        <a:p>
          <a:pPr>
            <a:defRPr b="0"/>
          </a:pPr>
          <a:endParaRPr lang="en-US"/>
        </a:p>
      </c:txPr>
    </c:legend>
    <c:plotVisOnly val="1"/>
    <c:dispBlanksAs val="gap"/>
  </c:chart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/>
          <a:lstStyle/>
          <a:p>
            <a:pPr>
              <a:defRPr sz="1000"/>
            </a:pPr>
            <a:r>
              <a:rPr lang="en-US" sz="1000" b="1" i="0" u="none" strike="noStrike" baseline="0"/>
              <a:t>Figure 11.12: </a:t>
            </a:r>
            <a:r>
              <a:rPr lang="en-US" sz="1000"/>
              <a:t>International aircraft movements at Ibrahim Nasir International airport, 2012 </a:t>
            </a:r>
          </a:p>
        </c:rich>
      </c:tx>
      <c:layout>
        <c:manualLayout>
          <c:xMode val="edge"/>
          <c:yMode val="edge"/>
          <c:x val="0.15570863629330217"/>
          <c:y val="4.7641741679664312E-2"/>
        </c:manualLayout>
      </c:layout>
    </c:title>
    <c:plotArea>
      <c:layout>
        <c:manualLayout>
          <c:layoutTarget val="inner"/>
          <c:xMode val="edge"/>
          <c:yMode val="edge"/>
          <c:x val="0.11193780349120278"/>
          <c:y val="0.15214552834833595"/>
          <c:w val="0.87069733252042714"/>
          <c:h val="0.71668088624960435"/>
        </c:manualLayout>
      </c:layout>
      <c:barChart>
        <c:barDir val="col"/>
        <c:grouping val="clustered"/>
        <c:ser>
          <c:idx val="0"/>
          <c:order val="0"/>
          <c:tx>
            <c:strRef>
              <c:f>'[5]11.17, 11.18 &amp;11.19'!$D$4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cat>
            <c:strRef>
              <c:f>'[5]11.17, 11.18 &amp;11.19'!$A$6:$A$17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'[5]11.17, 11.18 &amp;11.19'!$D$6:$D$17</c:f>
              <c:numCache>
                <c:formatCode>#,##0</c:formatCode>
                <c:ptCount val="12"/>
                <c:pt idx="0">
                  <c:v>1594</c:v>
                </c:pt>
                <c:pt idx="1">
                  <c:v>1586</c:v>
                </c:pt>
                <c:pt idx="2">
                  <c:v>1672</c:v>
                </c:pt>
                <c:pt idx="3">
                  <c:v>1600</c:v>
                </c:pt>
                <c:pt idx="4">
                  <c:v>1588</c:v>
                </c:pt>
                <c:pt idx="5">
                  <c:v>1564</c:v>
                </c:pt>
                <c:pt idx="6">
                  <c:v>1630</c:v>
                </c:pt>
                <c:pt idx="7">
                  <c:v>1654</c:v>
                </c:pt>
                <c:pt idx="8">
                  <c:v>1626</c:v>
                </c:pt>
                <c:pt idx="9">
                  <c:v>1790</c:v>
                </c:pt>
                <c:pt idx="10">
                  <c:v>1806</c:v>
                </c:pt>
                <c:pt idx="11">
                  <c:v>1850</c:v>
                </c:pt>
              </c:numCache>
            </c:numRef>
          </c:val>
        </c:ser>
        <c:ser>
          <c:idx val="1"/>
          <c:order val="1"/>
          <c:tx>
            <c:strRef>
              <c:f>'[5]11.17, 11.18 &amp;11.19'!$E$4</c:f>
              <c:strCache>
                <c:ptCount val="1"/>
                <c:pt idx="0">
                  <c:v>Chartered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cat>
            <c:strRef>
              <c:f>'[5]11.17, 11.18 &amp;11.19'!$A$6:$A$17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'[5]11.17, 11.18 &amp;11.19'!$E$6:$E$17</c:f>
              <c:numCache>
                <c:formatCode>#,##0</c:formatCode>
                <c:ptCount val="12"/>
                <c:pt idx="0">
                  <c:v>24</c:v>
                </c:pt>
                <c:pt idx="1">
                  <c:v>46</c:v>
                </c:pt>
                <c:pt idx="2">
                  <c:v>30</c:v>
                </c:pt>
                <c:pt idx="3">
                  <c:v>30</c:v>
                </c:pt>
                <c:pt idx="4">
                  <c:v>20</c:v>
                </c:pt>
                <c:pt idx="5">
                  <c:v>22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40</c:v>
                </c:pt>
                <c:pt idx="10">
                  <c:v>22</c:v>
                </c:pt>
                <c:pt idx="11">
                  <c:v>18</c:v>
                </c:pt>
              </c:numCache>
            </c:numRef>
          </c:val>
        </c:ser>
        <c:ser>
          <c:idx val="2"/>
          <c:order val="2"/>
          <c:tx>
            <c:strRef>
              <c:f>'[5]11.17, 11.18 &amp;11.19'!$F$4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'[5]11.17, 11.18 &amp;11.19'!$A$6:$A$17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'[5]11.17, 11.18 &amp;11.19'!$F$6:$F$17</c:f>
              <c:numCache>
                <c:formatCode>#,##0</c:formatCode>
                <c:ptCount val="12"/>
                <c:pt idx="0">
                  <c:v>272</c:v>
                </c:pt>
                <c:pt idx="1">
                  <c:v>140</c:v>
                </c:pt>
                <c:pt idx="2">
                  <c:v>208</c:v>
                </c:pt>
                <c:pt idx="3">
                  <c:v>186</c:v>
                </c:pt>
                <c:pt idx="4">
                  <c:v>144</c:v>
                </c:pt>
                <c:pt idx="5">
                  <c:v>106</c:v>
                </c:pt>
                <c:pt idx="6">
                  <c:v>98</c:v>
                </c:pt>
                <c:pt idx="7">
                  <c:v>82</c:v>
                </c:pt>
                <c:pt idx="8">
                  <c:v>58</c:v>
                </c:pt>
                <c:pt idx="9">
                  <c:v>102</c:v>
                </c:pt>
                <c:pt idx="10">
                  <c:v>140</c:v>
                </c:pt>
                <c:pt idx="11">
                  <c:v>250</c:v>
                </c:pt>
              </c:numCache>
            </c:numRef>
          </c:val>
        </c:ser>
        <c:gapWidth val="59"/>
        <c:axId val="209437440"/>
        <c:axId val="209438976"/>
      </c:barChart>
      <c:catAx>
        <c:axId val="209437440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9438976"/>
        <c:crosses val="autoZero"/>
        <c:auto val="1"/>
        <c:lblAlgn val="ctr"/>
        <c:lblOffset val="100"/>
      </c:catAx>
      <c:valAx>
        <c:axId val="209438976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1.2485153529567406E-2"/>
              <c:y val="7.4195403378873578E-2"/>
            </c:manualLayout>
          </c:layout>
        </c:title>
        <c:numFmt formatCode="#,##0" sourceLinked="0"/>
        <c:tickLblPos val="nextTo"/>
        <c:crossAx val="20943744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2350635999742296"/>
          <c:y val="0.17662218608907168"/>
          <c:w val="0.41109841259170243"/>
          <c:h val="7.3289739356194261E-2"/>
        </c:manualLayout>
      </c:layout>
    </c:legend>
    <c:plotVisOnly val="1"/>
    <c:dispBlanksAs val="gap"/>
  </c:chart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 sz="1000" b="1" i="0" u="none" strike="noStrike" baseline="0"/>
              <a:t>Figure 11.13: </a:t>
            </a:r>
            <a:r>
              <a:rPr lang="en-US" sz="1000" b="1" i="0" baseline="0"/>
              <a:t>Domestic aircraft  movements at </a:t>
            </a:r>
            <a:r>
              <a:rPr lang="en-US" sz="1000" b="1" i="0" u="none" strike="noStrike" baseline="0"/>
              <a:t>at Ibrahim Nasir International airport, 2012 </a:t>
            </a:r>
            <a:endParaRPr lang="en-US" sz="1000"/>
          </a:p>
        </c:rich>
      </c:tx>
      <c:layout>
        <c:manualLayout>
          <c:xMode val="edge"/>
          <c:yMode val="edge"/>
          <c:x val="0.13616246217630545"/>
          <c:y val="5.2380952380952375E-2"/>
        </c:manualLayout>
      </c:layout>
    </c:title>
    <c:plotArea>
      <c:layout>
        <c:manualLayout>
          <c:layoutTarget val="inner"/>
          <c:xMode val="edge"/>
          <c:yMode val="edge"/>
          <c:x val="8.6135258092738448E-2"/>
          <c:y val="0.15967866516685414"/>
          <c:w val="0.88925476815398052"/>
          <c:h val="0.71912665271858256"/>
        </c:manualLayout>
      </c:layout>
      <c:barChart>
        <c:barDir val="col"/>
        <c:grouping val="clustered"/>
        <c:ser>
          <c:idx val="0"/>
          <c:order val="0"/>
          <c:tx>
            <c:strRef>
              <c:f>'[5]11.17, 11.18 &amp;11.19'!$H$4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'[5]11.17, 11.18 &amp;11.19'!$A$6:$A$17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'[5]11.17, 11.18 &amp;11.19'!$H$6:$H$17</c:f>
              <c:numCache>
                <c:formatCode>#,##0</c:formatCode>
                <c:ptCount val="12"/>
                <c:pt idx="0">
                  <c:v>1642</c:v>
                </c:pt>
                <c:pt idx="1">
                  <c:v>1718</c:v>
                </c:pt>
                <c:pt idx="2">
                  <c:v>1624</c:v>
                </c:pt>
                <c:pt idx="3">
                  <c:v>1554</c:v>
                </c:pt>
                <c:pt idx="4">
                  <c:v>1550</c:v>
                </c:pt>
                <c:pt idx="5">
                  <c:v>1692</c:v>
                </c:pt>
                <c:pt idx="6">
                  <c:v>1598</c:v>
                </c:pt>
                <c:pt idx="7">
                  <c:v>1864</c:v>
                </c:pt>
                <c:pt idx="8">
                  <c:v>1762</c:v>
                </c:pt>
                <c:pt idx="9">
                  <c:v>1968</c:v>
                </c:pt>
                <c:pt idx="10">
                  <c:v>1932</c:v>
                </c:pt>
                <c:pt idx="11">
                  <c:v>1968</c:v>
                </c:pt>
              </c:numCache>
            </c:numRef>
          </c:val>
        </c:ser>
        <c:ser>
          <c:idx val="1"/>
          <c:order val="1"/>
          <c:tx>
            <c:strRef>
              <c:f>'[5]11.17, 11.18 &amp;11.19'!$I$4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cat>
            <c:strRef>
              <c:f>'[5]11.17, 11.18 &amp;11.19'!$A$6:$A$17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'[5]11.17, 11.18 &amp;11.19'!$I$6:$I$17</c:f>
              <c:numCache>
                <c:formatCode>#,##0</c:formatCode>
                <c:ptCount val="12"/>
                <c:pt idx="0">
                  <c:v>10905</c:v>
                </c:pt>
                <c:pt idx="1">
                  <c:v>11071</c:v>
                </c:pt>
                <c:pt idx="2">
                  <c:v>11430</c:v>
                </c:pt>
                <c:pt idx="3">
                  <c:v>10681</c:v>
                </c:pt>
                <c:pt idx="4">
                  <c:v>9952</c:v>
                </c:pt>
                <c:pt idx="5">
                  <c:v>8742</c:v>
                </c:pt>
                <c:pt idx="6">
                  <c:v>9932</c:v>
                </c:pt>
                <c:pt idx="7">
                  <c:v>10474</c:v>
                </c:pt>
                <c:pt idx="8">
                  <c:v>10294</c:v>
                </c:pt>
                <c:pt idx="9">
                  <c:v>11617</c:v>
                </c:pt>
                <c:pt idx="10">
                  <c:v>10629</c:v>
                </c:pt>
                <c:pt idx="11">
                  <c:v>11195</c:v>
                </c:pt>
              </c:numCache>
            </c:numRef>
          </c:val>
        </c:ser>
        <c:axId val="210300288"/>
        <c:axId val="211358848"/>
      </c:barChart>
      <c:catAx>
        <c:axId val="210300288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211358848"/>
        <c:crosses val="autoZero"/>
        <c:auto val="1"/>
        <c:lblAlgn val="ctr"/>
        <c:lblOffset val="100"/>
      </c:catAx>
      <c:valAx>
        <c:axId val="211358848"/>
        <c:scaling>
          <c:orientation val="minMax"/>
        </c:scaling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6.6666666666666714E-3"/>
              <c:y val="7.3374953130858664E-2"/>
            </c:manualLayout>
          </c:layout>
        </c:title>
        <c:numFmt formatCode="#,##0" sourceLinked="0"/>
        <c:tickLblPos val="nextTo"/>
        <c:crossAx val="21030028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7515398671109257"/>
          <c:y val="0.20568946400111054"/>
          <c:w val="0.28310036164046304"/>
          <c:h val="8.5542632321595827E-2"/>
        </c:manualLayout>
      </c:layout>
      <c:txPr>
        <a:bodyPr/>
        <a:lstStyle/>
        <a:p>
          <a:pPr>
            <a:defRPr b="0"/>
          </a:pPr>
          <a:endParaRPr lang="en-US"/>
        </a:p>
      </c:txPr>
    </c:legend>
    <c:plotVisOnly val="1"/>
    <c:dispBlanksAs val="gap"/>
  </c:chart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19</xdr:row>
      <xdr:rowOff>137159</xdr:rowOff>
    </xdr:from>
    <xdr:to>
      <xdr:col>9</xdr:col>
      <xdr:colOff>754380</xdr:colOff>
      <xdr:row>36</xdr:row>
      <xdr:rowOff>85724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577215</xdr:colOff>
      <xdr:row>38</xdr:row>
      <xdr:rowOff>42544</xdr:rowOff>
    </xdr:from>
    <xdr:to>
      <xdr:col>9</xdr:col>
      <xdr:colOff>769620</xdr:colOff>
      <xdr:row>56</xdr:row>
      <xdr:rowOff>7619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571500</xdr:colOff>
      <xdr:row>19</xdr:row>
      <xdr:rowOff>137159</xdr:rowOff>
    </xdr:from>
    <xdr:to>
      <xdr:col>9</xdr:col>
      <xdr:colOff>754380</xdr:colOff>
      <xdr:row>36</xdr:row>
      <xdr:rowOff>85724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577215</xdr:colOff>
      <xdr:row>38</xdr:row>
      <xdr:rowOff>42544</xdr:rowOff>
    </xdr:from>
    <xdr:to>
      <xdr:col>9</xdr:col>
      <xdr:colOff>769620</xdr:colOff>
      <xdr:row>56</xdr:row>
      <xdr:rowOff>7619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571500</xdr:colOff>
      <xdr:row>19</xdr:row>
      <xdr:rowOff>137159</xdr:rowOff>
    </xdr:from>
    <xdr:to>
      <xdr:col>9</xdr:col>
      <xdr:colOff>754380</xdr:colOff>
      <xdr:row>36</xdr:row>
      <xdr:rowOff>85724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577215</xdr:colOff>
      <xdr:row>38</xdr:row>
      <xdr:rowOff>42544</xdr:rowOff>
    </xdr:from>
    <xdr:to>
      <xdr:col>9</xdr:col>
      <xdr:colOff>769620</xdr:colOff>
      <xdr:row>56</xdr:row>
      <xdr:rowOff>7619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AC69"/>
  <sheetViews>
    <sheetView tabSelected="1" workbookViewId="0">
      <selection activeCell="M21" sqref="M21"/>
    </sheetView>
  </sheetViews>
  <sheetFormatPr defaultColWidth="9.109375" defaultRowHeight="12.75" customHeight="1"/>
  <cols>
    <col min="1" max="1" width="11.6640625" style="2" customWidth="1"/>
    <col min="2" max="2" width="10.5546875" style="2" customWidth="1"/>
    <col min="3" max="3" width="10.6640625" style="2" customWidth="1"/>
    <col min="4" max="4" width="10.33203125" style="2" customWidth="1"/>
    <col min="5" max="5" width="10.6640625" style="2" customWidth="1"/>
    <col min="6" max="6" width="13.109375" style="2" customWidth="1"/>
    <col min="7" max="8" width="10.6640625" style="2" customWidth="1"/>
    <col min="9" max="9" width="14.33203125" style="2" customWidth="1"/>
    <col min="10" max="10" width="16.33203125" style="2" customWidth="1"/>
    <col min="11" max="11" width="11.6640625" style="2" customWidth="1"/>
    <col min="12" max="16384" width="9.109375" style="2"/>
  </cols>
  <sheetData>
    <row r="1" spans="1:10" ht="18.600000000000001">
      <c r="A1" s="6"/>
      <c r="B1" s="5"/>
      <c r="C1" s="22"/>
      <c r="D1" s="22"/>
      <c r="E1" s="22"/>
      <c r="F1" s="22"/>
      <c r="G1" s="22"/>
      <c r="H1" s="23"/>
      <c r="J1" s="27"/>
    </row>
    <row r="2" spans="1:10" ht="19.2">
      <c r="A2" s="33" t="s">
        <v>46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ht="14.4">
      <c r="A3" s="35" t="s">
        <v>45</v>
      </c>
      <c r="B3" s="35"/>
      <c r="C3" s="35"/>
      <c r="D3" s="35"/>
      <c r="E3" s="35"/>
      <c r="F3" s="35"/>
      <c r="G3" s="35"/>
      <c r="H3" s="35"/>
      <c r="I3" s="35"/>
      <c r="J3" s="35"/>
    </row>
    <row r="4" spans="1:10" ht="14.4" customHeight="1">
      <c r="A4" s="39" t="s">
        <v>4</v>
      </c>
      <c r="B4" s="40" t="s">
        <v>39</v>
      </c>
      <c r="C4" s="36" t="s">
        <v>43</v>
      </c>
      <c r="D4" s="37"/>
      <c r="E4" s="37"/>
      <c r="F4" s="38"/>
      <c r="G4" s="36" t="s">
        <v>44</v>
      </c>
      <c r="H4" s="37"/>
      <c r="I4" s="37"/>
      <c r="J4" s="31" t="s">
        <v>5</v>
      </c>
    </row>
    <row r="5" spans="1:10" ht="14.4" customHeight="1">
      <c r="A5" s="30"/>
      <c r="B5" s="41"/>
      <c r="C5" s="16" t="s">
        <v>1</v>
      </c>
      <c r="D5" s="4" t="s">
        <v>40</v>
      </c>
      <c r="E5" s="4" t="s">
        <v>41</v>
      </c>
      <c r="F5" s="29" t="s">
        <v>42</v>
      </c>
      <c r="G5" s="17" t="s">
        <v>1</v>
      </c>
      <c r="H5" s="4" t="s">
        <v>40</v>
      </c>
      <c r="I5" s="28" t="s">
        <v>42</v>
      </c>
      <c r="J5" s="32"/>
    </row>
    <row r="6" spans="1:10" ht="16.8">
      <c r="A6" s="3" t="s">
        <v>1</v>
      </c>
      <c r="B6" s="8">
        <f t="shared" ref="B6:B18" si="0">SUM(C6+G6)</f>
        <v>1957</v>
      </c>
      <c r="C6" s="18">
        <f t="shared" ref="C6" si="1">SUM(D6:F6)</f>
        <v>83</v>
      </c>
      <c r="D6" s="8">
        <f>SUM(D7:D18)</f>
        <v>83</v>
      </c>
      <c r="E6" s="8">
        <f>SUM(E7:E18)</f>
        <v>0</v>
      </c>
      <c r="F6" s="19">
        <f>SUM(F7:F18)</f>
        <v>0</v>
      </c>
      <c r="G6" s="18">
        <f t="shared" ref="G6:G18" si="2">SUM(H6:I6)</f>
        <v>1874</v>
      </c>
      <c r="H6" s="25">
        <f>SUM(H7:H18)</f>
        <v>1874</v>
      </c>
      <c r="I6" s="25">
        <f>SUM(I7:I18)</f>
        <v>0</v>
      </c>
      <c r="J6" s="9" t="s">
        <v>0</v>
      </c>
    </row>
    <row r="7" spans="1:10" ht="16.8">
      <c r="A7" s="10" t="s">
        <v>7</v>
      </c>
      <c r="B7" s="8">
        <f t="shared" si="0"/>
        <v>152</v>
      </c>
      <c r="C7" s="18">
        <f t="shared" ref="C7:C18" si="3">SUM(D7:F7)</f>
        <v>0</v>
      </c>
      <c r="D7" s="14">
        <v>0</v>
      </c>
      <c r="E7" s="14">
        <v>0</v>
      </c>
      <c r="F7" s="14">
        <v>0</v>
      </c>
      <c r="G7" s="18">
        <f t="shared" si="2"/>
        <v>152</v>
      </c>
      <c r="H7" s="14">
        <v>152</v>
      </c>
      <c r="I7" s="14">
        <v>0</v>
      </c>
      <c r="J7" s="11" t="s">
        <v>8</v>
      </c>
    </row>
    <row r="8" spans="1:10" ht="16.8">
      <c r="A8" s="10" t="s">
        <v>10</v>
      </c>
      <c r="B8" s="8">
        <f t="shared" si="0"/>
        <v>164</v>
      </c>
      <c r="C8" s="18">
        <f t="shared" si="3"/>
        <v>8</v>
      </c>
      <c r="D8" s="14">
        <v>8</v>
      </c>
      <c r="E8" s="14">
        <v>0</v>
      </c>
      <c r="F8" s="14">
        <v>0</v>
      </c>
      <c r="G8" s="18">
        <f t="shared" si="2"/>
        <v>156</v>
      </c>
      <c r="H8" s="14">
        <v>156</v>
      </c>
      <c r="I8" s="14">
        <v>0</v>
      </c>
      <c r="J8" s="11" t="s">
        <v>11</v>
      </c>
    </row>
    <row r="9" spans="1:10" ht="16.8">
      <c r="A9" s="10" t="s">
        <v>12</v>
      </c>
      <c r="B9" s="8">
        <f t="shared" si="0"/>
        <v>154</v>
      </c>
      <c r="C9" s="18">
        <f t="shared" si="3"/>
        <v>9</v>
      </c>
      <c r="D9" s="14">
        <v>9</v>
      </c>
      <c r="E9" s="14">
        <v>0</v>
      </c>
      <c r="F9" s="14">
        <v>0</v>
      </c>
      <c r="G9" s="18">
        <f t="shared" si="2"/>
        <v>145</v>
      </c>
      <c r="H9" s="14">
        <v>145</v>
      </c>
      <c r="I9" s="14">
        <v>0</v>
      </c>
      <c r="J9" s="11" t="s">
        <v>13</v>
      </c>
    </row>
    <row r="10" spans="1:10" ht="16.8">
      <c r="A10" s="10" t="s">
        <v>14</v>
      </c>
      <c r="B10" s="8">
        <f t="shared" si="0"/>
        <v>144</v>
      </c>
      <c r="C10" s="18">
        <f t="shared" si="3"/>
        <v>8</v>
      </c>
      <c r="D10" s="14">
        <v>8</v>
      </c>
      <c r="E10" s="14">
        <v>0</v>
      </c>
      <c r="F10" s="14">
        <v>0</v>
      </c>
      <c r="G10" s="18">
        <f t="shared" si="2"/>
        <v>136</v>
      </c>
      <c r="H10" s="14">
        <v>136</v>
      </c>
      <c r="I10" s="14">
        <v>0</v>
      </c>
      <c r="J10" s="11" t="s">
        <v>15</v>
      </c>
    </row>
    <row r="11" spans="1:10" ht="16.8">
      <c r="A11" s="10" t="s">
        <v>16</v>
      </c>
      <c r="B11" s="8">
        <f t="shared" si="0"/>
        <v>152</v>
      </c>
      <c r="C11" s="18">
        <f t="shared" si="3"/>
        <v>8</v>
      </c>
      <c r="D11" s="14">
        <v>8</v>
      </c>
      <c r="E11" s="14">
        <v>0</v>
      </c>
      <c r="F11" s="14">
        <v>0</v>
      </c>
      <c r="G11" s="18">
        <f t="shared" si="2"/>
        <v>144</v>
      </c>
      <c r="H11" s="14">
        <v>144</v>
      </c>
      <c r="I11" s="14">
        <v>0</v>
      </c>
      <c r="J11" s="11" t="s">
        <v>17</v>
      </c>
    </row>
    <row r="12" spans="1:10" ht="16.8">
      <c r="A12" s="10" t="s">
        <v>18</v>
      </c>
      <c r="B12" s="8">
        <f t="shared" si="0"/>
        <v>155</v>
      </c>
      <c r="C12" s="18">
        <f t="shared" si="3"/>
        <v>9</v>
      </c>
      <c r="D12" s="14">
        <v>9</v>
      </c>
      <c r="E12" s="14">
        <v>0</v>
      </c>
      <c r="F12" s="14">
        <v>0</v>
      </c>
      <c r="G12" s="18">
        <f t="shared" si="2"/>
        <v>146</v>
      </c>
      <c r="H12" s="14">
        <v>146</v>
      </c>
      <c r="I12" s="14">
        <v>0</v>
      </c>
      <c r="J12" s="11" t="s">
        <v>19</v>
      </c>
    </row>
    <row r="13" spans="1:10" ht="16.8">
      <c r="A13" s="10" t="s">
        <v>20</v>
      </c>
      <c r="B13" s="8">
        <f t="shared" si="0"/>
        <v>144</v>
      </c>
      <c r="C13" s="18">
        <f t="shared" si="3"/>
        <v>5</v>
      </c>
      <c r="D13" s="14">
        <v>5</v>
      </c>
      <c r="E13" s="14">
        <v>0</v>
      </c>
      <c r="F13" s="14">
        <v>0</v>
      </c>
      <c r="G13" s="18">
        <f t="shared" si="2"/>
        <v>139</v>
      </c>
      <c r="H13" s="14">
        <v>139</v>
      </c>
      <c r="I13" s="14">
        <v>0</v>
      </c>
      <c r="J13" s="11" t="s">
        <v>21</v>
      </c>
    </row>
    <row r="14" spans="1:10" ht="16.8">
      <c r="A14" s="10" t="s">
        <v>23</v>
      </c>
      <c r="B14" s="8">
        <f t="shared" si="0"/>
        <v>166</v>
      </c>
      <c r="C14" s="18">
        <f t="shared" si="3"/>
        <v>5</v>
      </c>
      <c r="D14" s="14">
        <v>5</v>
      </c>
      <c r="E14" s="14">
        <v>0</v>
      </c>
      <c r="F14" s="14">
        <v>0</v>
      </c>
      <c r="G14" s="18">
        <f t="shared" si="2"/>
        <v>161</v>
      </c>
      <c r="H14" s="14">
        <v>161</v>
      </c>
      <c r="I14" s="14">
        <v>0</v>
      </c>
      <c r="J14" s="11" t="s">
        <v>24</v>
      </c>
    </row>
    <row r="15" spans="1:10" ht="16.8">
      <c r="A15" s="10" t="s">
        <v>26</v>
      </c>
      <c r="B15" s="8">
        <f t="shared" si="0"/>
        <v>179</v>
      </c>
      <c r="C15" s="18">
        <f t="shared" si="3"/>
        <v>4</v>
      </c>
      <c r="D15" s="14">
        <v>4</v>
      </c>
      <c r="E15" s="14">
        <v>0</v>
      </c>
      <c r="F15" s="14">
        <v>0</v>
      </c>
      <c r="G15" s="18">
        <f t="shared" si="2"/>
        <v>175</v>
      </c>
      <c r="H15" s="14">
        <v>175</v>
      </c>
      <c r="I15" s="14">
        <v>0</v>
      </c>
      <c r="J15" s="11" t="s">
        <v>27</v>
      </c>
    </row>
    <row r="16" spans="1:10" ht="16.8">
      <c r="A16" s="10" t="s">
        <v>29</v>
      </c>
      <c r="B16" s="8">
        <f t="shared" si="0"/>
        <v>183</v>
      </c>
      <c r="C16" s="18">
        <f t="shared" si="3"/>
        <v>5</v>
      </c>
      <c r="D16" s="14">
        <v>5</v>
      </c>
      <c r="E16" s="14">
        <v>0</v>
      </c>
      <c r="F16" s="14">
        <v>0</v>
      </c>
      <c r="G16" s="18">
        <f t="shared" si="2"/>
        <v>178</v>
      </c>
      <c r="H16" s="14">
        <v>178</v>
      </c>
      <c r="I16" s="14">
        <v>0</v>
      </c>
      <c r="J16" s="11" t="s">
        <v>30</v>
      </c>
    </row>
    <row r="17" spans="1:29" ht="16.8">
      <c r="A17" s="10" t="s">
        <v>32</v>
      </c>
      <c r="B17" s="8">
        <f t="shared" si="0"/>
        <v>179</v>
      </c>
      <c r="C17" s="18">
        <f t="shared" si="3"/>
        <v>13</v>
      </c>
      <c r="D17" s="14">
        <v>13</v>
      </c>
      <c r="E17" s="14">
        <v>0</v>
      </c>
      <c r="F17" s="14">
        <v>0</v>
      </c>
      <c r="G17" s="18">
        <f t="shared" si="2"/>
        <v>166</v>
      </c>
      <c r="H17" s="14">
        <v>166</v>
      </c>
      <c r="I17" s="14">
        <v>0</v>
      </c>
      <c r="J17" s="11" t="s">
        <v>33</v>
      </c>
    </row>
    <row r="18" spans="1:29" ht="16.8">
      <c r="A18" s="12" t="s">
        <v>35</v>
      </c>
      <c r="B18" s="20">
        <f t="shared" si="0"/>
        <v>185</v>
      </c>
      <c r="C18" s="21">
        <f t="shared" si="3"/>
        <v>9</v>
      </c>
      <c r="D18" s="15">
        <v>9</v>
      </c>
      <c r="E18" s="15">
        <v>0</v>
      </c>
      <c r="F18" s="15">
        <v>0</v>
      </c>
      <c r="G18" s="21">
        <f t="shared" si="2"/>
        <v>176</v>
      </c>
      <c r="H18" s="15">
        <v>176</v>
      </c>
      <c r="I18" s="15">
        <v>0</v>
      </c>
      <c r="J18" s="13" t="s">
        <v>36</v>
      </c>
    </row>
    <row r="19" spans="1:29" ht="18.600000000000001">
      <c r="A19" s="6" t="s">
        <v>2</v>
      </c>
      <c r="B19" s="5"/>
      <c r="C19" s="22"/>
      <c r="D19" s="22"/>
      <c r="E19" s="22"/>
      <c r="F19" s="22"/>
      <c r="G19" s="22"/>
      <c r="H19" s="23"/>
      <c r="J19" s="1" t="s">
        <v>3</v>
      </c>
    </row>
    <row r="20" spans="1:29" ht="18.600000000000001">
      <c r="A20" s="6"/>
      <c r="B20" s="5"/>
      <c r="C20" s="22"/>
      <c r="D20" s="22"/>
      <c r="E20" s="22"/>
      <c r="F20" s="22"/>
      <c r="G20" s="22"/>
      <c r="H20" s="23"/>
      <c r="J20" s="27"/>
    </row>
    <row r="21" spans="1:29" ht="18.600000000000001">
      <c r="A21" s="6"/>
      <c r="B21" s="5"/>
      <c r="C21" s="22"/>
      <c r="D21" s="22"/>
      <c r="E21" s="22"/>
      <c r="F21" s="22"/>
      <c r="G21" s="22"/>
      <c r="H21" s="23"/>
      <c r="J21" s="27"/>
    </row>
    <row r="22" spans="1:29" ht="14.4">
      <c r="A22" s="7"/>
      <c r="B22" s="7"/>
      <c r="C22" s="7"/>
      <c r="D22" s="7"/>
      <c r="E22" s="7"/>
      <c r="F22" s="7"/>
      <c r="G22" s="7"/>
      <c r="H22" s="7"/>
      <c r="I22" s="7"/>
    </row>
    <row r="23" spans="1:29" s="24" customFormat="1" ht="14.4">
      <c r="A23" s="10"/>
      <c r="B23" s="8"/>
      <c r="C23" s="8"/>
      <c r="D23" s="14"/>
      <c r="E23" s="14"/>
      <c r="F23" s="14"/>
      <c r="G23" s="8"/>
      <c r="H23" s="14"/>
      <c r="I23" s="14"/>
      <c r="J23" s="26"/>
      <c r="K23" s="26"/>
    </row>
    <row r="24" spans="1:29" ht="18.600000000000001">
      <c r="A24" s="5"/>
      <c r="B24" s="5"/>
      <c r="C24" s="22"/>
      <c r="D24" s="22"/>
      <c r="E24" s="22"/>
      <c r="F24" s="22"/>
      <c r="G24" s="22"/>
      <c r="H24" s="23"/>
      <c r="I24" s="27"/>
      <c r="J24" s="7"/>
      <c r="K24" s="7"/>
    </row>
    <row r="25" spans="1:29" ht="14.4">
      <c r="A25" s="7"/>
      <c r="B25" s="7"/>
      <c r="C25" s="7"/>
      <c r="D25" s="7"/>
      <c r="E25" s="7"/>
      <c r="F25" s="7"/>
      <c r="G25" s="7"/>
      <c r="H25" s="7"/>
      <c r="I25" s="7"/>
    </row>
    <row r="26" spans="1:29" ht="14.4"/>
    <row r="27" spans="1:29" ht="12.75" customHeight="1">
      <c r="Z27" s="2" t="s">
        <v>38</v>
      </c>
    </row>
    <row r="28" spans="1:29" ht="12.75" customHeight="1">
      <c r="AA28" s="2" t="s">
        <v>40</v>
      </c>
      <c r="AB28" s="2" t="s">
        <v>41</v>
      </c>
      <c r="AC28" s="2" t="s">
        <v>42</v>
      </c>
    </row>
    <row r="29" spans="1:29" ht="12.75" customHeight="1">
      <c r="Z29" s="10" t="s">
        <v>6</v>
      </c>
      <c r="AA29" s="2">
        <v>1474</v>
      </c>
      <c r="AB29" s="2">
        <v>260</v>
      </c>
      <c r="AC29" s="2">
        <v>360</v>
      </c>
    </row>
    <row r="30" spans="1:29" ht="12.75" customHeight="1">
      <c r="Z30" s="10" t="s">
        <v>9</v>
      </c>
      <c r="AA30" s="2">
        <v>1246</v>
      </c>
      <c r="AB30" s="2">
        <v>202</v>
      </c>
      <c r="AC30" s="2">
        <v>152</v>
      </c>
    </row>
    <row r="31" spans="1:29" ht="12.75" customHeight="1">
      <c r="Z31" s="10" t="s">
        <v>12</v>
      </c>
      <c r="AA31" s="2">
        <v>1254</v>
      </c>
      <c r="AB31" s="2">
        <v>162</v>
      </c>
      <c r="AC31" s="2">
        <v>166</v>
      </c>
    </row>
    <row r="32" spans="1:29" ht="12.75" customHeight="1">
      <c r="Z32" s="10" t="s">
        <v>14</v>
      </c>
      <c r="AA32" s="2">
        <v>1252</v>
      </c>
      <c r="AB32" s="2">
        <v>152</v>
      </c>
      <c r="AC32" s="2">
        <v>204</v>
      </c>
    </row>
    <row r="33" spans="26:29" ht="12.75" customHeight="1">
      <c r="Z33" s="10" t="s">
        <v>16</v>
      </c>
      <c r="AA33" s="2">
        <v>1236</v>
      </c>
      <c r="AB33" s="2">
        <v>126</v>
      </c>
      <c r="AC33" s="2">
        <v>122</v>
      </c>
    </row>
    <row r="34" spans="26:29" ht="12.75" customHeight="1">
      <c r="Z34" s="10" t="s">
        <v>18</v>
      </c>
      <c r="AA34" s="2">
        <v>1230</v>
      </c>
      <c r="AB34" s="2">
        <v>108</v>
      </c>
      <c r="AC34" s="2">
        <v>114</v>
      </c>
    </row>
    <row r="35" spans="26:29" ht="12.75" customHeight="1">
      <c r="Z35" s="10" t="s">
        <v>20</v>
      </c>
      <c r="AA35" s="2">
        <v>1276</v>
      </c>
      <c r="AB35" s="2">
        <v>132</v>
      </c>
      <c r="AC35" s="2">
        <v>100</v>
      </c>
    </row>
    <row r="36" spans="26:29" ht="12.75" customHeight="1">
      <c r="Z36" s="10" t="s">
        <v>22</v>
      </c>
      <c r="AA36" s="2">
        <v>1254</v>
      </c>
      <c r="AB36" s="2">
        <v>124</v>
      </c>
      <c r="AC36" s="2">
        <v>80</v>
      </c>
    </row>
    <row r="37" spans="26:29" ht="12.75" customHeight="1">
      <c r="Z37" s="10" t="s">
        <v>25</v>
      </c>
      <c r="AA37" s="2">
        <v>1258</v>
      </c>
      <c r="AB37" s="2">
        <v>122</v>
      </c>
      <c r="AC37" s="2">
        <v>94</v>
      </c>
    </row>
    <row r="38" spans="26:29" ht="12.75" customHeight="1">
      <c r="Z38" s="10" t="s">
        <v>28</v>
      </c>
      <c r="AA38" s="2">
        <v>1322</v>
      </c>
      <c r="AB38" s="2">
        <v>136</v>
      </c>
      <c r="AC38" s="2">
        <v>156</v>
      </c>
    </row>
    <row r="39" spans="26:29" ht="12.75" customHeight="1">
      <c r="Z39" s="10" t="s">
        <v>31</v>
      </c>
      <c r="AA39" s="2">
        <v>1286</v>
      </c>
      <c r="AB39" s="2">
        <v>156</v>
      </c>
      <c r="AC39" s="2">
        <v>200</v>
      </c>
    </row>
    <row r="40" spans="26:29" ht="12.75" customHeight="1">
      <c r="Z40" s="12" t="s">
        <v>34</v>
      </c>
      <c r="AA40" s="2">
        <v>1380</v>
      </c>
      <c r="AB40" s="2">
        <v>156</v>
      </c>
      <c r="AC40" s="2">
        <v>230</v>
      </c>
    </row>
    <row r="43" spans="26:29" ht="12.75" customHeight="1">
      <c r="Z43" s="2" t="s">
        <v>37</v>
      </c>
    </row>
    <row r="44" spans="26:29" ht="12.75" customHeight="1">
      <c r="AA44" s="2" t="s">
        <v>40</v>
      </c>
      <c r="AB44" s="2" t="s">
        <v>41</v>
      </c>
    </row>
    <row r="45" spans="26:29" ht="12.75" customHeight="1">
      <c r="Z45" s="10" t="s">
        <v>6</v>
      </c>
      <c r="AA45" s="14">
        <v>1376</v>
      </c>
      <c r="AB45" s="14">
        <f>6617+100</f>
        <v>6717</v>
      </c>
    </row>
    <row r="46" spans="26:29" ht="12.75" customHeight="1">
      <c r="Z46" s="10" t="s">
        <v>9</v>
      </c>
      <c r="AA46" s="14">
        <v>1182</v>
      </c>
      <c r="AB46" s="14">
        <f>5820+14</f>
        <v>5834</v>
      </c>
    </row>
    <row r="47" spans="26:29" ht="12.75" customHeight="1">
      <c r="Z47" s="10" t="s">
        <v>12</v>
      </c>
      <c r="AA47" s="14">
        <v>1124</v>
      </c>
      <c r="AB47" s="14">
        <f>5572+24</f>
        <v>5596</v>
      </c>
    </row>
    <row r="48" spans="26:29" ht="12.75" customHeight="1">
      <c r="Z48" s="10" t="s">
        <v>14</v>
      </c>
      <c r="AA48" s="14">
        <v>1066</v>
      </c>
      <c r="AB48" s="14">
        <f>20+5622</f>
        <v>5642</v>
      </c>
    </row>
    <row r="49" spans="26:28" ht="12.75" customHeight="1">
      <c r="Z49" s="10" t="s">
        <v>16</v>
      </c>
      <c r="AA49" s="14">
        <v>1006</v>
      </c>
      <c r="AB49" s="14">
        <v>4686</v>
      </c>
    </row>
    <row r="50" spans="26:28" ht="12.75" customHeight="1">
      <c r="Z50" s="10" t="s">
        <v>18</v>
      </c>
      <c r="AA50" s="14">
        <v>1044</v>
      </c>
      <c r="AB50" s="14">
        <v>3871</v>
      </c>
    </row>
    <row r="51" spans="26:28" ht="12.75" customHeight="1">
      <c r="Z51" s="10" t="s">
        <v>20</v>
      </c>
      <c r="AA51" s="14">
        <v>1168</v>
      </c>
      <c r="AB51" s="14">
        <f>4759+6</f>
        <v>4765</v>
      </c>
    </row>
    <row r="52" spans="26:28" ht="12.75" customHeight="1">
      <c r="Z52" s="10" t="s">
        <v>22</v>
      </c>
      <c r="AA52" s="14">
        <v>1276</v>
      </c>
      <c r="AB52" s="14">
        <f>5113+6</f>
        <v>5119</v>
      </c>
    </row>
    <row r="53" spans="26:28" ht="12.75" customHeight="1">
      <c r="Z53" s="10" t="s">
        <v>25</v>
      </c>
      <c r="AA53" s="14">
        <v>1190</v>
      </c>
      <c r="AB53" s="14">
        <f>16+4589</f>
        <v>4605</v>
      </c>
    </row>
    <row r="54" spans="26:28" ht="12.75" customHeight="1">
      <c r="Z54" s="10" t="s">
        <v>28</v>
      </c>
      <c r="AA54" s="14">
        <v>1358</v>
      </c>
      <c r="AB54" s="14">
        <f>6+5851</f>
        <v>5857</v>
      </c>
    </row>
    <row r="55" spans="26:28" ht="12.75" customHeight="1">
      <c r="Z55" s="10" t="s">
        <v>31</v>
      </c>
      <c r="AA55" s="14">
        <v>1396</v>
      </c>
      <c r="AB55" s="14">
        <f>22+5260</f>
        <v>5282</v>
      </c>
    </row>
    <row r="56" spans="26:28" ht="12.75" customHeight="1">
      <c r="Z56" s="12" t="s">
        <v>34</v>
      </c>
      <c r="AA56" s="15">
        <v>1626</v>
      </c>
      <c r="AB56" s="15">
        <f>5454+26</f>
        <v>5480</v>
      </c>
    </row>
    <row r="58" spans="26:28" ht="12.75" customHeight="1">
      <c r="AA58" s="14"/>
      <c r="AB58" s="14"/>
    </row>
    <row r="59" spans="26:28" ht="12.75" customHeight="1">
      <c r="AA59" s="14"/>
      <c r="AB59" s="14"/>
    </row>
    <row r="60" spans="26:28" ht="12.75" customHeight="1">
      <c r="AA60" s="14"/>
      <c r="AB60" s="14"/>
    </row>
    <row r="61" spans="26:28" ht="12.75" customHeight="1">
      <c r="AA61" s="14"/>
      <c r="AB61" s="14"/>
    </row>
    <row r="62" spans="26:28" ht="12.75" customHeight="1">
      <c r="AA62" s="14"/>
      <c r="AB62" s="14"/>
    </row>
    <row r="63" spans="26:28" ht="12.75" customHeight="1">
      <c r="AA63" s="14"/>
      <c r="AB63" s="14"/>
    </row>
    <row r="64" spans="26:28" ht="12.75" customHeight="1">
      <c r="AA64" s="14"/>
      <c r="AB64" s="14"/>
    </row>
    <row r="65" spans="27:28" ht="12.75" customHeight="1">
      <c r="AA65" s="14"/>
      <c r="AB65" s="14"/>
    </row>
    <row r="66" spans="27:28" ht="12.75" customHeight="1">
      <c r="AA66" s="14"/>
      <c r="AB66" s="14"/>
    </row>
    <row r="67" spans="27:28" ht="12.75" customHeight="1">
      <c r="AA67" s="14"/>
      <c r="AB67" s="14"/>
    </row>
    <row r="68" spans="27:28" ht="14.4">
      <c r="AA68" s="14"/>
      <c r="AB68" s="14"/>
    </row>
    <row r="69" spans="27:28" ht="14.4">
      <c r="AA69" s="15"/>
      <c r="AB69" s="15"/>
    </row>
  </sheetData>
  <mergeCells count="7">
    <mergeCell ref="A2:J2"/>
    <mergeCell ref="A3:J3"/>
    <mergeCell ref="A4:A5"/>
    <mergeCell ref="B4:B5"/>
    <mergeCell ref="C4:F4"/>
    <mergeCell ref="G4:I4"/>
    <mergeCell ref="J4:J5"/>
  </mergeCells>
  <pageMargins left="0.28999999999999998" right="0.42" top="0.4" bottom="0.24" header="0.3" footer="0.3"/>
  <pageSetup paperSize="9" scale="80" orientation="portrait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11.19</vt:lpstr>
      <vt:lpstr>'11.19'!Print_Area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2015-02-11T04:12:26Z</cp:lastPrinted>
  <dcterms:created xsi:type="dcterms:W3CDTF">2014-05-22T03:57:11Z</dcterms:created>
  <dcterms:modified xsi:type="dcterms:W3CDTF">2015-02-11T04:53:18Z</dcterms:modified>
</cp:coreProperties>
</file>