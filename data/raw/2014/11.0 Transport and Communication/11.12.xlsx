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5252" windowHeight="8160" tabRatio="894"/>
  </bookViews>
  <sheets>
    <sheet name=" 11.12" sheetId="12" r:id="rId1"/>
  </sheets>
  <definedNames>
    <definedName name="_xlnm.Print_Area" localSheetId="0">' 11.12'!$A$1:$M$24</definedName>
  </definedNames>
  <calcPr calcId="124519"/>
</workbook>
</file>

<file path=xl/calcChain.xml><?xml version="1.0" encoding="utf-8"?>
<calcChain xmlns="http://schemas.openxmlformats.org/spreadsheetml/2006/main">
  <c r="H15" i="12"/>
  <c r="L15" l="1"/>
  <c r="K15"/>
  <c r="I15"/>
  <c r="G15"/>
  <c r="G9" s="1"/>
  <c r="E15"/>
  <c r="E9" s="1"/>
  <c r="D15"/>
  <c r="C15"/>
  <c r="B15"/>
  <c r="L12"/>
  <c r="K12"/>
  <c r="I12"/>
  <c r="H12"/>
  <c r="G12"/>
  <c r="E12"/>
  <c r="D12"/>
  <c r="C12"/>
  <c r="B12"/>
  <c r="D10"/>
  <c r="D9" s="1"/>
  <c r="C10"/>
  <c r="C9" s="1"/>
  <c r="B10"/>
  <c r="B9" s="1"/>
  <c r="L9"/>
  <c r="K9"/>
  <c r="I9"/>
  <c r="H9"/>
</calcChain>
</file>

<file path=xl/sharedStrings.xml><?xml version="1.0" encoding="utf-8"?>
<sst xmlns="http://schemas.openxmlformats.org/spreadsheetml/2006/main" count="58" uniqueCount="48">
  <si>
    <t>wlcmuj</t>
  </si>
  <si>
    <t>Total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</si>
  <si>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</si>
  <si>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</si>
  <si>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</si>
  <si>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</si>
  <si>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</si>
  <si>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</si>
  <si>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</si>
  <si>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</si>
  <si>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</si>
  <si>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</si>
  <si>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</si>
  <si>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</si>
  <si>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</si>
  <si>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</si>
  <si>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</si>
  <si>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</si>
  <si>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</si>
  <si>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</si>
  <si>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International Flights</t>
  </si>
  <si>
    <t xml:space="preserve">     cawtcTiawlcf ImWvcqwaclwniawb</t>
  </si>
  <si>
    <t>International Scheduled</t>
  </si>
  <si>
    <t>Wviawfihejwmwh cnutogImiaWd ImWvcqwaclwniawb</t>
  </si>
  <si>
    <t>Mega Maldives</t>
  </si>
  <si>
    <t xml:space="preserve"> cscviDclOm Wgem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</si>
  <si>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</si>
  <si>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</si>
  <si>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</si>
  <si>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</si>
  <si>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</si>
  <si>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</si>
  <si>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Other Domestic 1_/</t>
  </si>
  <si>
    <t>1_/ cawtcTiawlcf egEjcaWr cnehinehea</t>
  </si>
  <si>
    <t>Source: Civil Aviation Authority</t>
  </si>
  <si>
    <t>މައުލޫމާތު ދެއްވީ: ސިވިލް އޭވިއޭޝަން އޮތޯރިޓީ</t>
  </si>
  <si>
    <t>Island Aviation (Scheduled)</t>
  </si>
  <si>
    <t xml:space="preserve">(cDclwauDex) cnwxEaivEacDcneliawa </t>
  </si>
  <si>
    <t xml:space="preserve">Note: </t>
  </si>
  <si>
    <t>ނޯޓް:</t>
  </si>
  <si>
    <t>ގަން އިންޓަރނޭޝަނަލް އެއަރޕޯޓަށް ބައިނަލް އަޤްވާވީ ޕްލައިޓްތަކުން މުދާ އަދި މެއިލް އެތެރެކުރުމުގެ ހުއްދަ ދެވިފައެއްނުވެއެވެ.</t>
  </si>
  <si>
    <t xml:space="preserve">.evekwtcTiawlcf WviretctWkwrwH iawgukwtcscnwlEvrws idwa Wmwkcnwk clwkinckeT ,gcninErcT ,cnugenOTof Inenemih iawgiawbim 1_/  </t>
  </si>
  <si>
    <t>Villa Air</t>
  </si>
  <si>
    <t>ވިލާ އެއަރ</t>
  </si>
  <si>
    <t>Gan international flights do not have the permit to handle Cargo &amp; Mail</t>
  </si>
  <si>
    <r>
      <rPr>
        <i/>
        <vertAlign val="superscript"/>
        <sz val="9"/>
        <rFont val="Calibri"/>
        <family val="2"/>
        <scheme val="minor"/>
      </rPr>
      <t>1_</t>
    </r>
    <r>
      <rPr>
        <i/>
        <sz val="9"/>
        <rFont val="Calibri"/>
        <family val="2"/>
        <scheme val="minor"/>
      </rPr>
      <t>/  Includes movements by photo, training, technical and surveillance flights</t>
    </r>
  </si>
  <si>
    <t xml:space="preserve">Table 11.12  TRANSPORT MOVEMENTS AT GAN INTERNATIONAL AIRPORT  BY AIRLINE, CROSS-CLASSIFIED BY PASSENGER, CARGO AND MAIL, 2013                  </t>
  </si>
  <si>
    <t>2013 ,cliaem iaWlwdum unulufua iaWncnurwjcniswf irukurutwfurutwd cnurwhwfuTOb egukwtcniawlrwaea ikeaikea cSwrwdnwbegiawv ImWvcqwaclwniawb egumwg  11.12:clwvWt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</si>
</sst>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0.0"/>
    <numFmt numFmtId="166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sz val="9"/>
      <name val="Arial"/>
      <family val="2"/>
    </font>
    <font>
      <b/>
      <sz val="12"/>
      <name val="A_Randhoo"/>
    </font>
    <font>
      <b/>
      <sz val="9"/>
      <name val="Akuru"/>
      <family val="2"/>
      <charset val="2"/>
    </font>
    <font>
      <sz val="9"/>
      <name val="Akuru"/>
      <family val="2"/>
      <charset val="2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Faruma"/>
    </font>
    <font>
      <sz val="10"/>
      <name val="Garamond"/>
      <family val="1"/>
    </font>
    <font>
      <i/>
      <vertAlign val="super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2" fillId="0" borderId="0"/>
    <xf numFmtId="0" fontId="6" fillId="0" borderId="0"/>
    <xf numFmtId="40" fontId="20" fillId="0" borderId="0" applyFont="0" applyFill="0" applyBorder="0" applyAlignment="0" applyProtection="0"/>
    <xf numFmtId="0" fontId="6" fillId="0" borderId="0"/>
    <xf numFmtId="166" fontId="12" fillId="0" borderId="0"/>
    <xf numFmtId="166" fontId="12" fillId="0" borderId="0"/>
    <xf numFmtId="165" fontId="12" fillId="0" borderId="0" applyFont="0" applyFill="0" applyBorder="0" applyAlignment="0" applyProtection="0"/>
  </cellStyleXfs>
  <cellXfs count="58">
    <xf numFmtId="0" fontId="0" fillId="0" borderId="0" xfId="0"/>
    <xf numFmtId="164" fontId="17" fillId="2" borderId="0" xfId="5" applyNumberFormat="1" applyFont="1" applyFill="1" applyBorder="1" applyAlignment="1" applyProtection="1">
      <alignment horizontal="left" vertical="center"/>
    </xf>
    <xf numFmtId="0" fontId="7" fillId="2" borderId="0" xfId="6" applyFont="1" applyFill="1" applyAlignment="1">
      <alignment vertical="center"/>
    </xf>
    <xf numFmtId="164" fontId="2" fillId="2" borderId="2" xfId="5" applyNumberFormat="1" applyFont="1" applyFill="1" applyBorder="1" applyAlignment="1" applyProtection="1">
      <alignment horizontal="left" vertical="center"/>
    </xf>
    <xf numFmtId="164" fontId="18" fillId="2" borderId="2" xfId="5" applyNumberFormat="1" applyFont="1" applyFill="1" applyBorder="1" applyAlignment="1">
      <alignment horizontal="right" vertical="center"/>
    </xf>
    <xf numFmtId="164" fontId="13" fillId="2" borderId="0" xfId="5" applyNumberFormat="1" applyFont="1" applyFill="1" applyBorder="1" applyAlignment="1">
      <alignment horizontal="right" vertical="center"/>
    </xf>
    <xf numFmtId="0" fontId="15" fillId="2" borderId="0" xfId="6" applyFont="1" applyFill="1" applyBorder="1" applyAlignment="1">
      <alignment vertical="center"/>
    </xf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2" xfId="5" applyNumberFormat="1" applyFont="1" applyFill="1" applyBorder="1" applyAlignment="1">
      <alignment vertical="center"/>
    </xf>
    <xf numFmtId="164" fontId="2" fillId="2" borderId="2" xfId="5" applyNumberFormat="1" applyFont="1" applyFill="1" applyBorder="1" applyAlignment="1" applyProtection="1">
      <alignment horizontal="right" vertical="center"/>
    </xf>
    <xf numFmtId="0" fontId="21" fillId="2" borderId="0" xfId="6" applyFont="1" applyFill="1" applyBorder="1" applyAlignment="1">
      <alignment horizontal="right"/>
    </xf>
    <xf numFmtId="164" fontId="9" fillId="2" borderId="2" xfId="0" applyNumberFormat="1" applyFont="1" applyFill="1" applyBorder="1" applyAlignment="1" applyProtection="1">
      <alignment horizontal="left" vertical="center"/>
    </xf>
    <xf numFmtId="164" fontId="13" fillId="2" borderId="0" xfId="5" applyNumberFormat="1" applyFont="1" applyFill="1" applyAlignment="1">
      <alignment horizontal="right" vertical="center"/>
    </xf>
    <xf numFmtId="38" fontId="8" fillId="2" borderId="0" xfId="7" applyNumberFormat="1" applyFont="1" applyFill="1" applyAlignment="1" applyProtection="1">
      <alignment horizontal="right" vertical="center"/>
    </xf>
    <xf numFmtId="38" fontId="8" fillId="2" borderId="0" xfId="7" applyNumberFormat="1" applyFont="1" applyFill="1" applyAlignment="1">
      <alignment horizontal="right" vertical="center"/>
    </xf>
    <xf numFmtId="164" fontId="10" fillId="2" borderId="0" xfId="5" applyNumberFormat="1" applyFont="1" applyFill="1" applyBorder="1" applyAlignment="1" applyProtection="1">
      <alignment horizontal="left" vertical="center"/>
    </xf>
    <xf numFmtId="37" fontId="15" fillId="2" borderId="0" xfId="5" applyNumberFormat="1" applyFont="1" applyFill="1" applyBorder="1" applyAlignment="1" applyProtection="1">
      <alignment horizontal="right" vertical="center"/>
    </xf>
    <xf numFmtId="164" fontId="10" fillId="2" borderId="0" xfId="5" applyNumberFormat="1" applyFont="1" applyFill="1" applyAlignment="1" applyProtection="1">
      <alignment horizontal="left" vertical="center"/>
    </xf>
    <xf numFmtId="37" fontId="15" fillId="2" borderId="0" xfId="5" applyNumberFormat="1" applyFont="1" applyFill="1" applyAlignment="1" applyProtection="1">
      <alignment vertical="center"/>
    </xf>
    <xf numFmtId="0" fontId="14" fillId="2" borderId="0" xfId="8" applyFont="1" applyFill="1" applyAlignment="1">
      <alignment vertical="center"/>
    </xf>
    <xf numFmtId="0" fontId="22" fillId="2" borderId="1" xfId="0" applyNumberFormat="1" applyFont="1" applyFill="1" applyBorder="1" applyAlignment="1">
      <alignment horizontal="right" vertical="center"/>
    </xf>
    <xf numFmtId="38" fontId="9" fillId="2" borderId="0" xfId="7" applyNumberFormat="1" applyFont="1" applyFill="1" applyBorder="1" applyAlignment="1">
      <alignment horizontal="right" vertical="center"/>
    </xf>
    <xf numFmtId="164" fontId="4" fillId="2" borderId="0" xfId="0" applyNumberFormat="1" applyFont="1" applyFill="1"/>
    <xf numFmtId="164" fontId="7" fillId="2" borderId="2" xfId="5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/>
    <xf numFmtId="164" fontId="13" fillId="2" borderId="2" xfId="5" applyNumberFormat="1" applyFont="1" applyFill="1" applyBorder="1" applyAlignment="1">
      <alignment horizontal="right" vertical="center"/>
    </xf>
    <xf numFmtId="164" fontId="2" fillId="2" borderId="2" xfId="5" applyNumberFormat="1" applyFont="1" applyFill="1" applyBorder="1" applyAlignment="1" applyProtection="1">
      <alignment vertical="center"/>
    </xf>
    <xf numFmtId="164" fontId="13" fillId="2" borderId="0" xfId="5" applyNumberFormat="1" applyFont="1" applyFill="1" applyBorder="1" applyAlignment="1">
      <alignment horizontal="right" vertical="center" wrapText="1"/>
    </xf>
    <xf numFmtId="0" fontId="13" fillId="2" borderId="0" xfId="6" applyFont="1" applyFill="1" applyBorder="1" applyAlignment="1">
      <alignment horizontal="right" vertical="center"/>
    </xf>
    <xf numFmtId="0" fontId="13" fillId="2" borderId="2" xfId="6" applyFont="1" applyFill="1" applyBorder="1" applyAlignment="1">
      <alignment vertical="center"/>
    </xf>
    <xf numFmtId="38" fontId="8" fillId="2" borderId="0" xfId="7" applyNumberFormat="1" applyFont="1" applyFill="1" applyBorder="1" applyAlignment="1">
      <alignment horizontal="right" vertical="center"/>
    </xf>
    <xf numFmtId="0" fontId="19" fillId="2" borderId="0" xfId="6" applyFont="1" applyFill="1" applyBorder="1" applyAlignment="1">
      <alignment horizontal="right" vertical="center"/>
    </xf>
    <xf numFmtId="164" fontId="9" fillId="2" borderId="0" xfId="5" applyNumberFormat="1" applyFont="1" applyFill="1" applyBorder="1" applyAlignment="1" applyProtection="1">
      <alignment horizontal="left" vertical="center"/>
    </xf>
    <xf numFmtId="0" fontId="21" fillId="2" borderId="0" xfId="6" applyFont="1" applyFill="1" applyBorder="1" applyAlignment="1">
      <alignment horizontal="righ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19" fillId="2" borderId="0" xfId="5" applyNumberFormat="1" applyFont="1" applyFill="1" applyBorder="1" applyAlignment="1" applyProtection="1">
      <alignment horizontal="right" vertical="center"/>
    </xf>
    <xf numFmtId="0" fontId="21" fillId="2" borderId="2" xfId="6" applyFont="1" applyFill="1" applyBorder="1" applyAlignment="1">
      <alignment horizontal="right" vertical="center"/>
    </xf>
    <xf numFmtId="38" fontId="9" fillId="2" borderId="0" xfId="7" applyNumberFormat="1" applyFont="1" applyFill="1" applyBorder="1" applyAlignment="1" applyProtection="1">
      <alignment horizontal="right" vertical="center"/>
      <protection locked="0"/>
    </xf>
    <xf numFmtId="0" fontId="22" fillId="2" borderId="0" xfId="6" applyFont="1" applyFill="1" applyBorder="1" applyAlignment="1">
      <alignment horizontal="right" vertical="center"/>
    </xf>
    <xf numFmtId="164" fontId="15" fillId="2" borderId="0" xfId="5" applyNumberFormat="1" applyFont="1" applyFill="1" applyBorder="1" applyAlignment="1" applyProtection="1">
      <alignment horizontal="right" vertical="center"/>
    </xf>
    <xf numFmtId="164" fontId="22" fillId="2" borderId="0" xfId="0" applyNumberFormat="1" applyFont="1" applyFill="1"/>
    <xf numFmtId="164" fontId="12" fillId="2" borderId="0" xfId="0" applyNumberFormat="1" applyFont="1" applyFill="1"/>
    <xf numFmtId="164" fontId="14" fillId="2" borderId="0" xfId="5" applyNumberFormat="1" applyFont="1" applyFill="1" applyBorder="1" applyAlignment="1">
      <alignment horizontal="right" vertical="center"/>
    </xf>
    <xf numFmtId="164" fontId="11" fillId="2" borderId="0" xfId="5" applyNumberFormat="1" applyFont="1" applyFill="1" applyAlignment="1" applyProtection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0" fontId="22" fillId="2" borderId="0" xfId="6" applyFont="1" applyFill="1" applyBorder="1" applyAlignment="1">
      <alignment horizontal="right"/>
    </xf>
    <xf numFmtId="164" fontId="10" fillId="2" borderId="0" xfId="5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Border="1" applyAlignment="1">
      <alignment horizontal="left" vertical="center"/>
    </xf>
    <xf numFmtId="164" fontId="19" fillId="2" borderId="0" xfId="5" applyNumberFormat="1" applyFont="1" applyFill="1" applyBorder="1" applyAlignment="1">
      <alignment horizontal="right" vertical="center"/>
    </xf>
    <xf numFmtId="38" fontId="9" fillId="2" borderId="0" xfId="7" applyNumberFormat="1" applyFont="1" applyFill="1" applyAlignment="1">
      <alignment horizontal="right" vertical="center"/>
    </xf>
    <xf numFmtId="38" fontId="9" fillId="2" borderId="0" xfId="7" applyNumberFormat="1" applyFont="1" applyFill="1" applyBorder="1" applyAlignment="1" applyProtection="1">
      <alignment horizontal="right" vertical="center"/>
    </xf>
    <xf numFmtId="38" fontId="8" fillId="2" borderId="0" xfId="7" applyNumberFormat="1" applyFont="1" applyFill="1" applyAlignment="1">
      <alignment horizontal="right"/>
    </xf>
    <xf numFmtId="38" fontId="9" fillId="2" borderId="0" xfId="7" applyNumberFormat="1" applyFont="1" applyFill="1" applyAlignment="1">
      <alignment horizontal="right"/>
    </xf>
    <xf numFmtId="38" fontId="9" fillId="2" borderId="2" xfId="7" applyNumberFormat="1" applyFont="1" applyFill="1" applyBorder="1" applyAlignment="1" applyProtection="1">
      <alignment horizontal="right" vertical="center"/>
      <protection locked="0"/>
    </xf>
    <xf numFmtId="38" fontId="9" fillId="2" borderId="2" xfId="7" applyNumberFormat="1" applyFont="1" applyFill="1" applyBorder="1" applyAlignment="1">
      <alignment horizontal="right" vertical="center"/>
    </xf>
    <xf numFmtId="164" fontId="16" fillId="2" borderId="0" xfId="5" applyNumberFormat="1" applyFont="1" applyFill="1" applyBorder="1" applyAlignment="1">
      <alignment horizontal="center" vertical="center"/>
    </xf>
    <xf numFmtId="164" fontId="3" fillId="2" borderId="0" xfId="5" applyNumberFormat="1" applyFont="1" applyFill="1" applyBorder="1" applyAlignment="1" applyProtection="1">
      <alignment horizontal="center" vertical="center"/>
    </xf>
  </cellXfs>
  <cellStyles count="12">
    <cellStyle name="Comma 2" xfId="7"/>
    <cellStyle name="Comma 4" xfId="11"/>
    <cellStyle name="Hyperlink 2" xfId="1"/>
    <cellStyle name="Normal" xfId="0" builtinId="0"/>
    <cellStyle name="Normal 2" xfId="5"/>
    <cellStyle name="Normal 2 3" xfId="3"/>
    <cellStyle name="Normal 3" xfId="9"/>
    <cellStyle name="Normal 3 2" xfId="4"/>
    <cellStyle name="Normal 4" xfId="10"/>
    <cellStyle name="Normal 5" xfId="2"/>
    <cellStyle name="Normal_IX-6(Trans &amp; Comm)" xfId="8"/>
    <cellStyle name="Normal_IX-9(Trans &amp; Comm)" xfId="6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3:M23"/>
  <sheetViews>
    <sheetView tabSelected="1" zoomScaleSheetLayoutView="95" workbookViewId="0">
      <selection activeCell="E16" sqref="E16"/>
    </sheetView>
  </sheetViews>
  <sheetFormatPr defaultColWidth="9.109375" defaultRowHeight="14.4"/>
  <cols>
    <col min="1" max="1" width="24.5546875" style="22" customWidth="1"/>
    <col min="2" max="2" width="14.88671875" style="22" customWidth="1"/>
    <col min="3" max="4" width="12.33203125" style="22" customWidth="1"/>
    <col min="5" max="5" width="15.6640625" style="22" customWidth="1"/>
    <col min="6" max="6" width="3" style="22" customWidth="1"/>
    <col min="7" max="7" width="11.33203125" style="22" customWidth="1"/>
    <col min="8" max="8" width="12.88671875" style="22" customWidth="1"/>
    <col min="9" max="9" width="16.6640625" style="22" customWidth="1"/>
    <col min="10" max="10" width="2.6640625" style="22" customWidth="1"/>
    <col min="11" max="12" width="11.44140625" style="22" customWidth="1"/>
    <col min="13" max="13" width="38.88671875" style="22" customWidth="1"/>
    <col min="14" max="14" width="4.109375" style="22" customWidth="1"/>
    <col min="15" max="16384" width="9.109375" style="22"/>
  </cols>
  <sheetData>
    <row r="3" spans="1:13" ht="17.25" customHeight="1">
      <c r="A3" s="56" t="s">
        <v>47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1:13" ht="19.5" customHeight="1">
      <c r="A4" s="57" t="s">
        <v>46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</row>
    <row r="5" spans="1:13" s="24" customFormat="1" ht="9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3" ht="17.25" customHeight="1">
      <c r="A6" s="1"/>
      <c r="B6" s="2"/>
      <c r="C6" s="3" t="s">
        <v>2</v>
      </c>
      <c r="D6" s="4"/>
      <c r="E6" s="25" t="s">
        <v>3</v>
      </c>
      <c r="F6" s="5"/>
      <c r="G6" s="26" t="s">
        <v>4</v>
      </c>
      <c r="H6" s="4"/>
      <c r="I6" s="25" t="s">
        <v>5</v>
      </c>
      <c r="J6" s="5"/>
      <c r="K6" s="3" t="s">
        <v>6</v>
      </c>
      <c r="L6" s="25" t="s">
        <v>7</v>
      </c>
      <c r="M6" s="6"/>
    </row>
    <row r="7" spans="1:13" ht="24" customHeight="1">
      <c r="A7" s="7" t="s">
        <v>8</v>
      </c>
      <c r="B7" s="5" t="s">
        <v>9</v>
      </c>
      <c r="C7" s="5" t="s">
        <v>10</v>
      </c>
      <c r="D7" s="12" t="s">
        <v>11</v>
      </c>
      <c r="E7" s="5" t="s">
        <v>12</v>
      </c>
      <c r="F7" s="5"/>
      <c r="G7" s="5" t="s">
        <v>13</v>
      </c>
      <c r="H7" s="5" t="s">
        <v>14</v>
      </c>
      <c r="I7" s="27" t="s">
        <v>12</v>
      </c>
      <c r="J7" s="5"/>
      <c r="K7" s="5" t="s">
        <v>13</v>
      </c>
      <c r="L7" s="12" t="s">
        <v>14</v>
      </c>
      <c r="M7" s="28" t="s">
        <v>15</v>
      </c>
    </row>
    <row r="8" spans="1:13" ht="17.25" customHeight="1">
      <c r="A8" s="8"/>
      <c r="B8" s="9" t="s">
        <v>16</v>
      </c>
      <c r="C8" s="9" t="s">
        <v>17</v>
      </c>
      <c r="D8" s="9" t="s">
        <v>18</v>
      </c>
      <c r="E8" s="9" t="s">
        <v>19</v>
      </c>
      <c r="F8" s="9"/>
      <c r="G8" s="9" t="s">
        <v>17</v>
      </c>
      <c r="H8" s="9" t="s">
        <v>18</v>
      </c>
      <c r="I8" s="9" t="s">
        <v>19</v>
      </c>
      <c r="J8" s="9"/>
      <c r="K8" s="9" t="s">
        <v>17</v>
      </c>
      <c r="L8" s="9" t="s">
        <v>18</v>
      </c>
      <c r="M8" s="29"/>
    </row>
    <row r="9" spans="1:13" ht="20.25" customHeight="1">
      <c r="A9" s="48" t="s">
        <v>1</v>
      </c>
      <c r="B9" s="30">
        <f>SUM(B10+B15)</f>
        <v>6596</v>
      </c>
      <c r="C9" s="30">
        <f>SUM(C10+C15)</f>
        <v>61340</v>
      </c>
      <c r="D9" s="30">
        <f>SUM(D10+D15)</f>
        <v>63379</v>
      </c>
      <c r="E9" s="30">
        <f>SUM(E10+E15)</f>
        <v>18178</v>
      </c>
      <c r="F9" s="30"/>
      <c r="G9" s="30">
        <f>SUM(G15)</f>
        <v>284590</v>
      </c>
      <c r="H9" s="30">
        <f>SUM(H15)</f>
        <v>11190.5</v>
      </c>
      <c r="I9" s="30">
        <f>SUM(I15)</f>
        <v>12799</v>
      </c>
      <c r="J9" s="30"/>
      <c r="K9" s="30">
        <f>SUM(K15)</f>
        <v>6260.2</v>
      </c>
      <c r="L9" s="30">
        <f>SUM(L15)</f>
        <v>1161.0999999999999</v>
      </c>
      <c r="M9" s="31" t="s">
        <v>0</v>
      </c>
    </row>
    <row r="10" spans="1:13" ht="20.25" customHeight="1">
      <c r="A10" s="48" t="s">
        <v>20</v>
      </c>
      <c r="B10" s="30">
        <f>SUM(B11+B12+B14)</f>
        <v>226</v>
      </c>
      <c r="C10" s="30">
        <f>SUM(C11+C12+C14)</f>
        <v>816</v>
      </c>
      <c r="D10" s="30">
        <f>SUM(D11+D12+D14)</f>
        <v>740</v>
      </c>
      <c r="E10" s="30">
        <v>0</v>
      </c>
      <c r="F10" s="30"/>
      <c r="G10" s="30">
        <v>0</v>
      </c>
      <c r="H10" s="30">
        <v>0</v>
      </c>
      <c r="I10" s="30">
        <v>0</v>
      </c>
      <c r="J10" s="30"/>
      <c r="K10" s="30">
        <v>0</v>
      </c>
      <c r="L10" s="30">
        <v>0</v>
      </c>
      <c r="M10" s="31" t="s">
        <v>21</v>
      </c>
    </row>
    <row r="11" spans="1:13" ht="20.25" customHeight="1">
      <c r="A11" s="48" t="s">
        <v>22</v>
      </c>
      <c r="B11" s="30">
        <v>0</v>
      </c>
      <c r="C11" s="30">
        <v>0</v>
      </c>
      <c r="D11" s="30">
        <v>0</v>
      </c>
      <c r="E11" s="30">
        <v>0</v>
      </c>
      <c r="F11" s="30"/>
      <c r="G11" s="30">
        <v>0</v>
      </c>
      <c r="H11" s="30">
        <v>0</v>
      </c>
      <c r="I11" s="30">
        <v>0</v>
      </c>
      <c r="J11" s="30"/>
      <c r="K11" s="30">
        <v>0</v>
      </c>
      <c r="L11" s="30">
        <v>0</v>
      </c>
      <c r="M11" s="31" t="s">
        <v>23</v>
      </c>
    </row>
    <row r="12" spans="1:13" ht="20.25" customHeight="1">
      <c r="A12" s="48" t="s">
        <v>26</v>
      </c>
      <c r="B12" s="30">
        <f>SUM(B13:B13)</f>
        <v>0</v>
      </c>
      <c r="C12" s="30">
        <f t="shared" ref="C12:L12" si="0">SUM(C13:C13)</f>
        <v>0</v>
      </c>
      <c r="D12" s="30">
        <f t="shared" si="0"/>
        <v>0</v>
      </c>
      <c r="E12" s="30">
        <f t="shared" si="0"/>
        <v>0</v>
      </c>
      <c r="F12" s="30"/>
      <c r="G12" s="30">
        <f t="shared" si="0"/>
        <v>0</v>
      </c>
      <c r="H12" s="30">
        <f t="shared" si="0"/>
        <v>0</v>
      </c>
      <c r="I12" s="30">
        <f t="shared" si="0"/>
        <v>0</v>
      </c>
      <c r="J12" s="30"/>
      <c r="K12" s="30">
        <f t="shared" si="0"/>
        <v>0</v>
      </c>
      <c r="L12" s="30">
        <f t="shared" si="0"/>
        <v>0</v>
      </c>
      <c r="M12" s="31" t="s">
        <v>27</v>
      </c>
    </row>
    <row r="13" spans="1:13" ht="20.25" customHeight="1">
      <c r="A13" s="44" t="s">
        <v>24</v>
      </c>
      <c r="B13" s="21">
        <v>0</v>
      </c>
      <c r="C13" s="21">
        <v>0</v>
      </c>
      <c r="D13" s="21">
        <v>0</v>
      </c>
      <c r="E13" s="21">
        <v>0</v>
      </c>
      <c r="F13" s="21"/>
      <c r="G13" s="21">
        <v>0</v>
      </c>
      <c r="H13" s="21">
        <v>0</v>
      </c>
      <c r="I13" s="21">
        <v>0</v>
      </c>
      <c r="J13" s="21"/>
      <c r="K13" s="21">
        <v>0</v>
      </c>
      <c r="L13" s="21">
        <v>0</v>
      </c>
      <c r="M13" s="10" t="s">
        <v>25</v>
      </c>
    </row>
    <row r="14" spans="1:13" ht="20.25" customHeight="1">
      <c r="A14" s="34" t="s">
        <v>28</v>
      </c>
      <c r="B14" s="14">
        <v>226</v>
      </c>
      <c r="C14" s="14">
        <v>816</v>
      </c>
      <c r="D14" s="52">
        <v>740</v>
      </c>
      <c r="E14" s="14">
        <v>0</v>
      </c>
      <c r="F14" s="14"/>
      <c r="G14" s="14">
        <v>0</v>
      </c>
      <c r="H14" s="14">
        <v>0</v>
      </c>
      <c r="I14" s="14">
        <v>0</v>
      </c>
      <c r="J14" s="14"/>
      <c r="K14" s="14">
        <v>0</v>
      </c>
      <c r="L14" s="14">
        <v>0</v>
      </c>
      <c r="M14" s="35" t="s">
        <v>29</v>
      </c>
    </row>
    <row r="15" spans="1:13" ht="20.25" customHeight="1">
      <c r="A15" s="34" t="s">
        <v>30</v>
      </c>
      <c r="B15" s="13">
        <f>SUM(B16:B19)</f>
        <v>6370</v>
      </c>
      <c r="C15" s="13">
        <f>SUM(C16:C19)</f>
        <v>60524</v>
      </c>
      <c r="D15" s="13">
        <f>SUM(D16:D19)</f>
        <v>62639</v>
      </c>
      <c r="E15" s="13">
        <f>SUM(E16:E19)</f>
        <v>18178</v>
      </c>
      <c r="F15" s="13"/>
      <c r="G15" s="13">
        <f>SUM(G16:G19)</f>
        <v>284590</v>
      </c>
      <c r="H15" s="13">
        <f>SUM(H16:H19)</f>
        <v>11190.5</v>
      </c>
      <c r="I15" s="13">
        <f>SUM(I16:I19)</f>
        <v>12799</v>
      </c>
      <c r="J15" s="13"/>
      <c r="K15" s="13">
        <f>SUM(K16:K19)</f>
        <v>6260.2</v>
      </c>
      <c r="L15" s="13">
        <f>SUM(L16:L19)</f>
        <v>1161.0999999999999</v>
      </c>
      <c r="M15" s="49" t="s">
        <v>31</v>
      </c>
    </row>
    <row r="16" spans="1:13" ht="20.25" customHeight="1">
      <c r="A16" s="32" t="s">
        <v>36</v>
      </c>
      <c r="B16" s="50">
        <v>3852</v>
      </c>
      <c r="C16" s="50">
        <v>50209</v>
      </c>
      <c r="D16" s="50">
        <v>52605</v>
      </c>
      <c r="E16" s="50">
        <v>12537</v>
      </c>
      <c r="F16" s="37"/>
      <c r="G16" s="50">
        <v>276350</v>
      </c>
      <c r="H16" s="50">
        <v>10884.5</v>
      </c>
      <c r="I16" s="50">
        <v>12717</v>
      </c>
      <c r="J16" s="51"/>
      <c r="K16" s="53">
        <v>6138.2</v>
      </c>
      <c r="L16" s="53">
        <v>1120.0999999999999</v>
      </c>
      <c r="M16" s="33" t="s">
        <v>37</v>
      </c>
    </row>
    <row r="17" spans="1:13" ht="20.25" customHeight="1">
      <c r="A17" s="44" t="s">
        <v>24</v>
      </c>
      <c r="B17" s="50">
        <v>8</v>
      </c>
      <c r="C17" s="50">
        <v>411</v>
      </c>
      <c r="D17" s="50">
        <v>375</v>
      </c>
      <c r="E17" s="21">
        <v>0</v>
      </c>
      <c r="F17" s="37"/>
      <c r="G17" s="21">
        <v>0</v>
      </c>
      <c r="H17" s="50">
        <v>0</v>
      </c>
      <c r="I17" s="21">
        <v>0</v>
      </c>
      <c r="J17" s="51"/>
      <c r="K17" s="21">
        <v>0</v>
      </c>
      <c r="L17" s="21">
        <v>0</v>
      </c>
      <c r="M17" s="10" t="s">
        <v>25</v>
      </c>
    </row>
    <row r="18" spans="1:13" ht="20.25" customHeight="1">
      <c r="A18" s="44" t="s">
        <v>42</v>
      </c>
      <c r="B18" s="50">
        <v>861</v>
      </c>
      <c r="C18" s="50">
        <v>9879</v>
      </c>
      <c r="D18" s="50">
        <v>9634</v>
      </c>
      <c r="E18" s="50">
        <v>5641</v>
      </c>
      <c r="F18" s="37"/>
      <c r="G18" s="50">
        <v>7891</v>
      </c>
      <c r="H18" s="50">
        <v>306</v>
      </c>
      <c r="I18" s="50">
        <v>82</v>
      </c>
      <c r="J18" s="51"/>
      <c r="K18" s="53">
        <v>106</v>
      </c>
      <c r="L18" s="53">
        <v>41</v>
      </c>
      <c r="M18" s="45" t="s">
        <v>43</v>
      </c>
    </row>
    <row r="19" spans="1:13" ht="17.25" customHeight="1">
      <c r="A19" s="11" t="s">
        <v>32</v>
      </c>
      <c r="B19" s="54">
        <v>1649</v>
      </c>
      <c r="C19" s="55">
        <v>25</v>
      </c>
      <c r="D19" s="55">
        <v>25</v>
      </c>
      <c r="E19" s="55">
        <v>0</v>
      </c>
      <c r="F19" s="55"/>
      <c r="G19" s="55">
        <v>349</v>
      </c>
      <c r="H19" s="55">
        <v>0</v>
      </c>
      <c r="I19" s="55">
        <v>0</v>
      </c>
      <c r="J19" s="55"/>
      <c r="K19" s="55">
        <v>16</v>
      </c>
      <c r="L19" s="55">
        <v>0</v>
      </c>
      <c r="M19" s="36" t="s">
        <v>33</v>
      </c>
    </row>
    <row r="20" spans="1:13" ht="12" customHeight="1">
      <c r="A20" s="47" t="s">
        <v>38</v>
      </c>
      <c r="B20" s="37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38" t="s">
        <v>39</v>
      </c>
    </row>
    <row r="21" spans="1:13" s="41" customFormat="1" ht="17.25" customHeight="1">
      <c r="A21" s="46" t="s">
        <v>44</v>
      </c>
      <c r="B21" s="39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40" t="s">
        <v>40</v>
      </c>
    </row>
    <row r="22" spans="1:13" s="41" customFormat="1" ht="15" customHeight="1">
      <c r="A22" s="15" t="s">
        <v>45</v>
      </c>
      <c r="B22" s="39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42" t="s">
        <v>41</v>
      </c>
    </row>
    <row r="23" spans="1:13" s="41" customFormat="1" ht="15" customHeight="1">
      <c r="A23" s="17" t="s">
        <v>34</v>
      </c>
      <c r="B23" s="43"/>
      <c r="C23" s="18"/>
      <c r="D23" s="18"/>
      <c r="E23" s="18"/>
      <c r="F23" s="18"/>
      <c r="G23" s="18"/>
      <c r="H23" s="19"/>
      <c r="I23" s="19"/>
      <c r="J23" s="19"/>
      <c r="M23" s="20" t="s">
        <v>35</v>
      </c>
    </row>
  </sheetData>
  <mergeCells count="2">
    <mergeCell ref="A3:M3"/>
    <mergeCell ref="A4:M4"/>
  </mergeCells>
  <pageMargins left="0.23" right="0.17" top="0.42" bottom="0.17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11.12</vt:lpstr>
      <vt:lpstr>' 11.12'!Print_Area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2015-02-11T04:12:26Z</cp:lastPrinted>
  <dcterms:created xsi:type="dcterms:W3CDTF">2014-05-22T03:57:11Z</dcterms:created>
  <dcterms:modified xsi:type="dcterms:W3CDTF">2015-02-11T04:38:26Z</dcterms:modified>
</cp:coreProperties>
</file>