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408" windowWidth="14964" windowHeight="8424"/>
  </bookViews>
  <sheets>
    <sheet name="11.24" sheetId="1" r:id="rId1"/>
  </sheets>
  <calcPr calcId="124519"/>
</workbook>
</file>

<file path=xl/calcChain.xml><?xml version="1.0" encoding="utf-8"?>
<calcChain xmlns="http://schemas.openxmlformats.org/spreadsheetml/2006/main">
  <c r="T7" i="1"/>
  <c r="S7"/>
  <c r="R7"/>
  <c r="Q7"/>
  <c r="O7"/>
  <c r="N7"/>
  <c r="L7"/>
  <c r="K7"/>
  <c r="I7"/>
  <c r="H7"/>
  <c r="F7"/>
  <c r="E7"/>
  <c r="C7"/>
  <c r="B7"/>
</calcChain>
</file>

<file path=xl/sharedStrings.xml><?xml version="1.0" encoding="utf-8"?>
<sst xmlns="http://schemas.openxmlformats.org/spreadsheetml/2006/main" count="56" uniqueCount="44">
  <si>
    <t>ތާވަލު 11.24: މަސްމަހުގެ ގޮތުން ރާއްޖޭގެ ވައިގެބަނދަރުތަކުގައި އުފުލުނު މުދާ، 2013</t>
  </si>
  <si>
    <t>Table 11.24:  CARGO HANDLED AT DOMESTIC AIRPORTS BY MONTH, 2013</t>
  </si>
  <si>
    <t xml:space="preserve"> ( in kg )</t>
  </si>
  <si>
    <t>Month</t>
  </si>
  <si>
    <t>L.Kadhdhoo</t>
  </si>
  <si>
    <t>GDh.Kaadedhdhoo</t>
  </si>
  <si>
    <t>HDh.Hanimaadhoo</t>
  </si>
  <si>
    <t xml:space="preserve">Gn.Fuvahmulah </t>
  </si>
  <si>
    <t>ADh.Maamigili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</si>
  <si>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</si>
  <si>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t>GA. Koodoo</t>
  </si>
  <si>
    <t>cswm</t>
  </si>
  <si>
    <t>In</t>
  </si>
  <si>
    <t>Out</t>
  </si>
  <si>
    <t>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</si>
  <si>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</si>
  <si>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</si>
  <si>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</si>
  <si>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</si>
  <si>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</si>
  <si>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</si>
  <si>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</si>
  <si>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</si>
  <si>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</si>
  <si>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</si>
  <si>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</si>
  <si>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</si>
  <si>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</si>
  <si>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</si>
  <si>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</si>
  <si>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</si>
  <si>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</si>
  <si>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</si>
  <si>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</si>
  <si>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</si>
  <si>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</si>
  <si>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</si>
  <si>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</si>
  <si>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</si>
  <si>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</si>
  <si>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</si>
  <si>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 xml:space="preserve">ނޯޓް: ބ.ދަރަވަންދޫއަށް ދަތުރުތައް ފެށިފައިވަނީ އޮކްޓޯބަރ 2012 ން ފެށިގެންނެވެ. </t>
  </si>
  <si>
    <t>Source: Civil Aviation Authority</t>
  </si>
  <si>
    <t>މައުލޫމާތު ދެއްވީ: ސިވިލް އޭވިއޭޝަން އޮތޯރިޓީ</t>
  </si>
</sst>
</file>

<file path=xl/styles.xml><?xml version="1.0" encoding="utf-8"?>
<styleSheet xmlns="http://schemas.openxmlformats.org/spreadsheetml/2006/main">
  <numFmts count="1">
    <numFmt numFmtId="164" formatCode="General_)"/>
  </numFmts>
  <fonts count="20">
    <font>
      <sz val="11"/>
      <color theme="1"/>
      <name val="Calibri"/>
      <family val="2"/>
      <scheme val="minor"/>
    </font>
    <font>
      <b/>
      <sz val="11"/>
      <name val="Faruma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"/>
      <name val="A_Randhoo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Arial"/>
      <family val="2"/>
    </font>
    <font>
      <sz val="9"/>
      <name val="A_Randhoo"/>
    </font>
    <font>
      <sz val="10"/>
      <name val="Faruma"/>
    </font>
    <font>
      <sz val="9"/>
      <color theme="1"/>
      <name val="Faruma"/>
    </font>
    <font>
      <sz val="9"/>
      <name val="Courier"/>
      <family val="3"/>
    </font>
    <font>
      <sz val="9"/>
      <name val="Faruma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164" fontId="2" fillId="0" borderId="0"/>
    <xf numFmtId="0" fontId="6" fillId="0" borderId="0"/>
    <xf numFmtId="40" fontId="8" fillId="0" borderId="0" applyFont="0" applyFill="0" applyBorder="0" applyAlignment="0" applyProtection="0"/>
    <xf numFmtId="0" fontId="13" fillId="0" borderId="0"/>
  </cellStyleXfs>
  <cellXfs count="43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164" fontId="3" fillId="2" borderId="0" xfId="1" applyNumberFormat="1" applyFont="1" applyFill="1" applyBorder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164" fontId="0" fillId="2" borderId="0" xfId="0" applyNumberFormat="1" applyFill="1" applyBorder="1"/>
    <xf numFmtId="164" fontId="4" fillId="2" borderId="1" xfId="1" applyNumberFormat="1" applyFont="1" applyFill="1" applyBorder="1" applyAlignment="1">
      <alignment horizontal="left" vertical="center"/>
    </xf>
    <xf numFmtId="164" fontId="4" fillId="2" borderId="2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164" fontId="4" fillId="2" borderId="4" xfId="1" applyNumberFormat="1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right" vertical="center"/>
    </xf>
    <xf numFmtId="164" fontId="4" fillId="2" borderId="6" xfId="1" applyNumberFormat="1" applyFont="1" applyFill="1" applyBorder="1" applyAlignment="1">
      <alignment horizontal="left" vertical="center"/>
    </xf>
    <xf numFmtId="164" fontId="4" fillId="2" borderId="6" xfId="1" applyNumberFormat="1" applyFont="1" applyFill="1" applyBorder="1" applyAlignment="1">
      <alignment horizontal="right" vertical="center"/>
    </xf>
    <xf numFmtId="164" fontId="4" fillId="2" borderId="7" xfId="1" applyNumberFormat="1" applyFont="1" applyFill="1" applyBorder="1" applyAlignment="1">
      <alignment horizontal="right" vertical="center"/>
    </xf>
    <xf numFmtId="164" fontId="4" fillId="2" borderId="6" xfId="1" applyNumberFormat="1" applyFont="1" applyFill="1" applyBorder="1" applyAlignment="1">
      <alignment horizontal="right" vertical="center" wrapText="1"/>
    </xf>
    <xf numFmtId="0" fontId="7" fillId="2" borderId="8" xfId="2" applyFont="1" applyFill="1" applyBorder="1" applyAlignment="1">
      <alignment horizontal="right" vertical="center"/>
    </xf>
    <xf numFmtId="164" fontId="4" fillId="2" borderId="0" xfId="1" applyNumberFormat="1" applyFont="1" applyFill="1" applyBorder="1" applyAlignment="1" applyProtection="1">
      <alignment horizontal="left" vertical="center"/>
    </xf>
    <xf numFmtId="38" fontId="4" fillId="2" borderId="0" xfId="3" applyNumberFormat="1" applyFont="1" applyFill="1" applyBorder="1" applyAlignment="1">
      <alignment horizontal="right" vertical="center"/>
    </xf>
    <xf numFmtId="38" fontId="4" fillId="2" borderId="9" xfId="3" applyNumberFormat="1" applyFont="1" applyFill="1" applyBorder="1" applyAlignment="1">
      <alignment horizontal="right" vertical="center"/>
    </xf>
    <xf numFmtId="0" fontId="7" fillId="2" borderId="0" xfId="2" applyFont="1" applyFill="1" applyBorder="1" applyAlignment="1">
      <alignment horizontal="right"/>
    </xf>
    <xf numFmtId="164" fontId="9" fillId="2" borderId="0" xfId="1" applyNumberFormat="1" applyFont="1" applyFill="1" applyBorder="1" applyAlignment="1" applyProtection="1">
      <alignment horizontal="left" vertical="center"/>
    </xf>
    <xf numFmtId="38" fontId="9" fillId="2" borderId="0" xfId="3" applyNumberFormat="1" applyFont="1" applyFill="1" applyBorder="1" applyAlignment="1">
      <alignment horizontal="right" vertical="center"/>
    </xf>
    <xf numFmtId="38" fontId="9" fillId="2" borderId="9" xfId="3" applyNumberFormat="1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right"/>
    </xf>
    <xf numFmtId="164" fontId="9" fillId="2" borderId="6" xfId="1" applyNumberFormat="1" applyFont="1" applyFill="1" applyBorder="1" applyAlignment="1" applyProtection="1">
      <alignment horizontal="left" vertical="center"/>
    </xf>
    <xf numFmtId="38" fontId="9" fillId="2" borderId="6" xfId="3" applyNumberFormat="1" applyFont="1" applyFill="1" applyBorder="1" applyAlignment="1">
      <alignment horizontal="right" vertical="center"/>
    </xf>
    <xf numFmtId="38" fontId="9" fillId="2" borderId="7" xfId="3" applyNumberFormat="1" applyFont="1" applyFill="1" applyBorder="1" applyAlignment="1">
      <alignment horizontal="right" vertical="center"/>
    </xf>
    <xf numFmtId="0" fontId="10" fillId="2" borderId="6" xfId="2" applyFont="1" applyFill="1" applyBorder="1" applyAlignment="1">
      <alignment horizontal="right"/>
    </xf>
    <xf numFmtId="164" fontId="11" fillId="2" borderId="0" xfId="1" applyNumberFormat="1" applyFont="1" applyFill="1" applyBorder="1" applyAlignment="1" applyProtection="1">
      <alignment horizontal="left" vertical="center"/>
    </xf>
    <xf numFmtId="164" fontId="11" fillId="2" borderId="0" xfId="1" applyNumberFormat="1" applyFont="1" applyFill="1" applyAlignment="1" applyProtection="1">
      <alignment horizontal="left" vertical="center"/>
    </xf>
    <xf numFmtId="37" fontId="9" fillId="2" borderId="0" xfId="1" applyNumberFormat="1" applyFont="1" applyFill="1" applyAlignment="1" applyProtection="1">
      <alignment vertical="center"/>
    </xf>
    <xf numFmtId="0" fontId="14" fillId="2" borderId="0" xfId="4" applyFont="1" applyFill="1" applyAlignment="1">
      <alignment vertical="center"/>
    </xf>
    <xf numFmtId="0" fontId="15" fillId="2" borderId="1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vertical="center"/>
    </xf>
    <xf numFmtId="164" fontId="9" fillId="2" borderId="0" xfId="1" applyNumberFormat="1" applyFont="1" applyFill="1"/>
    <xf numFmtId="164" fontId="9" fillId="2" borderId="0" xfId="1" applyNumberFormat="1" applyFont="1" applyFill="1" applyBorder="1"/>
    <xf numFmtId="164" fontId="17" fillId="2" borderId="0" xfId="1" applyNumberFormat="1" applyFont="1" applyFill="1"/>
    <xf numFmtId="0" fontId="18" fillId="2" borderId="10" xfId="0" applyNumberFormat="1" applyFont="1" applyFill="1" applyBorder="1" applyAlignment="1">
      <alignment horizontal="right" vertical="center"/>
    </xf>
    <xf numFmtId="164" fontId="19" fillId="2" borderId="0" xfId="0" applyNumberFormat="1" applyFont="1" applyFill="1"/>
    <xf numFmtId="164" fontId="2" fillId="2" borderId="0" xfId="1" applyNumberFormat="1" applyFont="1" applyFill="1"/>
    <xf numFmtId="164" fontId="2" fillId="2" borderId="0" xfId="1" applyNumberFormat="1" applyFont="1" applyFill="1" applyBorder="1"/>
  </cellXfs>
  <cellStyles count="5">
    <cellStyle name="Comma 2" xfId="3"/>
    <cellStyle name="Normal" xfId="0" builtinId="0"/>
    <cellStyle name="Normal 2" xfId="1"/>
    <cellStyle name="Normal_IX-6(Trans &amp; Comm)" xfId="4"/>
    <cellStyle name="Normal_X-5 (Electricity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>
      <selection activeCell="D26" sqref="D26"/>
    </sheetView>
  </sheetViews>
  <sheetFormatPr defaultColWidth="9.109375" defaultRowHeight="14.4"/>
  <cols>
    <col min="1" max="1" width="9.109375" style="2"/>
    <col min="2" max="3" width="11.5546875" style="2" customWidth="1"/>
    <col min="4" max="4" width="1.44140625" style="2" customWidth="1"/>
    <col min="5" max="6" width="11.5546875" style="2" customWidth="1"/>
    <col min="7" max="7" width="1.33203125" style="2" customWidth="1"/>
    <col min="8" max="8" width="11.5546875" style="2" customWidth="1"/>
    <col min="9" max="9" width="9.44140625" style="2" customWidth="1"/>
    <col min="10" max="10" width="1.109375" style="2" customWidth="1"/>
    <col min="11" max="11" width="9.44140625" style="2" bestFit="1" customWidth="1"/>
    <col min="12" max="12" width="9.5546875" style="2" customWidth="1"/>
    <col min="13" max="13" width="1.109375" style="2" customWidth="1"/>
    <col min="14" max="15" width="9.33203125" style="2" bestFit="1" customWidth="1"/>
    <col min="16" max="16" width="1.109375" style="2" customWidth="1"/>
    <col min="17" max="18" width="9.33203125" style="2" bestFit="1" customWidth="1"/>
    <col min="19" max="20" width="9.33203125" style="2" customWidth="1"/>
    <col min="21" max="21" width="19.77734375" style="2" customWidth="1"/>
    <col min="22" max="16384" width="9.109375" style="2"/>
  </cols>
  <sheetData>
    <row r="1" spans="1:21" ht="19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s="5" customForma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.5" customHeight="1"/>
    <row r="5" spans="1:21" ht="14.25" customHeight="1">
      <c r="A5" s="6" t="s">
        <v>3</v>
      </c>
      <c r="B5" s="7" t="s">
        <v>4</v>
      </c>
      <c r="C5" s="8"/>
      <c r="D5" s="9"/>
      <c r="E5" s="7" t="s">
        <v>5</v>
      </c>
      <c r="F5" s="8"/>
      <c r="G5" s="9"/>
      <c r="H5" s="7" t="s">
        <v>6</v>
      </c>
      <c r="I5" s="8"/>
      <c r="J5" s="9"/>
      <c r="K5" s="7" t="s">
        <v>7</v>
      </c>
      <c r="L5" s="8"/>
      <c r="M5" s="9"/>
      <c r="N5" s="7" t="s">
        <v>8</v>
      </c>
      <c r="O5" s="8"/>
      <c r="P5" s="9"/>
      <c r="Q5" s="7" t="s">
        <v>9</v>
      </c>
      <c r="R5" s="8"/>
      <c r="S5" s="10" t="s">
        <v>10</v>
      </c>
      <c r="T5" s="8"/>
      <c r="U5" s="11" t="s">
        <v>11</v>
      </c>
    </row>
    <row r="6" spans="1:21" ht="13.5" customHeight="1">
      <c r="A6" s="12"/>
      <c r="B6" s="13" t="s">
        <v>12</v>
      </c>
      <c r="C6" s="14" t="s">
        <v>13</v>
      </c>
      <c r="D6" s="13"/>
      <c r="E6" s="13" t="s">
        <v>12</v>
      </c>
      <c r="F6" s="14" t="s">
        <v>13</v>
      </c>
      <c r="G6" s="13"/>
      <c r="H6" s="13" t="s">
        <v>12</v>
      </c>
      <c r="I6" s="14" t="s">
        <v>13</v>
      </c>
      <c r="J6" s="15"/>
      <c r="K6" s="13" t="s">
        <v>12</v>
      </c>
      <c r="L6" s="14" t="s">
        <v>13</v>
      </c>
      <c r="M6" s="15"/>
      <c r="N6" s="13" t="s">
        <v>12</v>
      </c>
      <c r="O6" s="14" t="s">
        <v>13</v>
      </c>
      <c r="P6" s="15"/>
      <c r="Q6" s="13" t="s">
        <v>12</v>
      </c>
      <c r="R6" s="14" t="s">
        <v>13</v>
      </c>
      <c r="S6" s="13" t="s">
        <v>12</v>
      </c>
      <c r="T6" s="14" t="s">
        <v>13</v>
      </c>
      <c r="U6" s="16"/>
    </row>
    <row r="7" spans="1:21" ht="15.75" customHeight="1">
      <c r="A7" s="17" t="s">
        <v>14</v>
      </c>
      <c r="B7" s="18">
        <f>SUM(B8:B19)</f>
        <v>28300</v>
      </c>
      <c r="C7" s="19">
        <f>SUM(C8:C19)</f>
        <v>90464.889999999985</v>
      </c>
      <c r="D7" s="18"/>
      <c r="E7" s="18">
        <f>SUM(E8:E19)</f>
        <v>39910</v>
      </c>
      <c r="F7" s="19">
        <f>SUM(F8:F19)</f>
        <v>19469</v>
      </c>
      <c r="G7" s="18"/>
      <c r="H7" s="18">
        <f>SUM(H8:H19)</f>
        <v>39191</v>
      </c>
      <c r="I7" s="19">
        <f>SUM(I8:I19)</f>
        <v>8991.15</v>
      </c>
      <c r="J7" s="18"/>
      <c r="K7" s="18">
        <f>SUM(K8:K19)</f>
        <v>14617</v>
      </c>
      <c r="L7" s="19">
        <f>SUM(L8:L19)</f>
        <v>9762</v>
      </c>
      <c r="M7" s="18"/>
      <c r="N7" s="18">
        <f t="shared" ref="N7:O7" si="0">SUM(N8:N19)</f>
        <v>0</v>
      </c>
      <c r="O7" s="19">
        <f t="shared" si="0"/>
        <v>0</v>
      </c>
      <c r="P7" s="18"/>
      <c r="Q7" s="18">
        <f>SUM(Q8:Q19)</f>
        <v>5116</v>
      </c>
      <c r="R7" s="19">
        <f>SUM(R8:R19)</f>
        <v>1156</v>
      </c>
      <c r="S7" s="18">
        <f>SUM(S8:S19)</f>
        <v>52088.399999999994</v>
      </c>
      <c r="T7" s="19">
        <f>SUM(T8:T19)</f>
        <v>62166.5</v>
      </c>
      <c r="U7" s="20" t="s">
        <v>15</v>
      </c>
    </row>
    <row r="8" spans="1:21" ht="15.75" customHeight="1">
      <c r="A8" s="21" t="s">
        <v>16</v>
      </c>
      <c r="B8" s="22">
        <v>2395</v>
      </c>
      <c r="C8" s="23">
        <v>10312</v>
      </c>
      <c r="D8" s="22"/>
      <c r="E8" s="22">
        <v>2882</v>
      </c>
      <c r="F8" s="23">
        <v>2128</v>
      </c>
      <c r="G8" s="22"/>
      <c r="H8" s="22">
        <v>2695</v>
      </c>
      <c r="I8" s="23">
        <v>755</v>
      </c>
      <c r="J8" s="22"/>
      <c r="K8" s="22">
        <v>1011</v>
      </c>
      <c r="L8" s="23">
        <v>1160</v>
      </c>
      <c r="M8" s="22"/>
      <c r="N8" s="22">
        <v>0</v>
      </c>
      <c r="O8" s="23">
        <v>0</v>
      </c>
      <c r="P8" s="22"/>
      <c r="Q8" s="22">
        <v>309</v>
      </c>
      <c r="R8" s="23">
        <v>3</v>
      </c>
      <c r="S8" s="22">
        <v>2446</v>
      </c>
      <c r="T8" s="23">
        <v>3070.5</v>
      </c>
      <c r="U8" s="24" t="s">
        <v>17</v>
      </c>
    </row>
    <row r="9" spans="1:21" ht="15.75" customHeight="1">
      <c r="A9" s="21" t="s">
        <v>18</v>
      </c>
      <c r="B9" s="22">
        <v>2647</v>
      </c>
      <c r="C9" s="23">
        <v>6136.6</v>
      </c>
      <c r="D9" s="22"/>
      <c r="E9" s="22">
        <v>3254</v>
      </c>
      <c r="F9" s="23">
        <v>2137</v>
      </c>
      <c r="G9" s="22"/>
      <c r="H9" s="22">
        <v>4064</v>
      </c>
      <c r="I9" s="23">
        <v>462.7</v>
      </c>
      <c r="J9" s="22"/>
      <c r="K9" s="22">
        <v>857</v>
      </c>
      <c r="L9" s="23">
        <v>877</v>
      </c>
      <c r="M9" s="22"/>
      <c r="N9" s="22">
        <v>0</v>
      </c>
      <c r="O9" s="23">
        <v>0</v>
      </c>
      <c r="P9" s="22"/>
      <c r="Q9" s="22">
        <v>374</v>
      </c>
      <c r="R9" s="23">
        <v>127</v>
      </c>
      <c r="S9" s="22">
        <v>5600</v>
      </c>
      <c r="T9" s="23">
        <v>3373</v>
      </c>
      <c r="U9" s="24" t="s">
        <v>19</v>
      </c>
    </row>
    <row r="10" spans="1:21" ht="15.75" customHeight="1">
      <c r="A10" s="21" t="s">
        <v>20</v>
      </c>
      <c r="B10" s="22">
        <v>2976</v>
      </c>
      <c r="C10" s="23">
        <v>5619.4</v>
      </c>
      <c r="D10" s="22"/>
      <c r="E10" s="22">
        <v>4248</v>
      </c>
      <c r="F10" s="23">
        <v>1923</v>
      </c>
      <c r="G10" s="22"/>
      <c r="H10" s="22">
        <v>4114</v>
      </c>
      <c r="I10" s="23">
        <v>678</v>
      </c>
      <c r="J10" s="22"/>
      <c r="K10" s="22">
        <v>653</v>
      </c>
      <c r="L10" s="23">
        <v>514</v>
      </c>
      <c r="M10" s="22"/>
      <c r="N10" s="22">
        <v>0</v>
      </c>
      <c r="O10" s="23">
        <v>0</v>
      </c>
      <c r="P10" s="22"/>
      <c r="Q10" s="22">
        <v>453</v>
      </c>
      <c r="R10" s="23">
        <v>116</v>
      </c>
      <c r="S10" s="22">
        <v>5228</v>
      </c>
      <c r="T10" s="23">
        <v>4991</v>
      </c>
      <c r="U10" s="24" t="s">
        <v>21</v>
      </c>
    </row>
    <row r="11" spans="1:21" ht="15.75" customHeight="1">
      <c r="A11" s="21" t="s">
        <v>22</v>
      </c>
      <c r="B11" s="22">
        <v>1120</v>
      </c>
      <c r="C11" s="23">
        <v>4716.8900000000003</v>
      </c>
      <c r="D11" s="22"/>
      <c r="E11" s="22">
        <v>2493</v>
      </c>
      <c r="F11" s="23">
        <v>3249</v>
      </c>
      <c r="G11" s="22"/>
      <c r="H11" s="22">
        <v>3730</v>
      </c>
      <c r="I11" s="23">
        <v>527.95000000000005</v>
      </c>
      <c r="J11" s="22"/>
      <c r="K11" s="22">
        <v>1125</v>
      </c>
      <c r="L11" s="23">
        <v>623</v>
      </c>
      <c r="M11" s="22"/>
      <c r="N11" s="22">
        <v>0</v>
      </c>
      <c r="O11" s="23">
        <v>0</v>
      </c>
      <c r="P11" s="22"/>
      <c r="Q11" s="22">
        <v>135</v>
      </c>
      <c r="R11" s="23">
        <v>26</v>
      </c>
      <c r="S11" s="22">
        <v>2443</v>
      </c>
      <c r="T11" s="23">
        <v>6790</v>
      </c>
      <c r="U11" s="24" t="s">
        <v>23</v>
      </c>
    </row>
    <row r="12" spans="1:21" ht="15.75" customHeight="1">
      <c r="A12" s="21" t="s">
        <v>24</v>
      </c>
      <c r="B12" s="22">
        <v>1833</v>
      </c>
      <c r="C12" s="23">
        <v>8910.6</v>
      </c>
      <c r="D12" s="22"/>
      <c r="E12" s="22">
        <v>4756</v>
      </c>
      <c r="F12" s="23">
        <v>2610</v>
      </c>
      <c r="G12" s="22"/>
      <c r="H12" s="22">
        <v>2003</v>
      </c>
      <c r="I12" s="23">
        <v>465</v>
      </c>
      <c r="J12" s="22"/>
      <c r="K12" s="22">
        <v>740</v>
      </c>
      <c r="L12" s="23">
        <v>3639</v>
      </c>
      <c r="M12" s="22"/>
      <c r="N12" s="22">
        <v>0</v>
      </c>
      <c r="O12" s="23">
        <v>0</v>
      </c>
      <c r="P12" s="22"/>
      <c r="Q12" s="22">
        <v>703</v>
      </c>
      <c r="R12" s="23">
        <v>196</v>
      </c>
      <c r="S12" s="22">
        <v>4269</v>
      </c>
      <c r="T12" s="23">
        <v>13680</v>
      </c>
      <c r="U12" s="24" t="s">
        <v>25</v>
      </c>
    </row>
    <row r="13" spans="1:21" ht="15.75" customHeight="1">
      <c r="A13" s="21" t="s">
        <v>26</v>
      </c>
      <c r="B13" s="22">
        <v>1463</v>
      </c>
      <c r="C13" s="23">
        <v>6385</v>
      </c>
      <c r="D13" s="22"/>
      <c r="E13" s="22">
        <v>2658</v>
      </c>
      <c r="F13" s="23">
        <v>1947</v>
      </c>
      <c r="G13" s="22"/>
      <c r="H13" s="22">
        <v>2033</v>
      </c>
      <c r="I13" s="23">
        <v>920</v>
      </c>
      <c r="J13" s="22"/>
      <c r="K13" s="22">
        <v>1148</v>
      </c>
      <c r="L13" s="23">
        <v>451</v>
      </c>
      <c r="M13" s="22"/>
      <c r="N13" s="22">
        <v>0</v>
      </c>
      <c r="O13" s="23">
        <v>0</v>
      </c>
      <c r="P13" s="22"/>
      <c r="Q13" s="22">
        <v>219</v>
      </c>
      <c r="R13" s="23">
        <v>24</v>
      </c>
      <c r="S13" s="22">
        <v>3511</v>
      </c>
      <c r="T13" s="23">
        <v>5193</v>
      </c>
      <c r="U13" s="24" t="s">
        <v>27</v>
      </c>
    </row>
    <row r="14" spans="1:21" ht="15.75" customHeight="1">
      <c r="A14" s="21" t="s">
        <v>28</v>
      </c>
      <c r="B14" s="22">
        <v>5850</v>
      </c>
      <c r="C14" s="23">
        <v>9839</v>
      </c>
      <c r="D14" s="22"/>
      <c r="E14" s="22">
        <v>3896</v>
      </c>
      <c r="F14" s="23">
        <v>516</v>
      </c>
      <c r="G14" s="22"/>
      <c r="H14" s="22">
        <v>3466</v>
      </c>
      <c r="I14" s="23">
        <v>657</v>
      </c>
      <c r="J14" s="22"/>
      <c r="K14" s="22">
        <v>1520</v>
      </c>
      <c r="L14" s="23">
        <v>280</v>
      </c>
      <c r="M14" s="22"/>
      <c r="N14" s="22">
        <v>0</v>
      </c>
      <c r="O14" s="23">
        <v>0</v>
      </c>
      <c r="P14" s="22"/>
      <c r="Q14" s="22">
        <v>546</v>
      </c>
      <c r="R14" s="23">
        <v>264</v>
      </c>
      <c r="S14" s="22">
        <v>5903</v>
      </c>
      <c r="T14" s="23">
        <v>4801</v>
      </c>
      <c r="U14" s="24" t="s">
        <v>29</v>
      </c>
    </row>
    <row r="15" spans="1:21" ht="15.75" customHeight="1">
      <c r="A15" s="21" t="s">
        <v>30</v>
      </c>
      <c r="B15" s="22">
        <v>2259</v>
      </c>
      <c r="C15" s="23">
        <v>8602</v>
      </c>
      <c r="D15" s="22"/>
      <c r="E15" s="22">
        <v>4987</v>
      </c>
      <c r="F15" s="23">
        <v>1009</v>
      </c>
      <c r="G15" s="22"/>
      <c r="H15" s="22">
        <v>1807</v>
      </c>
      <c r="I15" s="23">
        <v>710</v>
      </c>
      <c r="J15" s="22"/>
      <c r="K15" s="22">
        <v>2242</v>
      </c>
      <c r="L15" s="23">
        <v>502</v>
      </c>
      <c r="M15" s="22"/>
      <c r="N15" s="22">
        <v>0</v>
      </c>
      <c r="O15" s="23">
        <v>0</v>
      </c>
      <c r="P15" s="22"/>
      <c r="Q15" s="22">
        <v>452</v>
      </c>
      <c r="R15" s="23">
        <v>96</v>
      </c>
      <c r="S15" s="22">
        <v>6062</v>
      </c>
      <c r="T15" s="23">
        <v>4211</v>
      </c>
      <c r="U15" s="24" t="s">
        <v>31</v>
      </c>
    </row>
    <row r="16" spans="1:21" ht="15.75" customHeight="1">
      <c r="A16" s="21" t="s">
        <v>32</v>
      </c>
      <c r="B16" s="22">
        <v>2259</v>
      </c>
      <c r="C16" s="23">
        <v>8602</v>
      </c>
      <c r="D16" s="22"/>
      <c r="E16" s="22">
        <v>2142</v>
      </c>
      <c r="F16" s="23">
        <v>1200</v>
      </c>
      <c r="G16" s="22"/>
      <c r="H16" s="22">
        <v>2882</v>
      </c>
      <c r="I16" s="23">
        <v>874.5</v>
      </c>
      <c r="J16" s="22"/>
      <c r="K16" s="22">
        <v>1689</v>
      </c>
      <c r="L16" s="23">
        <v>102</v>
      </c>
      <c r="M16" s="22"/>
      <c r="N16" s="22">
        <v>0</v>
      </c>
      <c r="O16" s="23">
        <v>0</v>
      </c>
      <c r="P16" s="22"/>
      <c r="Q16" s="22">
        <v>297</v>
      </c>
      <c r="R16" s="23">
        <v>63</v>
      </c>
      <c r="S16" s="22">
        <v>5022</v>
      </c>
      <c r="T16" s="23">
        <v>4957</v>
      </c>
      <c r="U16" s="24" t="s">
        <v>33</v>
      </c>
    </row>
    <row r="17" spans="1:21" ht="15.75" customHeight="1">
      <c r="A17" s="21" t="s">
        <v>34</v>
      </c>
      <c r="B17" s="22">
        <v>3075</v>
      </c>
      <c r="C17" s="23">
        <v>7151.5</v>
      </c>
      <c r="D17" s="22"/>
      <c r="E17" s="22">
        <v>2751</v>
      </c>
      <c r="F17" s="23">
        <v>375</v>
      </c>
      <c r="G17" s="22"/>
      <c r="H17" s="22">
        <v>4042</v>
      </c>
      <c r="I17" s="23">
        <v>267</v>
      </c>
      <c r="J17" s="22"/>
      <c r="K17" s="22">
        <v>1437</v>
      </c>
      <c r="L17" s="23">
        <v>278</v>
      </c>
      <c r="M17" s="22"/>
      <c r="N17" s="22">
        <v>0</v>
      </c>
      <c r="O17" s="23">
        <v>0</v>
      </c>
      <c r="P17" s="22"/>
      <c r="Q17" s="22">
        <v>470</v>
      </c>
      <c r="R17" s="23">
        <v>68</v>
      </c>
      <c r="S17" s="22">
        <v>4838</v>
      </c>
      <c r="T17" s="23">
        <v>7911</v>
      </c>
      <c r="U17" s="24" t="s">
        <v>35</v>
      </c>
    </row>
    <row r="18" spans="1:21" ht="15.75" customHeight="1">
      <c r="A18" s="21" t="s">
        <v>36</v>
      </c>
      <c r="B18" s="22">
        <v>1497</v>
      </c>
      <c r="C18" s="23">
        <v>7939</v>
      </c>
      <c r="D18" s="22"/>
      <c r="E18" s="22">
        <v>3188</v>
      </c>
      <c r="F18" s="23">
        <v>1164</v>
      </c>
      <c r="G18" s="22"/>
      <c r="H18" s="22">
        <v>5875</v>
      </c>
      <c r="I18" s="23">
        <v>223</v>
      </c>
      <c r="J18" s="22"/>
      <c r="K18" s="22">
        <v>1078</v>
      </c>
      <c r="L18" s="23">
        <v>173</v>
      </c>
      <c r="M18" s="22"/>
      <c r="N18" s="22">
        <v>0</v>
      </c>
      <c r="O18" s="23">
        <v>0</v>
      </c>
      <c r="P18" s="22"/>
      <c r="Q18" s="22">
        <v>707</v>
      </c>
      <c r="R18" s="23">
        <v>35</v>
      </c>
      <c r="S18" s="22">
        <v>3003.95</v>
      </c>
      <c r="T18" s="23">
        <v>1943</v>
      </c>
      <c r="U18" s="24" t="s">
        <v>37</v>
      </c>
    </row>
    <row r="19" spans="1:21" ht="15.75" customHeight="1">
      <c r="A19" s="25" t="s">
        <v>38</v>
      </c>
      <c r="B19" s="26">
        <v>926</v>
      </c>
      <c r="C19" s="27">
        <v>6250.9</v>
      </c>
      <c r="D19" s="26"/>
      <c r="E19" s="26">
        <v>2655</v>
      </c>
      <c r="F19" s="27">
        <v>1211</v>
      </c>
      <c r="G19" s="26"/>
      <c r="H19" s="26">
        <v>2480</v>
      </c>
      <c r="I19" s="27">
        <v>2451</v>
      </c>
      <c r="J19" s="26"/>
      <c r="K19" s="26">
        <v>1117</v>
      </c>
      <c r="L19" s="27">
        <v>1163</v>
      </c>
      <c r="M19" s="26"/>
      <c r="N19" s="26">
        <v>0</v>
      </c>
      <c r="O19" s="27">
        <v>0</v>
      </c>
      <c r="P19" s="26"/>
      <c r="Q19" s="26">
        <v>451</v>
      </c>
      <c r="R19" s="27">
        <v>138</v>
      </c>
      <c r="S19" s="26">
        <v>3762.45</v>
      </c>
      <c r="T19" s="27">
        <v>1246</v>
      </c>
      <c r="U19" s="28" t="s">
        <v>39</v>
      </c>
    </row>
    <row r="20" spans="1:21" ht="14.25" customHeight="1">
      <c r="A20" s="29" t="s">
        <v>40</v>
      </c>
      <c r="B20" s="30"/>
      <c r="C20" s="31"/>
      <c r="D20" s="31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3"/>
      <c r="P20" s="32"/>
      <c r="Q20" s="32"/>
      <c r="R20" s="33"/>
      <c r="S20" s="34"/>
      <c r="T20" s="34"/>
      <c r="U20" s="35" t="s">
        <v>41</v>
      </c>
    </row>
    <row r="21" spans="1:21" ht="14.25" customHeight="1">
      <c r="A21" s="30" t="s">
        <v>42</v>
      </c>
      <c r="B21" s="36"/>
      <c r="C21" s="37"/>
      <c r="D21" s="37"/>
      <c r="E21" s="36"/>
      <c r="F21" s="37"/>
      <c r="G21" s="37"/>
      <c r="H21" s="36"/>
      <c r="I21" s="37"/>
      <c r="J21" s="37"/>
      <c r="K21" s="38"/>
      <c r="L21" s="38"/>
      <c r="M21" s="38"/>
      <c r="P21" s="38"/>
      <c r="U21" s="39" t="s">
        <v>43</v>
      </c>
    </row>
    <row r="22" spans="1:21" ht="7.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</row>
    <row r="23" spans="1:21">
      <c r="A23" s="41"/>
      <c r="I23" s="42"/>
      <c r="J23" s="42"/>
      <c r="K23" s="41"/>
      <c r="L23" s="41"/>
      <c r="M23" s="41"/>
      <c r="P23" s="41"/>
    </row>
  </sheetData>
  <mergeCells count="12">
    <mergeCell ref="S5:T5"/>
    <mergeCell ref="U5:U6"/>
    <mergeCell ref="A1:U1"/>
    <mergeCell ref="A2:U2"/>
    <mergeCell ref="A3:U3"/>
    <mergeCell ref="A5:A6"/>
    <mergeCell ref="B5:C5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dcterms:created xsi:type="dcterms:W3CDTF">2015-02-11T04:59:08Z</dcterms:created>
  <dcterms:modified xsi:type="dcterms:W3CDTF">2015-02-11T04:59:39Z</dcterms:modified>
</cp:coreProperties>
</file>