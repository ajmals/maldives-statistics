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charts/chart6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120" windowWidth="15252" windowHeight="8160" tabRatio="894"/>
  </bookViews>
  <sheets>
    <sheet name=" 11.14" sheetId="11" r:id="rId1"/>
  </sheets>
  <definedNames>
    <definedName name="_xlnm.Print_Area" localSheetId="0">' 11.14'!$A$1:$G$66</definedName>
  </definedNames>
  <calcPr calcId="124519"/>
</workbook>
</file>

<file path=xl/calcChain.xml><?xml version="1.0" encoding="utf-8"?>
<calcChain xmlns="http://schemas.openxmlformats.org/spreadsheetml/2006/main">
  <c r="E6" i="11"/>
  <c r="D6"/>
  <c r="C6"/>
  <c r="B6"/>
</calcChain>
</file>

<file path=xl/sharedStrings.xml><?xml version="1.0" encoding="utf-8"?>
<sst xmlns="http://schemas.openxmlformats.org/spreadsheetml/2006/main" count="38" uniqueCount="36">
  <si>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</si>
  <si>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</si>
  <si>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</si>
  <si>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</si>
  <si>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</si>
  <si>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</si>
  <si>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</si>
  <si>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</si>
  <si>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</si>
  <si>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</si>
  <si>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</si>
  <si>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</si>
  <si>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</si>
  <si>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</si>
  <si>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</si>
  <si>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</si>
  <si>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</si>
  <si>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</si>
  <si>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</si>
  <si>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</si>
  <si>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</si>
  <si>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</si>
  <si>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</si>
  <si>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</si>
  <si>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</si>
  <si>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</si>
  <si>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</si>
  <si>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</si>
  <si>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</si>
  <si>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</si>
  <si>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</si>
  <si>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</si>
  <si>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</si>
  <si>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</si>
  <si>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Table  11.14 :  PASSENGER MOVEMENT AT HANIMAADHOO INTERNATIONAL AIRPORT BY MONTH, 2013</t>
  </si>
  <si>
    <t>ތާވަލް 11.14: މަސްމަހުގެ ގޮތުން ހަނިމާދޫ ބައިނަލްއަޤްވާމީ ވައިގެ ބަނދަރުގައި ފަސިންޖަރުންގެ ދަތުރުފަތުރު ހުރިގޮތް، 2013</t>
  </si>
</sst>
</file>

<file path=xl/styles.xml><?xml version="1.0" encoding="utf-8"?>
<styleSheet xmlns="http://schemas.openxmlformats.org/spreadsheetml/2006/main">
  <numFmts count="3">
    <numFmt numFmtId="164" formatCode="General_)"/>
    <numFmt numFmtId="165" formatCode="0.0"/>
    <numFmt numFmtId="166" formatCode="_(* #,##0_);_(* \(#,##0\);_(* &quot;-&quot;??_);_(@_)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</font>
    <font>
      <sz val="10"/>
      <name val="Courier"/>
      <family val="3"/>
    </font>
    <font>
      <sz val="9"/>
      <name val="A_Randhoo"/>
    </font>
    <font>
      <b/>
      <sz val="11"/>
      <color theme="1"/>
      <name val="Faruma"/>
    </font>
    <font>
      <b/>
      <sz val="10"/>
      <name val="A_Randhoo"/>
    </font>
    <font>
      <sz val="10"/>
      <name val="MS Sans Serif"/>
      <family val="2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</borders>
  <cellStyleXfs count="1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4" fillId="0" borderId="0" applyFont="0" applyFill="0" applyBorder="0" applyAlignment="0" applyProtection="0"/>
    <xf numFmtId="0" fontId="6" fillId="0" borderId="0"/>
    <xf numFmtId="0" fontId="16" fillId="0" borderId="0"/>
    <xf numFmtId="166" fontId="10" fillId="0" borderId="0"/>
    <xf numFmtId="166" fontId="10" fillId="0" borderId="0"/>
    <xf numFmtId="165" fontId="10" fillId="0" borderId="0" applyFont="0" applyFill="0" applyBorder="0" applyAlignment="0" applyProtection="0"/>
  </cellStyleXfs>
  <cellXfs count="43">
    <xf numFmtId="0" fontId="0" fillId="0" borderId="0" xfId="0"/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2" fillId="2" borderId="2" xfId="5" applyNumberFormat="1" applyFont="1" applyFill="1" applyBorder="1" applyAlignment="1" applyProtection="1">
      <alignment horizontal="right" vertical="center"/>
    </xf>
    <xf numFmtId="38" fontId="7" fillId="2" borderId="0" xfId="6" applyNumberFormat="1" applyFont="1" applyFill="1" applyBorder="1" applyAlignment="1">
      <alignment horizontal="right" vertical="center" wrapText="1"/>
    </xf>
    <xf numFmtId="164" fontId="8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0" fontId="11" fillId="2" borderId="0" xfId="7" applyFont="1" applyFill="1" applyAlignment="1">
      <alignment vertical="center"/>
    </xf>
    <xf numFmtId="164" fontId="0" fillId="2" borderId="0" xfId="0" applyNumberFormat="1" applyFill="1" applyBorder="1"/>
    <xf numFmtId="164" fontId="2" fillId="2" borderId="6" xfId="5" applyNumberFormat="1" applyFont="1" applyFill="1" applyBorder="1" applyAlignment="1" applyProtection="1">
      <alignment horizontal="right" vertical="center"/>
    </xf>
    <xf numFmtId="164" fontId="2" fillId="2" borderId="14" xfId="5" applyNumberFormat="1" applyFont="1" applyFill="1" applyBorder="1" applyAlignment="1" applyProtection="1">
      <alignment horizontal="right" vertical="center"/>
    </xf>
    <xf numFmtId="3" fontId="2" fillId="2" borderId="0" xfId="5" applyNumberFormat="1" applyFont="1" applyFill="1" applyBorder="1" applyAlignment="1" applyProtection="1">
      <alignment horizontal="right" vertical="center"/>
    </xf>
    <xf numFmtId="3" fontId="2" fillId="2" borderId="10" xfId="5" applyNumberFormat="1" applyFont="1" applyFill="1" applyBorder="1" applyAlignment="1" applyProtection="1">
      <alignment horizontal="right" vertical="center"/>
    </xf>
    <xf numFmtId="3" fontId="2" fillId="2" borderId="11" xfId="5" applyNumberFormat="1" applyFont="1" applyFill="1" applyBorder="1" applyAlignment="1" applyProtection="1">
      <alignment horizontal="right" vertical="center"/>
    </xf>
    <xf numFmtId="0" fontId="13" fillId="2" borderId="0" xfId="8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5" fillId="2" borderId="0" xfId="8" applyFont="1" applyFill="1" applyBorder="1" applyAlignment="1">
      <alignment horizontal="right"/>
    </xf>
    <xf numFmtId="164" fontId="3" fillId="2" borderId="2" xfId="5" applyNumberFormat="1" applyFont="1" applyFill="1" applyBorder="1" applyAlignment="1" applyProtection="1">
      <alignment horizontal="left" vertical="center"/>
    </xf>
    <xf numFmtId="0" fontId="15" fillId="2" borderId="2" xfId="8" applyFont="1" applyFill="1" applyBorder="1" applyAlignment="1">
      <alignment horizontal="right"/>
    </xf>
    <xf numFmtId="3" fontId="3" fillId="2" borderId="0" xfId="7" applyNumberFormat="1" applyFont="1" applyFill="1" applyBorder="1" applyAlignment="1">
      <alignment horizontal="right" vertical="center"/>
    </xf>
    <xf numFmtId="3" fontId="3" fillId="2" borderId="0" xfId="5" applyNumberFormat="1" applyFont="1" applyFill="1" applyBorder="1" applyAlignment="1" applyProtection="1">
      <alignment horizontal="right" vertical="center"/>
      <protection locked="0"/>
    </xf>
    <xf numFmtId="3" fontId="3" fillId="2" borderId="12" xfId="5" applyNumberFormat="1" applyFont="1" applyFill="1" applyBorder="1" applyAlignment="1" applyProtection="1">
      <alignment horizontal="right" vertical="center"/>
      <protection locked="0"/>
    </xf>
    <xf numFmtId="3" fontId="3" fillId="2" borderId="10" xfId="5" applyNumberFormat="1" applyFont="1" applyFill="1" applyBorder="1" applyAlignment="1" applyProtection="1">
      <alignment horizontal="right" vertical="center"/>
      <protection locked="0"/>
    </xf>
    <xf numFmtId="3" fontId="8" fillId="2" borderId="0" xfId="7" applyNumberFormat="1" applyFont="1" applyFill="1" applyBorder="1" applyAlignment="1">
      <alignment horizontal="right" vertical="center"/>
    </xf>
    <xf numFmtId="3" fontId="3" fillId="2" borderId="0" xfId="7" applyNumberFormat="1" applyFont="1" applyFill="1" applyBorder="1" applyAlignment="1" applyProtection="1">
      <alignment horizontal="right" vertical="center" wrapText="1"/>
    </xf>
    <xf numFmtId="3" fontId="3" fillId="2" borderId="0" xfId="7" applyNumberFormat="1" applyFont="1" applyFill="1" applyBorder="1" applyAlignment="1" applyProtection="1">
      <alignment horizontal="right" vertical="center"/>
    </xf>
    <xf numFmtId="3" fontId="3" fillId="2" borderId="2" xfId="7" applyNumberFormat="1" applyFont="1" applyFill="1" applyBorder="1" applyAlignment="1">
      <alignment horizontal="right" vertical="center"/>
    </xf>
    <xf numFmtId="3" fontId="3" fillId="2" borderId="6" xfId="5" applyNumberFormat="1" applyFont="1" applyFill="1" applyBorder="1" applyAlignment="1" applyProtection="1">
      <alignment horizontal="right" vertical="center"/>
      <protection locked="0"/>
    </xf>
    <xf numFmtId="3" fontId="3" fillId="2" borderId="13" xfId="5" applyNumberFormat="1" applyFont="1" applyFill="1" applyBorder="1" applyAlignment="1" applyProtection="1">
      <alignment horizontal="right" vertical="center"/>
      <protection locked="0"/>
    </xf>
    <xf numFmtId="3" fontId="3" fillId="2" borderId="2" xfId="5" applyNumberFormat="1" applyFont="1" applyFill="1" applyBorder="1" applyAlignment="1" applyProtection="1">
      <alignment horizontal="right" vertical="center"/>
      <protection locked="0"/>
    </xf>
    <xf numFmtId="0" fontId="9" fillId="2" borderId="0" xfId="0" applyNumberFormat="1" applyFont="1" applyFill="1" applyBorder="1" applyAlignment="1">
      <alignment horizontal="right" vertical="center"/>
    </xf>
    <xf numFmtId="164" fontId="4" fillId="2" borderId="16" xfId="5" applyNumberFormat="1" applyFont="1" applyFill="1" applyBorder="1" applyAlignment="1" applyProtection="1">
      <alignment horizontal="center" vertical="top"/>
    </xf>
    <xf numFmtId="164" fontId="7" fillId="2" borderId="1" xfId="5" applyNumberFormat="1" applyFont="1" applyFill="1" applyBorder="1" applyAlignment="1" applyProtection="1">
      <alignment horizontal="left" vertical="center"/>
    </xf>
    <xf numFmtId="164" fontId="7" fillId="2" borderId="2" xfId="5" applyNumberFormat="1" applyFont="1" applyFill="1" applyBorder="1" applyAlignment="1" applyProtection="1">
      <alignment horizontal="left" vertical="center"/>
    </xf>
    <xf numFmtId="164" fontId="2" fillId="2" borderId="5" xfId="5" applyNumberFormat="1" applyFont="1" applyFill="1" applyBorder="1" applyAlignment="1" applyProtection="1">
      <alignment horizontal="center" vertical="center"/>
    </xf>
    <xf numFmtId="164" fontId="2" fillId="2" borderId="9" xfId="5" applyNumberFormat="1" applyFont="1" applyFill="1" applyBorder="1" applyAlignment="1" applyProtection="1">
      <alignment horizontal="center" vertical="center"/>
    </xf>
    <xf numFmtId="0" fontId="13" fillId="2" borderId="1" xfId="8" applyFont="1" applyFill="1" applyBorder="1" applyAlignment="1">
      <alignment horizontal="right" vertical="center"/>
    </xf>
    <xf numFmtId="0" fontId="13" fillId="2" borderId="2" xfId="8" applyFont="1" applyFill="1" applyBorder="1" applyAlignment="1">
      <alignment horizontal="right" vertical="center"/>
    </xf>
    <xf numFmtId="0" fontId="12" fillId="2" borderId="7" xfId="0" applyNumberFormat="1" applyFont="1" applyFill="1" applyBorder="1" applyAlignment="1">
      <alignment horizontal="center" vertical="center"/>
    </xf>
    <xf numFmtId="164" fontId="2" fillId="2" borderId="4" xfId="5" applyNumberFormat="1" applyFont="1" applyFill="1" applyBorder="1" applyAlignment="1" applyProtection="1">
      <alignment horizontal="center" vertical="center"/>
    </xf>
    <xf numFmtId="0" fontId="12" fillId="2" borderId="15" xfId="0" applyNumberFormat="1" applyFont="1" applyFill="1" applyBorder="1" applyAlignment="1">
      <alignment horizontal="center" vertical="center"/>
    </xf>
    <xf numFmtId="0" fontId="9" fillId="2" borderId="3" xfId="0" applyNumberFormat="1" applyFont="1" applyFill="1" applyBorder="1" applyAlignment="1">
      <alignment horizontal="right" vertical="center"/>
    </xf>
    <xf numFmtId="0" fontId="9" fillId="2" borderId="8" xfId="0" applyNumberFormat="1" applyFont="1" applyFill="1" applyBorder="1" applyAlignment="1">
      <alignment horizontal="right" vertical="center"/>
    </xf>
  </cellXfs>
  <cellStyles count="12">
    <cellStyle name="Comma 2" xfId="6"/>
    <cellStyle name="Comma 4" xfId="11"/>
    <cellStyle name="Hyperlink 2" xfId="1"/>
    <cellStyle name="Normal" xfId="0" builtinId="0"/>
    <cellStyle name="Normal 2" xfId="5"/>
    <cellStyle name="Normal 2 3" xfId="3"/>
    <cellStyle name="Normal 3" xfId="9"/>
    <cellStyle name="Normal 3 2" xfId="4"/>
    <cellStyle name="Normal 4" xfId="10"/>
    <cellStyle name="Normal 5" xfId="2"/>
    <cellStyle name="Normal_IX-6(Trans &amp; Comm)" xfId="7"/>
    <cellStyle name="Normal_X-5 (Electricity)" xfId="8"/>
  </cellStyles>
  <dxfs count="0"/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11.7: Passanger movement by international flights, at Ibrahim Nasir International Airport, 2013</a:t>
            </a:r>
          </a:p>
        </c:rich>
      </c:tx>
      <c:layout>
        <c:manualLayout>
          <c:xMode val="edge"/>
          <c:yMode val="edge"/>
          <c:x val="0.15098911680132446"/>
          <c:y val="4.6601671204298901E-2"/>
        </c:manualLayout>
      </c:layout>
    </c:title>
    <c:plotArea>
      <c:layout>
        <c:manualLayout>
          <c:layoutTarget val="inner"/>
          <c:xMode val="edge"/>
          <c:yMode val="edge"/>
          <c:x val="0.12259771837317462"/>
          <c:y val="0.18038203557888596"/>
          <c:w val="0.85283497552034004"/>
          <c:h val="0.65891503519018624"/>
        </c:manualLayout>
      </c:layout>
      <c:barChart>
        <c:barDir val="col"/>
        <c:grouping val="clustered"/>
        <c:ser>
          <c:idx val="0"/>
          <c:order val="0"/>
          <c:tx>
            <c:strRef>
              <c:f>' 11.14'!#REF!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strRef>
              <c:f>' 11.14'!#REF!</c:f>
            </c:strRef>
          </c:cat>
          <c:val>
            <c:numRef>
              <c:f>' 11.14'!#REF!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 11.14'!#REF!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 11.14'!#REF!</c:f>
            </c:strRef>
          </c:cat>
          <c:val>
            <c:numRef>
              <c:f>' 11.14'!#REF!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196749568"/>
        <c:axId val="201977856"/>
      </c:barChart>
      <c:catAx>
        <c:axId val="196749568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01977856"/>
        <c:crosses val="autoZero"/>
        <c:auto val="1"/>
        <c:lblAlgn val="ctr"/>
        <c:lblOffset val="100"/>
      </c:catAx>
      <c:valAx>
        <c:axId val="201977856"/>
        <c:scaling>
          <c:orientation val="minMax"/>
          <c:max val="14000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7.5801655852264513E-3"/>
              <c:y val="5.6063721201516876E-2"/>
            </c:manualLayout>
          </c:layout>
        </c:title>
        <c:numFmt formatCode="General" sourceLinked="1"/>
        <c:tickLblPos val="nextTo"/>
        <c:crossAx val="196749568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0.36255770250676994"/>
          <c:y val="0.19390789924573631"/>
          <c:w val="0.28091798569053483"/>
          <c:h val="6.0569043452901733E-2"/>
        </c:manualLayout>
      </c:layout>
    </c:legend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/>
            </a:pPr>
            <a:r>
              <a:rPr lang="en-US" sz="900" b="1" i="0" u="none" strike="noStrike" baseline="0"/>
              <a:t>Figure 11.8: </a:t>
            </a:r>
            <a:r>
              <a:rPr lang="en-US" sz="900" b="1" i="0" baseline="0"/>
              <a:t>Passanger movement by domestic  flights, at Ibrahim Naisr International Airport, 2013</a:t>
            </a:r>
            <a:endParaRPr lang="en-US" sz="900"/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</c:title>
    <c:plotArea>
      <c:layout>
        <c:manualLayout>
          <c:layoutTarget val="inner"/>
          <c:xMode val="edge"/>
          <c:yMode val="edge"/>
          <c:x val="0.13213805069410658"/>
          <c:y val="0.16707203266258386"/>
          <c:w val="0.83555764484662998"/>
          <c:h val="0.68679935841353712"/>
        </c:manualLayout>
      </c:layout>
      <c:barChart>
        <c:barDir val="col"/>
        <c:grouping val="clustered"/>
        <c:ser>
          <c:idx val="0"/>
          <c:order val="0"/>
          <c:tx>
            <c:strRef>
              <c:f>' 11.14'!#REF!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strRef>
              <c:f>' 11.14'!#REF!</c:f>
            </c:strRef>
          </c:cat>
          <c:val>
            <c:numRef>
              <c:f>' 11.14'!#REF!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 11.14'!#REF!</c:f>
              <c:strCache>
                <c:ptCount val="1"/>
                <c:pt idx="0">
                  <c:v>#REF!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 11.14'!#REF!</c:f>
            </c:strRef>
          </c:cat>
          <c:val>
            <c:numRef>
              <c:f>' 11.14'!#REF!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axId val="168797312"/>
        <c:axId val="168798848"/>
      </c:barChart>
      <c:catAx>
        <c:axId val="168797312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68798848"/>
        <c:crosses val="autoZero"/>
        <c:auto val="1"/>
        <c:lblAlgn val="ctr"/>
        <c:lblOffset val="100"/>
      </c:catAx>
      <c:valAx>
        <c:axId val="168798848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5.0995024875622203E-3"/>
              <c:y val="5.9374088655584724E-2"/>
            </c:manualLayout>
          </c:layout>
        </c:title>
        <c:numFmt formatCode="General" sourceLinked="1"/>
        <c:tickLblPos val="nextTo"/>
        <c:crossAx val="16879731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2348165117622316"/>
          <c:y val="0.23794134428848576"/>
          <c:w val="0.21694673323270988"/>
          <c:h val="9.7018905245539966E-2"/>
        </c:manualLayout>
      </c:layout>
    </c:legend>
    <c:plotVisOnly val="1"/>
    <c:dispBlanksAs val="gap"/>
  </c:chart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 b="1" i="0" u="none" strike="noStrike" baseline="0"/>
              <a:t>Figure 11.9: </a:t>
            </a:r>
            <a:r>
              <a:rPr lang="en-US" sz="1050" b="1" i="0" baseline="0"/>
              <a:t>Passanger arrivals by international and domestic flights, at Ibrahim Nasir International Airport, 2013</a:t>
            </a:r>
            <a:endParaRPr lang="en-US" sz="1050"/>
          </a:p>
        </c:rich>
      </c:tx>
      <c:layout>
        <c:manualLayout>
          <c:xMode val="edge"/>
          <c:yMode val="edge"/>
          <c:x val="0.18759072582296943"/>
          <c:y val="1.8317166875879646E-2"/>
        </c:manualLayout>
      </c:layout>
    </c:title>
    <c:plotArea>
      <c:layout>
        <c:manualLayout>
          <c:layoutTarget val="inner"/>
          <c:xMode val="edge"/>
          <c:yMode val="edge"/>
          <c:x val="0.12191827679417155"/>
          <c:y val="0.19022018081073241"/>
          <c:w val="0.85520076781447163"/>
          <c:h val="0.6451326917468645"/>
        </c:manualLayout>
      </c:layout>
      <c:lineChart>
        <c:grouping val="standard"/>
        <c:ser>
          <c:idx val="0"/>
          <c:order val="0"/>
          <c:tx>
            <c:strRef>
              <c:f>' 11.14'!#REF!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strRef>
              <c:f>(' 11.14'!#REF!,' 11.14'!#REF!,' 11.14'!#REF!)</c:f>
            </c:strRef>
          </c:cat>
          <c:val>
            <c:numRef>
              <c:f>' 11.14'!#REF!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strRef>
              <c:f>' 11.14'!#REF!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(' 11.14'!#REF!,' 11.14'!#REF!,' 11.14'!#REF!)</c:f>
            </c:strRef>
          </c:cat>
          <c:val>
            <c:numRef>
              <c:f>' 11.14'!#REF!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marker val="1"/>
        <c:axId val="168811904"/>
        <c:axId val="168961152"/>
      </c:lineChart>
      <c:catAx>
        <c:axId val="168811904"/>
        <c:scaling>
          <c:orientation val="minMax"/>
        </c:scaling>
        <c:axPos val="b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168961152"/>
        <c:crosses val="autoZero"/>
        <c:auto val="1"/>
        <c:lblAlgn val="ctr"/>
        <c:lblOffset val="100"/>
      </c:catAx>
      <c:valAx>
        <c:axId val="16896115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9.5855368825166435E-3"/>
              <c:y val="5.6536526684164465E-2"/>
            </c:manualLayout>
          </c:layout>
        </c:title>
        <c:numFmt formatCode="General" sourceLinked="1"/>
        <c:tickLblPos val="nextTo"/>
        <c:crossAx val="168811904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0.42317823292276574"/>
          <c:y val="0.19023622047244104"/>
          <c:w val="0.44584559334483442"/>
          <c:h val="8.7357069496747708E-2"/>
        </c:manualLayout>
      </c:layout>
    </c:legend>
    <c:plotVisOnly val="1"/>
    <c:dispBlanksAs val="gap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11.7: Passanger movement by international flights, at Ibrahim Nasir International Airport, 2013</a:t>
            </a:r>
          </a:p>
        </c:rich>
      </c:tx>
      <c:layout>
        <c:manualLayout>
          <c:xMode val="edge"/>
          <c:yMode val="edge"/>
          <c:x val="0.15098911680132457"/>
          <c:y val="4.6601671204298901E-2"/>
        </c:manualLayout>
      </c:layout>
    </c:title>
    <c:plotArea>
      <c:layout>
        <c:manualLayout>
          <c:layoutTarget val="inner"/>
          <c:xMode val="edge"/>
          <c:yMode val="edge"/>
          <c:x val="0.12259771837317462"/>
          <c:y val="0.18038203557888596"/>
          <c:w val="0.85283497552034004"/>
          <c:h val="0.65891503519018679"/>
        </c:manualLayout>
      </c:layout>
      <c:barChart>
        <c:barDir val="col"/>
        <c:grouping val="clustered"/>
        <c:ser>
          <c:idx val="0"/>
          <c:order val="0"/>
          <c:tx>
            <c:strRef>
              <c:f>'[4]11.13 &amp; 11.14'!$B$6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strRef>
              <c:f>'[4]11.13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'[4]11.13 &amp; 11.14'!$B$8:$B$19</c:f>
              <c:numCache>
                <c:formatCode>General</c:formatCode>
                <c:ptCount val="12"/>
                <c:pt idx="0">
                  <c:v>112301</c:v>
                </c:pt>
                <c:pt idx="1">
                  <c:v>118217</c:v>
                </c:pt>
                <c:pt idx="2">
                  <c:v>117873</c:v>
                </c:pt>
                <c:pt idx="3">
                  <c:v>108173</c:v>
                </c:pt>
                <c:pt idx="4">
                  <c:v>97681</c:v>
                </c:pt>
                <c:pt idx="5">
                  <c:v>100928</c:v>
                </c:pt>
                <c:pt idx="6">
                  <c:v>103878</c:v>
                </c:pt>
                <c:pt idx="7">
                  <c:v>117381</c:v>
                </c:pt>
                <c:pt idx="8">
                  <c:v>110079</c:v>
                </c:pt>
                <c:pt idx="9">
                  <c:v>126991</c:v>
                </c:pt>
                <c:pt idx="10">
                  <c:v>112447</c:v>
                </c:pt>
                <c:pt idx="11">
                  <c:v>137981</c:v>
                </c:pt>
              </c:numCache>
            </c:numRef>
          </c:val>
        </c:ser>
        <c:ser>
          <c:idx val="1"/>
          <c:order val="1"/>
          <c:tx>
            <c:strRef>
              <c:f>'[4]11.13 &amp; 11.14'!$C$6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'[4]11.13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'[4]11.13 &amp; 11.14'!$C$8:$C$19</c:f>
              <c:numCache>
                <c:formatCode>General</c:formatCode>
                <c:ptCount val="12"/>
                <c:pt idx="0">
                  <c:v>111670</c:v>
                </c:pt>
                <c:pt idx="1">
                  <c:v>117891</c:v>
                </c:pt>
                <c:pt idx="2">
                  <c:v>118732</c:v>
                </c:pt>
                <c:pt idx="3">
                  <c:v>110717</c:v>
                </c:pt>
                <c:pt idx="4">
                  <c:v>105924</c:v>
                </c:pt>
                <c:pt idx="5">
                  <c:v>97063</c:v>
                </c:pt>
                <c:pt idx="6">
                  <c:v>99816</c:v>
                </c:pt>
                <c:pt idx="7">
                  <c:v>124453</c:v>
                </c:pt>
                <c:pt idx="8">
                  <c:v>106533</c:v>
                </c:pt>
                <c:pt idx="9">
                  <c:v>128338</c:v>
                </c:pt>
                <c:pt idx="10">
                  <c:v>122037</c:v>
                </c:pt>
                <c:pt idx="11">
                  <c:v>132805</c:v>
                </c:pt>
              </c:numCache>
            </c:numRef>
          </c:val>
        </c:ser>
        <c:axId val="213586688"/>
        <c:axId val="213588224"/>
      </c:barChart>
      <c:catAx>
        <c:axId val="213586688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13588224"/>
        <c:crosses val="autoZero"/>
        <c:auto val="1"/>
        <c:lblAlgn val="ctr"/>
        <c:lblOffset val="100"/>
      </c:catAx>
      <c:valAx>
        <c:axId val="213588224"/>
        <c:scaling>
          <c:orientation val="minMax"/>
          <c:max val="140000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7.5801655852264513E-3"/>
              <c:y val="5.6063721201516911E-2"/>
            </c:manualLayout>
          </c:layout>
        </c:title>
        <c:numFmt formatCode="General" sourceLinked="1"/>
        <c:tickLblPos val="nextTo"/>
        <c:crossAx val="213586688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0.36255770250676994"/>
          <c:y val="0.19390789924573631"/>
          <c:w val="0.28091798569053494"/>
          <c:h val="6.0569043452901733E-2"/>
        </c:manualLayout>
      </c:layout>
    </c:legend>
    <c:plotVisOnly val="1"/>
    <c:dispBlanksAs val="gap"/>
  </c:chart>
  <c:printSettings>
    <c:headerFooter/>
    <c:pageMargins b="0.75000000000000355" l="0.70000000000000062" r="0.70000000000000062" t="0.75000000000000355" header="0.30000000000000032" footer="0.30000000000000032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900"/>
            </a:pPr>
            <a:r>
              <a:rPr lang="en-US" sz="900" b="1" i="0" u="none" strike="noStrike" baseline="0"/>
              <a:t>Figure 11.8: </a:t>
            </a:r>
            <a:r>
              <a:rPr lang="en-US" sz="900" b="1" i="0" baseline="0"/>
              <a:t>Passanger movement by domestic  flights, at Ibrahim Naisr International Airport, 2013</a:t>
            </a:r>
            <a:endParaRPr lang="en-US" sz="900"/>
          </a:p>
        </c:rich>
      </c:tx>
      <c:layout>
        <c:manualLayout>
          <c:xMode val="edge"/>
          <c:yMode val="edge"/>
          <c:x val="0.16589552238805882"/>
          <c:y val="3.7037037037037056E-2"/>
        </c:manualLayout>
      </c:layout>
    </c:title>
    <c:plotArea>
      <c:layout>
        <c:manualLayout>
          <c:layoutTarget val="inner"/>
          <c:xMode val="edge"/>
          <c:yMode val="edge"/>
          <c:x val="0.13213805069410658"/>
          <c:y val="0.16707203266258386"/>
          <c:w val="0.83555764484662975"/>
          <c:h val="0.68679935841353756"/>
        </c:manualLayout>
      </c:layout>
      <c:barChart>
        <c:barDir val="col"/>
        <c:grouping val="clustered"/>
        <c:ser>
          <c:idx val="0"/>
          <c:order val="0"/>
          <c:tx>
            <c:strRef>
              <c:f>'[4]11.13 &amp; 11.14'!$D$6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</c:spPr>
          <c:cat>
            <c:strRef>
              <c:f>'[4]11.13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'[4]11.13 &amp; 11.14'!$D$8:$D$19</c:f>
              <c:numCache>
                <c:formatCode>General</c:formatCode>
                <c:ptCount val="12"/>
                <c:pt idx="0">
                  <c:v>42422</c:v>
                </c:pt>
                <c:pt idx="1">
                  <c:v>46774</c:v>
                </c:pt>
                <c:pt idx="2">
                  <c:v>47632</c:v>
                </c:pt>
                <c:pt idx="3">
                  <c:v>42791</c:v>
                </c:pt>
                <c:pt idx="4">
                  <c:v>46593</c:v>
                </c:pt>
                <c:pt idx="5">
                  <c:v>51876</c:v>
                </c:pt>
                <c:pt idx="6">
                  <c:v>55179</c:v>
                </c:pt>
                <c:pt idx="7">
                  <c:v>69409</c:v>
                </c:pt>
                <c:pt idx="8">
                  <c:v>61482</c:v>
                </c:pt>
                <c:pt idx="9">
                  <c:v>72500</c:v>
                </c:pt>
                <c:pt idx="10">
                  <c:v>67912</c:v>
                </c:pt>
                <c:pt idx="11">
                  <c:v>71694</c:v>
                </c:pt>
              </c:numCache>
            </c:numRef>
          </c:val>
        </c:ser>
        <c:ser>
          <c:idx val="1"/>
          <c:order val="1"/>
          <c:tx>
            <c:strRef>
              <c:f>'[4]11.13 &amp; 11.14'!$E$6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cat>
            <c:strRef>
              <c:f>'[4]11.13 &amp; 11.14'!$A$8:$A$19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'[4]11.13 &amp; 11.14'!$E$8:$E$19</c:f>
              <c:numCache>
                <c:formatCode>General</c:formatCode>
                <c:ptCount val="12"/>
                <c:pt idx="0">
                  <c:v>43861</c:v>
                </c:pt>
                <c:pt idx="1">
                  <c:v>47841</c:v>
                </c:pt>
                <c:pt idx="2">
                  <c:v>47937</c:v>
                </c:pt>
                <c:pt idx="3">
                  <c:v>44063</c:v>
                </c:pt>
                <c:pt idx="4">
                  <c:v>45403</c:v>
                </c:pt>
                <c:pt idx="5">
                  <c:v>54836</c:v>
                </c:pt>
                <c:pt idx="6">
                  <c:v>58439</c:v>
                </c:pt>
                <c:pt idx="7">
                  <c:v>70041</c:v>
                </c:pt>
                <c:pt idx="8">
                  <c:v>63129</c:v>
                </c:pt>
                <c:pt idx="9">
                  <c:v>73138</c:v>
                </c:pt>
                <c:pt idx="10">
                  <c:v>66497</c:v>
                </c:pt>
                <c:pt idx="11">
                  <c:v>75384</c:v>
                </c:pt>
              </c:numCache>
            </c:numRef>
          </c:val>
        </c:ser>
        <c:axId val="213642624"/>
        <c:axId val="213668992"/>
      </c:barChart>
      <c:catAx>
        <c:axId val="213642624"/>
        <c:scaling>
          <c:orientation val="minMax"/>
        </c:scaling>
        <c:axPos val="b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213668992"/>
        <c:crosses val="autoZero"/>
        <c:auto val="1"/>
        <c:lblAlgn val="ctr"/>
        <c:lblOffset val="100"/>
      </c:catAx>
      <c:valAx>
        <c:axId val="213668992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sz="900" b="0"/>
                </a:pPr>
                <a:r>
                  <a:rPr lang="en-US" sz="900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5.0995024875622238E-3"/>
              <c:y val="5.9374088655584724E-2"/>
            </c:manualLayout>
          </c:layout>
        </c:title>
        <c:numFmt formatCode="General" sourceLinked="1"/>
        <c:tickLblPos val="nextTo"/>
        <c:crossAx val="213642624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15144999506897999"/>
          <c:y val="0.25243409791167409"/>
          <c:w val="0.21694673323270997"/>
          <c:h val="9.7018905245539966E-2"/>
        </c:manualLayout>
      </c:layout>
    </c:legend>
    <c:plotVisOnly val="1"/>
    <c:dispBlanksAs val="gap"/>
  </c:chart>
  <c:printSettings>
    <c:headerFooter/>
    <c:pageMargins b="0.75000000000000377" l="0.70000000000000062" r="0.70000000000000062" t="0.7500000000000037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050"/>
            </a:pPr>
            <a:r>
              <a:rPr lang="en-US" sz="1050" b="1" i="0" u="none" strike="noStrike" baseline="0"/>
              <a:t>Figure 11.9: </a:t>
            </a:r>
            <a:r>
              <a:rPr lang="en-US" sz="1050" b="1" i="0" baseline="0"/>
              <a:t>Passanger arrivals by international and domestic flights, at Ibrahim Nasir International Airport, 2013</a:t>
            </a:r>
            <a:endParaRPr lang="en-US" sz="1050"/>
          </a:p>
        </c:rich>
      </c:tx>
      <c:layout>
        <c:manualLayout>
          <c:xMode val="edge"/>
          <c:yMode val="edge"/>
          <c:x val="0.18759072582296948"/>
          <c:y val="1.8317166875879646E-2"/>
        </c:manualLayout>
      </c:layout>
    </c:title>
    <c:plotArea>
      <c:layout>
        <c:manualLayout>
          <c:layoutTarget val="inner"/>
          <c:xMode val="edge"/>
          <c:yMode val="edge"/>
          <c:x val="0.12191827679417155"/>
          <c:y val="0.19022018081073241"/>
          <c:w val="0.85520076781447163"/>
          <c:h val="0.6451326917468645"/>
        </c:manualLayout>
      </c:layout>
      <c:lineChart>
        <c:grouping val="standard"/>
        <c:ser>
          <c:idx val="0"/>
          <c:order val="0"/>
          <c:tx>
            <c:strRef>
              <c:f>'[4]11.13 &amp; 11.14'!$B$5:$C$5</c:f>
              <c:strCache>
                <c:ptCount val="1"/>
                <c:pt idx="0">
                  <c:v>International Flights</c:v>
                </c:pt>
              </c:strCache>
            </c:strRef>
          </c:tx>
          <c:spPr>
            <a:ln>
              <a:solidFill>
                <a:schemeClr val="tx1">
                  <a:lumMod val="50000"/>
                  <a:lumOff val="50000"/>
                </a:schemeClr>
              </a:solidFill>
            </a:ln>
          </c:spPr>
          <c:marker>
            <c:symbol val="none"/>
          </c:marker>
          <c:cat>
            <c:strRef>
              <c:f>('[4]11.13 &amp; 11.14'!$A$8:$A$19,'[4]11.13 &amp; 11.14'!$B$8:$B$19,'[4]11.13 &amp; 11.14'!$D$8:$D$19)</c:f>
              <c:strCache>
                <c:ptCount val="3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112301</c:v>
                </c:pt>
                <c:pt idx="13">
                  <c:v>118217</c:v>
                </c:pt>
                <c:pt idx="14">
                  <c:v>117873</c:v>
                </c:pt>
                <c:pt idx="15">
                  <c:v>108173</c:v>
                </c:pt>
                <c:pt idx="16">
                  <c:v>97681</c:v>
                </c:pt>
                <c:pt idx="17">
                  <c:v>100928</c:v>
                </c:pt>
                <c:pt idx="18">
                  <c:v>103878</c:v>
                </c:pt>
                <c:pt idx="19">
                  <c:v>117381</c:v>
                </c:pt>
                <c:pt idx="20">
                  <c:v>110079</c:v>
                </c:pt>
                <c:pt idx="21">
                  <c:v>126991</c:v>
                </c:pt>
                <c:pt idx="22">
                  <c:v>112447</c:v>
                </c:pt>
                <c:pt idx="23">
                  <c:v>137981</c:v>
                </c:pt>
                <c:pt idx="24">
                  <c:v>42422</c:v>
                </c:pt>
                <c:pt idx="25">
                  <c:v>46774</c:v>
                </c:pt>
                <c:pt idx="26">
                  <c:v>47632</c:v>
                </c:pt>
                <c:pt idx="27">
                  <c:v>42791</c:v>
                </c:pt>
                <c:pt idx="28">
                  <c:v>46593</c:v>
                </c:pt>
                <c:pt idx="29">
                  <c:v>51876</c:v>
                </c:pt>
                <c:pt idx="30">
                  <c:v>55179</c:v>
                </c:pt>
                <c:pt idx="31">
                  <c:v>69409</c:v>
                </c:pt>
                <c:pt idx="32">
                  <c:v>61482</c:v>
                </c:pt>
                <c:pt idx="33">
                  <c:v>72500</c:v>
                </c:pt>
                <c:pt idx="34">
                  <c:v>67912</c:v>
                </c:pt>
                <c:pt idx="35">
                  <c:v>71694</c:v>
                </c:pt>
              </c:strCache>
            </c:strRef>
          </c:cat>
          <c:val>
            <c:numRef>
              <c:f>'[4]11.13 &amp; 11.14'!$B$8:$B$19</c:f>
              <c:numCache>
                <c:formatCode>General</c:formatCode>
                <c:ptCount val="12"/>
                <c:pt idx="0">
                  <c:v>112301</c:v>
                </c:pt>
                <c:pt idx="1">
                  <c:v>118217</c:v>
                </c:pt>
                <c:pt idx="2">
                  <c:v>117873</c:v>
                </c:pt>
                <c:pt idx="3">
                  <c:v>108173</c:v>
                </c:pt>
                <c:pt idx="4">
                  <c:v>97681</c:v>
                </c:pt>
                <c:pt idx="5">
                  <c:v>100928</c:v>
                </c:pt>
                <c:pt idx="6">
                  <c:v>103878</c:v>
                </c:pt>
                <c:pt idx="7">
                  <c:v>117381</c:v>
                </c:pt>
                <c:pt idx="8">
                  <c:v>110079</c:v>
                </c:pt>
                <c:pt idx="9">
                  <c:v>126991</c:v>
                </c:pt>
                <c:pt idx="10">
                  <c:v>112447</c:v>
                </c:pt>
                <c:pt idx="11">
                  <c:v>137981</c:v>
                </c:pt>
              </c:numCache>
            </c:numRef>
          </c:val>
        </c:ser>
        <c:ser>
          <c:idx val="1"/>
          <c:order val="1"/>
          <c:tx>
            <c:strRef>
              <c:f>'[4]11.13 &amp; 11.14'!$D$5:$E$5</c:f>
              <c:strCache>
                <c:ptCount val="1"/>
                <c:pt idx="0">
                  <c:v>Domestic Flights</c:v>
                </c:pt>
              </c:strCache>
            </c:strRef>
          </c:tx>
          <c:spPr>
            <a:ln>
              <a:solidFill>
                <a:schemeClr val="accent5">
                  <a:lumMod val="50000"/>
                </a:schemeClr>
              </a:solidFill>
            </a:ln>
          </c:spPr>
          <c:marker>
            <c:symbol val="none"/>
          </c:marker>
          <c:cat>
            <c:strRef>
              <c:f>('[4]11.13 &amp; 11.14'!$A$8:$A$19,'[4]11.13 &amp; 11.14'!$B$8:$B$19,'[4]11.13 &amp; 11.14'!$D$8:$D$19)</c:f>
              <c:strCache>
                <c:ptCount val="3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112301</c:v>
                </c:pt>
                <c:pt idx="13">
                  <c:v>118217</c:v>
                </c:pt>
                <c:pt idx="14">
                  <c:v>117873</c:v>
                </c:pt>
                <c:pt idx="15">
                  <c:v>108173</c:v>
                </c:pt>
                <c:pt idx="16">
                  <c:v>97681</c:v>
                </c:pt>
                <c:pt idx="17">
                  <c:v>100928</c:v>
                </c:pt>
                <c:pt idx="18">
                  <c:v>103878</c:v>
                </c:pt>
                <c:pt idx="19">
                  <c:v>117381</c:v>
                </c:pt>
                <c:pt idx="20">
                  <c:v>110079</c:v>
                </c:pt>
                <c:pt idx="21">
                  <c:v>126991</c:v>
                </c:pt>
                <c:pt idx="22">
                  <c:v>112447</c:v>
                </c:pt>
                <c:pt idx="23">
                  <c:v>137981</c:v>
                </c:pt>
                <c:pt idx="24">
                  <c:v>42422</c:v>
                </c:pt>
                <c:pt idx="25">
                  <c:v>46774</c:v>
                </c:pt>
                <c:pt idx="26">
                  <c:v>47632</c:v>
                </c:pt>
                <c:pt idx="27">
                  <c:v>42791</c:v>
                </c:pt>
                <c:pt idx="28">
                  <c:v>46593</c:v>
                </c:pt>
                <c:pt idx="29">
                  <c:v>51876</c:v>
                </c:pt>
                <c:pt idx="30">
                  <c:v>55179</c:v>
                </c:pt>
                <c:pt idx="31">
                  <c:v>69409</c:v>
                </c:pt>
                <c:pt idx="32">
                  <c:v>61482</c:v>
                </c:pt>
                <c:pt idx="33">
                  <c:v>72500</c:v>
                </c:pt>
                <c:pt idx="34">
                  <c:v>67912</c:v>
                </c:pt>
                <c:pt idx="35">
                  <c:v>71694</c:v>
                </c:pt>
              </c:strCache>
            </c:strRef>
          </c:cat>
          <c:val>
            <c:numRef>
              <c:f>'[4]11.13 &amp; 11.14'!$D$8:$D$19</c:f>
              <c:numCache>
                <c:formatCode>General</c:formatCode>
                <c:ptCount val="12"/>
                <c:pt idx="0">
                  <c:v>42422</c:v>
                </c:pt>
                <c:pt idx="1">
                  <c:v>46774</c:v>
                </c:pt>
                <c:pt idx="2">
                  <c:v>47632</c:v>
                </c:pt>
                <c:pt idx="3">
                  <c:v>42791</c:v>
                </c:pt>
                <c:pt idx="4">
                  <c:v>46593</c:v>
                </c:pt>
                <c:pt idx="5">
                  <c:v>51876</c:v>
                </c:pt>
                <c:pt idx="6">
                  <c:v>55179</c:v>
                </c:pt>
                <c:pt idx="7">
                  <c:v>69409</c:v>
                </c:pt>
                <c:pt idx="8">
                  <c:v>61482</c:v>
                </c:pt>
                <c:pt idx="9">
                  <c:v>72500</c:v>
                </c:pt>
                <c:pt idx="10">
                  <c:v>67912</c:v>
                </c:pt>
                <c:pt idx="11">
                  <c:v>71694</c:v>
                </c:pt>
              </c:numCache>
            </c:numRef>
          </c:val>
        </c:ser>
        <c:marker val="1"/>
        <c:axId val="213731200"/>
        <c:axId val="213732736"/>
      </c:lineChart>
      <c:catAx>
        <c:axId val="213731200"/>
        <c:scaling>
          <c:orientation val="minMax"/>
        </c:scaling>
        <c:axPos val="b"/>
        <c:tickLblPos val="nextTo"/>
        <c:txPr>
          <a:bodyPr rot="0" vert="horz"/>
          <a:lstStyle/>
          <a:p>
            <a:pPr>
              <a:defRPr sz="800"/>
            </a:pPr>
            <a:endParaRPr lang="en-US"/>
          </a:p>
        </c:txPr>
        <c:crossAx val="213732736"/>
        <c:crosses val="autoZero"/>
        <c:auto val="1"/>
        <c:lblAlgn val="ctr"/>
        <c:lblOffset val="100"/>
      </c:catAx>
      <c:valAx>
        <c:axId val="213732736"/>
        <c:scaling>
          <c:orientation val="minMax"/>
        </c:scaling>
        <c:axPos val="l"/>
        <c:majorGridlines/>
        <c:title>
          <c:tx>
            <c:rich>
              <a:bodyPr rot="0" vert="horz"/>
              <a:lstStyle/>
              <a:p>
                <a:pPr>
                  <a:defRPr b="0"/>
                </a:pPr>
                <a:r>
                  <a:rPr lang="en-US" b="0"/>
                  <a:t>In numbers</a:t>
                </a:r>
              </a:p>
            </c:rich>
          </c:tx>
          <c:layout>
            <c:manualLayout>
              <c:xMode val="edge"/>
              <c:yMode val="edge"/>
              <c:x val="9.5855368825166539E-3"/>
              <c:y val="5.6536526684164465E-2"/>
            </c:manualLayout>
          </c:layout>
        </c:title>
        <c:numFmt formatCode="General" sourceLinked="1"/>
        <c:tickLblPos val="nextTo"/>
        <c:crossAx val="213731200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b"/>
      <c:layout>
        <c:manualLayout>
          <c:xMode val="edge"/>
          <c:yMode val="edge"/>
          <c:x val="0.42317823292276591"/>
          <c:y val="0.19023622047244113"/>
          <c:w val="0.44584559334483453"/>
          <c:h val="8.7357069496747708E-2"/>
        </c:manualLayout>
      </c:layout>
    </c:legend>
    <c:plotVisOnly val="1"/>
    <c:dispBlanksAs val="gap"/>
  </c:chart>
  <c:printSettings>
    <c:headerFooter/>
    <c:pageMargins b="0.75000000000000355" l="0.70000000000000062" r="0.70000000000000062" t="0.7500000000000035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394334</xdr:colOff>
      <xdr:row>19</xdr:row>
      <xdr:rowOff>116205</xdr:rowOff>
    </xdr:from>
    <xdr:to>
      <xdr:col>6</xdr:col>
      <xdr:colOff>175260</xdr:colOff>
      <xdr:row>32</xdr:row>
      <xdr:rowOff>97155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438148</xdr:colOff>
      <xdr:row>33</xdr:row>
      <xdr:rowOff>78105</xdr:rowOff>
    </xdr:from>
    <xdr:to>
      <xdr:col>6</xdr:col>
      <xdr:colOff>112395</xdr:colOff>
      <xdr:row>46</xdr:row>
      <xdr:rowOff>146685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406400</xdr:colOff>
      <xdr:row>49</xdr:row>
      <xdr:rowOff>67945</xdr:rowOff>
    </xdr:from>
    <xdr:to>
      <xdr:col>6</xdr:col>
      <xdr:colOff>71121</xdr:colOff>
      <xdr:row>63</xdr:row>
      <xdr:rowOff>136525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394334</xdr:colOff>
      <xdr:row>19</xdr:row>
      <xdr:rowOff>116205</xdr:rowOff>
    </xdr:from>
    <xdr:to>
      <xdr:col>6</xdr:col>
      <xdr:colOff>175260</xdr:colOff>
      <xdr:row>32</xdr:row>
      <xdr:rowOff>97155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438148</xdr:colOff>
      <xdr:row>33</xdr:row>
      <xdr:rowOff>78105</xdr:rowOff>
    </xdr:from>
    <xdr:to>
      <xdr:col>6</xdr:col>
      <xdr:colOff>112395</xdr:colOff>
      <xdr:row>46</xdr:row>
      <xdr:rowOff>146685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406400</xdr:colOff>
      <xdr:row>49</xdr:row>
      <xdr:rowOff>67945</xdr:rowOff>
    </xdr:from>
    <xdr:to>
      <xdr:col>6</xdr:col>
      <xdr:colOff>71121</xdr:colOff>
      <xdr:row>63</xdr:row>
      <xdr:rowOff>136525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U37"/>
  <sheetViews>
    <sheetView tabSelected="1" workbookViewId="0">
      <selection activeCell="I40" sqref="I40"/>
    </sheetView>
  </sheetViews>
  <sheetFormatPr defaultColWidth="9.109375" defaultRowHeight="14.4"/>
  <cols>
    <col min="1" max="1" width="12.6640625" style="1" customWidth="1"/>
    <col min="2" max="4" width="18.33203125" style="1" customWidth="1"/>
    <col min="5" max="5" width="18" style="8" customWidth="1"/>
    <col min="6" max="6" width="17.109375" style="1" customWidth="1"/>
    <col min="7" max="16384" width="9.109375" style="1"/>
  </cols>
  <sheetData>
    <row r="1" spans="1:21" ht="16.5" customHeight="1">
      <c r="A1" s="38" t="s">
        <v>35</v>
      </c>
      <c r="B1" s="40"/>
      <c r="C1" s="40"/>
      <c r="D1" s="40"/>
      <c r="E1" s="40"/>
      <c r="F1" s="40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6.5" customHeight="1">
      <c r="A2" s="31" t="s">
        <v>34</v>
      </c>
      <c r="B2" s="31"/>
      <c r="C2" s="31"/>
      <c r="D2" s="31"/>
      <c r="E2" s="31"/>
      <c r="F2" s="31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 ht="16.5" customHeight="1">
      <c r="A3" s="8"/>
      <c r="B3" s="8"/>
      <c r="C3" s="8"/>
      <c r="D3" s="8"/>
      <c r="F3" s="8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6.5" customHeight="1">
      <c r="A4" s="32" t="s">
        <v>5</v>
      </c>
      <c r="B4" s="34" t="s">
        <v>2</v>
      </c>
      <c r="C4" s="35"/>
      <c r="D4" s="39" t="s">
        <v>6</v>
      </c>
      <c r="E4" s="34"/>
      <c r="F4" s="36" t="s">
        <v>7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spans="1:21" ht="16.5" customHeight="1">
      <c r="A5" s="33"/>
      <c r="B5" s="3" t="s">
        <v>8</v>
      </c>
      <c r="C5" s="9" t="s">
        <v>9</v>
      </c>
      <c r="D5" s="3" t="s">
        <v>8</v>
      </c>
      <c r="E5" s="10" t="s">
        <v>9</v>
      </c>
      <c r="F5" s="3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</row>
    <row r="6" spans="1:21" ht="16.5" customHeight="1">
      <c r="A6" s="2" t="s">
        <v>1</v>
      </c>
      <c r="B6" s="11">
        <f>SUM(B7:B18)</f>
        <v>1979</v>
      </c>
      <c r="C6" s="12">
        <f>SUM(C7:C18)</f>
        <v>2109</v>
      </c>
      <c r="D6" s="13">
        <f>SUM(D7:D18)</f>
        <v>40401</v>
      </c>
      <c r="E6" s="11">
        <f>SUM(E7:E18)</f>
        <v>40559</v>
      </c>
      <c r="F6" s="14" t="s">
        <v>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6.5" customHeight="1">
      <c r="A7" s="15" t="s">
        <v>10</v>
      </c>
      <c r="B7" s="19">
        <v>0</v>
      </c>
      <c r="C7" s="22">
        <v>0</v>
      </c>
      <c r="D7" s="21">
        <v>3720</v>
      </c>
      <c r="E7" s="20">
        <v>3814</v>
      </c>
      <c r="F7" s="16" t="s">
        <v>11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</row>
    <row r="8" spans="1:21" ht="16.5" customHeight="1">
      <c r="A8" s="15" t="s">
        <v>12</v>
      </c>
      <c r="B8" s="23">
        <v>143</v>
      </c>
      <c r="C8" s="22">
        <v>170</v>
      </c>
      <c r="D8" s="21">
        <v>3614</v>
      </c>
      <c r="E8" s="20">
        <v>3460</v>
      </c>
      <c r="F8" s="16" t="s">
        <v>13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</row>
    <row r="9" spans="1:21" ht="16.5" customHeight="1">
      <c r="A9" s="15" t="s">
        <v>14</v>
      </c>
      <c r="B9" s="23">
        <v>293</v>
      </c>
      <c r="C9" s="22">
        <v>288</v>
      </c>
      <c r="D9" s="21">
        <v>3548</v>
      </c>
      <c r="E9" s="20">
        <v>3513</v>
      </c>
      <c r="F9" s="16" t="s">
        <v>15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</row>
    <row r="10" spans="1:21" ht="16.5" customHeight="1">
      <c r="A10" s="15" t="s">
        <v>16</v>
      </c>
      <c r="B10" s="24">
        <v>263</v>
      </c>
      <c r="C10" s="22">
        <v>171</v>
      </c>
      <c r="D10" s="21">
        <v>2786</v>
      </c>
      <c r="E10" s="20">
        <v>2866</v>
      </c>
      <c r="F10" s="16" t="s">
        <v>17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</row>
    <row r="11" spans="1:21" ht="16.5" customHeight="1">
      <c r="A11" s="15" t="s">
        <v>18</v>
      </c>
      <c r="B11" s="25">
        <v>182</v>
      </c>
      <c r="C11" s="22">
        <v>238</v>
      </c>
      <c r="D11" s="21">
        <v>2877</v>
      </c>
      <c r="E11" s="20">
        <v>2914</v>
      </c>
      <c r="F11" s="16" t="s">
        <v>19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</row>
    <row r="12" spans="1:21" ht="16.5" customHeight="1">
      <c r="A12" s="15" t="s">
        <v>20</v>
      </c>
      <c r="B12" s="25">
        <v>282</v>
      </c>
      <c r="C12" s="22">
        <v>213</v>
      </c>
      <c r="D12" s="21">
        <v>2950</v>
      </c>
      <c r="E12" s="20">
        <v>3053</v>
      </c>
      <c r="F12" s="16" t="s">
        <v>21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</row>
    <row r="13" spans="1:21" ht="16.5" customHeight="1">
      <c r="A13" s="15" t="s">
        <v>22</v>
      </c>
      <c r="B13" s="24">
        <v>104</v>
      </c>
      <c r="C13" s="22">
        <v>50</v>
      </c>
      <c r="D13" s="21">
        <v>2201</v>
      </c>
      <c r="E13" s="20">
        <v>2143</v>
      </c>
      <c r="F13" s="16" t="s">
        <v>23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</row>
    <row r="14" spans="1:21" ht="16.5" customHeight="1">
      <c r="A14" s="15" t="s">
        <v>24</v>
      </c>
      <c r="B14" s="19">
        <v>93</v>
      </c>
      <c r="C14" s="22">
        <v>118</v>
      </c>
      <c r="D14" s="21">
        <v>3246</v>
      </c>
      <c r="E14" s="20">
        <v>3413</v>
      </c>
      <c r="F14" s="16" t="s">
        <v>25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1:21" ht="16.5" customHeight="1">
      <c r="A15" s="15" t="s">
        <v>26</v>
      </c>
      <c r="B15" s="19">
        <v>97</v>
      </c>
      <c r="C15" s="22">
        <v>99</v>
      </c>
      <c r="D15" s="21">
        <v>3280</v>
      </c>
      <c r="E15" s="20">
        <v>3335</v>
      </c>
      <c r="F15" s="16" t="s">
        <v>27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</row>
    <row r="16" spans="1:21" ht="16.5" customHeight="1">
      <c r="A16" s="15" t="s">
        <v>28</v>
      </c>
      <c r="B16" s="19">
        <v>151</v>
      </c>
      <c r="C16" s="22">
        <v>142</v>
      </c>
      <c r="D16" s="21">
        <v>3955</v>
      </c>
      <c r="E16" s="20">
        <v>3839</v>
      </c>
      <c r="F16" s="16" t="s">
        <v>29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</row>
    <row r="17" spans="1:21" ht="16.5" customHeight="1">
      <c r="A17" s="15" t="s">
        <v>30</v>
      </c>
      <c r="B17" s="19">
        <v>109</v>
      </c>
      <c r="C17" s="22">
        <v>472</v>
      </c>
      <c r="D17" s="21">
        <v>3755</v>
      </c>
      <c r="E17" s="20">
        <v>3871</v>
      </c>
      <c r="F17" s="16" t="s">
        <v>31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</row>
    <row r="18" spans="1:21" ht="16.5" customHeight="1">
      <c r="A18" s="17" t="s">
        <v>32</v>
      </c>
      <c r="B18" s="26">
        <v>262</v>
      </c>
      <c r="C18" s="27">
        <v>148</v>
      </c>
      <c r="D18" s="28">
        <v>4469</v>
      </c>
      <c r="E18" s="29">
        <v>4338</v>
      </c>
      <c r="F18" s="18" t="s">
        <v>33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</row>
    <row r="19" spans="1:21" ht="16.5" customHeight="1">
      <c r="A19" s="5" t="s">
        <v>3</v>
      </c>
      <c r="B19" s="4"/>
      <c r="C19" s="4"/>
      <c r="D19" s="6"/>
      <c r="F19" s="41" t="s">
        <v>4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</row>
    <row r="20" spans="1:21" ht="16.5" customHeight="1">
      <c r="A20" s="5"/>
      <c r="B20" s="4"/>
      <c r="C20" s="4"/>
      <c r="D20" s="6"/>
      <c r="F20" s="30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</row>
    <row r="21" spans="1:21" ht="16.5" customHeight="1">
      <c r="A21" s="5"/>
      <c r="B21" s="4"/>
      <c r="C21" s="4"/>
      <c r="D21" s="6"/>
      <c r="F21" s="30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</row>
    <row r="22" spans="1:21" ht="16.5" customHeight="1">
      <c r="A22" s="5"/>
      <c r="B22" s="4"/>
      <c r="C22" s="4"/>
      <c r="D22" s="6"/>
      <c r="F22" s="30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</row>
    <row r="23" spans="1:21" ht="16.5" customHeight="1">
      <c r="A23" s="5"/>
      <c r="B23" s="4"/>
      <c r="C23" s="4"/>
      <c r="D23" s="6"/>
      <c r="F23" s="30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</row>
    <row r="24" spans="1:21" ht="16.5" customHeight="1">
      <c r="A24" s="5"/>
      <c r="B24" s="4"/>
      <c r="C24" s="4"/>
      <c r="D24" s="6"/>
      <c r="F24" s="30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</row>
    <row r="25" spans="1:21" ht="16.5" customHeight="1">
      <c r="A25" s="5"/>
      <c r="B25" s="4"/>
      <c r="C25" s="4"/>
      <c r="D25" s="6"/>
      <c r="F25" s="30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</row>
    <row r="26" spans="1:21" ht="16.5" customHeight="1">
      <c r="A26" s="5"/>
      <c r="B26" s="4"/>
      <c r="C26" s="4"/>
      <c r="D26" s="6"/>
      <c r="F26" s="30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</row>
    <row r="27" spans="1:21" ht="16.5" customHeight="1">
      <c r="A27" s="5"/>
      <c r="B27" s="4"/>
      <c r="C27" s="4"/>
      <c r="D27" s="6"/>
      <c r="F27" s="30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</row>
    <row r="28" spans="1:21" ht="16.5" customHeight="1">
      <c r="A28" s="5"/>
      <c r="B28" s="4"/>
      <c r="C28" s="4"/>
      <c r="D28" s="6"/>
      <c r="F28" s="30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</row>
    <row r="29" spans="1:21" ht="16.5" customHeight="1">
      <c r="A29" s="5"/>
      <c r="B29" s="4"/>
      <c r="C29" s="4"/>
      <c r="D29" s="6"/>
      <c r="F29" s="30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</row>
    <row r="30" spans="1:21" ht="16.5" customHeight="1">
      <c r="A30" s="5"/>
      <c r="B30" s="4"/>
      <c r="C30" s="4"/>
      <c r="D30" s="6"/>
      <c r="F30" s="30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</row>
    <row r="31" spans="1:21" ht="16.5" customHeight="1">
      <c r="A31" s="5"/>
      <c r="B31" s="4"/>
      <c r="C31" s="4"/>
      <c r="D31" s="6"/>
      <c r="F31" s="30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</row>
    <row r="32" spans="1:21" ht="16.5" customHeight="1">
      <c r="A32" s="5"/>
      <c r="B32" s="4"/>
      <c r="C32" s="4"/>
      <c r="D32" s="6"/>
      <c r="F32" s="30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</row>
    <row r="33" spans="5:5" ht="19.5" customHeight="1">
      <c r="E33" s="42"/>
    </row>
    <row r="35" spans="5:5" ht="19.5" customHeight="1">
      <c r="E35" s="42"/>
    </row>
    <row r="36" spans="5:5" ht="19.5" customHeight="1">
      <c r="E36" s="42"/>
    </row>
    <row r="37" spans="5:5" ht="19.5" customHeight="1"/>
  </sheetData>
  <mergeCells count="6">
    <mergeCell ref="A1:F1"/>
    <mergeCell ref="A2:F2"/>
    <mergeCell ref="A4:A5"/>
    <mergeCell ref="B4:C4"/>
    <mergeCell ref="D4:E4"/>
    <mergeCell ref="F4:F5"/>
  </mergeCells>
  <pageMargins left="0.46" right="0.16" top="0.75" bottom="0.75" header="0.3" footer="0.3"/>
  <pageSetup paperSize="9" scale="85" orientation="portrait" r:id="rId1"/>
  <rowBreaks count="1" manualBreakCount="1">
    <brk id="48" max="6" man="1"/>
  </rowBreaks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 11.14</vt:lpstr>
      <vt:lpstr>' 11.14'!Print_Area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2015-02-11T04:12:26Z</cp:lastPrinted>
  <dcterms:created xsi:type="dcterms:W3CDTF">2014-05-22T03:57:11Z</dcterms:created>
  <dcterms:modified xsi:type="dcterms:W3CDTF">2015-02-11T04:41:35Z</dcterms:modified>
</cp:coreProperties>
</file>