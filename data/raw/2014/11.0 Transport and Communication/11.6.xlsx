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0" windowWidth="15252" windowHeight="8160" tabRatio="894"/>
  </bookViews>
  <sheets>
    <sheet name="11.6" sheetId="6" r:id="rId1"/>
  </sheets>
  <calcPr calcId="124519"/>
</workbook>
</file>

<file path=xl/calcChain.xml><?xml version="1.0" encoding="utf-8"?>
<calcChain xmlns="http://schemas.openxmlformats.org/spreadsheetml/2006/main">
  <c r="J6" i="6"/>
  <c r="J5"/>
  <c r="I6"/>
  <c r="I7"/>
  <c r="I8"/>
  <c r="I5"/>
  <c r="I14"/>
  <c r="I13"/>
  <c r="I12"/>
  <c r="I11"/>
  <c r="I10"/>
  <c r="I9"/>
  <c r="Q7"/>
  <c r="Q8"/>
  <c r="Q9"/>
  <c r="Q10"/>
  <c r="Q11"/>
  <c r="Q12"/>
  <c r="Q13"/>
  <c r="Q14"/>
  <c r="Q6"/>
  <c r="J14"/>
  <c r="J12"/>
  <c r="J9"/>
  <c r="J8"/>
  <c r="J7"/>
  <c r="J10"/>
  <c r="J11"/>
  <c r="J13"/>
  <c r="B14" l="1"/>
  <c r="B13"/>
  <c r="B12"/>
  <c r="B11"/>
  <c r="B10"/>
  <c r="B9"/>
  <c r="B8"/>
  <c r="B7"/>
  <c r="B6"/>
  <c r="G5"/>
  <c r="E5"/>
  <c r="D5"/>
  <c r="C5"/>
  <c r="B5"/>
</calcChain>
</file>

<file path=xl/sharedStrings.xml><?xml version="1.0" encoding="utf-8"?>
<sst xmlns="http://schemas.openxmlformats.org/spreadsheetml/2006/main" count="49" uniqueCount="38">
  <si>
    <t>Source: Transport Authority</t>
  </si>
  <si>
    <t>ctwvWb egudnwLua</t>
  </si>
  <si>
    <t>Type of Vehicles</t>
  </si>
  <si>
    <t>Total</t>
  </si>
  <si>
    <t>ޖުމްލަ</t>
  </si>
  <si>
    <t>Motor cycle</t>
  </si>
  <si>
    <t>clwkiaws OTom</t>
  </si>
  <si>
    <t>Car</t>
  </si>
  <si>
    <t>urWk</t>
  </si>
  <si>
    <t>Bus</t>
  </si>
  <si>
    <t>cswb</t>
  </si>
  <si>
    <t>Pick-Up</t>
  </si>
  <si>
    <t>cpwkip</t>
  </si>
  <si>
    <t>Lorry</t>
  </si>
  <si>
    <t>Irol</t>
  </si>
  <si>
    <t>Van</t>
  </si>
  <si>
    <t>cnEv</t>
  </si>
  <si>
    <t>Jeep</t>
  </si>
  <si>
    <t>cpIj</t>
  </si>
  <si>
    <t>Male'</t>
  </si>
  <si>
    <t>TABLE 11.6: SELECTED VEHICLES ACCORDING TO REGISTRATION, 2013</t>
  </si>
  <si>
    <t>ތާވަލު 11.6: ރަޖިސްޓްރީކުރެވުނު އެއްގަމުގައި ދުއްވާ އުޅަނދުފަހަރު، 2013</t>
  </si>
  <si>
    <t xml:space="preserve">Hulhumale' </t>
  </si>
  <si>
    <t>Addu</t>
  </si>
  <si>
    <t>Other atolls</t>
  </si>
  <si>
    <t>% share in Male'</t>
  </si>
  <si>
    <t>% share in Total</t>
  </si>
  <si>
    <t>މާލެ</t>
  </si>
  <si>
    <t>ހުޅުމާލެ</t>
  </si>
  <si>
    <t>އައްޑޫ</t>
  </si>
  <si>
    <t>އެހެނިހެން އަތޮޅުތައް</t>
  </si>
  <si>
    <t>މާލޭގެ އިންސައްތަ</t>
  </si>
  <si>
    <t>މުޅި ޖުމްލަ އިންސައްތަ</t>
  </si>
  <si>
    <t xml:space="preserve">Battery Scooter      </t>
  </si>
  <si>
    <t>ބެޓެރީ ސްކޫޓަރ</t>
  </si>
  <si>
    <t>Other vehicles</t>
  </si>
  <si>
    <t>އެހެނިހެން އުޅަނދުފަހަރު</t>
  </si>
  <si>
    <t xml:space="preserve">މަޢުލޫމާތު ދެއްވި ފަރާތް: ޓްރާންސްޕޯޓް އޮތޯރިޓީ 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</si>
</sst>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sz val="10"/>
      <name val="A_Ilham"/>
    </font>
    <font>
      <b/>
      <sz val="10"/>
      <name val="A_Ilham"/>
    </font>
    <font>
      <b/>
      <sz val="11"/>
      <name val="Faruma"/>
    </font>
    <font>
      <i/>
      <sz val="10"/>
      <name val="Calibri"/>
      <family val="2"/>
      <scheme val="minor"/>
    </font>
    <font>
      <b/>
      <sz val="10"/>
      <name val="Faruma"/>
    </font>
    <font>
      <b/>
      <sz val="9"/>
      <name val="Faruma"/>
    </font>
    <font>
      <b/>
      <sz val="10"/>
      <color theme="1"/>
      <name val="Faruma"/>
    </font>
    <font>
      <sz val="10"/>
      <name val="MS Sans Serif"/>
      <family val="2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thin">
        <color indexed="64"/>
      </top>
      <bottom/>
      <diagonal/>
    </border>
    <border>
      <left style="thin">
        <color rgb="FFFFFFFF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1" fillId="0" borderId="0"/>
    <xf numFmtId="40" fontId="19" fillId="0" borderId="0" applyFont="0" applyFill="0" applyBorder="0" applyAlignment="0" applyProtection="0"/>
    <xf numFmtId="166" fontId="11" fillId="0" borderId="0"/>
    <xf numFmtId="166" fontId="11" fillId="0" borderId="0"/>
    <xf numFmtId="165" fontId="11" fillId="0" borderId="0" applyFont="0" applyFill="0" applyBorder="0" applyAlignment="0" applyProtection="0"/>
  </cellStyleXfs>
  <cellXfs count="51">
    <xf numFmtId="0" fontId="0" fillId="0" borderId="0" xfId="0"/>
    <xf numFmtId="0" fontId="1" fillId="2" borderId="0" xfId="3" applyFont="1" applyFill="1"/>
    <xf numFmtId="0" fontId="1" fillId="2" borderId="0" xfId="3" applyFont="1" applyFill="1" applyAlignment="1">
      <alignment horizontal="center"/>
    </xf>
    <xf numFmtId="1" fontId="7" fillId="2" borderId="5" xfId="3" applyNumberFormat="1" applyFont="1" applyFill="1" applyBorder="1" applyAlignment="1">
      <alignment horizontal="right" vertical="center"/>
    </xf>
    <xf numFmtId="1" fontId="2" fillId="2" borderId="5" xfId="3" applyNumberFormat="1" applyFont="1" applyFill="1" applyBorder="1" applyAlignment="1">
      <alignment horizontal="right" vertical="center" wrapText="1"/>
    </xf>
    <xf numFmtId="1" fontId="16" fillId="2" borderId="10" xfId="3" applyNumberFormat="1" applyFont="1" applyFill="1" applyBorder="1" applyAlignment="1">
      <alignment horizontal="right" vertical="center"/>
    </xf>
    <xf numFmtId="1" fontId="17" fillId="2" borderId="10" xfId="3" applyNumberFormat="1" applyFont="1" applyFill="1" applyBorder="1" applyAlignment="1">
      <alignment horizontal="right" vertical="center" wrapText="1"/>
    </xf>
    <xf numFmtId="164" fontId="7" fillId="2" borderId="7" xfId="3" applyNumberFormat="1" applyFont="1" applyFill="1" applyBorder="1" applyAlignment="1">
      <alignment horizontal="left" vertical="center"/>
    </xf>
    <xf numFmtId="3" fontId="7" fillId="2" borderId="0" xfId="3" applyNumberFormat="1" applyFont="1" applyFill="1" applyBorder="1" applyAlignment="1">
      <alignment horizontal="right" vertical="center"/>
    </xf>
    <xf numFmtId="1" fontId="7" fillId="2" borderId="0" xfId="3" applyNumberFormat="1" applyFont="1" applyFill="1" applyBorder="1" applyAlignment="1">
      <alignment horizontal="right" vertical="center" indent="2"/>
    </xf>
    <xf numFmtId="1" fontId="8" fillId="2" borderId="0" xfId="3" applyNumberFormat="1" applyFont="1" applyFill="1" applyAlignment="1">
      <alignment horizontal="right" vertical="center" indent="2"/>
    </xf>
    <xf numFmtId="0" fontId="18" fillId="2" borderId="0" xfId="3" applyFont="1" applyFill="1" applyAlignment="1">
      <alignment horizontal="right" vertical="center"/>
    </xf>
    <xf numFmtId="164" fontId="8" fillId="2" borderId="11" xfId="3" applyNumberFormat="1" applyFont="1" applyFill="1" applyBorder="1" applyAlignment="1">
      <alignment horizontal="left" vertical="center"/>
    </xf>
    <xf numFmtId="3" fontId="8" fillId="2" borderId="0" xfId="1" applyNumberFormat="1" applyFont="1" applyFill="1" applyBorder="1" applyAlignment="1">
      <alignment horizontal="right" vertical="center"/>
    </xf>
    <xf numFmtId="1" fontId="8" fillId="2" borderId="0" xfId="3" applyNumberFormat="1" applyFont="1" applyFill="1" applyBorder="1" applyAlignment="1">
      <alignment horizontal="right" vertical="center" indent="2"/>
    </xf>
    <xf numFmtId="0" fontId="12" fillId="2" borderId="3" xfId="0" applyNumberFormat="1" applyFont="1" applyFill="1" applyBorder="1" applyAlignment="1">
      <alignment horizontal="right" vertical="center"/>
    </xf>
    <xf numFmtId="164" fontId="1" fillId="2" borderId="0" xfId="3" applyNumberFormat="1" applyFont="1" applyFill="1"/>
    <xf numFmtId="164" fontId="2" fillId="2" borderId="11" xfId="3" applyNumberFormat="1" applyFont="1" applyFill="1" applyBorder="1"/>
    <xf numFmtId="166" fontId="1" fillId="2" borderId="0" xfId="1" applyNumberFormat="1" applyFont="1" applyFill="1"/>
    <xf numFmtId="0" fontId="10" fillId="2" borderId="3" xfId="0" applyNumberFormat="1" applyFont="1" applyFill="1" applyBorder="1" applyAlignment="1">
      <alignment horizontal="right" vertical="center"/>
    </xf>
    <xf numFmtId="164" fontId="8" fillId="2" borderId="9" xfId="3" applyNumberFormat="1" applyFont="1" applyFill="1" applyBorder="1" applyAlignment="1">
      <alignment horizontal="left" vertical="center"/>
    </xf>
    <xf numFmtId="3" fontId="8" fillId="2" borderId="2" xfId="1" applyNumberFormat="1" applyFont="1" applyFill="1" applyBorder="1" applyAlignment="1">
      <alignment horizontal="right" vertical="center"/>
    </xf>
    <xf numFmtId="1" fontId="8" fillId="2" borderId="2" xfId="3" applyNumberFormat="1" applyFont="1" applyFill="1" applyBorder="1" applyAlignment="1">
      <alignment horizontal="right" vertical="center" indent="2"/>
    </xf>
    <xf numFmtId="0" fontId="10" fillId="2" borderId="4" xfId="0" applyNumberFormat="1" applyFont="1" applyFill="1" applyBorder="1" applyAlignment="1">
      <alignment horizontal="right" vertical="center"/>
    </xf>
    <xf numFmtId="164" fontId="2" fillId="2" borderId="9" xfId="3" applyNumberFormat="1" applyFont="1" applyFill="1" applyBorder="1"/>
    <xf numFmtId="164" fontId="9" fillId="2" borderId="6" xfId="3" applyNumberFormat="1" applyFont="1" applyFill="1" applyBorder="1" applyAlignment="1">
      <alignment horizontal="center" vertical="center"/>
    </xf>
    <xf numFmtId="164" fontId="9" fillId="2" borderId="12" xfId="3" applyNumberFormat="1" applyFont="1" applyFill="1" applyBorder="1" applyAlignment="1">
      <alignment horizontal="center" vertical="center"/>
    </xf>
    <xf numFmtId="164" fontId="15" fillId="2" borderId="12" xfId="3" applyNumberFormat="1" applyFont="1" applyFill="1" applyBorder="1" applyAlignment="1">
      <alignment horizontal="center" vertical="center"/>
    </xf>
    <xf numFmtId="164" fontId="15" fillId="2" borderId="0" xfId="3" applyNumberFormat="1" applyFont="1" applyFill="1" applyBorder="1" applyAlignment="1">
      <alignment horizontal="center" vertical="center"/>
    </xf>
    <xf numFmtId="164" fontId="4" fillId="2" borderId="0" xfId="3" applyNumberFormat="1" applyFont="1" applyFill="1" applyAlignment="1">
      <alignment horizontal="center" vertical="center"/>
    </xf>
    <xf numFmtId="164" fontId="10" fillId="2" borderId="0" xfId="3" applyNumberFormat="1" applyFont="1" applyFill="1" applyAlignment="1">
      <alignment horizontal="right" vertical="center"/>
    </xf>
    <xf numFmtId="0" fontId="1" fillId="2" borderId="0" xfId="3" applyFont="1" applyFill="1" applyAlignment="1">
      <alignment vertical="center"/>
    </xf>
    <xf numFmtId="164" fontId="9" fillId="2" borderId="7" xfId="3" applyNumberFormat="1" applyFont="1" applyFill="1" applyBorder="1" applyAlignment="1">
      <alignment horizontal="left" vertical="center"/>
    </xf>
    <xf numFmtId="164" fontId="9" fillId="2" borderId="0" xfId="3" applyNumberFormat="1" applyFont="1" applyFill="1" applyBorder="1" applyAlignment="1">
      <alignment horizontal="left" vertical="center"/>
    </xf>
    <xf numFmtId="164" fontId="4" fillId="2" borderId="0" xfId="3" applyNumberFormat="1" applyFont="1" applyFill="1"/>
    <xf numFmtId="3" fontId="8" fillId="2" borderId="0" xfId="1" applyNumberFormat="1" applyFont="1" applyFill="1" applyBorder="1" applyAlignment="1">
      <alignment horizontal="right" vertical="center" wrapText="1"/>
    </xf>
    <xf numFmtId="38" fontId="8" fillId="2" borderId="0" xfId="3" applyNumberFormat="1" applyFont="1" applyFill="1" applyBorder="1" applyAlignment="1">
      <alignment horizontal="center"/>
    </xf>
    <xf numFmtId="0" fontId="4" fillId="2" borderId="0" xfId="3" applyFont="1" applyFill="1" applyAlignment="1">
      <alignment horizontal="center"/>
    </xf>
    <xf numFmtId="0" fontId="4" fillId="2" borderId="0" xfId="3" applyFont="1" applyFill="1"/>
    <xf numFmtId="3" fontId="8" fillId="2" borderId="0" xfId="0" applyNumberFormat="1" applyFont="1" applyFill="1" applyBorder="1" applyAlignment="1">
      <alignment horizontal="right" wrapText="1"/>
    </xf>
    <xf numFmtId="3" fontId="1" fillId="2" borderId="0" xfId="3" applyNumberFormat="1" applyFont="1" applyFill="1" applyAlignment="1">
      <alignment horizontal="center"/>
    </xf>
    <xf numFmtId="164" fontId="8" fillId="2" borderId="0" xfId="0" applyNumberFormat="1" applyFont="1" applyFill="1" applyAlignment="1">
      <alignment horizontal="center"/>
    </xf>
    <xf numFmtId="164" fontId="1" fillId="2" borderId="0" xfId="3" applyNumberFormat="1" applyFont="1" applyFill="1" applyAlignment="1">
      <alignment horizontal="center"/>
    </xf>
    <xf numFmtId="1" fontId="7" fillId="2" borderId="0" xfId="3" applyNumberFormat="1" applyFont="1" applyFill="1" applyAlignment="1">
      <alignment horizontal="right" vertical="center" indent="2"/>
    </xf>
    <xf numFmtId="164" fontId="3" fillId="2" borderId="7" xfId="3" applyNumberFormat="1" applyFont="1" applyFill="1" applyBorder="1" applyAlignment="1">
      <alignment horizontal="center" vertical="center"/>
    </xf>
    <xf numFmtId="164" fontId="3" fillId="2" borderId="0" xfId="3" applyNumberFormat="1" applyFont="1" applyFill="1" applyBorder="1" applyAlignment="1">
      <alignment horizontal="center" vertical="center"/>
    </xf>
    <xf numFmtId="164" fontId="14" fillId="2" borderId="2" xfId="3" applyNumberFormat="1" applyFont="1" applyFill="1" applyBorder="1" applyAlignment="1">
      <alignment horizontal="center" vertical="center"/>
    </xf>
    <xf numFmtId="164" fontId="7" fillId="2" borderId="8" xfId="3" applyNumberFormat="1" applyFont="1" applyFill="1" applyBorder="1" applyAlignment="1">
      <alignment horizontal="left" vertical="center"/>
    </xf>
    <xf numFmtId="164" fontId="7" fillId="2" borderId="9" xfId="3" applyNumberFormat="1" applyFont="1" applyFill="1" applyBorder="1" applyAlignment="1">
      <alignment horizontal="left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</cellXfs>
  <cellStyles count="11">
    <cellStyle name="Comma" xfId="1" builtinId="3"/>
    <cellStyle name="Comma 2" xfId="7"/>
    <cellStyle name="Comma 4" xfId="10"/>
    <cellStyle name="Hyperlink 2" xfId="2"/>
    <cellStyle name="Normal" xfId="0" builtinId="0"/>
    <cellStyle name="Normal 2" xfId="6"/>
    <cellStyle name="Normal 2 3" xfId="4"/>
    <cellStyle name="Normal 3" xfId="8"/>
    <cellStyle name="Normal 3 2" xfId="5"/>
    <cellStyle name="Normal 4" xfId="9"/>
    <cellStyle name="Normal 5" xfId="3"/>
  </cellStyles>
  <dxfs count="0"/>
  <tableStyles count="0" defaultTableStyle="TableStyleMedium9" defaultPivotStyle="PivotStyleLight16"/>
  <colors>
    <mruColors>
      <color rgb="FFFFFFCC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7"/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Figure 11.5: Number of  vehicles registered, 2011 - 2013</a:t>
            </a:r>
          </a:p>
        </c:rich>
      </c:tx>
      <c:layout>
        <c:manualLayout>
          <c:xMode val="edge"/>
          <c:yMode val="edge"/>
          <c:x val="0.24540332458442829"/>
          <c:y val="3.8316124881277003E-2"/>
        </c:manualLayout>
      </c:layout>
    </c:title>
    <c:plotArea>
      <c:layout>
        <c:manualLayout>
          <c:layoutTarget val="inner"/>
          <c:xMode val="edge"/>
          <c:yMode val="edge"/>
          <c:x val="9.2971620520809997E-2"/>
          <c:y val="0.14582362119576903"/>
          <c:w val="0.88333932808124771"/>
          <c:h val="0.63960040274771091"/>
        </c:manualLayout>
      </c:layout>
      <c:barChart>
        <c:barDir val="col"/>
        <c:grouping val="clustered"/>
        <c:ser>
          <c:idx val="0"/>
          <c:order val="0"/>
          <c:tx>
            <c:strRef>
              <c:f>'11.6'!$P$5</c:f>
              <c:strCache>
                <c:ptCount val="1"/>
                <c:pt idx="0">
                  <c:v>2012</c:v>
                </c:pt>
              </c:strCache>
            </c:strRef>
          </c:tx>
          <c:cat>
            <c:strRef>
              <c:f>'11.6'!$N$6:$N$14</c:f>
              <c:strCache>
                <c:ptCount val="9"/>
                <c:pt idx="0">
                  <c:v>Motor cycle</c:v>
                </c:pt>
                <c:pt idx="1">
                  <c:v>Car</c:v>
                </c:pt>
                <c:pt idx="2">
                  <c:v>Bus</c:v>
                </c:pt>
                <c:pt idx="3">
                  <c:v>Pick-Up</c:v>
                </c:pt>
                <c:pt idx="4">
                  <c:v>Lorry</c:v>
                </c:pt>
                <c:pt idx="5">
                  <c:v>Van</c:v>
                </c:pt>
                <c:pt idx="6">
                  <c:v>Jeep</c:v>
                </c:pt>
                <c:pt idx="7">
                  <c:v>Battery Scooter      </c:v>
                </c:pt>
                <c:pt idx="8">
                  <c:v>Other vehicles</c:v>
                </c:pt>
              </c:strCache>
            </c:strRef>
          </c:cat>
          <c:val>
            <c:numRef>
              <c:f>'11.6'!$P$6:$P$14</c:f>
              <c:numCache>
                <c:formatCode>_(* #,##0_);_(* \(#,##0\);_(* "-"??_);_(@_)</c:formatCode>
                <c:ptCount val="9"/>
                <c:pt idx="0">
                  <c:v>46409</c:v>
                </c:pt>
                <c:pt idx="1">
                  <c:v>3708</c:v>
                </c:pt>
                <c:pt idx="2">
                  <c:v>132</c:v>
                </c:pt>
                <c:pt idx="3">
                  <c:v>1806</c:v>
                </c:pt>
                <c:pt idx="4">
                  <c:v>768</c:v>
                </c:pt>
                <c:pt idx="5">
                  <c:v>1077</c:v>
                </c:pt>
                <c:pt idx="6">
                  <c:v>484</c:v>
                </c:pt>
                <c:pt idx="7">
                  <c:v>363</c:v>
                </c:pt>
                <c:pt idx="8">
                  <c:v>1750</c:v>
                </c:pt>
              </c:numCache>
            </c:numRef>
          </c:val>
        </c:ser>
        <c:ser>
          <c:idx val="1"/>
          <c:order val="1"/>
          <c:tx>
            <c:strRef>
              <c:f>'11.6'!$Q$5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strRef>
              <c:f>'11.6'!$N$6:$N$14</c:f>
              <c:strCache>
                <c:ptCount val="9"/>
                <c:pt idx="0">
                  <c:v>Motor cycle</c:v>
                </c:pt>
                <c:pt idx="1">
                  <c:v>Car</c:v>
                </c:pt>
                <c:pt idx="2">
                  <c:v>Bus</c:v>
                </c:pt>
                <c:pt idx="3">
                  <c:v>Pick-Up</c:v>
                </c:pt>
                <c:pt idx="4">
                  <c:v>Lorry</c:v>
                </c:pt>
                <c:pt idx="5">
                  <c:v>Van</c:v>
                </c:pt>
                <c:pt idx="6">
                  <c:v>Jeep</c:v>
                </c:pt>
                <c:pt idx="7">
                  <c:v>Battery Scooter      </c:v>
                </c:pt>
                <c:pt idx="8">
                  <c:v>Other vehicles</c:v>
                </c:pt>
              </c:strCache>
            </c:strRef>
          </c:cat>
          <c:val>
            <c:numRef>
              <c:f>'11.6'!$Q$6:$Q$14</c:f>
              <c:numCache>
                <c:formatCode>#,##0</c:formatCode>
                <c:ptCount val="9"/>
                <c:pt idx="0">
                  <c:v>50777</c:v>
                </c:pt>
                <c:pt idx="1">
                  <c:v>3991</c:v>
                </c:pt>
                <c:pt idx="2">
                  <c:v>140</c:v>
                </c:pt>
                <c:pt idx="3">
                  <c:v>1860</c:v>
                </c:pt>
                <c:pt idx="4">
                  <c:v>772</c:v>
                </c:pt>
                <c:pt idx="5">
                  <c:v>1153</c:v>
                </c:pt>
                <c:pt idx="6">
                  <c:v>491</c:v>
                </c:pt>
                <c:pt idx="7">
                  <c:v>381</c:v>
                </c:pt>
                <c:pt idx="8">
                  <c:v>1848</c:v>
                </c:pt>
              </c:numCache>
            </c:numRef>
          </c:val>
        </c:ser>
        <c:gapWidth val="36"/>
        <c:axId val="167883136"/>
        <c:axId val="167885056"/>
      </c:barChart>
      <c:catAx>
        <c:axId val="16788313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67885056"/>
        <c:crosses val="autoZero"/>
        <c:auto val="1"/>
        <c:lblAlgn val="ctr"/>
        <c:lblOffset val="100"/>
      </c:catAx>
      <c:valAx>
        <c:axId val="167885056"/>
        <c:scaling>
          <c:orientation val="minMax"/>
        </c:scaling>
        <c:axPos val="l"/>
        <c:majorGridlines/>
        <c:numFmt formatCode="_(* #,##0_);_(* \(#,##0\);_(* &quot;-&quot;??_);_(@_)" sourceLinked="1"/>
        <c:majorTickMark val="none"/>
        <c:tickLblPos val="nextTo"/>
        <c:crossAx val="167883136"/>
        <c:crosses val="autoZero"/>
        <c:crossBetween val="between"/>
      </c:valAx>
      <c:spPr>
        <a:ln>
          <a:solidFill>
            <a:sysClr val="windowText" lastClr="000000">
              <a:lumMod val="50000"/>
              <a:lumOff val="50000"/>
            </a:sysClr>
          </a:solidFill>
        </a:ln>
      </c:spPr>
    </c:plotArea>
    <c:legend>
      <c:legendPos val="r"/>
      <c:layout>
        <c:manualLayout>
          <c:xMode val="edge"/>
          <c:yMode val="edge"/>
          <c:x val="0.57065696818385503"/>
          <c:y val="0.27165588486354048"/>
          <c:w val="0.29869886690992947"/>
          <c:h val="8.7854772411356225E-2"/>
        </c:manualLayout>
      </c:layout>
    </c:legend>
    <c:plotVisOnly val="1"/>
    <c:dispBlanksAs val="gap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100"/>
              <a:t>Figure 11.6: Percentage share of registered vehicles in Male' ,</a:t>
            </a:r>
            <a:r>
              <a:rPr lang="en-US" sz="1100" baseline="0"/>
              <a:t> </a:t>
            </a:r>
            <a:r>
              <a:rPr lang="en-US" sz="1100"/>
              <a:t>2013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6.0926477178157613E-2"/>
          <c:y val="0.16808280543879384"/>
          <c:w val="0.91671579924460667"/>
          <c:h val="0.60792808793637665"/>
        </c:manualLayout>
      </c:layout>
      <c:barChart>
        <c:barDir val="col"/>
        <c:grouping val="clustered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dLbls>
            <c:numFmt formatCode="#,##0" sourceLinked="0"/>
            <c:showVal val="1"/>
          </c:dLbls>
          <c:cat>
            <c:strRef>
              <c:f>('11.6'!$A$6:$A$7,'11.6'!$A$9,'11.6'!$A$11:$A$12,'11.6'!$A$14)</c:f>
              <c:strCache>
                <c:ptCount val="6"/>
                <c:pt idx="0">
                  <c:v>Motor cycle</c:v>
                </c:pt>
                <c:pt idx="1">
                  <c:v>Car</c:v>
                </c:pt>
                <c:pt idx="2">
                  <c:v>Pick-Up</c:v>
                </c:pt>
                <c:pt idx="3">
                  <c:v>Van</c:v>
                </c:pt>
                <c:pt idx="4">
                  <c:v>Jeep</c:v>
                </c:pt>
                <c:pt idx="5">
                  <c:v>Other vehicles</c:v>
                </c:pt>
              </c:strCache>
            </c:strRef>
          </c:cat>
          <c:val>
            <c:numRef>
              <c:f>('11.6'!$I$6:$I$7,'11.6'!$I$9,'11.6'!$I$11:$I$12,'11.6'!$I$14)</c:f>
              <c:numCache>
                <c:formatCode>0</c:formatCode>
                <c:ptCount val="6"/>
                <c:pt idx="0">
                  <c:v>85.574577500384592</c:v>
                </c:pt>
                <c:pt idx="1">
                  <c:v>6.0809177416873608</c:v>
                </c:pt>
                <c:pt idx="2">
                  <c:v>2.364679251917456</c:v>
                </c:pt>
                <c:pt idx="3">
                  <c:v>1.3625475243390546</c:v>
                </c:pt>
                <c:pt idx="4">
                  <c:v>0.81752851460343279</c:v>
                </c:pt>
                <c:pt idx="5">
                  <c:v>3.0261740984110936</c:v>
                </c:pt>
              </c:numCache>
            </c:numRef>
          </c:val>
        </c:ser>
        <c:axId val="172779008"/>
        <c:axId val="172780928"/>
      </c:barChart>
      <c:catAx>
        <c:axId val="172779008"/>
        <c:scaling>
          <c:orientation val="minMax"/>
        </c:scaling>
        <c:axPos val="b"/>
        <c:tickLblPos val="nextTo"/>
        <c:crossAx val="172780928"/>
        <c:crosses val="autoZero"/>
        <c:auto val="1"/>
        <c:lblAlgn val="ctr"/>
        <c:lblOffset val="100"/>
      </c:catAx>
      <c:valAx>
        <c:axId val="172780928"/>
        <c:scaling>
          <c:orientation val="minMax"/>
        </c:scaling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0"/>
                </a:pPr>
                <a:r>
                  <a:rPr lang="en-US" sz="800" b="0"/>
                  <a:t>In percent</a:t>
                </a:r>
              </a:p>
            </c:rich>
          </c:tx>
          <c:layout>
            <c:manualLayout>
              <c:xMode val="edge"/>
              <c:yMode val="edge"/>
              <c:x val="1.6260162601626021E-2"/>
              <c:y val="6.8023997000374953E-2"/>
            </c:manualLayout>
          </c:layout>
        </c:title>
        <c:numFmt formatCode="0" sourceLinked="0"/>
        <c:tickLblPos val="nextTo"/>
        <c:crossAx val="17277900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</c:chart>
  <c:printSettings>
    <c:headerFooter/>
    <c:pageMargins b="0.75000000000000322" l="0.70000000000000062" r="0.70000000000000062" t="0.75000000000000322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15</xdr:row>
      <xdr:rowOff>152399</xdr:rowOff>
    </xdr:from>
    <xdr:to>
      <xdr:col>10</xdr:col>
      <xdr:colOff>403860</xdr:colOff>
      <xdr:row>28</xdr:row>
      <xdr:rowOff>62864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268605</xdr:colOff>
      <xdr:row>31</xdr:row>
      <xdr:rowOff>114300</xdr:rowOff>
    </xdr:from>
    <xdr:to>
      <xdr:col>10</xdr:col>
      <xdr:colOff>609600</xdr:colOff>
      <xdr:row>44</xdr:row>
      <xdr:rowOff>171450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Q28"/>
  <sheetViews>
    <sheetView tabSelected="1" workbookViewId="0">
      <selection activeCell="K18" sqref="K18"/>
    </sheetView>
  </sheetViews>
  <sheetFormatPr defaultColWidth="9.109375" defaultRowHeight="14.4"/>
  <cols>
    <col min="1" max="1" width="14.109375" style="1" customWidth="1"/>
    <col min="2" max="2" width="8.6640625" style="1" customWidth="1"/>
    <col min="3" max="3" width="10" style="2" bestFit="1" customWidth="1"/>
    <col min="4" max="4" width="11.5546875" style="2" customWidth="1"/>
    <col min="5" max="5" width="10.33203125" style="2" customWidth="1"/>
    <col min="6" max="6" width="1.6640625" style="2" customWidth="1"/>
    <col min="7" max="7" width="13.88671875" style="2" customWidth="1"/>
    <col min="8" max="8" width="2.33203125" style="2" customWidth="1"/>
    <col min="9" max="9" width="11.6640625" style="1" customWidth="1"/>
    <col min="10" max="10" width="15.44140625" style="1" customWidth="1"/>
    <col min="11" max="11" width="16.5546875" style="1" customWidth="1"/>
    <col min="12" max="12" width="9.109375" style="1"/>
    <col min="13" max="13" width="47.109375" style="1" customWidth="1"/>
    <col min="14" max="14" width="9.109375" style="1"/>
    <col min="15" max="16" width="10.5546875" style="1" bestFit="1" customWidth="1"/>
    <col min="17" max="16384" width="9.109375" style="1"/>
  </cols>
  <sheetData>
    <row r="1" spans="1:17" ht="17.25" customHeight="1">
      <c r="A1" s="44" t="s">
        <v>20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7" ht="18.75" customHeight="1">
      <c r="A2" s="46" t="s">
        <v>21</v>
      </c>
      <c r="B2" s="46"/>
      <c r="C2" s="46"/>
      <c r="D2" s="46"/>
      <c r="E2" s="46"/>
      <c r="F2" s="46"/>
      <c r="G2" s="46"/>
      <c r="H2" s="46"/>
      <c r="I2" s="46"/>
      <c r="J2" s="46"/>
      <c r="K2" s="46"/>
    </row>
    <row r="3" spans="1:17" ht="24.75" customHeight="1">
      <c r="A3" s="47" t="s">
        <v>2</v>
      </c>
      <c r="B3" s="3" t="s">
        <v>3</v>
      </c>
      <c r="C3" s="3" t="s">
        <v>19</v>
      </c>
      <c r="D3" s="3" t="s">
        <v>22</v>
      </c>
      <c r="E3" s="3" t="s">
        <v>23</v>
      </c>
      <c r="F3" s="3"/>
      <c r="G3" s="3" t="s">
        <v>24</v>
      </c>
      <c r="H3" s="3"/>
      <c r="I3" s="4" t="s">
        <v>25</v>
      </c>
      <c r="J3" s="4" t="s">
        <v>26</v>
      </c>
      <c r="K3" s="49" t="s">
        <v>1</v>
      </c>
    </row>
    <row r="4" spans="1:17" ht="16.5" customHeight="1">
      <c r="A4" s="48"/>
      <c r="B4" s="5" t="s">
        <v>4</v>
      </c>
      <c r="C4" s="5" t="s">
        <v>27</v>
      </c>
      <c r="D4" s="5" t="s">
        <v>28</v>
      </c>
      <c r="E4" s="5" t="s">
        <v>29</v>
      </c>
      <c r="F4" s="5"/>
      <c r="G4" s="5" t="s">
        <v>30</v>
      </c>
      <c r="H4" s="5"/>
      <c r="I4" s="6" t="s">
        <v>31</v>
      </c>
      <c r="J4" s="6" t="s">
        <v>32</v>
      </c>
      <c r="K4" s="50"/>
    </row>
    <row r="5" spans="1:17" ht="18.600000000000001">
      <c r="A5" s="7" t="s">
        <v>3</v>
      </c>
      <c r="B5" s="8">
        <f t="shared" ref="B5:B14" si="0">SUM(C5:G5)</f>
        <v>61413</v>
      </c>
      <c r="C5" s="8">
        <f>SUM(C6:C14)</f>
        <v>45503</v>
      </c>
      <c r="D5" s="8">
        <f>SUM(D6:D14)</f>
        <v>218</v>
      </c>
      <c r="E5" s="8">
        <f>SUM(E6:E14)</f>
        <v>5130</v>
      </c>
      <c r="F5" s="8"/>
      <c r="G5" s="8">
        <f>SUM(G6:G14)</f>
        <v>10562</v>
      </c>
      <c r="H5" s="8"/>
      <c r="I5" s="9">
        <f>C5/B5*100</f>
        <v>74.093432986501227</v>
      </c>
      <c r="J5" s="43">
        <f>B5/B5*100</f>
        <v>100</v>
      </c>
      <c r="K5" s="11" t="s">
        <v>4</v>
      </c>
      <c r="O5" s="1">
        <v>2011</v>
      </c>
      <c r="P5" s="1">
        <v>2012</v>
      </c>
      <c r="Q5" s="1">
        <v>2013</v>
      </c>
    </row>
    <row r="6" spans="1:17" ht="18" customHeight="1">
      <c r="A6" s="12" t="s">
        <v>5</v>
      </c>
      <c r="B6" s="13">
        <f t="shared" si="0"/>
        <v>50777</v>
      </c>
      <c r="C6" s="13">
        <v>38939</v>
      </c>
      <c r="D6" s="13">
        <v>73</v>
      </c>
      <c r="E6" s="35">
        <v>3936</v>
      </c>
      <c r="F6" s="35"/>
      <c r="G6" s="13">
        <v>7829</v>
      </c>
      <c r="H6" s="13"/>
      <c r="I6" s="14">
        <f>C6/C5*100</f>
        <v>85.574577500384592</v>
      </c>
      <c r="J6" s="10">
        <f>B6/$B$5*100</f>
        <v>82.681191278719496</v>
      </c>
      <c r="K6" s="15" t="s">
        <v>6</v>
      </c>
      <c r="M6" s="16"/>
      <c r="N6" s="17" t="s">
        <v>5</v>
      </c>
      <c r="O6" s="18">
        <v>42571</v>
      </c>
      <c r="P6" s="18">
        <v>46409</v>
      </c>
      <c r="Q6" s="13">
        <f>B6</f>
        <v>50777</v>
      </c>
    </row>
    <row r="7" spans="1:17" ht="18" customHeight="1">
      <c r="A7" s="12" t="s">
        <v>7</v>
      </c>
      <c r="B7" s="13">
        <f t="shared" si="0"/>
        <v>3991</v>
      </c>
      <c r="C7" s="13">
        <v>2767</v>
      </c>
      <c r="D7" s="13">
        <v>41</v>
      </c>
      <c r="E7" s="13">
        <v>603</v>
      </c>
      <c r="F7" s="13"/>
      <c r="G7" s="13">
        <v>580</v>
      </c>
      <c r="H7" s="13"/>
      <c r="I7" s="14">
        <f>C7/C5*100</f>
        <v>6.0809177416873608</v>
      </c>
      <c r="J7" s="10">
        <f>B7/$B$5*100</f>
        <v>6.498624069822351</v>
      </c>
      <c r="K7" s="15" t="s">
        <v>8</v>
      </c>
      <c r="M7" s="16"/>
      <c r="N7" s="17" t="s">
        <v>7</v>
      </c>
      <c r="O7" s="18">
        <v>3505</v>
      </c>
      <c r="P7" s="18">
        <v>3708</v>
      </c>
      <c r="Q7" s="13">
        <f t="shared" ref="Q7:Q14" si="1">B7</f>
        <v>3991</v>
      </c>
    </row>
    <row r="8" spans="1:17" ht="18" customHeight="1">
      <c r="A8" s="12" t="s">
        <v>9</v>
      </c>
      <c r="B8" s="13">
        <f t="shared" si="0"/>
        <v>140</v>
      </c>
      <c r="C8" s="13">
        <v>72</v>
      </c>
      <c r="D8" s="13">
        <v>5</v>
      </c>
      <c r="E8" s="13">
        <v>37</v>
      </c>
      <c r="F8" s="13"/>
      <c r="G8" s="13">
        <v>26</v>
      </c>
      <c r="H8" s="13"/>
      <c r="I8" s="14">
        <f>C8/C5*100</f>
        <v>0.15823132540711601</v>
      </c>
      <c r="J8" s="10">
        <f>B8/$B$5*100</f>
        <v>0.22796476316089428</v>
      </c>
      <c r="K8" s="15" t="s">
        <v>10</v>
      </c>
      <c r="M8" s="16"/>
      <c r="N8" s="17" t="s">
        <v>9</v>
      </c>
      <c r="O8" s="18">
        <v>232</v>
      </c>
      <c r="P8" s="18">
        <v>132</v>
      </c>
      <c r="Q8" s="13">
        <f t="shared" si="1"/>
        <v>140</v>
      </c>
    </row>
    <row r="9" spans="1:17" ht="18" customHeight="1">
      <c r="A9" s="12" t="s">
        <v>11</v>
      </c>
      <c r="B9" s="13">
        <f t="shared" si="0"/>
        <v>1860</v>
      </c>
      <c r="C9" s="13">
        <v>1076</v>
      </c>
      <c r="D9" s="13">
        <v>28</v>
      </c>
      <c r="E9" s="13">
        <v>160</v>
      </c>
      <c r="F9" s="13"/>
      <c r="G9" s="13">
        <v>596</v>
      </c>
      <c r="H9" s="13"/>
      <c r="I9" s="14">
        <f>C9/C5*100</f>
        <v>2.364679251917456</v>
      </c>
      <c r="J9" s="10">
        <f>B9/$B$5*100</f>
        <v>3.0286747105661664</v>
      </c>
      <c r="K9" s="15" t="s">
        <v>12</v>
      </c>
      <c r="M9" s="16"/>
      <c r="N9" s="17" t="s">
        <v>11</v>
      </c>
      <c r="O9" s="18">
        <v>1215</v>
      </c>
      <c r="P9" s="18">
        <v>1806</v>
      </c>
      <c r="Q9" s="13">
        <f t="shared" si="1"/>
        <v>1860</v>
      </c>
    </row>
    <row r="10" spans="1:17" ht="18" customHeight="1">
      <c r="A10" s="12" t="s">
        <v>13</v>
      </c>
      <c r="B10" s="13">
        <f t="shared" si="0"/>
        <v>772</v>
      </c>
      <c r="C10" s="13">
        <v>63</v>
      </c>
      <c r="D10" s="13">
        <v>10</v>
      </c>
      <c r="E10" s="13">
        <v>50</v>
      </c>
      <c r="F10" s="13"/>
      <c r="G10" s="13">
        <v>649</v>
      </c>
      <c r="H10" s="13"/>
      <c r="I10" s="14">
        <f>C10/C5*100</f>
        <v>0.13845240973122649</v>
      </c>
      <c r="J10" s="10">
        <f t="shared" ref="J10:J13" si="2">B10/$B$5*100</f>
        <v>1.2570628368586456</v>
      </c>
      <c r="K10" s="15" t="s">
        <v>14</v>
      </c>
      <c r="M10" s="16"/>
      <c r="N10" s="17" t="s">
        <v>13</v>
      </c>
      <c r="O10" s="18">
        <v>1079</v>
      </c>
      <c r="P10" s="18">
        <v>768</v>
      </c>
      <c r="Q10" s="13">
        <f t="shared" si="1"/>
        <v>772</v>
      </c>
    </row>
    <row r="11" spans="1:17" ht="18" customHeight="1">
      <c r="A11" s="12" t="s">
        <v>15</v>
      </c>
      <c r="B11" s="13">
        <f t="shared" si="0"/>
        <v>1153</v>
      </c>
      <c r="C11" s="13">
        <v>620</v>
      </c>
      <c r="D11" s="13">
        <v>25</v>
      </c>
      <c r="E11" s="13">
        <v>137</v>
      </c>
      <c r="F11" s="13"/>
      <c r="G11" s="13">
        <v>371</v>
      </c>
      <c r="H11" s="13"/>
      <c r="I11" s="14">
        <f>C11/C5*100</f>
        <v>1.3625475243390546</v>
      </c>
      <c r="J11" s="10">
        <f t="shared" si="2"/>
        <v>1.8774526566036505</v>
      </c>
      <c r="K11" s="15" t="s">
        <v>16</v>
      </c>
      <c r="M11" s="16"/>
      <c r="N11" s="17" t="s">
        <v>15</v>
      </c>
      <c r="O11" s="18">
        <v>756</v>
      </c>
      <c r="P11" s="18">
        <v>1077</v>
      </c>
      <c r="Q11" s="13">
        <f t="shared" si="1"/>
        <v>1153</v>
      </c>
    </row>
    <row r="12" spans="1:17" ht="18" customHeight="1">
      <c r="A12" s="12" t="s">
        <v>17</v>
      </c>
      <c r="B12" s="13">
        <f t="shared" si="0"/>
        <v>491</v>
      </c>
      <c r="C12" s="13">
        <v>372</v>
      </c>
      <c r="D12" s="13">
        <v>7</v>
      </c>
      <c r="E12" s="13">
        <v>53</v>
      </c>
      <c r="F12" s="13"/>
      <c r="G12" s="13">
        <v>59</v>
      </c>
      <c r="H12" s="13"/>
      <c r="I12" s="14">
        <f>C12/C5*100</f>
        <v>0.81752851460343279</v>
      </c>
      <c r="J12" s="10">
        <f>B12/$B$5*100</f>
        <v>0.79950499079999349</v>
      </c>
      <c r="K12" s="15" t="s">
        <v>18</v>
      </c>
      <c r="M12" s="16"/>
      <c r="N12" s="17" t="s">
        <v>17</v>
      </c>
      <c r="O12" s="18">
        <v>1034</v>
      </c>
      <c r="P12" s="18">
        <v>484</v>
      </c>
      <c r="Q12" s="13">
        <f t="shared" si="1"/>
        <v>491</v>
      </c>
    </row>
    <row r="13" spans="1:17" ht="18" customHeight="1">
      <c r="A13" s="12" t="s">
        <v>33</v>
      </c>
      <c r="B13" s="13">
        <f t="shared" si="0"/>
        <v>381</v>
      </c>
      <c r="C13" s="13">
        <v>217</v>
      </c>
      <c r="D13" s="13">
        <v>9</v>
      </c>
      <c r="E13" s="13">
        <v>11</v>
      </c>
      <c r="F13" s="13"/>
      <c r="G13" s="13">
        <v>144</v>
      </c>
      <c r="H13" s="13"/>
      <c r="I13" s="14">
        <f>C13/C5*100</f>
        <v>0.47689163351866909</v>
      </c>
      <c r="J13" s="10">
        <f t="shared" si="2"/>
        <v>0.62038981974500518</v>
      </c>
      <c r="K13" s="19" t="s">
        <v>34</v>
      </c>
      <c r="M13" s="16"/>
      <c r="N13" s="17" t="s">
        <v>33</v>
      </c>
      <c r="O13" s="18">
        <v>333</v>
      </c>
      <c r="P13" s="18">
        <v>363</v>
      </c>
      <c r="Q13" s="13">
        <f t="shared" si="1"/>
        <v>381</v>
      </c>
    </row>
    <row r="14" spans="1:17" ht="18" customHeight="1">
      <c r="A14" s="20" t="s">
        <v>35</v>
      </c>
      <c r="B14" s="21">
        <f t="shared" si="0"/>
        <v>1848</v>
      </c>
      <c r="C14" s="21">
        <v>1377</v>
      </c>
      <c r="D14" s="21">
        <v>20</v>
      </c>
      <c r="E14" s="21">
        <v>143</v>
      </c>
      <c r="F14" s="21"/>
      <c r="G14" s="21">
        <v>308</v>
      </c>
      <c r="H14" s="21"/>
      <c r="I14" s="22">
        <f>C14/C5*100</f>
        <v>3.0261740984110936</v>
      </c>
      <c r="J14" s="22">
        <f>B14/$B$5*100</f>
        <v>3.0091348737238044</v>
      </c>
      <c r="K14" s="23" t="s">
        <v>36</v>
      </c>
      <c r="M14" s="16"/>
      <c r="N14" s="24" t="s">
        <v>35</v>
      </c>
      <c r="O14" s="18">
        <v>1466</v>
      </c>
      <c r="P14" s="18">
        <v>1750</v>
      </c>
      <c r="Q14" s="13">
        <f t="shared" si="1"/>
        <v>1848</v>
      </c>
    </row>
    <row r="15" spans="1:17" s="31" customFormat="1" ht="18.600000000000001">
      <c r="A15" s="25" t="s">
        <v>0</v>
      </c>
      <c r="B15" s="26"/>
      <c r="C15" s="27"/>
      <c r="D15" s="27"/>
      <c r="E15" s="27"/>
      <c r="F15" s="27"/>
      <c r="G15" s="27"/>
      <c r="H15" s="28"/>
      <c r="I15" s="29"/>
      <c r="J15" s="29"/>
      <c r="K15" s="30" t="s">
        <v>37</v>
      </c>
    </row>
    <row r="16" spans="1:17" ht="19.2" customHeight="1">
      <c r="A16" s="32"/>
      <c r="B16" s="33"/>
      <c r="C16" s="28"/>
      <c r="D16" s="28"/>
      <c r="E16" s="28"/>
      <c r="F16" s="28"/>
      <c r="G16" s="28"/>
      <c r="H16" s="28"/>
      <c r="I16" s="34"/>
      <c r="J16" s="34"/>
      <c r="K16" s="34"/>
    </row>
    <row r="17" spans="1:11">
      <c r="A17" s="33"/>
      <c r="B17" s="33"/>
      <c r="C17" s="28"/>
      <c r="D17" s="28"/>
      <c r="E17" s="36"/>
      <c r="F17" s="36"/>
      <c r="G17" s="28"/>
      <c r="H17" s="28"/>
      <c r="I17" s="34"/>
      <c r="J17" s="34"/>
      <c r="K17" s="34"/>
    </row>
    <row r="19" spans="1:11">
      <c r="C19" s="37"/>
      <c r="D19" s="37"/>
      <c r="E19" s="37"/>
      <c r="F19" s="37"/>
      <c r="G19" s="37"/>
      <c r="H19" s="37"/>
      <c r="I19" s="38"/>
      <c r="J19" s="38"/>
      <c r="K19" s="38"/>
    </row>
    <row r="24" spans="1:11">
      <c r="G24" s="39"/>
      <c r="H24" s="39"/>
    </row>
    <row r="25" spans="1:11">
      <c r="G25" s="40"/>
      <c r="H25" s="40"/>
    </row>
    <row r="26" spans="1:11">
      <c r="C26" s="41"/>
    </row>
    <row r="28" spans="1:11">
      <c r="C28" s="42"/>
      <c r="D28" s="40"/>
    </row>
  </sheetData>
  <mergeCells count="4">
    <mergeCell ref="A1:K1"/>
    <mergeCell ref="A2:K2"/>
    <mergeCell ref="A3:A4"/>
    <mergeCell ref="K3:K4"/>
  </mergeCells>
  <pageMargins left="0.7" right="0.7" top="0.75" bottom="0.33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11.6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2015-02-11T04:12:26Z</cp:lastPrinted>
  <dcterms:created xsi:type="dcterms:W3CDTF">2014-05-22T03:57:11Z</dcterms:created>
  <dcterms:modified xsi:type="dcterms:W3CDTF">2015-02-11T04:27:32Z</dcterms:modified>
</cp:coreProperties>
</file>