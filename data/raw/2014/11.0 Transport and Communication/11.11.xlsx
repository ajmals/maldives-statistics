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20" windowWidth="15252" windowHeight="8160" tabRatio="894"/>
  </bookViews>
  <sheets>
    <sheet name="11.11 " sheetId="12" r:id="rId1"/>
  </sheets>
  <definedNames>
    <definedName name="_xlnm.Print_Area" localSheetId="0">'11.11 '!$A$1:$M$21</definedName>
  </definedNames>
  <calcPr calcId="124519"/>
</workbook>
</file>

<file path=xl/calcChain.xml><?xml version="1.0" encoding="utf-8"?>
<calcChain xmlns="http://schemas.openxmlformats.org/spreadsheetml/2006/main">
  <c r="L13" i="12"/>
  <c r="L7" s="1"/>
  <c r="L10"/>
  <c r="K10"/>
  <c r="L8"/>
  <c r="K8"/>
  <c r="K13" l="1"/>
  <c r="K7" s="1"/>
  <c r="I13"/>
  <c r="H13"/>
  <c r="G13"/>
  <c r="E13"/>
  <c r="D13"/>
  <c r="C13"/>
  <c r="B13"/>
  <c r="I10"/>
  <c r="H10"/>
  <c r="H8" s="1"/>
  <c r="H7" s="1"/>
  <c r="G10"/>
  <c r="G8" s="1"/>
  <c r="G7" s="1"/>
  <c r="E10"/>
  <c r="D10"/>
  <c r="D8" s="1"/>
  <c r="C10"/>
  <c r="C8" s="1"/>
  <c r="B10"/>
  <c r="B8" s="1"/>
  <c r="I7"/>
  <c r="E7"/>
  <c r="D7"/>
  <c r="C7"/>
  <c r="B7"/>
</calcChain>
</file>

<file path=xl/sharedStrings.xml><?xml version="1.0" encoding="utf-8"?>
<sst xmlns="http://schemas.openxmlformats.org/spreadsheetml/2006/main" count="54" uniqueCount="46">
  <si>
    <t>wlcmuj</t>
  </si>
  <si>
    <t>Total</t>
  </si>
  <si>
    <t>Passengers</t>
  </si>
  <si>
    <t>cnurwjcniswf</t>
  </si>
  <si>
    <t>Cargo (kg)</t>
  </si>
  <si>
    <t>(Olik) Wdum</t>
  </si>
  <si>
    <t>Mail (kg)</t>
  </si>
  <si>
    <t>(Olik) cliaem</t>
  </si>
  <si>
    <t>Airline</t>
  </si>
  <si>
    <t>cawtcTiawlcf</t>
  </si>
  <si>
    <t>iawa</t>
  </si>
  <si>
    <t>iruf</t>
  </si>
  <si>
    <t>irukuDwm iawgItwmurutwd</t>
  </si>
  <si>
    <t>irukeretea</t>
  </si>
  <si>
    <t>irukurEb</t>
  </si>
  <si>
    <t>cniawlrwaea</t>
  </si>
  <si>
    <t>Flight Movements</t>
  </si>
  <si>
    <t>In</t>
  </si>
  <si>
    <t>Out</t>
  </si>
  <si>
    <t>Transit</t>
  </si>
  <si>
    <t>International Flights</t>
  </si>
  <si>
    <t xml:space="preserve">     cawtcTiawlcf ImWvcqwaclwniawb</t>
  </si>
  <si>
    <t>International Scheduled</t>
  </si>
  <si>
    <t>Wviawfihejwmwh cnutogImiaWd ImWvcqwaclwniawb</t>
  </si>
  <si>
    <t>International Charter</t>
  </si>
  <si>
    <t xml:space="preserve"> cawtuTiawlcf rWTrWC ImWvcqwlwniawb</t>
  </si>
  <si>
    <t>International Non-Scheduled</t>
  </si>
  <si>
    <t xml:space="preserve">     cawtcTiawlcf Wvuniawfihejwmwh cnutogImiaWd</t>
  </si>
  <si>
    <t>Domestic flights</t>
  </si>
  <si>
    <t xml:space="preserve">           cawtcTiawlcf egEjcaWr</t>
  </si>
  <si>
    <t>Island Aviation</t>
  </si>
  <si>
    <t>Other Domestic 1_/</t>
  </si>
  <si>
    <t>1_/ cawtcTiawlcf egEjcaWr cnehinehea</t>
  </si>
  <si>
    <t>Source: Civil Aviation Authority</t>
  </si>
  <si>
    <t>މައުލޫމާތު ދެއްވީ: ސިވިލް އޭވިއޭޝަން އޮތޯރިޓީ</t>
  </si>
  <si>
    <t xml:space="preserve">Table 11.11  TRANSPORT MOVEMENTS AT HANIMAADHOO INTERNATIONAL AIRPORT  BY AIRLINE, CROSS-CLASSIFIED BY PASSENGER, CARGO AND MAIL, 2013                  </t>
  </si>
  <si>
    <t xml:space="preserve">cnwxEaivEacDcneliawa </t>
  </si>
  <si>
    <t>Island Aviation (Scheduled)</t>
  </si>
  <si>
    <t xml:space="preserve">(cDclwauDex) cnwxEaivEacDcneliawa </t>
  </si>
  <si>
    <t xml:space="preserve">Note: </t>
  </si>
  <si>
    <t>ނޯޓް:</t>
  </si>
  <si>
    <t>hanimaadhoo international flights do not have the permit to handle Cargo &amp; Mail</t>
  </si>
  <si>
    <t>ގަން އިންޓަރނޭޝަނަލް އެއަރޕޯޓަށް ބައިނަލް އަޤްވާވީ ޕްލައިޓްތަކުން މުދާ އަދި މެއިލް އެތެރެކުރުމުގެ ހުއްދަ ދެވިފައެއްނުވެއެވެ.</t>
  </si>
  <si>
    <t xml:space="preserve">.evekwtcTiawlcf WviretctWkwrwH iawgukwtcscnwlEvrws idwa Wmwkcnwk clwkinckeT ,gcninErcT ,cnugenOTof Inenemih iawgiawbim 1_/  </t>
  </si>
  <si>
    <r>
      <rPr>
        <i/>
        <vertAlign val="superscript"/>
        <sz val="9"/>
        <rFont val="Calibri"/>
        <family val="2"/>
        <scheme val="minor"/>
      </rPr>
      <t>1_</t>
    </r>
    <r>
      <rPr>
        <i/>
        <sz val="9"/>
        <rFont val="Calibri"/>
        <family val="2"/>
        <scheme val="minor"/>
      </rPr>
      <t>/  Includes movements by photo, training, technical and surveillance flights</t>
    </r>
  </si>
  <si>
    <t>2013 ,cliaem iaWlwdum unulufua iaWncnurwjcniswf irukurutwfurutwd cnurwhwfuTOb egukwtcniawlrwaea ikeaikea cSwrwdnwbegiawv ImWvcqwaclwniawb UdWminwh  11.11:clwvWt</t>
  </si>
</sst>
</file>

<file path=xl/styles.xml><?xml version="1.0" encoding="utf-8"?>
<styleSheet xmlns="http://schemas.openxmlformats.org/spreadsheetml/2006/main">
  <numFmts count="3">
    <numFmt numFmtId="164" formatCode="General_)"/>
    <numFmt numFmtId="165" formatCode="0.0"/>
    <numFmt numFmtId="166" formatCode="_(* #,##0_);_(* \(#,##0\);_(* &quot;-&quot;??_);_(@_)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i/>
      <sz val="9"/>
      <name val="Arial"/>
      <family val="2"/>
    </font>
    <font>
      <sz val="10"/>
      <name val="Courier"/>
      <family val="3"/>
    </font>
    <font>
      <b/>
      <sz val="9"/>
      <name val="A_Randhoo"/>
    </font>
    <font>
      <sz val="9"/>
      <name val="A_Randhoo"/>
    </font>
    <font>
      <sz val="9"/>
      <name val="Arial"/>
      <family val="2"/>
    </font>
    <font>
      <b/>
      <sz val="12"/>
      <name val="A_Randhoo"/>
    </font>
    <font>
      <b/>
      <sz val="9"/>
      <name val="Akuru"/>
      <family val="2"/>
      <charset val="2"/>
    </font>
    <font>
      <sz val="9"/>
      <name val="Akuru"/>
      <family val="2"/>
      <charset val="2"/>
    </font>
    <font>
      <b/>
      <sz val="10"/>
      <name val="A_Randhoo"/>
    </font>
    <font>
      <sz val="10"/>
      <name val="MS Sans Serif"/>
      <family val="2"/>
    </font>
    <font>
      <sz val="10"/>
      <name val="A_Randhoo"/>
    </font>
    <font>
      <sz val="10"/>
      <name val="Faruma"/>
    </font>
    <font>
      <sz val="10"/>
      <name val="Garamond"/>
      <family val="1"/>
    </font>
    <font>
      <i/>
      <vertAlign val="superscript"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12" fillId="0" borderId="0"/>
    <xf numFmtId="0" fontId="6" fillId="0" borderId="0"/>
    <xf numFmtId="40" fontId="20" fillId="0" borderId="0" applyFont="0" applyFill="0" applyBorder="0" applyAlignment="0" applyProtection="0"/>
    <xf numFmtId="0" fontId="6" fillId="0" borderId="0"/>
    <xf numFmtId="166" fontId="12" fillId="0" borderId="0"/>
    <xf numFmtId="166" fontId="12" fillId="0" borderId="0"/>
    <xf numFmtId="165" fontId="12" fillId="0" borderId="0" applyFont="0" applyFill="0" applyBorder="0" applyAlignment="0" applyProtection="0"/>
  </cellStyleXfs>
  <cellXfs count="55">
    <xf numFmtId="0" fontId="0" fillId="0" borderId="0" xfId="0"/>
    <xf numFmtId="164" fontId="17" fillId="2" borderId="0" xfId="5" applyNumberFormat="1" applyFont="1" applyFill="1" applyBorder="1" applyAlignment="1" applyProtection="1">
      <alignment horizontal="left" vertical="center"/>
    </xf>
    <xf numFmtId="0" fontId="7" fillId="2" borderId="0" xfId="6" applyFont="1" applyFill="1" applyAlignment="1">
      <alignment vertical="center"/>
    </xf>
    <xf numFmtId="164" fontId="2" fillId="2" borderId="2" xfId="5" applyNumberFormat="1" applyFont="1" applyFill="1" applyBorder="1" applyAlignment="1" applyProtection="1">
      <alignment horizontal="left" vertical="center"/>
    </xf>
    <xf numFmtId="164" fontId="18" fillId="2" borderId="2" xfId="5" applyNumberFormat="1" applyFont="1" applyFill="1" applyBorder="1" applyAlignment="1">
      <alignment horizontal="right" vertical="center"/>
    </xf>
    <xf numFmtId="164" fontId="13" fillId="2" borderId="0" xfId="5" applyNumberFormat="1" applyFont="1" applyFill="1" applyBorder="1" applyAlignment="1">
      <alignment horizontal="right" vertical="center"/>
    </xf>
    <xf numFmtId="0" fontId="15" fillId="2" borderId="0" xfId="6" applyFont="1" applyFill="1" applyBorder="1" applyAlignment="1">
      <alignment vertical="center"/>
    </xf>
    <xf numFmtId="164" fontId="2" fillId="2" borderId="0" xfId="5" applyNumberFormat="1" applyFont="1" applyFill="1" applyBorder="1" applyAlignment="1" applyProtection="1">
      <alignment horizontal="left" vertical="center"/>
    </xf>
    <xf numFmtId="164" fontId="2" fillId="2" borderId="2" xfId="5" applyNumberFormat="1" applyFont="1" applyFill="1" applyBorder="1" applyAlignment="1">
      <alignment vertical="center"/>
    </xf>
    <xf numFmtId="164" fontId="2" fillId="2" borderId="2" xfId="5" applyNumberFormat="1" applyFont="1" applyFill="1" applyBorder="1" applyAlignment="1" applyProtection="1">
      <alignment horizontal="right" vertical="center"/>
    </xf>
    <xf numFmtId="164" fontId="9" fillId="2" borderId="2" xfId="0" applyNumberFormat="1" applyFont="1" applyFill="1" applyBorder="1" applyAlignment="1" applyProtection="1">
      <alignment horizontal="left" vertical="center"/>
    </xf>
    <xf numFmtId="164" fontId="13" fillId="2" borderId="0" xfId="5" applyNumberFormat="1" applyFont="1" applyFill="1" applyAlignment="1">
      <alignment horizontal="right" vertical="center"/>
    </xf>
    <xf numFmtId="38" fontId="8" fillId="2" borderId="0" xfId="7" applyNumberFormat="1" applyFont="1" applyFill="1" applyAlignment="1" applyProtection="1">
      <alignment horizontal="right" vertical="center"/>
    </xf>
    <xf numFmtId="38" fontId="8" fillId="2" borderId="0" xfId="7" applyNumberFormat="1" applyFont="1" applyFill="1" applyAlignment="1">
      <alignment horizontal="right" vertical="center"/>
    </xf>
    <xf numFmtId="164" fontId="10" fillId="2" borderId="0" xfId="5" applyNumberFormat="1" applyFont="1" applyFill="1" applyBorder="1" applyAlignment="1" applyProtection="1">
      <alignment horizontal="left" vertical="center"/>
    </xf>
    <xf numFmtId="37" fontId="15" fillId="2" borderId="0" xfId="5" applyNumberFormat="1" applyFont="1" applyFill="1" applyBorder="1" applyAlignment="1" applyProtection="1">
      <alignment horizontal="right" vertical="center"/>
    </xf>
    <xf numFmtId="164" fontId="10" fillId="2" borderId="0" xfId="5" applyNumberFormat="1" applyFont="1" applyFill="1" applyAlignment="1" applyProtection="1">
      <alignment horizontal="left" vertical="center"/>
    </xf>
    <xf numFmtId="37" fontId="15" fillId="2" borderId="0" xfId="5" applyNumberFormat="1" applyFont="1" applyFill="1" applyAlignment="1" applyProtection="1">
      <alignment vertical="center"/>
    </xf>
    <xf numFmtId="0" fontId="14" fillId="2" borderId="0" xfId="8" applyFont="1" applyFill="1" applyAlignment="1">
      <alignment vertical="center"/>
    </xf>
    <xf numFmtId="0" fontId="22" fillId="2" borderId="1" xfId="0" applyNumberFormat="1" applyFont="1" applyFill="1" applyBorder="1" applyAlignment="1">
      <alignment horizontal="right" vertical="center"/>
    </xf>
    <xf numFmtId="38" fontId="9" fillId="2" borderId="0" xfId="7" applyNumberFormat="1" applyFont="1" applyFill="1" applyBorder="1" applyAlignment="1">
      <alignment horizontal="right" vertical="center"/>
    </xf>
    <xf numFmtId="164" fontId="4" fillId="2" borderId="0" xfId="0" applyNumberFormat="1" applyFont="1" applyFill="1"/>
    <xf numFmtId="164" fontId="7" fillId="2" borderId="2" xfId="5" applyNumberFormat="1" applyFont="1" applyFill="1" applyBorder="1" applyAlignment="1" applyProtection="1">
      <alignment horizontal="center" vertical="center"/>
    </xf>
    <xf numFmtId="164" fontId="4" fillId="2" borderId="0" xfId="0" applyNumberFormat="1" applyFont="1" applyFill="1" applyBorder="1"/>
    <xf numFmtId="164" fontId="13" fillId="2" borderId="2" xfId="5" applyNumberFormat="1" applyFont="1" applyFill="1" applyBorder="1" applyAlignment="1">
      <alignment horizontal="right" vertical="center"/>
    </xf>
    <xf numFmtId="164" fontId="2" fillId="2" borderId="2" xfId="5" applyNumberFormat="1" applyFont="1" applyFill="1" applyBorder="1" applyAlignment="1" applyProtection="1">
      <alignment vertical="center"/>
    </xf>
    <xf numFmtId="164" fontId="13" fillId="2" borderId="0" xfId="5" applyNumberFormat="1" applyFont="1" applyFill="1" applyBorder="1" applyAlignment="1">
      <alignment horizontal="right" vertical="center" wrapText="1"/>
    </xf>
    <xf numFmtId="0" fontId="13" fillId="2" borderId="0" xfId="6" applyFont="1" applyFill="1" applyBorder="1" applyAlignment="1">
      <alignment horizontal="right" vertical="center"/>
    </xf>
    <xf numFmtId="0" fontId="13" fillId="2" borderId="2" xfId="6" applyFont="1" applyFill="1" applyBorder="1" applyAlignment="1">
      <alignment vertical="center"/>
    </xf>
    <xf numFmtId="38" fontId="8" fillId="2" borderId="0" xfId="7" applyNumberFormat="1" applyFont="1" applyFill="1" applyBorder="1" applyAlignment="1">
      <alignment horizontal="right" vertical="center"/>
    </xf>
    <xf numFmtId="0" fontId="19" fillId="2" borderId="0" xfId="6" applyFont="1" applyFill="1" applyBorder="1" applyAlignment="1">
      <alignment horizontal="right" vertical="center"/>
    </xf>
    <xf numFmtId="164" fontId="9" fillId="2" borderId="0" xfId="5" applyNumberFormat="1" applyFont="1" applyFill="1" applyBorder="1" applyAlignment="1" applyProtection="1">
      <alignment horizontal="left" vertical="center"/>
    </xf>
    <xf numFmtId="0" fontId="21" fillId="2" borderId="0" xfId="6" applyFont="1" applyFill="1" applyBorder="1" applyAlignment="1">
      <alignment horizontal="right" vertical="center"/>
    </xf>
    <xf numFmtId="164" fontId="8" fillId="2" borderId="0" xfId="5" applyNumberFormat="1" applyFont="1" applyFill="1" applyBorder="1" applyAlignment="1" applyProtection="1">
      <alignment horizontal="left" vertical="center"/>
    </xf>
    <xf numFmtId="164" fontId="19" fillId="2" borderId="0" xfId="5" applyNumberFormat="1" applyFont="1" applyFill="1" applyBorder="1" applyAlignment="1" applyProtection="1">
      <alignment horizontal="right" vertical="center"/>
    </xf>
    <xf numFmtId="0" fontId="21" fillId="2" borderId="2" xfId="6" applyFont="1" applyFill="1" applyBorder="1" applyAlignment="1">
      <alignment horizontal="right" vertical="center"/>
    </xf>
    <xf numFmtId="38" fontId="9" fillId="2" borderId="0" xfId="7" applyNumberFormat="1" applyFont="1" applyFill="1" applyBorder="1" applyAlignment="1" applyProtection="1">
      <alignment horizontal="right" vertical="center"/>
      <protection locked="0"/>
    </xf>
    <xf numFmtId="0" fontId="22" fillId="2" borderId="0" xfId="6" applyFont="1" applyFill="1" applyBorder="1" applyAlignment="1">
      <alignment horizontal="right" vertical="center"/>
    </xf>
    <xf numFmtId="164" fontId="15" fillId="2" borderId="0" xfId="5" applyNumberFormat="1" applyFont="1" applyFill="1" applyBorder="1" applyAlignment="1" applyProtection="1">
      <alignment horizontal="right" vertical="center"/>
    </xf>
    <xf numFmtId="164" fontId="22" fillId="2" borderId="0" xfId="0" applyNumberFormat="1" applyFont="1" applyFill="1"/>
    <xf numFmtId="164" fontId="12" fillId="2" borderId="0" xfId="0" applyNumberFormat="1" applyFont="1" applyFill="1"/>
    <xf numFmtId="164" fontId="14" fillId="2" borderId="0" xfId="5" applyNumberFormat="1" applyFont="1" applyFill="1" applyBorder="1" applyAlignment="1">
      <alignment horizontal="right" vertical="center"/>
    </xf>
    <xf numFmtId="164" fontId="11" fillId="2" borderId="0" xfId="5" applyNumberFormat="1" applyFont="1" applyFill="1" applyAlignment="1" applyProtection="1">
      <alignment horizontal="left" vertical="center"/>
    </xf>
    <xf numFmtId="164" fontId="10" fillId="2" borderId="0" xfId="5" applyNumberFormat="1" applyFont="1" applyFill="1" applyBorder="1" applyAlignment="1">
      <alignment vertical="center"/>
    </xf>
    <xf numFmtId="164" fontId="10" fillId="2" borderId="0" xfId="0" applyNumberFormat="1" applyFont="1" applyFill="1" applyBorder="1" applyAlignment="1" applyProtection="1">
      <alignment horizontal="left" vertical="center"/>
    </xf>
    <xf numFmtId="164" fontId="8" fillId="2" borderId="0" xfId="5" applyNumberFormat="1" applyFont="1" applyFill="1" applyBorder="1" applyAlignment="1">
      <alignment horizontal="left" vertical="center"/>
    </xf>
    <xf numFmtId="164" fontId="19" fillId="2" borderId="0" xfId="5" applyNumberFormat="1" applyFont="1" applyFill="1" applyBorder="1" applyAlignment="1">
      <alignment horizontal="right" vertical="center"/>
    </xf>
    <xf numFmtId="38" fontId="9" fillId="2" borderId="0" xfId="7" applyNumberFormat="1" applyFont="1" applyFill="1" applyAlignment="1">
      <alignment horizontal="right" vertical="center"/>
    </xf>
    <xf numFmtId="38" fontId="9" fillId="2" borderId="0" xfId="7" applyNumberFormat="1" applyFont="1" applyFill="1" applyBorder="1" applyAlignment="1" applyProtection="1">
      <alignment horizontal="right" vertical="center"/>
    </xf>
    <xf numFmtId="38" fontId="8" fillId="2" borderId="0" xfId="7" applyNumberFormat="1" applyFont="1" applyFill="1" applyAlignment="1">
      <alignment horizontal="right"/>
    </xf>
    <xf numFmtId="38" fontId="9" fillId="2" borderId="0" xfId="7" applyNumberFormat="1" applyFont="1" applyFill="1" applyAlignment="1">
      <alignment horizontal="right"/>
    </xf>
    <xf numFmtId="38" fontId="9" fillId="2" borderId="2" xfId="7" applyNumberFormat="1" applyFont="1" applyFill="1" applyBorder="1" applyAlignment="1" applyProtection="1">
      <alignment horizontal="right" vertical="center"/>
      <protection locked="0"/>
    </xf>
    <xf numFmtId="38" fontId="9" fillId="2" borderId="2" xfId="7" applyNumberFormat="1" applyFont="1" applyFill="1" applyBorder="1" applyAlignment="1">
      <alignment horizontal="right" vertical="center"/>
    </xf>
    <xf numFmtId="164" fontId="16" fillId="2" borderId="0" xfId="5" applyNumberFormat="1" applyFont="1" applyFill="1" applyBorder="1" applyAlignment="1">
      <alignment horizontal="center" vertical="center"/>
    </xf>
    <xf numFmtId="164" fontId="3" fillId="2" borderId="0" xfId="5" applyNumberFormat="1" applyFont="1" applyFill="1" applyBorder="1" applyAlignment="1" applyProtection="1">
      <alignment horizontal="center" vertical="center"/>
    </xf>
  </cellXfs>
  <cellStyles count="12">
    <cellStyle name="Comma 2" xfId="7"/>
    <cellStyle name="Comma 4" xfId="11"/>
    <cellStyle name="Hyperlink 2" xfId="1"/>
    <cellStyle name="Normal" xfId="0" builtinId="0"/>
    <cellStyle name="Normal 2" xfId="5"/>
    <cellStyle name="Normal 2 3" xfId="3"/>
    <cellStyle name="Normal 3" xfId="9"/>
    <cellStyle name="Normal 3 2" xfId="4"/>
    <cellStyle name="Normal 4" xfId="10"/>
    <cellStyle name="Normal 5" xfId="2"/>
    <cellStyle name="Normal_IX-6(Trans &amp; Comm)" xfId="8"/>
    <cellStyle name="Normal_IX-9(Trans &amp; Comm)" xfId="6"/>
  </cellStyles>
  <dxfs count="0"/>
  <tableStyles count="0" defaultTableStyle="TableStyleMedium9" defaultPivotStyle="PivotStyleLight16"/>
  <colors>
    <mruColors>
      <color rgb="FFFFFFCC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M19"/>
  <sheetViews>
    <sheetView tabSelected="1" zoomScaleSheetLayoutView="95" workbookViewId="0">
      <selection activeCell="L24" sqref="L24"/>
    </sheetView>
  </sheetViews>
  <sheetFormatPr defaultColWidth="9.109375" defaultRowHeight="14.4"/>
  <cols>
    <col min="1" max="1" width="24.5546875" style="21" customWidth="1"/>
    <col min="2" max="2" width="14.88671875" style="21" customWidth="1"/>
    <col min="3" max="4" width="12.33203125" style="21" customWidth="1"/>
    <col min="5" max="5" width="15.6640625" style="21" customWidth="1"/>
    <col min="6" max="6" width="3" style="21" customWidth="1"/>
    <col min="7" max="7" width="11.33203125" style="21" customWidth="1"/>
    <col min="8" max="8" width="12.88671875" style="21" customWidth="1"/>
    <col min="9" max="9" width="16.6640625" style="21" customWidth="1"/>
    <col min="10" max="10" width="2.6640625" style="21" customWidth="1"/>
    <col min="11" max="12" width="11.44140625" style="21" customWidth="1"/>
    <col min="13" max="13" width="38.88671875" style="21" customWidth="1"/>
    <col min="14" max="14" width="4.109375" style="21" customWidth="1"/>
    <col min="15" max="16384" width="9.109375" style="21"/>
  </cols>
  <sheetData>
    <row r="1" spans="1:13" ht="19.2">
      <c r="A1" s="53" t="s">
        <v>45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</row>
    <row r="2" spans="1:13">
      <c r="A2" s="54" t="s">
        <v>35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</row>
    <row r="3" spans="1:13" s="23" customForma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spans="1:13">
      <c r="A4" s="1"/>
      <c r="B4" s="2"/>
      <c r="C4" s="3" t="s">
        <v>2</v>
      </c>
      <c r="D4" s="4"/>
      <c r="E4" s="24" t="s">
        <v>3</v>
      </c>
      <c r="F4" s="5"/>
      <c r="G4" s="25" t="s">
        <v>4</v>
      </c>
      <c r="H4" s="4"/>
      <c r="I4" s="24" t="s">
        <v>5</v>
      </c>
      <c r="J4" s="5"/>
      <c r="K4" s="3" t="s">
        <v>6</v>
      </c>
      <c r="L4" s="24" t="s">
        <v>7</v>
      </c>
      <c r="M4" s="6"/>
    </row>
    <row r="5" spans="1:13">
      <c r="A5" s="7" t="s">
        <v>8</v>
      </c>
      <c r="B5" s="5" t="s">
        <v>9</v>
      </c>
      <c r="C5" s="5" t="s">
        <v>10</v>
      </c>
      <c r="D5" s="11" t="s">
        <v>11</v>
      </c>
      <c r="E5" s="5" t="s">
        <v>12</v>
      </c>
      <c r="F5" s="5"/>
      <c r="G5" s="5" t="s">
        <v>13</v>
      </c>
      <c r="H5" s="5" t="s">
        <v>14</v>
      </c>
      <c r="I5" s="26" t="s">
        <v>12</v>
      </c>
      <c r="J5" s="5"/>
      <c r="K5" s="5" t="s">
        <v>13</v>
      </c>
      <c r="L5" s="11" t="s">
        <v>14</v>
      </c>
      <c r="M5" s="27" t="s">
        <v>15</v>
      </c>
    </row>
    <row r="6" spans="1:13">
      <c r="A6" s="8"/>
      <c r="B6" s="9" t="s">
        <v>16</v>
      </c>
      <c r="C6" s="9" t="s">
        <v>17</v>
      </c>
      <c r="D6" s="9" t="s">
        <v>18</v>
      </c>
      <c r="E6" s="9" t="s">
        <v>19</v>
      </c>
      <c r="F6" s="9"/>
      <c r="G6" s="9" t="s">
        <v>17</v>
      </c>
      <c r="H6" s="9" t="s">
        <v>18</v>
      </c>
      <c r="I6" s="9" t="s">
        <v>19</v>
      </c>
      <c r="J6" s="9"/>
      <c r="K6" s="9" t="s">
        <v>17</v>
      </c>
      <c r="L6" s="9" t="s">
        <v>18</v>
      </c>
      <c r="M6" s="28"/>
    </row>
    <row r="7" spans="1:13" ht="16.2">
      <c r="A7" s="45" t="s">
        <v>1</v>
      </c>
      <c r="B7" s="29">
        <f>SUM(B8+B13)</f>
        <v>1957</v>
      </c>
      <c r="C7" s="29">
        <f>SUM(C8+C13)</f>
        <v>42380</v>
      </c>
      <c r="D7" s="29">
        <f>SUM(D8+D13)</f>
        <v>42668</v>
      </c>
      <c r="E7" s="29">
        <f>SUM(E8+E13)</f>
        <v>0</v>
      </c>
      <c r="F7" s="29"/>
      <c r="G7" s="29">
        <f>SUM(G13)+G8</f>
        <v>42934</v>
      </c>
      <c r="H7" s="29">
        <f>SUM(H13)+H8</f>
        <v>7115</v>
      </c>
      <c r="I7" s="29">
        <f>SUM(I13)</f>
        <v>0</v>
      </c>
      <c r="J7" s="29"/>
      <c r="K7" s="29">
        <f>SUM(K13)+K8</f>
        <v>2660</v>
      </c>
      <c r="L7" s="29">
        <f>SUM(L13)</f>
        <v>1693.9</v>
      </c>
      <c r="M7" s="30" t="s">
        <v>0</v>
      </c>
    </row>
    <row r="8" spans="1:13" ht="16.2">
      <c r="A8" s="45" t="s">
        <v>20</v>
      </c>
      <c r="B8" s="29">
        <f>SUM(B9+B10+B12)</f>
        <v>83</v>
      </c>
      <c r="C8" s="29">
        <f>SUM(C9+C10+C12)</f>
        <v>1979</v>
      </c>
      <c r="D8" s="29">
        <f>SUM(D9+D10+D12)</f>
        <v>2109</v>
      </c>
      <c r="E8" s="29">
        <v>0</v>
      </c>
      <c r="F8" s="29"/>
      <c r="G8" s="29">
        <f>G9+G10+G12</f>
        <v>17142</v>
      </c>
      <c r="H8" s="29">
        <f>H9+H10+H12</f>
        <v>272</v>
      </c>
      <c r="I8" s="29">
        <v>0</v>
      </c>
      <c r="J8" s="29"/>
      <c r="K8" s="29">
        <f>K9+K10+K12</f>
        <v>0</v>
      </c>
      <c r="L8" s="29">
        <f>L9+L10+L12</f>
        <v>0</v>
      </c>
      <c r="M8" s="30" t="s">
        <v>21</v>
      </c>
    </row>
    <row r="9" spans="1:13" ht="16.2">
      <c r="A9" s="45" t="s">
        <v>22</v>
      </c>
      <c r="B9" s="29">
        <v>0</v>
      </c>
      <c r="C9" s="29">
        <v>0</v>
      </c>
      <c r="D9" s="29">
        <v>0</v>
      </c>
      <c r="E9" s="29">
        <v>0</v>
      </c>
      <c r="F9" s="29"/>
      <c r="G9" s="29">
        <v>0</v>
      </c>
      <c r="H9" s="29">
        <v>0</v>
      </c>
      <c r="I9" s="29">
        <v>0</v>
      </c>
      <c r="J9" s="29"/>
      <c r="K9" s="29">
        <v>0</v>
      </c>
      <c r="L9" s="29">
        <v>0</v>
      </c>
      <c r="M9" s="30" t="s">
        <v>23</v>
      </c>
    </row>
    <row r="10" spans="1:13" ht="16.2">
      <c r="A10" s="45" t="s">
        <v>24</v>
      </c>
      <c r="B10" s="29">
        <f>SUM(B11:B11)</f>
        <v>83</v>
      </c>
      <c r="C10" s="29">
        <f>SUM(C11:C11)</f>
        <v>1979</v>
      </c>
      <c r="D10" s="29">
        <f>SUM(D11:D11)</f>
        <v>2109</v>
      </c>
      <c r="E10" s="29">
        <f>SUM(E11:E11)</f>
        <v>0</v>
      </c>
      <c r="F10" s="29"/>
      <c r="G10" s="29">
        <f>SUM(G11:G11)</f>
        <v>17142</v>
      </c>
      <c r="H10" s="29">
        <f>SUM(H11:H11)</f>
        <v>272</v>
      </c>
      <c r="I10" s="29">
        <f>SUM(I11:I11)</f>
        <v>0</v>
      </c>
      <c r="J10" s="29"/>
      <c r="K10" s="29">
        <f>SUM(K11:K11)</f>
        <v>0</v>
      </c>
      <c r="L10" s="29">
        <f>SUM(L11:L11)</f>
        <v>0</v>
      </c>
      <c r="M10" s="30" t="s">
        <v>25</v>
      </c>
    </row>
    <row r="11" spans="1:13" ht="16.2">
      <c r="A11" s="31" t="s">
        <v>30</v>
      </c>
      <c r="B11" s="20">
        <v>83</v>
      </c>
      <c r="C11" s="20">
        <v>1979</v>
      </c>
      <c r="D11" s="20">
        <v>2109</v>
      </c>
      <c r="E11" s="20">
        <v>0</v>
      </c>
      <c r="F11" s="20"/>
      <c r="G11" s="20">
        <v>17142</v>
      </c>
      <c r="H11" s="20">
        <v>272</v>
      </c>
      <c r="I11" s="20">
        <v>0</v>
      </c>
      <c r="J11" s="20"/>
      <c r="K11" s="20">
        <v>0</v>
      </c>
      <c r="L11" s="20">
        <v>0</v>
      </c>
      <c r="M11" s="32" t="s">
        <v>36</v>
      </c>
    </row>
    <row r="12" spans="1:13" ht="16.2">
      <c r="A12" s="33" t="s">
        <v>26</v>
      </c>
      <c r="B12" s="13">
        <v>0</v>
      </c>
      <c r="C12" s="13">
        <v>0</v>
      </c>
      <c r="D12" s="49">
        <v>0</v>
      </c>
      <c r="E12" s="13">
        <v>0</v>
      </c>
      <c r="F12" s="13"/>
      <c r="G12" s="13">
        <v>0</v>
      </c>
      <c r="H12" s="13">
        <v>0</v>
      </c>
      <c r="I12" s="13">
        <v>0</v>
      </c>
      <c r="J12" s="13"/>
      <c r="K12" s="13">
        <v>0</v>
      </c>
      <c r="L12" s="13">
        <v>0</v>
      </c>
      <c r="M12" s="34" t="s">
        <v>27</v>
      </c>
    </row>
    <row r="13" spans="1:13" ht="16.2">
      <c r="A13" s="33" t="s">
        <v>28</v>
      </c>
      <c r="B13" s="12">
        <f>SUM(B14:B15)</f>
        <v>1874</v>
      </c>
      <c r="C13" s="12">
        <f>SUM(C14:C15)</f>
        <v>40401</v>
      </c>
      <c r="D13" s="12">
        <f>SUM(D14:D15)</f>
        <v>40559</v>
      </c>
      <c r="E13" s="12">
        <f>SUM(E14:E15)</f>
        <v>0</v>
      </c>
      <c r="F13" s="12"/>
      <c r="G13" s="12">
        <f>SUM(G14:G15)</f>
        <v>25792</v>
      </c>
      <c r="H13" s="12">
        <f>SUM(H14:H15)</f>
        <v>6843</v>
      </c>
      <c r="I13" s="12">
        <f>SUM(I14:I15)</f>
        <v>0</v>
      </c>
      <c r="J13" s="12"/>
      <c r="K13" s="12">
        <f>SUM(K14:K15)</f>
        <v>2660</v>
      </c>
      <c r="L13" s="12">
        <f>SUM(L14:L15)</f>
        <v>1693.9</v>
      </c>
      <c r="M13" s="46" t="s">
        <v>29</v>
      </c>
    </row>
    <row r="14" spans="1:13" ht="16.2">
      <c r="A14" s="31" t="s">
        <v>37</v>
      </c>
      <c r="B14" s="47">
        <v>1874</v>
      </c>
      <c r="C14" s="47">
        <v>40401</v>
      </c>
      <c r="D14" s="47">
        <v>40559</v>
      </c>
      <c r="E14" s="47">
        <v>0</v>
      </c>
      <c r="F14" s="36"/>
      <c r="G14" s="47">
        <v>25792</v>
      </c>
      <c r="H14" s="47">
        <v>6843</v>
      </c>
      <c r="I14" s="47">
        <v>0</v>
      </c>
      <c r="J14" s="48"/>
      <c r="K14" s="50">
        <v>2660</v>
      </c>
      <c r="L14" s="50">
        <v>1693.9</v>
      </c>
      <c r="M14" s="32" t="s">
        <v>38</v>
      </c>
    </row>
    <row r="15" spans="1:13" ht="16.2">
      <c r="A15" s="10" t="s">
        <v>31</v>
      </c>
      <c r="B15" s="51">
        <v>0</v>
      </c>
      <c r="C15" s="52">
        <v>0</v>
      </c>
      <c r="D15" s="52">
        <v>0</v>
      </c>
      <c r="E15" s="52">
        <v>0</v>
      </c>
      <c r="F15" s="52"/>
      <c r="G15" s="52">
        <v>0</v>
      </c>
      <c r="H15" s="52">
        <v>0</v>
      </c>
      <c r="I15" s="52">
        <v>0</v>
      </c>
      <c r="J15" s="52"/>
      <c r="K15" s="52">
        <v>0</v>
      </c>
      <c r="L15" s="52">
        <v>0</v>
      </c>
      <c r="M15" s="35" t="s">
        <v>32</v>
      </c>
    </row>
    <row r="16" spans="1:13" ht="18.600000000000001">
      <c r="A16" s="44" t="s">
        <v>39</v>
      </c>
      <c r="B16" s="36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37" t="s">
        <v>40</v>
      </c>
    </row>
    <row r="17" spans="1:13" s="40" customFormat="1" ht="14.4" customHeight="1">
      <c r="A17" s="43" t="s">
        <v>41</v>
      </c>
      <c r="B17" s="38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39" t="s">
        <v>42</v>
      </c>
    </row>
    <row r="18" spans="1:13" s="40" customFormat="1">
      <c r="A18" s="14" t="s">
        <v>44</v>
      </c>
      <c r="B18" s="38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41" t="s">
        <v>43</v>
      </c>
    </row>
    <row r="19" spans="1:13" s="40" customFormat="1" ht="18.600000000000001">
      <c r="A19" s="16" t="s">
        <v>33</v>
      </c>
      <c r="B19" s="42"/>
      <c r="C19" s="17"/>
      <c r="D19" s="17"/>
      <c r="E19" s="17"/>
      <c r="F19" s="17"/>
      <c r="G19" s="17"/>
      <c r="H19" s="18"/>
      <c r="I19" s="18"/>
      <c r="J19" s="18"/>
      <c r="M19" s="19" t="s">
        <v>34</v>
      </c>
    </row>
  </sheetData>
  <mergeCells count="2">
    <mergeCell ref="A1:M1"/>
    <mergeCell ref="A2:M2"/>
  </mergeCells>
  <pageMargins left="0.23" right="0.17" top="0.42" bottom="0.17" header="0.3" footer="0.3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11.11 </vt:lpstr>
      <vt:lpstr>'11.11 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2015-02-11T04:12:26Z</cp:lastPrinted>
  <dcterms:created xsi:type="dcterms:W3CDTF">2014-05-22T03:57:11Z</dcterms:created>
  <dcterms:modified xsi:type="dcterms:W3CDTF">2015-02-11T04:37:23Z</dcterms:modified>
</cp:coreProperties>
</file>