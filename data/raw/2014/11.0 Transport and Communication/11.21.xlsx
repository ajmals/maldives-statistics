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0" windowWidth="15252" windowHeight="8160" tabRatio="894"/>
  </bookViews>
  <sheets>
    <sheet name=" 11.21" sheetId="16" r:id="rId1"/>
  </sheets>
  <definedNames>
    <definedName name="_xlnm.Print_Area" localSheetId="0">' 11.21'!$A$1:$I$20</definedName>
  </definedNames>
  <calcPr calcId="124519"/>
</workbook>
</file>

<file path=xl/calcChain.xml><?xml version="1.0" encoding="utf-8"?>
<calcChain xmlns="http://schemas.openxmlformats.org/spreadsheetml/2006/main">
  <c r="B19" i="16"/>
  <c r="B18"/>
  <c r="B17"/>
  <c r="B16"/>
  <c r="B15"/>
  <c r="B14"/>
  <c r="B13"/>
  <c r="B12"/>
  <c r="B11"/>
  <c r="B10"/>
  <c r="B9"/>
  <c r="B8"/>
  <c r="H7"/>
  <c r="G7"/>
  <c r="F7"/>
  <c r="E7"/>
  <c r="D7"/>
  <c r="C7"/>
  <c r="B7"/>
</calcChain>
</file>

<file path=xl/sharedStrings.xml><?xml version="1.0" encoding="utf-8"?>
<sst xmlns="http://schemas.openxmlformats.org/spreadsheetml/2006/main" count="42" uniqueCount="39">
  <si>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</si>
  <si>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</si>
  <si>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</si>
  <si>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</si>
  <si>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</si>
  <si>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</si>
  <si>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</si>
  <si>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</si>
  <si>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</si>
  <si>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</si>
  <si>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</si>
  <si>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</si>
  <si>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</si>
  <si>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</si>
  <si>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</si>
  <si>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May</t>
  </si>
  <si>
    <t>Em</t>
  </si>
  <si>
    <t>June</t>
  </si>
  <si>
    <t>cnUj</t>
  </si>
  <si>
    <t>July</t>
  </si>
  <si>
    <t>iawluj</t>
  </si>
  <si>
    <t>August</t>
  </si>
  <si>
    <t>September</t>
  </si>
  <si>
    <t>rwbcmeTcpes</t>
  </si>
  <si>
    <t>October</t>
  </si>
  <si>
    <t>November</t>
  </si>
  <si>
    <t>rwbcmevon</t>
  </si>
  <si>
    <t>December</t>
  </si>
  <si>
    <t>rwbcmesiD</t>
  </si>
  <si>
    <t>clIrcPEa</t>
  </si>
  <si>
    <t>cTcswgOa</t>
  </si>
  <si>
    <t>rwbOTckoa</t>
  </si>
  <si>
    <t xml:space="preserve">        Total </t>
  </si>
  <si>
    <t>Direct Transit</t>
  </si>
  <si>
    <t>(in Kg)</t>
  </si>
  <si>
    <t>Inward</t>
  </si>
  <si>
    <t>Outward</t>
  </si>
  <si>
    <t>ތާވަލު 11.20: މަސްމަހުގެ ގޮތުން އިބްރާހީމް ނާސިރު އިންޓަރނޭޝަނަލް އެއަރޕޯޓުގައި ފަސިންޖަރުންގެ ދަތުރުފަތުރު ހުރި ގޮތް، 2013</t>
  </si>
  <si>
    <t>Table  11.21 :  CARGO HANDLED AT IBRAHIM NASIR INTERNATIONAL AIRPORT BY MONTH, 2013</t>
  </si>
</sst>
</file>

<file path=xl/styles.xml><?xml version="1.0" encoding="utf-8"?>
<styleSheet xmlns="http://schemas.openxmlformats.org/spreadsheetml/2006/main">
  <numFmts count="3">
    <numFmt numFmtId="164" formatCode="General_)"/>
    <numFmt numFmtId="165" formatCode="0.0"/>
    <numFmt numFmtId="166" formatCode="_(* #,##0_);_(* \(#,##0\);_(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9"/>
      <name val="Faruma"/>
    </font>
    <font>
      <sz val="10"/>
      <name val="Courier"/>
      <family val="3"/>
    </font>
    <font>
      <b/>
      <sz val="11"/>
      <color theme="1"/>
      <name val="Faruma"/>
    </font>
    <font>
      <b/>
      <sz val="10"/>
      <name val="A_Randhoo"/>
    </font>
    <font>
      <sz val="10"/>
      <name val="MS Sans Serif"/>
      <family val="2"/>
    </font>
    <font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164" fontId="10" fillId="0" borderId="0"/>
    <xf numFmtId="40" fontId="13" fillId="0" borderId="0" applyFont="0" applyFill="0" applyBorder="0" applyAlignment="0" applyProtection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5" fillId="0" borderId="0"/>
  </cellStyleXfs>
  <cellXfs count="43">
    <xf numFmtId="0" fontId="0" fillId="0" borderId="0" xfId="0"/>
    <xf numFmtId="164" fontId="0" fillId="2" borderId="0" xfId="0" applyNumberFormat="1" applyFill="1"/>
    <xf numFmtId="164" fontId="2" fillId="2" borderId="0" xfId="5" applyNumberFormat="1" applyFont="1" applyFill="1" applyBorder="1" applyAlignment="1" applyProtection="1">
      <alignment horizontal="left" vertical="center"/>
    </xf>
    <xf numFmtId="164" fontId="2" fillId="2" borderId="3" xfId="5" applyNumberFormat="1" applyFont="1" applyFill="1" applyBorder="1" applyAlignment="1" applyProtection="1">
      <alignment horizontal="right" vertical="center"/>
    </xf>
    <xf numFmtId="164" fontId="3" fillId="2" borderId="0" xfId="5" applyNumberFormat="1" applyFont="1" applyFill="1" applyBorder="1" applyAlignment="1" applyProtection="1">
      <alignment horizontal="left" vertical="center"/>
    </xf>
    <xf numFmtId="164" fontId="3" fillId="2" borderId="3" xfId="5" applyNumberFormat="1" applyFont="1" applyFill="1" applyBorder="1" applyAlignment="1" applyProtection="1">
      <alignment horizontal="left" vertical="center"/>
    </xf>
    <xf numFmtId="164" fontId="14" fillId="2" borderId="0" xfId="5" applyNumberFormat="1" applyFont="1" applyFill="1" applyBorder="1" applyAlignment="1">
      <alignment horizontal="right" vertical="center"/>
    </xf>
    <xf numFmtId="164" fontId="14" fillId="2" borderId="3" xfId="5" applyNumberFormat="1" applyFont="1" applyFill="1" applyBorder="1" applyAlignment="1">
      <alignment horizontal="right" vertical="center"/>
    </xf>
    <xf numFmtId="164" fontId="6" fillId="2" borderId="2" xfId="5" applyNumberFormat="1" applyFont="1" applyFill="1" applyBorder="1" applyAlignment="1" applyProtection="1">
      <alignment horizontal="left" vertical="center"/>
    </xf>
    <xf numFmtId="164" fontId="6" fillId="2" borderId="3" xfId="5" applyNumberFormat="1" applyFont="1" applyFill="1" applyBorder="1" applyAlignment="1" applyProtection="1">
      <alignment horizontal="left" vertical="center"/>
    </xf>
    <xf numFmtId="164" fontId="12" fillId="2" borderId="0" xfId="5" applyNumberFormat="1" applyFont="1" applyFill="1" applyBorder="1" applyAlignment="1">
      <alignment horizontal="right" vertical="center"/>
    </xf>
    <xf numFmtId="164" fontId="2" fillId="2" borderId="3" xfId="5" applyNumberFormat="1" applyFont="1" applyFill="1" applyBorder="1" applyAlignment="1" applyProtection="1">
      <alignment horizontal="right" vertical="center" wrapText="1"/>
    </xf>
    <xf numFmtId="0" fontId="9" fillId="2" borderId="1" xfId="0" applyNumberFormat="1" applyFont="1" applyFill="1" applyBorder="1" applyAlignment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 wrapText="1"/>
    </xf>
    <xf numFmtId="164" fontId="0" fillId="2" borderId="0" xfId="0" applyNumberFormat="1" applyFill="1" applyAlignment="1">
      <alignment vertical="top"/>
    </xf>
    <xf numFmtId="164" fontId="7" fillId="2" borderId="0" xfId="5" applyNumberFormat="1" applyFont="1" applyFill="1" applyAlignment="1" applyProtection="1">
      <alignment horizontal="left" vertical="top"/>
    </xf>
    <xf numFmtId="0" fontId="8" fillId="2" borderId="1" xfId="0" applyNumberFormat="1" applyFont="1" applyFill="1" applyBorder="1" applyAlignment="1">
      <alignment horizontal="right" vertical="top"/>
    </xf>
    <xf numFmtId="0" fontId="6" fillId="2" borderId="0" xfId="10" applyFont="1" applyFill="1" applyAlignment="1">
      <alignment vertical="center"/>
    </xf>
    <xf numFmtId="164" fontId="6" fillId="2" borderId="3" xfId="5" applyNumberFormat="1" applyFont="1" applyFill="1" applyBorder="1" applyAlignment="1" applyProtection="1">
      <alignment horizontal="right" vertical="center" wrapText="1"/>
    </xf>
    <xf numFmtId="164" fontId="2" fillId="2" borderId="5" xfId="5" applyNumberFormat="1" applyFont="1" applyFill="1" applyBorder="1" applyAlignment="1" applyProtection="1">
      <alignment horizontal="right" vertical="center" wrapText="1"/>
    </xf>
    <xf numFmtId="38" fontId="2" fillId="2" borderId="0" xfId="6" applyNumberFormat="1" applyFont="1" applyFill="1" applyAlignment="1" applyProtection="1">
      <alignment horizontal="right" vertical="center"/>
    </xf>
    <xf numFmtId="38" fontId="2" fillId="2" borderId="0" xfId="6" applyNumberFormat="1" applyFont="1" applyFill="1" applyBorder="1" applyAlignment="1" applyProtection="1">
      <alignment horizontal="right" vertical="center" wrapText="1"/>
    </xf>
    <xf numFmtId="38" fontId="2" fillId="2" borderId="4" xfId="6" applyNumberFormat="1" applyFont="1" applyFill="1" applyBorder="1" applyAlignment="1" applyProtection="1">
      <alignment horizontal="right" vertical="center" wrapText="1"/>
    </xf>
    <xf numFmtId="38" fontId="2" fillId="2" borderId="2" xfId="6" applyNumberFormat="1" applyFont="1" applyFill="1" applyBorder="1" applyAlignment="1" applyProtection="1">
      <alignment horizontal="right" vertical="center" wrapText="1"/>
    </xf>
    <xf numFmtId="164" fontId="7" fillId="2" borderId="0" xfId="5" applyNumberFormat="1" applyFont="1" applyFill="1" applyAlignment="1">
      <alignment vertical="center"/>
    </xf>
    <xf numFmtId="164" fontId="3" fillId="2" borderId="0" xfId="5" applyNumberFormat="1" applyFont="1" applyFill="1" applyAlignment="1">
      <alignment vertical="center"/>
    </xf>
    <xf numFmtId="164" fontId="3" fillId="2" borderId="0" xfId="5" applyNumberFormat="1" applyFont="1" applyFill="1" applyBorder="1" applyAlignment="1">
      <alignment vertical="center"/>
    </xf>
    <xf numFmtId="37" fontId="3" fillId="2" borderId="0" xfId="5" applyNumberFormat="1" applyFont="1" applyFill="1" applyAlignment="1" applyProtection="1">
      <alignment vertical="top"/>
    </xf>
    <xf numFmtId="38" fontId="3" fillId="2" borderId="0" xfId="6" applyNumberFormat="1" applyFont="1" applyFill="1" applyBorder="1" applyAlignment="1" applyProtection="1">
      <alignment horizontal="right" vertical="center" wrapText="1"/>
      <protection locked="0"/>
    </xf>
    <xf numFmtId="38" fontId="3" fillId="2" borderId="0" xfId="6" applyNumberFormat="1" applyFont="1" applyFill="1" applyAlignment="1" applyProtection="1">
      <alignment horizontal="right" vertical="center" wrapText="1"/>
      <protection locked="0"/>
    </xf>
    <xf numFmtId="38" fontId="3" fillId="2" borderId="4" xfId="6" applyNumberFormat="1" applyFont="1" applyFill="1" applyBorder="1" applyAlignment="1" applyProtection="1">
      <alignment horizontal="right" vertical="center" wrapText="1"/>
      <protection locked="0"/>
    </xf>
    <xf numFmtId="38" fontId="3" fillId="2" borderId="0" xfId="5" applyNumberFormat="1" applyFont="1" applyFill="1" applyBorder="1" applyAlignment="1" applyProtection="1">
      <alignment horizontal="right" vertical="center" wrapText="1"/>
      <protection locked="0"/>
    </xf>
    <xf numFmtId="38" fontId="2" fillId="2" borderId="3" xfId="6" applyNumberFormat="1" applyFont="1" applyFill="1" applyBorder="1" applyAlignment="1" applyProtection="1">
      <alignment horizontal="right" vertical="center"/>
    </xf>
    <xf numFmtId="38" fontId="3" fillId="2" borderId="3" xfId="6" applyNumberFormat="1" applyFont="1" applyFill="1" applyBorder="1" applyAlignment="1" applyProtection="1">
      <alignment horizontal="right" vertical="center" wrapText="1"/>
    </xf>
    <xf numFmtId="38" fontId="3" fillId="2" borderId="5" xfId="6" applyNumberFormat="1" applyFont="1" applyFill="1" applyBorder="1" applyAlignment="1" applyProtection="1">
      <alignment horizontal="right" vertical="center" wrapText="1"/>
    </xf>
    <xf numFmtId="38" fontId="3" fillId="2" borderId="3" xfId="5" applyNumberFormat="1" applyFont="1" applyFill="1" applyBorder="1" applyAlignment="1" applyProtection="1">
      <alignment horizontal="right" vertical="center" wrapText="1"/>
    </xf>
    <xf numFmtId="164" fontId="12" fillId="2" borderId="2" xfId="5" applyNumberFormat="1" applyFont="1" applyFill="1" applyBorder="1" applyAlignment="1">
      <alignment horizontal="right" vertical="center"/>
    </xf>
    <xf numFmtId="164" fontId="12" fillId="2" borderId="3" xfId="5" applyNumberFormat="1" applyFont="1" applyFill="1" applyBorder="1" applyAlignment="1">
      <alignment horizontal="right" vertical="center"/>
    </xf>
    <xf numFmtId="164" fontId="2" fillId="2" borderId="6" xfId="5" applyNumberFormat="1" applyFont="1" applyFill="1" applyBorder="1" applyAlignment="1" applyProtection="1">
      <alignment horizontal="center" vertical="center"/>
    </xf>
    <xf numFmtId="164" fontId="2" fillId="2" borderId="3" xfId="5" applyNumberFormat="1" applyFont="1" applyFill="1" applyBorder="1" applyAlignment="1" applyProtection="1">
      <alignment horizontal="center" vertical="center"/>
    </xf>
    <xf numFmtId="164" fontId="11" fillId="2" borderId="0" xfId="0" applyNumberFormat="1" applyFont="1" applyFill="1" applyAlignment="1">
      <alignment horizontal="center" vertical="center"/>
    </xf>
    <xf numFmtId="164" fontId="6" fillId="2" borderId="0" xfId="5" applyNumberFormat="1" applyFont="1" applyFill="1" applyBorder="1" applyAlignment="1" applyProtection="1">
      <alignment horizontal="center" vertical="center"/>
    </xf>
  </cellXfs>
  <cellStyles count="11">
    <cellStyle name="Comma 2" xfId="6"/>
    <cellStyle name="Comma 4" xfId="9"/>
    <cellStyle name="Hyperlink 2" xfId="1"/>
    <cellStyle name="Normal" xfId="0" builtinId="0"/>
    <cellStyle name="Normal 2" xfId="5"/>
    <cellStyle name="Normal 2 3" xfId="3"/>
    <cellStyle name="Normal 3" xfId="7"/>
    <cellStyle name="Normal 3 2" xfId="4"/>
    <cellStyle name="Normal 4" xfId="8"/>
    <cellStyle name="Normal 5" xfId="2"/>
    <cellStyle name="Normal_IX-7(Trans &amp; Comm)" xfId="10"/>
  </cellStyles>
  <dxfs count="0"/>
  <tableStyles count="0" defaultTableStyle="TableStyleMedium9" defaultPivotStyle="PivotStyleLight16"/>
  <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2:I21"/>
  <sheetViews>
    <sheetView tabSelected="1" zoomScaleSheetLayoutView="100" workbookViewId="0">
      <selection activeCell="B21" sqref="B21"/>
    </sheetView>
  </sheetViews>
  <sheetFormatPr defaultColWidth="9.109375" defaultRowHeight="14.4"/>
  <cols>
    <col min="1" max="1" width="12.88671875" style="1" customWidth="1"/>
    <col min="2" max="2" width="11.88671875" style="1" customWidth="1"/>
    <col min="3" max="4" width="13.6640625" style="1" customWidth="1"/>
    <col min="5" max="5" width="13.109375" style="1" customWidth="1"/>
    <col min="6" max="8" width="11.88671875" style="1" customWidth="1"/>
    <col min="9" max="9" width="11.44140625" style="1" customWidth="1"/>
    <col min="10" max="16384" width="9.109375" style="1"/>
  </cols>
  <sheetData>
    <row r="2" spans="1:9" ht="19.2">
      <c r="A2" s="41" t="s">
        <v>37</v>
      </c>
      <c r="B2" s="41"/>
      <c r="C2" s="41"/>
      <c r="D2" s="41"/>
      <c r="E2" s="41"/>
      <c r="F2" s="41"/>
      <c r="G2" s="41"/>
      <c r="H2" s="41"/>
      <c r="I2" s="41"/>
    </row>
    <row r="3" spans="1:9">
      <c r="A3" s="42" t="s">
        <v>38</v>
      </c>
      <c r="B3" s="42"/>
      <c r="C3" s="42"/>
      <c r="D3" s="42"/>
      <c r="E3" s="42"/>
      <c r="F3" s="42"/>
      <c r="G3" s="42"/>
      <c r="H3" s="42"/>
    </row>
    <row r="4" spans="1:9">
      <c r="A4" s="40" t="s">
        <v>34</v>
      </c>
      <c r="B4" s="40"/>
      <c r="C4" s="40"/>
      <c r="D4" s="40"/>
      <c r="E4" s="40"/>
      <c r="F4" s="40"/>
      <c r="G4" s="40"/>
      <c r="H4" s="18"/>
    </row>
    <row r="5" spans="1:9">
      <c r="A5" s="8"/>
      <c r="B5" s="8"/>
      <c r="C5" s="39" t="s">
        <v>2</v>
      </c>
      <c r="D5" s="39"/>
      <c r="E5" s="39"/>
      <c r="F5" s="39" t="s">
        <v>6</v>
      </c>
      <c r="G5" s="39"/>
      <c r="H5" s="39"/>
      <c r="I5" s="37" t="s">
        <v>7</v>
      </c>
    </row>
    <row r="6" spans="1:9" ht="15" customHeight="1">
      <c r="A6" s="9" t="s">
        <v>5</v>
      </c>
      <c r="B6" s="19" t="s">
        <v>32</v>
      </c>
      <c r="C6" s="11" t="s">
        <v>35</v>
      </c>
      <c r="D6" s="11" t="s">
        <v>36</v>
      </c>
      <c r="E6" s="3" t="s">
        <v>33</v>
      </c>
      <c r="F6" s="20" t="s">
        <v>35</v>
      </c>
      <c r="G6" s="14" t="s">
        <v>36</v>
      </c>
      <c r="H6" s="13" t="s">
        <v>33</v>
      </c>
      <c r="I6" s="38"/>
    </row>
    <row r="7" spans="1:9" ht="15" customHeight="1">
      <c r="A7" s="2" t="s">
        <v>1</v>
      </c>
      <c r="B7" s="21">
        <f>SUM(C7:H7)</f>
        <v>51549777.850000001</v>
      </c>
      <c r="C7" s="22">
        <f t="shared" ref="C7:H7" si="0">SUM(C8:C19)</f>
        <v>27049769.070000004</v>
      </c>
      <c r="D7" s="22">
        <f t="shared" si="0"/>
        <v>15017216.65</v>
      </c>
      <c r="E7" s="22">
        <f t="shared" si="0"/>
        <v>8746995.1199999992</v>
      </c>
      <c r="F7" s="23">
        <f t="shared" si="0"/>
        <v>241515.06000000003</v>
      </c>
      <c r="G7" s="24">
        <f t="shared" si="0"/>
        <v>352328.8</v>
      </c>
      <c r="H7" s="24">
        <f t="shared" si="0"/>
        <v>141953.15000000002</v>
      </c>
      <c r="I7" s="10" t="s">
        <v>0</v>
      </c>
    </row>
    <row r="8" spans="1:9" ht="15" customHeight="1">
      <c r="A8" s="4" t="s">
        <v>8</v>
      </c>
      <c r="B8" s="21">
        <f t="shared" ref="B8:B19" si="1">SUM(C8:H8)</f>
        <v>4081639.7500000005</v>
      </c>
      <c r="C8" s="29">
        <v>2121718.8000000003</v>
      </c>
      <c r="D8" s="30">
        <v>1324697.72</v>
      </c>
      <c r="E8" s="29">
        <v>579821.73</v>
      </c>
      <c r="F8" s="31">
        <v>16672.330000000002</v>
      </c>
      <c r="G8" s="29">
        <v>27553.440000000002</v>
      </c>
      <c r="H8" s="32">
        <v>11175.73</v>
      </c>
      <c r="I8" s="6" t="s">
        <v>9</v>
      </c>
    </row>
    <row r="9" spans="1:9" ht="15" customHeight="1">
      <c r="A9" s="4" t="s">
        <v>10</v>
      </c>
      <c r="B9" s="21">
        <f t="shared" si="1"/>
        <v>3783057.94</v>
      </c>
      <c r="C9" s="29">
        <v>2028124.54</v>
      </c>
      <c r="D9" s="30">
        <v>892050.3</v>
      </c>
      <c r="E9" s="29">
        <v>808662.99999999988</v>
      </c>
      <c r="F9" s="31">
        <v>13494.140000000001</v>
      </c>
      <c r="G9" s="29">
        <v>32554.46</v>
      </c>
      <c r="H9" s="32">
        <v>8171.5</v>
      </c>
      <c r="I9" s="6" t="s">
        <v>11</v>
      </c>
    </row>
    <row r="10" spans="1:9" ht="15" customHeight="1">
      <c r="A10" s="4" t="s">
        <v>12</v>
      </c>
      <c r="B10" s="21">
        <f t="shared" si="1"/>
        <v>4412376.22</v>
      </c>
      <c r="C10" s="29">
        <v>2225697.8999999994</v>
      </c>
      <c r="D10" s="30">
        <v>1045382.7500000002</v>
      </c>
      <c r="E10" s="29">
        <v>1085548.18</v>
      </c>
      <c r="F10" s="31">
        <v>14879.91</v>
      </c>
      <c r="G10" s="29">
        <v>30797.7</v>
      </c>
      <c r="H10" s="32">
        <v>10069.780000000001</v>
      </c>
      <c r="I10" s="6" t="s">
        <v>13</v>
      </c>
    </row>
    <row r="11" spans="1:9" ht="15" customHeight="1">
      <c r="A11" s="4" t="s">
        <v>14</v>
      </c>
      <c r="B11" s="21">
        <f t="shared" si="1"/>
        <v>3902600.8899999997</v>
      </c>
      <c r="C11" s="29">
        <v>2184932.9699999997</v>
      </c>
      <c r="D11" s="30">
        <v>880963.46</v>
      </c>
      <c r="E11" s="29">
        <v>772957.85000000009</v>
      </c>
      <c r="F11" s="31">
        <v>31618.54</v>
      </c>
      <c r="G11" s="29">
        <v>24570.899999999998</v>
      </c>
      <c r="H11" s="32">
        <v>7557.17</v>
      </c>
      <c r="I11" s="6" t="s">
        <v>29</v>
      </c>
    </row>
    <row r="12" spans="1:9" ht="15" customHeight="1">
      <c r="A12" s="4" t="s">
        <v>15</v>
      </c>
      <c r="B12" s="21">
        <f t="shared" si="1"/>
        <v>3495935.9299999997</v>
      </c>
      <c r="C12" s="29">
        <v>2114545.9</v>
      </c>
      <c r="D12" s="30">
        <v>659869.91999999993</v>
      </c>
      <c r="E12" s="29">
        <v>655132.78</v>
      </c>
      <c r="F12" s="31">
        <v>30915.91</v>
      </c>
      <c r="G12" s="29">
        <v>30264.37</v>
      </c>
      <c r="H12" s="32">
        <v>5207.05</v>
      </c>
      <c r="I12" s="6" t="s">
        <v>16</v>
      </c>
    </row>
    <row r="13" spans="1:9" ht="15" customHeight="1">
      <c r="A13" s="4" t="s">
        <v>17</v>
      </c>
      <c r="B13" s="21">
        <f t="shared" si="1"/>
        <v>3493780.66</v>
      </c>
      <c r="C13" s="29">
        <v>1811707.16</v>
      </c>
      <c r="D13" s="30">
        <v>997429.33</v>
      </c>
      <c r="E13" s="29">
        <v>627641.01</v>
      </c>
      <c r="F13" s="31">
        <v>15995.6</v>
      </c>
      <c r="G13" s="29">
        <v>24571.5</v>
      </c>
      <c r="H13" s="32">
        <v>16436.060000000001</v>
      </c>
      <c r="I13" s="6" t="s">
        <v>18</v>
      </c>
    </row>
    <row r="14" spans="1:9" ht="15" customHeight="1">
      <c r="A14" s="4" t="s">
        <v>19</v>
      </c>
      <c r="B14" s="21">
        <f t="shared" si="1"/>
        <v>4161869.9</v>
      </c>
      <c r="C14" s="29">
        <v>2687050.25</v>
      </c>
      <c r="D14" s="30">
        <v>866246.55</v>
      </c>
      <c r="E14" s="29">
        <v>532376.69999999995</v>
      </c>
      <c r="F14" s="31">
        <v>18841.419999999998</v>
      </c>
      <c r="G14" s="29">
        <v>42880.1</v>
      </c>
      <c r="H14" s="32">
        <v>14474.880000000001</v>
      </c>
      <c r="I14" s="6" t="s">
        <v>20</v>
      </c>
    </row>
    <row r="15" spans="1:9" ht="15" customHeight="1">
      <c r="A15" s="4" t="s">
        <v>21</v>
      </c>
      <c r="B15" s="21">
        <f t="shared" si="1"/>
        <v>4174298.39</v>
      </c>
      <c r="C15" s="29">
        <v>2342751.5</v>
      </c>
      <c r="D15" s="30">
        <v>968725.25</v>
      </c>
      <c r="E15" s="29">
        <v>794156.44</v>
      </c>
      <c r="F15" s="31">
        <v>24003.489999999998</v>
      </c>
      <c r="G15" s="29">
        <v>31579.200000000001</v>
      </c>
      <c r="H15" s="32">
        <v>13082.509999999998</v>
      </c>
      <c r="I15" s="6" t="s">
        <v>30</v>
      </c>
    </row>
    <row r="16" spans="1:9" ht="15" customHeight="1">
      <c r="A16" s="4" t="s">
        <v>22</v>
      </c>
      <c r="B16" s="21">
        <f t="shared" si="1"/>
        <v>4103318.3899999992</v>
      </c>
      <c r="C16" s="29">
        <v>2136470.0399999996</v>
      </c>
      <c r="D16" s="30">
        <v>995296.24999999977</v>
      </c>
      <c r="E16" s="29">
        <v>916023.99</v>
      </c>
      <c r="F16" s="31">
        <v>18285.43</v>
      </c>
      <c r="G16" s="29">
        <v>26012.15</v>
      </c>
      <c r="H16" s="32">
        <v>11230.529999999999</v>
      </c>
      <c r="I16" s="6" t="s">
        <v>23</v>
      </c>
    </row>
    <row r="17" spans="1:9" ht="15" customHeight="1">
      <c r="A17" s="4" t="s">
        <v>24</v>
      </c>
      <c r="B17" s="21">
        <f t="shared" si="1"/>
        <v>4491509.4800000004</v>
      </c>
      <c r="C17" s="29">
        <v>2303340.3699999996</v>
      </c>
      <c r="D17" s="30">
        <v>1378591.93</v>
      </c>
      <c r="E17" s="29">
        <v>746782.94000000006</v>
      </c>
      <c r="F17" s="31">
        <v>20177.88</v>
      </c>
      <c r="G17" s="29">
        <v>27360</v>
      </c>
      <c r="H17" s="32">
        <v>15256.36</v>
      </c>
      <c r="I17" s="6" t="s">
        <v>31</v>
      </c>
    </row>
    <row r="18" spans="1:9" ht="15" customHeight="1">
      <c r="A18" s="4" t="s">
        <v>25</v>
      </c>
      <c r="B18" s="21">
        <f t="shared" si="1"/>
        <v>6788040.6299999999</v>
      </c>
      <c r="C18" s="29">
        <v>2233583.71</v>
      </c>
      <c r="D18" s="30">
        <v>3779580.45</v>
      </c>
      <c r="E18" s="29">
        <v>715962.76</v>
      </c>
      <c r="F18" s="31">
        <v>18930.54</v>
      </c>
      <c r="G18" s="29">
        <v>24795.1</v>
      </c>
      <c r="H18" s="32">
        <v>15188.07</v>
      </c>
      <c r="I18" s="6" t="s">
        <v>26</v>
      </c>
    </row>
    <row r="19" spans="1:9" ht="15.6" customHeight="1">
      <c r="A19" s="5" t="s">
        <v>27</v>
      </c>
      <c r="B19" s="33">
        <f t="shared" si="1"/>
        <v>4661349.669999999</v>
      </c>
      <c r="C19" s="34">
        <v>2859845.9299999997</v>
      </c>
      <c r="D19" s="34">
        <v>1228382.7399999998</v>
      </c>
      <c r="E19" s="34">
        <v>511927.74</v>
      </c>
      <c r="F19" s="35">
        <v>17699.870000000003</v>
      </c>
      <c r="G19" s="34">
        <v>29389.88</v>
      </c>
      <c r="H19" s="36">
        <v>14103.51</v>
      </c>
      <c r="I19" s="7" t="s">
        <v>28</v>
      </c>
    </row>
    <row r="20" spans="1:9" s="15" customFormat="1" ht="16.8">
      <c r="A20" s="16" t="s">
        <v>3</v>
      </c>
      <c r="B20" s="25"/>
      <c r="C20" s="25"/>
      <c r="D20" s="26"/>
      <c r="E20" s="27"/>
      <c r="F20" s="26"/>
      <c r="G20" s="26"/>
      <c r="H20" s="27"/>
      <c r="I20" s="12" t="s">
        <v>4</v>
      </c>
    </row>
    <row r="21" spans="1:9" ht="57" customHeight="1">
      <c r="A21" s="15"/>
      <c r="B21" s="16"/>
      <c r="C21" s="28"/>
      <c r="D21" s="28"/>
      <c r="E21" s="28"/>
      <c r="F21" s="28"/>
      <c r="G21" s="28"/>
      <c r="H21" s="17"/>
      <c r="I21" s="15"/>
    </row>
  </sheetData>
  <mergeCells count="6">
    <mergeCell ref="I5:I6"/>
    <mergeCell ref="A4:G4"/>
    <mergeCell ref="C5:E5"/>
    <mergeCell ref="F5:H5"/>
    <mergeCell ref="A3:H3"/>
    <mergeCell ref="A2:I2"/>
  </mergeCells>
  <pageMargins left="0.33" right="0.37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11.21</vt:lpstr>
      <vt:lpstr>' 11.21'!Print_Area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2015-02-11T04:12:26Z</cp:lastPrinted>
  <dcterms:created xsi:type="dcterms:W3CDTF">2014-05-22T03:57:11Z</dcterms:created>
  <dcterms:modified xsi:type="dcterms:W3CDTF">2015-02-11T04:55:20Z</dcterms:modified>
</cp:coreProperties>
</file>