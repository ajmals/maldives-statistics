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408" windowWidth="14964" windowHeight="8424"/>
  </bookViews>
  <sheets>
    <sheet name="11.23" sheetId="1" r:id="rId1"/>
  </sheets>
  <calcPr calcId="124519"/>
</workbook>
</file>

<file path=xl/calcChain.xml><?xml version="1.0" encoding="utf-8"?>
<calcChain xmlns="http://schemas.openxmlformats.org/spreadsheetml/2006/main">
  <c r="B19" i="1"/>
  <c r="B18"/>
  <c r="B17"/>
  <c r="B16"/>
  <c r="B15"/>
  <c r="B14"/>
  <c r="B13"/>
  <c r="B12"/>
  <c r="B11"/>
  <c r="B10"/>
  <c r="B9"/>
  <c r="B8"/>
  <c r="F7"/>
  <c r="E7"/>
  <c r="D7"/>
  <c r="C7"/>
  <c r="B7"/>
</calcChain>
</file>

<file path=xl/sharedStrings.xml><?xml version="1.0" encoding="utf-8"?>
<sst xmlns="http://schemas.openxmlformats.org/spreadsheetml/2006/main" count="40" uniqueCount="38">
  <si>
    <t>Month</t>
  </si>
  <si>
    <t xml:space="preserve"> Total </t>
  </si>
  <si>
    <t>Domestic Flights</t>
  </si>
  <si>
    <t>cswm</t>
  </si>
  <si>
    <t>Inward</t>
  </si>
  <si>
    <t>Outward</t>
  </si>
  <si>
    <t>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</si>
  <si>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</si>
  <si>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</si>
  <si>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</si>
  <si>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</si>
  <si>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</si>
  <si>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</si>
  <si>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</si>
  <si>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</si>
  <si>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</si>
  <si>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</si>
  <si>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</si>
  <si>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</si>
  <si>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</si>
  <si>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</si>
  <si>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</si>
  <si>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</si>
  <si>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</si>
  <si>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</si>
  <si>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</si>
  <si>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</si>
  <si>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</si>
  <si>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</si>
  <si>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</si>
  <si>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</si>
  <si>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</si>
  <si>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Civil Aviation Authority</t>
  </si>
  <si>
    <t>މައުލޫމާތު ދެއްވީ: ސިވިލް އޭވިއޭޝަން އޮތޯރިޓީ</t>
  </si>
  <si>
    <t>ތާވަލު 11.23: މަސްމަހުގެ ގޮތުން އިބްރާހީމް ނާސިރު އިންޓަރނޭޝަނަލް އެއަރޕޯޓުން އުފުލުނު މެއިލް، 2013</t>
  </si>
  <si>
    <t>Table  11.23 :  MAIL HANDLED AT IBRAHIM NASIR INTERNATIONAL AIRPORT  BY MONTH, 2013</t>
  </si>
  <si>
    <t xml:space="preserve">(in Kg) </t>
  </si>
  <si>
    <t>International Flights</t>
  </si>
</sst>
</file>

<file path=xl/styles.xml><?xml version="1.0" encoding="utf-8"?>
<styleSheet xmlns="http://schemas.openxmlformats.org/spreadsheetml/2006/main">
  <numFmts count="2">
    <numFmt numFmtId="164" formatCode="General_)"/>
    <numFmt numFmtId="165" formatCode="#,##0.0_);[Red]\(#,##0.0\)"/>
  </numFmts>
  <fonts count="18">
    <font>
      <sz val="11"/>
      <color theme="1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Garamond"/>
      <family val="1"/>
    </font>
    <font>
      <b/>
      <sz val="10"/>
      <name val="A_Randhoo"/>
    </font>
    <font>
      <sz val="10"/>
      <name val="MS Sans Serif"/>
      <family val="2"/>
    </font>
    <font>
      <sz val="9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Faruma"/>
    </font>
    <font>
      <sz val="9"/>
      <name val="Faruma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3" fillId="0" borderId="0"/>
    <xf numFmtId="0" fontId="6" fillId="0" borderId="0"/>
    <xf numFmtId="40" fontId="8" fillId="0" borderId="0" applyFont="0" applyFill="0" applyBorder="0" applyAlignment="0" applyProtection="0"/>
    <xf numFmtId="0" fontId="12" fillId="0" borderId="0"/>
  </cellStyleXfs>
  <cellXfs count="40">
    <xf numFmtId="0" fontId="0" fillId="0" borderId="0" xfId="0"/>
    <xf numFmtId="164" fontId="1" fillId="2" borderId="0" xfId="0" applyNumberFormat="1" applyFont="1" applyFill="1" applyAlignment="1">
      <alignment horizontal="center"/>
    </xf>
    <xf numFmtId="164" fontId="2" fillId="2" borderId="0" xfId="0" applyNumberFormat="1" applyFont="1" applyFill="1"/>
    <xf numFmtId="164" fontId="4" fillId="2" borderId="0" xfId="1" applyNumberFormat="1" applyFont="1" applyFill="1" applyBorder="1" applyAlignment="1" applyProtection="1">
      <alignment vertical="center"/>
    </xf>
    <xf numFmtId="164" fontId="5" fillId="2" borderId="1" xfId="1" applyNumberFormat="1" applyFont="1" applyFill="1" applyBorder="1" applyAlignment="1" applyProtection="1">
      <alignment horizontal="center" vertical="center"/>
    </xf>
    <xf numFmtId="0" fontId="7" fillId="2" borderId="2" xfId="2" applyFont="1" applyFill="1" applyBorder="1" applyAlignment="1">
      <alignment horizontal="right" vertical="center"/>
    </xf>
    <xf numFmtId="164" fontId="5" fillId="2" borderId="1" xfId="1" applyNumberFormat="1" applyFont="1" applyFill="1" applyBorder="1" applyAlignment="1" applyProtection="1">
      <alignment horizontal="right" vertical="center"/>
    </xf>
    <xf numFmtId="0" fontId="7" fillId="2" borderId="1" xfId="2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 applyProtection="1">
      <alignment horizontal="left" vertical="center"/>
    </xf>
    <xf numFmtId="0" fontId="7" fillId="2" borderId="0" xfId="2" applyFont="1" applyFill="1" applyBorder="1" applyAlignment="1">
      <alignment horizontal="right"/>
    </xf>
    <xf numFmtId="164" fontId="9" fillId="2" borderId="0" xfId="1" applyNumberFormat="1" applyFont="1" applyFill="1" applyBorder="1" applyAlignment="1" applyProtection="1">
      <alignment horizontal="left" vertical="center"/>
    </xf>
    <xf numFmtId="0" fontId="10" fillId="2" borderId="0" xfId="2" applyFont="1" applyFill="1" applyBorder="1" applyAlignment="1">
      <alignment horizontal="right"/>
    </xf>
    <xf numFmtId="164" fontId="9" fillId="2" borderId="1" xfId="1" applyNumberFormat="1" applyFont="1" applyFill="1" applyBorder="1" applyAlignment="1" applyProtection="1">
      <alignment horizontal="left" vertical="center"/>
    </xf>
    <xf numFmtId="0" fontId="10" fillId="2" borderId="1" xfId="2" applyFont="1" applyFill="1" applyBorder="1" applyAlignment="1">
      <alignment horizontal="right"/>
    </xf>
    <xf numFmtId="164" fontId="11" fillId="2" borderId="0" xfId="1" applyNumberFormat="1" applyFont="1" applyFill="1" applyAlignment="1" applyProtection="1">
      <alignment horizontal="left" vertical="center"/>
    </xf>
    <xf numFmtId="37" fontId="9" fillId="2" borderId="0" xfId="1" applyNumberFormat="1" applyFont="1" applyFill="1" applyAlignment="1" applyProtection="1">
      <alignment vertical="center"/>
    </xf>
    <xf numFmtId="0" fontId="13" fillId="2" borderId="3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vertical="center"/>
    </xf>
    <xf numFmtId="0" fontId="14" fillId="2" borderId="3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/>
    <xf numFmtId="164" fontId="16" fillId="2" borderId="0" xfId="1" applyNumberFormat="1" applyFont="1" applyFill="1" applyAlignment="1" applyProtection="1">
      <alignment horizontal="center" vertical="center"/>
    </xf>
    <xf numFmtId="164" fontId="4" fillId="2" borderId="2" xfId="1" applyNumberFormat="1" applyFont="1" applyFill="1" applyBorder="1" applyAlignment="1" applyProtection="1">
      <alignment horizontal="left" vertical="center"/>
    </xf>
    <xf numFmtId="164" fontId="5" fillId="2" borderId="4" xfId="1" applyNumberFormat="1" applyFont="1" applyFill="1" applyBorder="1" applyAlignment="1" applyProtection="1">
      <alignment horizontal="center" vertical="center" wrapText="1"/>
    </xf>
    <xf numFmtId="164" fontId="5" fillId="2" borderId="5" xfId="1" applyNumberFormat="1" applyFont="1" applyFill="1" applyBorder="1" applyAlignment="1" applyProtection="1">
      <alignment horizontal="center" vertical="center" wrapText="1"/>
    </xf>
    <xf numFmtId="164" fontId="4" fillId="2" borderId="1" xfId="1" applyNumberFormat="1" applyFont="1" applyFill="1" applyBorder="1" applyAlignment="1" applyProtection="1">
      <alignment horizontal="left" vertical="center"/>
    </xf>
    <xf numFmtId="164" fontId="4" fillId="2" borderId="1" xfId="1" applyNumberFormat="1" applyFont="1" applyFill="1" applyBorder="1" applyAlignment="1" applyProtection="1">
      <alignment horizontal="right" vertical="center"/>
    </xf>
    <xf numFmtId="164" fontId="5" fillId="2" borderId="6" xfId="1" applyNumberFormat="1" applyFont="1" applyFill="1" applyBorder="1" applyAlignment="1" applyProtection="1">
      <alignment horizontal="right" vertical="center"/>
    </xf>
    <xf numFmtId="164" fontId="5" fillId="2" borderId="0" xfId="1" applyNumberFormat="1" applyFont="1" applyFill="1" applyBorder="1" applyAlignment="1" applyProtection="1">
      <alignment horizontal="right" vertical="center"/>
    </xf>
    <xf numFmtId="165" fontId="5" fillId="2" borderId="0" xfId="3" applyNumberFormat="1" applyFont="1" applyFill="1" applyBorder="1" applyAlignment="1" applyProtection="1">
      <alignment horizontal="right" vertical="center"/>
    </xf>
    <xf numFmtId="165" fontId="5" fillId="2" borderId="7" xfId="3" applyNumberFormat="1" applyFont="1" applyFill="1" applyBorder="1" applyAlignment="1" applyProtection="1">
      <alignment horizontal="right" vertical="center"/>
    </xf>
    <xf numFmtId="165" fontId="5" fillId="2" borderId="2" xfId="3" applyNumberFormat="1" applyFont="1" applyFill="1" applyBorder="1" applyAlignment="1" applyProtection="1">
      <alignment horizontal="right" vertical="center"/>
    </xf>
    <xf numFmtId="165" fontId="9" fillId="2" borderId="0" xfId="3" applyNumberFormat="1" applyFont="1" applyFill="1" applyBorder="1" applyAlignment="1">
      <alignment horizontal="right"/>
    </xf>
    <xf numFmtId="165" fontId="9" fillId="2" borderId="8" xfId="3" applyNumberFormat="1" applyFont="1" applyFill="1" applyBorder="1" applyAlignment="1" applyProtection="1">
      <alignment horizontal="right" vertical="center"/>
      <protection locked="0"/>
    </xf>
    <xf numFmtId="165" fontId="9" fillId="2" borderId="0" xfId="3" applyNumberFormat="1" applyFont="1" applyFill="1" applyBorder="1" applyAlignment="1" applyProtection="1">
      <alignment horizontal="right" vertical="center"/>
      <protection locked="0"/>
    </xf>
    <xf numFmtId="165" fontId="5" fillId="2" borderId="1" xfId="3" applyNumberFormat="1" applyFont="1" applyFill="1" applyBorder="1" applyAlignment="1" applyProtection="1">
      <alignment horizontal="right" vertical="center"/>
    </xf>
    <xf numFmtId="165" fontId="9" fillId="2" borderId="1" xfId="3" applyNumberFormat="1" applyFont="1" applyFill="1" applyBorder="1" applyAlignment="1">
      <alignment horizontal="right"/>
    </xf>
    <xf numFmtId="165" fontId="9" fillId="2" borderId="6" xfId="3" applyNumberFormat="1" applyFont="1" applyFill="1" applyBorder="1" applyAlignment="1" applyProtection="1">
      <alignment horizontal="right" vertical="center"/>
    </xf>
    <xf numFmtId="165" fontId="9" fillId="2" borderId="1" xfId="3" applyNumberFormat="1" applyFont="1" applyFill="1" applyBorder="1" applyAlignment="1" applyProtection="1">
      <alignment horizontal="right" vertical="center"/>
    </xf>
    <xf numFmtId="164" fontId="17" fillId="2" borderId="0" xfId="1" applyNumberFormat="1" applyFont="1" applyFill="1" applyBorder="1" applyAlignment="1">
      <alignment vertical="center"/>
    </xf>
    <xf numFmtId="0" fontId="12" fillId="2" borderId="0" xfId="4" applyFont="1" applyFill="1" applyAlignment="1">
      <alignment vertical="center"/>
    </xf>
  </cellXfs>
  <cellStyles count="5">
    <cellStyle name="Comma 2" xfId="3"/>
    <cellStyle name="Normal" xfId="0" builtinId="0"/>
    <cellStyle name="Normal 2" xfId="1"/>
    <cellStyle name="Normal_IX-8 (Trans &amp; Comm)" xfId="4"/>
    <cellStyle name="Normal_X-5 (Electricity)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22"/>
  <sheetViews>
    <sheetView tabSelected="1" workbookViewId="0">
      <selection activeCell="B24" sqref="B24"/>
    </sheetView>
  </sheetViews>
  <sheetFormatPr defaultColWidth="9.109375" defaultRowHeight="14.4"/>
  <cols>
    <col min="1" max="1" width="12.109375" style="2" customWidth="1"/>
    <col min="2" max="7" width="14.5546875" style="2" customWidth="1"/>
    <col min="8" max="8" width="9.109375" style="2"/>
    <col min="9" max="9" width="8.88671875" style="2" customWidth="1"/>
    <col min="10" max="16384" width="9.109375" style="2"/>
  </cols>
  <sheetData>
    <row r="2" spans="1:9" ht="23.25" customHeight="1">
      <c r="A2" s="1" t="s">
        <v>34</v>
      </c>
      <c r="B2" s="1"/>
      <c r="C2" s="1"/>
      <c r="D2" s="1"/>
      <c r="E2" s="1"/>
      <c r="F2" s="1"/>
      <c r="G2" s="1"/>
      <c r="H2" s="19"/>
      <c r="I2" s="3"/>
    </row>
    <row r="3" spans="1:9" ht="15" customHeight="1">
      <c r="A3" s="20" t="s">
        <v>35</v>
      </c>
      <c r="B3" s="20"/>
      <c r="C3" s="20"/>
      <c r="D3" s="20"/>
      <c r="E3" s="20"/>
      <c r="F3" s="20"/>
      <c r="G3" s="20"/>
      <c r="H3" s="19"/>
      <c r="I3" s="3"/>
    </row>
    <row r="4" spans="1:9">
      <c r="A4" s="4" t="s">
        <v>36</v>
      </c>
      <c r="B4" s="4"/>
      <c r="C4" s="4"/>
      <c r="D4" s="4"/>
      <c r="E4" s="4"/>
      <c r="F4" s="4"/>
      <c r="G4" s="4"/>
      <c r="H4" s="19"/>
      <c r="I4" s="3"/>
    </row>
    <row r="5" spans="1:9">
      <c r="A5" s="21"/>
      <c r="B5" s="21"/>
      <c r="C5" s="22" t="s">
        <v>37</v>
      </c>
      <c r="D5" s="22"/>
      <c r="E5" s="23" t="s">
        <v>2</v>
      </c>
      <c r="F5" s="22"/>
      <c r="G5" s="5" t="s">
        <v>3</v>
      </c>
      <c r="H5" s="19"/>
      <c r="I5" s="3"/>
    </row>
    <row r="6" spans="1:9">
      <c r="A6" s="24" t="s">
        <v>0</v>
      </c>
      <c r="B6" s="25" t="s">
        <v>1</v>
      </c>
      <c r="C6" s="6" t="s">
        <v>4</v>
      </c>
      <c r="D6" s="6" t="s">
        <v>5</v>
      </c>
      <c r="E6" s="26" t="s">
        <v>4</v>
      </c>
      <c r="F6" s="27" t="s">
        <v>5</v>
      </c>
      <c r="G6" s="7"/>
      <c r="H6" s="19"/>
      <c r="I6" s="3"/>
    </row>
    <row r="7" spans="1:9" ht="16.8">
      <c r="A7" s="8" t="s">
        <v>6</v>
      </c>
      <c r="B7" s="28">
        <f t="shared" ref="B7:B19" si="0">SUM(C7:F7)</f>
        <v>211816.78999999998</v>
      </c>
      <c r="C7" s="28">
        <f>SUM(C8:C19)</f>
        <v>134727.5</v>
      </c>
      <c r="D7" s="28">
        <f>SUM(D8:D19)</f>
        <v>55318.86</v>
      </c>
      <c r="E7" s="29">
        <f>SUM(E8:E19)</f>
        <v>3790.9899999999993</v>
      </c>
      <c r="F7" s="30">
        <f>SUM(F8:F19)</f>
        <v>17979.439999999999</v>
      </c>
      <c r="G7" s="9" t="s">
        <v>7</v>
      </c>
      <c r="H7" s="19"/>
      <c r="I7" s="3"/>
    </row>
    <row r="8" spans="1:9" ht="16.8">
      <c r="A8" s="10" t="s">
        <v>8</v>
      </c>
      <c r="B8" s="28">
        <f t="shared" si="0"/>
        <v>14736.650000000001</v>
      </c>
      <c r="C8" s="31">
        <v>10254.110000000002</v>
      </c>
      <c r="D8" s="31">
        <v>2794.5</v>
      </c>
      <c r="E8" s="32">
        <v>259.64</v>
      </c>
      <c r="F8" s="33">
        <v>1428.4</v>
      </c>
      <c r="G8" s="11" t="s">
        <v>9</v>
      </c>
      <c r="H8" s="19"/>
      <c r="I8" s="3"/>
    </row>
    <row r="9" spans="1:9" ht="16.8">
      <c r="A9" s="10" t="s">
        <v>10</v>
      </c>
      <c r="B9" s="28">
        <f t="shared" si="0"/>
        <v>10415.710000000001</v>
      </c>
      <c r="C9" s="31">
        <v>7744.4800000000005</v>
      </c>
      <c r="D9" s="31">
        <v>1193.45</v>
      </c>
      <c r="E9" s="32">
        <v>297.18</v>
      </c>
      <c r="F9" s="33">
        <v>1180.5999999999999</v>
      </c>
      <c r="G9" s="11" t="s">
        <v>11</v>
      </c>
      <c r="H9" s="19"/>
      <c r="I9" s="3"/>
    </row>
    <row r="10" spans="1:9" ht="16.8">
      <c r="A10" s="10" t="s">
        <v>12</v>
      </c>
      <c r="B10" s="28">
        <f t="shared" si="0"/>
        <v>12930.819999999998</v>
      </c>
      <c r="C10" s="31">
        <v>10166.739999999998</v>
      </c>
      <c r="D10" s="31">
        <v>1084.9000000000001</v>
      </c>
      <c r="E10" s="32">
        <v>303.94</v>
      </c>
      <c r="F10" s="33">
        <v>1375.24</v>
      </c>
      <c r="G10" s="11" t="s">
        <v>13</v>
      </c>
      <c r="H10" s="19"/>
      <c r="I10" s="3"/>
    </row>
    <row r="11" spans="1:9" ht="16.8">
      <c r="A11" s="10" t="s">
        <v>14</v>
      </c>
      <c r="B11" s="28">
        <f t="shared" si="0"/>
        <v>13144.98</v>
      </c>
      <c r="C11" s="31">
        <v>9987.3599999999988</v>
      </c>
      <c r="D11" s="31">
        <v>1495.7700000000002</v>
      </c>
      <c r="E11" s="32">
        <v>287.89999999999998</v>
      </c>
      <c r="F11" s="33">
        <v>1373.9499999999998</v>
      </c>
      <c r="G11" s="11" t="s">
        <v>15</v>
      </c>
      <c r="H11" s="19"/>
      <c r="I11" s="3"/>
    </row>
    <row r="12" spans="1:9" ht="16.8">
      <c r="A12" s="10" t="s">
        <v>16</v>
      </c>
      <c r="B12" s="28">
        <f t="shared" si="0"/>
        <v>16662.309999999998</v>
      </c>
      <c r="C12" s="31">
        <v>13518.189999999999</v>
      </c>
      <c r="D12" s="31">
        <v>1175.4000000000001</v>
      </c>
      <c r="E12" s="32">
        <v>273.52</v>
      </c>
      <c r="F12" s="33">
        <v>1695.1999999999998</v>
      </c>
      <c r="G12" s="11" t="s">
        <v>17</v>
      </c>
      <c r="H12" s="19"/>
      <c r="I12" s="19"/>
    </row>
    <row r="13" spans="1:9" ht="16.8">
      <c r="A13" s="10" t="s">
        <v>18</v>
      </c>
      <c r="B13" s="28">
        <f t="shared" si="0"/>
        <v>15371.279999999999</v>
      </c>
      <c r="C13" s="31">
        <v>11207.86</v>
      </c>
      <c r="D13" s="31">
        <v>1215.42</v>
      </c>
      <c r="E13" s="32">
        <v>226.8</v>
      </c>
      <c r="F13" s="33">
        <v>2721.2</v>
      </c>
      <c r="G13" s="11" t="s">
        <v>19</v>
      </c>
      <c r="H13" s="19"/>
      <c r="I13" s="19"/>
    </row>
    <row r="14" spans="1:9" ht="16.8">
      <c r="A14" s="10" t="s">
        <v>20</v>
      </c>
      <c r="B14" s="28">
        <f t="shared" si="0"/>
        <v>13023.99</v>
      </c>
      <c r="C14" s="31">
        <v>9805.09</v>
      </c>
      <c r="D14" s="31">
        <v>1137.22</v>
      </c>
      <c r="E14" s="32">
        <v>644.08000000000004</v>
      </c>
      <c r="F14" s="33">
        <v>1437.6</v>
      </c>
      <c r="G14" s="11" t="s">
        <v>21</v>
      </c>
      <c r="H14" s="19"/>
      <c r="I14" s="19"/>
    </row>
    <row r="15" spans="1:9" ht="16.8">
      <c r="A15" s="10" t="s">
        <v>22</v>
      </c>
      <c r="B15" s="28">
        <f t="shared" si="0"/>
        <v>12715.450000000003</v>
      </c>
      <c r="C15" s="31">
        <v>10073.730000000001</v>
      </c>
      <c r="D15" s="31">
        <v>1113.5999999999999</v>
      </c>
      <c r="E15" s="32">
        <v>209.87</v>
      </c>
      <c r="F15" s="33">
        <v>1318.25</v>
      </c>
      <c r="G15" s="11" t="s">
        <v>23</v>
      </c>
      <c r="H15" s="19"/>
      <c r="I15" s="19"/>
    </row>
    <row r="16" spans="1:9" ht="16.8">
      <c r="A16" s="10" t="s">
        <v>24</v>
      </c>
      <c r="B16" s="28">
        <f t="shared" si="0"/>
        <v>12388.62</v>
      </c>
      <c r="C16" s="31">
        <v>9644.8900000000012</v>
      </c>
      <c r="D16" s="31">
        <v>1056.1300000000001</v>
      </c>
      <c r="E16" s="32">
        <v>359.2</v>
      </c>
      <c r="F16" s="33">
        <v>1328.3999999999999</v>
      </c>
      <c r="G16" s="11" t="s">
        <v>25</v>
      </c>
      <c r="H16" s="19"/>
      <c r="I16" s="19"/>
    </row>
    <row r="17" spans="1:9" ht="16.8">
      <c r="A17" s="10" t="s">
        <v>26</v>
      </c>
      <c r="B17" s="28">
        <f t="shared" si="0"/>
        <v>15092.080000000002</v>
      </c>
      <c r="C17" s="31">
        <v>12657.160000000002</v>
      </c>
      <c r="D17" s="31">
        <v>985.17999999999984</v>
      </c>
      <c r="E17" s="32">
        <v>273.23999999999995</v>
      </c>
      <c r="F17" s="33">
        <v>1176.5</v>
      </c>
      <c r="G17" s="11" t="s">
        <v>27</v>
      </c>
      <c r="H17" s="19"/>
      <c r="I17" s="19"/>
    </row>
    <row r="18" spans="1:9" ht="16.8">
      <c r="A18" s="10" t="s">
        <v>28</v>
      </c>
      <c r="B18" s="28">
        <f t="shared" si="0"/>
        <v>32498.670000000002</v>
      </c>
      <c r="C18" s="31">
        <v>10801.3</v>
      </c>
      <c r="D18" s="31">
        <v>19941.300000000003</v>
      </c>
      <c r="E18" s="32">
        <v>328.27</v>
      </c>
      <c r="F18" s="33">
        <v>1427.8000000000002</v>
      </c>
      <c r="G18" s="11" t="s">
        <v>29</v>
      </c>
      <c r="H18" s="19"/>
      <c r="I18" s="19"/>
    </row>
    <row r="19" spans="1:9" ht="16.8">
      <c r="A19" s="12" t="s">
        <v>30</v>
      </c>
      <c r="B19" s="34">
        <f t="shared" si="0"/>
        <v>42836.23</v>
      </c>
      <c r="C19" s="35">
        <v>18866.589999999997</v>
      </c>
      <c r="D19" s="35">
        <v>22125.99</v>
      </c>
      <c r="E19" s="36">
        <v>327.35000000000002</v>
      </c>
      <c r="F19" s="37">
        <v>1516.3</v>
      </c>
      <c r="G19" s="13" t="s">
        <v>31</v>
      </c>
      <c r="H19" s="19"/>
      <c r="I19" s="19"/>
    </row>
    <row r="20" spans="1:9" ht="18.600000000000001">
      <c r="A20" s="14" t="s">
        <v>32</v>
      </c>
      <c r="B20" s="14"/>
      <c r="C20" s="15"/>
      <c r="D20" s="15"/>
      <c r="E20" s="15"/>
      <c r="F20" s="16"/>
      <c r="G20" s="18" t="s">
        <v>33</v>
      </c>
      <c r="H20" s="19"/>
      <c r="I20" s="19"/>
    </row>
    <row r="21" spans="1:9">
      <c r="A21" s="38"/>
      <c r="B21" s="39"/>
      <c r="C21" s="39"/>
      <c r="D21" s="39"/>
      <c r="E21" s="39"/>
      <c r="F21" s="39"/>
    </row>
    <row r="22" spans="1:9" ht="16.8">
      <c r="A22" s="39"/>
      <c r="B22" s="39"/>
      <c r="C22" s="39"/>
      <c r="D22" s="39"/>
      <c r="E22" s="39"/>
      <c r="F22" s="39"/>
      <c r="G22" s="17"/>
    </row>
  </sheetData>
  <mergeCells count="6">
    <mergeCell ref="A2:G2"/>
    <mergeCell ref="A3:G3"/>
    <mergeCell ref="A4:G4"/>
    <mergeCell ref="C5:D5"/>
    <mergeCell ref="E5:F5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dcterms:created xsi:type="dcterms:W3CDTF">2015-02-11T04:58:07Z</dcterms:created>
  <dcterms:modified xsi:type="dcterms:W3CDTF">2015-02-11T04:58:50Z</dcterms:modified>
</cp:coreProperties>
</file>