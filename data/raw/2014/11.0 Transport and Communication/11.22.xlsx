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84" windowWidth="14964" windowHeight="7896"/>
  </bookViews>
  <sheets>
    <sheet name="11.22" sheetId="1" r:id="rId1"/>
  </sheets>
  <calcPr calcId="124519"/>
</workbook>
</file>

<file path=xl/calcChain.xml><?xml version="1.0" encoding="utf-8"?>
<calcChain xmlns="http://schemas.openxmlformats.org/spreadsheetml/2006/main">
  <c r="B18" i="1"/>
  <c r="B17"/>
  <c r="B16"/>
  <c r="B15"/>
  <c r="B14"/>
  <c r="B13"/>
  <c r="B12"/>
  <c r="B11"/>
  <c r="B10"/>
  <c r="B9"/>
  <c r="B8"/>
  <c r="B7"/>
  <c r="E6"/>
  <c r="D6"/>
  <c r="C6"/>
  <c r="B6"/>
</calcChain>
</file>

<file path=xl/sharedStrings.xml><?xml version="1.0" encoding="utf-8"?>
<sst xmlns="http://schemas.openxmlformats.org/spreadsheetml/2006/main" count="40" uniqueCount="40">
  <si>
    <t>ތާވަލު 11.22: މަސްމަހުގެ ގޮތުން ގަން އިންޓަރނޭޝަނަލް އެއަރޕޯޓުން އުފުލުނު މުދާ، 2013</t>
  </si>
  <si>
    <t>Table 11.22 :  CARGO HANDLED AT GAN INTERNATIONAL AIRPORT BY MONTH, 2013</t>
  </si>
  <si>
    <t>(in Kg)</t>
  </si>
  <si>
    <t>Month</t>
  </si>
  <si>
    <t xml:space="preserve"> Total </t>
  </si>
  <si>
    <t>Domestic Flights</t>
  </si>
  <si>
    <t>cswm</t>
  </si>
  <si>
    <t>Inward</t>
  </si>
  <si>
    <t>Outward</t>
  </si>
  <si>
    <t>Direct Transit</t>
  </si>
  <si>
    <t>Total</t>
  </si>
  <si>
    <t>wlcmuj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</si>
  <si>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</si>
  <si>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</si>
  <si>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</si>
  <si>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</si>
  <si>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</si>
  <si>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</si>
  <si>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</si>
  <si>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</si>
  <si>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</si>
  <si>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</si>
  <si>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</si>
  <si>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</si>
  <si>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</si>
  <si>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</si>
  <si>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</si>
  <si>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</si>
  <si>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</si>
  <si>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</si>
  <si>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</si>
  <si>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</si>
  <si>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</si>
  <si>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</si>
  <si>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</si>
  <si>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</si>
  <si>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Note: Gan international flights do not have the permit to handle Cargo &amp; Mail</t>
  </si>
  <si>
    <t>Source: Civil Aviation Authority</t>
  </si>
  <si>
    <t>ނޯޓް: ގަން އިންޓަރނޭޝަނަލް އެއަރޕޯޓަށް ބައިނަލް އަޤްވާވީ ޕްލައިޓްތަކުން މުދާ އަދި މެއިލް އެތެރެކުރުމުގެ ހުއްދަ ދެވިފައެއްނުވެއެވެ.</t>
  </si>
  <si>
    <t>މައުލޫމާތު ދެއްވީ: ސިވިލް އޭވިއޭޝަން އޮތޯރިޓީ</t>
  </si>
</sst>
</file>

<file path=xl/styles.xml><?xml version="1.0" encoding="utf-8"?>
<styleSheet xmlns="http://schemas.openxmlformats.org/spreadsheetml/2006/main">
  <numFmts count="1">
    <numFmt numFmtId="164" formatCode="General_)"/>
  </numFmts>
  <fonts count="16">
    <font>
      <sz val="11"/>
      <color theme="1"/>
      <name val="Calibri"/>
      <family val="2"/>
      <scheme val="minor"/>
    </font>
    <font>
      <b/>
      <sz val="11"/>
      <name val="Faruma"/>
    </font>
    <font>
      <sz val="1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Garamond"/>
      <family val="1"/>
    </font>
    <font>
      <b/>
      <sz val="10"/>
      <name val="A_Randhoo"/>
    </font>
    <font>
      <sz val="10"/>
      <name val="MS Sans Serif"/>
      <family val="2"/>
    </font>
    <font>
      <sz val="9"/>
      <name val="Calibri"/>
      <family val="2"/>
      <scheme val="minor"/>
    </font>
    <font>
      <sz val="10"/>
      <name val="A_Randhoo"/>
    </font>
    <font>
      <i/>
      <sz val="9"/>
      <name val="Calibri"/>
      <family val="2"/>
      <scheme val="minor"/>
    </font>
    <font>
      <sz val="10"/>
      <name val="Arial"/>
      <family val="2"/>
    </font>
    <font>
      <sz val="9"/>
      <name val="A_Randhoo"/>
    </font>
    <font>
      <sz val="10"/>
      <name val="Faruma"/>
    </font>
    <font>
      <sz val="9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5">
    <xf numFmtId="0" fontId="0" fillId="0" borderId="0"/>
    <xf numFmtId="164" fontId="3" fillId="0" borderId="0"/>
    <xf numFmtId="0" fontId="6" fillId="0" borderId="0"/>
    <xf numFmtId="40" fontId="8" fillId="0" borderId="0" applyFont="0" applyFill="0" applyBorder="0" applyAlignment="0" applyProtection="0"/>
    <xf numFmtId="0" fontId="12" fillId="0" borderId="0"/>
  </cellStyleXfs>
  <cellXfs count="42">
    <xf numFmtId="0" fontId="0" fillId="0" borderId="0" xfId="0"/>
    <xf numFmtId="164" fontId="1" fillId="2" borderId="0" xfId="0" applyNumberFormat="1" applyFont="1" applyFill="1" applyAlignment="1">
      <alignment horizontal="center"/>
    </xf>
    <xf numFmtId="164" fontId="2" fillId="2" borderId="0" xfId="0" applyNumberFormat="1" applyFont="1" applyFill="1"/>
    <xf numFmtId="164" fontId="4" fillId="2" borderId="0" xfId="1" applyNumberFormat="1" applyFont="1" applyFill="1" applyBorder="1" applyAlignment="1" applyProtection="1">
      <alignment horizontal="center" vertical="center"/>
    </xf>
    <xf numFmtId="164" fontId="4" fillId="2" borderId="0" xfId="1" applyNumberFormat="1" applyFont="1" applyFill="1" applyBorder="1" applyAlignment="1" applyProtection="1">
      <alignment vertical="center"/>
    </xf>
    <xf numFmtId="164" fontId="2" fillId="2" borderId="0" xfId="0" applyNumberFormat="1" applyFont="1" applyFill="1" applyBorder="1"/>
    <xf numFmtId="164" fontId="5" fillId="2" borderId="1" xfId="1" applyNumberFormat="1" applyFont="1" applyFill="1" applyBorder="1" applyAlignment="1" applyProtection="1">
      <alignment horizontal="center" vertical="center"/>
    </xf>
    <xf numFmtId="164" fontId="4" fillId="2" borderId="2" xfId="1" applyNumberFormat="1" applyFont="1" applyFill="1" applyBorder="1" applyAlignment="1" applyProtection="1">
      <alignment horizontal="left" vertical="center"/>
    </xf>
    <xf numFmtId="164" fontId="4" fillId="2" borderId="2" xfId="1" applyNumberFormat="1" applyFont="1" applyFill="1" applyBorder="1" applyAlignment="1" applyProtection="1">
      <alignment horizontal="right" vertical="center"/>
    </xf>
    <xf numFmtId="164" fontId="5" fillId="2" borderId="3" xfId="1" applyNumberFormat="1" applyFont="1" applyFill="1" applyBorder="1" applyAlignment="1" applyProtection="1">
      <alignment horizontal="center" vertical="center"/>
    </xf>
    <xf numFmtId="0" fontId="7" fillId="2" borderId="2" xfId="2" applyFont="1" applyFill="1" applyBorder="1" applyAlignment="1">
      <alignment horizontal="right" vertical="center"/>
    </xf>
    <xf numFmtId="164" fontId="4" fillId="2" borderId="1" xfId="1" applyNumberFormat="1" applyFont="1" applyFill="1" applyBorder="1" applyAlignment="1" applyProtection="1">
      <alignment horizontal="left" vertical="center"/>
    </xf>
    <xf numFmtId="164" fontId="4" fillId="2" borderId="1" xfId="1" applyNumberFormat="1" applyFont="1" applyFill="1" applyBorder="1" applyAlignment="1" applyProtection="1">
      <alignment horizontal="right" vertical="center"/>
    </xf>
    <xf numFmtId="164" fontId="5" fillId="2" borderId="1" xfId="1" applyNumberFormat="1" applyFont="1" applyFill="1" applyBorder="1" applyAlignment="1" applyProtection="1">
      <alignment horizontal="right" vertical="center"/>
    </xf>
    <xf numFmtId="164" fontId="5" fillId="2" borderId="1" xfId="1" applyNumberFormat="1" applyFont="1" applyFill="1" applyBorder="1" applyAlignment="1" applyProtection="1">
      <alignment horizontal="right" vertical="center" wrapText="1"/>
    </xf>
    <xf numFmtId="0" fontId="7" fillId="2" borderId="1" xfId="2" applyFont="1" applyFill="1" applyBorder="1" applyAlignment="1">
      <alignment horizontal="right" vertical="center"/>
    </xf>
    <xf numFmtId="164" fontId="5" fillId="2" borderId="0" xfId="1" applyNumberFormat="1" applyFont="1" applyFill="1" applyBorder="1" applyAlignment="1" applyProtection="1">
      <alignment horizontal="left" vertical="center"/>
    </xf>
    <xf numFmtId="38" fontId="5" fillId="2" borderId="2" xfId="3" applyNumberFormat="1" applyFont="1" applyFill="1" applyBorder="1" applyAlignment="1" applyProtection="1">
      <alignment horizontal="right" vertical="center" wrapText="1"/>
    </xf>
    <xf numFmtId="38" fontId="5" fillId="2" borderId="0" xfId="3" applyNumberFormat="1" applyFont="1" applyFill="1" applyBorder="1" applyAlignment="1" applyProtection="1">
      <alignment horizontal="right" vertical="center"/>
    </xf>
    <xf numFmtId="0" fontId="7" fillId="2" borderId="0" xfId="2" applyFont="1" applyFill="1" applyBorder="1" applyAlignment="1">
      <alignment horizontal="right"/>
    </xf>
    <xf numFmtId="164" fontId="9" fillId="2" borderId="0" xfId="1" applyNumberFormat="1" applyFont="1" applyFill="1" applyBorder="1" applyAlignment="1" applyProtection="1">
      <alignment horizontal="left" vertical="center"/>
    </xf>
    <xf numFmtId="38" fontId="5" fillId="2" borderId="0" xfId="3" applyNumberFormat="1" applyFont="1" applyFill="1" applyBorder="1" applyAlignment="1" applyProtection="1">
      <alignment horizontal="right" vertical="center" wrapText="1"/>
    </xf>
    <xf numFmtId="38" fontId="9" fillId="2" borderId="0" xfId="1" applyNumberFormat="1" applyFont="1" applyFill="1" applyBorder="1" applyAlignment="1" applyProtection="1">
      <alignment horizontal="right" vertical="center"/>
      <protection locked="0"/>
    </xf>
    <xf numFmtId="0" fontId="10" fillId="2" borderId="0" xfId="2" applyFont="1" applyFill="1" applyBorder="1" applyAlignment="1">
      <alignment horizontal="right"/>
    </xf>
    <xf numFmtId="164" fontId="9" fillId="2" borderId="1" xfId="1" applyNumberFormat="1" applyFont="1" applyFill="1" applyBorder="1" applyAlignment="1" applyProtection="1">
      <alignment horizontal="left" vertical="center"/>
    </xf>
    <xf numFmtId="38" fontId="5" fillId="2" borderId="1" xfId="3" applyNumberFormat="1" applyFont="1" applyFill="1" applyBorder="1" applyAlignment="1" applyProtection="1">
      <alignment horizontal="right" vertical="center" wrapText="1"/>
    </xf>
    <xf numFmtId="38" fontId="9" fillId="2" borderId="1" xfId="1" applyNumberFormat="1" applyFont="1" applyFill="1" applyBorder="1" applyAlignment="1" applyProtection="1">
      <alignment horizontal="right" vertical="center"/>
    </xf>
    <xf numFmtId="0" fontId="10" fillId="2" borderId="1" xfId="2" applyFont="1" applyFill="1" applyBorder="1" applyAlignment="1">
      <alignment horizontal="right"/>
    </xf>
    <xf numFmtId="164" fontId="11" fillId="2" borderId="0" xfId="1" applyNumberFormat="1" applyFont="1" applyFill="1" applyBorder="1" applyAlignment="1">
      <alignment vertical="center"/>
    </xf>
    <xf numFmtId="164" fontId="11" fillId="2" borderId="0" xfId="1" applyNumberFormat="1" applyFont="1" applyFill="1" applyAlignment="1" applyProtection="1">
      <alignment horizontal="left" vertical="center"/>
    </xf>
    <xf numFmtId="37" fontId="9" fillId="2" borderId="0" xfId="1" applyNumberFormat="1" applyFont="1" applyFill="1" applyAlignment="1" applyProtection="1">
      <alignment vertical="center"/>
    </xf>
    <xf numFmtId="0" fontId="9" fillId="2" borderId="0" xfId="4" applyFont="1" applyFill="1" applyAlignment="1">
      <alignment vertical="center"/>
    </xf>
    <xf numFmtId="0" fontId="13" fillId="2" borderId="0" xfId="4" applyFont="1" applyFill="1" applyAlignment="1">
      <alignment vertical="center"/>
    </xf>
    <xf numFmtId="164" fontId="13" fillId="2" borderId="0" xfId="1" applyNumberFormat="1" applyFont="1" applyFill="1" applyBorder="1" applyAlignment="1"/>
    <xf numFmtId="164" fontId="11" fillId="2" borderId="0" xfId="1" applyNumberFormat="1" applyFont="1" applyFill="1" applyAlignment="1">
      <alignment vertical="center"/>
    </xf>
    <xf numFmtId="164" fontId="9" fillId="2" borderId="0" xfId="1" applyNumberFormat="1" applyFont="1" applyFill="1" applyAlignment="1">
      <alignment vertical="center"/>
    </xf>
    <xf numFmtId="164" fontId="9" fillId="2" borderId="0" xfId="1" applyNumberFormat="1" applyFont="1" applyFill="1" applyBorder="1" applyAlignment="1">
      <alignment vertical="center"/>
    </xf>
    <xf numFmtId="0" fontId="14" fillId="2" borderId="4" xfId="0" applyNumberFormat="1" applyFont="1" applyFill="1" applyBorder="1" applyAlignment="1">
      <alignment horizontal="right" vertical="center"/>
    </xf>
    <xf numFmtId="164" fontId="9" fillId="2" borderId="0" xfId="0" applyNumberFormat="1" applyFont="1" applyFill="1" applyAlignment="1">
      <alignment vertical="center"/>
    </xf>
    <xf numFmtId="164" fontId="15" fillId="2" borderId="0" xfId="0" applyNumberFormat="1" applyFont="1" applyFill="1" applyAlignment="1">
      <alignment vertical="center"/>
    </xf>
    <xf numFmtId="164" fontId="5" fillId="2" borderId="0" xfId="1" applyNumberFormat="1" applyFont="1" applyFill="1" applyBorder="1" applyAlignment="1" applyProtection="1">
      <alignment vertical="center"/>
    </xf>
    <xf numFmtId="0" fontId="15" fillId="2" borderId="4" xfId="0" applyNumberFormat="1" applyFont="1" applyFill="1" applyBorder="1" applyAlignment="1">
      <alignment horizontal="right" vertical="center"/>
    </xf>
  </cellXfs>
  <cellStyles count="5">
    <cellStyle name="Comma 2" xfId="3"/>
    <cellStyle name="Normal" xfId="0" builtinId="0"/>
    <cellStyle name="Normal 2" xfId="1"/>
    <cellStyle name="Normal_IX-6(Trans &amp; Comm)" xfId="4"/>
    <cellStyle name="Normal_X-5 (Electricity)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>
      <selection activeCell="B27" sqref="B27"/>
    </sheetView>
  </sheetViews>
  <sheetFormatPr defaultColWidth="9.109375" defaultRowHeight="14.4"/>
  <cols>
    <col min="1" max="1" width="12.109375" style="2" customWidth="1"/>
    <col min="2" max="7" width="14.5546875" style="2" customWidth="1"/>
    <col min="8" max="8" width="9.109375" style="2"/>
    <col min="9" max="9" width="8.88671875" style="2" customWidth="1"/>
    <col min="10" max="16384" width="9.109375" style="2"/>
  </cols>
  <sheetData>
    <row r="1" spans="1:10" ht="19.2">
      <c r="A1" s="1" t="s">
        <v>0</v>
      </c>
      <c r="B1" s="1"/>
      <c r="C1" s="1"/>
      <c r="D1" s="1"/>
      <c r="E1" s="1"/>
      <c r="F1" s="1"/>
    </row>
    <row r="2" spans="1:10">
      <c r="A2" s="3" t="s">
        <v>1</v>
      </c>
      <c r="B2" s="3"/>
      <c r="C2" s="3"/>
      <c r="D2" s="3"/>
      <c r="E2" s="3"/>
      <c r="F2" s="3"/>
      <c r="G2" s="4"/>
      <c r="H2" s="4"/>
      <c r="I2" s="4"/>
      <c r="J2" s="5"/>
    </row>
    <row r="3" spans="1:10">
      <c r="A3" s="6" t="s">
        <v>2</v>
      </c>
      <c r="B3" s="6"/>
      <c r="C3" s="6"/>
      <c r="D3" s="6"/>
      <c r="E3" s="6"/>
      <c r="F3" s="6"/>
      <c r="G3" s="4"/>
      <c r="H3" s="4"/>
      <c r="I3" s="4"/>
      <c r="J3" s="5"/>
    </row>
    <row r="4" spans="1:10">
      <c r="A4" s="7" t="s">
        <v>3</v>
      </c>
      <c r="B4" s="8" t="s">
        <v>4</v>
      </c>
      <c r="C4" s="9" t="s">
        <v>5</v>
      </c>
      <c r="D4" s="9"/>
      <c r="E4" s="9"/>
      <c r="F4" s="10" t="s">
        <v>6</v>
      </c>
      <c r="G4" s="4"/>
      <c r="H4" s="4"/>
      <c r="I4" s="4"/>
      <c r="J4" s="5"/>
    </row>
    <row r="5" spans="1:10">
      <c r="A5" s="11"/>
      <c r="B5" s="12"/>
      <c r="C5" s="13" t="s">
        <v>7</v>
      </c>
      <c r="D5" s="13" t="s">
        <v>8</v>
      </c>
      <c r="E5" s="14" t="s">
        <v>9</v>
      </c>
      <c r="F5" s="15"/>
      <c r="G5" s="4"/>
      <c r="H5" s="4"/>
      <c r="I5" s="4"/>
      <c r="J5" s="5"/>
    </row>
    <row r="6" spans="1:10" ht="16.8">
      <c r="A6" s="16" t="s">
        <v>10</v>
      </c>
      <c r="B6" s="17">
        <f>SUM(C6:E6)</f>
        <v>308579.5</v>
      </c>
      <c r="C6" s="18">
        <f>SUM(C7:C18)</f>
        <v>284590</v>
      </c>
      <c r="D6" s="18">
        <f>SUM(D7:D18)</f>
        <v>11190.5</v>
      </c>
      <c r="E6" s="18">
        <f>SUM(E7:E18)</f>
        <v>12799</v>
      </c>
      <c r="F6" s="19" t="s">
        <v>11</v>
      </c>
      <c r="G6" s="4"/>
      <c r="H6" s="4"/>
      <c r="I6" s="4"/>
      <c r="J6" s="5"/>
    </row>
    <row r="7" spans="1:10" ht="16.8">
      <c r="A7" s="20" t="s">
        <v>12</v>
      </c>
      <c r="B7" s="21">
        <f t="shared" ref="B7:B18" si="0">SUM(C7:E7)</f>
        <v>25364</v>
      </c>
      <c r="C7" s="22">
        <v>24212</v>
      </c>
      <c r="D7" s="22">
        <v>527</v>
      </c>
      <c r="E7" s="22">
        <v>625</v>
      </c>
      <c r="F7" s="23" t="s">
        <v>13</v>
      </c>
      <c r="G7" s="4"/>
      <c r="H7" s="4"/>
      <c r="I7" s="4"/>
      <c r="J7" s="5"/>
    </row>
    <row r="8" spans="1:10" ht="16.8">
      <c r="A8" s="20" t="s">
        <v>14</v>
      </c>
      <c r="B8" s="21">
        <f t="shared" si="0"/>
        <v>25541</v>
      </c>
      <c r="C8" s="22">
        <v>24166</v>
      </c>
      <c r="D8" s="22">
        <v>814</v>
      </c>
      <c r="E8" s="22">
        <v>561</v>
      </c>
      <c r="F8" s="23" t="s">
        <v>15</v>
      </c>
      <c r="G8" s="4"/>
      <c r="H8" s="4"/>
      <c r="I8" s="4"/>
      <c r="J8" s="5"/>
    </row>
    <row r="9" spans="1:10" ht="16.8">
      <c r="A9" s="20" t="s">
        <v>16</v>
      </c>
      <c r="B9" s="21">
        <f t="shared" si="0"/>
        <v>21567</v>
      </c>
      <c r="C9" s="22">
        <v>20390</v>
      </c>
      <c r="D9" s="22">
        <v>458</v>
      </c>
      <c r="E9" s="22">
        <v>719</v>
      </c>
      <c r="F9" s="23" t="s">
        <v>17</v>
      </c>
      <c r="G9" s="4"/>
      <c r="H9" s="4"/>
      <c r="I9" s="4"/>
      <c r="J9" s="5"/>
    </row>
    <row r="10" spans="1:10" ht="16.8">
      <c r="A10" s="20" t="s">
        <v>18</v>
      </c>
      <c r="B10" s="21">
        <f t="shared" si="0"/>
        <v>24422</v>
      </c>
      <c r="C10" s="22">
        <v>21835</v>
      </c>
      <c r="D10" s="22">
        <v>979</v>
      </c>
      <c r="E10" s="22">
        <v>1608</v>
      </c>
      <c r="F10" s="23" t="s">
        <v>19</v>
      </c>
      <c r="G10" s="4"/>
      <c r="H10" s="4"/>
      <c r="I10" s="4"/>
      <c r="J10" s="5"/>
    </row>
    <row r="11" spans="1:10" ht="16.8">
      <c r="A11" s="20" t="s">
        <v>20</v>
      </c>
      <c r="B11" s="21">
        <f t="shared" si="0"/>
        <v>23704</v>
      </c>
      <c r="C11" s="22">
        <v>20277</v>
      </c>
      <c r="D11" s="22">
        <v>1014</v>
      </c>
      <c r="E11" s="22">
        <v>2413</v>
      </c>
      <c r="F11" s="23" t="s">
        <v>21</v>
      </c>
      <c r="G11" s="4"/>
      <c r="H11" s="4"/>
      <c r="I11" s="4"/>
      <c r="J11" s="5"/>
    </row>
    <row r="12" spans="1:10" ht="16.8">
      <c r="A12" s="20" t="s">
        <v>22</v>
      </c>
      <c r="B12" s="21">
        <f t="shared" si="0"/>
        <v>22342.5</v>
      </c>
      <c r="C12" s="22">
        <v>21116</v>
      </c>
      <c r="D12" s="22">
        <v>744.5</v>
      </c>
      <c r="E12" s="22">
        <v>482</v>
      </c>
      <c r="F12" s="23" t="s">
        <v>23</v>
      </c>
      <c r="G12" s="4"/>
      <c r="H12" s="4"/>
      <c r="I12" s="4"/>
      <c r="J12" s="5"/>
    </row>
    <row r="13" spans="1:10" ht="16.8">
      <c r="A13" s="20" t="s">
        <v>24</v>
      </c>
      <c r="B13" s="21">
        <f t="shared" si="0"/>
        <v>32390</v>
      </c>
      <c r="C13" s="22">
        <v>31490</v>
      </c>
      <c r="D13" s="22">
        <v>579</v>
      </c>
      <c r="E13" s="22">
        <v>321</v>
      </c>
      <c r="F13" s="23" t="s">
        <v>25</v>
      </c>
      <c r="G13" s="4"/>
      <c r="H13" s="4"/>
      <c r="I13" s="4"/>
      <c r="J13" s="5"/>
    </row>
    <row r="14" spans="1:10" ht="16.8">
      <c r="A14" s="20" t="s">
        <v>26</v>
      </c>
      <c r="B14" s="21">
        <f t="shared" si="0"/>
        <v>26314</v>
      </c>
      <c r="C14" s="22">
        <v>24294</v>
      </c>
      <c r="D14" s="22">
        <v>736</v>
      </c>
      <c r="E14" s="22">
        <v>1284</v>
      </c>
      <c r="F14" s="23" t="s">
        <v>27</v>
      </c>
      <c r="G14" s="4"/>
      <c r="H14" s="4"/>
      <c r="I14" s="4"/>
      <c r="J14" s="5"/>
    </row>
    <row r="15" spans="1:10" ht="16.8">
      <c r="A15" s="20" t="s">
        <v>28</v>
      </c>
      <c r="B15" s="21">
        <f t="shared" si="0"/>
        <v>30548</v>
      </c>
      <c r="C15" s="22">
        <v>28360</v>
      </c>
      <c r="D15" s="22">
        <v>548</v>
      </c>
      <c r="E15" s="22">
        <v>1640</v>
      </c>
      <c r="F15" s="23" t="s">
        <v>29</v>
      </c>
      <c r="I15" s="4"/>
      <c r="J15" s="5"/>
    </row>
    <row r="16" spans="1:10" ht="16.8">
      <c r="A16" s="20" t="s">
        <v>30</v>
      </c>
      <c r="B16" s="21">
        <f t="shared" si="0"/>
        <v>25657</v>
      </c>
      <c r="C16" s="22">
        <v>22222</v>
      </c>
      <c r="D16" s="22">
        <v>1888</v>
      </c>
      <c r="E16" s="22">
        <v>1547</v>
      </c>
      <c r="F16" s="23" t="s">
        <v>31</v>
      </c>
      <c r="I16" s="4"/>
      <c r="J16" s="5"/>
    </row>
    <row r="17" spans="1:13" ht="16.8">
      <c r="A17" s="20" t="s">
        <v>32</v>
      </c>
      <c r="B17" s="21">
        <f t="shared" si="0"/>
        <v>24160</v>
      </c>
      <c r="C17" s="22">
        <v>21607</v>
      </c>
      <c r="D17" s="22">
        <v>1711</v>
      </c>
      <c r="E17" s="22">
        <v>842</v>
      </c>
      <c r="F17" s="23" t="s">
        <v>33</v>
      </c>
      <c r="I17" s="4"/>
      <c r="J17" s="5"/>
    </row>
    <row r="18" spans="1:13" ht="16.8">
      <c r="A18" s="24" t="s">
        <v>34</v>
      </c>
      <c r="B18" s="25">
        <f t="shared" si="0"/>
        <v>26570</v>
      </c>
      <c r="C18" s="26">
        <v>24621</v>
      </c>
      <c r="D18" s="26">
        <v>1192</v>
      </c>
      <c r="E18" s="26">
        <v>757</v>
      </c>
      <c r="F18" s="27" t="s">
        <v>35</v>
      </c>
      <c r="I18" s="4"/>
      <c r="J18" s="5"/>
    </row>
    <row r="19" spans="1:13" ht="12.75" customHeight="1">
      <c r="A19" s="28" t="s">
        <v>36</v>
      </c>
      <c r="B19" s="29"/>
      <c r="C19" s="30"/>
      <c r="D19" s="30"/>
      <c r="E19" s="30"/>
      <c r="G19" s="30"/>
      <c r="H19" s="31"/>
      <c r="I19" s="4"/>
      <c r="J19" s="32"/>
      <c r="L19" s="33"/>
      <c r="M19" s="32"/>
    </row>
    <row r="20" spans="1:13" ht="12.75" customHeight="1">
      <c r="A20" s="29" t="s">
        <v>37</v>
      </c>
      <c r="B20" s="34"/>
      <c r="C20" s="34"/>
      <c r="D20" s="35"/>
      <c r="E20" s="36"/>
      <c r="G20" s="35"/>
      <c r="H20" s="37"/>
      <c r="I20" s="4"/>
      <c r="J20" s="5"/>
    </row>
    <row r="21" spans="1:13" s="38" customFormat="1" ht="15" customHeight="1">
      <c r="F21" s="39" t="s">
        <v>38</v>
      </c>
      <c r="I21" s="40"/>
    </row>
    <row r="22" spans="1:13" s="38" customFormat="1" ht="16.8">
      <c r="F22" s="41" t="s">
        <v>39</v>
      </c>
    </row>
  </sheetData>
  <mergeCells count="7">
    <mergeCell ref="A1:F1"/>
    <mergeCell ref="A2:F2"/>
    <mergeCell ref="A3:F3"/>
    <mergeCell ref="A4:A5"/>
    <mergeCell ref="B4:B5"/>
    <mergeCell ref="C4:E4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11.22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dcterms:created xsi:type="dcterms:W3CDTF">2015-02-11T04:57:31Z</dcterms:created>
  <dcterms:modified xsi:type="dcterms:W3CDTF">2015-02-11T04:58:57Z</dcterms:modified>
</cp:coreProperties>
</file>