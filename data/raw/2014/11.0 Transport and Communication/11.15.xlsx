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11.15" sheetId="13" r:id="rId1"/>
  </sheets>
  <calcPr calcId="124519"/>
</workbook>
</file>

<file path=xl/calcChain.xml><?xml version="1.0" encoding="utf-8"?>
<calcChain xmlns="http://schemas.openxmlformats.org/spreadsheetml/2006/main">
  <c r="AK29" i="13"/>
  <c r="AK22"/>
  <c r="AK23"/>
  <c r="AK24"/>
  <c r="AK25"/>
  <c r="AK26"/>
  <c r="AK27"/>
  <c r="AK28"/>
  <c r="AJ29"/>
  <c r="AJ28"/>
  <c r="AJ27"/>
  <c r="AJ26"/>
  <c r="AJ25"/>
  <c r="AJ24"/>
  <c r="AJ23"/>
  <c r="AJ22"/>
  <c r="AI28"/>
  <c r="AI27"/>
  <c r="AI26"/>
  <c r="AI25"/>
  <c r="AI24"/>
  <c r="AI23"/>
  <c r="AI22"/>
  <c r="U8"/>
  <c r="T8"/>
  <c r="R8"/>
  <c r="Q8"/>
  <c r="O8"/>
  <c r="N8"/>
  <c r="L8"/>
  <c r="K8"/>
  <c r="I8"/>
  <c r="H8"/>
  <c r="F8"/>
  <c r="E8"/>
  <c r="C8"/>
  <c r="B8"/>
</calcChain>
</file>

<file path=xl/sharedStrings.xml><?xml version="1.0" encoding="utf-8"?>
<sst xmlns="http://schemas.openxmlformats.org/spreadsheetml/2006/main" count="76" uniqueCount="50">
  <si>
    <t>wlcmuj</t>
  </si>
  <si>
    <t>Total</t>
  </si>
  <si>
    <t>iawa</t>
  </si>
  <si>
    <t>iruf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</si>
  <si>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</si>
  <si>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</si>
  <si>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</si>
  <si>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</si>
  <si>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</si>
  <si>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</si>
  <si>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</si>
  <si>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</si>
  <si>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</si>
  <si>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</si>
  <si>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</si>
  <si>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</si>
  <si>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</si>
  <si>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</si>
  <si>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</si>
  <si>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</si>
  <si>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</si>
  <si>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</si>
  <si>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</si>
  <si>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</si>
  <si>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</si>
  <si>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</si>
  <si>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</si>
  <si>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</si>
  <si>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</si>
  <si>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</si>
  <si>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</si>
  <si>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</si>
  <si>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</si>
  <si>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</si>
  <si>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</si>
  <si>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</si>
  <si>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</si>
  <si>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L.Kadhdhoo</t>
  </si>
  <si>
    <t>GDh.Kaadedhdhoo</t>
  </si>
  <si>
    <t xml:space="preserve">Gn.Fuvahmulah </t>
  </si>
  <si>
    <t>ADh.Maamigili</t>
  </si>
  <si>
    <t>B.Dharavandhoo</t>
  </si>
  <si>
    <t>clIrcPEa</t>
  </si>
  <si>
    <t>cTcswgOa</t>
  </si>
  <si>
    <t>rwbOTckoa</t>
  </si>
  <si>
    <t>UdWminwh .dh</t>
  </si>
  <si>
    <t>HDh.Hanimaadhoo</t>
  </si>
  <si>
    <t>GA. Koodoo</t>
  </si>
  <si>
    <t>Table 11.15 :  PASSENGER MOVEMENTS AT DOMESTIC AIRPORTS BY MONTH, 2013</t>
  </si>
  <si>
    <t>2013 ,ctogiruh urutwfurutwd egcnurwjcniswf iawgukwturwdnwb egiawv egEjcaWr cnutogeguhwmcswm  :11.15 ulwvWt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</si>
</sst>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i/>
      <sz val="10"/>
      <name val="Arial"/>
      <family val="2"/>
    </font>
    <font>
      <b/>
      <sz val="12"/>
      <name val="A_Randhoo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sz val="10"/>
      <name val="Garamond"/>
      <family val="1"/>
    </font>
    <font>
      <b/>
      <sz val="10.5"/>
      <name val="A_Randhoo Aa"/>
    </font>
    <font>
      <b/>
      <sz val="10.5"/>
      <name val="A_Reethi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9" fillId="0" borderId="0"/>
    <xf numFmtId="40" fontId="13" fillId="0" borderId="0" applyFont="0" applyFill="0" applyBorder="0" applyAlignment="0" applyProtection="0"/>
    <xf numFmtId="0" fontId="5" fillId="0" borderId="0"/>
    <xf numFmtId="166" fontId="9" fillId="0" borderId="0"/>
    <xf numFmtId="166" fontId="9" fillId="0" borderId="0"/>
    <xf numFmtId="165" fontId="9" fillId="0" borderId="0" applyFont="0" applyFill="0" applyBorder="0" applyAlignment="0" applyProtection="0"/>
  </cellStyleXfs>
  <cellXfs count="41">
    <xf numFmtId="0" fontId="0" fillId="0" borderId="0" xfId="0"/>
    <xf numFmtId="164" fontId="0" fillId="2" borderId="0" xfId="0" applyNumberFormat="1" applyFill="1"/>
    <xf numFmtId="164" fontId="8" fillId="2" borderId="0" xfId="6" applyNumberFormat="1" applyFont="1" applyFill="1" applyAlignment="1" applyProtection="1">
      <alignment horizontal="left" vertical="center"/>
    </xf>
    <xf numFmtId="164" fontId="7" fillId="2" borderId="0" xfId="6" applyNumberFormat="1" applyFont="1" applyFill="1" applyBorder="1" applyAlignment="1" applyProtection="1">
      <alignment horizontal="left" vertical="center"/>
    </xf>
    <xf numFmtId="164" fontId="6" fillId="2" borderId="0" xfId="6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/>
    <xf numFmtId="164" fontId="0" fillId="2" borderId="0" xfId="0" applyNumberFormat="1" applyFill="1" applyBorder="1"/>
    <xf numFmtId="0" fontId="15" fillId="2" borderId="0" xfId="0" applyNumberFormat="1" applyFont="1" applyFill="1" applyBorder="1" applyAlignment="1">
      <alignment horizontal="right" vertical="center"/>
    </xf>
    <xf numFmtId="164" fontId="19" fillId="2" borderId="0" xfId="6" applyNumberFormat="1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164" fontId="17" fillId="2" borderId="0" xfId="6" applyNumberFormat="1" applyFont="1" applyFill="1" applyBorder="1" applyAlignment="1">
      <alignment horizontal="right" vertical="center"/>
    </xf>
    <xf numFmtId="164" fontId="19" fillId="2" borderId="3" xfId="6" applyNumberFormat="1" applyFont="1" applyFill="1" applyBorder="1" applyAlignment="1">
      <alignment horizontal="right" vertical="center"/>
    </xf>
    <xf numFmtId="3" fontId="6" fillId="2" borderId="0" xfId="6" applyNumberFormat="1" applyFont="1" applyFill="1" applyBorder="1" applyAlignment="1">
      <alignment horizontal="right"/>
    </xf>
    <xf numFmtId="164" fontId="14" fillId="2" borderId="0" xfId="6" applyNumberFormat="1" applyFont="1" applyFill="1" applyBorder="1" applyAlignment="1">
      <alignment horizontal="right" vertical="center"/>
    </xf>
    <xf numFmtId="164" fontId="7" fillId="2" borderId="3" xfId="6" applyNumberFormat="1" applyFont="1" applyFill="1" applyBorder="1" applyAlignment="1" applyProtection="1">
      <alignment horizontal="left" vertical="center"/>
    </xf>
    <xf numFmtId="164" fontId="14" fillId="2" borderId="3" xfId="6" applyNumberFormat="1" applyFont="1" applyFill="1" applyBorder="1" applyAlignment="1">
      <alignment horizontal="right" vertical="center"/>
    </xf>
    <xf numFmtId="164" fontId="10" fillId="2" borderId="0" xfId="6" applyNumberFormat="1" applyFont="1" applyFill="1" applyAlignment="1" applyProtection="1">
      <alignment horizontal="left" vertical="center"/>
    </xf>
    <xf numFmtId="37" fontId="5" fillId="2" borderId="0" xfId="6" applyNumberFormat="1" applyFont="1" applyFill="1" applyAlignment="1" applyProtection="1">
      <alignment vertical="center"/>
    </xf>
    <xf numFmtId="164" fontId="14" fillId="2" borderId="0" xfId="6" applyNumberFormat="1" applyFont="1" applyFill="1" applyBorder="1" applyAlignment="1"/>
    <xf numFmtId="0" fontId="14" fillId="2" borderId="0" xfId="8" applyFont="1" applyFill="1" applyAlignment="1">
      <alignment vertical="center"/>
    </xf>
    <xf numFmtId="164" fontId="17" fillId="2" borderId="2" xfId="6" applyNumberFormat="1" applyFont="1" applyFill="1" applyBorder="1" applyAlignment="1">
      <alignment horizontal="center" vertical="center"/>
    </xf>
    <xf numFmtId="164" fontId="18" fillId="2" borderId="2" xfId="6" applyNumberFormat="1" applyFont="1" applyFill="1" applyBorder="1" applyAlignment="1">
      <alignment horizontal="center" vertical="center"/>
    </xf>
    <xf numFmtId="164" fontId="12" fillId="2" borderId="0" xfId="6" applyNumberFormat="1" applyFont="1" applyFill="1" applyBorder="1" applyAlignment="1">
      <alignment horizontal="right" vertical="center"/>
    </xf>
    <xf numFmtId="0" fontId="21" fillId="2" borderId="1" xfId="0" applyNumberFormat="1" applyFont="1" applyFill="1" applyBorder="1" applyAlignment="1">
      <alignment horizontal="right" vertical="center"/>
    </xf>
    <xf numFmtId="164" fontId="3" fillId="2" borderId="3" xfId="6" applyNumberFormat="1" applyFont="1" applyFill="1" applyBorder="1" applyAlignment="1">
      <alignment horizontal="right" vertical="center"/>
    </xf>
    <xf numFmtId="3" fontId="7" fillId="2" borderId="0" xfId="6" applyNumberFormat="1" applyFont="1" applyFill="1" applyBorder="1" applyAlignment="1">
      <alignment horizontal="right"/>
    </xf>
    <xf numFmtId="3" fontId="7" fillId="2" borderId="0" xfId="7" applyNumberFormat="1" applyFont="1" applyFill="1" applyBorder="1" applyAlignment="1">
      <alignment horizontal="right"/>
    </xf>
    <xf numFmtId="3" fontId="7" fillId="2" borderId="3" xfId="6" applyNumberFormat="1" applyFont="1" applyFill="1" applyBorder="1" applyAlignment="1">
      <alignment horizontal="right"/>
    </xf>
    <xf numFmtId="3" fontId="7" fillId="2" borderId="3" xfId="7" applyNumberFormat="1" applyFont="1" applyFill="1" applyBorder="1" applyAlignment="1">
      <alignment horizontal="right"/>
    </xf>
    <xf numFmtId="166" fontId="0" fillId="2" borderId="0" xfId="1" applyNumberFormat="1" applyFont="1" applyFill="1"/>
    <xf numFmtId="164" fontId="11" fillId="2" borderId="0" xfId="6" applyNumberFormat="1" applyFont="1" applyFill="1" applyBorder="1" applyAlignment="1">
      <alignment horizontal="center" vertical="center"/>
    </xf>
    <xf numFmtId="164" fontId="19" fillId="2" borderId="3" xfId="6" applyNumberFormat="1" applyFont="1" applyFill="1" applyBorder="1" applyAlignment="1">
      <alignment horizontal="center" vertical="center" wrapText="1"/>
    </xf>
    <xf numFmtId="164" fontId="2" fillId="2" borderId="0" xfId="6" applyNumberFormat="1" applyFont="1" applyFill="1" applyBorder="1" applyAlignment="1">
      <alignment horizontal="center" vertical="center"/>
    </xf>
    <xf numFmtId="164" fontId="18" fillId="2" borderId="2" xfId="6" applyNumberFormat="1" applyFont="1" applyFill="1" applyBorder="1" applyAlignment="1">
      <alignment horizontal="center" vertical="center"/>
    </xf>
    <xf numFmtId="164" fontId="12" fillId="2" borderId="2" xfId="6" applyNumberFormat="1" applyFont="1" applyFill="1" applyBorder="1" applyAlignment="1">
      <alignment horizontal="right" vertical="center"/>
    </xf>
    <xf numFmtId="164" fontId="12" fillId="2" borderId="0" xfId="6" applyNumberFormat="1" applyFont="1" applyFill="1" applyBorder="1" applyAlignment="1">
      <alignment horizontal="right" vertical="center"/>
    </xf>
    <xf numFmtId="164" fontId="12" fillId="2" borderId="3" xfId="6" applyNumberFormat="1" applyFont="1" applyFill="1" applyBorder="1" applyAlignment="1">
      <alignment horizontal="right" vertical="center"/>
    </xf>
    <xf numFmtId="164" fontId="6" fillId="2" borderId="2" xfId="6" applyNumberFormat="1" applyFont="1" applyFill="1" applyBorder="1" applyAlignment="1">
      <alignment horizontal="left" vertical="center"/>
    </xf>
    <xf numFmtId="164" fontId="6" fillId="2" borderId="0" xfId="6" applyNumberFormat="1" applyFont="1" applyFill="1" applyBorder="1" applyAlignment="1">
      <alignment horizontal="left" vertical="center"/>
    </xf>
    <xf numFmtId="164" fontId="6" fillId="2" borderId="3" xfId="6" applyNumberFormat="1" applyFont="1" applyFill="1" applyBorder="1" applyAlignment="1">
      <alignment horizontal="left" vertical="center"/>
    </xf>
    <xf numFmtId="164" fontId="17" fillId="2" borderId="2" xfId="6" applyNumberFormat="1" applyFont="1" applyFill="1" applyBorder="1" applyAlignment="1">
      <alignment horizontal="center" vertical="center"/>
    </xf>
  </cellXfs>
  <cellStyles count="12">
    <cellStyle name="Comma" xfId="1" builtinId="3"/>
    <cellStyle name="Comma 2" xfId="7"/>
    <cellStyle name="Comma 4" xfId="11"/>
    <cellStyle name="Hyperlink 2" xfId="2"/>
    <cellStyle name="Normal" xfId="0" builtinId="0"/>
    <cellStyle name="Normal 2" xfId="6"/>
    <cellStyle name="Normal 2 3" xfId="4"/>
    <cellStyle name="Normal 3" xfId="9"/>
    <cellStyle name="Normal 3 2" xfId="5"/>
    <cellStyle name="Normal 4" xfId="10"/>
    <cellStyle name="Normal 5" xfId="3"/>
    <cellStyle name="Normal_IX-6(Trans &amp; Comm)" xfId="8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 b="1" i="0" u="none" strike="noStrike" baseline="0"/>
              <a:t>Figure 11.10: </a:t>
            </a:r>
            <a:r>
              <a:rPr lang="en-US" sz="1050"/>
              <a:t>Passanger movement at Domestic</a:t>
            </a:r>
            <a:r>
              <a:rPr lang="en-US" sz="1050" baseline="0"/>
              <a:t> airports, 2013</a:t>
            </a:r>
            <a:endParaRPr lang="en-US" sz="1050"/>
          </a:p>
        </c:rich>
      </c:tx>
      <c:layout>
        <c:manualLayout>
          <c:xMode val="edge"/>
          <c:yMode val="edge"/>
          <c:x val="0.2834654168151573"/>
          <c:y val="1.8740606774659628E-2"/>
        </c:manualLayout>
      </c:layout>
    </c:title>
    <c:plotArea>
      <c:layout>
        <c:manualLayout>
          <c:layoutTarget val="inner"/>
          <c:xMode val="edge"/>
          <c:yMode val="edge"/>
          <c:x val="0.11957715684446835"/>
          <c:y val="0.11010312748937702"/>
          <c:w val="0.86870848851413685"/>
          <c:h val="0.72358035032854962"/>
        </c:manualLayout>
      </c:layout>
      <c:barChart>
        <c:barDir val="col"/>
        <c:grouping val="clustered"/>
        <c:ser>
          <c:idx val="0"/>
          <c:order val="0"/>
          <c:tx>
            <c:strRef>
              <c:f>'11.15'!$AJ$21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'11.15'!$AI$22:$AI$28</c:f>
              <c:strCache>
                <c:ptCount val="7"/>
                <c:pt idx="0">
                  <c:v> L.Kadhdhoo </c:v>
                </c:pt>
                <c:pt idx="1">
                  <c:v> GDh.Kaadedhdhoo 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</c:strCache>
            </c:strRef>
          </c:cat>
          <c:val>
            <c:numRef>
              <c:f>'11.15'!$AJ$22:$AJ$28</c:f>
              <c:numCache>
                <c:formatCode>General_)</c:formatCode>
                <c:ptCount val="7"/>
                <c:pt idx="0">
                  <c:v>30225</c:v>
                </c:pt>
                <c:pt idx="1">
                  <c:v>48221</c:v>
                </c:pt>
                <c:pt idx="2">
                  <c:v>44753</c:v>
                </c:pt>
                <c:pt idx="3">
                  <c:v>17258</c:v>
                </c:pt>
                <c:pt idx="4">
                  <c:v>85114</c:v>
                </c:pt>
                <c:pt idx="5">
                  <c:v>43346</c:v>
                </c:pt>
                <c:pt idx="6">
                  <c:v>27321</c:v>
                </c:pt>
              </c:numCache>
            </c:numRef>
          </c:val>
        </c:ser>
        <c:ser>
          <c:idx val="1"/>
          <c:order val="1"/>
          <c:tx>
            <c:strRef>
              <c:f>'11.15'!$AK$21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'11.15'!$AI$22:$AI$28</c:f>
              <c:strCache>
                <c:ptCount val="7"/>
                <c:pt idx="0">
                  <c:v> L.Kadhdhoo </c:v>
                </c:pt>
                <c:pt idx="1">
                  <c:v> GDh.Kaadedhdhoo 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</c:strCache>
            </c:strRef>
          </c:cat>
          <c:val>
            <c:numRef>
              <c:f>'11.15'!$AK$22:$AK$28</c:f>
              <c:numCache>
                <c:formatCode>General_)</c:formatCode>
                <c:ptCount val="7"/>
                <c:pt idx="0">
                  <c:v>30094</c:v>
                </c:pt>
                <c:pt idx="1">
                  <c:v>48913</c:v>
                </c:pt>
                <c:pt idx="2">
                  <c:v>42817</c:v>
                </c:pt>
                <c:pt idx="3">
                  <c:v>16077</c:v>
                </c:pt>
                <c:pt idx="4">
                  <c:v>78430</c:v>
                </c:pt>
                <c:pt idx="5">
                  <c:v>43165</c:v>
                </c:pt>
                <c:pt idx="6">
                  <c:v>30106</c:v>
                </c:pt>
              </c:numCache>
            </c:numRef>
          </c:val>
        </c:ser>
        <c:axId val="169445632"/>
        <c:axId val="169447424"/>
      </c:barChart>
      <c:catAx>
        <c:axId val="169445632"/>
        <c:scaling>
          <c:orientation val="minMax"/>
        </c:scaling>
        <c:axPos val="b"/>
        <c:numFmt formatCode="General_)" sourceLinked="1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9447424"/>
        <c:crosses val="autoZero"/>
        <c:auto val="1"/>
        <c:lblAlgn val="ctr"/>
        <c:lblOffset val="100"/>
      </c:catAx>
      <c:valAx>
        <c:axId val="169447424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/>
        </c:title>
        <c:numFmt formatCode="#,##0" sourceLinked="0"/>
        <c:tickLblPos val="nextTo"/>
        <c:crossAx val="169445632"/>
        <c:crosses val="autoZero"/>
        <c:crossBetween val="between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68113474513005157"/>
          <c:y val="0.20519552384471787"/>
          <c:w val="0.21724868766404279"/>
          <c:h val="7.2871688911226903E-2"/>
        </c:manualLayout>
      </c:layout>
      <c:overlay val="1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404723</xdr:colOff>
      <xdr:row>21</xdr:row>
      <xdr:rowOff>94384</xdr:rowOff>
    </xdr:from>
    <xdr:to>
      <xdr:col>15</xdr:col>
      <xdr:colOff>127000</xdr:colOff>
      <xdr:row>34</xdr:row>
      <xdr:rowOff>30249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K29"/>
  <sheetViews>
    <sheetView tabSelected="1" topLeftCell="D1" workbookViewId="0">
      <selection activeCell="Q10" sqref="Q10"/>
    </sheetView>
  </sheetViews>
  <sheetFormatPr defaultColWidth="9.109375" defaultRowHeight="14.4"/>
  <cols>
    <col min="1" max="3" width="12.5546875" style="1" customWidth="1"/>
    <col min="4" max="4" width="2.44140625" style="1" customWidth="1"/>
    <col min="5" max="6" width="12.5546875" style="1" customWidth="1"/>
    <col min="7" max="7" width="2" style="1" customWidth="1"/>
    <col min="8" max="9" width="12.5546875" style="1" customWidth="1"/>
    <col min="10" max="10" width="2.33203125" style="1" customWidth="1"/>
    <col min="11" max="12" width="12.5546875" style="1" customWidth="1"/>
    <col min="13" max="13" width="2.33203125" style="1" customWidth="1"/>
    <col min="14" max="15" width="12.5546875" style="1" customWidth="1"/>
    <col min="16" max="16" width="2.33203125" style="1" customWidth="1"/>
    <col min="17" max="18" width="12.5546875" style="1" customWidth="1"/>
    <col min="19" max="19" width="1.33203125" style="1" customWidth="1"/>
    <col min="20" max="20" width="9.6640625" style="1" customWidth="1"/>
    <col min="21" max="21" width="11.109375" style="1" customWidth="1"/>
    <col min="22" max="22" width="13.6640625" style="1" customWidth="1"/>
    <col min="23" max="16384" width="9.109375" style="1"/>
  </cols>
  <sheetData>
    <row r="1" spans="1:22" ht="19.2">
      <c r="A1" s="30" t="s">
        <v>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ht="15.6">
      <c r="A2" s="32" t="s">
        <v>48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 s="6" customFormat="1" ht="9" customHeight="1"/>
    <row r="4" spans="1:22" s="5" customFormat="1" ht="15.6" customHeight="1">
      <c r="A4" s="37" t="s">
        <v>8</v>
      </c>
      <c r="B4" s="40" t="s">
        <v>31</v>
      </c>
      <c r="C4" s="40"/>
      <c r="D4" s="20"/>
      <c r="E4" s="40" t="s">
        <v>32</v>
      </c>
      <c r="F4" s="40"/>
      <c r="G4" s="20"/>
      <c r="H4" s="40" t="s">
        <v>45</v>
      </c>
      <c r="I4" s="40"/>
      <c r="J4" s="20"/>
      <c r="K4" s="33" t="s">
        <v>33</v>
      </c>
      <c r="L4" s="33"/>
      <c r="M4" s="21"/>
      <c r="N4" s="33" t="s">
        <v>34</v>
      </c>
      <c r="O4" s="33"/>
      <c r="P4" s="21"/>
      <c r="Q4" s="33" t="s">
        <v>35</v>
      </c>
      <c r="R4" s="33"/>
      <c r="S4" s="21"/>
      <c r="T4" s="33" t="s">
        <v>36</v>
      </c>
      <c r="U4" s="33"/>
      <c r="V4" s="34" t="s">
        <v>9</v>
      </c>
    </row>
    <row r="5" spans="1:22" s="9" customFormat="1" ht="15.75" customHeight="1">
      <c r="A5" s="38"/>
      <c r="B5" s="31" t="s">
        <v>37</v>
      </c>
      <c r="C5" s="31"/>
      <c r="D5" s="8"/>
      <c r="E5" s="31" t="s">
        <v>38</v>
      </c>
      <c r="F5" s="31"/>
      <c r="G5" s="8"/>
      <c r="H5" s="31" t="s">
        <v>46</v>
      </c>
      <c r="I5" s="31"/>
      <c r="J5" s="8"/>
      <c r="K5" s="31" t="s">
        <v>39</v>
      </c>
      <c r="L5" s="31"/>
      <c r="M5" s="8"/>
      <c r="N5" s="31" t="s">
        <v>40</v>
      </c>
      <c r="O5" s="31"/>
      <c r="P5" s="8"/>
      <c r="Q5" s="31" t="s">
        <v>41</v>
      </c>
      <c r="R5" s="31"/>
      <c r="S5" s="8"/>
      <c r="T5" s="31" t="s">
        <v>47</v>
      </c>
      <c r="U5" s="31"/>
      <c r="V5" s="35"/>
    </row>
    <row r="6" spans="1:22" s="9" customFormat="1" ht="13.5" customHeight="1">
      <c r="A6" s="38"/>
      <c r="B6" s="10" t="s">
        <v>2</v>
      </c>
      <c r="C6" s="10" t="s">
        <v>3</v>
      </c>
      <c r="D6" s="10"/>
      <c r="E6" s="10" t="s">
        <v>2</v>
      </c>
      <c r="F6" s="10" t="s">
        <v>3</v>
      </c>
      <c r="G6" s="10"/>
      <c r="H6" s="10" t="s">
        <v>2</v>
      </c>
      <c r="I6" s="10" t="s">
        <v>3</v>
      </c>
      <c r="J6" s="10"/>
      <c r="K6" s="10" t="s">
        <v>2</v>
      </c>
      <c r="L6" s="10" t="s">
        <v>3</v>
      </c>
      <c r="M6" s="10"/>
      <c r="N6" s="10" t="s">
        <v>2</v>
      </c>
      <c r="O6" s="10" t="s">
        <v>3</v>
      </c>
      <c r="P6" s="10"/>
      <c r="Q6" s="10" t="s">
        <v>2</v>
      </c>
      <c r="R6" s="10" t="s">
        <v>3</v>
      </c>
      <c r="S6" s="10"/>
      <c r="T6" s="10" t="s">
        <v>2</v>
      </c>
      <c r="U6" s="10" t="s">
        <v>3</v>
      </c>
      <c r="V6" s="35"/>
    </row>
    <row r="7" spans="1:22" s="9" customFormat="1" ht="14.25" customHeight="1">
      <c r="A7" s="39"/>
      <c r="B7" s="11" t="s">
        <v>4</v>
      </c>
      <c r="C7" s="11" t="s">
        <v>5</v>
      </c>
      <c r="D7" s="11"/>
      <c r="E7" s="11" t="s">
        <v>4</v>
      </c>
      <c r="F7" s="11" t="s">
        <v>5</v>
      </c>
      <c r="G7" s="11"/>
      <c r="H7" s="11" t="s">
        <v>4</v>
      </c>
      <c r="I7" s="11" t="s">
        <v>5</v>
      </c>
      <c r="J7" s="11"/>
      <c r="K7" s="11" t="s">
        <v>4</v>
      </c>
      <c r="L7" s="11" t="s">
        <v>5</v>
      </c>
      <c r="M7" s="11"/>
      <c r="N7" s="11" t="s">
        <v>4</v>
      </c>
      <c r="O7" s="11" t="s">
        <v>5</v>
      </c>
      <c r="P7" s="11"/>
      <c r="Q7" s="11" t="s">
        <v>4</v>
      </c>
      <c r="R7" s="11" t="s">
        <v>5</v>
      </c>
      <c r="S7" s="11"/>
      <c r="T7" s="11" t="s">
        <v>4</v>
      </c>
      <c r="U7" s="11" t="s">
        <v>5</v>
      </c>
      <c r="V7" s="36"/>
    </row>
    <row r="8" spans="1:22" s="5" customFormat="1" ht="16.2">
      <c r="A8" s="4" t="s">
        <v>1</v>
      </c>
      <c r="B8" s="12">
        <f>SUM(B9:B20)</f>
        <v>30225</v>
      </c>
      <c r="C8" s="12">
        <f>SUM(C9:C20)</f>
        <v>30094</v>
      </c>
      <c r="D8" s="12"/>
      <c r="E8" s="12">
        <f>SUM(E9:E20)</f>
        <v>48221</v>
      </c>
      <c r="F8" s="12">
        <f>SUM(F9:F20)</f>
        <v>48913</v>
      </c>
      <c r="G8" s="12"/>
      <c r="H8" s="12">
        <f>SUM(H9:H20)</f>
        <v>44753</v>
      </c>
      <c r="I8" s="12">
        <f>SUM(I9:I20)</f>
        <v>42817</v>
      </c>
      <c r="J8" s="12"/>
      <c r="K8" s="12">
        <f>SUM(K9:K20)</f>
        <v>17258</v>
      </c>
      <c r="L8" s="12">
        <f>SUM(L9:L20)</f>
        <v>16077</v>
      </c>
      <c r="M8" s="12"/>
      <c r="N8" s="12">
        <f>SUM(N9:N20)</f>
        <v>85114</v>
      </c>
      <c r="O8" s="12">
        <f>SUM(O9:O20)</f>
        <v>78430</v>
      </c>
      <c r="P8" s="12"/>
      <c r="Q8" s="12">
        <f>SUM(Q9:Q20)</f>
        <v>43346</v>
      </c>
      <c r="R8" s="12">
        <f>SUM(R9:R20)</f>
        <v>43165</v>
      </c>
      <c r="S8" s="12"/>
      <c r="T8" s="12">
        <f>SUM(T9:T20)</f>
        <v>27321</v>
      </c>
      <c r="U8" s="12">
        <f>SUM(U9:U20)</f>
        <v>30106</v>
      </c>
      <c r="V8" s="22" t="s">
        <v>0</v>
      </c>
    </row>
    <row r="9" spans="1:22" s="5" customFormat="1" ht="16.2">
      <c r="A9" s="3" t="s">
        <v>10</v>
      </c>
      <c r="B9" s="25">
        <v>2695</v>
      </c>
      <c r="C9" s="25">
        <v>2763</v>
      </c>
      <c r="D9" s="25"/>
      <c r="E9" s="26">
        <v>3512</v>
      </c>
      <c r="F9" s="26">
        <v>3601</v>
      </c>
      <c r="G9" s="26"/>
      <c r="H9" s="25">
        <v>4375</v>
      </c>
      <c r="I9" s="25">
        <v>3959</v>
      </c>
      <c r="J9" s="25"/>
      <c r="K9" s="25">
        <v>1109</v>
      </c>
      <c r="L9" s="25">
        <v>845</v>
      </c>
      <c r="M9" s="25"/>
      <c r="N9" s="25">
        <v>5887</v>
      </c>
      <c r="O9" s="25">
        <v>5603</v>
      </c>
      <c r="P9" s="25"/>
      <c r="Q9" s="25">
        <v>1565</v>
      </c>
      <c r="R9" s="25">
        <v>1651</v>
      </c>
      <c r="S9" s="25"/>
      <c r="T9" s="25">
        <v>1779</v>
      </c>
      <c r="U9" s="25">
        <v>2272</v>
      </c>
      <c r="V9" s="13" t="s">
        <v>11</v>
      </c>
    </row>
    <row r="10" spans="1:22" s="5" customFormat="1" ht="16.2">
      <c r="A10" s="3" t="s">
        <v>12</v>
      </c>
      <c r="B10" s="25">
        <v>2100</v>
      </c>
      <c r="C10" s="25">
        <v>2171</v>
      </c>
      <c r="D10" s="25"/>
      <c r="E10" s="26">
        <v>3719</v>
      </c>
      <c r="F10" s="26">
        <v>3783</v>
      </c>
      <c r="G10" s="26"/>
      <c r="H10" s="25">
        <v>3752</v>
      </c>
      <c r="I10" s="25">
        <v>3393</v>
      </c>
      <c r="J10" s="25"/>
      <c r="K10" s="25">
        <v>659</v>
      </c>
      <c r="L10" s="25">
        <v>699</v>
      </c>
      <c r="M10" s="25"/>
      <c r="N10" s="25">
        <v>7941</v>
      </c>
      <c r="O10" s="25">
        <v>7301</v>
      </c>
      <c r="P10" s="25"/>
      <c r="Q10" s="25">
        <v>2836</v>
      </c>
      <c r="R10" s="25">
        <v>2539</v>
      </c>
      <c r="S10" s="25"/>
      <c r="T10" s="25">
        <v>2378</v>
      </c>
      <c r="U10" s="25">
        <v>2435</v>
      </c>
      <c r="V10" s="13" t="s">
        <v>13</v>
      </c>
    </row>
    <row r="11" spans="1:22" s="5" customFormat="1" ht="16.2">
      <c r="A11" s="3" t="s">
        <v>14</v>
      </c>
      <c r="B11" s="25">
        <v>2465</v>
      </c>
      <c r="C11" s="25">
        <v>2540</v>
      </c>
      <c r="D11" s="25"/>
      <c r="E11" s="26">
        <v>4584</v>
      </c>
      <c r="F11" s="26">
        <v>4498</v>
      </c>
      <c r="G11" s="26"/>
      <c r="H11" s="25">
        <v>3417</v>
      </c>
      <c r="I11" s="25">
        <v>3195</v>
      </c>
      <c r="J11" s="25"/>
      <c r="K11" s="25">
        <v>1486</v>
      </c>
      <c r="L11" s="25">
        <v>1661</v>
      </c>
      <c r="M11" s="25"/>
      <c r="N11" s="25">
        <v>6685</v>
      </c>
      <c r="O11" s="25">
        <v>6756</v>
      </c>
      <c r="P11" s="25"/>
      <c r="Q11" s="25">
        <v>2126</v>
      </c>
      <c r="R11" s="25">
        <v>2075</v>
      </c>
      <c r="S11" s="25"/>
      <c r="T11" s="25">
        <v>2609</v>
      </c>
      <c r="U11" s="25">
        <v>2884</v>
      </c>
      <c r="V11" s="13" t="s">
        <v>15</v>
      </c>
    </row>
    <row r="12" spans="1:22" s="5" customFormat="1" ht="16.2">
      <c r="A12" s="3" t="s">
        <v>16</v>
      </c>
      <c r="B12" s="25">
        <v>2443</v>
      </c>
      <c r="C12" s="25">
        <v>2332</v>
      </c>
      <c r="D12" s="25"/>
      <c r="E12" s="26">
        <v>3171</v>
      </c>
      <c r="F12" s="26">
        <v>3126</v>
      </c>
      <c r="G12" s="26"/>
      <c r="H12" s="25">
        <v>3829</v>
      </c>
      <c r="I12" s="25">
        <v>3696</v>
      </c>
      <c r="J12" s="25"/>
      <c r="K12" s="25">
        <v>1380</v>
      </c>
      <c r="L12" s="25">
        <v>1515</v>
      </c>
      <c r="M12" s="25"/>
      <c r="N12" s="25">
        <v>5363</v>
      </c>
      <c r="O12" s="25">
        <v>4786</v>
      </c>
      <c r="P12" s="25"/>
      <c r="Q12" s="25">
        <v>2613</v>
      </c>
      <c r="R12" s="25">
        <v>2534</v>
      </c>
      <c r="S12" s="25"/>
      <c r="T12" s="25">
        <v>1919</v>
      </c>
      <c r="U12" s="25">
        <v>2044</v>
      </c>
      <c r="V12" s="13" t="s">
        <v>42</v>
      </c>
    </row>
    <row r="13" spans="1:22" s="5" customFormat="1" ht="16.2">
      <c r="A13" s="3" t="s">
        <v>17</v>
      </c>
      <c r="B13" s="25">
        <v>2140</v>
      </c>
      <c r="C13" s="25">
        <v>2415</v>
      </c>
      <c r="D13" s="25"/>
      <c r="E13" s="26">
        <v>2576</v>
      </c>
      <c r="F13" s="26">
        <v>2783</v>
      </c>
      <c r="G13" s="26"/>
      <c r="H13" s="25">
        <v>2679</v>
      </c>
      <c r="I13" s="25">
        <v>2657</v>
      </c>
      <c r="J13" s="25"/>
      <c r="K13" s="25">
        <v>1480</v>
      </c>
      <c r="L13" s="25">
        <v>1363</v>
      </c>
      <c r="M13" s="25"/>
      <c r="N13" s="25">
        <v>5628</v>
      </c>
      <c r="O13" s="25">
        <v>6246</v>
      </c>
      <c r="P13" s="25"/>
      <c r="Q13" s="25">
        <v>3212</v>
      </c>
      <c r="R13" s="25">
        <v>3200</v>
      </c>
      <c r="S13" s="25"/>
      <c r="T13" s="25">
        <v>1655</v>
      </c>
      <c r="U13" s="25">
        <v>1881</v>
      </c>
      <c r="V13" s="13" t="s">
        <v>18</v>
      </c>
    </row>
    <row r="14" spans="1:22" s="5" customFormat="1" ht="16.2">
      <c r="A14" s="3" t="s">
        <v>19</v>
      </c>
      <c r="B14" s="25">
        <v>2501</v>
      </c>
      <c r="C14" s="25">
        <v>2314</v>
      </c>
      <c r="D14" s="25"/>
      <c r="E14" s="26">
        <v>4547</v>
      </c>
      <c r="F14" s="26">
        <v>4397</v>
      </c>
      <c r="G14" s="26"/>
      <c r="H14" s="25">
        <v>3361</v>
      </c>
      <c r="I14" s="25">
        <v>3489</v>
      </c>
      <c r="J14" s="25"/>
      <c r="K14" s="25">
        <v>1684</v>
      </c>
      <c r="L14" s="25">
        <v>1749</v>
      </c>
      <c r="M14" s="25"/>
      <c r="N14" s="25">
        <v>6712</v>
      </c>
      <c r="O14" s="25">
        <v>7163</v>
      </c>
      <c r="P14" s="25"/>
      <c r="Q14" s="25">
        <v>2421</v>
      </c>
      <c r="R14" s="25">
        <v>2560</v>
      </c>
      <c r="S14" s="25"/>
      <c r="T14" s="25">
        <v>2135</v>
      </c>
      <c r="U14" s="25">
        <v>2372</v>
      </c>
      <c r="V14" s="13" t="s">
        <v>20</v>
      </c>
    </row>
    <row r="15" spans="1:22" s="5" customFormat="1" ht="16.2">
      <c r="A15" s="3" t="s">
        <v>21</v>
      </c>
      <c r="B15" s="25">
        <v>2054</v>
      </c>
      <c r="C15" s="25">
        <v>1887</v>
      </c>
      <c r="D15" s="25"/>
      <c r="E15" s="26">
        <v>3474</v>
      </c>
      <c r="F15" s="26">
        <v>3258</v>
      </c>
      <c r="G15" s="26"/>
      <c r="H15" s="25">
        <v>2071</v>
      </c>
      <c r="I15" s="25">
        <v>1880</v>
      </c>
      <c r="J15" s="25"/>
      <c r="K15" s="25">
        <v>1182</v>
      </c>
      <c r="L15" s="25">
        <v>967</v>
      </c>
      <c r="M15" s="25"/>
      <c r="N15" s="25">
        <v>7203</v>
      </c>
      <c r="O15" s="25">
        <v>5838</v>
      </c>
      <c r="P15" s="25"/>
      <c r="Q15" s="25">
        <v>3827</v>
      </c>
      <c r="R15" s="25">
        <v>4430</v>
      </c>
      <c r="S15" s="25"/>
      <c r="T15" s="25">
        <v>2127</v>
      </c>
      <c r="U15" s="25">
        <v>1993</v>
      </c>
      <c r="V15" s="13" t="s">
        <v>22</v>
      </c>
    </row>
    <row r="16" spans="1:22" s="5" customFormat="1" ht="16.2">
      <c r="A16" s="3" t="s">
        <v>23</v>
      </c>
      <c r="B16" s="25">
        <v>2238</v>
      </c>
      <c r="C16" s="25">
        <v>2304</v>
      </c>
      <c r="D16" s="25"/>
      <c r="E16" s="26">
        <v>5513</v>
      </c>
      <c r="F16" s="26">
        <v>5037</v>
      </c>
      <c r="G16" s="26"/>
      <c r="H16" s="25">
        <v>3627</v>
      </c>
      <c r="I16" s="25">
        <v>3036</v>
      </c>
      <c r="J16" s="25"/>
      <c r="K16" s="25">
        <v>1778</v>
      </c>
      <c r="L16" s="25">
        <v>1804</v>
      </c>
      <c r="M16" s="25"/>
      <c r="N16" s="25">
        <v>7398</v>
      </c>
      <c r="O16" s="25">
        <v>6146</v>
      </c>
      <c r="P16" s="25"/>
      <c r="Q16" s="25">
        <v>3867</v>
      </c>
      <c r="R16" s="25">
        <v>3918</v>
      </c>
      <c r="S16" s="25"/>
      <c r="T16" s="25">
        <v>2876</v>
      </c>
      <c r="U16" s="25">
        <v>3068</v>
      </c>
      <c r="V16" s="13" t="s">
        <v>43</v>
      </c>
    </row>
    <row r="17" spans="1:37" s="5" customFormat="1" ht="21" customHeight="1">
      <c r="A17" s="3" t="s">
        <v>24</v>
      </c>
      <c r="B17" s="25">
        <v>2238</v>
      </c>
      <c r="C17" s="25">
        <v>2304</v>
      </c>
      <c r="D17" s="25"/>
      <c r="E17" s="26">
        <v>3923</v>
      </c>
      <c r="F17" s="26">
        <v>4296</v>
      </c>
      <c r="G17" s="26"/>
      <c r="H17" s="25">
        <v>3938</v>
      </c>
      <c r="I17" s="25">
        <v>3877</v>
      </c>
      <c r="J17" s="25"/>
      <c r="K17" s="25">
        <v>1249</v>
      </c>
      <c r="L17" s="25">
        <v>1163</v>
      </c>
      <c r="M17" s="25"/>
      <c r="N17" s="25">
        <v>8184</v>
      </c>
      <c r="O17" s="25">
        <v>7152</v>
      </c>
      <c r="P17" s="25"/>
      <c r="Q17" s="25">
        <v>4350</v>
      </c>
      <c r="R17" s="25">
        <v>4112</v>
      </c>
      <c r="S17" s="25"/>
      <c r="T17" s="25">
        <v>2052</v>
      </c>
      <c r="U17" s="25">
        <v>2558</v>
      </c>
      <c r="V17" s="13" t="s">
        <v>25</v>
      </c>
    </row>
    <row r="18" spans="1:37" s="5" customFormat="1" ht="21" customHeight="1">
      <c r="A18" s="3" t="s">
        <v>26</v>
      </c>
      <c r="B18" s="25">
        <v>2731</v>
      </c>
      <c r="C18" s="25">
        <v>2757</v>
      </c>
      <c r="D18" s="25"/>
      <c r="E18" s="26">
        <v>4373</v>
      </c>
      <c r="F18" s="26">
        <v>4314</v>
      </c>
      <c r="G18" s="26"/>
      <c r="H18" s="25">
        <v>4700</v>
      </c>
      <c r="I18" s="25">
        <v>4291</v>
      </c>
      <c r="J18" s="25"/>
      <c r="K18" s="25">
        <v>1342</v>
      </c>
      <c r="L18" s="25">
        <v>1474</v>
      </c>
      <c r="M18" s="25"/>
      <c r="N18" s="25">
        <v>6724</v>
      </c>
      <c r="O18" s="25">
        <v>4669</v>
      </c>
      <c r="P18" s="25"/>
      <c r="Q18" s="25">
        <v>5256</v>
      </c>
      <c r="R18" s="25">
        <v>5248</v>
      </c>
      <c r="S18" s="25"/>
      <c r="T18" s="25">
        <v>2544</v>
      </c>
      <c r="U18" s="25">
        <v>2771</v>
      </c>
      <c r="V18" s="13" t="s">
        <v>44</v>
      </c>
    </row>
    <row r="19" spans="1:37" s="5" customFormat="1" ht="21" customHeight="1">
      <c r="A19" s="3" t="s">
        <v>27</v>
      </c>
      <c r="B19" s="25">
        <v>2819</v>
      </c>
      <c r="C19" s="25">
        <v>2862</v>
      </c>
      <c r="D19" s="25"/>
      <c r="E19" s="26">
        <v>4704</v>
      </c>
      <c r="F19" s="26">
        <v>4965</v>
      </c>
      <c r="G19" s="26"/>
      <c r="H19" s="25">
        <v>4698</v>
      </c>
      <c r="I19" s="25">
        <v>5186</v>
      </c>
      <c r="J19" s="25"/>
      <c r="K19" s="25">
        <v>1453</v>
      </c>
      <c r="L19" s="25">
        <v>2011</v>
      </c>
      <c r="M19" s="25"/>
      <c r="N19" s="25">
        <v>8643</v>
      </c>
      <c r="O19" s="25">
        <v>8214</v>
      </c>
      <c r="P19" s="25"/>
      <c r="Q19" s="25">
        <v>5404</v>
      </c>
      <c r="R19" s="25">
        <v>5417</v>
      </c>
      <c r="S19" s="25"/>
      <c r="T19" s="25">
        <v>1902</v>
      </c>
      <c r="U19" s="25">
        <v>2778</v>
      </c>
      <c r="V19" s="13" t="s">
        <v>28</v>
      </c>
    </row>
    <row r="20" spans="1:37" s="5" customFormat="1" ht="21" customHeight="1">
      <c r="A20" s="14" t="s">
        <v>29</v>
      </c>
      <c r="B20" s="27">
        <v>3801</v>
      </c>
      <c r="C20" s="27">
        <v>3445</v>
      </c>
      <c r="D20" s="27"/>
      <c r="E20" s="28">
        <v>4125</v>
      </c>
      <c r="F20" s="28">
        <v>4855</v>
      </c>
      <c r="G20" s="28"/>
      <c r="H20" s="27">
        <v>4306</v>
      </c>
      <c r="I20" s="27">
        <v>4158</v>
      </c>
      <c r="J20" s="27"/>
      <c r="K20" s="27">
        <v>2456</v>
      </c>
      <c r="L20" s="27">
        <v>826</v>
      </c>
      <c r="M20" s="27"/>
      <c r="N20" s="27">
        <v>8746</v>
      </c>
      <c r="O20" s="27">
        <v>8556</v>
      </c>
      <c r="P20" s="27"/>
      <c r="Q20" s="27">
        <v>5869</v>
      </c>
      <c r="R20" s="27">
        <v>5481</v>
      </c>
      <c r="S20" s="27"/>
      <c r="T20" s="27">
        <v>3345</v>
      </c>
      <c r="U20" s="27">
        <v>3050</v>
      </c>
      <c r="V20" s="15" t="s">
        <v>30</v>
      </c>
    </row>
    <row r="21" spans="1:37" ht="15" customHeight="1">
      <c r="A21" s="2" t="s">
        <v>6</v>
      </c>
      <c r="V21" s="23" t="s">
        <v>7</v>
      </c>
      <c r="AI21" s="5"/>
      <c r="AJ21" s="24" t="s">
        <v>4</v>
      </c>
      <c r="AK21" s="24" t="s">
        <v>5</v>
      </c>
    </row>
    <row r="22" spans="1:37" ht="15" customHeight="1">
      <c r="AH22" s="29"/>
      <c r="AI22" s="29" t="str">
        <f>B5</f>
        <v>L.Kadhdhoo</v>
      </c>
      <c r="AJ22" s="1">
        <f>B8</f>
        <v>30225</v>
      </c>
      <c r="AK22" s="1">
        <f>C8</f>
        <v>30094</v>
      </c>
    </row>
    <row r="23" spans="1:37" s="5" customFormat="1" ht="18" customHeight="1">
      <c r="B23" s="16"/>
      <c r="C23" s="17"/>
      <c r="D23" s="17"/>
      <c r="E23" s="17"/>
      <c r="F23" s="18"/>
      <c r="G23" s="18"/>
      <c r="U23" s="19"/>
      <c r="V23" s="19"/>
      <c r="Y23" s="19"/>
      <c r="AG23" s="1"/>
      <c r="AH23" s="29"/>
      <c r="AI23" s="29" t="str">
        <f>E5</f>
        <v>GDh.Kaadedhdhoo</v>
      </c>
      <c r="AJ23" s="5">
        <f>E8</f>
        <v>48221</v>
      </c>
      <c r="AK23" s="5">
        <f>F8</f>
        <v>48913</v>
      </c>
    </row>
    <row r="24" spans="1:37" ht="18.600000000000001">
      <c r="A24" s="3"/>
      <c r="T24" s="7"/>
      <c r="AI24" s="1" t="str">
        <f>H5</f>
        <v>HDh.Hanimaadhoo</v>
      </c>
      <c r="AJ24" s="1">
        <f>H8</f>
        <v>44753</v>
      </c>
      <c r="AK24" s="1">
        <f>I8</f>
        <v>42817</v>
      </c>
    </row>
    <row r="25" spans="1:37" s="5" customFormat="1" ht="18" customHeight="1">
      <c r="B25" s="16"/>
      <c r="C25" s="17"/>
      <c r="D25" s="17"/>
      <c r="E25" s="17"/>
      <c r="F25" s="18"/>
      <c r="G25" s="18"/>
      <c r="U25" s="19"/>
      <c r="V25" s="19"/>
      <c r="Y25" s="19"/>
      <c r="AI25" s="5" t="str">
        <f>K5</f>
        <v xml:space="preserve">Gn.Fuvahmulah </v>
      </c>
      <c r="AJ25" s="5">
        <f>K8</f>
        <v>17258</v>
      </c>
      <c r="AK25" s="5">
        <f>L8</f>
        <v>16077</v>
      </c>
    </row>
    <row r="26" spans="1:37" ht="18.600000000000001">
      <c r="A26" s="3"/>
      <c r="T26" s="7"/>
      <c r="AI26" s="1" t="str">
        <f>N5</f>
        <v>ADh.Maamigili</v>
      </c>
      <c r="AJ26" s="1">
        <f>N8</f>
        <v>85114</v>
      </c>
      <c r="AK26" s="1">
        <f>O8</f>
        <v>78430</v>
      </c>
    </row>
    <row r="27" spans="1:37">
      <c r="AI27" s="1" t="str">
        <f>Q5</f>
        <v>B.Dharavandhoo</v>
      </c>
      <c r="AJ27" s="1">
        <f>Q8</f>
        <v>43346</v>
      </c>
      <c r="AK27" s="1">
        <f>R8</f>
        <v>43165</v>
      </c>
    </row>
    <row r="28" spans="1:37">
      <c r="AI28" s="1" t="str">
        <f>T5</f>
        <v>GA. Koodoo</v>
      </c>
      <c r="AJ28" s="1">
        <f>T8</f>
        <v>27321</v>
      </c>
      <c r="AK28" s="1">
        <f>U8</f>
        <v>30106</v>
      </c>
    </row>
    <row r="29" spans="1:37" ht="16.8">
      <c r="D29" s="17"/>
      <c r="E29" s="17"/>
      <c r="F29" s="18"/>
      <c r="G29" s="18"/>
      <c r="H29" s="5"/>
      <c r="I29" s="5"/>
      <c r="AJ29" s="1">
        <f>SUM(AJ22:AJ28)</f>
        <v>296238</v>
      </c>
      <c r="AK29" s="1">
        <f>SUM(AK22:AK28)</f>
        <v>289602</v>
      </c>
    </row>
  </sheetData>
  <mergeCells count="18">
    <mergeCell ref="E5:F5"/>
    <mergeCell ref="N5:O5"/>
    <mergeCell ref="H5:I5"/>
    <mergeCell ref="K5:L5"/>
    <mergeCell ref="A1:V1"/>
    <mergeCell ref="A2:V2"/>
    <mergeCell ref="T4:U4"/>
    <mergeCell ref="V4:V7"/>
    <mergeCell ref="T5:U5"/>
    <mergeCell ref="A4:A7"/>
    <mergeCell ref="B4:C4"/>
    <mergeCell ref="E4:F4"/>
    <mergeCell ref="H4:I4"/>
    <mergeCell ref="K4:L4"/>
    <mergeCell ref="N4:O4"/>
    <mergeCell ref="Q4:R4"/>
    <mergeCell ref="B5:C5"/>
    <mergeCell ref="Q5:R5"/>
  </mergeCells>
  <pageMargins left="0.17" right="0.16" top="0.75" bottom="0.75" header="0.3" footer="0.3"/>
  <pageSetup paperSize="9" scale="68" orientation="landscape" r:id="rId1"/>
  <colBreaks count="1" manualBreakCount="1">
    <brk id="2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2015-02-11T04:48:07Z</dcterms:modified>
</cp:coreProperties>
</file>