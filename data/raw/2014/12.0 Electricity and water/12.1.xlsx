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1" sheetId="1" r:id="rId1"/>
  </sheets>
  <calcPr calcId="124519"/>
</workbook>
</file>

<file path=xl/calcChain.xml><?xml version="1.0" encoding="utf-8"?>
<calcChain xmlns="http://schemas.openxmlformats.org/spreadsheetml/2006/main">
  <c r="V32" i="1"/>
  <c r="W32"/>
  <c r="X32"/>
  <c r="Y32"/>
  <c r="Z32"/>
  <c r="AA32"/>
  <c r="U32"/>
  <c r="H19"/>
  <c r="H18"/>
  <c r="H17"/>
  <c r="H16"/>
  <c r="H15"/>
  <c r="H14"/>
  <c r="H13"/>
  <c r="H12"/>
  <c r="H9" l="1"/>
  <c r="H21" s="1"/>
  <c r="G9"/>
  <c r="G21" s="1"/>
  <c r="F9"/>
  <c r="F21" s="1"/>
  <c r="C9"/>
  <c r="C21" s="1"/>
  <c r="H8"/>
  <c r="H20" s="1"/>
  <c r="G8"/>
  <c r="G20" s="1"/>
  <c r="F8"/>
  <c r="F20" s="1"/>
  <c r="C8"/>
  <c r="C20" s="1"/>
  <c r="H7"/>
  <c r="G7"/>
  <c r="G19" s="1"/>
  <c r="F7"/>
  <c r="F19" s="1"/>
  <c r="C7"/>
  <c r="C19" s="1"/>
  <c r="H6"/>
  <c r="G6"/>
  <c r="G18" s="1"/>
  <c r="F6"/>
  <c r="F18" s="1"/>
  <c r="C6"/>
  <c r="C18" s="1"/>
  <c r="H5"/>
  <c r="G5"/>
  <c r="G17" s="1"/>
  <c r="F5"/>
  <c r="F17" s="1"/>
  <c r="C5"/>
  <c r="C17" s="1"/>
  <c r="F11" l="1"/>
  <c r="G11"/>
  <c r="H11"/>
  <c r="C12"/>
  <c r="F12"/>
  <c r="G12"/>
  <c r="C13"/>
  <c r="F13"/>
  <c r="G13"/>
  <c r="C14"/>
  <c r="F14"/>
  <c r="G14"/>
  <c r="C15"/>
  <c r="F15"/>
  <c r="G15"/>
  <c r="C16"/>
  <c r="F16"/>
  <c r="G16"/>
  <c r="C11" l="1"/>
</calcChain>
</file>

<file path=xl/sharedStrings.xml><?xml version="1.0" encoding="utf-8"?>
<sst xmlns="http://schemas.openxmlformats.org/spreadsheetml/2006/main" count="41" uniqueCount="23">
  <si>
    <t>2013 - 2007 ,ctogEveruk cnunEb cTcnwrwk iawgElWm : 12.1 ulwvWt</t>
  </si>
  <si>
    <t>Table 12.1 :   ELECTRICITY UTILIZATION IN MALE', 2007 - 2013</t>
  </si>
  <si>
    <t>Load Distribution</t>
  </si>
  <si>
    <t>cawtiawb WviawfihebcDOl</t>
  </si>
  <si>
    <t>Total (In ' 000 kWh)</t>
  </si>
  <si>
    <t>(cniDwg cTovOlik 000') wlcmuj</t>
  </si>
  <si>
    <t xml:space="preserve">Residential </t>
  </si>
  <si>
    <t>cnwtcnwtELuairid</t>
  </si>
  <si>
    <t>Manufacturing and  Commercial</t>
  </si>
  <si>
    <t xml:space="preserve">           cnwtcnwt ELugWairWfwyiv iaWnwtcnwt Wdcawfuaitekwt</t>
  </si>
  <si>
    <t>Government Buildings</t>
  </si>
  <si>
    <t>cawtctWrWmia egurWkurws</t>
  </si>
  <si>
    <t>Public Places and  Schools</t>
  </si>
  <si>
    <t xml:space="preserve"> cawtclUkcs iaWnwtcnwt wncnuh cSwmunEb umcaWA</t>
  </si>
  <si>
    <t>Others</t>
  </si>
  <si>
    <t>cnehinehea</t>
  </si>
  <si>
    <t>%  share</t>
  </si>
  <si>
    <t xml:space="preserve"> % cnutogWviawfiheb</t>
  </si>
  <si>
    <t>% change over previous year</t>
  </si>
  <si>
    <t xml:space="preserve"> % urwvcnim ivurutia eruvcSwrwhwa Iruk</t>
  </si>
  <si>
    <t>Source: State Electric Company Limited</t>
  </si>
  <si>
    <t>cDeTimil Inepcmok ckircTckeliacTETcs :ctWrwf ivcaedutWmUluAwm</t>
  </si>
  <si>
    <t>kWh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</si>
</sst>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0.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_Faseyha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3">
    <xf numFmtId="0" fontId="0" fillId="0" borderId="0" xfId="0"/>
    <xf numFmtId="0" fontId="3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2" borderId="4" xfId="0" applyFont="1" applyFill="1" applyBorder="1" applyAlignment="1" applyProtection="1">
      <alignment vertical="center"/>
    </xf>
    <xf numFmtId="0" fontId="4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4" fillId="2" borderId="6" xfId="0" applyFont="1" applyFill="1" applyBorder="1" applyAlignment="1" applyProtection="1">
      <alignment horizontal="left" vertical="center"/>
    </xf>
    <xf numFmtId="3" fontId="4" fillId="2" borderId="7" xfId="0" applyNumberFormat="1" applyFont="1" applyFill="1" applyBorder="1" applyAlignment="1" applyProtection="1">
      <alignment horizontal="right" vertical="center"/>
    </xf>
    <xf numFmtId="164" fontId="4" fillId="2" borderId="7" xfId="1" applyNumberFormat="1" applyFont="1" applyFill="1" applyBorder="1" applyAlignment="1" applyProtection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0" fontId="8" fillId="2" borderId="1" xfId="0" applyFont="1" applyFill="1" applyBorder="1" applyAlignment="1" applyProtection="1">
      <alignment horizontal="left" vertical="center"/>
    </xf>
    <xf numFmtId="3" fontId="8" fillId="2" borderId="2" xfId="0" applyNumberFormat="1" applyFont="1" applyFill="1" applyBorder="1" applyAlignment="1">
      <alignment horizontal="right" vertical="center"/>
    </xf>
    <xf numFmtId="164" fontId="8" fillId="2" borderId="2" xfId="1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vertical="center"/>
    </xf>
    <xf numFmtId="164" fontId="8" fillId="2" borderId="8" xfId="1" applyNumberFormat="1" applyFont="1" applyFill="1" applyBorder="1" applyAlignment="1">
      <alignment vertical="center"/>
    </xf>
    <xf numFmtId="0" fontId="8" fillId="2" borderId="9" xfId="0" applyFont="1" applyFill="1" applyBorder="1" applyAlignment="1" applyProtection="1">
      <alignment horizontal="left" vertical="center"/>
    </xf>
    <xf numFmtId="3" fontId="8" fillId="2" borderId="10" xfId="0" applyNumberFormat="1" applyFont="1" applyFill="1" applyBorder="1" applyAlignment="1">
      <alignment horizontal="right" vertical="center"/>
    </xf>
    <xf numFmtId="1" fontId="8" fillId="2" borderId="10" xfId="0" applyNumberFormat="1" applyFont="1" applyFill="1" applyBorder="1" applyAlignment="1">
      <alignment horizontal="right" vertical="center"/>
    </xf>
    <xf numFmtId="0" fontId="9" fillId="2" borderId="10" xfId="0" applyFont="1" applyFill="1" applyBorder="1" applyAlignment="1" applyProtection="1">
      <alignment horizontal="right" vertical="center"/>
    </xf>
    <xf numFmtId="1" fontId="4" fillId="2" borderId="7" xfId="1" applyNumberFormat="1" applyFont="1" applyFill="1" applyBorder="1" applyAlignment="1">
      <alignment horizontal="right" vertical="center"/>
    </xf>
    <xf numFmtId="3" fontId="8" fillId="2" borderId="2" xfId="1" applyNumberFormat="1" applyFont="1" applyFill="1" applyBorder="1" applyAlignment="1">
      <alignment horizontal="right" vertical="center"/>
    </xf>
    <xf numFmtId="1" fontId="8" fillId="2" borderId="2" xfId="1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 applyProtection="1">
      <alignment vertical="center"/>
      <protection locked="0"/>
    </xf>
    <xf numFmtId="1" fontId="8" fillId="2" borderId="8" xfId="0" applyNumberFormat="1" applyFont="1" applyFill="1" applyBorder="1" applyAlignment="1">
      <alignment vertical="center"/>
    </xf>
    <xf numFmtId="3" fontId="8" fillId="2" borderId="10" xfId="0" quotePrefix="1" applyNumberFormat="1" applyFont="1" applyFill="1" applyBorder="1" applyAlignment="1" applyProtection="1">
      <alignment horizontal="right" vertical="center"/>
    </xf>
    <xf numFmtId="3" fontId="4" fillId="2" borderId="7" xfId="1" applyNumberFormat="1" applyFont="1" applyFill="1" applyBorder="1" applyAlignment="1">
      <alignment horizontal="right" vertical="center"/>
    </xf>
    <xf numFmtId="3" fontId="8" fillId="2" borderId="8" xfId="1" applyNumberFormat="1" applyFont="1" applyFill="1" applyBorder="1" applyAlignment="1">
      <alignment vertical="center"/>
    </xf>
    <xf numFmtId="0" fontId="8" fillId="2" borderId="3" xfId="0" applyFont="1" applyFill="1" applyBorder="1" applyAlignment="1" applyProtection="1">
      <alignment horizontal="left" vertical="center"/>
    </xf>
    <xf numFmtId="3" fontId="8" fillId="2" borderId="11" xfId="1" applyNumberFormat="1" applyFont="1" applyFill="1" applyBorder="1" applyAlignment="1">
      <alignment vertical="center"/>
    </xf>
    <xf numFmtId="1" fontId="8" fillId="2" borderId="11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right" vertical="center"/>
    </xf>
    <xf numFmtId="0" fontId="10" fillId="2" borderId="6" xfId="0" applyFont="1" applyFill="1" applyBorder="1" applyAlignment="1" applyProtection="1">
      <alignment horizontal="left" vertical="center"/>
    </xf>
    <xf numFmtId="3" fontId="11" fillId="2" borderId="7" xfId="1" applyNumberFormat="1" applyFont="1" applyFill="1" applyBorder="1" applyAlignment="1">
      <alignment horizontal="right" vertical="center"/>
    </xf>
    <xf numFmtId="0" fontId="8" fillId="2" borderId="7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right"/>
    </xf>
    <xf numFmtId="0" fontId="7" fillId="2" borderId="1" xfId="0" applyFont="1" applyFill="1" applyBorder="1" applyAlignment="1" applyProtection="1">
      <alignment horizontal="left" vertical="center"/>
    </xf>
    <xf numFmtId="3" fontId="7" fillId="2" borderId="2" xfId="1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7" fillId="2" borderId="2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>
      <alignment vertical="center"/>
    </xf>
    <xf numFmtId="0" fontId="0" fillId="2" borderId="2" xfId="0" applyFill="1" applyBorder="1"/>
    <xf numFmtId="0" fontId="14" fillId="2" borderId="2" xfId="0" applyFont="1" applyFill="1" applyBorder="1" applyAlignment="1">
      <alignment horizontal="right"/>
    </xf>
    <xf numFmtId="1" fontId="7" fillId="2" borderId="2" xfId="0" applyNumberFormat="1" applyFont="1" applyFill="1" applyBorder="1"/>
    <xf numFmtId="0" fontId="7" fillId="2" borderId="2" xfId="0" applyFont="1" applyFill="1" applyBorder="1"/>
    <xf numFmtId="3" fontId="0" fillId="2" borderId="2" xfId="0" applyNumberFormat="1" applyFill="1" applyBorder="1"/>
    <xf numFmtId="1" fontId="0" fillId="2" borderId="2" xfId="0" applyNumberFormat="1" applyFill="1" applyBorder="1"/>
    <xf numFmtId="164" fontId="7" fillId="2" borderId="2" xfId="2" applyNumberFormat="1" applyFont="1" applyFill="1" applyBorder="1" applyAlignment="1" applyProtection="1">
      <alignment horizontal="right" vertical="center"/>
      <protection locked="0"/>
    </xf>
    <xf numFmtId="3" fontId="15" fillId="2" borderId="7" xfId="0" applyNumberFormat="1" applyFont="1" applyFill="1" applyBorder="1" applyAlignment="1" applyProtection="1">
      <alignment horizontal="right" vertical="center"/>
    </xf>
    <xf numFmtId="164" fontId="15" fillId="2" borderId="7" xfId="1" applyNumberFormat="1" applyFont="1" applyFill="1" applyBorder="1" applyAlignment="1" applyProtection="1">
      <alignment horizontal="right" vertical="center"/>
    </xf>
    <xf numFmtId="165" fontId="7" fillId="2" borderId="2" xfId="0" applyNumberFormat="1" applyFont="1" applyFill="1" applyBorder="1"/>
    <xf numFmtId="0" fontId="0" fillId="2" borderId="1" xfId="0" applyFill="1" applyBorder="1"/>
    <xf numFmtId="1" fontId="8" fillId="2" borderId="8" xfId="0" applyNumberFormat="1" applyFont="1" applyFill="1" applyBorder="1" applyAlignment="1">
      <alignment horizontal="right" vertical="center"/>
    </xf>
    <xf numFmtId="0" fontId="4" fillId="2" borderId="13" xfId="0" applyFont="1" applyFill="1" applyBorder="1" applyAlignment="1" applyProtection="1">
      <alignment horizontal="center" vertical="center"/>
    </xf>
    <xf numFmtId="0" fontId="4" fillId="2" borderId="12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</cellXfs>
  <cellStyles count="6">
    <cellStyle name="Comma" xfId="1" builtinId="3"/>
    <cellStyle name="Comma 2" xfId="2"/>
    <cellStyle name="Comma 4" xfId="4"/>
    <cellStyle name="Comma 4 2" xfId="5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12.1   Electricity production, Male', 2000 - 2013</a:t>
            </a:r>
          </a:p>
        </c:rich>
      </c:tx>
      <c:layout>
        <c:manualLayout>
          <c:xMode val="edge"/>
          <c:yMode val="edge"/>
          <c:x val="0.26615779584929039"/>
          <c:y val="5.9990058060924202E-2"/>
        </c:manualLayout>
      </c:layout>
    </c:title>
    <c:plotArea>
      <c:layout>
        <c:manualLayout>
          <c:layoutTarget val="inner"/>
          <c:xMode val="edge"/>
          <c:yMode val="edge"/>
          <c:x val="0.13073921825948226"/>
          <c:y val="0.17317545534080964"/>
          <c:w val="0.82879113915907643"/>
          <c:h val="0.61819454386383565"/>
        </c:manualLayout>
      </c:layout>
      <c:lineChart>
        <c:grouping val="standard"/>
        <c:ser>
          <c:idx val="0"/>
          <c:order val="0"/>
          <c:cat>
            <c:numRef>
              <c:f>'12.1'!$N$31:$AA$31</c:f>
              <c:numCache>
                <c:formatCode>0</c:formatCode>
                <c:ptCount val="1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 formatCode="General">
                  <c:v>2009</c:v>
                </c:pt>
                <c:pt idx="10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</c:numCache>
            </c:numRef>
          </c:cat>
          <c:val>
            <c:numRef>
              <c:f>'12.1'!$N$32:$AA$32</c:f>
              <c:numCache>
                <c:formatCode>_(* #,##0_);_(* \(#,##0\);_(* "-"??_);_(@_)</c:formatCode>
                <c:ptCount val="14"/>
                <c:pt idx="0">
                  <c:v>82688</c:v>
                </c:pt>
                <c:pt idx="1">
                  <c:v>90645</c:v>
                </c:pt>
                <c:pt idx="2">
                  <c:v>97480</c:v>
                </c:pt>
                <c:pt idx="3">
                  <c:v>108190</c:v>
                </c:pt>
                <c:pt idx="4">
                  <c:v>121395</c:v>
                </c:pt>
                <c:pt idx="5">
                  <c:v>140065</c:v>
                </c:pt>
                <c:pt idx="6">
                  <c:v>156108</c:v>
                </c:pt>
                <c:pt idx="7">
                  <c:v>159642.78099999999</c:v>
                </c:pt>
                <c:pt idx="8">
                  <c:v>173370.872</c:v>
                </c:pt>
                <c:pt idx="9">
                  <c:v>187110.266</c:v>
                </c:pt>
                <c:pt idx="10">
                  <c:v>195722.55800000002</c:v>
                </c:pt>
                <c:pt idx="11">
                  <c:v>211889.32699999999</c:v>
                </c:pt>
                <c:pt idx="12">
                  <c:v>219663.37332000001</c:v>
                </c:pt>
                <c:pt idx="13">
                  <c:v>232023.39200000002</c:v>
                </c:pt>
              </c:numCache>
            </c:numRef>
          </c:val>
        </c:ser>
        <c:marker val="1"/>
        <c:axId val="67421312"/>
        <c:axId val="67422848"/>
      </c:lineChart>
      <c:catAx>
        <c:axId val="67421312"/>
        <c:scaling>
          <c:orientation val="minMax"/>
        </c:scaling>
        <c:axPos val="b"/>
        <c:numFmt formatCode="0" sourceLinked="1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67422848"/>
        <c:crosses val="autoZero"/>
        <c:auto val="1"/>
        <c:lblAlgn val="ctr"/>
        <c:lblOffset val="100"/>
      </c:catAx>
      <c:valAx>
        <c:axId val="67422848"/>
        <c:scaling>
          <c:orientation val="minMax"/>
          <c:min val="0"/>
        </c:scaling>
        <c:axPos val="l"/>
        <c:majorGridlines/>
        <c:numFmt formatCode="#,##0" sourceLinked="0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67421312"/>
        <c:crosses val="autoZero"/>
        <c:crossBetween val="between"/>
        <c:minorUnit val="10000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</c:chart>
  <c:printSettings>
    <c:headerFooter/>
    <c:pageMargins b="0.750000000000003" l="0.70000000000000062" r="0.70000000000000062" t="0.750000000000003" header="0.30000000000000032" footer="0.30000000000000032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22</xdr:row>
      <xdr:rowOff>85725</xdr:rowOff>
    </xdr:from>
    <xdr:to>
      <xdr:col>8</xdr:col>
      <xdr:colOff>289560</xdr:colOff>
      <xdr:row>35</xdr:row>
      <xdr:rowOff>106680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1284260</xdr:colOff>
      <xdr:row>25</xdr:row>
      <xdr:rowOff>174443</xdr:rowOff>
    </xdr:from>
    <xdr:ext cx="233205" cy="741590"/>
    <xdr:sp macro="" textlink="">
      <xdr:nvSpPr>
        <xdr:cNvPr id="3" name="TextBox 2"/>
        <xdr:cNvSpPr txBox="1"/>
      </xdr:nvSpPr>
      <xdr:spPr>
        <a:xfrm rot="16200000">
          <a:off x="1030068" y="5808355"/>
          <a:ext cx="74159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900" b="1"/>
            <a:t>in '000 Kwh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0.48325</cdr:x>
      <cdr:y>0.89401</cdr:y>
    </cdr:from>
    <cdr:to>
      <cdr:x>0.58841</cdr:x>
      <cdr:y>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3097788" y="2019300"/>
          <a:ext cx="674111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/>
            <a:t>Year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J62"/>
  <sheetViews>
    <sheetView tabSelected="1" workbookViewId="0">
      <selection activeCell="D9" sqref="D9"/>
    </sheetView>
  </sheetViews>
  <sheetFormatPr defaultColWidth="11.109375" defaultRowHeight="13.2"/>
  <cols>
    <col min="1" max="1" width="29" style="40" customWidth="1"/>
    <col min="2" max="2" width="9.5546875" style="1" customWidth="1"/>
    <col min="3" max="4" width="10.88671875" style="1" customWidth="1"/>
    <col min="5" max="8" width="11.109375" style="1" customWidth="1"/>
    <col min="9" max="9" width="34.5546875" style="1" customWidth="1"/>
    <col min="10" max="10" width="25" style="1" customWidth="1"/>
    <col min="11" max="11" width="9.33203125" style="1" customWidth="1"/>
    <col min="12" max="22" width="8.5546875" style="1" customWidth="1"/>
    <col min="23" max="23" width="10" style="1" customWidth="1"/>
    <col min="24" max="26" width="11.109375" style="1"/>
    <col min="27" max="27" width="12.44140625" style="1" bestFit="1" customWidth="1"/>
    <col min="28" max="16384" width="11.109375" style="1"/>
  </cols>
  <sheetData>
    <row r="1" spans="1:10" s="57" customFormat="1" ht="18.600000000000001">
      <c r="A1" s="60" t="s">
        <v>0</v>
      </c>
      <c r="B1" s="60"/>
      <c r="C1" s="60"/>
      <c r="D1" s="60"/>
      <c r="E1" s="60"/>
      <c r="F1" s="60"/>
      <c r="G1" s="60"/>
      <c r="H1" s="60"/>
      <c r="I1" s="61"/>
    </row>
    <row r="2" spans="1:10" s="59" customFormat="1" ht="13.8">
      <c r="A2" s="62" t="s">
        <v>1</v>
      </c>
      <c r="B2" s="62"/>
      <c r="C2" s="62"/>
      <c r="D2" s="62"/>
      <c r="E2" s="62"/>
      <c r="F2" s="62"/>
      <c r="G2" s="62"/>
      <c r="H2" s="62"/>
      <c r="I2" s="62"/>
    </row>
    <row r="3" spans="1:10" s="58" customFormat="1" ht="13.8">
      <c r="A3" s="55"/>
      <c r="B3" s="55"/>
      <c r="C3" s="55"/>
      <c r="D3" s="55"/>
      <c r="E3" s="55"/>
      <c r="F3" s="55"/>
      <c r="G3" s="55"/>
      <c r="H3" s="55"/>
      <c r="I3" s="56"/>
    </row>
    <row r="4" spans="1:10" s="6" customFormat="1" ht="16.2">
      <c r="A4" s="3" t="s">
        <v>2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5" t="s">
        <v>3</v>
      </c>
    </row>
    <row r="5" spans="1:10" s="2" customFormat="1" ht="16.2">
      <c r="A5" s="7" t="s">
        <v>4</v>
      </c>
      <c r="B5" s="8">
        <v>159642.78099999999</v>
      </c>
      <c r="C5" s="8">
        <f>SUM(C6:C10)</f>
        <v>173370.872</v>
      </c>
      <c r="D5" s="8">
        <v>187110.266</v>
      </c>
      <c r="E5" s="8">
        <v>195722.55800000002</v>
      </c>
      <c r="F5" s="9">
        <f>SUM(F6:F10)</f>
        <v>211889.32699999999</v>
      </c>
      <c r="G5" s="9">
        <f>SUM(G6:G10)</f>
        <v>219663.37332000001</v>
      </c>
      <c r="H5" s="9">
        <f>SUM(H6:H10)</f>
        <v>232023.39200000002</v>
      </c>
      <c r="I5" s="10" t="s">
        <v>5</v>
      </c>
    </row>
    <row r="6" spans="1:10" ht="16.2">
      <c r="A6" s="11" t="s">
        <v>6</v>
      </c>
      <c r="B6" s="12">
        <v>70454.167000000001</v>
      </c>
      <c r="C6" s="12">
        <f>78962235/1000</f>
        <v>78962.235000000001</v>
      </c>
      <c r="D6" s="12">
        <v>88944.971999999994</v>
      </c>
      <c r="E6" s="12">
        <v>95038.9</v>
      </c>
      <c r="F6" s="13">
        <f>103656318/1000</f>
        <v>103656.318</v>
      </c>
      <c r="G6" s="13">
        <f>111363653/1000</f>
        <v>111363.65300000001</v>
      </c>
      <c r="H6" s="13">
        <f>119971440/1000</f>
        <v>119971.44</v>
      </c>
      <c r="I6" s="14" t="s">
        <v>7</v>
      </c>
      <c r="J6" s="2"/>
    </row>
    <row r="7" spans="1:10" ht="16.2">
      <c r="A7" s="11" t="s">
        <v>8</v>
      </c>
      <c r="B7" s="15">
        <v>55651.387999999999</v>
      </c>
      <c r="C7" s="15">
        <f>61364327/1000</f>
        <v>61364.326999999997</v>
      </c>
      <c r="D7" s="15">
        <v>65606.008000000002</v>
      </c>
      <c r="E7" s="15">
        <v>71403.343999999997</v>
      </c>
      <c r="F7" s="16">
        <f>77813511/1000</f>
        <v>77813.510999999999</v>
      </c>
      <c r="G7" s="16">
        <f>79364129.32/1000</f>
        <v>79364.129319999993</v>
      </c>
      <c r="H7" s="16">
        <f>82565573/1000</f>
        <v>82565.573000000004</v>
      </c>
      <c r="I7" s="14" t="s">
        <v>9</v>
      </c>
      <c r="J7" s="2"/>
    </row>
    <row r="8" spans="1:10" ht="16.2">
      <c r="A8" s="11" t="s">
        <v>10</v>
      </c>
      <c r="B8" s="12">
        <v>30387.436000000002</v>
      </c>
      <c r="C8" s="12">
        <f>29864802/1000</f>
        <v>29864.802</v>
      </c>
      <c r="D8" s="12">
        <v>29244.899000000001</v>
      </c>
      <c r="E8" s="12">
        <v>25529.73</v>
      </c>
      <c r="F8" s="13">
        <f>26612399/1000</f>
        <v>26612.399000000001</v>
      </c>
      <c r="G8" s="13">
        <f>25667565/1000</f>
        <v>25667.564999999999</v>
      </c>
      <c r="H8" s="13">
        <f>26271621/1000</f>
        <v>26271.620999999999</v>
      </c>
      <c r="I8" s="14" t="s">
        <v>11</v>
      </c>
      <c r="J8" s="2"/>
    </row>
    <row r="9" spans="1:10" ht="16.2">
      <c r="A9" s="11" t="s">
        <v>12</v>
      </c>
      <c r="B9" s="15">
        <v>3149.79</v>
      </c>
      <c r="C9" s="15">
        <f>3179508/1000</f>
        <v>3179.5079999999998</v>
      </c>
      <c r="D9" s="15">
        <v>3314.3870000000002</v>
      </c>
      <c r="E9" s="15">
        <v>3750.5839999999998</v>
      </c>
      <c r="F9" s="16">
        <f>3807099/1000</f>
        <v>3807.0990000000002</v>
      </c>
      <c r="G9" s="16">
        <f>3268026/1000</f>
        <v>3268.0259999999998</v>
      </c>
      <c r="H9" s="16">
        <f>3214758/1000</f>
        <v>3214.7579999999998</v>
      </c>
      <c r="I9" s="14" t="s">
        <v>13</v>
      </c>
      <c r="J9" s="2"/>
    </row>
    <row r="10" spans="1:10" ht="16.2">
      <c r="A10" s="17" t="s">
        <v>14</v>
      </c>
      <c r="B10" s="18">
        <v>0</v>
      </c>
      <c r="C10" s="18">
        <v>0</v>
      </c>
      <c r="D10" s="18">
        <v>0</v>
      </c>
      <c r="E10" s="18">
        <v>0</v>
      </c>
      <c r="F10" s="19">
        <v>0</v>
      </c>
      <c r="G10" s="19">
        <v>0</v>
      </c>
      <c r="H10" s="19">
        <v>0</v>
      </c>
      <c r="I10" s="20" t="s">
        <v>15</v>
      </c>
      <c r="J10" s="2"/>
    </row>
    <row r="11" spans="1:10" s="2" customFormat="1" ht="16.2">
      <c r="A11" s="7" t="s">
        <v>16</v>
      </c>
      <c r="B11" s="8">
        <v>100</v>
      </c>
      <c r="C11" s="8">
        <f>SUM(C12:C16)</f>
        <v>100</v>
      </c>
      <c r="D11" s="8">
        <v>100</v>
      </c>
      <c r="E11" s="8">
        <v>100</v>
      </c>
      <c r="F11" s="21">
        <f>F5/F5*100</f>
        <v>100</v>
      </c>
      <c r="G11" s="21">
        <f>G5/G5*100</f>
        <v>100</v>
      </c>
      <c r="H11" s="21">
        <f>H5/H5*100</f>
        <v>100</v>
      </c>
      <c r="I11" s="10" t="s">
        <v>17</v>
      </c>
    </row>
    <row r="12" spans="1:10" ht="16.2">
      <c r="A12" s="11" t="s">
        <v>6</v>
      </c>
      <c r="B12" s="22">
        <v>44.132385165602948</v>
      </c>
      <c r="C12" s="22">
        <f>C6/C5*100</f>
        <v>45.545271872428486</v>
      </c>
      <c r="D12" s="22">
        <v>47.536126104379548</v>
      </c>
      <c r="E12" s="22">
        <v>48.557969490670558</v>
      </c>
      <c r="F12" s="23">
        <f>F6/F5*100</f>
        <v>48.920027954027148</v>
      </c>
      <c r="G12" s="23">
        <f>G6/G5*100</f>
        <v>50.697415466605023</v>
      </c>
      <c r="H12" s="23">
        <f>H6/H5*100</f>
        <v>51.706614133112915</v>
      </c>
      <c r="I12" s="14" t="s">
        <v>7</v>
      </c>
      <c r="J12" s="2"/>
    </row>
    <row r="13" spans="1:10" ht="16.2">
      <c r="A13" s="11" t="s">
        <v>8</v>
      </c>
      <c r="B13" s="24">
        <v>34.859946470113201</v>
      </c>
      <c r="C13" s="24">
        <f>C7/C5*100</f>
        <v>35.394830914849408</v>
      </c>
      <c r="D13" s="24">
        <v>35.062751714542486</v>
      </c>
      <c r="E13" s="24">
        <v>36.481918451116904</v>
      </c>
      <c r="F13" s="25">
        <f>F7/F5*100</f>
        <v>36.723657629060291</v>
      </c>
      <c r="G13" s="25">
        <f>G7/G5*100</f>
        <v>36.129887345572328</v>
      </c>
      <c r="H13" s="54">
        <f>H7/H5*100</f>
        <v>35.585021099941507</v>
      </c>
      <c r="I13" s="14" t="s">
        <v>9</v>
      </c>
      <c r="J13" s="2"/>
    </row>
    <row r="14" spans="1:10" ht="16.2">
      <c r="A14" s="11" t="s">
        <v>10</v>
      </c>
      <c r="B14" s="12">
        <v>19.034644604443468</v>
      </c>
      <c r="C14" s="12">
        <f>C8/C5*100</f>
        <v>17.225962848015207</v>
      </c>
      <c r="D14" s="12">
        <v>15.629767209031709</v>
      </c>
      <c r="E14" s="12">
        <v>13.043836265414024</v>
      </c>
      <c r="F14" s="23">
        <f>F8/F5*100</f>
        <v>12.559575027580319</v>
      </c>
      <c r="G14" s="23">
        <f>G8/G5*100</f>
        <v>11.684954397294147</v>
      </c>
      <c r="H14" s="23">
        <f>H8/H5*100</f>
        <v>11.322832915053667</v>
      </c>
      <c r="I14" s="14" t="s">
        <v>11</v>
      </c>
      <c r="J14" s="2"/>
    </row>
    <row r="15" spans="1:10" ht="16.2">
      <c r="A15" s="11" t="s">
        <v>12</v>
      </c>
      <c r="B15" s="24">
        <v>1.9730237598404154</v>
      </c>
      <c r="C15" s="24">
        <f>C9/C5*100</f>
        <v>1.8339343647068924</v>
      </c>
      <c r="D15" s="24">
        <v>1.7713549720462696</v>
      </c>
      <c r="E15" s="24">
        <v>1.9162757927984977</v>
      </c>
      <c r="F15" s="25">
        <f>F9/F5*100</f>
        <v>1.7967393893322434</v>
      </c>
      <c r="G15" s="25">
        <f>G9/G5*100</f>
        <v>1.4877427905284977</v>
      </c>
      <c r="H15" s="54">
        <f>H9/H5*100</f>
        <v>1.3855318518918986</v>
      </c>
      <c r="I15" s="14" t="s">
        <v>13</v>
      </c>
      <c r="J15" s="2"/>
    </row>
    <row r="16" spans="1:10" ht="16.2">
      <c r="A16" s="17" t="s">
        <v>14</v>
      </c>
      <c r="B16" s="26">
        <v>0</v>
      </c>
      <c r="C16" s="26">
        <f>(C10/C5)*100</f>
        <v>0</v>
      </c>
      <c r="D16" s="26">
        <v>0</v>
      </c>
      <c r="E16" s="26">
        <v>0</v>
      </c>
      <c r="F16" s="19">
        <f>(F10/F5)*100</f>
        <v>0</v>
      </c>
      <c r="G16" s="19">
        <f>(G10/G5)*100</f>
        <v>0</v>
      </c>
      <c r="H16" s="19">
        <f>(H10/H5)*100</f>
        <v>0</v>
      </c>
      <c r="I16" s="20" t="s">
        <v>15</v>
      </c>
      <c r="J16" s="2"/>
    </row>
    <row r="17" spans="1:36" s="2" customFormat="1" ht="16.2">
      <c r="A17" s="7" t="s">
        <v>18</v>
      </c>
      <c r="B17" s="27">
        <v>12.084957541681275</v>
      </c>
      <c r="C17" s="27">
        <f>(C5-B5)/B5*100</f>
        <v>8.5992557345890983</v>
      </c>
      <c r="D17" s="27">
        <v>7.9248571813147315</v>
      </c>
      <c r="E17" s="27">
        <v>4.6027896726949482</v>
      </c>
      <c r="F17" s="21">
        <f t="shared" ref="F17:G21" si="0">(F5-E5)/E5*100</f>
        <v>8.2600437911709541</v>
      </c>
      <c r="G17" s="21">
        <f t="shared" si="0"/>
        <v>3.6689183122470457</v>
      </c>
      <c r="H17" s="21">
        <f>(H5-G5)/G5*100</f>
        <v>5.6267999954613499</v>
      </c>
      <c r="I17" s="10" t="s">
        <v>19</v>
      </c>
    </row>
    <row r="18" spans="1:36" ht="18.75" customHeight="1">
      <c r="A18" s="11" t="s">
        <v>6</v>
      </c>
      <c r="B18" s="22">
        <v>13.501023849174137</v>
      </c>
      <c r="C18" s="22">
        <f>(C6-B6)/B6*100</f>
        <v>12.076032351642166</v>
      </c>
      <c r="D18" s="22">
        <v>12.642419505982822</v>
      </c>
      <c r="E18" s="22">
        <v>6.8513462458563712</v>
      </c>
      <c r="F18" s="23">
        <f t="shared" si="0"/>
        <v>9.0672535140873958</v>
      </c>
      <c r="G18" s="23">
        <f t="shared" si="0"/>
        <v>7.4354705518287902</v>
      </c>
      <c r="H18" s="23">
        <f>(H6-G6)/G6*100</f>
        <v>7.729440233071375</v>
      </c>
      <c r="I18" s="14" t="s">
        <v>7</v>
      </c>
      <c r="J18" s="2"/>
    </row>
    <row r="19" spans="1:36" ht="18.75" customHeight="1">
      <c r="A19" s="11" t="s">
        <v>8</v>
      </c>
      <c r="B19" s="28">
        <v>10.857256185235959</v>
      </c>
      <c r="C19" s="28">
        <f>(C7-B7)/B7*100</f>
        <v>10.26558223489412</v>
      </c>
      <c r="D19" s="28">
        <v>6.9122912404791865</v>
      </c>
      <c r="E19" s="28">
        <v>8.8365931364090855</v>
      </c>
      <c r="F19" s="25">
        <f t="shared" si="0"/>
        <v>8.9774044756223201</v>
      </c>
      <c r="G19" s="25">
        <f t="shared" si="0"/>
        <v>1.9927366084278013</v>
      </c>
      <c r="H19" s="25">
        <f>(H7-G7)/G7*100</f>
        <v>4.0338673244831247</v>
      </c>
      <c r="I19" s="14" t="s">
        <v>9</v>
      </c>
      <c r="J19" s="2"/>
    </row>
    <row r="20" spans="1:36" ht="18.75" customHeight="1">
      <c r="A20" s="11" t="s">
        <v>10</v>
      </c>
      <c r="B20" s="22">
        <v>10.956994862705715</v>
      </c>
      <c r="C20" s="22">
        <f>(C8-B8)/B8*100</f>
        <v>-1.7199016067035131</v>
      </c>
      <c r="D20" s="22">
        <v>-2.0756976724640546</v>
      </c>
      <c r="E20" s="22">
        <v>-12.703647907965083</v>
      </c>
      <c r="F20" s="23">
        <f t="shared" si="0"/>
        <v>4.2408164912045754</v>
      </c>
      <c r="G20" s="23">
        <f t="shared" si="0"/>
        <v>-3.5503526006806165</v>
      </c>
      <c r="H20" s="23">
        <f>(H8-G8)/G8*100</f>
        <v>2.3533825666751036</v>
      </c>
      <c r="I20" s="14" t="s">
        <v>11</v>
      </c>
      <c r="J20" s="2"/>
    </row>
    <row r="21" spans="1:36" ht="18.75" customHeight="1">
      <c r="A21" s="29" t="s">
        <v>12</v>
      </c>
      <c r="B21" s="30">
        <v>13.754401956850625</v>
      </c>
      <c r="C21" s="30">
        <f>(C9-B9)/B9*100</f>
        <v>0.94349147085995722</v>
      </c>
      <c r="D21" s="30">
        <v>4.2421343176365767</v>
      </c>
      <c r="E21" s="30">
        <v>13.160714183346714</v>
      </c>
      <c r="F21" s="31">
        <f t="shared" si="0"/>
        <v>1.5068320026961224</v>
      </c>
      <c r="G21" s="31">
        <f t="shared" si="0"/>
        <v>-14.159679062719416</v>
      </c>
      <c r="H21" s="31">
        <f>(H9-G9)/G9*100</f>
        <v>-1.6299747921222179</v>
      </c>
      <c r="I21" s="32" t="s">
        <v>13</v>
      </c>
      <c r="J21" s="2"/>
    </row>
    <row r="22" spans="1:36" ht="14.4">
      <c r="A22" s="33" t="s">
        <v>20</v>
      </c>
      <c r="B22" s="34"/>
      <c r="C22" s="34"/>
      <c r="D22" s="34"/>
      <c r="E22" s="35"/>
      <c r="F22" s="35"/>
      <c r="G22" s="35"/>
      <c r="H22" s="35"/>
      <c r="I22" s="36" t="s">
        <v>21</v>
      </c>
    </row>
    <row r="23" spans="1:36" ht="14.4">
      <c r="A23" s="37"/>
      <c r="B23" s="38"/>
      <c r="C23" s="38"/>
      <c r="D23" s="38"/>
      <c r="E23" s="39"/>
      <c r="F23" s="39"/>
      <c r="G23" s="39"/>
      <c r="H23" s="39"/>
    </row>
    <row r="24" spans="1:36">
      <c r="J24" s="41"/>
    </row>
    <row r="25" spans="1:36" s="6" customFormat="1" ht="14.4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</row>
    <row r="26" spans="1:36" s="6" customFormat="1" ht="14.4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</row>
    <row r="27" spans="1:36" s="6" customFormat="1" ht="14.4">
      <c r="A27" s="42"/>
      <c r="B27" s="43"/>
      <c r="C27" s="43"/>
      <c r="D27" s="43"/>
      <c r="E27" s="43"/>
      <c r="F27" s="43"/>
      <c r="G27" s="43"/>
      <c r="H27" s="43"/>
      <c r="I27" s="43"/>
      <c r="J27" s="46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</row>
    <row r="28" spans="1:36" s="6" customFormat="1" ht="14.4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</row>
    <row r="29" spans="1:36" s="6" customFormat="1" ht="14.4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spans="1:36" s="6" customFormat="1" ht="14.4">
      <c r="A30" s="42"/>
      <c r="B30" s="43"/>
      <c r="C30" s="43"/>
      <c r="D30" s="43"/>
      <c r="E30" s="43"/>
      <c r="F30" s="43"/>
      <c r="G30" s="43"/>
      <c r="H30" s="43"/>
      <c r="I30" s="43"/>
      <c r="J30" s="43"/>
    </row>
    <row r="31" spans="1:36" s="6" customFormat="1" ht="14.4">
      <c r="A31" s="42"/>
      <c r="B31" s="43"/>
      <c r="C31" s="43"/>
      <c r="D31" s="43"/>
      <c r="E31" s="43"/>
      <c r="F31" s="43"/>
      <c r="G31" s="43"/>
      <c r="H31" s="43"/>
      <c r="I31" s="43"/>
      <c r="K31" s="45"/>
      <c r="L31" s="45">
        <v>1998</v>
      </c>
      <c r="M31" s="45">
        <v>1999</v>
      </c>
      <c r="N31" s="45">
        <v>2000</v>
      </c>
      <c r="O31" s="45">
        <v>2001</v>
      </c>
      <c r="P31" s="45">
        <v>2002</v>
      </c>
      <c r="Q31" s="45">
        <v>2003</v>
      </c>
      <c r="R31" s="45">
        <v>2004</v>
      </c>
      <c r="S31" s="45">
        <v>2005</v>
      </c>
      <c r="T31" s="45">
        <v>2006</v>
      </c>
      <c r="U31" s="45">
        <v>2007</v>
      </c>
      <c r="V31" s="45">
        <v>2008</v>
      </c>
      <c r="W31" s="6">
        <v>2009</v>
      </c>
      <c r="X31" s="45">
        <v>2010</v>
      </c>
      <c r="Y31" s="6">
        <v>2011</v>
      </c>
      <c r="Z31" s="6">
        <v>2012</v>
      </c>
      <c r="AA31" s="6">
        <v>2013</v>
      </c>
    </row>
    <row r="32" spans="1:36" s="6" customFormat="1" ht="14.4">
      <c r="A32" s="42"/>
      <c r="B32" s="43"/>
      <c r="C32" s="43"/>
      <c r="D32" s="43"/>
      <c r="E32" s="43"/>
      <c r="F32" s="43"/>
      <c r="G32" s="43"/>
      <c r="H32" s="43"/>
      <c r="I32" s="43"/>
      <c r="K32" s="6" t="s">
        <v>22</v>
      </c>
      <c r="L32" s="49">
        <v>68630</v>
      </c>
      <c r="M32" s="49">
        <v>75677</v>
      </c>
      <c r="N32" s="49">
        <v>82688</v>
      </c>
      <c r="O32" s="49">
        <v>90645</v>
      </c>
      <c r="P32" s="49">
        <v>97480</v>
      </c>
      <c r="Q32" s="49">
        <v>108190</v>
      </c>
      <c r="R32" s="49">
        <v>121395</v>
      </c>
      <c r="S32" s="49">
        <v>140065</v>
      </c>
      <c r="T32" s="49">
        <v>156108</v>
      </c>
      <c r="U32" s="49">
        <f>B5</f>
        <v>159642.78099999999</v>
      </c>
      <c r="V32" s="49">
        <f t="shared" ref="V32:AA32" si="1">C5</f>
        <v>173370.872</v>
      </c>
      <c r="W32" s="49">
        <f t="shared" si="1"/>
        <v>187110.266</v>
      </c>
      <c r="X32" s="49">
        <f t="shared" si="1"/>
        <v>195722.55800000002</v>
      </c>
      <c r="Y32" s="49">
        <f t="shared" si="1"/>
        <v>211889.32699999999</v>
      </c>
      <c r="Z32" s="49">
        <f t="shared" si="1"/>
        <v>219663.37332000001</v>
      </c>
      <c r="AA32" s="49">
        <f t="shared" si="1"/>
        <v>232023.39200000002</v>
      </c>
      <c r="AB32" s="45"/>
      <c r="AC32" s="45"/>
      <c r="AD32" s="45"/>
      <c r="AE32" s="45"/>
      <c r="AF32" s="45"/>
      <c r="AG32" s="45"/>
      <c r="AH32" s="45"/>
      <c r="AI32" s="45"/>
      <c r="AJ32" s="45"/>
    </row>
    <row r="33" spans="1:27" s="6" customFormat="1" ht="14.4">
      <c r="A33" s="42"/>
      <c r="B33" s="43"/>
      <c r="C33" s="43"/>
      <c r="D33" s="43"/>
      <c r="E33" s="43"/>
      <c r="F33" s="43"/>
      <c r="G33" s="43"/>
      <c r="H33" s="43"/>
      <c r="I33" s="43"/>
      <c r="T33" s="50"/>
      <c r="U33" s="50"/>
      <c r="V33" s="50"/>
      <c r="W33" s="50"/>
      <c r="X33" s="50">
        <v>195722.55800000002</v>
      </c>
      <c r="Y33" s="51">
        <v>211889.32699999999</v>
      </c>
      <c r="Z33" s="51">
        <v>219663.37332000001</v>
      </c>
      <c r="AA33" s="51">
        <v>232023.39199999999</v>
      </c>
    </row>
    <row r="34" spans="1:27" s="6" customFormat="1" ht="14.4">
      <c r="A34" s="42"/>
      <c r="B34" s="43"/>
      <c r="C34" s="43"/>
      <c r="D34" s="43"/>
      <c r="E34" s="43"/>
      <c r="F34" s="43"/>
      <c r="G34" s="43"/>
      <c r="H34" s="43"/>
      <c r="I34" s="43"/>
      <c r="J34" s="43"/>
    </row>
    <row r="35" spans="1:27" s="6" customFormat="1" ht="14.4">
      <c r="A35" s="42"/>
      <c r="B35" s="43"/>
      <c r="C35" s="43"/>
      <c r="D35" s="43"/>
      <c r="E35" s="43"/>
      <c r="F35" s="43"/>
      <c r="G35" s="43"/>
      <c r="H35" s="43"/>
      <c r="I35" s="43"/>
      <c r="J35" s="43"/>
      <c r="AA35" s="52"/>
    </row>
    <row r="36" spans="1:27" s="6" customFormat="1" ht="14.4">
      <c r="A36" s="42"/>
      <c r="B36" s="43"/>
      <c r="C36" s="43"/>
      <c r="D36" s="43"/>
      <c r="E36" s="43"/>
      <c r="F36" s="43"/>
      <c r="G36" s="43"/>
      <c r="H36" s="43"/>
      <c r="I36" s="43"/>
      <c r="J36" s="43"/>
    </row>
    <row r="37" spans="1:27" s="6" customFormat="1" ht="14.4">
      <c r="A37" s="42"/>
      <c r="B37" s="43"/>
      <c r="C37" s="43"/>
      <c r="D37" s="43"/>
      <c r="E37" s="43"/>
      <c r="F37" s="43"/>
      <c r="G37" s="43"/>
      <c r="H37" s="43"/>
      <c r="I37" s="43"/>
      <c r="J37" s="43"/>
    </row>
    <row r="38" spans="1:27" s="6" customFormat="1" ht="14.4">
      <c r="A38" s="53"/>
      <c r="B38" s="43"/>
      <c r="C38" s="43"/>
      <c r="D38" s="43"/>
      <c r="E38" s="43"/>
      <c r="F38" s="43"/>
      <c r="G38" s="43"/>
      <c r="H38" s="43"/>
      <c r="I38" s="43"/>
      <c r="J38" s="43"/>
    </row>
    <row r="39" spans="1:27" s="6" customFormat="1" ht="14.4">
      <c r="A39" s="53"/>
      <c r="B39" s="43"/>
      <c r="C39" s="43"/>
      <c r="D39" s="43"/>
      <c r="E39" s="43"/>
      <c r="F39" s="43"/>
      <c r="G39" s="43"/>
      <c r="H39" s="43"/>
      <c r="I39" s="43"/>
      <c r="J39" s="43"/>
    </row>
    <row r="40" spans="1:27" s="6" customFormat="1" ht="14.4">
      <c r="A40" s="42"/>
      <c r="B40" s="43"/>
      <c r="C40" s="43"/>
      <c r="D40" s="43"/>
      <c r="E40" s="43"/>
      <c r="F40" s="43"/>
      <c r="G40" s="43"/>
      <c r="H40" s="43"/>
      <c r="I40" s="43"/>
      <c r="J40" s="43"/>
    </row>
    <row r="41" spans="1:27" s="6" customFormat="1" ht="14.4">
      <c r="A41" s="42"/>
      <c r="B41" s="43"/>
      <c r="C41" s="43"/>
      <c r="D41" s="43"/>
      <c r="E41" s="43"/>
      <c r="F41" s="43"/>
      <c r="G41" s="43"/>
      <c r="H41" s="43"/>
      <c r="I41" s="43"/>
      <c r="J41" s="43"/>
    </row>
    <row r="42" spans="1:27" s="6" customFormat="1" ht="11.4">
      <c r="A42" s="42"/>
    </row>
    <row r="43" spans="1:27" s="6" customFormat="1" ht="11.4">
      <c r="A43" s="42"/>
    </row>
    <row r="44" spans="1:27" s="6" customFormat="1" ht="11.4">
      <c r="A44" s="42"/>
    </row>
    <row r="45" spans="1:27" s="6" customFormat="1" ht="11.4">
      <c r="A45" s="42"/>
    </row>
    <row r="46" spans="1:27" s="6" customFormat="1" ht="14.4">
      <c r="A46" s="53"/>
    </row>
    <row r="47" spans="1:27" s="6" customFormat="1" ht="11.4">
      <c r="A47" s="42"/>
    </row>
    <row r="48" spans="1:27" s="6" customFormat="1" ht="11.4">
      <c r="A48" s="42"/>
    </row>
    <row r="49" spans="1:1" s="6" customFormat="1" ht="11.4">
      <c r="A49" s="42"/>
    </row>
    <row r="50" spans="1:1" s="6" customFormat="1" ht="11.4">
      <c r="A50" s="42"/>
    </row>
    <row r="51" spans="1:1" s="6" customFormat="1" ht="11.4">
      <c r="A51" s="42"/>
    </row>
    <row r="52" spans="1:1" s="6" customFormat="1" ht="11.4">
      <c r="A52" s="42"/>
    </row>
    <row r="53" spans="1:1" s="6" customFormat="1" ht="11.4">
      <c r="A53" s="42"/>
    </row>
    <row r="54" spans="1:1" s="6" customFormat="1" ht="11.4">
      <c r="A54" s="42"/>
    </row>
    <row r="55" spans="1:1" s="6" customFormat="1" ht="11.4">
      <c r="A55" s="42"/>
    </row>
    <row r="56" spans="1:1" s="6" customFormat="1" ht="11.4">
      <c r="A56" s="42"/>
    </row>
    <row r="57" spans="1:1" s="6" customFormat="1" ht="11.4">
      <c r="A57" s="42"/>
    </row>
    <row r="58" spans="1:1" s="6" customFormat="1" ht="11.4">
      <c r="A58" s="42"/>
    </row>
    <row r="59" spans="1:1" s="6" customFormat="1" ht="11.4">
      <c r="A59" s="42"/>
    </row>
    <row r="60" spans="1:1" s="6" customFormat="1" ht="11.4">
      <c r="A60" s="42"/>
    </row>
    <row r="61" spans="1:1" s="6" customFormat="1" ht="11.4">
      <c r="A61" s="42"/>
    </row>
    <row r="62" spans="1:1" s="6" customFormat="1" ht="11.4">
      <c r="A62" s="42"/>
    </row>
  </sheetData>
  <mergeCells count="2">
    <mergeCell ref="A1:I1"/>
    <mergeCell ref="A2:I2"/>
  </mergeCells>
  <pageMargins left="0.17" right="0.32" top="0.2" bottom="0.17" header="0.17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2015-01-20T04:38:40Z</dcterms:modified>
</cp:coreProperties>
</file>