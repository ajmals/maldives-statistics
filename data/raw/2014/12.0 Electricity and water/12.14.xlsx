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4" sheetId="13" r:id="rId1"/>
  </sheets>
  <calcPr calcId="124519"/>
</workbook>
</file>

<file path=xl/calcChain.xml><?xml version="1.0" encoding="utf-8"?>
<calcChain xmlns="http://schemas.openxmlformats.org/spreadsheetml/2006/main">
  <c r="M11" i="13"/>
  <c r="M19"/>
  <c r="M14"/>
  <c r="L19"/>
  <c r="M18"/>
  <c r="M16"/>
  <c r="M15"/>
  <c r="M17"/>
  <c r="L16"/>
  <c r="M12"/>
  <c r="K19" l="1"/>
  <c r="J19"/>
  <c r="I19"/>
  <c r="H19"/>
  <c r="G19"/>
  <c r="F19"/>
  <c r="E19"/>
  <c r="D19"/>
  <c r="L18"/>
  <c r="K18"/>
  <c r="J18"/>
  <c r="I18"/>
  <c r="H18"/>
  <c r="L17"/>
  <c r="K17"/>
  <c r="J17"/>
  <c r="I17"/>
  <c r="H17"/>
  <c r="I16"/>
  <c r="H16"/>
  <c r="M5"/>
  <c r="L5"/>
  <c r="K5"/>
  <c r="K16" s="1"/>
  <c r="J5"/>
  <c r="J16" s="1"/>
  <c r="I5"/>
  <c r="I15" s="1"/>
  <c r="H5"/>
  <c r="H15" s="1"/>
  <c r="H11" l="1"/>
  <c r="I11"/>
  <c r="J11"/>
  <c r="K11"/>
  <c r="L11"/>
  <c r="H12"/>
  <c r="I12"/>
  <c r="J12"/>
  <c r="K12"/>
  <c r="L12"/>
  <c r="H13"/>
  <c r="I13"/>
  <c r="J13"/>
  <c r="K13"/>
  <c r="L13"/>
  <c r="M13"/>
  <c r="H14"/>
  <c r="I14"/>
  <c r="J14"/>
  <c r="K14"/>
  <c r="L14"/>
  <c r="J15"/>
  <c r="K15"/>
  <c r="L15"/>
  <c r="M10" l="1"/>
  <c r="L10"/>
  <c r="K10"/>
  <c r="J10"/>
  <c r="I10"/>
  <c r="H10"/>
</calcChain>
</file>

<file path=xl/sharedStrings.xml><?xml version="1.0" encoding="utf-8"?>
<sst xmlns="http://schemas.openxmlformats.org/spreadsheetml/2006/main" count="36" uniqueCount="20">
  <si>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</si>
  <si>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</si>
  <si>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</si>
  <si>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</si>
  <si>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</si>
  <si>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</si>
  <si>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</si>
  <si>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</si>
  <si>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</si>
  <si>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</si>
  <si>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</si>
  <si>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</si>
  <si>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Tap Bays</t>
  </si>
  <si>
    <t>cnukwt urukcsiacnef</t>
  </si>
  <si>
    <t>% share</t>
  </si>
  <si>
    <t>cDeTimil Inepcmok cjErevcs cDcnea rwTOv ElWm :ctWrwf ivcaedutWmUluawm</t>
  </si>
  <si>
    <t>Source: Male' Water &amp; Sewerage Company Private Limited</t>
  </si>
  <si>
    <t>ތާވަލު 12.14: ތަނުގެ ގޮތުން މާލޭގައި ފެން ބޭނުންކުރާ ފަރާތްތަކުގެ އަދަދު، 2005 - 2013</t>
  </si>
  <si>
    <t>Table 12.14 : NUMBER OF CUSTOMERS USING WATER IN MALE' BY TYPE, 2005 - 2013</t>
  </si>
  <si>
    <t xml:space="preserve">Total ( number )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</si>
</sst>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8" formatCode="#,##0.0"/>
    <numFmt numFmtId="169" formatCode="0.0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_Randhoo"/>
    </font>
    <font>
      <sz val="10"/>
      <color theme="1"/>
      <name val="A_Randhoo"/>
    </font>
    <font>
      <sz val="10"/>
      <name val="Garamond"/>
      <family val="1"/>
    </font>
    <font>
      <b/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</cellStyleXfs>
  <cellXfs count="47">
    <xf numFmtId="0" fontId="0" fillId="0" borderId="0" xfId="0"/>
    <xf numFmtId="0" fontId="3" fillId="2" borderId="0" xfId="2" applyFont="1" applyFill="1"/>
    <xf numFmtId="0" fontId="4" fillId="2" borderId="0" xfId="5" applyFont="1" applyFill="1"/>
    <xf numFmtId="0" fontId="5" fillId="2" borderId="0" xfId="5" applyFont="1" applyFill="1" applyAlignment="1">
      <alignment horizontal="right"/>
    </xf>
    <xf numFmtId="0" fontId="3" fillId="2" borderId="0" xfId="2" applyFont="1" applyFill="1" applyBorder="1"/>
    <xf numFmtId="0" fontId="8" fillId="2" borderId="2" xfId="2" applyFont="1" applyFill="1" applyBorder="1" applyAlignment="1">
      <alignment vertical="center"/>
    </xf>
    <xf numFmtId="0" fontId="2" fillId="2" borderId="1" xfId="2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13" fillId="2" borderId="2" xfId="0" applyFont="1" applyFill="1" applyBorder="1" applyAlignment="1">
      <alignment horizontal="right" vertical="center"/>
    </xf>
    <xf numFmtId="0" fontId="7" fillId="2" borderId="0" xfId="2" applyFont="1" applyFill="1"/>
    <xf numFmtId="0" fontId="8" fillId="2" borderId="0" xfId="2" applyFont="1" applyFill="1"/>
    <xf numFmtId="3" fontId="8" fillId="2" borderId="0" xfId="2" applyNumberFormat="1" applyFont="1" applyFill="1"/>
    <xf numFmtId="3" fontId="8" fillId="2" borderId="0" xfId="2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right"/>
    </xf>
    <xf numFmtId="3" fontId="7" fillId="2" borderId="0" xfId="2" applyNumberFormat="1" applyFont="1" applyFill="1"/>
    <xf numFmtId="3" fontId="7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/>
    </xf>
    <xf numFmtId="0" fontId="7" fillId="2" borderId="4" xfId="2" applyFont="1" applyFill="1" applyBorder="1"/>
    <xf numFmtId="3" fontId="7" fillId="2" borderId="4" xfId="2" applyNumberFormat="1" applyFont="1" applyFill="1" applyBorder="1"/>
    <xf numFmtId="3" fontId="7" fillId="2" borderId="4" xfId="2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>
      <alignment horizontal="right"/>
    </xf>
    <xf numFmtId="0" fontId="8" fillId="2" borderId="0" xfId="2" applyFont="1" applyFill="1" applyBorder="1"/>
    <xf numFmtId="168" fontId="8" fillId="2" borderId="0" xfId="2" applyNumberFormat="1" applyFont="1" applyFill="1"/>
    <xf numFmtId="3" fontId="8" fillId="2" borderId="0" xfId="2" applyNumberFormat="1" applyFont="1" applyFill="1" applyAlignment="1">
      <alignment horizontal="right"/>
    </xf>
    <xf numFmtId="0" fontId="13" fillId="2" borderId="0" xfId="0" applyFont="1" applyFill="1" applyAlignment="1">
      <alignment horizontal="right" vertical="center"/>
    </xf>
    <xf numFmtId="168" fontId="7" fillId="2" borderId="0" xfId="2" applyNumberFormat="1" applyFont="1" applyFill="1"/>
    <xf numFmtId="168" fontId="7" fillId="2" borderId="0" xfId="2" applyNumberFormat="1" applyFont="1" applyFill="1" applyAlignment="1">
      <alignment horizontal="right"/>
    </xf>
    <xf numFmtId="168" fontId="7" fillId="2" borderId="4" xfId="2" applyNumberFormat="1" applyFont="1" applyFill="1" applyBorder="1"/>
    <xf numFmtId="168" fontId="7" fillId="2" borderId="4" xfId="2" applyNumberFormat="1" applyFont="1" applyFill="1" applyBorder="1" applyAlignment="1">
      <alignment horizontal="right"/>
    </xf>
    <xf numFmtId="0" fontId="8" fillId="2" borderId="0" xfId="2" applyFont="1" applyFill="1" applyBorder="1" applyAlignment="1" applyProtection="1">
      <alignment horizontal="left" vertical="center"/>
    </xf>
    <xf numFmtId="168" fontId="8" fillId="2" borderId="0" xfId="2" applyNumberFormat="1" applyFont="1" applyFill="1" applyAlignment="1">
      <alignment horizontal="right"/>
    </xf>
    <xf numFmtId="0" fontId="7" fillId="2" borderId="0" xfId="2" applyFont="1" applyFill="1" applyBorder="1"/>
    <xf numFmtId="168" fontId="7" fillId="2" borderId="0" xfId="2" applyNumberFormat="1" applyFont="1" applyFill="1" applyBorder="1"/>
    <xf numFmtId="168" fontId="7" fillId="2" borderId="0" xfId="2" applyNumberFormat="1" applyFont="1" applyFill="1" applyBorder="1" applyAlignment="1">
      <alignment horizontal="right"/>
    </xf>
    <xf numFmtId="3" fontId="7" fillId="2" borderId="0" xfId="2" applyNumberFormat="1" applyFont="1" applyFill="1" applyBorder="1" applyAlignment="1">
      <alignment horizontal="right" vertical="center"/>
    </xf>
    <xf numFmtId="0" fontId="7" fillId="2" borderId="1" xfId="2" applyFont="1" applyFill="1" applyBorder="1"/>
    <xf numFmtId="168" fontId="7" fillId="2" borderId="1" xfId="2" applyNumberFormat="1" applyFont="1" applyFill="1" applyBorder="1"/>
    <xf numFmtId="168" fontId="7" fillId="2" borderId="1" xfId="2" applyNumberFormat="1" applyFont="1" applyFill="1" applyBorder="1" applyAlignment="1">
      <alignment horizontal="right"/>
    </xf>
    <xf numFmtId="3" fontId="7" fillId="2" borderId="1" xfId="2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/>
    </xf>
    <xf numFmtId="168" fontId="3" fillId="2" borderId="0" xfId="2" applyNumberFormat="1" applyFont="1" applyFill="1"/>
    <xf numFmtId="0" fontId="10" fillId="2" borderId="0" xfId="5" applyFont="1" applyFill="1" applyAlignment="1">
      <alignment horizontal="right"/>
    </xf>
    <xf numFmtId="169" fontId="3" fillId="2" borderId="0" xfId="2" applyNumberFormat="1" applyFont="1" applyFill="1"/>
    <xf numFmtId="0" fontId="5" fillId="2" borderId="0" xfId="2" applyFont="1" applyFill="1"/>
    <xf numFmtId="0" fontId="8" fillId="2" borderId="0" xfId="2" applyFont="1" applyFill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6" fillId="2" borderId="0" xfId="2" applyFont="1" applyFill="1" applyAlignment="1">
      <alignment horizontal="center" vertical="center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N35"/>
  <sheetViews>
    <sheetView tabSelected="1" topLeftCell="E1" workbookViewId="0">
      <selection activeCell="J11" sqref="J11"/>
    </sheetView>
  </sheetViews>
  <sheetFormatPr defaultColWidth="21.5546875" defaultRowHeight="13.8"/>
  <cols>
    <col min="1" max="1" width="26.44140625" style="1" customWidth="1"/>
    <col min="2" max="4" width="8.109375" style="1" hidden="1" customWidth="1"/>
    <col min="5" max="13" width="10.33203125" style="1" customWidth="1"/>
    <col min="14" max="14" width="31.109375" style="1" customWidth="1"/>
    <col min="15" max="16384" width="21.5546875" style="1"/>
  </cols>
  <sheetData>
    <row r="1" spans="1:14" ht="19.2">
      <c r="A1" s="45" t="s">
        <v>17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7.25" customHeight="1">
      <c r="A2" s="44" t="s">
        <v>18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s="4" customFormat="1">
      <c r="A3" s="6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</row>
    <row r="4" spans="1:14" s="9" customFormat="1" ht="19.5" customHeight="1">
      <c r="A4" s="5" t="s">
        <v>4</v>
      </c>
      <c r="B4" s="5">
        <v>1999</v>
      </c>
      <c r="C4" s="5">
        <v>2000</v>
      </c>
      <c r="D4" s="5">
        <v>2004</v>
      </c>
      <c r="E4" s="5">
        <v>2005</v>
      </c>
      <c r="F4" s="5">
        <v>2006</v>
      </c>
      <c r="G4" s="5">
        <v>2007</v>
      </c>
      <c r="H4" s="5">
        <v>2008</v>
      </c>
      <c r="I4" s="5">
        <v>2009</v>
      </c>
      <c r="J4" s="5">
        <v>2010</v>
      </c>
      <c r="K4" s="5">
        <v>2011</v>
      </c>
      <c r="L4" s="5">
        <v>2012</v>
      </c>
      <c r="M4" s="5">
        <v>2013</v>
      </c>
      <c r="N4" s="8" t="s">
        <v>3</v>
      </c>
    </row>
    <row r="5" spans="1:14" s="9" customFormat="1" ht="21" customHeight="1">
      <c r="A5" s="10" t="s">
        <v>19</v>
      </c>
      <c r="B5" s="11">
        <v>10412</v>
      </c>
      <c r="C5" s="11">
        <v>11144</v>
      </c>
      <c r="D5" s="11">
        <v>15059</v>
      </c>
      <c r="E5" s="12">
        <v>16425</v>
      </c>
      <c r="F5" s="12">
        <v>18071</v>
      </c>
      <c r="G5" s="12">
        <v>19886</v>
      </c>
      <c r="H5" s="12">
        <f t="shared" ref="H5:M5" si="0">SUM(H6:H9)</f>
        <v>21574</v>
      </c>
      <c r="I5" s="12">
        <f t="shared" si="0"/>
        <v>24513</v>
      </c>
      <c r="J5" s="12">
        <f t="shared" si="0"/>
        <v>24965</v>
      </c>
      <c r="K5" s="12">
        <f t="shared" si="0"/>
        <v>26527</v>
      </c>
      <c r="L5" s="12">
        <f t="shared" si="0"/>
        <v>27867</v>
      </c>
      <c r="M5" s="12">
        <f t="shared" si="0"/>
        <v>29287</v>
      </c>
      <c r="N5" s="13" t="s">
        <v>5</v>
      </c>
    </row>
    <row r="6" spans="1:14" s="9" customFormat="1" ht="21" customHeight="1">
      <c r="A6" s="9" t="s">
        <v>6</v>
      </c>
      <c r="B6" s="14">
        <v>9461</v>
      </c>
      <c r="C6" s="14">
        <v>10044</v>
      </c>
      <c r="D6" s="14">
        <v>13257</v>
      </c>
      <c r="E6" s="15">
        <v>14601</v>
      </c>
      <c r="F6" s="15">
        <v>16175</v>
      </c>
      <c r="G6" s="15">
        <v>17856</v>
      </c>
      <c r="H6" s="15">
        <v>19438</v>
      </c>
      <c r="I6" s="15">
        <v>22130</v>
      </c>
      <c r="J6" s="15">
        <v>22389</v>
      </c>
      <c r="K6" s="15">
        <v>23755</v>
      </c>
      <c r="L6" s="15">
        <v>24955</v>
      </c>
      <c r="M6" s="15">
        <v>26121</v>
      </c>
      <c r="N6" s="16" t="s">
        <v>7</v>
      </c>
    </row>
    <row r="7" spans="1:14" s="9" customFormat="1" ht="21" customHeight="1">
      <c r="A7" s="9" t="s">
        <v>8</v>
      </c>
      <c r="B7" s="14">
        <v>296</v>
      </c>
      <c r="C7" s="14">
        <v>330</v>
      </c>
      <c r="D7" s="14">
        <v>410</v>
      </c>
      <c r="E7" s="15">
        <v>438</v>
      </c>
      <c r="F7" s="15">
        <v>451</v>
      </c>
      <c r="G7" s="15">
        <v>487</v>
      </c>
      <c r="H7" s="15">
        <v>513</v>
      </c>
      <c r="I7" s="15">
        <v>543</v>
      </c>
      <c r="J7" s="15">
        <v>544</v>
      </c>
      <c r="K7" s="15">
        <v>553</v>
      </c>
      <c r="L7" s="15">
        <v>559</v>
      </c>
      <c r="M7" s="15">
        <v>579</v>
      </c>
      <c r="N7" s="16" t="s">
        <v>9</v>
      </c>
    </row>
    <row r="8" spans="1:14" s="9" customFormat="1" ht="21" customHeight="1">
      <c r="A8" s="9" t="s">
        <v>10</v>
      </c>
      <c r="B8" s="14">
        <v>640</v>
      </c>
      <c r="C8" s="14">
        <v>755</v>
      </c>
      <c r="D8" s="14">
        <v>1377</v>
      </c>
      <c r="E8" s="15">
        <v>1371</v>
      </c>
      <c r="F8" s="15">
        <v>1430</v>
      </c>
      <c r="G8" s="15">
        <v>1530</v>
      </c>
      <c r="H8" s="15">
        <v>1610</v>
      </c>
      <c r="I8" s="15">
        <v>1827</v>
      </c>
      <c r="J8" s="15">
        <v>2027</v>
      </c>
      <c r="K8" s="15">
        <v>2214</v>
      </c>
      <c r="L8" s="15">
        <v>2351</v>
      </c>
      <c r="M8" s="15">
        <v>2585</v>
      </c>
      <c r="N8" s="16" t="s">
        <v>11</v>
      </c>
    </row>
    <row r="9" spans="1:14" s="9" customFormat="1" ht="21" customHeight="1">
      <c r="A9" s="17" t="s">
        <v>12</v>
      </c>
      <c r="B9" s="18">
        <v>15</v>
      </c>
      <c r="C9" s="18">
        <v>15</v>
      </c>
      <c r="D9" s="18">
        <v>15</v>
      </c>
      <c r="E9" s="19">
        <v>15</v>
      </c>
      <c r="F9" s="19">
        <v>15</v>
      </c>
      <c r="G9" s="19">
        <v>13</v>
      </c>
      <c r="H9" s="19">
        <v>13</v>
      </c>
      <c r="I9" s="19">
        <v>13</v>
      </c>
      <c r="J9" s="19">
        <v>5</v>
      </c>
      <c r="K9" s="19">
        <v>5</v>
      </c>
      <c r="L9" s="19">
        <v>2</v>
      </c>
      <c r="M9" s="19">
        <v>2</v>
      </c>
      <c r="N9" s="20" t="s">
        <v>13</v>
      </c>
    </row>
    <row r="10" spans="1:14" s="9" customFormat="1" ht="21" customHeight="1">
      <c r="A10" s="21" t="s">
        <v>14</v>
      </c>
      <c r="B10" s="22">
        <v>100</v>
      </c>
      <c r="C10" s="11">
        <v>100</v>
      </c>
      <c r="D10" s="23">
        <v>100</v>
      </c>
      <c r="E10" s="12">
        <v>100</v>
      </c>
      <c r="F10" s="12">
        <v>100</v>
      </c>
      <c r="G10" s="12">
        <v>100</v>
      </c>
      <c r="H10" s="12">
        <f t="shared" ref="H10:M10" si="1">SUM(H11:H14)</f>
        <v>100</v>
      </c>
      <c r="I10" s="12">
        <f t="shared" si="1"/>
        <v>100.00000000000001</v>
      </c>
      <c r="J10" s="12">
        <f t="shared" si="1"/>
        <v>100</v>
      </c>
      <c r="K10" s="12">
        <f t="shared" si="1"/>
        <v>100</v>
      </c>
      <c r="L10" s="12">
        <f t="shared" si="1"/>
        <v>100</v>
      </c>
      <c r="M10" s="12">
        <f t="shared" si="1"/>
        <v>100.00000000000001</v>
      </c>
      <c r="N10" s="24" t="s">
        <v>0</v>
      </c>
    </row>
    <row r="11" spans="1:14" s="9" customFormat="1" ht="21" customHeight="1">
      <c r="A11" s="9" t="s">
        <v>6</v>
      </c>
      <c r="B11" s="25">
        <v>90.866308106031497</v>
      </c>
      <c r="C11" s="25">
        <v>90.129217516152195</v>
      </c>
      <c r="D11" s="26">
        <v>88.033733979679923</v>
      </c>
      <c r="E11" s="15">
        <v>88.894977168949779</v>
      </c>
      <c r="F11" s="15">
        <v>89.508051574345643</v>
      </c>
      <c r="G11" s="15">
        <v>89.791813336015295</v>
      </c>
      <c r="H11" s="15">
        <f t="shared" ref="H11:L11" si="2">H6/H5*100</f>
        <v>90.099193473625661</v>
      </c>
      <c r="I11" s="15">
        <f t="shared" si="2"/>
        <v>90.278627666952232</v>
      </c>
      <c r="J11" s="15">
        <f t="shared" si="2"/>
        <v>89.681554175846188</v>
      </c>
      <c r="K11" s="15">
        <f t="shared" si="2"/>
        <v>89.550269536698451</v>
      </c>
      <c r="L11" s="15">
        <f t="shared" si="2"/>
        <v>89.550364230092939</v>
      </c>
      <c r="M11" s="15">
        <f>M6/M5*100</f>
        <v>89.189742889336571</v>
      </c>
      <c r="N11" s="16" t="s">
        <v>7</v>
      </c>
    </row>
    <row r="12" spans="1:14" s="9" customFormat="1" ht="21" customHeight="1">
      <c r="A12" s="9" t="s">
        <v>8</v>
      </c>
      <c r="B12" s="25">
        <v>2.8428736073761045</v>
      </c>
      <c r="C12" s="25">
        <v>2.9612347451543433</v>
      </c>
      <c r="D12" s="26">
        <v>2.7226243442459661</v>
      </c>
      <c r="E12" s="15">
        <v>2.666666666666667</v>
      </c>
      <c r="F12" s="15">
        <v>2.4957113607437331</v>
      </c>
      <c r="G12" s="15">
        <v>2.4489590666800765</v>
      </c>
      <c r="H12" s="15">
        <f t="shared" ref="H12:L12" si="3">H7/H5*100</f>
        <v>2.3778622415870956</v>
      </c>
      <c r="I12" s="15">
        <f t="shared" si="3"/>
        <v>2.2151511442907843</v>
      </c>
      <c r="J12" s="15">
        <f t="shared" si="3"/>
        <v>2.1790506709393149</v>
      </c>
      <c r="K12" s="15">
        <f t="shared" si="3"/>
        <v>2.0846684510121762</v>
      </c>
      <c r="L12" s="15">
        <f t="shared" si="3"/>
        <v>2.0059568665446585</v>
      </c>
      <c r="M12" s="15">
        <f>M7/M5*100</f>
        <v>1.9769863762078739</v>
      </c>
      <c r="N12" s="16" t="s">
        <v>9</v>
      </c>
    </row>
    <row r="13" spans="1:14" s="9" customFormat="1" ht="21" customHeight="1">
      <c r="A13" s="9" t="s">
        <v>10</v>
      </c>
      <c r="B13" s="25">
        <v>6.1467537456780637</v>
      </c>
      <c r="C13" s="25">
        <v>6.7749461593682696</v>
      </c>
      <c r="D13" s="26">
        <v>9.1440334683577937</v>
      </c>
      <c r="E13" s="15">
        <v>8.3470319634703198</v>
      </c>
      <c r="F13" s="15">
        <v>7.9132311438215934</v>
      </c>
      <c r="G13" s="15">
        <v>7.6938549733480839</v>
      </c>
      <c r="H13" s="15">
        <f t="shared" ref="H13:M13" si="4">H8/H5*100</f>
        <v>7.4626865671641784</v>
      </c>
      <c r="I13" s="15">
        <f t="shared" si="4"/>
        <v>7.453188104271204</v>
      </c>
      <c r="J13" s="15">
        <f t="shared" si="4"/>
        <v>8.1193671139595427</v>
      </c>
      <c r="K13" s="15">
        <f t="shared" si="4"/>
        <v>8.346213292117465</v>
      </c>
      <c r="L13" s="15">
        <f t="shared" si="4"/>
        <v>8.4365019557182332</v>
      </c>
      <c r="M13" s="15">
        <f t="shared" si="4"/>
        <v>8.82644176597125</v>
      </c>
      <c r="N13" s="16" t="s">
        <v>11</v>
      </c>
    </row>
    <row r="14" spans="1:14" s="9" customFormat="1" ht="21" customHeight="1">
      <c r="A14" s="17" t="s">
        <v>12</v>
      </c>
      <c r="B14" s="27">
        <v>0.14406454091432963</v>
      </c>
      <c r="C14" s="27">
        <v>0.13460157932519742</v>
      </c>
      <c r="D14" s="28">
        <v>9.9608207716315816E-2</v>
      </c>
      <c r="E14" s="19">
        <v>9.1324200913242004E-2</v>
      </c>
      <c r="F14" s="19">
        <v>8.300592108903769E-2</v>
      </c>
      <c r="G14" s="19">
        <v>6.5372623956552342E-2</v>
      </c>
      <c r="H14" s="19">
        <f t="shared" ref="H14:L14" si="5">H9/H5*100</f>
        <v>6.0257717623064797E-2</v>
      </c>
      <c r="I14" s="19">
        <f t="shared" si="5"/>
        <v>5.3033084485783061E-2</v>
      </c>
      <c r="J14" s="19">
        <f t="shared" si="5"/>
        <v>2.0028039254956942E-2</v>
      </c>
      <c r="K14" s="19">
        <f t="shared" si="5"/>
        <v>1.8848720171900327E-2</v>
      </c>
      <c r="L14" s="19">
        <f t="shared" si="5"/>
        <v>7.1769476441669354E-3</v>
      </c>
      <c r="M14" s="19">
        <f>M9/M5*100</f>
        <v>6.8289684843104454E-3</v>
      </c>
      <c r="N14" s="20" t="s">
        <v>13</v>
      </c>
    </row>
    <row r="15" spans="1:14" s="9" customFormat="1" ht="21" customHeight="1">
      <c r="A15" s="29" t="s">
        <v>1</v>
      </c>
      <c r="B15" s="22">
        <v>4.9914288595341336</v>
      </c>
      <c r="C15" s="22">
        <v>7.0303495966192857</v>
      </c>
      <c r="D15" s="30">
        <v>7.433830348862096</v>
      </c>
      <c r="E15" s="12">
        <v>9.0709874493658269</v>
      </c>
      <c r="F15" s="12">
        <v>10.021308980213089</v>
      </c>
      <c r="G15" s="12">
        <v>10.043716451773561</v>
      </c>
      <c r="H15" s="12">
        <f t="shared" ref="H15:L18" si="6">(H5-G5)/G5*100</f>
        <v>8.4883837875892585</v>
      </c>
      <c r="I15" s="12">
        <f t="shared" si="6"/>
        <v>13.622879391860574</v>
      </c>
      <c r="J15" s="12">
        <f t="shared" si="6"/>
        <v>1.8439195528903032</v>
      </c>
      <c r="K15" s="12">
        <f t="shared" si="6"/>
        <v>6.2567594632485486</v>
      </c>
      <c r="L15" s="12">
        <f t="shared" si="6"/>
        <v>5.0514570060692874</v>
      </c>
      <c r="M15" s="12">
        <f>(M5-L5)/L5*100</f>
        <v>5.095632827358525</v>
      </c>
      <c r="N15" s="24" t="s">
        <v>2</v>
      </c>
    </row>
    <row r="16" spans="1:14" s="9" customFormat="1" ht="21" customHeight="1">
      <c r="A16" s="9" t="s">
        <v>6</v>
      </c>
      <c r="B16" s="25">
        <v>3.6254107338444688</v>
      </c>
      <c r="C16" s="25">
        <v>6.162139308741148</v>
      </c>
      <c r="D16" s="26">
        <v>6.5589582830962136</v>
      </c>
      <c r="E16" s="15">
        <v>10.138040280606472</v>
      </c>
      <c r="F16" s="15">
        <v>10.780083555920827</v>
      </c>
      <c r="G16" s="15">
        <v>10.39258114374034</v>
      </c>
      <c r="H16" s="15">
        <f t="shared" si="6"/>
        <v>8.8597670250896066</v>
      </c>
      <c r="I16" s="15">
        <f t="shared" si="6"/>
        <v>13.849161436361765</v>
      </c>
      <c r="J16" s="15">
        <f>(J5-I5)/I5*100</f>
        <v>1.8439195528903032</v>
      </c>
      <c r="K16" s="15">
        <f>(K5-J5)/J5*100</f>
        <v>6.2567594632485486</v>
      </c>
      <c r="L16" s="15">
        <f>(L5-K5)/K5*100</f>
        <v>5.0514570060692874</v>
      </c>
      <c r="M16" s="15">
        <f>(M6-L6)/L6*100</f>
        <v>4.6724103386094971</v>
      </c>
      <c r="N16" s="16" t="s">
        <v>7</v>
      </c>
    </row>
    <row r="17" spans="1:14" s="9" customFormat="1" ht="21" customHeight="1">
      <c r="A17" s="9" t="s">
        <v>8</v>
      </c>
      <c r="B17" s="25">
        <v>12.121212121212121</v>
      </c>
      <c r="C17" s="25">
        <v>11.486486486486488</v>
      </c>
      <c r="D17" s="26">
        <v>6.2176165803108807</v>
      </c>
      <c r="E17" s="15">
        <v>6.8292682926829276</v>
      </c>
      <c r="F17" s="15">
        <v>2.968036529680365</v>
      </c>
      <c r="G17" s="15">
        <v>7.9822616407982254</v>
      </c>
      <c r="H17" s="15">
        <f t="shared" si="6"/>
        <v>5.3388090349075972</v>
      </c>
      <c r="I17" s="15">
        <f t="shared" si="6"/>
        <v>5.8479532163742682</v>
      </c>
      <c r="J17" s="15">
        <f t="shared" si="6"/>
        <v>0.18416206261510129</v>
      </c>
      <c r="K17" s="15">
        <f t="shared" si="6"/>
        <v>1.6544117647058825</v>
      </c>
      <c r="L17" s="15">
        <f t="shared" si="6"/>
        <v>1.0849909584086799</v>
      </c>
      <c r="M17" s="15">
        <f>(M7-L7)/L7*100</f>
        <v>3.5778175313059033</v>
      </c>
      <c r="N17" s="16" t="s">
        <v>9</v>
      </c>
    </row>
    <row r="18" spans="1:14" s="9" customFormat="1" ht="21" customHeight="1">
      <c r="A18" s="31" t="s">
        <v>10</v>
      </c>
      <c r="B18" s="32">
        <v>25.984251968503933</v>
      </c>
      <c r="C18" s="32">
        <v>17.96875</v>
      </c>
      <c r="D18" s="33">
        <v>17.191489361702128</v>
      </c>
      <c r="E18" s="34">
        <v>-0.4357298474945534</v>
      </c>
      <c r="F18" s="34">
        <v>4.3034281546316597</v>
      </c>
      <c r="G18" s="34">
        <v>6.9930069930069934</v>
      </c>
      <c r="H18" s="34">
        <f t="shared" si="6"/>
        <v>5.2287581699346406</v>
      </c>
      <c r="I18" s="34">
        <f t="shared" si="6"/>
        <v>13.478260869565217</v>
      </c>
      <c r="J18" s="34">
        <f t="shared" si="6"/>
        <v>10.946907498631637</v>
      </c>
      <c r="K18" s="34">
        <f t="shared" si="6"/>
        <v>9.2254563394178586</v>
      </c>
      <c r="L18" s="34">
        <f t="shared" si="6"/>
        <v>6.187895212285456</v>
      </c>
      <c r="M18" s="15">
        <f>(M8-L8)/L8*100</f>
        <v>9.9532113994045091</v>
      </c>
      <c r="N18" s="16" t="s">
        <v>11</v>
      </c>
    </row>
    <row r="19" spans="1:14" s="9" customFormat="1" ht="21" customHeight="1">
      <c r="A19" s="35" t="s">
        <v>12</v>
      </c>
      <c r="B19" s="36"/>
      <c r="C19" s="36"/>
      <c r="D19" s="37">
        <f t="shared" ref="D19:K19" si="7">((D9/C9)-1)*100</f>
        <v>0</v>
      </c>
      <c r="E19" s="38">
        <f t="shared" si="7"/>
        <v>0</v>
      </c>
      <c r="F19" s="38">
        <f t="shared" si="7"/>
        <v>0</v>
      </c>
      <c r="G19" s="38">
        <f t="shared" si="7"/>
        <v>-13.33333333333333</v>
      </c>
      <c r="H19" s="38">
        <f t="shared" si="7"/>
        <v>0</v>
      </c>
      <c r="I19" s="38">
        <f t="shared" si="7"/>
        <v>0</v>
      </c>
      <c r="J19" s="38">
        <f>((J9/I9)-1)*100</f>
        <v>-61.53846153846154</v>
      </c>
      <c r="K19" s="38">
        <f t="shared" si="7"/>
        <v>0</v>
      </c>
      <c r="L19" s="38">
        <f>((L9/K9)-1)*100</f>
        <v>-60</v>
      </c>
      <c r="M19" s="38">
        <f>(M9-L9)/L9*100</f>
        <v>0</v>
      </c>
      <c r="N19" s="39" t="s">
        <v>13</v>
      </c>
    </row>
    <row r="20" spans="1:14" ht="16.2">
      <c r="A20" s="2" t="s">
        <v>16</v>
      </c>
      <c r="I20" s="40"/>
      <c r="N20" s="41" t="s">
        <v>15</v>
      </c>
    </row>
    <row r="21" spans="1:14">
      <c r="F21" s="42"/>
      <c r="G21" s="42"/>
      <c r="H21" s="42"/>
      <c r="I21" s="42"/>
      <c r="J21" s="42"/>
      <c r="K21" s="42"/>
      <c r="L21" s="42"/>
      <c r="M21" s="42"/>
    </row>
    <row r="22" spans="1:14">
      <c r="F22" s="42"/>
      <c r="G22" s="42"/>
      <c r="H22" s="42"/>
      <c r="I22" s="42"/>
      <c r="J22" s="42"/>
      <c r="K22" s="42"/>
      <c r="L22" s="42"/>
      <c r="M22" s="42"/>
    </row>
    <row r="23" spans="1:14">
      <c r="F23" s="42"/>
      <c r="G23" s="42"/>
      <c r="H23" s="42"/>
      <c r="I23" s="42"/>
      <c r="J23" s="42"/>
      <c r="K23" s="42"/>
      <c r="L23" s="42"/>
      <c r="M23" s="42"/>
    </row>
    <row r="24" spans="1:14">
      <c r="F24" s="42"/>
      <c r="G24" s="42"/>
      <c r="H24" s="42"/>
      <c r="I24" s="42"/>
      <c r="J24" s="42"/>
      <c r="K24" s="42"/>
      <c r="L24" s="42"/>
      <c r="M24" s="42"/>
    </row>
    <row r="25" spans="1:14">
      <c r="F25" s="42"/>
      <c r="G25" s="42"/>
      <c r="H25" s="42"/>
      <c r="I25" s="42"/>
      <c r="J25" s="42"/>
      <c r="K25" s="42"/>
      <c r="L25" s="42"/>
      <c r="M25" s="42"/>
    </row>
    <row r="26" spans="1:14">
      <c r="F26" s="42"/>
      <c r="G26" s="42"/>
      <c r="H26" s="42"/>
      <c r="I26" s="42"/>
      <c r="J26" s="42"/>
      <c r="K26" s="42"/>
      <c r="L26" s="42"/>
      <c r="M26" s="42"/>
    </row>
    <row r="27" spans="1:14">
      <c r="F27" s="42"/>
      <c r="G27" s="42"/>
      <c r="H27" s="42"/>
      <c r="I27" s="42"/>
      <c r="J27" s="42"/>
      <c r="K27" s="42"/>
      <c r="L27" s="42"/>
      <c r="M27" s="42"/>
    </row>
    <row r="35" spans="8:14" s="43" customFormat="1">
      <c r="H35" s="3"/>
      <c r="I35" s="3"/>
      <c r="J35" s="3"/>
      <c r="K35" s="3"/>
      <c r="L35" s="3"/>
      <c r="M35" s="3"/>
      <c r="N35" s="1"/>
    </row>
  </sheetData>
  <mergeCells count="2">
    <mergeCell ref="A1:N1"/>
    <mergeCell ref="A2:N2"/>
  </mergeCells>
  <pageMargins left="0.17" right="0.16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2015-01-20T04:47:23Z</dcterms:modified>
</cp:coreProperties>
</file>