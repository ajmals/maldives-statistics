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8" sheetId="8" r:id="rId1"/>
  </sheets>
  <calcPr calcId="124519"/>
</workbook>
</file>

<file path=xl/calcChain.xml><?xml version="1.0" encoding="utf-8"?>
<calcChain xmlns="http://schemas.openxmlformats.org/spreadsheetml/2006/main">
  <c r="Z29" i="8"/>
  <c r="Z30"/>
  <c r="Z31"/>
  <c r="Z28"/>
  <c r="M20"/>
  <c r="M19"/>
  <c r="M18"/>
  <c r="M17"/>
  <c r="M16"/>
  <c r="M15"/>
  <c r="M14"/>
  <c r="M13"/>
  <c r="M12"/>
  <c r="M8"/>
  <c r="M7"/>
  <c r="J20" l="1"/>
  <c r="E20"/>
  <c r="C20"/>
  <c r="J19"/>
  <c r="C19"/>
  <c r="L18"/>
  <c r="K18"/>
  <c r="J18"/>
  <c r="E18"/>
  <c r="C18"/>
  <c r="L17"/>
  <c r="K17"/>
  <c r="J17"/>
  <c r="E17"/>
  <c r="C17"/>
  <c r="M10"/>
  <c r="K10"/>
  <c r="L20" s="1"/>
  <c r="H10"/>
  <c r="I20" s="1"/>
  <c r="G10"/>
  <c r="G20" s="1"/>
  <c r="F10"/>
  <c r="F20" s="1"/>
  <c r="M9"/>
  <c r="K9"/>
  <c r="L19" s="1"/>
  <c r="H9"/>
  <c r="I19" s="1"/>
  <c r="G9"/>
  <c r="G19" s="1"/>
  <c r="F9"/>
  <c r="F19" s="1"/>
  <c r="E9"/>
  <c r="E19" s="1"/>
  <c r="D9"/>
  <c r="D14" s="1"/>
  <c r="H8"/>
  <c r="I18" s="1"/>
  <c r="G8"/>
  <c r="G18" s="1"/>
  <c r="F8"/>
  <c r="F18" s="1"/>
  <c r="H7"/>
  <c r="I17" s="1"/>
  <c r="G7"/>
  <c r="G17" s="1"/>
  <c r="F7"/>
  <c r="F17" s="1"/>
  <c r="M6"/>
  <c r="L6"/>
  <c r="L16" s="1"/>
  <c r="K6"/>
  <c r="K16" s="1"/>
  <c r="J6"/>
  <c r="J16" s="1"/>
  <c r="I6"/>
  <c r="I16" s="1"/>
  <c r="H6"/>
  <c r="H16" s="1"/>
  <c r="G6"/>
  <c r="G16" s="1"/>
  <c r="F6"/>
  <c r="F16" s="1"/>
  <c r="E6"/>
  <c r="E16" s="1"/>
  <c r="D6"/>
  <c r="D15" s="1"/>
  <c r="C6"/>
  <c r="C16" s="1"/>
  <c r="B6"/>
  <c r="B15" s="1"/>
  <c r="B12" l="1"/>
  <c r="C12"/>
  <c r="D12"/>
  <c r="E12"/>
  <c r="F12"/>
  <c r="G12"/>
  <c r="H12"/>
  <c r="I12"/>
  <c r="J12"/>
  <c r="K12"/>
  <c r="L12"/>
  <c r="B13"/>
  <c r="C13"/>
  <c r="D13"/>
  <c r="E13"/>
  <c r="F13"/>
  <c r="G13"/>
  <c r="H13"/>
  <c r="I13"/>
  <c r="J13"/>
  <c r="K13"/>
  <c r="L13"/>
  <c r="B14"/>
  <c r="C14"/>
  <c r="E14"/>
  <c r="F14"/>
  <c r="G14"/>
  <c r="H14"/>
  <c r="I14"/>
  <c r="J14"/>
  <c r="K14"/>
  <c r="L14"/>
  <c r="C15"/>
  <c r="E15"/>
  <c r="F15"/>
  <c r="G15"/>
  <c r="H15"/>
  <c r="I15"/>
  <c r="J15"/>
  <c r="K15"/>
  <c r="L15"/>
  <c r="H17"/>
  <c r="H18"/>
  <c r="H19"/>
  <c r="K19"/>
  <c r="H20"/>
  <c r="K20"/>
  <c r="M11" l="1"/>
  <c r="L11"/>
  <c r="K11"/>
  <c r="J11"/>
  <c r="I11"/>
  <c r="H11"/>
  <c r="G11"/>
  <c r="F11"/>
  <c r="E11"/>
  <c r="D11"/>
  <c r="C11"/>
  <c r="B11"/>
</calcChain>
</file>

<file path=xl/sharedStrings.xml><?xml version="1.0" encoding="utf-8"?>
<sst xmlns="http://schemas.openxmlformats.org/spreadsheetml/2006/main" count="42" uniqueCount="23">
  <si>
    <t xml:space="preserve"> % cnutogWviawfiheb</t>
  </si>
  <si>
    <t>% change over previous year</t>
  </si>
  <si>
    <t xml:space="preserve"> % urwvcnim ivurutia eruvcSwrwhwa Iruk</t>
  </si>
  <si>
    <t>cnwt</t>
  </si>
  <si>
    <t>2013 - 2005  ,urwvcnim unuverukcnunEb iawgElWm cnef Everukclib  : 12.8  ulwvWt</t>
  </si>
  <si>
    <t>Table 12.8 : BILLED WATER CONSUMPTION IN MALE',   2005 - 2013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</si>
  <si>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</si>
  <si>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</si>
  <si>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</si>
  <si>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</si>
  <si>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</si>
  <si>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</si>
  <si>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</si>
  <si>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</si>
  <si>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</si>
  <si>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</si>
  <si>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</si>
  <si>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</si>
  <si>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</si>
  <si>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</si>
  <si>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 xml:space="preserve"> Commercial</t>
  </si>
  <si>
    <t>Source: Male' Water &amp; Sewerage Company  Limited</t>
  </si>
  <si>
    <t>cDeTimil Inepcmok cjErevcs cDcnea rwTOv ElWm :ctWrwf ivcaedutWmUluawm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</si>
</sst>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8" formatCode="#,##0.0"/>
    <numFmt numFmtId="169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_Randhoo"/>
    </font>
    <font>
      <b/>
      <sz val="10"/>
      <name val="A_Funa"/>
    </font>
    <font>
      <b/>
      <sz val="9"/>
      <color theme="1"/>
      <name val="A_Randhoo"/>
    </font>
    <font>
      <sz val="9"/>
      <color theme="1"/>
      <name val="A_Randhoo"/>
    </font>
    <font>
      <sz val="10"/>
      <name val="Garamond"/>
      <family val="1"/>
    </font>
    <font>
      <sz val="9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/>
  </cellStyleXfs>
  <cellXfs count="52">
    <xf numFmtId="0" fontId="0" fillId="0" borderId="0" xfId="0"/>
    <xf numFmtId="0" fontId="0" fillId="2" borderId="0" xfId="0" applyFont="1" applyFill="1"/>
    <xf numFmtId="0" fontId="5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/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10" fillId="2" borderId="0" xfId="0" applyFont="1" applyFill="1"/>
    <xf numFmtId="0" fontId="8" fillId="2" borderId="0" xfId="0" applyFont="1" applyFill="1"/>
    <xf numFmtId="168" fontId="8" fillId="2" borderId="0" xfId="0" applyNumberFormat="1" applyFont="1" applyFill="1" applyAlignment="1"/>
    <xf numFmtId="164" fontId="8" fillId="2" borderId="0" xfId="1" applyNumberFormat="1" applyFont="1" applyFill="1" applyAlignment="1"/>
    <xf numFmtId="0" fontId="14" fillId="2" borderId="0" xfId="0" applyFont="1" applyFill="1" applyAlignment="1">
      <alignment horizontal="right"/>
    </xf>
    <xf numFmtId="0" fontId="7" fillId="2" borderId="0" xfId="0" applyFont="1" applyFill="1"/>
    <xf numFmtId="168" fontId="7" fillId="2" borderId="0" xfId="0" applyNumberFormat="1" applyFont="1" applyFill="1" applyAlignment="1"/>
    <xf numFmtId="164" fontId="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0" fontId="9" fillId="2" borderId="0" xfId="0" applyFont="1" applyFill="1"/>
    <xf numFmtId="169" fontId="9" fillId="2" borderId="0" xfId="0" applyNumberFormat="1" applyFont="1" applyFill="1"/>
    <xf numFmtId="0" fontId="7" fillId="2" borderId="3" xfId="0" applyFont="1" applyFill="1" applyBorder="1"/>
    <xf numFmtId="168" fontId="7" fillId="2" borderId="3" xfId="0" applyNumberFormat="1" applyFont="1" applyFill="1" applyBorder="1" applyAlignment="1"/>
    <xf numFmtId="164" fontId="7" fillId="2" borderId="3" xfId="1" applyNumberFormat="1" applyFont="1" applyFill="1" applyBorder="1" applyAlignment="1"/>
    <xf numFmtId="0" fontId="15" fillId="2" borderId="3" xfId="0" applyFont="1" applyFill="1" applyBorder="1" applyAlignment="1">
      <alignment horizontal="right"/>
    </xf>
    <xf numFmtId="0" fontId="8" fillId="2" borderId="0" xfId="0" applyFont="1" applyFill="1" applyBorder="1"/>
    <xf numFmtId="168" fontId="8" fillId="2" borderId="0" xfId="0" applyNumberFormat="1" applyFont="1" applyFill="1" applyBorder="1"/>
    <xf numFmtId="164" fontId="8" fillId="2" borderId="0" xfId="1" applyNumberFormat="1" applyFont="1" applyFill="1" applyBorder="1" applyAlignment="1">
      <alignment horizontal="right"/>
    </xf>
    <xf numFmtId="0" fontId="14" fillId="2" borderId="0" xfId="0" applyFont="1" applyFill="1" applyAlignment="1">
      <alignment horizontal="right" vertical="center"/>
    </xf>
    <xf numFmtId="0" fontId="10" fillId="2" borderId="0" xfId="0" applyFont="1" applyFill="1" applyBorder="1"/>
    <xf numFmtId="168" fontId="7" fillId="2" borderId="0" xfId="0" applyNumberFormat="1" applyFont="1" applyFill="1"/>
    <xf numFmtId="164" fontId="7" fillId="2" borderId="0" xfId="1" applyNumberFormat="1" applyFont="1" applyFill="1" applyAlignment="1">
      <alignment horizontal="right"/>
    </xf>
    <xf numFmtId="168" fontId="7" fillId="2" borderId="3" xfId="0" applyNumberFormat="1" applyFont="1" applyFill="1" applyBorder="1"/>
    <xf numFmtId="164" fontId="7" fillId="2" borderId="3" xfId="1" applyNumberFormat="1" applyFont="1" applyFill="1" applyBorder="1" applyAlignment="1">
      <alignment horizontal="right"/>
    </xf>
    <xf numFmtId="0" fontId="8" fillId="2" borderId="0" xfId="0" applyFont="1" applyFill="1" applyBorder="1" applyAlignment="1" applyProtection="1">
      <alignment horizontal="left" vertical="center"/>
    </xf>
    <xf numFmtId="164" fontId="8" fillId="2" borderId="0" xfId="1" applyNumberFormat="1" applyFont="1" applyFill="1" applyBorder="1"/>
    <xf numFmtId="3" fontId="8" fillId="2" borderId="0" xfId="1" applyNumberFormat="1" applyFont="1" applyFill="1" applyBorder="1"/>
    <xf numFmtId="164" fontId="7" fillId="2" borderId="0" xfId="1" applyNumberFormat="1" applyFont="1" applyFill="1"/>
    <xf numFmtId="3" fontId="7" fillId="2" borderId="0" xfId="1" applyNumberFormat="1" applyFont="1" applyFill="1"/>
    <xf numFmtId="0" fontId="7" fillId="2" borderId="1" xfId="0" applyFont="1" applyFill="1" applyBorder="1"/>
    <xf numFmtId="168" fontId="7" fillId="2" borderId="1" xfId="0" applyNumberFormat="1" applyFont="1" applyFill="1" applyBorder="1"/>
    <xf numFmtId="164" fontId="7" fillId="2" borderId="1" xfId="1" applyNumberFormat="1" applyFont="1" applyFill="1" applyBorder="1"/>
    <xf numFmtId="3" fontId="7" fillId="2" borderId="1" xfId="1" applyNumberFormat="1" applyFont="1" applyFill="1" applyBorder="1"/>
    <xf numFmtId="0" fontId="15" fillId="2" borderId="1" xfId="0" applyFont="1" applyFill="1" applyBorder="1" applyAlignment="1">
      <alignment horizontal="right"/>
    </xf>
    <xf numFmtId="0" fontId="15" fillId="2" borderId="0" xfId="6" applyFont="1" applyFill="1" applyAlignment="1">
      <alignment horizontal="right"/>
    </xf>
    <xf numFmtId="0" fontId="17" fillId="2" borderId="0" xfId="6" applyFont="1" applyFill="1"/>
    <xf numFmtId="0" fontId="11" fillId="2" borderId="0" xfId="0" applyFont="1" applyFill="1" applyAlignment="1"/>
    <xf numFmtId="1" fontId="0" fillId="2" borderId="0" xfId="0" applyNumberFormat="1" applyFont="1" applyFill="1"/>
    <xf numFmtId="0" fontId="11" fillId="2" borderId="0" xfId="0" applyFont="1" applyFill="1"/>
    <xf numFmtId="0" fontId="5" fillId="2" borderId="0" xfId="3" applyFont="1" applyFill="1" applyBorder="1" applyAlignment="1">
      <alignment vertical="center" wrapText="1"/>
    </xf>
    <xf numFmtId="0" fontId="6" fillId="2" borderId="0" xfId="6" applyFont="1" applyFill="1"/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3" applyFont="1" applyFill="1" applyBorder="1" applyAlignment="1">
      <alignment horizontal="right" vertical="center"/>
    </xf>
    <xf numFmtId="0" fontId="13" fillId="2" borderId="1" xfId="3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12.2: Percentage of water consumption in Male', 2013</a:t>
            </a:r>
          </a:p>
        </c:rich>
      </c:tx>
      <c:layout>
        <c:manualLayout>
          <c:xMode val="edge"/>
          <c:yMode val="edge"/>
          <c:x val="9.5569797961301342E-2"/>
          <c:y val="3.85150057017008E-2"/>
        </c:manualLayout>
      </c:layout>
    </c:title>
    <c:plotArea>
      <c:layout>
        <c:manualLayout>
          <c:layoutTarget val="inner"/>
          <c:xMode val="edge"/>
          <c:yMode val="edge"/>
          <c:x val="0.32392819561720576"/>
          <c:y val="0.2403704046283362"/>
          <c:w val="0.39894983530180828"/>
          <c:h val="0.72533162023499564"/>
        </c:manualLayout>
      </c:layout>
      <c:pieChart>
        <c:varyColors val="1"/>
        <c:ser>
          <c:idx val="0"/>
          <c:order val="0"/>
          <c:dPt>
            <c:idx val="2"/>
            <c:spPr>
              <a:solidFill>
                <a:schemeClr val="tx1">
                  <a:lumMod val="50000"/>
                  <a:lumOff val="50000"/>
                </a:schemeClr>
              </a:solidFill>
            </c:spPr>
          </c:dPt>
          <c:dLbls>
            <c:dLbl>
              <c:idx val="0"/>
              <c:layout>
                <c:manualLayout>
                  <c:x val="-0.13778309522686916"/>
                  <c:y val="-0.24055481855911798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CatName val="1"/>
              <c:showPercent val="1"/>
            </c:dLbl>
            <c:dLbl>
              <c:idx val="1"/>
              <c:layout>
                <c:manualLayout>
                  <c:x val="-2.0923900231033993E-2"/>
                  <c:y val="1.2469839380777977E-2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CatName val="1"/>
              <c:showPercent val="1"/>
            </c:dLbl>
            <c:dLbl>
              <c:idx val="2"/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</c:dLbl>
            <c:dLbl>
              <c:idx val="3"/>
              <c:layout>
                <c:manualLayout>
                  <c:x val="0.12898828327596781"/>
                  <c:y val="1.1554100353068279E-2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'12.8'!$Y$28:$Y$31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'12.8'!$Z$28:$Z$31</c:f>
              <c:numCache>
                <c:formatCode>0</c:formatCode>
                <c:ptCount val="4"/>
                <c:pt idx="0">
                  <c:v>81.434627477763883</c:v>
                </c:pt>
                <c:pt idx="1">
                  <c:v>8.6110823719206468</c:v>
                </c:pt>
                <c:pt idx="2">
                  <c:v>9.9011593689189166</c:v>
                </c:pt>
                <c:pt idx="3">
                  <c:v>5.3130781396563576E-2</c:v>
                </c:pt>
              </c:numCache>
            </c:numRef>
          </c:val>
        </c:ser>
        <c:firstSliceAng val="0"/>
      </c:pieChart>
    </c:plotArea>
    <c:plotVisOnly val="1"/>
    <c:dispBlanksAs val="zero"/>
  </c:chart>
  <c:printSettings>
    <c:headerFooter alignWithMargins="0"/>
    <c:pageMargins b="1" l="0.75000000000000333" r="0.75000000000000333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883472</xdr:colOff>
      <xdr:row>21</xdr:row>
      <xdr:rowOff>145679</xdr:rowOff>
    </xdr:from>
    <xdr:to>
      <xdr:col>11</xdr:col>
      <xdr:colOff>388172</xdr:colOff>
      <xdr:row>37</xdr:row>
      <xdr:rowOff>84996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AD35"/>
  <sheetViews>
    <sheetView tabSelected="1" workbookViewId="0">
      <selection activeCell="P1" sqref="P1"/>
    </sheetView>
  </sheetViews>
  <sheetFormatPr defaultColWidth="9.109375" defaultRowHeight="14.4"/>
  <cols>
    <col min="1" max="1" width="23.109375" style="1" customWidth="1"/>
    <col min="2" max="3" width="0" style="1" hidden="1" customWidth="1"/>
    <col min="4" max="4" width="8.33203125" style="1" hidden="1" customWidth="1"/>
    <col min="5" max="13" width="8.33203125" style="1" customWidth="1"/>
    <col min="14" max="14" width="26.44140625" style="1" customWidth="1"/>
    <col min="15" max="15" width="2.44140625" style="1" customWidth="1"/>
    <col min="16" max="16384" width="9.109375" style="1"/>
  </cols>
  <sheetData>
    <row r="2" spans="1:19" ht="19.2">
      <c r="A2" s="48" t="s">
        <v>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9">
      <c r="A3" s="49" t="s">
        <v>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9" s="3" customFormat="1" ht="15.75" customHeight="1">
      <c r="A4" s="50" t="s">
        <v>6</v>
      </c>
      <c r="B4" s="50"/>
      <c r="C4" s="50"/>
      <c r="D4" s="50"/>
      <c r="E4" s="50"/>
      <c r="F4" s="50"/>
      <c r="G4" s="50"/>
      <c r="H4" s="50"/>
      <c r="I4" s="51" t="s">
        <v>7</v>
      </c>
      <c r="J4" s="51"/>
      <c r="K4" s="51"/>
      <c r="L4" s="51"/>
      <c r="M4" s="51"/>
      <c r="N4" s="51"/>
      <c r="O4" s="46"/>
      <c r="P4" s="46"/>
      <c r="Q4" s="46"/>
      <c r="R4" s="46"/>
      <c r="S4" s="2"/>
    </row>
    <row r="5" spans="1:19" s="7" customFormat="1" ht="18" customHeight="1">
      <c r="A5" s="4" t="s">
        <v>8</v>
      </c>
      <c r="B5" s="5">
        <v>2001</v>
      </c>
      <c r="C5" s="5">
        <v>2002</v>
      </c>
      <c r="D5" s="5">
        <v>2004</v>
      </c>
      <c r="E5" s="5">
        <v>2005</v>
      </c>
      <c r="F5" s="5">
        <v>2006</v>
      </c>
      <c r="G5" s="5">
        <v>2007</v>
      </c>
      <c r="H5" s="5">
        <v>2008</v>
      </c>
      <c r="I5" s="5">
        <v>2009</v>
      </c>
      <c r="J5" s="5">
        <v>2010</v>
      </c>
      <c r="K5" s="5">
        <v>2011</v>
      </c>
      <c r="L5" s="5">
        <v>2012</v>
      </c>
      <c r="M5" s="5">
        <v>2013</v>
      </c>
      <c r="N5" s="6" t="s">
        <v>3</v>
      </c>
    </row>
    <row r="6" spans="1:19" s="7" customFormat="1" ht="20.25" customHeight="1">
      <c r="A6" s="8" t="s">
        <v>9</v>
      </c>
      <c r="B6" s="9">
        <f t="shared" ref="B6:I6" si="0">SUM(B7:B10)</f>
        <v>1175.3</v>
      </c>
      <c r="C6" s="9">
        <f t="shared" si="0"/>
        <v>1254.5999999999999</v>
      </c>
      <c r="D6" s="10">
        <f t="shared" si="0"/>
        <v>1506.4500000000003</v>
      </c>
      <c r="E6" s="10">
        <f t="shared" si="0"/>
        <v>1842.7439999999999</v>
      </c>
      <c r="F6" s="10">
        <f t="shared" si="0"/>
        <v>2133.4390000000003</v>
      </c>
      <c r="G6" s="10">
        <f t="shared" si="0"/>
        <v>2369.7429999999999</v>
      </c>
      <c r="H6" s="10">
        <f t="shared" si="0"/>
        <v>2753.7502068822714</v>
      </c>
      <c r="I6" s="10">
        <f t="shared" si="0"/>
        <v>3122.326</v>
      </c>
      <c r="J6" s="10">
        <f>SUM(J7:J10)</f>
        <v>3466.9183800000001</v>
      </c>
      <c r="K6" s="10">
        <f>SUM(K7:K10)</f>
        <v>3852.5548200000003</v>
      </c>
      <c r="L6" s="10">
        <f>SUM(L7:L10)</f>
        <v>4240.0155199999999</v>
      </c>
      <c r="M6" s="10">
        <f>SUM(M7:M10)</f>
        <v>4509.2316299999993</v>
      </c>
      <c r="N6" s="11" t="s">
        <v>10</v>
      </c>
    </row>
    <row r="7" spans="1:19" s="16" customFormat="1" ht="20.25" customHeight="1">
      <c r="A7" s="12" t="s">
        <v>11</v>
      </c>
      <c r="B7" s="13">
        <v>773.7</v>
      </c>
      <c r="C7" s="13">
        <v>860.7</v>
      </c>
      <c r="D7" s="14">
        <v>1064.4100000000001</v>
      </c>
      <c r="E7" s="14">
        <v>1296.5999999999999</v>
      </c>
      <c r="F7" s="14">
        <f>1536551/1000</f>
        <v>1536.5509999999999</v>
      </c>
      <c r="G7" s="14">
        <f>1800629/1000</f>
        <v>1800.6289999999999</v>
      </c>
      <c r="H7" s="14">
        <f>2149319.989999/1000</f>
        <v>2149.319989999</v>
      </c>
      <c r="I7" s="14">
        <v>2463.373</v>
      </c>
      <c r="J7" s="14">
        <v>2785.8859500000003</v>
      </c>
      <c r="K7" s="14">
        <v>3078.5709700000002</v>
      </c>
      <c r="L7" s="14">
        <v>3458.8018999999999</v>
      </c>
      <c r="M7" s="14">
        <f>3672075.98/1000</f>
        <v>3672.0759800000001</v>
      </c>
      <c r="N7" s="15" t="s">
        <v>12</v>
      </c>
      <c r="Q7" s="17"/>
    </row>
    <row r="8" spans="1:19" s="16" customFormat="1" ht="20.25" customHeight="1">
      <c r="A8" s="12" t="s">
        <v>13</v>
      </c>
      <c r="B8" s="13">
        <v>203.6</v>
      </c>
      <c r="C8" s="13">
        <v>216.6</v>
      </c>
      <c r="D8" s="14">
        <v>220.21</v>
      </c>
      <c r="E8" s="14">
        <v>292.8</v>
      </c>
      <c r="F8" s="14">
        <f>302364/1000</f>
        <v>302.36399999999998</v>
      </c>
      <c r="G8" s="14">
        <f>288070/1000</f>
        <v>288.07</v>
      </c>
      <c r="H8" s="14">
        <f>311353.83/1000</f>
        <v>311.35383000000002</v>
      </c>
      <c r="I8" s="14">
        <v>325.00799999999998</v>
      </c>
      <c r="J8" s="14">
        <v>332.86784</v>
      </c>
      <c r="K8" s="14">
        <v>318.73822999999999</v>
      </c>
      <c r="L8" s="14">
        <v>367.12387999999999</v>
      </c>
      <c r="M8" s="14">
        <f>388293.65/1000</f>
        <v>388.29365000000001</v>
      </c>
      <c r="N8" s="15" t="s">
        <v>14</v>
      </c>
      <c r="Q8" s="17"/>
    </row>
    <row r="9" spans="1:19" s="16" customFormat="1" ht="20.25" customHeight="1">
      <c r="A9" s="12" t="s">
        <v>15</v>
      </c>
      <c r="B9" s="13">
        <v>123.2</v>
      </c>
      <c r="C9" s="13">
        <v>116.6</v>
      </c>
      <c r="D9" s="14">
        <f>173.39</f>
        <v>173.39</v>
      </c>
      <c r="E9" s="14">
        <f>203644/1000</f>
        <v>203.64400000000001</v>
      </c>
      <c r="F9" s="14">
        <f>+(215738+26936+9166)/1000</f>
        <v>251.84</v>
      </c>
      <c r="G9" s="14">
        <f>242799/1000</f>
        <v>242.79900000000001</v>
      </c>
      <c r="H9" s="14">
        <f>257761.626883271/1000</f>
        <v>257.76162688327099</v>
      </c>
      <c r="I9" s="14">
        <v>294.50900000000001</v>
      </c>
      <c r="J9" s="14">
        <v>332.63451000000003</v>
      </c>
      <c r="K9" s="14">
        <f>383.40205+67.17179</f>
        <v>450.57383999999996</v>
      </c>
      <c r="L9" s="14">
        <v>412.77303000000001</v>
      </c>
      <c r="M9" s="14">
        <f>446466.21/1000</f>
        <v>446.46621000000005</v>
      </c>
      <c r="N9" s="15" t="s">
        <v>16</v>
      </c>
      <c r="Q9" s="17"/>
    </row>
    <row r="10" spans="1:19" s="16" customFormat="1" ht="20.25" customHeight="1">
      <c r="A10" s="18" t="s">
        <v>17</v>
      </c>
      <c r="B10" s="19">
        <v>74.8</v>
      </c>
      <c r="C10" s="19">
        <v>60.7</v>
      </c>
      <c r="D10" s="20">
        <v>48.44</v>
      </c>
      <c r="E10" s="20">
        <v>49.7</v>
      </c>
      <c r="F10" s="20">
        <f>42684/1000</f>
        <v>42.683999999999997</v>
      </c>
      <c r="G10" s="20">
        <f>38245/1000</f>
        <v>38.244999999999997</v>
      </c>
      <c r="H10" s="20">
        <f>35314.76/1000</f>
        <v>35.31476</v>
      </c>
      <c r="I10" s="20">
        <v>39.436</v>
      </c>
      <c r="J10" s="20">
        <v>15.53008</v>
      </c>
      <c r="K10" s="20">
        <f>4.67178</f>
        <v>4.67178</v>
      </c>
      <c r="L10" s="20">
        <v>1.31671</v>
      </c>
      <c r="M10" s="20">
        <f>2395.79/1000</f>
        <v>2.3957899999999999</v>
      </c>
      <c r="N10" s="21" t="s">
        <v>18</v>
      </c>
      <c r="Q10" s="17"/>
    </row>
    <row r="11" spans="1:19" s="26" customFormat="1" ht="20.25" customHeight="1">
      <c r="A11" s="22" t="s">
        <v>19</v>
      </c>
      <c r="B11" s="23">
        <f t="shared" ref="B11:I11" si="1">SUM(B12:B15)</f>
        <v>100.00000000000003</v>
      </c>
      <c r="C11" s="23">
        <f t="shared" si="1"/>
        <v>100.00000000000001</v>
      </c>
      <c r="D11" s="24">
        <f t="shared" si="1"/>
        <v>100</v>
      </c>
      <c r="E11" s="24">
        <f t="shared" si="1"/>
        <v>100</v>
      </c>
      <c r="F11" s="24">
        <f t="shared" si="1"/>
        <v>99.999999999999972</v>
      </c>
      <c r="G11" s="24">
        <f t="shared" si="1"/>
        <v>100</v>
      </c>
      <c r="H11" s="24">
        <f t="shared" si="1"/>
        <v>99.999999999999986</v>
      </c>
      <c r="I11" s="24">
        <f t="shared" si="1"/>
        <v>100</v>
      </c>
      <c r="J11" s="24">
        <f>SUM(J12:J15)</f>
        <v>100</v>
      </c>
      <c r="K11" s="24">
        <f>SUM(K12:K15)</f>
        <v>100</v>
      </c>
      <c r="L11" s="24">
        <f>SUM(L12:L15)</f>
        <v>99.999999999999986</v>
      </c>
      <c r="M11" s="24">
        <f>SUM(M12:M15)</f>
        <v>100</v>
      </c>
      <c r="N11" s="25" t="s">
        <v>0</v>
      </c>
      <c r="Q11" s="17"/>
    </row>
    <row r="12" spans="1:19" s="16" customFormat="1" ht="20.25" customHeight="1">
      <c r="A12" s="12" t="s">
        <v>11</v>
      </c>
      <c r="B12" s="27">
        <f t="shared" ref="B12:L12" si="2">B7/B6*100</f>
        <v>65.830000850846602</v>
      </c>
      <c r="C12" s="27">
        <f t="shared" si="2"/>
        <v>68.603538976566242</v>
      </c>
      <c r="D12" s="28">
        <f t="shared" si="2"/>
        <v>70.65684224501311</v>
      </c>
      <c r="E12" s="28">
        <f>E7/E6*100</f>
        <v>70.36245946262747</v>
      </c>
      <c r="F12" s="28">
        <f t="shared" si="2"/>
        <v>72.022260772396109</v>
      </c>
      <c r="G12" s="28">
        <f t="shared" si="2"/>
        <v>75.98414680410491</v>
      </c>
      <c r="H12" s="28">
        <f t="shared" si="2"/>
        <v>78.050651966447148</v>
      </c>
      <c r="I12" s="28">
        <f t="shared" si="2"/>
        <v>78.895445254595458</v>
      </c>
      <c r="J12" s="28">
        <f t="shared" si="2"/>
        <v>80.356260074400723</v>
      </c>
      <c r="K12" s="28">
        <f t="shared" si="2"/>
        <v>79.909854988124479</v>
      </c>
      <c r="L12" s="28">
        <f t="shared" si="2"/>
        <v>81.575217913353299</v>
      </c>
      <c r="M12" s="28">
        <f>M7/M6*100</f>
        <v>81.434627477763883</v>
      </c>
      <c r="N12" s="15" t="s">
        <v>12</v>
      </c>
      <c r="Q12" s="17"/>
    </row>
    <row r="13" spans="1:19" s="16" customFormat="1" ht="20.25" customHeight="1">
      <c r="A13" s="12" t="s">
        <v>13</v>
      </c>
      <c r="B13" s="27">
        <f t="shared" ref="B13:L13" si="3">B8/B6*100</f>
        <v>17.323236620437335</v>
      </c>
      <c r="C13" s="27">
        <f t="shared" si="3"/>
        <v>17.264466762314683</v>
      </c>
      <c r="D13" s="28">
        <f t="shared" si="3"/>
        <v>14.617810083308438</v>
      </c>
      <c r="E13" s="28">
        <f t="shared" si="3"/>
        <v>15.889347625063493</v>
      </c>
      <c r="F13" s="28">
        <f>F8/F6*100</f>
        <v>14.17261051288553</v>
      </c>
      <c r="G13" s="28">
        <f t="shared" si="3"/>
        <v>12.15617052144473</v>
      </c>
      <c r="H13" s="28">
        <f t="shared" si="3"/>
        <v>11.306538596778072</v>
      </c>
      <c r="I13" s="28">
        <f t="shared" si="3"/>
        <v>10.409162912520985</v>
      </c>
      <c r="J13" s="28">
        <f t="shared" si="3"/>
        <v>9.6012597792971395</v>
      </c>
      <c r="K13" s="28">
        <f t="shared" si="3"/>
        <v>8.2734249061250207</v>
      </c>
      <c r="L13" s="28">
        <f t="shared" si="3"/>
        <v>8.6585503819099223</v>
      </c>
      <c r="M13" s="28">
        <f>M8/M6*100</f>
        <v>8.6110823719206468</v>
      </c>
      <c r="N13" s="15" t="s">
        <v>14</v>
      </c>
      <c r="Q13" s="17"/>
    </row>
    <row r="14" spans="1:19" s="16" customFormat="1" ht="20.25" customHeight="1">
      <c r="A14" s="12" t="s">
        <v>15</v>
      </c>
      <c r="B14" s="27">
        <f t="shared" ref="B14:H14" si="4">B9/B6*100</f>
        <v>10.482430017867779</v>
      </c>
      <c r="C14" s="27">
        <f t="shared" si="4"/>
        <v>9.293798820341145</v>
      </c>
      <c r="D14" s="28">
        <f t="shared" si="4"/>
        <v>11.509841016960401</v>
      </c>
      <c r="E14" s="28">
        <f t="shared" si="4"/>
        <v>11.051128100267862</v>
      </c>
      <c r="F14" s="28">
        <f t="shared" si="4"/>
        <v>11.804415312554047</v>
      </c>
      <c r="G14" s="28">
        <f t="shared" si="4"/>
        <v>10.245794586163985</v>
      </c>
      <c r="H14" s="28">
        <f t="shared" si="4"/>
        <v>9.3603852026615879</v>
      </c>
      <c r="I14" s="28">
        <f>I9/I6*100</f>
        <v>9.4323590810184452</v>
      </c>
      <c r="J14" s="28">
        <f>J9/J6*100</f>
        <v>9.5945295948963185</v>
      </c>
      <c r="K14" s="28">
        <f>K9/K6*100</f>
        <v>11.695455640524797</v>
      </c>
      <c r="L14" s="28">
        <f>L9/L6*100</f>
        <v>9.735177337275406</v>
      </c>
      <c r="M14" s="28">
        <f>M9/M6*100</f>
        <v>9.9011593689189166</v>
      </c>
      <c r="N14" s="15" t="s">
        <v>16</v>
      </c>
      <c r="Q14" s="17"/>
    </row>
    <row r="15" spans="1:19" s="16" customFormat="1" ht="20.25" customHeight="1">
      <c r="A15" s="18" t="s">
        <v>17</v>
      </c>
      <c r="B15" s="29">
        <f t="shared" ref="B15:H15" si="5">B10/B6*100</f>
        <v>6.3643325108482944</v>
      </c>
      <c r="C15" s="29">
        <f t="shared" si="5"/>
        <v>4.8381954407779375</v>
      </c>
      <c r="D15" s="30">
        <f t="shared" si="5"/>
        <v>3.2155066547180451</v>
      </c>
      <c r="E15" s="30">
        <f t="shared" si="5"/>
        <v>2.6970648120411735</v>
      </c>
      <c r="F15" s="30">
        <f t="shared" si="5"/>
        <v>2.0007134021642985</v>
      </c>
      <c r="G15" s="30">
        <f t="shared" si="5"/>
        <v>1.6138880882863669</v>
      </c>
      <c r="H15" s="30">
        <f t="shared" si="5"/>
        <v>1.2824242341131771</v>
      </c>
      <c r="I15" s="30">
        <f>I10/I6*100</f>
        <v>1.2630327518651159</v>
      </c>
      <c r="J15" s="30">
        <f>J10/J6*100</f>
        <v>0.44795055140582801</v>
      </c>
      <c r="K15" s="30">
        <f>K10/K6*100</f>
        <v>0.12126446522570183</v>
      </c>
      <c r="L15" s="30">
        <f>L10/L6*100</f>
        <v>3.1054367461371937E-2</v>
      </c>
      <c r="M15" s="30">
        <f>M10/M6*100</f>
        <v>5.3130781396563576E-2</v>
      </c>
      <c r="N15" s="21" t="s">
        <v>18</v>
      </c>
      <c r="Q15" s="17"/>
    </row>
    <row r="16" spans="1:19" s="26" customFormat="1" ht="20.25" customHeight="1">
      <c r="A16" s="31" t="s">
        <v>1</v>
      </c>
      <c r="B16" s="23">
        <v>18.501714055253064</v>
      </c>
      <c r="C16" s="23">
        <f>(C6-B6)/B6*100</f>
        <v>6.7472134774100194</v>
      </c>
      <c r="D16" s="32">
        <v>13.266917293233101</v>
      </c>
      <c r="E16" s="33">
        <f>(E6-D6)/D6*100</f>
        <v>22.323608483520832</v>
      </c>
      <c r="F16" s="33">
        <f>(F6-E6)/E6*100</f>
        <v>15.775115805559556</v>
      </c>
      <c r="G16" s="33">
        <f>(G6-F6)/F6*100</f>
        <v>11.076201381900285</v>
      </c>
      <c r="H16" s="33">
        <f>(H6-G6)/G6*100</f>
        <v>16.204592940342959</v>
      </c>
      <c r="I16" s="33">
        <f>(I6-H6)/H6*100</f>
        <v>13.384503510760371</v>
      </c>
      <c r="J16" s="33">
        <f t="shared" ref="I16:L20" si="6">(J6-I6)/I6*100</f>
        <v>11.036399786569373</v>
      </c>
      <c r="K16" s="33">
        <f t="shared" si="6"/>
        <v>11.123320416905811</v>
      </c>
      <c r="L16" s="33">
        <f t="shared" si="6"/>
        <v>10.057240405472013</v>
      </c>
      <c r="M16" s="33">
        <f>(M6-L6)/L6*100</f>
        <v>6.3494133153550196</v>
      </c>
      <c r="N16" s="25" t="s">
        <v>2</v>
      </c>
      <c r="Q16" s="17"/>
    </row>
    <row r="17" spans="1:30" s="16" customFormat="1" ht="20.25" customHeight="1">
      <c r="A17" s="12" t="s">
        <v>11</v>
      </c>
      <c r="B17" s="27">
        <v>23.653508070960523</v>
      </c>
      <c r="C17" s="27">
        <f>(C7-B7)/B7*100</f>
        <v>11.244668476153548</v>
      </c>
      <c r="D17" s="34">
        <v>15.383197831978329</v>
      </c>
      <c r="E17" s="35">
        <f t="shared" ref="E17:H20" si="7">(E7-D7)/D7*100</f>
        <v>21.81396266476262</v>
      </c>
      <c r="F17" s="35">
        <f t="shared" si="7"/>
        <v>18.506169983032549</v>
      </c>
      <c r="G17" s="35">
        <f t="shared" si="7"/>
        <v>17.186412946918129</v>
      </c>
      <c r="H17" s="35">
        <f>(H7-G7)/G7*100</f>
        <v>19.364954690777505</v>
      </c>
      <c r="I17" s="35">
        <f t="shared" si="6"/>
        <v>14.611738199166249</v>
      </c>
      <c r="J17" s="35">
        <f t="shared" si="6"/>
        <v>13.092331124843874</v>
      </c>
      <c r="K17" s="35">
        <f t="shared" si="6"/>
        <v>10.50599433189287</v>
      </c>
      <c r="L17" s="35">
        <f t="shared" si="6"/>
        <v>12.350890517232406</v>
      </c>
      <c r="M17" s="35">
        <f>(M7-L7)/L7*100</f>
        <v>6.1661259061989115</v>
      </c>
      <c r="N17" s="15" t="s">
        <v>12</v>
      </c>
      <c r="Q17" s="17"/>
    </row>
    <row r="18" spans="1:30" s="16" customFormat="1" ht="20.25" customHeight="1">
      <c r="A18" s="12" t="s">
        <v>13</v>
      </c>
      <c r="B18" s="27">
        <v>6.8205666316894025</v>
      </c>
      <c r="C18" s="27">
        <f>(C8-B8)/B8*100</f>
        <v>6.3850687622789781</v>
      </c>
      <c r="D18" s="34">
        <v>1.8076745261211262</v>
      </c>
      <c r="E18" s="35">
        <f t="shared" si="7"/>
        <v>32.963988919667592</v>
      </c>
      <c r="F18" s="35">
        <f t="shared" si="7"/>
        <v>3.2663934426229382</v>
      </c>
      <c r="G18" s="35">
        <f t="shared" si="7"/>
        <v>-4.7274146393089067</v>
      </c>
      <c r="H18" s="35">
        <f t="shared" si="7"/>
        <v>8.0826986496337785</v>
      </c>
      <c r="I18" s="35">
        <f t="shared" si="6"/>
        <v>4.3854189942034649</v>
      </c>
      <c r="J18" s="35">
        <f t="shared" si="6"/>
        <v>2.4183527790085231</v>
      </c>
      <c r="K18" s="35">
        <f t="shared" si="6"/>
        <v>-4.2448107933767387</v>
      </c>
      <c r="L18" s="35">
        <f>(L8-K8)/K8*100</f>
        <v>15.180372307394691</v>
      </c>
      <c r="M18" s="35">
        <f>(M8-L8)/L8*100</f>
        <v>5.7663832709547602</v>
      </c>
      <c r="N18" s="15" t="s">
        <v>14</v>
      </c>
    </row>
    <row r="19" spans="1:30" s="16" customFormat="1" ht="20.25" customHeight="1">
      <c r="A19" s="12" t="s">
        <v>20</v>
      </c>
      <c r="B19" s="27">
        <v>8.260105448154663</v>
      </c>
      <c r="C19" s="27">
        <f>(C9-B9)/B9*100</f>
        <v>-5.3571428571428639</v>
      </c>
      <c r="D19" s="34">
        <v>22.277856135401954</v>
      </c>
      <c r="E19" s="35">
        <f t="shared" si="7"/>
        <v>17.448526443278173</v>
      </c>
      <c r="F19" s="35">
        <f t="shared" si="7"/>
        <v>23.666791066763565</v>
      </c>
      <c r="G19" s="35">
        <f t="shared" si="7"/>
        <v>-3.5899777636594652</v>
      </c>
      <c r="H19" s="35">
        <f t="shared" si="7"/>
        <v>6.1625570464750616</v>
      </c>
      <c r="I19" s="35">
        <f t="shared" si="6"/>
        <v>14.256339689138564</v>
      </c>
      <c r="J19" s="35">
        <f t="shared" si="6"/>
        <v>12.945448186642858</v>
      </c>
      <c r="K19" s="35">
        <f t="shared" si="6"/>
        <v>35.456131716459581</v>
      </c>
      <c r="L19" s="35">
        <f t="shared" si="6"/>
        <v>-8.389481732894204</v>
      </c>
      <c r="M19" s="35">
        <f>(M9-L9)/L9*100</f>
        <v>8.1626408585851742</v>
      </c>
      <c r="N19" s="15" t="s">
        <v>16</v>
      </c>
    </row>
    <row r="20" spans="1:30" s="16" customFormat="1" ht="20.25" customHeight="1">
      <c r="A20" s="36" t="s">
        <v>17</v>
      </c>
      <c r="B20" s="37">
        <v>21.231766612641806</v>
      </c>
      <c r="C20" s="37">
        <f>(C10-B10)/B10*100</f>
        <v>-18.850267379679135</v>
      </c>
      <c r="D20" s="38">
        <v>-1.9433198380566821</v>
      </c>
      <c r="E20" s="39">
        <f t="shared" si="7"/>
        <v>2.6011560693641727</v>
      </c>
      <c r="F20" s="39">
        <f>(F10-E10)/E10*100</f>
        <v>-14.116700201207252</v>
      </c>
      <c r="G20" s="39">
        <f>(G10-F10)/F10*100</f>
        <v>-10.399681379439603</v>
      </c>
      <c r="H20" s="39">
        <f>(H10-G10)/G10*100</f>
        <v>-7.6617597071512558</v>
      </c>
      <c r="I20" s="39">
        <f t="shared" si="6"/>
        <v>11.670021260232266</v>
      </c>
      <c r="J20" s="39">
        <f t="shared" si="6"/>
        <v>-60.619535449842786</v>
      </c>
      <c r="K20" s="39">
        <f t="shared" si="6"/>
        <v>-69.917862625305219</v>
      </c>
      <c r="L20" s="39">
        <f t="shared" si="6"/>
        <v>-71.815667689831287</v>
      </c>
      <c r="M20" s="39">
        <f>(M10-L10)/L10*100</f>
        <v>81.952745858997034</v>
      </c>
      <c r="N20" s="40" t="s">
        <v>18</v>
      </c>
    </row>
    <row r="21" spans="1:30" s="16" customFormat="1" ht="15.6">
      <c r="A21" s="47" t="s">
        <v>21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41" t="s">
        <v>22</v>
      </c>
    </row>
    <row r="22" spans="1:30" s="42" customFormat="1" ht="13.2">
      <c r="O22" s="43"/>
      <c r="P22" s="16"/>
      <c r="Q22" s="16"/>
      <c r="R22" s="16"/>
      <c r="S22" s="16"/>
      <c r="T22" s="16"/>
      <c r="U22" s="16"/>
      <c r="V22" s="16"/>
      <c r="Y22" s="16"/>
      <c r="Z22" s="16"/>
      <c r="AA22" s="16"/>
      <c r="AB22" s="16"/>
      <c r="AC22" s="16"/>
      <c r="AD22" s="16"/>
    </row>
    <row r="23" spans="1:30" s="42" customFormat="1">
      <c r="O23" s="1"/>
      <c r="P23" s="16"/>
      <c r="Q23" s="16"/>
      <c r="R23" s="16"/>
      <c r="S23" s="16"/>
      <c r="T23" s="16"/>
      <c r="U23" s="16"/>
      <c r="V23" s="16"/>
      <c r="Y23" s="16"/>
      <c r="Z23" s="16"/>
      <c r="AA23" s="16"/>
      <c r="AB23" s="16"/>
      <c r="AC23" s="16"/>
      <c r="AD23" s="16"/>
    </row>
    <row r="24" spans="1:30" s="42" customFormat="1">
      <c r="O24" s="1"/>
      <c r="P24" s="16"/>
      <c r="Q24" s="16"/>
      <c r="R24" s="16"/>
      <c r="S24" s="16"/>
      <c r="T24" s="16"/>
      <c r="U24" s="16"/>
      <c r="V24" s="16"/>
      <c r="Y24" s="16"/>
      <c r="Z24" s="16"/>
      <c r="AA24" s="16"/>
      <c r="AB24" s="16"/>
      <c r="AC24" s="16"/>
      <c r="AD24" s="16"/>
    </row>
    <row r="25" spans="1:30">
      <c r="N25" s="42"/>
      <c r="P25" s="16"/>
      <c r="Q25" s="16"/>
      <c r="R25" s="16"/>
      <c r="S25" s="16"/>
      <c r="T25" s="16"/>
      <c r="U25" s="16"/>
      <c r="V25" s="16"/>
      <c r="Y25" s="16"/>
      <c r="Z25" s="16"/>
      <c r="AA25" s="16"/>
      <c r="AB25" s="16"/>
      <c r="AC25" s="16"/>
      <c r="AD25" s="16"/>
    </row>
    <row r="26" spans="1:30">
      <c r="N26" s="42"/>
      <c r="P26" s="16"/>
      <c r="Q26" s="16"/>
      <c r="R26" s="16"/>
      <c r="S26" s="16"/>
      <c r="T26" s="16"/>
      <c r="U26" s="16"/>
      <c r="V26" s="16"/>
    </row>
    <row r="27" spans="1:30">
      <c r="N27" s="42"/>
      <c r="P27" s="16"/>
      <c r="Q27" s="16"/>
      <c r="R27" s="16"/>
      <c r="S27" s="16"/>
      <c r="T27" s="16"/>
      <c r="U27" s="16"/>
      <c r="V27" s="16"/>
    </row>
    <row r="28" spans="1:30">
      <c r="N28" s="42"/>
      <c r="P28" s="16"/>
      <c r="Q28" s="16"/>
      <c r="R28" s="16"/>
      <c r="S28" s="16"/>
      <c r="T28" s="16"/>
      <c r="U28" s="16"/>
      <c r="V28" s="16"/>
      <c r="Y28" s="1" t="s">
        <v>11</v>
      </c>
      <c r="Z28" s="44">
        <f>M12</f>
        <v>81.434627477763883</v>
      </c>
    </row>
    <row r="29" spans="1:30">
      <c r="N29" s="42"/>
      <c r="P29" s="16"/>
      <c r="Q29" s="16"/>
      <c r="R29" s="16"/>
      <c r="S29" s="16"/>
      <c r="T29" s="16"/>
      <c r="U29" s="16"/>
      <c r="V29" s="16"/>
      <c r="Y29" s="1" t="s">
        <v>13</v>
      </c>
      <c r="Z29" s="44">
        <f t="shared" ref="Z29:Z31" si="8">M13</f>
        <v>8.6110823719206468</v>
      </c>
    </row>
    <row r="30" spans="1:30">
      <c r="N30" s="42"/>
      <c r="P30" s="16"/>
      <c r="Y30" s="1" t="s">
        <v>15</v>
      </c>
      <c r="Z30" s="44">
        <f t="shared" si="8"/>
        <v>9.9011593689189166</v>
      </c>
    </row>
    <row r="31" spans="1:30">
      <c r="Y31" s="1" t="s">
        <v>17</v>
      </c>
      <c r="Z31" s="44">
        <f t="shared" si="8"/>
        <v>5.3130781396563576E-2</v>
      </c>
    </row>
    <row r="35" spans="7:13">
      <c r="G35" s="45"/>
      <c r="H35" s="45"/>
      <c r="I35" s="45"/>
      <c r="J35" s="45"/>
      <c r="K35" s="45"/>
      <c r="L35" s="45"/>
      <c r="M35" s="45"/>
    </row>
  </sheetData>
  <mergeCells count="4">
    <mergeCell ref="A2:N2"/>
    <mergeCell ref="A3:N3"/>
    <mergeCell ref="A4:H4"/>
    <mergeCell ref="I4:N4"/>
  </mergeCells>
  <pageMargins left="0.7" right="0.7" top="0.44" bottom="0.75" header="0.3" footer="0.3"/>
  <pageSetup paperSize="9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2015-01-20T04:43:51Z</dcterms:modified>
</cp:coreProperties>
</file>