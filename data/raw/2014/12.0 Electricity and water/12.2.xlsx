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2" sheetId="2" r:id="rId1"/>
  </sheets>
  <definedNames>
    <definedName name="_xlnm.Print_Area" localSheetId="0">'12.2'!$A$1:$P$39</definedName>
    <definedName name="_xlnm.Print_Titles" localSheetId="0">'12.2'!$4:$5</definedName>
  </definedNames>
  <calcPr calcId="124519"/>
</workbook>
</file>

<file path=xl/calcChain.xml><?xml version="1.0" encoding="utf-8"?>
<calcChain xmlns="http://schemas.openxmlformats.org/spreadsheetml/2006/main">
  <c r="C6" i="2"/>
  <c r="B6"/>
  <c r="B7"/>
  <c r="B34" l="1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N6"/>
  <c r="M6"/>
  <c r="L6"/>
  <c r="K6"/>
  <c r="J6"/>
  <c r="I6"/>
  <c r="H6"/>
  <c r="G6"/>
  <c r="F6"/>
  <c r="E6"/>
  <c r="D6"/>
</calcChain>
</file>

<file path=xl/sharedStrings.xml><?xml version="1.0" encoding="utf-8"?>
<sst xmlns="http://schemas.openxmlformats.org/spreadsheetml/2006/main" count="91" uniqueCount="89">
  <si>
    <t>Source: State Electric Company Limited</t>
  </si>
  <si>
    <t>cDeTimil Inepcmok ckircTckeliacTETcs :ctWrwf ivcaedutWmUluAwm</t>
  </si>
  <si>
    <t>2013 ,urwvcnim idcaefua cTcnwrwk uhwmcswmikea cnukwtctWrwf egurWkurws  : 12.2 ulwvWt</t>
  </si>
  <si>
    <t>Table  12.2 :  MONTHLY ELECTRICITY PRODUCTION BY PUBLIC SECTOR, 2013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</si>
  <si>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 (cniDwg cTovOlik 000 ' )</t>
    </r>
  </si>
  <si>
    <t>Locality</t>
  </si>
  <si>
    <t>wlcmuj</t>
  </si>
  <si>
    <t>waunej</t>
  </si>
  <si>
    <t>urcbef</t>
  </si>
  <si>
    <t>cCrWm</t>
  </si>
  <si>
    <t>IrcPEa</t>
  </si>
  <si>
    <t>Em</t>
  </si>
  <si>
    <t>cnUj</t>
  </si>
  <si>
    <t>iawluj</t>
  </si>
  <si>
    <t>cswgOa</t>
  </si>
  <si>
    <t>cTcpes</t>
  </si>
  <si>
    <t>OTckoa</t>
  </si>
  <si>
    <t>cmevon</t>
  </si>
  <si>
    <t>cmesiD</t>
  </si>
  <si>
    <t>cnwt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</si>
  <si>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</si>
  <si>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</si>
  <si>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</si>
  <si>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</si>
  <si>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</si>
  <si>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</si>
  <si>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</si>
  <si>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</si>
  <si>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</si>
  <si>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</si>
  <si>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</si>
  <si>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</si>
  <si>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</si>
  <si>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</si>
  <si>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</si>
  <si>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</si>
  <si>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</si>
  <si>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</si>
  <si>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</si>
  <si>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</si>
  <si>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</si>
  <si>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</si>
  <si>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</si>
  <si>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K.Hulhumale</t>
  </si>
  <si>
    <t>ކ. ހުޅުމާލެ</t>
  </si>
  <si>
    <t>K.Thilafushi</t>
  </si>
  <si>
    <t>ކ. ތިލަފުށި</t>
  </si>
  <si>
    <t>K.Gulhifalhu</t>
  </si>
  <si>
    <t>ކ. ގުޅިފަޅު</t>
  </si>
  <si>
    <t>K.Male'</t>
  </si>
  <si>
    <t>ކ. މާލެ</t>
  </si>
  <si>
    <t>K.Villingili</t>
  </si>
  <si>
    <t>ކ. ވިލިނގިލި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</si>
  <si>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</si>
  <si>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</si>
  <si>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</si>
  <si>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</si>
  <si>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</si>
  <si>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</si>
  <si>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</si>
  <si>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</si>
  <si>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</si>
  <si>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</si>
  <si>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</si>
  <si>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</si>
  <si>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</si>
  <si>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</si>
  <si>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</si>
  <si>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</si>
  <si>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</si>
  <si>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</si>
  <si>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</si>
  <si>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</si>
  <si>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</si>
  <si>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</si>
  <si>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</si>
  <si>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</si>
  <si>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</si>
  <si>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</si>
  <si>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ADh.Dhihdhoo</t>
  </si>
  <si>
    <t>އދ.ދިއްދޫ</t>
  </si>
  <si>
    <t>V.Fulidhoo</t>
  </si>
  <si>
    <t>ވ.ފެލިދޫ</t>
  </si>
  <si>
    <t>V.Thinadhoo</t>
  </si>
  <si>
    <t>ވ.ތިނަދޫ</t>
  </si>
  <si>
    <t>V.Keyodhoo</t>
  </si>
  <si>
    <t>ވ.ކެޔޮދޫ</t>
  </si>
  <si>
    <t>V.Rakeedhoo</t>
  </si>
  <si>
    <t>ވ.ރަކީދޫ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</si>
</sst>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b/>
      <sz val="9"/>
      <name val="Calibri"/>
      <family val="2"/>
      <scheme val="minor"/>
    </font>
    <font>
      <b/>
      <sz val="10.5"/>
      <name val="A_Faseyha"/>
    </font>
    <font>
      <b/>
      <sz val="12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A_Faseyha"/>
    </font>
    <font>
      <sz val="10"/>
      <name val="Faruma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164" fontId="5" fillId="2" borderId="2" xfId="1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/>
    </xf>
    <xf numFmtId="0" fontId="0" fillId="2" borderId="0" xfId="0" applyFill="1"/>
    <xf numFmtId="0" fontId="13" fillId="2" borderId="5" xfId="0" applyFont="1" applyFill="1" applyBorder="1" applyAlignment="1">
      <alignment horizontal="right"/>
    </xf>
    <xf numFmtId="0" fontId="9" fillId="2" borderId="4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right" vertical="center"/>
    </xf>
    <xf numFmtId="1" fontId="0" fillId="2" borderId="0" xfId="0" applyNumberForma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15" fillId="2" borderId="0" xfId="0" applyFont="1" applyFill="1" applyBorder="1"/>
    <xf numFmtId="0" fontId="5" fillId="2" borderId="0" xfId="0" applyFont="1" applyFill="1" applyBorder="1"/>
    <xf numFmtId="1" fontId="7" fillId="2" borderId="0" xfId="0" applyNumberFormat="1" applyFont="1" applyFill="1" applyBorder="1"/>
    <xf numFmtId="0" fontId="2" fillId="2" borderId="0" xfId="0" applyFont="1" applyFill="1" applyBorder="1"/>
    <xf numFmtId="164" fontId="5" fillId="2" borderId="4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right" vertical="center"/>
    </xf>
    <xf numFmtId="0" fontId="13" fillId="2" borderId="7" xfId="0" applyFont="1" applyFill="1" applyBorder="1" applyAlignment="1">
      <alignment horizontal="right" vertical="center"/>
    </xf>
  </cellXfs>
  <cellStyles count="6">
    <cellStyle name="Comma" xfId="1" builtinId="3"/>
    <cellStyle name="Comma 2" xfId="2"/>
    <cellStyle name="Comma 4" xfId="4"/>
    <cellStyle name="Comma 4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28575</xdr:rowOff>
    </xdr:from>
    <xdr:to>
      <xdr:col>0</xdr:col>
      <xdr:colOff>285750</xdr:colOff>
      <xdr:row>61</xdr:row>
      <xdr:rowOff>161925</xdr:rowOff>
    </xdr:to>
    <xdr:sp macro="" textlink="">
      <xdr:nvSpPr>
        <xdr:cNvPr id="2" name="TextBox 1"/>
        <xdr:cNvSpPr txBox="1"/>
      </xdr:nvSpPr>
      <xdr:spPr>
        <a:xfrm>
          <a:off x="0" y="22858095"/>
          <a:ext cx="285750" cy="133350"/>
        </a:xfrm>
        <a:prstGeom prst="rect">
          <a:avLst/>
        </a:prstGeom>
        <a:solidFill>
          <a:srgbClr val="CC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P35"/>
  <sheetViews>
    <sheetView tabSelected="1" workbookViewId="0">
      <selection activeCell="A2" sqref="A2:O2"/>
    </sheetView>
  </sheetViews>
  <sheetFormatPr defaultColWidth="9.109375" defaultRowHeight="14.4"/>
  <cols>
    <col min="1" max="1" width="16.109375" style="22" customWidth="1"/>
    <col min="2" max="2" width="11.33203125" style="3" bestFit="1" customWidth="1"/>
    <col min="3" max="3" width="11.44140625" style="3" customWidth="1"/>
    <col min="4" max="4" width="10.109375" style="3" customWidth="1"/>
    <col min="5" max="14" width="9" style="3" customWidth="1"/>
    <col min="15" max="15" width="13.21875" style="3" customWidth="1"/>
    <col min="16" max="16" width="3.5546875" style="3" customWidth="1"/>
    <col min="17" max="16384" width="9.109375" style="3"/>
  </cols>
  <sheetData>
    <row r="1" spans="1:15" ht="16.8">
      <c r="A1" s="24" t="s">
        <v>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5.6">
      <c r="A2" s="25" t="s">
        <v>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6.8">
      <c r="A3" s="24" t="s">
        <v>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ht="16.8">
      <c r="A4" s="26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28" t="s">
        <v>19</v>
      </c>
    </row>
    <row r="5" spans="1:15">
      <c r="A5" s="27"/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29"/>
    </row>
    <row r="6" spans="1:15" s="9" customFormat="1" ht="16.2">
      <c r="A6" s="6" t="s">
        <v>20</v>
      </c>
      <c r="B6" s="7">
        <f>SUM(C6:N6)</f>
        <v>302866.64200000005</v>
      </c>
      <c r="C6" s="7">
        <f>SUM(C7:C34)</f>
        <v>24664.112999999994</v>
      </c>
      <c r="D6" s="7">
        <f t="shared" ref="D6:N6" si="0">SUM(D7:D34)</f>
        <v>22825.083000000002</v>
      </c>
      <c r="E6" s="7">
        <f t="shared" si="0"/>
        <v>26396.088999999993</v>
      </c>
      <c r="F6" s="7">
        <f t="shared" si="0"/>
        <v>27280.887000000002</v>
      </c>
      <c r="G6" s="7">
        <f t="shared" si="0"/>
        <v>25400.774000000001</v>
      </c>
      <c r="H6" s="7">
        <f t="shared" si="0"/>
        <v>24784.737999999998</v>
      </c>
      <c r="I6" s="7">
        <f t="shared" si="0"/>
        <v>25943.185000000005</v>
      </c>
      <c r="J6" s="7">
        <f t="shared" si="0"/>
        <v>25481.269000000004</v>
      </c>
      <c r="K6" s="7">
        <f t="shared" si="0"/>
        <v>25465.053000000007</v>
      </c>
      <c r="L6" s="7">
        <f t="shared" si="0"/>
        <v>25806.173000000003</v>
      </c>
      <c r="M6" s="7">
        <f t="shared" si="0"/>
        <v>24272.534999999996</v>
      </c>
      <c r="N6" s="7">
        <f t="shared" si="0"/>
        <v>24546.743000000002</v>
      </c>
      <c r="O6" s="8" t="s">
        <v>6</v>
      </c>
    </row>
    <row r="7" spans="1:15" s="9" customFormat="1" ht="18.600000000000001">
      <c r="A7" s="10" t="s">
        <v>33</v>
      </c>
      <c r="B7" s="11">
        <f>SUM(C7:N7)</f>
        <v>1447.3120000000001</v>
      </c>
      <c r="C7" s="1">
        <v>113.892</v>
      </c>
      <c r="D7" s="1">
        <v>104.887</v>
      </c>
      <c r="E7" s="1">
        <v>122.18600000000001</v>
      </c>
      <c r="F7" s="1">
        <v>121.89</v>
      </c>
      <c r="G7" s="1">
        <v>122.822</v>
      </c>
      <c r="H7" s="1">
        <v>114.483</v>
      </c>
      <c r="I7" s="1">
        <v>126.185</v>
      </c>
      <c r="J7" s="1">
        <v>128.34</v>
      </c>
      <c r="K7" s="1">
        <v>122.363</v>
      </c>
      <c r="L7" s="1">
        <v>130.93700000000001</v>
      </c>
      <c r="M7" s="1">
        <v>118.137</v>
      </c>
      <c r="N7" s="1">
        <v>121.19</v>
      </c>
      <c r="O7" s="12" t="s">
        <v>34</v>
      </c>
    </row>
    <row r="8" spans="1:15" s="9" customFormat="1" ht="18.600000000000001">
      <c r="A8" s="10" t="s">
        <v>35</v>
      </c>
      <c r="B8" s="11">
        <f t="shared" ref="B8:B34" si="1">SUM(C8:N8)</f>
        <v>922.96900000000005</v>
      </c>
      <c r="C8" s="1">
        <v>59.905000000000001</v>
      </c>
      <c r="D8" s="1">
        <v>55.502000000000002</v>
      </c>
      <c r="E8" s="1">
        <v>65.634</v>
      </c>
      <c r="F8" s="1">
        <v>72.953999999999994</v>
      </c>
      <c r="G8" s="1">
        <v>81.375</v>
      </c>
      <c r="H8" s="1">
        <v>79.072999999999993</v>
      </c>
      <c r="I8" s="1">
        <v>89.513999999999996</v>
      </c>
      <c r="J8" s="1">
        <v>90.628</v>
      </c>
      <c r="K8" s="1">
        <v>83.456999999999994</v>
      </c>
      <c r="L8" s="1">
        <v>86.873999999999995</v>
      </c>
      <c r="M8" s="1">
        <v>83.242000000000004</v>
      </c>
      <c r="N8" s="1">
        <v>74.811000000000007</v>
      </c>
      <c r="O8" s="12" t="s">
        <v>36</v>
      </c>
    </row>
    <row r="9" spans="1:15" s="9" customFormat="1" ht="18.600000000000001">
      <c r="A9" s="10" t="s">
        <v>37</v>
      </c>
      <c r="B9" s="11">
        <f t="shared" si="1"/>
        <v>680.48800000000006</v>
      </c>
      <c r="C9" s="1">
        <v>56.158999999999999</v>
      </c>
      <c r="D9" s="1">
        <v>51.569000000000003</v>
      </c>
      <c r="E9" s="1">
        <v>57.194000000000003</v>
      </c>
      <c r="F9" s="1">
        <v>59.529000000000003</v>
      </c>
      <c r="G9" s="1">
        <v>51.304000000000002</v>
      </c>
      <c r="H9" s="1">
        <v>55.564</v>
      </c>
      <c r="I9" s="1">
        <v>54.689</v>
      </c>
      <c r="J9" s="1">
        <v>58.841000000000001</v>
      </c>
      <c r="K9" s="1">
        <v>56.146000000000001</v>
      </c>
      <c r="L9" s="1">
        <v>61.917999999999999</v>
      </c>
      <c r="M9" s="1">
        <v>58.003999999999998</v>
      </c>
      <c r="N9" s="1">
        <v>59.570999999999998</v>
      </c>
      <c r="O9" s="12" t="s">
        <v>38</v>
      </c>
    </row>
    <row r="10" spans="1:15" s="9" customFormat="1" ht="18.600000000000001">
      <c r="A10" s="10" t="s">
        <v>39</v>
      </c>
      <c r="B10" s="11">
        <f t="shared" si="1"/>
        <v>1607.7259999999999</v>
      </c>
      <c r="C10" s="1">
        <v>129.166</v>
      </c>
      <c r="D10" s="1">
        <v>115.723</v>
      </c>
      <c r="E10" s="1">
        <v>137.80099999999999</v>
      </c>
      <c r="F10" s="1">
        <v>146.77099999999999</v>
      </c>
      <c r="G10" s="1">
        <v>130.84800000000001</v>
      </c>
      <c r="H10" s="1">
        <v>124.379</v>
      </c>
      <c r="I10" s="1">
        <v>137.126</v>
      </c>
      <c r="J10" s="1">
        <v>164.149</v>
      </c>
      <c r="K10" s="1">
        <v>133.096</v>
      </c>
      <c r="L10" s="1">
        <v>139.19800000000001</v>
      </c>
      <c r="M10" s="1">
        <v>124.619</v>
      </c>
      <c r="N10" s="1">
        <v>124.85</v>
      </c>
      <c r="O10" s="12" t="s">
        <v>40</v>
      </c>
    </row>
    <row r="11" spans="1:15" s="9" customFormat="1" ht="18.600000000000001">
      <c r="A11" s="10" t="s">
        <v>41</v>
      </c>
      <c r="B11" s="11">
        <f t="shared" si="1"/>
        <v>1992.2340000000002</v>
      </c>
      <c r="C11" s="1">
        <v>153.90600000000001</v>
      </c>
      <c r="D11" s="1">
        <v>147.55799999999999</v>
      </c>
      <c r="E11" s="1">
        <v>168.18899999999999</v>
      </c>
      <c r="F11" s="1">
        <v>201.66300000000001</v>
      </c>
      <c r="G11" s="1">
        <v>178.77699999999999</v>
      </c>
      <c r="H11" s="1">
        <v>169.74600000000001</v>
      </c>
      <c r="I11" s="1">
        <v>206.28</v>
      </c>
      <c r="J11" s="1">
        <v>173.482</v>
      </c>
      <c r="K11" s="1">
        <v>144.41200000000001</v>
      </c>
      <c r="L11" s="1">
        <v>153.679</v>
      </c>
      <c r="M11" s="1">
        <v>150.03800000000001</v>
      </c>
      <c r="N11" s="1">
        <v>144.50399999999999</v>
      </c>
      <c r="O11" s="12" t="s">
        <v>42</v>
      </c>
    </row>
    <row r="12" spans="1:15" s="9" customFormat="1" ht="18.600000000000001">
      <c r="A12" s="10" t="s">
        <v>43</v>
      </c>
      <c r="B12" s="11">
        <f t="shared" si="1"/>
        <v>16372.368000000002</v>
      </c>
      <c r="C12" s="1">
        <v>1311.9259999999999</v>
      </c>
      <c r="D12" s="1">
        <v>1204.2059999999999</v>
      </c>
      <c r="E12" s="1">
        <v>1380.3309999999999</v>
      </c>
      <c r="F12" s="1">
        <v>1431.0229999999999</v>
      </c>
      <c r="G12" s="1">
        <v>1331.204</v>
      </c>
      <c r="H12" s="1">
        <v>1277.652</v>
      </c>
      <c r="I12" s="1">
        <v>1323.365</v>
      </c>
      <c r="J12" s="1">
        <v>1336.78</v>
      </c>
      <c r="K12" s="1">
        <v>1357.5360000000001</v>
      </c>
      <c r="L12" s="1">
        <v>1472.789</v>
      </c>
      <c r="M12" s="1">
        <v>1438.5170000000001</v>
      </c>
      <c r="N12" s="1">
        <v>1507.039</v>
      </c>
      <c r="O12" s="12" t="s">
        <v>44</v>
      </c>
    </row>
    <row r="13" spans="1:15" s="9" customFormat="1" ht="18.600000000000001">
      <c r="A13" s="10" t="s">
        <v>45</v>
      </c>
      <c r="B13" s="11">
        <f t="shared" si="1"/>
        <v>2965.7490000000003</v>
      </c>
      <c r="C13" s="1">
        <v>246.298</v>
      </c>
      <c r="D13" s="1">
        <v>222.023</v>
      </c>
      <c r="E13" s="1">
        <v>242.39599999999999</v>
      </c>
      <c r="F13" s="1">
        <v>242.86699999999999</v>
      </c>
      <c r="G13" s="1">
        <v>235.232</v>
      </c>
      <c r="H13" s="1">
        <v>247.00399999999999</v>
      </c>
      <c r="I13" s="1">
        <v>255.35</v>
      </c>
      <c r="J13" s="1">
        <v>240.471</v>
      </c>
      <c r="K13" s="1">
        <v>246.761</v>
      </c>
      <c r="L13" s="1">
        <v>262.649</v>
      </c>
      <c r="M13" s="1">
        <v>253.983</v>
      </c>
      <c r="N13" s="1">
        <v>270.71499999999997</v>
      </c>
      <c r="O13" s="12" t="s">
        <v>46</v>
      </c>
    </row>
    <row r="14" spans="1:15" s="9" customFormat="1" ht="18.600000000000001">
      <c r="A14" s="10" t="s">
        <v>47</v>
      </c>
      <c r="B14" s="11">
        <f t="shared" si="1"/>
        <v>133.22</v>
      </c>
      <c r="C14" s="1">
        <v>14.79</v>
      </c>
      <c r="D14" s="1">
        <v>13.11</v>
      </c>
      <c r="E14" s="1">
        <v>10.36</v>
      </c>
      <c r="F14" s="1">
        <v>10.19</v>
      </c>
      <c r="G14" s="1">
        <v>9.31</v>
      </c>
      <c r="H14" s="1">
        <v>9.5299999999999994</v>
      </c>
      <c r="I14" s="1">
        <v>9.3800000000000008</v>
      </c>
      <c r="J14" s="1">
        <v>9.2200000000000006</v>
      </c>
      <c r="K14" s="1">
        <v>11.97</v>
      </c>
      <c r="L14" s="1">
        <v>11.92</v>
      </c>
      <c r="M14" s="1">
        <v>11.73</v>
      </c>
      <c r="N14" s="1">
        <v>11.71</v>
      </c>
      <c r="O14" s="12" t="s">
        <v>48</v>
      </c>
    </row>
    <row r="15" spans="1:15" s="9" customFormat="1" ht="18.600000000000001">
      <c r="A15" s="10" t="s">
        <v>49</v>
      </c>
      <c r="B15" s="11">
        <f t="shared" si="1"/>
        <v>254761.10599999997</v>
      </c>
      <c r="C15" s="1">
        <v>20752.351999999999</v>
      </c>
      <c r="D15" s="1">
        <v>19247.559000000001</v>
      </c>
      <c r="E15" s="1">
        <v>22297.384999999998</v>
      </c>
      <c r="F15" s="1">
        <v>23081.418000000001</v>
      </c>
      <c r="G15" s="1">
        <v>21465.024000000001</v>
      </c>
      <c r="H15" s="1">
        <v>20931.694</v>
      </c>
      <c r="I15" s="1">
        <v>21850.19</v>
      </c>
      <c r="J15" s="1">
        <v>21396.264999999999</v>
      </c>
      <c r="K15" s="1">
        <v>21429.583999999999</v>
      </c>
      <c r="L15" s="1">
        <v>21588.138999999999</v>
      </c>
      <c r="M15" s="1">
        <v>20273.034</v>
      </c>
      <c r="N15" s="1">
        <v>20448.462</v>
      </c>
      <c r="O15" s="12" t="s">
        <v>50</v>
      </c>
    </row>
    <row r="16" spans="1:15" s="9" customFormat="1" ht="18.600000000000001">
      <c r="A16" s="10" t="s">
        <v>51</v>
      </c>
      <c r="B16" s="11">
        <f t="shared" si="1"/>
        <v>9543.8009999999995</v>
      </c>
      <c r="C16" s="1">
        <v>834.05799999999999</v>
      </c>
      <c r="D16" s="1">
        <v>729.20799999999997</v>
      </c>
      <c r="E16" s="1">
        <v>838.38499999999999</v>
      </c>
      <c r="F16" s="1">
        <v>824.01400000000001</v>
      </c>
      <c r="G16" s="1">
        <v>781.43799999999999</v>
      </c>
      <c r="H16" s="1">
        <v>814.72199999999998</v>
      </c>
      <c r="I16" s="1">
        <v>830.29100000000005</v>
      </c>
      <c r="J16" s="1">
        <v>831.76700000000005</v>
      </c>
      <c r="K16" s="1">
        <v>815.25800000000004</v>
      </c>
      <c r="L16" s="1">
        <v>799.12599999999998</v>
      </c>
      <c r="M16" s="1">
        <v>742.66800000000001</v>
      </c>
      <c r="N16" s="1">
        <v>702.86599999999999</v>
      </c>
      <c r="O16" s="12" t="s">
        <v>52</v>
      </c>
    </row>
    <row r="17" spans="1:16" s="9" customFormat="1" ht="19.5" customHeight="1">
      <c r="A17" s="10" t="s">
        <v>53</v>
      </c>
      <c r="B17" s="11">
        <f t="shared" si="1"/>
        <v>611.37199999999996</v>
      </c>
      <c r="C17" s="1">
        <v>48.816000000000003</v>
      </c>
      <c r="D17" s="1">
        <v>45.975999999999999</v>
      </c>
      <c r="E17" s="1">
        <v>52.625999999999998</v>
      </c>
      <c r="F17" s="1">
        <v>53.256</v>
      </c>
      <c r="G17" s="1">
        <v>48.164000000000001</v>
      </c>
      <c r="H17" s="1">
        <v>49.395000000000003</v>
      </c>
      <c r="I17" s="1">
        <v>53.625</v>
      </c>
      <c r="J17" s="1">
        <v>48.688000000000002</v>
      </c>
      <c r="K17" s="1">
        <v>52.82</v>
      </c>
      <c r="L17" s="1">
        <v>53.036999999999999</v>
      </c>
      <c r="M17" s="1">
        <v>48.151000000000003</v>
      </c>
      <c r="N17" s="1">
        <v>56.817999999999998</v>
      </c>
      <c r="O17" s="12" t="s">
        <v>54</v>
      </c>
    </row>
    <row r="18" spans="1:16" s="9" customFormat="1" ht="19.5" customHeight="1">
      <c r="A18" s="10" t="s">
        <v>55</v>
      </c>
      <c r="B18" s="11">
        <f t="shared" si="1"/>
        <v>3885.9689999999996</v>
      </c>
      <c r="C18" s="1">
        <v>321.68599999999998</v>
      </c>
      <c r="D18" s="1">
        <v>308.935</v>
      </c>
      <c r="E18" s="1">
        <v>348.56099999999998</v>
      </c>
      <c r="F18" s="1">
        <v>354.14499999999998</v>
      </c>
      <c r="G18" s="1">
        <v>315.101</v>
      </c>
      <c r="H18" s="1">
        <v>293.827</v>
      </c>
      <c r="I18" s="1">
        <v>318.315</v>
      </c>
      <c r="J18" s="1">
        <v>320.755</v>
      </c>
      <c r="K18" s="1">
        <v>322.62700000000001</v>
      </c>
      <c r="L18" s="1">
        <v>333.77499999999998</v>
      </c>
      <c r="M18" s="1">
        <v>323.66000000000003</v>
      </c>
      <c r="N18" s="1">
        <v>324.58199999999999</v>
      </c>
      <c r="O18" s="12" t="s">
        <v>56</v>
      </c>
      <c r="P18" s="13"/>
    </row>
    <row r="19" spans="1:16" s="9" customFormat="1" ht="19.5" customHeight="1">
      <c r="A19" s="10" t="s">
        <v>57</v>
      </c>
      <c r="B19" s="11">
        <f t="shared" si="1"/>
        <v>1734.384</v>
      </c>
      <c r="C19" s="1">
        <v>137.77799999999999</v>
      </c>
      <c r="D19" s="1">
        <v>129.01499999999999</v>
      </c>
      <c r="E19" s="1">
        <v>151.91300000000001</v>
      </c>
      <c r="F19" s="1">
        <v>153.71799999999999</v>
      </c>
      <c r="G19" s="1">
        <v>140.71600000000001</v>
      </c>
      <c r="H19" s="1">
        <v>135.93899999999999</v>
      </c>
      <c r="I19" s="1">
        <v>153.542</v>
      </c>
      <c r="J19" s="1">
        <v>149.78</v>
      </c>
      <c r="K19" s="1">
        <v>148.666</v>
      </c>
      <c r="L19" s="1">
        <v>149.084</v>
      </c>
      <c r="M19" s="1">
        <v>141.851</v>
      </c>
      <c r="N19" s="1">
        <v>142.38200000000001</v>
      </c>
      <c r="O19" s="12" t="s">
        <v>58</v>
      </c>
      <c r="P19" s="13"/>
    </row>
    <row r="20" spans="1:16" s="9" customFormat="1" ht="19.5" customHeight="1">
      <c r="A20" s="10" t="s">
        <v>59</v>
      </c>
      <c r="B20" s="11">
        <f t="shared" si="1"/>
        <v>701.45299999999986</v>
      </c>
      <c r="C20" s="1">
        <v>51.796999999999997</v>
      </c>
      <c r="D20" s="1">
        <v>52.648000000000003</v>
      </c>
      <c r="E20" s="1">
        <v>61.182000000000002</v>
      </c>
      <c r="F20" s="1">
        <v>64.653999999999996</v>
      </c>
      <c r="G20" s="1">
        <v>58.5</v>
      </c>
      <c r="H20" s="1">
        <v>56.408999999999999</v>
      </c>
      <c r="I20" s="1">
        <v>60.491</v>
      </c>
      <c r="J20" s="1">
        <v>59.994</v>
      </c>
      <c r="K20" s="1">
        <v>61.026000000000003</v>
      </c>
      <c r="L20" s="1">
        <v>61.829000000000001</v>
      </c>
      <c r="M20" s="1">
        <v>56.652000000000001</v>
      </c>
      <c r="N20" s="1">
        <v>56.271000000000001</v>
      </c>
      <c r="O20" s="12" t="s">
        <v>60</v>
      </c>
      <c r="P20" s="13"/>
    </row>
    <row r="21" spans="1:16" s="9" customFormat="1" ht="19.5" customHeight="1">
      <c r="A21" s="10" t="s">
        <v>61</v>
      </c>
      <c r="B21" s="11">
        <f t="shared" si="1"/>
        <v>605.63099999999986</v>
      </c>
      <c r="C21" s="1">
        <v>44.256999999999998</v>
      </c>
      <c r="D21" s="1">
        <v>40.295999999999999</v>
      </c>
      <c r="E21" s="1">
        <v>51.459000000000003</v>
      </c>
      <c r="F21" s="1">
        <v>46.978999999999999</v>
      </c>
      <c r="G21" s="1">
        <v>62.124000000000002</v>
      </c>
      <c r="H21" s="1">
        <v>45.442</v>
      </c>
      <c r="I21" s="1">
        <v>51.418999999999997</v>
      </c>
      <c r="J21" s="1">
        <v>51.636000000000003</v>
      </c>
      <c r="K21" s="1">
        <v>51.784999999999997</v>
      </c>
      <c r="L21" s="1">
        <v>54.567999999999998</v>
      </c>
      <c r="M21" s="1">
        <v>52.188000000000002</v>
      </c>
      <c r="N21" s="1">
        <v>53.478000000000002</v>
      </c>
      <c r="O21" s="12" t="s">
        <v>62</v>
      </c>
      <c r="P21" s="13"/>
    </row>
    <row r="22" spans="1:16" s="9" customFormat="1" ht="19.5" customHeight="1">
      <c r="A22" s="10" t="s">
        <v>63</v>
      </c>
      <c r="B22" s="11">
        <f t="shared" si="1"/>
        <v>434.01300000000003</v>
      </c>
      <c r="C22" s="1">
        <v>34.555</v>
      </c>
      <c r="D22" s="1">
        <v>31.872</v>
      </c>
      <c r="E22" s="1">
        <v>38.136000000000003</v>
      </c>
      <c r="F22" s="1">
        <v>37.973999999999997</v>
      </c>
      <c r="G22" s="1">
        <v>35.506999999999998</v>
      </c>
      <c r="H22" s="1">
        <v>35.441000000000003</v>
      </c>
      <c r="I22" s="1">
        <v>37.999000000000002</v>
      </c>
      <c r="J22" s="1">
        <v>35.767000000000003</v>
      </c>
      <c r="K22" s="1">
        <v>38.768000000000001</v>
      </c>
      <c r="L22" s="1">
        <v>37.142000000000003</v>
      </c>
      <c r="M22" s="1">
        <v>32.35</v>
      </c>
      <c r="N22" s="1">
        <v>38.502000000000002</v>
      </c>
      <c r="O22" s="12" t="s">
        <v>64</v>
      </c>
      <c r="P22" s="13"/>
    </row>
    <row r="23" spans="1:16" s="9" customFormat="1" ht="19.5" customHeight="1">
      <c r="A23" s="10" t="s">
        <v>65</v>
      </c>
      <c r="B23" s="11">
        <f t="shared" si="1"/>
        <v>347.072</v>
      </c>
      <c r="C23" s="1">
        <v>27.745999999999999</v>
      </c>
      <c r="D23" s="1">
        <v>25.664000000000001</v>
      </c>
      <c r="E23" s="1">
        <v>28.652000000000001</v>
      </c>
      <c r="F23" s="1">
        <v>28.507000000000001</v>
      </c>
      <c r="G23" s="1">
        <v>27.408999999999999</v>
      </c>
      <c r="H23" s="1">
        <v>28.710999999999999</v>
      </c>
      <c r="I23" s="1">
        <v>29.135000000000002</v>
      </c>
      <c r="J23" s="1">
        <v>31.488</v>
      </c>
      <c r="K23" s="1">
        <v>28.451000000000001</v>
      </c>
      <c r="L23" s="1">
        <v>29.588000000000001</v>
      </c>
      <c r="M23" s="1">
        <v>27.001000000000001</v>
      </c>
      <c r="N23" s="1">
        <v>34.72</v>
      </c>
      <c r="O23" s="12" t="s">
        <v>66</v>
      </c>
      <c r="P23" s="13"/>
    </row>
    <row r="24" spans="1:16" s="9" customFormat="1" ht="19.5" customHeight="1">
      <c r="A24" s="10" t="s">
        <v>67</v>
      </c>
      <c r="B24" s="11">
        <f t="shared" si="1"/>
        <v>381.76600000000002</v>
      </c>
      <c r="C24" s="1">
        <v>29.809000000000001</v>
      </c>
      <c r="D24" s="1">
        <v>27.835999999999999</v>
      </c>
      <c r="E24" s="1">
        <v>28.966000000000001</v>
      </c>
      <c r="F24" s="1">
        <v>28.52</v>
      </c>
      <c r="G24" s="1">
        <v>29.367000000000001</v>
      </c>
      <c r="H24" s="1">
        <v>30.074000000000002</v>
      </c>
      <c r="I24" s="1">
        <v>32.683</v>
      </c>
      <c r="J24" s="1">
        <v>29.809000000000001</v>
      </c>
      <c r="K24" s="1">
        <v>33.008000000000003</v>
      </c>
      <c r="L24" s="1">
        <v>34.744</v>
      </c>
      <c r="M24" s="1">
        <v>36.423000000000002</v>
      </c>
      <c r="N24" s="1">
        <v>40.527000000000001</v>
      </c>
      <c r="O24" s="12" t="s">
        <v>68</v>
      </c>
      <c r="P24" s="13"/>
    </row>
    <row r="25" spans="1:16" s="9" customFormat="1" ht="19.5" customHeight="1">
      <c r="A25" s="10" t="s">
        <v>69</v>
      </c>
      <c r="B25" s="11">
        <f t="shared" si="1"/>
        <v>549.99099999999999</v>
      </c>
      <c r="C25" s="1">
        <v>43.298000000000002</v>
      </c>
      <c r="D25" s="1">
        <v>39.96</v>
      </c>
      <c r="E25" s="1">
        <v>47.637999999999998</v>
      </c>
      <c r="F25" s="1">
        <v>49.698999999999998</v>
      </c>
      <c r="G25" s="1">
        <v>44.654000000000003</v>
      </c>
      <c r="H25" s="1">
        <v>43.326999999999998</v>
      </c>
      <c r="I25" s="1">
        <v>49.631</v>
      </c>
      <c r="J25" s="1">
        <v>45.863</v>
      </c>
      <c r="K25" s="1">
        <v>47.936999999999998</v>
      </c>
      <c r="L25" s="1">
        <v>47.220999999999997</v>
      </c>
      <c r="M25" s="1">
        <v>41.438000000000002</v>
      </c>
      <c r="N25" s="1">
        <v>49.325000000000003</v>
      </c>
      <c r="O25" s="12" t="s">
        <v>70</v>
      </c>
      <c r="P25" s="13"/>
    </row>
    <row r="26" spans="1:16" s="9" customFormat="1" ht="19.5" customHeight="1">
      <c r="A26" s="10" t="s">
        <v>71</v>
      </c>
      <c r="B26" s="11">
        <f t="shared" si="1"/>
        <v>519.64300000000003</v>
      </c>
      <c r="C26" s="1">
        <v>43.673000000000002</v>
      </c>
      <c r="D26" s="1">
        <v>39.344999999999999</v>
      </c>
      <c r="E26" s="1">
        <v>44.587000000000003</v>
      </c>
      <c r="F26" s="1">
        <v>44.4</v>
      </c>
      <c r="G26" s="1">
        <v>44.573999999999998</v>
      </c>
      <c r="H26" s="1">
        <v>40.725000000000001</v>
      </c>
      <c r="I26" s="1">
        <v>44.679000000000002</v>
      </c>
      <c r="J26" s="1">
        <v>44.790999999999997</v>
      </c>
      <c r="K26" s="1">
        <v>41.386000000000003</v>
      </c>
      <c r="L26" s="1">
        <v>44.43</v>
      </c>
      <c r="M26" s="1">
        <v>41.2</v>
      </c>
      <c r="N26" s="1">
        <v>45.853000000000002</v>
      </c>
      <c r="O26" s="12" t="s">
        <v>72</v>
      </c>
      <c r="P26" s="13"/>
    </row>
    <row r="27" spans="1:16" s="9" customFormat="1" ht="19.5" customHeight="1">
      <c r="A27" s="10" t="s">
        <v>73</v>
      </c>
      <c r="B27" s="11">
        <f t="shared" si="1"/>
        <v>316.786</v>
      </c>
      <c r="C27" s="1">
        <v>24.459</v>
      </c>
      <c r="D27" s="1">
        <v>22.13</v>
      </c>
      <c r="E27" s="1">
        <v>27.013999999999999</v>
      </c>
      <c r="F27" s="1">
        <v>26.326000000000001</v>
      </c>
      <c r="G27" s="1">
        <v>25.382999999999999</v>
      </c>
      <c r="H27" s="1">
        <v>24.620999999999999</v>
      </c>
      <c r="I27" s="1">
        <v>27.815000000000001</v>
      </c>
      <c r="J27" s="1">
        <v>27.382000000000001</v>
      </c>
      <c r="K27" s="1">
        <v>27.728000000000002</v>
      </c>
      <c r="L27" s="1">
        <v>33.029000000000003</v>
      </c>
      <c r="M27" s="1">
        <v>24.855</v>
      </c>
      <c r="N27" s="1">
        <v>26.044</v>
      </c>
      <c r="O27" s="12" t="s">
        <v>74</v>
      </c>
      <c r="P27" s="13"/>
    </row>
    <row r="28" spans="1:16" s="9" customFormat="1" ht="19.5" customHeight="1">
      <c r="A28" s="10" t="s">
        <v>75</v>
      </c>
      <c r="B28" s="11">
        <f t="shared" si="1"/>
        <v>486.661</v>
      </c>
      <c r="C28" s="1">
        <v>35.795999999999999</v>
      </c>
      <c r="D28" s="1">
        <v>32.933</v>
      </c>
      <c r="E28" s="1">
        <v>38.962000000000003</v>
      </c>
      <c r="F28" s="1">
        <v>41.445</v>
      </c>
      <c r="G28" s="1">
        <v>40.704999999999998</v>
      </c>
      <c r="H28" s="1">
        <v>37.491</v>
      </c>
      <c r="I28" s="1">
        <v>41.65</v>
      </c>
      <c r="J28" s="1">
        <v>44.021999999999998</v>
      </c>
      <c r="K28" s="1">
        <v>45.112000000000002</v>
      </c>
      <c r="L28" s="1">
        <v>46.469000000000001</v>
      </c>
      <c r="M28" s="1">
        <v>39.503999999999998</v>
      </c>
      <c r="N28" s="1">
        <v>42.572000000000003</v>
      </c>
      <c r="O28" s="12" t="s">
        <v>76</v>
      </c>
      <c r="P28" s="13"/>
    </row>
    <row r="29" spans="1:16" s="9" customFormat="1" ht="19.5" customHeight="1">
      <c r="A29" s="10" t="s">
        <v>77</v>
      </c>
      <c r="B29" s="11">
        <f t="shared" si="1"/>
        <v>679.58499999999992</v>
      </c>
      <c r="C29" s="1">
        <v>49.226999999999997</v>
      </c>
      <c r="D29" s="1">
        <v>45.8</v>
      </c>
      <c r="E29" s="1">
        <v>54.353000000000002</v>
      </c>
      <c r="F29" s="1">
        <v>56.847999999999999</v>
      </c>
      <c r="G29" s="1">
        <v>52.15</v>
      </c>
      <c r="H29" s="1">
        <v>51.59</v>
      </c>
      <c r="I29" s="1">
        <v>58.48</v>
      </c>
      <c r="J29" s="1">
        <v>59.631</v>
      </c>
      <c r="K29" s="1">
        <v>66.506</v>
      </c>
      <c r="L29" s="1">
        <v>66.625</v>
      </c>
      <c r="M29" s="1">
        <v>59.726999999999997</v>
      </c>
      <c r="N29" s="1">
        <v>58.648000000000003</v>
      </c>
      <c r="O29" s="12" t="s">
        <v>78</v>
      </c>
      <c r="P29" s="13"/>
    </row>
    <row r="30" spans="1:16" s="9" customFormat="1" ht="19.5" customHeight="1">
      <c r="A30" s="10" t="s">
        <v>79</v>
      </c>
      <c r="B30" s="11">
        <f t="shared" si="1"/>
        <v>102.24900000000001</v>
      </c>
      <c r="C30" s="1">
        <v>7.9269999999999996</v>
      </c>
      <c r="D30" s="1">
        <v>7.4550000000000001</v>
      </c>
      <c r="E30" s="1">
        <v>7.9139999999999997</v>
      </c>
      <c r="F30" s="1">
        <v>8.1539999999999999</v>
      </c>
      <c r="G30" s="1">
        <v>8.0180000000000007</v>
      </c>
      <c r="H30" s="1">
        <v>7.6740000000000004</v>
      </c>
      <c r="I30" s="1">
        <v>9.5139999999999993</v>
      </c>
      <c r="J30" s="1">
        <v>9.2569999999999997</v>
      </c>
      <c r="K30" s="1">
        <v>8.1549999999999994</v>
      </c>
      <c r="L30" s="1">
        <v>9.7370000000000001</v>
      </c>
      <c r="M30" s="1">
        <v>8.0790000000000006</v>
      </c>
      <c r="N30" s="1">
        <v>10.365</v>
      </c>
      <c r="O30" s="12" t="s">
        <v>80</v>
      </c>
      <c r="P30" s="13"/>
    </row>
    <row r="31" spans="1:16" s="9" customFormat="1" ht="19.5" customHeight="1">
      <c r="A31" s="10" t="s">
        <v>81</v>
      </c>
      <c r="B31" s="11">
        <f t="shared" si="1"/>
        <v>340.67199999999997</v>
      </c>
      <c r="C31" s="1">
        <v>26.93</v>
      </c>
      <c r="D31" s="1">
        <v>26.315999999999999</v>
      </c>
      <c r="E31" s="1">
        <v>29.419</v>
      </c>
      <c r="F31" s="1">
        <v>28.463000000000001</v>
      </c>
      <c r="G31" s="1">
        <v>26.690999999999999</v>
      </c>
      <c r="H31" s="1">
        <v>27.459</v>
      </c>
      <c r="I31" s="1">
        <v>28.757000000000001</v>
      </c>
      <c r="J31" s="1">
        <v>28.483000000000001</v>
      </c>
      <c r="K31" s="1">
        <v>29.132999999999999</v>
      </c>
      <c r="L31" s="1">
        <v>31.931000000000001</v>
      </c>
      <c r="M31" s="1">
        <v>26.75</v>
      </c>
      <c r="N31" s="1">
        <v>30.34</v>
      </c>
      <c r="O31" s="12" t="s">
        <v>82</v>
      </c>
      <c r="P31" s="13"/>
    </row>
    <row r="32" spans="1:16" s="9" customFormat="1" ht="19.5" customHeight="1">
      <c r="A32" s="10" t="s">
        <v>83</v>
      </c>
      <c r="B32" s="11">
        <f t="shared" si="1"/>
        <v>169.72399999999999</v>
      </c>
      <c r="C32" s="1">
        <v>16.34</v>
      </c>
      <c r="D32" s="1">
        <v>14.867000000000001</v>
      </c>
      <c r="E32" s="1">
        <v>18.206</v>
      </c>
      <c r="F32" s="1">
        <v>15.513</v>
      </c>
      <c r="G32" s="1">
        <v>11.615</v>
      </c>
      <c r="H32" s="1">
        <v>9.5410000000000004</v>
      </c>
      <c r="I32" s="1">
        <v>13.173</v>
      </c>
      <c r="J32" s="1">
        <v>14.44</v>
      </c>
      <c r="K32" s="1">
        <v>13.898</v>
      </c>
      <c r="L32" s="1">
        <v>12.768000000000001</v>
      </c>
      <c r="M32" s="1">
        <v>11.904999999999999</v>
      </c>
      <c r="N32" s="1">
        <v>17.457999999999998</v>
      </c>
      <c r="O32" s="12" t="s">
        <v>84</v>
      </c>
      <c r="P32" s="13"/>
    </row>
    <row r="33" spans="1:16" s="9" customFormat="1" ht="19.5" customHeight="1">
      <c r="A33" s="10" t="s">
        <v>85</v>
      </c>
      <c r="B33" s="11">
        <f t="shared" si="1"/>
        <v>437.94299999999998</v>
      </c>
      <c r="C33" s="1">
        <v>36.100999999999999</v>
      </c>
      <c r="D33" s="1">
        <v>33.683999999999997</v>
      </c>
      <c r="E33" s="1">
        <v>36.924999999999997</v>
      </c>
      <c r="F33" s="1">
        <v>40.122999999999998</v>
      </c>
      <c r="G33" s="1">
        <v>33.179000000000002</v>
      </c>
      <c r="H33" s="1">
        <v>34.286999999999999</v>
      </c>
      <c r="I33" s="1">
        <v>40.008000000000003</v>
      </c>
      <c r="J33" s="1">
        <v>39.892000000000003</v>
      </c>
      <c r="K33" s="1">
        <v>36.886000000000003</v>
      </c>
      <c r="L33" s="1">
        <v>37.738999999999997</v>
      </c>
      <c r="M33" s="1">
        <v>32.149000000000001</v>
      </c>
      <c r="N33" s="1">
        <v>36.97</v>
      </c>
      <c r="O33" s="12" t="s">
        <v>86</v>
      </c>
      <c r="P33" s="13"/>
    </row>
    <row r="34" spans="1:16" s="9" customFormat="1" ht="19.5" customHeight="1">
      <c r="A34" s="14" t="s">
        <v>87</v>
      </c>
      <c r="B34" s="23">
        <f t="shared" si="1"/>
        <v>134.755</v>
      </c>
      <c r="C34" s="21">
        <v>11.465999999999999</v>
      </c>
      <c r="D34" s="21">
        <v>9.0060000000000002</v>
      </c>
      <c r="E34" s="21">
        <v>9.7149999999999999</v>
      </c>
      <c r="F34" s="21">
        <v>9.8439999999999994</v>
      </c>
      <c r="G34" s="21">
        <v>9.5830000000000002</v>
      </c>
      <c r="H34" s="21">
        <v>8.9380000000000006</v>
      </c>
      <c r="I34" s="21">
        <v>9.8989999999999991</v>
      </c>
      <c r="J34" s="21">
        <v>9.6479999999999997</v>
      </c>
      <c r="K34" s="21">
        <v>10.577999999999999</v>
      </c>
      <c r="L34" s="21">
        <v>15.228</v>
      </c>
      <c r="M34" s="21">
        <v>14.68</v>
      </c>
      <c r="N34" s="21">
        <v>16.170000000000002</v>
      </c>
      <c r="O34" s="15" t="s">
        <v>88</v>
      </c>
      <c r="P34" s="13"/>
    </row>
    <row r="35" spans="1:16" s="20" customFormat="1" ht="13.5" customHeight="1">
      <c r="A35" s="16" t="s">
        <v>0</v>
      </c>
      <c r="B35" s="17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" t="s">
        <v>1</v>
      </c>
    </row>
  </sheetData>
  <mergeCells count="5">
    <mergeCell ref="A1:O1"/>
    <mergeCell ref="A2:O2"/>
    <mergeCell ref="A3:O3"/>
    <mergeCell ref="A4:A5"/>
    <mergeCell ref="O4:O5"/>
  </mergeCells>
  <pageMargins left="0.17" right="0.16" top="0.46" bottom="0.75" header="0.3" footer="0.3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12.2</vt:lpstr>
      <vt:lpstr>'12.2'!Print_Area</vt:lpstr>
      <vt:lpstr>'12.2'!Print_Titles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2015-01-20T04:39:49Z</dcterms:modified>
</cp:coreProperties>
</file>