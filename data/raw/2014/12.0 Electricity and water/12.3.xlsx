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44" windowWidth="15252" windowHeight="8688" tabRatio="924"/>
  </bookViews>
  <sheets>
    <sheet name="12.3" sheetId="3" r:id="rId1"/>
  </sheets>
  <calcPr calcId="124519"/>
</workbook>
</file>

<file path=xl/calcChain.xml><?xml version="1.0" encoding="utf-8"?>
<calcChain xmlns="http://schemas.openxmlformats.org/spreadsheetml/2006/main">
  <c r="B6" i="3"/>
  <c r="C6"/>
  <c r="B34" l="1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  <c r="B7"/>
  <c r="N6"/>
  <c r="M6"/>
  <c r="L6"/>
  <c r="K6"/>
  <c r="J6"/>
  <c r="I6"/>
  <c r="H6"/>
  <c r="G6"/>
  <c r="F6"/>
  <c r="E6"/>
  <c r="D6"/>
</calcChain>
</file>

<file path=xl/sharedStrings.xml><?xml version="1.0" encoding="utf-8"?>
<sst xmlns="http://schemas.openxmlformats.org/spreadsheetml/2006/main" count="78" uniqueCount="77">
  <si>
    <t>Source: State Electric Company Limited</t>
  </si>
  <si>
    <t>cDeTimil Inepcmok ckircTckeliacTETcs :ctWrwf ivcaedutWmUluAwm</t>
  </si>
  <si>
    <t>Locality</t>
  </si>
  <si>
    <t>wlcmuj</t>
  </si>
  <si>
    <t>cnwt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</si>
  <si>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</si>
  <si>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</si>
  <si>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</si>
  <si>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</si>
  <si>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</si>
  <si>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</si>
  <si>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</si>
  <si>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</si>
  <si>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</si>
  <si>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</si>
  <si>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</si>
  <si>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</si>
  <si>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</si>
  <si>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K.Kaashidhoo</t>
  </si>
  <si>
    <t>ކ. ކާށިދޫ</t>
  </si>
  <si>
    <t>K.Gaafaru</t>
  </si>
  <si>
    <t>ކ. ގާފަރު</t>
  </si>
  <si>
    <t>K.Dhiffushi</t>
  </si>
  <si>
    <t>ކ. ދިއްފުށި</t>
  </si>
  <si>
    <t>K.Thulusdhoo</t>
  </si>
  <si>
    <t>ކ. ތުލުސްދޫ</t>
  </si>
  <si>
    <t>K.Himmafushi</t>
  </si>
  <si>
    <t>ކ. ހިންމަފުށި</t>
  </si>
  <si>
    <t>K.Hulhumale</t>
  </si>
  <si>
    <t>ކ. ހުޅުމާލެ</t>
  </si>
  <si>
    <t>K.Thilafushi</t>
  </si>
  <si>
    <t>ކ. ތިލަފުށި</t>
  </si>
  <si>
    <t>K.Gulhifalhu</t>
  </si>
  <si>
    <t>ކ. ގުޅިފަޅު</t>
  </si>
  <si>
    <t>K.Male'</t>
  </si>
  <si>
    <t>ކ. މާލެ</t>
  </si>
  <si>
    <t>K.Villingili</t>
  </si>
  <si>
    <t>ކ. ވިލިނގިލި</t>
  </si>
  <si>
    <t>K.Gulhi</t>
  </si>
  <si>
    <t>ކ. ގުޅި</t>
  </si>
  <si>
    <t>K.Maafushi</t>
  </si>
  <si>
    <t>ކ. މާފުށި</t>
  </si>
  <si>
    <t>K.Guraidhoo</t>
  </si>
  <si>
    <t>ކ. ގުރައިދޫ</t>
  </si>
  <si>
    <t>AA.Ukulhas</t>
  </si>
  <si>
    <t>އއ.އުކުޅަސް</t>
  </si>
  <si>
    <t>AA.Mathiveri</t>
  </si>
  <si>
    <t>އއ.މަތިވެރި</t>
  </si>
  <si>
    <t>AA.Bodufolhudhoo</t>
  </si>
  <si>
    <t>އއ.ބޮޑުފުޅަދޫ</t>
  </si>
  <si>
    <t>AA.Feridhoo</t>
  </si>
  <si>
    <t>އއ.ފެރިދޫ</t>
  </si>
  <si>
    <t>AA.Maalhos</t>
  </si>
  <si>
    <t>އއ.މާޅޮސް</t>
  </si>
  <si>
    <t>AA.Himandhoo</t>
  </si>
  <si>
    <t>އއ.ހިމަންދޫ</t>
  </si>
  <si>
    <t>ADh.Omadhoo</t>
  </si>
  <si>
    <t>އދ.އޮމަދޫ</t>
  </si>
  <si>
    <t>ADh.Kunburudhoo</t>
  </si>
  <si>
    <t>އދ.ކުނބުރުދޫ</t>
  </si>
  <si>
    <t>ADh.Dhigurah</t>
  </si>
  <si>
    <t>އދ.ދިގުރަށް</t>
  </si>
  <si>
    <t>ADh.Fenfushi</t>
  </si>
  <si>
    <t>އދ.ފެންފުށި</t>
  </si>
  <si>
    <t>ADh.Dhihdhoo</t>
  </si>
  <si>
    <t>އދ.ދިއްދޫ</t>
  </si>
  <si>
    <t>V.Fulidhoo</t>
  </si>
  <si>
    <t>ވ.ފެލިދޫ</t>
  </si>
  <si>
    <t>V.Thinadhoo</t>
  </si>
  <si>
    <t>ވ.ތިނަދޫ</t>
  </si>
  <si>
    <t>V.Keyodhoo</t>
  </si>
  <si>
    <t>ވ.ކެޔޮދޫ</t>
  </si>
  <si>
    <t>V.Rakeedhoo</t>
  </si>
  <si>
    <t>ވ.ރަކީދޫ</t>
  </si>
  <si>
    <t>ތާވަލު 12.3: މާލެއާއި އަތޮޅުތަކުގައި ސަރުކާރުގެ ފަރާތުން ސަރުކާރުގެ ފަރާތުން އެކިމަސްމަހު ކަރަންޓް އުފެއްދުމަށްޓަކާ ތެޔޮބޭނުންކުރެވިފައިވާ މިންވަރު، 2013</t>
  </si>
  <si>
    <t>Table  12.3 :   MONTHLY CONSUMPTION OF FUEL FOR ELECTRICITY GENERATION IN SELECTED LOCALITIES BY PUBLIC SECTOR, 2013</t>
  </si>
  <si>
    <r>
      <rPr>
        <b/>
        <sz val="10.5"/>
        <rFont val="Calibri"/>
        <family val="2"/>
        <scheme val="minor"/>
      </rPr>
      <t>(In '000 litres)</t>
    </r>
    <r>
      <rPr>
        <b/>
        <sz val="10.5"/>
        <rFont val="A_Faseyha"/>
      </rPr>
      <t xml:space="preserve"> (cniDwg cTovOlik 000 ')</t>
    </r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</si>
</sst>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.5"/>
      <name val="A_Faseyha"/>
    </font>
    <font>
      <b/>
      <sz val="10.5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Faruma"/>
    </font>
    <font>
      <b/>
      <sz val="12"/>
      <color theme="1"/>
      <name val="Faruma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_Faseyha"/>
    </font>
    <font>
      <b/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_Faseyha"/>
    </font>
    <font>
      <i/>
      <sz val="10"/>
      <color theme="1"/>
      <name val="Arial"/>
      <family val="2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4">
    <xf numFmtId="0" fontId="0" fillId="0" borderId="0" xfId="0"/>
    <xf numFmtId="0" fontId="0" fillId="2" borderId="0" xfId="0" applyFill="1"/>
    <xf numFmtId="0" fontId="10" fillId="2" borderId="3" xfId="2" applyFont="1" applyFill="1" applyBorder="1" applyAlignment="1">
      <alignment vertical="center"/>
    </xf>
    <xf numFmtId="0" fontId="11" fillId="2" borderId="3" xfId="2" applyFont="1" applyFill="1" applyBorder="1" applyAlignment="1">
      <alignment vertical="center"/>
    </xf>
    <xf numFmtId="0" fontId="12" fillId="2" borderId="3" xfId="2" applyFont="1" applyFill="1" applyBorder="1" applyAlignment="1">
      <alignment vertical="center"/>
    </xf>
    <xf numFmtId="0" fontId="13" fillId="2" borderId="6" xfId="2" applyFont="1" applyFill="1" applyBorder="1" applyAlignment="1" applyProtection="1">
      <alignment vertical="center"/>
    </xf>
    <xf numFmtId="164" fontId="13" fillId="2" borderId="6" xfId="1" applyNumberFormat="1" applyFont="1" applyFill="1" applyBorder="1" applyAlignment="1" applyProtection="1">
      <alignment horizontal="right" vertical="center"/>
    </xf>
    <xf numFmtId="0" fontId="14" fillId="2" borderId="13" xfId="0" applyFont="1" applyFill="1" applyBorder="1" applyAlignment="1">
      <alignment horizontal="right" vertical="center"/>
    </xf>
    <xf numFmtId="0" fontId="13" fillId="2" borderId="3" xfId="2" applyFont="1" applyFill="1" applyBorder="1" applyAlignment="1">
      <alignment vertical="center"/>
    </xf>
    <xf numFmtId="0" fontId="15" fillId="2" borderId="11" xfId="0" applyFont="1" applyFill="1" applyBorder="1" applyAlignment="1">
      <alignment horizontal="left" vertical="center"/>
    </xf>
    <xf numFmtId="3" fontId="13" fillId="2" borderId="3" xfId="0" applyNumberFormat="1" applyFont="1" applyFill="1" applyBorder="1" applyAlignment="1">
      <alignment horizontal="right" vertical="center"/>
    </xf>
    <xf numFmtId="164" fontId="13" fillId="2" borderId="3" xfId="3" applyNumberFormat="1" applyFont="1" applyFill="1" applyBorder="1" applyAlignment="1">
      <alignment horizontal="right" vertical="center"/>
    </xf>
    <xf numFmtId="0" fontId="14" fillId="2" borderId="9" xfId="0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left" vertical="center"/>
    </xf>
    <xf numFmtId="0" fontId="8" fillId="2" borderId="12" xfId="0" applyFont="1" applyFill="1" applyBorder="1" applyAlignment="1">
      <alignment horizontal="right" vertical="center"/>
    </xf>
    <xf numFmtId="164" fontId="10" fillId="2" borderId="3" xfId="3" applyNumberFormat="1" applyFont="1" applyFill="1" applyBorder="1" applyAlignment="1">
      <alignment vertical="center"/>
    </xf>
    <xf numFmtId="0" fontId="7" fillId="2" borderId="5" xfId="0" applyFont="1" applyFill="1" applyBorder="1" applyAlignment="1">
      <alignment horizontal="left" vertical="center"/>
    </xf>
    <xf numFmtId="0" fontId="8" fillId="2" borderId="8" xfId="0" applyFont="1" applyFill="1" applyBorder="1" applyAlignment="1">
      <alignment horizontal="right" vertical="center"/>
    </xf>
    <xf numFmtId="0" fontId="1" fillId="2" borderId="0" xfId="0" applyFont="1" applyFill="1" applyBorder="1"/>
    <xf numFmtId="1" fontId="1" fillId="2" borderId="0" xfId="0" applyNumberFormat="1" applyFont="1" applyFill="1" applyBorder="1"/>
    <xf numFmtId="0" fontId="1" fillId="2" borderId="0" xfId="0" applyFont="1" applyFill="1"/>
    <xf numFmtId="3" fontId="17" fillId="2" borderId="0" xfId="0" applyNumberFormat="1" applyFont="1" applyFill="1" applyBorder="1"/>
    <xf numFmtId="0" fontId="16" fillId="2" borderId="0" xfId="0" applyFont="1" applyFill="1" applyBorder="1"/>
    <xf numFmtId="0" fontId="19" fillId="2" borderId="0" xfId="0" applyFont="1" applyFill="1"/>
    <xf numFmtId="0" fontId="16" fillId="2" borderId="3" xfId="2" applyFont="1" applyFill="1" applyBorder="1" applyAlignment="1">
      <alignment vertical="center"/>
    </xf>
    <xf numFmtId="164" fontId="7" fillId="2" borderId="3" xfId="3" applyNumberFormat="1" applyFont="1" applyFill="1" applyBorder="1" applyAlignment="1">
      <alignment horizontal="right" vertical="center"/>
    </xf>
    <xf numFmtId="164" fontId="7" fillId="2" borderId="8" xfId="3" applyNumberFormat="1" applyFont="1" applyFill="1" applyBorder="1" applyAlignment="1">
      <alignment horizontal="right" vertical="center"/>
    </xf>
    <xf numFmtId="3" fontId="13" fillId="2" borderId="8" xfId="0" applyNumberFormat="1" applyFont="1" applyFill="1" applyBorder="1" applyAlignment="1">
      <alignment horizontal="right" vertical="center"/>
    </xf>
    <xf numFmtId="3" fontId="17" fillId="2" borderId="0" xfId="0" applyNumberFormat="1" applyFont="1" applyFill="1" applyBorder="1" applyAlignment="1">
      <alignment vertical="center"/>
    </xf>
    <xf numFmtId="0" fontId="16" fillId="2" borderId="0" xfId="0" applyFont="1" applyFill="1" applyBorder="1" applyAlignment="1">
      <alignment vertical="center"/>
    </xf>
    <xf numFmtId="0" fontId="18" fillId="2" borderId="0" xfId="0" applyFont="1" applyFill="1" applyBorder="1" applyAlignment="1">
      <alignment horizontal="right" vertical="center"/>
    </xf>
    <xf numFmtId="0" fontId="6" fillId="2" borderId="7" xfId="2" applyFont="1" applyFill="1" applyBorder="1" applyAlignment="1">
      <alignment vertical="center"/>
    </xf>
    <xf numFmtId="0" fontId="20" fillId="2" borderId="0" xfId="0" applyFont="1" applyFill="1" applyBorder="1" applyAlignment="1">
      <alignment vertical="center"/>
    </xf>
    <xf numFmtId="0" fontId="20" fillId="2" borderId="0" xfId="0" applyFont="1" applyFill="1" applyAlignment="1">
      <alignment vertical="center"/>
    </xf>
    <xf numFmtId="0" fontId="4" fillId="2" borderId="0" xfId="0" applyFont="1" applyFill="1" applyBorder="1" applyAlignment="1">
      <alignment horizontal="center"/>
    </xf>
    <xf numFmtId="0" fontId="9" fillId="2" borderId="12" xfId="2" applyFont="1" applyFill="1" applyBorder="1" applyAlignment="1">
      <alignment horizontal="center" vertical="center"/>
    </xf>
    <xf numFmtId="0" fontId="9" fillId="2" borderId="1" xfId="2" applyFont="1" applyFill="1" applyBorder="1" applyAlignment="1">
      <alignment horizontal="center" vertical="center"/>
    </xf>
    <xf numFmtId="0" fontId="9" fillId="2" borderId="2" xfId="2" applyFont="1" applyFill="1" applyBorder="1" applyAlignment="1">
      <alignment horizontal="center" vertical="center"/>
    </xf>
    <xf numFmtId="0" fontId="2" fillId="2" borderId="12" xfId="2" applyFont="1" applyFill="1" applyBorder="1" applyAlignment="1" applyProtection="1">
      <alignment horizontal="center" vertical="center"/>
    </xf>
    <xf numFmtId="0" fontId="2" fillId="2" borderId="1" xfId="2" applyFont="1" applyFill="1" applyBorder="1" applyAlignment="1" applyProtection="1">
      <alignment horizontal="center" vertical="center"/>
    </xf>
    <xf numFmtId="0" fontId="2" fillId="2" borderId="2" xfId="2" applyFont="1" applyFill="1" applyBorder="1" applyAlignment="1" applyProtection="1">
      <alignment horizontal="center" vertical="center"/>
    </xf>
    <xf numFmtId="0" fontId="2" fillId="2" borderId="10" xfId="2" applyFont="1" applyFill="1" applyBorder="1" applyAlignment="1" applyProtection="1">
      <alignment horizontal="center" vertical="top"/>
    </xf>
    <xf numFmtId="0" fontId="2" fillId="2" borderId="4" xfId="2" applyFont="1" applyFill="1" applyBorder="1" applyAlignment="1" applyProtection="1">
      <alignment horizontal="center" vertical="top"/>
    </xf>
    <xf numFmtId="0" fontId="2" fillId="2" borderId="5" xfId="2" applyFont="1" applyFill="1" applyBorder="1" applyAlignment="1" applyProtection="1">
      <alignment horizontal="center" vertical="top"/>
    </xf>
  </cellXfs>
  <cellStyles count="5">
    <cellStyle name="Comma 2" xfId="1"/>
    <cellStyle name="Comma 4" xfId="3"/>
    <cellStyle name="Comma 4 2" xfId="4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Q37"/>
  <sheetViews>
    <sheetView tabSelected="1" workbookViewId="0">
      <selection activeCell="K9" sqref="K9"/>
    </sheetView>
  </sheetViews>
  <sheetFormatPr defaultColWidth="11.109375" defaultRowHeight="17.25" customHeight="1"/>
  <cols>
    <col min="1" max="1" width="16.6640625" style="2" customWidth="1"/>
    <col min="2" max="14" width="8.44140625" style="2" customWidth="1"/>
    <col min="15" max="15" width="13.5546875" style="2" bestFit="1" customWidth="1"/>
    <col min="16" max="16" width="1.88671875" style="2" customWidth="1"/>
    <col min="17" max="16384" width="11.109375" style="2"/>
  </cols>
  <sheetData>
    <row r="1" spans="1:15" ht="21">
      <c r="A1" s="35" t="s">
        <v>74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7"/>
    </row>
    <row r="2" spans="1:15" s="3" customFormat="1" ht="14.4">
      <c r="A2" s="38" t="s">
        <v>75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40"/>
    </row>
    <row r="3" spans="1:15" s="1" customFormat="1" ht="16.8">
      <c r="A3" s="34" t="s">
        <v>76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</row>
    <row r="4" spans="1:15" s="4" customFormat="1" ht="15.6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3"/>
    </row>
    <row r="5" spans="1:15" s="8" customFormat="1" ht="16.2">
      <c r="A5" s="5" t="s">
        <v>2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6" t="s">
        <v>16</v>
      </c>
      <c r="N5" s="6" t="s">
        <v>17</v>
      </c>
      <c r="O5" s="7" t="s">
        <v>4</v>
      </c>
    </row>
    <row r="6" spans="1:15" ht="16.2">
      <c r="A6" s="9" t="s">
        <v>5</v>
      </c>
      <c r="B6" s="10">
        <f>SUM(C6:N6)</f>
        <v>79032.511999999988</v>
      </c>
      <c r="C6" s="11">
        <f>SUM(C7:C34)</f>
        <v>6433.2329999999993</v>
      </c>
      <c r="D6" s="11">
        <f t="shared" ref="D6:N6" si="0">SUM(D7:D34)</f>
        <v>5952.2629999999981</v>
      </c>
      <c r="E6" s="11">
        <f t="shared" si="0"/>
        <v>6806.3689999999997</v>
      </c>
      <c r="F6" s="11">
        <f t="shared" si="0"/>
        <v>7068.4750000000022</v>
      </c>
      <c r="G6" s="11">
        <f t="shared" si="0"/>
        <v>6592.9749999999985</v>
      </c>
      <c r="H6" s="11">
        <f t="shared" si="0"/>
        <v>6505.5070000000005</v>
      </c>
      <c r="I6" s="11">
        <f t="shared" si="0"/>
        <v>6790.9039999999968</v>
      </c>
      <c r="J6" s="11">
        <f t="shared" si="0"/>
        <v>6678.4600000000009</v>
      </c>
      <c r="K6" s="11">
        <f t="shared" si="0"/>
        <v>6685.5029999999997</v>
      </c>
      <c r="L6" s="11">
        <f t="shared" si="0"/>
        <v>6723.6509999999998</v>
      </c>
      <c r="M6" s="11">
        <f t="shared" si="0"/>
        <v>6357.9269999999979</v>
      </c>
      <c r="N6" s="11">
        <f t="shared" si="0"/>
        <v>6437.2450000000017</v>
      </c>
      <c r="O6" s="12" t="s">
        <v>3</v>
      </c>
    </row>
    <row r="7" spans="1:15" ht="18.600000000000001">
      <c r="A7" s="13" t="s">
        <v>18</v>
      </c>
      <c r="B7" s="10">
        <f t="shared" ref="B7:B34" si="1">SUM(C7:N7)</f>
        <v>401.16400000000004</v>
      </c>
      <c r="C7" s="25">
        <v>30.395</v>
      </c>
      <c r="D7" s="25">
        <v>28.497</v>
      </c>
      <c r="E7" s="25">
        <v>34.014000000000003</v>
      </c>
      <c r="F7" s="25">
        <v>33.066000000000003</v>
      </c>
      <c r="G7" s="25">
        <v>33.085999999999999</v>
      </c>
      <c r="H7" s="25">
        <v>31.288</v>
      </c>
      <c r="I7" s="25">
        <v>35.093000000000004</v>
      </c>
      <c r="J7" s="25">
        <v>35.869999999999997</v>
      </c>
      <c r="K7" s="25">
        <v>34.103000000000002</v>
      </c>
      <c r="L7" s="25">
        <v>36.749000000000002</v>
      </c>
      <c r="M7" s="25">
        <v>33.927999999999997</v>
      </c>
      <c r="N7" s="25">
        <v>35.075000000000003</v>
      </c>
      <c r="O7" s="14" t="s">
        <v>19</v>
      </c>
    </row>
    <row r="8" spans="1:15" ht="18.600000000000001">
      <c r="A8" s="13" t="s">
        <v>20</v>
      </c>
      <c r="B8" s="10">
        <f t="shared" si="1"/>
        <v>291.70299999999997</v>
      </c>
      <c r="C8" s="25">
        <v>20.969000000000001</v>
      </c>
      <c r="D8" s="25">
        <v>19.852</v>
      </c>
      <c r="E8" s="25">
        <v>23.420999999999999</v>
      </c>
      <c r="F8" s="25">
        <v>25.983000000000001</v>
      </c>
      <c r="G8" s="25">
        <v>24.15</v>
      </c>
      <c r="H8" s="25">
        <v>23.358000000000001</v>
      </c>
      <c r="I8" s="25">
        <v>26.225999999999999</v>
      </c>
      <c r="J8" s="25">
        <v>26.721</v>
      </c>
      <c r="K8" s="25">
        <v>23.693000000000001</v>
      </c>
      <c r="L8" s="25">
        <v>25.62</v>
      </c>
      <c r="M8" s="25">
        <v>25.721</v>
      </c>
      <c r="N8" s="25">
        <v>25.989000000000001</v>
      </c>
      <c r="O8" s="14" t="s">
        <v>21</v>
      </c>
    </row>
    <row r="9" spans="1:15" ht="18.600000000000001">
      <c r="A9" s="13" t="s">
        <v>22</v>
      </c>
      <c r="B9" s="10">
        <f t="shared" si="1"/>
        <v>215.77</v>
      </c>
      <c r="C9" s="25">
        <v>16.143999999999998</v>
      </c>
      <c r="D9" s="25">
        <v>15.23</v>
      </c>
      <c r="E9" s="25">
        <v>17.702000000000002</v>
      </c>
      <c r="F9" s="25">
        <v>18.908000000000001</v>
      </c>
      <c r="G9" s="25">
        <v>17.844000000000001</v>
      </c>
      <c r="H9" s="25">
        <v>16.945</v>
      </c>
      <c r="I9" s="25">
        <v>19.510000000000002</v>
      </c>
      <c r="J9" s="25">
        <v>19.055</v>
      </c>
      <c r="K9" s="25">
        <v>18.645</v>
      </c>
      <c r="L9" s="25">
        <v>19.247</v>
      </c>
      <c r="M9" s="25">
        <v>18.196000000000002</v>
      </c>
      <c r="N9" s="25">
        <v>18.344000000000001</v>
      </c>
      <c r="O9" s="14" t="s">
        <v>23</v>
      </c>
    </row>
    <row r="10" spans="1:15" ht="18.600000000000001">
      <c r="A10" s="13" t="s">
        <v>24</v>
      </c>
      <c r="B10" s="10">
        <f t="shared" si="1"/>
        <v>441.86099999999993</v>
      </c>
      <c r="C10" s="25">
        <v>35.445999999999998</v>
      </c>
      <c r="D10" s="25">
        <v>32.170999999999999</v>
      </c>
      <c r="E10" s="25">
        <v>38.712000000000003</v>
      </c>
      <c r="F10" s="25">
        <v>41.116999999999997</v>
      </c>
      <c r="G10" s="25">
        <v>36.206000000000003</v>
      </c>
      <c r="H10" s="25">
        <v>35.021999999999998</v>
      </c>
      <c r="I10" s="25">
        <v>38.805999999999997</v>
      </c>
      <c r="J10" s="25">
        <v>37.436999999999998</v>
      </c>
      <c r="K10" s="25">
        <v>37.558</v>
      </c>
      <c r="L10" s="25">
        <v>38.311</v>
      </c>
      <c r="M10" s="25">
        <v>35.234000000000002</v>
      </c>
      <c r="N10" s="25">
        <v>35.841000000000001</v>
      </c>
      <c r="O10" s="14" t="s">
        <v>25</v>
      </c>
    </row>
    <row r="11" spans="1:15" ht="18.600000000000001">
      <c r="A11" s="13" t="s">
        <v>26</v>
      </c>
      <c r="B11" s="10">
        <f t="shared" si="1"/>
        <v>553.94600000000003</v>
      </c>
      <c r="C11" s="25">
        <v>41.52</v>
      </c>
      <c r="D11" s="25">
        <v>39.523000000000003</v>
      </c>
      <c r="E11" s="25">
        <v>46.262</v>
      </c>
      <c r="F11" s="25">
        <v>56.91</v>
      </c>
      <c r="G11" s="25">
        <v>50.613999999999997</v>
      </c>
      <c r="H11" s="25">
        <v>47.177</v>
      </c>
      <c r="I11" s="25">
        <v>57.427999999999997</v>
      </c>
      <c r="J11" s="25">
        <v>48.78</v>
      </c>
      <c r="K11" s="25">
        <v>40.594999999999999</v>
      </c>
      <c r="L11" s="25">
        <v>43.122</v>
      </c>
      <c r="M11" s="25">
        <v>40.951000000000001</v>
      </c>
      <c r="N11" s="25">
        <v>41.064</v>
      </c>
      <c r="O11" s="14" t="s">
        <v>27</v>
      </c>
    </row>
    <row r="12" spans="1:15" ht="18.600000000000001">
      <c r="A12" s="13" t="s">
        <v>28</v>
      </c>
      <c r="B12" s="10">
        <f t="shared" si="1"/>
        <v>4717.1869999999999</v>
      </c>
      <c r="C12" s="25">
        <v>381.13299999999998</v>
      </c>
      <c r="D12" s="25">
        <v>339.875</v>
      </c>
      <c r="E12" s="25">
        <v>399.51400000000001</v>
      </c>
      <c r="F12" s="25">
        <v>403.048</v>
      </c>
      <c r="G12" s="25">
        <v>379.76</v>
      </c>
      <c r="H12" s="25">
        <v>370.48399999999998</v>
      </c>
      <c r="I12" s="25">
        <v>386.30700000000002</v>
      </c>
      <c r="J12" s="25">
        <v>394.42200000000003</v>
      </c>
      <c r="K12" s="25">
        <v>404.70699999999999</v>
      </c>
      <c r="L12" s="25">
        <v>407.42500000000001</v>
      </c>
      <c r="M12" s="25">
        <v>412.27100000000002</v>
      </c>
      <c r="N12" s="25">
        <v>438.24099999999999</v>
      </c>
      <c r="O12" s="14" t="s">
        <v>29</v>
      </c>
    </row>
    <row r="13" spans="1:15" ht="18.600000000000001">
      <c r="A13" s="13" t="s">
        <v>30</v>
      </c>
      <c r="B13" s="10">
        <f t="shared" si="1"/>
        <v>883.12999999999988</v>
      </c>
      <c r="C13" s="25">
        <v>74.769000000000005</v>
      </c>
      <c r="D13" s="25">
        <v>65.882999999999996</v>
      </c>
      <c r="E13" s="25">
        <v>73.39</v>
      </c>
      <c r="F13" s="25">
        <v>71.715000000000003</v>
      </c>
      <c r="G13" s="25">
        <v>70.099999999999994</v>
      </c>
      <c r="H13" s="25">
        <v>73.55</v>
      </c>
      <c r="I13" s="25">
        <v>76.311000000000007</v>
      </c>
      <c r="J13" s="25">
        <v>72.051000000000002</v>
      </c>
      <c r="K13" s="25">
        <v>75.039000000000001</v>
      </c>
      <c r="L13" s="25">
        <v>77.304000000000002</v>
      </c>
      <c r="M13" s="25">
        <v>74.444000000000003</v>
      </c>
      <c r="N13" s="25">
        <v>78.573999999999998</v>
      </c>
      <c r="O13" s="14" t="s">
        <v>31</v>
      </c>
    </row>
    <row r="14" spans="1:15" ht="18.600000000000001">
      <c r="A14" s="13" t="s">
        <v>32</v>
      </c>
      <c r="B14" s="10">
        <f t="shared" si="1"/>
        <v>47.575999999999993</v>
      </c>
      <c r="C14" s="25">
        <v>5.0190000000000001</v>
      </c>
      <c r="D14" s="25">
        <v>4.2969999999999997</v>
      </c>
      <c r="E14" s="25">
        <v>3.9380000000000002</v>
      </c>
      <c r="F14" s="25">
        <v>3.778</v>
      </c>
      <c r="G14" s="25">
        <v>3.6760000000000002</v>
      </c>
      <c r="H14" s="25">
        <v>3.6349999999999998</v>
      </c>
      <c r="I14" s="25">
        <v>3.5510000000000002</v>
      </c>
      <c r="J14" s="25">
        <v>3.4319999999999999</v>
      </c>
      <c r="K14" s="25">
        <v>4.1550000000000002</v>
      </c>
      <c r="L14" s="25">
        <v>4.0979999999999999</v>
      </c>
      <c r="M14" s="25">
        <v>3.9460000000000002</v>
      </c>
      <c r="N14" s="25">
        <v>4.0510000000000002</v>
      </c>
      <c r="O14" s="14" t="s">
        <v>33</v>
      </c>
    </row>
    <row r="15" spans="1:15" ht="18.600000000000001">
      <c r="A15" s="13" t="s">
        <v>34</v>
      </c>
      <c r="B15" s="10">
        <f t="shared" si="1"/>
        <v>65107.125</v>
      </c>
      <c r="C15" s="25">
        <v>5321.6450000000004</v>
      </c>
      <c r="D15" s="25">
        <v>4933.9470000000001</v>
      </c>
      <c r="E15" s="25">
        <v>5622.5559999999996</v>
      </c>
      <c r="F15" s="25">
        <v>5859.1120000000001</v>
      </c>
      <c r="G15" s="25">
        <v>5453.7169999999996</v>
      </c>
      <c r="H15" s="25">
        <v>5381.2470000000003</v>
      </c>
      <c r="I15" s="25">
        <v>5592.1509999999998</v>
      </c>
      <c r="J15" s="25">
        <v>5481.8220000000001</v>
      </c>
      <c r="K15" s="25">
        <v>5507.6059999999998</v>
      </c>
      <c r="L15" s="25">
        <v>5516.4870000000001</v>
      </c>
      <c r="M15" s="25">
        <v>5194.1989999999996</v>
      </c>
      <c r="N15" s="25">
        <v>5242.6360000000004</v>
      </c>
      <c r="O15" s="14" t="s">
        <v>35</v>
      </c>
    </row>
    <row r="16" spans="1:15" ht="18.600000000000001">
      <c r="A16" s="13" t="s">
        <v>36</v>
      </c>
      <c r="B16" s="10">
        <f t="shared" si="1"/>
        <v>2518.944</v>
      </c>
      <c r="C16" s="25">
        <v>206.68299999999999</v>
      </c>
      <c r="D16" s="25">
        <v>194.32499999999999</v>
      </c>
      <c r="E16" s="25">
        <v>218.785</v>
      </c>
      <c r="F16" s="25">
        <v>216.881</v>
      </c>
      <c r="G16" s="25">
        <v>197.78</v>
      </c>
      <c r="H16" s="25">
        <v>216.25899999999999</v>
      </c>
      <c r="I16" s="25">
        <v>222.43600000000001</v>
      </c>
      <c r="J16" s="25">
        <v>222.04499999999999</v>
      </c>
      <c r="K16" s="25">
        <v>216.363</v>
      </c>
      <c r="L16" s="25">
        <v>217.91900000000001</v>
      </c>
      <c r="M16" s="25">
        <v>198.88300000000001</v>
      </c>
      <c r="N16" s="25">
        <v>190.58500000000001</v>
      </c>
      <c r="O16" s="14" t="s">
        <v>37</v>
      </c>
    </row>
    <row r="17" spans="1:16" ht="18.600000000000001">
      <c r="A17" s="13" t="s">
        <v>38</v>
      </c>
      <c r="B17" s="10">
        <f t="shared" si="1"/>
        <v>194</v>
      </c>
      <c r="C17" s="25">
        <v>15.4</v>
      </c>
      <c r="D17" s="25">
        <v>14</v>
      </c>
      <c r="E17" s="25">
        <v>16</v>
      </c>
      <c r="F17" s="25">
        <v>15.8</v>
      </c>
      <c r="G17" s="25">
        <v>15.6</v>
      </c>
      <c r="H17" s="25">
        <v>16</v>
      </c>
      <c r="I17" s="25">
        <v>18.2</v>
      </c>
      <c r="J17" s="25">
        <v>17.8</v>
      </c>
      <c r="K17" s="25">
        <v>16.2</v>
      </c>
      <c r="L17" s="25">
        <v>17.2</v>
      </c>
      <c r="M17" s="25">
        <v>15.8</v>
      </c>
      <c r="N17" s="25">
        <v>16</v>
      </c>
      <c r="O17" s="14" t="s">
        <v>39</v>
      </c>
    </row>
    <row r="18" spans="1:16" ht="18.600000000000001">
      <c r="A18" s="13" t="s">
        <v>40</v>
      </c>
      <c r="B18" s="10">
        <f t="shared" si="1"/>
        <v>1108.96</v>
      </c>
      <c r="C18" s="25">
        <v>84.488</v>
      </c>
      <c r="D18" s="25">
        <v>78.498000000000005</v>
      </c>
      <c r="E18" s="25">
        <v>97.272999999999996</v>
      </c>
      <c r="F18" s="25">
        <v>102.83799999999999</v>
      </c>
      <c r="G18" s="25">
        <v>95.869</v>
      </c>
      <c r="H18" s="25">
        <v>82.808000000000007</v>
      </c>
      <c r="I18" s="25">
        <v>88.665000000000006</v>
      </c>
      <c r="J18" s="25">
        <v>96.433999999999997</v>
      </c>
      <c r="K18" s="25">
        <v>90.421999999999997</v>
      </c>
      <c r="L18" s="25">
        <v>101.251</v>
      </c>
      <c r="M18" s="25">
        <v>95.206999999999994</v>
      </c>
      <c r="N18" s="25">
        <v>95.206999999999994</v>
      </c>
      <c r="O18" s="14" t="s">
        <v>41</v>
      </c>
    </row>
    <row r="19" spans="1:16" ht="18.600000000000001">
      <c r="A19" s="13" t="s">
        <v>42</v>
      </c>
      <c r="B19" s="10">
        <f t="shared" si="1"/>
        <v>483.32600000000002</v>
      </c>
      <c r="C19" s="25">
        <v>38.270000000000003</v>
      </c>
      <c r="D19" s="25">
        <v>35.844000000000001</v>
      </c>
      <c r="E19" s="25">
        <v>42.631</v>
      </c>
      <c r="F19" s="25">
        <v>43.337000000000003</v>
      </c>
      <c r="G19" s="25">
        <v>41.893000000000001</v>
      </c>
      <c r="H19" s="25">
        <v>39.942</v>
      </c>
      <c r="I19" s="25">
        <v>41.506999999999998</v>
      </c>
      <c r="J19" s="25">
        <v>40.612000000000002</v>
      </c>
      <c r="K19" s="25">
        <v>40.817</v>
      </c>
      <c r="L19" s="25">
        <v>40.454999999999998</v>
      </c>
      <c r="M19" s="25">
        <v>38.932000000000002</v>
      </c>
      <c r="N19" s="25">
        <v>39.085999999999999</v>
      </c>
      <c r="O19" s="14" t="s">
        <v>43</v>
      </c>
    </row>
    <row r="20" spans="1:16" ht="18.600000000000001">
      <c r="A20" s="13" t="s">
        <v>44</v>
      </c>
      <c r="B20" s="10">
        <f t="shared" si="1"/>
        <v>221.13000000000005</v>
      </c>
      <c r="C20" s="25">
        <v>16.86</v>
      </c>
      <c r="D20" s="25">
        <v>16.690000000000001</v>
      </c>
      <c r="E20" s="25">
        <v>19.227</v>
      </c>
      <c r="F20" s="25">
        <v>19.922999999999998</v>
      </c>
      <c r="G20" s="25">
        <v>18.221</v>
      </c>
      <c r="H20" s="25">
        <v>17.855</v>
      </c>
      <c r="I20" s="25">
        <v>18.702999999999999</v>
      </c>
      <c r="J20" s="25">
        <v>19.067</v>
      </c>
      <c r="K20" s="25">
        <v>18.995000000000001</v>
      </c>
      <c r="L20" s="25">
        <v>19.459</v>
      </c>
      <c r="M20" s="25">
        <v>18.056000000000001</v>
      </c>
      <c r="N20" s="25">
        <v>18.074000000000002</v>
      </c>
      <c r="O20" s="14" t="s">
        <v>45</v>
      </c>
    </row>
    <row r="21" spans="1:16" ht="18.600000000000001">
      <c r="A21" s="13" t="s">
        <v>46</v>
      </c>
      <c r="B21" s="10">
        <f t="shared" si="1"/>
        <v>188.202</v>
      </c>
      <c r="C21" s="25">
        <v>14.851000000000001</v>
      </c>
      <c r="D21" s="25">
        <v>13.566000000000001</v>
      </c>
      <c r="E21" s="25">
        <v>15.776999999999999</v>
      </c>
      <c r="F21" s="25">
        <v>15.749000000000001</v>
      </c>
      <c r="G21" s="25">
        <v>16.442</v>
      </c>
      <c r="H21" s="25">
        <v>14.888</v>
      </c>
      <c r="I21" s="25">
        <v>15.888999999999999</v>
      </c>
      <c r="J21" s="25">
        <v>15.648999999999999</v>
      </c>
      <c r="K21" s="25">
        <v>15.701000000000001</v>
      </c>
      <c r="L21" s="25">
        <v>17.616</v>
      </c>
      <c r="M21" s="25">
        <v>15.94</v>
      </c>
      <c r="N21" s="25">
        <v>16.134</v>
      </c>
      <c r="O21" s="14" t="s">
        <v>47</v>
      </c>
    </row>
    <row r="22" spans="1:16" ht="18.600000000000001">
      <c r="A22" s="13" t="s">
        <v>48</v>
      </c>
      <c r="B22" s="10">
        <f t="shared" si="1"/>
        <v>134.06700000000001</v>
      </c>
      <c r="C22" s="25">
        <v>11.038</v>
      </c>
      <c r="D22" s="25">
        <v>9.984</v>
      </c>
      <c r="E22" s="25">
        <v>11.457000000000001</v>
      </c>
      <c r="F22" s="25">
        <v>11.209</v>
      </c>
      <c r="G22" s="25">
        <v>11.157</v>
      </c>
      <c r="H22" s="25">
        <v>10.548999999999999</v>
      </c>
      <c r="I22" s="25">
        <v>11.798999999999999</v>
      </c>
      <c r="J22" s="25">
        <v>11.595000000000001</v>
      </c>
      <c r="K22" s="25">
        <v>11.305999999999999</v>
      </c>
      <c r="L22" s="25">
        <v>11.576000000000001</v>
      </c>
      <c r="M22" s="25">
        <v>10.914999999999999</v>
      </c>
      <c r="N22" s="25">
        <v>11.481999999999999</v>
      </c>
      <c r="O22" s="14" t="s">
        <v>49</v>
      </c>
    </row>
    <row r="23" spans="1:16" ht="18.600000000000001">
      <c r="A23" s="13" t="s">
        <v>50</v>
      </c>
      <c r="B23" s="10">
        <f t="shared" si="1"/>
        <v>150.33100000000002</v>
      </c>
      <c r="C23" s="25">
        <v>12.928000000000001</v>
      </c>
      <c r="D23" s="25">
        <v>11.701000000000001</v>
      </c>
      <c r="E23" s="25">
        <v>12.972</v>
      </c>
      <c r="F23" s="25">
        <v>12.707000000000001</v>
      </c>
      <c r="G23" s="25">
        <v>12.474</v>
      </c>
      <c r="H23" s="25">
        <v>13.265000000000001</v>
      </c>
      <c r="I23" s="25">
        <v>14.489000000000001</v>
      </c>
      <c r="J23" s="25">
        <v>15.224</v>
      </c>
      <c r="K23" s="25">
        <v>10.7</v>
      </c>
      <c r="L23" s="25">
        <v>10.446999999999999</v>
      </c>
      <c r="M23" s="25">
        <v>10.715999999999999</v>
      </c>
      <c r="N23" s="25">
        <v>12.708</v>
      </c>
      <c r="O23" s="14" t="s">
        <v>51</v>
      </c>
    </row>
    <row r="24" spans="1:16" ht="18.600000000000001">
      <c r="A24" s="13" t="s">
        <v>52</v>
      </c>
      <c r="B24" s="10">
        <f t="shared" si="1"/>
        <v>124.58499999999999</v>
      </c>
      <c r="C24" s="25">
        <v>9.3049999999999997</v>
      </c>
      <c r="D24" s="25">
        <v>8.4960000000000004</v>
      </c>
      <c r="E24" s="25">
        <v>9.7360000000000007</v>
      </c>
      <c r="F24" s="25">
        <v>9.5630000000000006</v>
      </c>
      <c r="G24" s="25">
        <v>9.9670000000000005</v>
      </c>
      <c r="H24" s="25">
        <v>9.6839999999999993</v>
      </c>
      <c r="I24" s="25">
        <v>11.11</v>
      </c>
      <c r="J24" s="25">
        <v>10.614000000000001</v>
      </c>
      <c r="K24" s="25">
        <v>11.010999999999999</v>
      </c>
      <c r="L24" s="25">
        <v>11.574</v>
      </c>
      <c r="M24" s="25">
        <v>11.331</v>
      </c>
      <c r="N24" s="25">
        <v>12.194000000000001</v>
      </c>
      <c r="O24" s="14" t="s">
        <v>53</v>
      </c>
    </row>
    <row r="25" spans="1:16" ht="18.600000000000001">
      <c r="A25" s="13" t="s">
        <v>54</v>
      </c>
      <c r="B25" s="10">
        <f t="shared" si="1"/>
        <v>187.06200000000001</v>
      </c>
      <c r="C25" s="25">
        <v>14.15</v>
      </c>
      <c r="D25" s="25">
        <v>13.739000000000001</v>
      </c>
      <c r="E25" s="25">
        <v>15.74</v>
      </c>
      <c r="F25" s="25">
        <v>16.718</v>
      </c>
      <c r="G25" s="25">
        <v>15.965999999999999</v>
      </c>
      <c r="H25" s="25">
        <v>15.609</v>
      </c>
      <c r="I25" s="25">
        <v>17.841999999999999</v>
      </c>
      <c r="J25" s="25">
        <v>16.125</v>
      </c>
      <c r="K25" s="25">
        <v>15.741</v>
      </c>
      <c r="L25" s="25">
        <v>16.146000000000001</v>
      </c>
      <c r="M25" s="25">
        <v>14.302</v>
      </c>
      <c r="N25" s="25">
        <v>14.984</v>
      </c>
      <c r="O25" s="14" t="s">
        <v>55</v>
      </c>
    </row>
    <row r="26" spans="1:16" ht="18.600000000000001">
      <c r="A26" s="13" t="s">
        <v>56</v>
      </c>
      <c r="B26" s="10">
        <f t="shared" si="1"/>
        <v>169.11399999999998</v>
      </c>
      <c r="C26" s="25">
        <v>13.526</v>
      </c>
      <c r="D26" s="25">
        <v>12.548999999999999</v>
      </c>
      <c r="E26" s="25">
        <v>14.236000000000001</v>
      </c>
      <c r="F26" s="25">
        <v>14.47</v>
      </c>
      <c r="G26" s="25">
        <v>14.519</v>
      </c>
      <c r="H26" s="25">
        <v>13.472</v>
      </c>
      <c r="I26" s="25">
        <v>15.087999999999999</v>
      </c>
      <c r="J26" s="25">
        <v>14.696999999999999</v>
      </c>
      <c r="K26" s="25">
        <v>13.987</v>
      </c>
      <c r="L26" s="25">
        <v>14.253</v>
      </c>
      <c r="M26" s="25">
        <v>13.223000000000001</v>
      </c>
      <c r="N26" s="25">
        <v>15.093999999999999</v>
      </c>
      <c r="O26" s="14" t="s">
        <v>57</v>
      </c>
    </row>
    <row r="27" spans="1:16" ht="18.600000000000001">
      <c r="A27" s="13" t="s">
        <v>58</v>
      </c>
      <c r="B27" s="10">
        <f t="shared" si="1"/>
        <v>101.03600000000002</v>
      </c>
      <c r="C27" s="25">
        <v>7.8</v>
      </c>
      <c r="D27" s="25">
        <v>7.5149999999999997</v>
      </c>
      <c r="E27" s="25">
        <v>9.1449999999999996</v>
      </c>
      <c r="F27" s="25">
        <v>8.359</v>
      </c>
      <c r="G27" s="25">
        <v>8.2569999999999997</v>
      </c>
      <c r="H27" s="25">
        <v>8.2560000000000002</v>
      </c>
      <c r="I27" s="25">
        <v>9.0380000000000003</v>
      </c>
      <c r="J27" s="25">
        <v>8.3480000000000008</v>
      </c>
      <c r="K27" s="25">
        <v>8.6199999999999992</v>
      </c>
      <c r="L27" s="25">
        <v>9.06</v>
      </c>
      <c r="M27" s="25">
        <v>8.32</v>
      </c>
      <c r="N27" s="25">
        <v>8.3179999999999996</v>
      </c>
      <c r="O27" s="14" t="s">
        <v>59</v>
      </c>
      <c r="P27" s="15"/>
    </row>
    <row r="28" spans="1:16" ht="18.600000000000001">
      <c r="A28" s="13" t="s">
        <v>60</v>
      </c>
      <c r="B28" s="10">
        <f t="shared" si="1"/>
        <v>154.30500000000001</v>
      </c>
      <c r="C28" s="25">
        <v>11.755000000000001</v>
      </c>
      <c r="D28" s="25">
        <v>10.164999999999999</v>
      </c>
      <c r="E28" s="25">
        <v>10.965</v>
      </c>
      <c r="F28" s="25">
        <v>12.494999999999999</v>
      </c>
      <c r="G28" s="25">
        <v>13.115</v>
      </c>
      <c r="H28" s="25">
        <v>12.196999999999999</v>
      </c>
      <c r="I28" s="25">
        <v>13.285</v>
      </c>
      <c r="J28" s="25">
        <v>14.23</v>
      </c>
      <c r="K28" s="25">
        <v>15.196</v>
      </c>
      <c r="L28" s="25">
        <v>14.474</v>
      </c>
      <c r="M28" s="25">
        <v>13.673</v>
      </c>
      <c r="N28" s="25">
        <v>12.755000000000001</v>
      </c>
      <c r="O28" s="14" t="s">
        <v>61</v>
      </c>
      <c r="P28" s="15"/>
    </row>
    <row r="29" spans="1:16" ht="18.600000000000001">
      <c r="A29" s="13" t="s">
        <v>62</v>
      </c>
      <c r="B29" s="10">
        <f t="shared" si="1"/>
        <v>194.54300000000003</v>
      </c>
      <c r="C29" s="25">
        <v>14.528</v>
      </c>
      <c r="D29" s="25">
        <v>13.36</v>
      </c>
      <c r="E29" s="25">
        <v>16.042000000000002</v>
      </c>
      <c r="F29" s="25">
        <v>17.087</v>
      </c>
      <c r="G29" s="25">
        <v>15.701000000000001</v>
      </c>
      <c r="H29" s="25">
        <v>15.372999999999999</v>
      </c>
      <c r="I29" s="25">
        <v>17.872</v>
      </c>
      <c r="J29" s="25">
        <v>17.350999999999999</v>
      </c>
      <c r="K29" s="25">
        <v>16.925000000000001</v>
      </c>
      <c r="L29" s="25">
        <v>17.055</v>
      </c>
      <c r="M29" s="25">
        <v>17.074000000000002</v>
      </c>
      <c r="N29" s="25">
        <v>16.175000000000001</v>
      </c>
      <c r="O29" s="14" t="s">
        <v>63</v>
      </c>
      <c r="P29" s="15"/>
    </row>
    <row r="30" spans="1:16" ht="18.600000000000001">
      <c r="A30" s="13" t="s">
        <v>64</v>
      </c>
      <c r="B30" s="10">
        <f t="shared" si="1"/>
        <v>43.088999999999992</v>
      </c>
      <c r="C30" s="25">
        <v>3.226</v>
      </c>
      <c r="D30" s="25">
        <v>2.6680000000000001</v>
      </c>
      <c r="E30" s="25">
        <v>3.621</v>
      </c>
      <c r="F30" s="25">
        <v>3.1970000000000001</v>
      </c>
      <c r="G30" s="25">
        <v>3.7349999999999999</v>
      </c>
      <c r="H30" s="25">
        <v>3.4710000000000001</v>
      </c>
      <c r="I30" s="25">
        <v>3.8069999999999999</v>
      </c>
      <c r="J30" s="25">
        <v>3.76</v>
      </c>
      <c r="K30" s="25">
        <v>3.5859999999999999</v>
      </c>
      <c r="L30" s="25">
        <v>3.7970000000000002</v>
      </c>
      <c r="M30" s="25">
        <v>4.0250000000000004</v>
      </c>
      <c r="N30" s="25">
        <v>4.1959999999999997</v>
      </c>
      <c r="O30" s="14" t="s">
        <v>65</v>
      </c>
      <c r="P30" s="15"/>
    </row>
    <row r="31" spans="1:16" ht="18.600000000000001">
      <c r="A31" s="13" t="s">
        <v>66</v>
      </c>
      <c r="B31" s="10">
        <f t="shared" si="1"/>
        <v>130.881</v>
      </c>
      <c r="C31" s="25">
        <v>11.063000000000001</v>
      </c>
      <c r="D31" s="25">
        <v>10.009</v>
      </c>
      <c r="E31" s="25">
        <v>11.074</v>
      </c>
      <c r="F31" s="25">
        <v>10.725</v>
      </c>
      <c r="G31" s="25">
        <v>11.085000000000001</v>
      </c>
      <c r="H31" s="25">
        <v>11.085000000000001</v>
      </c>
      <c r="I31" s="25">
        <v>10.96</v>
      </c>
      <c r="J31" s="25">
        <v>11.005000000000001</v>
      </c>
      <c r="K31" s="25">
        <v>10.62</v>
      </c>
      <c r="L31" s="25">
        <v>10.965</v>
      </c>
      <c r="M31" s="25">
        <v>11.337</v>
      </c>
      <c r="N31" s="25">
        <v>10.952999999999999</v>
      </c>
      <c r="O31" s="14" t="s">
        <v>67</v>
      </c>
      <c r="P31" s="15"/>
    </row>
    <row r="32" spans="1:16" ht="18.600000000000001">
      <c r="A32" s="13" t="s">
        <v>68</v>
      </c>
      <c r="B32" s="10">
        <f t="shared" si="1"/>
        <v>65.967999999999989</v>
      </c>
      <c r="C32" s="25">
        <v>4.83</v>
      </c>
      <c r="D32" s="25">
        <v>4.82</v>
      </c>
      <c r="E32" s="25">
        <v>5.74</v>
      </c>
      <c r="F32" s="25">
        <v>6.335</v>
      </c>
      <c r="G32" s="25">
        <v>5.2990000000000004</v>
      </c>
      <c r="H32" s="25">
        <v>5.117</v>
      </c>
      <c r="I32" s="25">
        <v>5.8650000000000002</v>
      </c>
      <c r="J32" s="25">
        <v>5.7850000000000001</v>
      </c>
      <c r="K32" s="25">
        <v>5.0549999999999997</v>
      </c>
      <c r="L32" s="25">
        <v>5.2770000000000001</v>
      </c>
      <c r="M32" s="25">
        <v>5.4550000000000001</v>
      </c>
      <c r="N32" s="25">
        <v>6.39</v>
      </c>
      <c r="O32" s="14" t="s">
        <v>69</v>
      </c>
      <c r="P32" s="15"/>
    </row>
    <row r="33" spans="1:17" ht="18.600000000000001">
      <c r="A33" s="13" t="s">
        <v>70</v>
      </c>
      <c r="B33" s="10">
        <f t="shared" si="1"/>
        <v>147.51599999999999</v>
      </c>
      <c r="C33" s="25">
        <v>10.872999999999999</v>
      </c>
      <c r="D33" s="25">
        <v>10.771000000000001</v>
      </c>
      <c r="E33" s="25">
        <v>11.69</v>
      </c>
      <c r="F33" s="25">
        <v>12.67</v>
      </c>
      <c r="G33" s="25">
        <v>12.183</v>
      </c>
      <c r="H33" s="25">
        <v>12.622</v>
      </c>
      <c r="I33" s="25">
        <v>14.305999999999999</v>
      </c>
      <c r="J33" s="25">
        <v>13.965</v>
      </c>
      <c r="K33" s="25">
        <v>13.542</v>
      </c>
      <c r="L33" s="25">
        <v>11.946</v>
      </c>
      <c r="M33" s="25">
        <v>11.253</v>
      </c>
      <c r="N33" s="25">
        <v>11.695</v>
      </c>
      <c r="O33" s="14" t="s">
        <v>71</v>
      </c>
      <c r="P33" s="15"/>
    </row>
    <row r="34" spans="1:17" s="20" customFormat="1" ht="18" customHeight="1">
      <c r="A34" s="16" t="s">
        <v>72</v>
      </c>
      <c r="B34" s="27">
        <f t="shared" si="1"/>
        <v>55.991</v>
      </c>
      <c r="C34" s="26">
        <v>4.6189999999999998</v>
      </c>
      <c r="D34" s="26">
        <v>4.2880000000000003</v>
      </c>
      <c r="E34" s="26">
        <v>4.7489999999999997</v>
      </c>
      <c r="F34" s="26">
        <v>4.7750000000000004</v>
      </c>
      <c r="G34" s="26">
        <v>4.5590000000000002</v>
      </c>
      <c r="H34" s="26">
        <v>4.3490000000000002</v>
      </c>
      <c r="I34" s="26">
        <v>4.66</v>
      </c>
      <c r="J34" s="26">
        <v>4.5640000000000001</v>
      </c>
      <c r="K34" s="26">
        <v>4.6150000000000002</v>
      </c>
      <c r="L34" s="26">
        <v>4.8179999999999996</v>
      </c>
      <c r="M34" s="26">
        <v>4.5949999999999998</v>
      </c>
      <c r="N34" s="26">
        <v>5.4</v>
      </c>
      <c r="O34" s="17" t="s">
        <v>73</v>
      </c>
      <c r="P34" s="18"/>
      <c r="Q34" s="19"/>
    </row>
    <row r="35" spans="1:17" s="33" customFormat="1" ht="16.2" customHeight="1">
      <c r="A35" s="31" t="s">
        <v>0</v>
      </c>
      <c r="B35" s="28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32"/>
      <c r="O35" s="30" t="s">
        <v>1</v>
      </c>
    </row>
    <row r="36" spans="1:17" s="20" customFormat="1" ht="17.25" customHeight="1">
      <c r="A36" s="23"/>
      <c r="B36" s="21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18"/>
    </row>
    <row r="37" spans="1:17" s="24" customFormat="1" ht="11.4"/>
  </sheetData>
  <mergeCells count="4">
    <mergeCell ref="A1:O1"/>
    <mergeCell ref="A2:O2"/>
    <mergeCell ref="A3:O3"/>
    <mergeCell ref="A4:O4"/>
  </mergeCells>
  <pageMargins left="0.7" right="0.7" top="0.44" bottom="0.21" header="0.3" footer="0.3"/>
  <pageSetup paperSize="9" scale="85" orientation="landscape" r:id="rId1"/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12.3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2015-01-20T04:35:08Z</cp:lastPrinted>
  <dcterms:created xsi:type="dcterms:W3CDTF">2015-01-12T08:51:45Z</dcterms:created>
  <dcterms:modified xsi:type="dcterms:W3CDTF">2015-01-20T04:40:32Z</dcterms:modified>
</cp:coreProperties>
</file>