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44" windowWidth="15252" windowHeight="8688" tabRatio="924"/>
  </bookViews>
  <sheets>
    <sheet name="12.5" sheetId="5" r:id="rId1"/>
  </sheets>
  <calcPr calcId="124519"/>
</workbook>
</file>

<file path=xl/calcChain.xml><?xml version="1.0" encoding="utf-8"?>
<calcChain xmlns="http://schemas.openxmlformats.org/spreadsheetml/2006/main">
  <c r="C11" i="5"/>
  <c r="E10" s="1"/>
  <c r="E6" l="1"/>
  <c r="E7"/>
  <c r="E8"/>
  <c r="E9"/>
  <c r="C18" l="1"/>
  <c r="E17"/>
  <c r="D17"/>
  <c r="E16"/>
  <c r="D16"/>
  <c r="D15"/>
  <c r="E14"/>
  <c r="D14"/>
  <c r="D13"/>
  <c r="D18" s="1"/>
  <c r="F18" s="1"/>
  <c r="E11"/>
  <c r="D10"/>
  <c r="D9"/>
  <c r="D8"/>
  <c r="D7"/>
  <c r="D6"/>
  <c r="D11" l="1"/>
  <c r="F11" s="1"/>
  <c r="E18"/>
  <c r="E15"/>
  <c r="E13"/>
  <c r="F16"/>
  <c r="F7"/>
  <c r="F8"/>
  <c r="F9"/>
  <c r="F10"/>
  <c r="F14"/>
  <c r="F15"/>
  <c r="F17"/>
  <c r="F13"/>
  <c r="F6" l="1"/>
</calcChain>
</file>

<file path=xl/sharedStrings.xml><?xml version="1.0" encoding="utf-8"?>
<sst xmlns="http://schemas.openxmlformats.org/spreadsheetml/2006/main" count="44" uniqueCount="31">
  <si>
    <t xml:space="preserve"> % cnutogWviawfiheb</t>
  </si>
  <si>
    <t>Source: State Electric Company Limited</t>
  </si>
  <si>
    <t>2013 ,urwvcnim unuverukcnunEb cTcnwrwk iawgElWm :12.5 ulwvWt</t>
  </si>
  <si>
    <t>TABLE 12.5 ELECTRICITY CONSUMPTION IN MALE',  2013</t>
  </si>
  <si>
    <t>Bands</t>
  </si>
  <si>
    <t>ރޭޓް</t>
  </si>
  <si>
    <t>ޖުމްލަ</t>
  </si>
  <si>
    <t>އަދަދު</t>
  </si>
  <si>
    <t>ބޭންޑް</t>
  </si>
  <si>
    <t>Rates (Rf)</t>
  </si>
  <si>
    <t>Total (Kwh)</t>
  </si>
  <si>
    <t>Value (Rf)</t>
  </si>
  <si>
    <t>% Share of Quantity</t>
  </si>
  <si>
    <t>% Share of Value</t>
  </si>
  <si>
    <t>Domestic</t>
  </si>
  <si>
    <t>ގޭބިސީ</t>
  </si>
  <si>
    <t>0-100 units</t>
  </si>
  <si>
    <t>100 - 0</t>
  </si>
  <si>
    <t>101-300</t>
  </si>
  <si>
    <t>300 - 101</t>
  </si>
  <si>
    <t>301 -500</t>
  </si>
  <si>
    <t>500 - 301</t>
  </si>
  <si>
    <t>501-600</t>
  </si>
  <si>
    <t>600 - 501</t>
  </si>
  <si>
    <t>&gt; 600</t>
  </si>
  <si>
    <t>All bands</t>
  </si>
  <si>
    <t>ހުރިހާ ބޭންޑް</t>
  </si>
  <si>
    <t>Non-Domestic</t>
  </si>
  <si>
    <t>އޮފީސް އަދި އެހެނިހެން</t>
  </si>
  <si>
    <t>601އަށް ވުރެމަތި</t>
  </si>
  <si>
    <t>cDeTimil Inepcmok ckircTckeliacTETcs :ctWrwfivcaedutWmUluAwm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</si>
</sst>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_(* #,##0_);_(* \(#,##0\);_(* &quot;-&quot;??_);_(@_)"/>
    <numFmt numFmtId="166" formatCode="_(* #,##0.0_);_(* \(#,##0.0\);_(* &quot;-&quot;??_);_(@_)"/>
    <numFmt numFmtId="167" formatCode="General_)"/>
  </numFmts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A_Randhoo"/>
    </font>
    <font>
      <b/>
      <sz val="12"/>
      <name val="Calibri"/>
      <family val="2"/>
      <scheme val="minor"/>
    </font>
    <font>
      <b/>
      <sz val="11"/>
      <name val="A_Faseyha"/>
    </font>
    <font>
      <b/>
      <sz val="11"/>
      <name val="A_Randhoo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Faruma"/>
    </font>
    <font>
      <b/>
      <sz val="11"/>
      <name val="A_Ilham"/>
    </font>
    <font>
      <b/>
      <u/>
      <sz val="11"/>
      <color theme="1"/>
      <name val="Calibri"/>
      <family val="2"/>
      <scheme val="minor"/>
    </font>
    <font>
      <sz val="11"/>
      <name val="Arial"/>
      <family val="2"/>
    </font>
    <font>
      <sz val="11"/>
      <name val="Faruma"/>
    </font>
    <font>
      <b/>
      <u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/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8" fillId="2" borderId="12" xfId="2" applyFont="1" applyFill="1" applyBorder="1" applyAlignment="1">
      <alignment vertical="center"/>
    </xf>
    <xf numFmtId="0" fontId="9" fillId="2" borderId="3" xfId="0" applyFont="1" applyFill="1" applyBorder="1"/>
    <xf numFmtId="0" fontId="3" fillId="2" borderId="3" xfId="0" applyFont="1" applyFill="1" applyBorder="1"/>
    <xf numFmtId="167" fontId="11" fillId="2" borderId="13" xfId="2" applyNumberFormat="1" applyFont="1" applyFill="1" applyBorder="1" applyAlignment="1">
      <alignment vertical="top" wrapText="1"/>
    </xf>
    <xf numFmtId="167" fontId="11" fillId="2" borderId="14" xfId="2" applyNumberFormat="1" applyFont="1" applyFill="1" applyBorder="1" applyAlignment="1">
      <alignment vertical="top" wrapText="1"/>
    </xf>
    <xf numFmtId="167" fontId="12" fillId="2" borderId="14" xfId="2" applyNumberFormat="1" applyFont="1" applyFill="1" applyBorder="1" applyAlignment="1">
      <alignment horizontal="right" vertical="top" wrapText="1"/>
    </xf>
    <xf numFmtId="167" fontId="10" fillId="2" borderId="16" xfId="2" applyNumberFormat="1" applyFont="1" applyFill="1" applyBorder="1" applyAlignment="1">
      <alignment horizontal="right" vertical="center"/>
    </xf>
    <xf numFmtId="167" fontId="13" fillId="2" borderId="7" xfId="0" applyNumberFormat="1" applyFont="1" applyFill="1" applyBorder="1"/>
    <xf numFmtId="43" fontId="9" fillId="2" borderId="3" xfId="3" applyFont="1" applyFill="1" applyBorder="1"/>
    <xf numFmtId="164" fontId="9" fillId="2" borderId="3" xfId="3" applyNumberFormat="1" applyFont="1" applyFill="1" applyBorder="1"/>
    <xf numFmtId="43" fontId="9" fillId="2" borderId="18" xfId="3" applyFont="1" applyFill="1" applyBorder="1"/>
    <xf numFmtId="43" fontId="14" fillId="2" borderId="18" xfId="3" applyFont="1" applyFill="1" applyBorder="1" applyAlignment="1">
      <alignment vertical="center" textRotation="90"/>
    </xf>
    <xf numFmtId="164" fontId="11" fillId="2" borderId="3" xfId="3" applyNumberFormat="1" applyFont="1" applyFill="1" applyBorder="1" applyAlignment="1">
      <alignment horizontal="right" vertical="center"/>
    </xf>
    <xf numFmtId="167" fontId="9" fillId="2" borderId="3" xfId="2" applyNumberFormat="1" applyFont="1" applyFill="1" applyBorder="1" applyAlignment="1" applyProtection="1">
      <alignment horizontal="left" vertical="center"/>
    </xf>
    <xf numFmtId="43" fontId="9" fillId="2" borderId="3" xfId="3" applyFont="1" applyFill="1" applyBorder="1" applyAlignment="1" applyProtection="1">
      <alignment horizontal="right" vertical="center"/>
    </xf>
    <xf numFmtId="166" fontId="9" fillId="2" borderId="3" xfId="3" applyNumberFormat="1" applyFont="1" applyFill="1" applyBorder="1" applyAlignment="1">
      <alignment horizontal="left" vertical="center" indent="7"/>
    </xf>
    <xf numFmtId="164" fontId="15" fillId="2" borderId="3" xfId="3" applyNumberFormat="1" applyFont="1" applyFill="1" applyBorder="1" applyAlignment="1">
      <alignment horizontal="right" vertical="center"/>
    </xf>
    <xf numFmtId="0" fontId="3" fillId="2" borderId="10" xfId="0" applyFont="1" applyFill="1" applyBorder="1"/>
    <xf numFmtId="0" fontId="3" fillId="2" borderId="2" xfId="0" applyFont="1" applyFill="1" applyBorder="1"/>
    <xf numFmtId="0" fontId="3" fillId="2" borderId="1" xfId="0" applyFont="1" applyFill="1" applyBorder="1"/>
    <xf numFmtId="167" fontId="10" fillId="2" borderId="3" xfId="2" applyNumberFormat="1" applyFont="1" applyFill="1" applyBorder="1" applyAlignment="1" applyProtection="1">
      <alignment horizontal="left" vertical="center"/>
    </xf>
    <xf numFmtId="43" fontId="1" fillId="2" borderId="3" xfId="3" applyFont="1" applyFill="1" applyBorder="1" applyAlignment="1">
      <alignment horizontal="right" vertical="center"/>
    </xf>
    <xf numFmtId="164" fontId="10" fillId="2" borderId="3" xfId="3" applyNumberFormat="1" applyFont="1" applyFill="1" applyBorder="1" applyAlignment="1">
      <alignment horizontal="right" vertical="center"/>
    </xf>
    <xf numFmtId="164" fontId="10" fillId="2" borderId="3" xfId="3" applyNumberFormat="1" applyFont="1" applyFill="1" applyBorder="1" applyAlignment="1">
      <alignment horizontal="left" vertical="center" indent="7"/>
    </xf>
    <xf numFmtId="167" fontId="16" fillId="2" borderId="3" xfId="2" applyNumberFormat="1" applyFont="1" applyFill="1" applyBorder="1" applyAlignment="1" applyProtection="1">
      <alignment horizontal="left" vertical="center"/>
    </xf>
    <xf numFmtId="43" fontId="9" fillId="2" borderId="3" xfId="3" applyFont="1" applyFill="1" applyBorder="1" applyAlignment="1">
      <alignment horizontal="right" vertical="center"/>
    </xf>
    <xf numFmtId="164" fontId="9" fillId="2" borderId="3" xfId="3" applyNumberFormat="1" applyFont="1" applyFill="1" applyBorder="1" applyAlignment="1">
      <alignment horizontal="right" vertical="center"/>
    </xf>
    <xf numFmtId="166" fontId="9" fillId="2" borderId="18" xfId="3" applyNumberFormat="1" applyFont="1" applyFill="1" applyBorder="1" applyAlignment="1">
      <alignment horizontal="left" vertical="center" indent="7"/>
    </xf>
    <xf numFmtId="166" fontId="14" fillId="2" borderId="18" xfId="3" applyNumberFormat="1" applyFont="1" applyFill="1" applyBorder="1" applyAlignment="1">
      <alignment horizontal="left" vertical="center" indent="7"/>
    </xf>
    <xf numFmtId="164" fontId="3" fillId="2" borderId="3" xfId="0" applyNumberFormat="1" applyFont="1" applyFill="1" applyBorder="1"/>
    <xf numFmtId="167" fontId="10" fillId="2" borderId="8" xfId="2" applyNumberFormat="1" applyFont="1" applyFill="1" applyBorder="1" applyAlignment="1" applyProtection="1">
      <alignment horizontal="left" vertical="center"/>
    </xf>
    <xf numFmtId="43" fontId="1" fillId="2" borderId="8" xfId="3" applyFont="1" applyFill="1" applyBorder="1" applyAlignment="1">
      <alignment horizontal="right" vertical="center"/>
    </xf>
    <xf numFmtId="164" fontId="10" fillId="2" borderId="8" xfId="3" applyNumberFormat="1" applyFont="1" applyFill="1" applyBorder="1" applyAlignment="1">
      <alignment horizontal="right" vertical="center"/>
    </xf>
    <xf numFmtId="164" fontId="10" fillId="2" borderId="8" xfId="3" applyNumberFormat="1" applyFont="1" applyFill="1" applyBorder="1" applyAlignment="1">
      <alignment horizontal="left" vertical="center" indent="7"/>
    </xf>
    <xf numFmtId="164" fontId="11" fillId="2" borderId="8" xfId="3" applyNumberFormat="1" applyFont="1" applyFill="1" applyBorder="1" applyAlignment="1">
      <alignment horizontal="right" vertical="center"/>
    </xf>
    <xf numFmtId="0" fontId="4" fillId="2" borderId="6" xfId="0" applyFont="1" applyFill="1" applyBorder="1" applyAlignment="1" applyProtection="1">
      <alignment horizontal="left" vertical="top"/>
    </xf>
    <xf numFmtId="43" fontId="1" fillId="2" borderId="0" xfId="3" applyFont="1" applyFill="1" applyBorder="1"/>
    <xf numFmtId="43" fontId="10" fillId="2" borderId="0" xfId="3" applyFont="1" applyFill="1" applyBorder="1"/>
    <xf numFmtId="0" fontId="3" fillId="2" borderId="12" xfId="0" applyFont="1" applyFill="1" applyBorder="1"/>
    <xf numFmtId="43" fontId="3" fillId="2" borderId="3" xfId="3" applyFont="1" applyFill="1" applyBorder="1"/>
    <xf numFmtId="0" fontId="5" fillId="2" borderId="0" xfId="0" applyFont="1" applyFill="1" applyBorder="1" applyAlignment="1">
      <alignment horizontal="right" vertical="top"/>
    </xf>
    <xf numFmtId="0" fontId="7" fillId="2" borderId="12" xfId="2" applyFont="1" applyFill="1" applyBorder="1" applyAlignment="1">
      <alignment horizontal="center" vertical="center"/>
    </xf>
    <xf numFmtId="167" fontId="6" fillId="2" borderId="9" xfId="2" applyNumberFormat="1" applyFont="1" applyFill="1" applyBorder="1" applyAlignment="1">
      <alignment horizontal="center" vertical="top" wrapText="1"/>
    </xf>
    <xf numFmtId="167" fontId="6" fillId="2" borderId="4" xfId="2" applyNumberFormat="1" applyFont="1" applyFill="1" applyBorder="1" applyAlignment="1">
      <alignment horizontal="center" vertical="top" wrapText="1"/>
    </xf>
    <xf numFmtId="167" fontId="6" fillId="2" borderId="5" xfId="2" applyNumberFormat="1" applyFont="1" applyFill="1" applyBorder="1" applyAlignment="1">
      <alignment horizontal="center" vertical="top" wrapText="1"/>
    </xf>
    <xf numFmtId="167" fontId="10" fillId="2" borderId="11" xfId="2" applyNumberFormat="1" applyFont="1" applyFill="1" applyBorder="1" applyAlignment="1">
      <alignment horizontal="left" vertical="center"/>
    </xf>
    <xf numFmtId="167" fontId="10" fillId="2" borderId="16" xfId="2" applyNumberFormat="1" applyFont="1" applyFill="1" applyBorder="1" applyAlignment="1">
      <alignment horizontal="left" vertical="center"/>
    </xf>
    <xf numFmtId="167" fontId="11" fillId="2" borderId="15" xfId="2" applyNumberFormat="1" applyFont="1" applyFill="1" applyBorder="1" applyAlignment="1">
      <alignment horizontal="right" vertical="center" wrapText="1"/>
    </xf>
    <xf numFmtId="167" fontId="11" fillId="2" borderId="17" xfId="2" applyNumberFormat="1" applyFont="1" applyFill="1" applyBorder="1" applyAlignment="1">
      <alignment horizontal="right" vertical="center" wrapText="1"/>
    </xf>
  </cellXfs>
  <cellStyles count="5">
    <cellStyle name="Comma 2" xfId="1"/>
    <cellStyle name="Comma 4" xfId="3"/>
    <cellStyle name="Comma 4 2" xfId="4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M19"/>
  <sheetViews>
    <sheetView tabSelected="1" workbookViewId="0">
      <selection activeCell="J4" sqref="J4"/>
    </sheetView>
  </sheetViews>
  <sheetFormatPr defaultColWidth="9.109375" defaultRowHeight="21.75" customHeight="1"/>
  <cols>
    <col min="1" max="1" width="15" style="3" bestFit="1" customWidth="1"/>
    <col min="2" max="2" width="12.88671875" style="3" customWidth="1"/>
    <col min="3" max="3" width="15.6640625" style="3" customWidth="1"/>
    <col min="4" max="4" width="16.5546875" style="3" customWidth="1"/>
    <col min="5" max="5" width="18.6640625" style="3" customWidth="1"/>
    <col min="6" max="6" width="18.5546875" style="3" customWidth="1"/>
    <col min="7" max="7" width="19.33203125" style="3" customWidth="1"/>
    <col min="8" max="8" width="2" style="3" customWidth="1"/>
    <col min="9" max="9" width="9.109375" style="3"/>
    <col min="10" max="10" width="12" style="3" bestFit="1" customWidth="1"/>
    <col min="11" max="12" width="9.109375" style="3"/>
    <col min="13" max="13" width="14.88671875" style="3" bestFit="1" customWidth="1"/>
    <col min="14" max="16384" width="9.109375" style="3"/>
  </cols>
  <sheetData>
    <row r="1" spans="1:10" s="2" customFormat="1" ht="17.399999999999999">
      <c r="A1" s="42" t="s">
        <v>2</v>
      </c>
      <c r="B1" s="42"/>
      <c r="C1" s="42"/>
      <c r="D1" s="42"/>
      <c r="E1" s="42"/>
      <c r="F1" s="42"/>
      <c r="G1" s="42"/>
      <c r="H1" s="1"/>
    </row>
    <row r="2" spans="1:10" ht="15.6">
      <c r="A2" s="43" t="s">
        <v>3</v>
      </c>
      <c r="B2" s="44"/>
      <c r="C2" s="44"/>
      <c r="D2" s="44"/>
      <c r="E2" s="44"/>
      <c r="F2" s="44"/>
      <c r="G2" s="45"/>
    </row>
    <row r="3" spans="1:10" ht="19.2">
      <c r="A3" s="46" t="s">
        <v>4</v>
      </c>
      <c r="B3" s="4" t="s">
        <v>5</v>
      </c>
      <c r="C3" s="5" t="s">
        <v>6</v>
      </c>
      <c r="D3" s="5" t="s">
        <v>7</v>
      </c>
      <c r="E3" s="6" t="s">
        <v>0</v>
      </c>
      <c r="F3" s="6" t="s">
        <v>0</v>
      </c>
      <c r="G3" s="48" t="s">
        <v>8</v>
      </c>
    </row>
    <row r="4" spans="1:10" ht="14.4">
      <c r="A4" s="47"/>
      <c r="B4" s="7" t="s">
        <v>9</v>
      </c>
      <c r="C4" s="7" t="s">
        <v>10</v>
      </c>
      <c r="D4" s="7" t="s">
        <v>11</v>
      </c>
      <c r="E4" s="7" t="s">
        <v>12</v>
      </c>
      <c r="F4" s="7" t="s">
        <v>13</v>
      </c>
      <c r="G4" s="49"/>
    </row>
    <row r="5" spans="1:10" ht="19.2">
      <c r="A5" s="8" t="s">
        <v>14</v>
      </c>
      <c r="B5" s="9"/>
      <c r="C5" s="10"/>
      <c r="D5" s="10"/>
      <c r="E5" s="11"/>
      <c r="F5" s="12"/>
      <c r="G5" s="13" t="s">
        <v>15</v>
      </c>
    </row>
    <row r="6" spans="1:10" ht="19.2">
      <c r="A6" s="14" t="s">
        <v>16</v>
      </c>
      <c r="B6" s="15">
        <v>2.25</v>
      </c>
      <c r="C6" s="27">
        <v>28438576.98</v>
      </c>
      <c r="D6" s="27">
        <f>B6*C6</f>
        <v>63986798.204999998</v>
      </c>
      <c r="E6" s="16">
        <f>(C6/C11)*100</f>
        <v>23.704455810482894</v>
      </c>
      <c r="F6" s="16">
        <f>(D6/D11)*100</f>
        <v>19.243159462291977</v>
      </c>
      <c r="G6" s="17" t="s">
        <v>17</v>
      </c>
      <c r="H6" s="18"/>
      <c r="I6" s="19"/>
    </row>
    <row r="7" spans="1:10" ht="19.2">
      <c r="A7" s="14" t="s">
        <v>18</v>
      </c>
      <c r="B7" s="15">
        <v>2.5</v>
      </c>
      <c r="C7" s="27">
        <v>44967373.009999998</v>
      </c>
      <c r="D7" s="27">
        <f t="shared" ref="D7:D10" si="0">B7*C7</f>
        <v>112418432.52499999</v>
      </c>
      <c r="E7" s="16">
        <f>(C7/C11)*100</f>
        <v>37.481731493762183</v>
      </c>
      <c r="F7" s="16">
        <f>(D7/D11)*100</f>
        <v>33.808314906596529</v>
      </c>
      <c r="G7" s="17" t="s">
        <v>19</v>
      </c>
      <c r="H7" s="20"/>
      <c r="I7" s="19"/>
    </row>
    <row r="8" spans="1:10" ht="19.2">
      <c r="A8" s="14" t="s">
        <v>20</v>
      </c>
      <c r="B8" s="15">
        <v>2.95</v>
      </c>
      <c r="C8" s="27">
        <v>23528453.380000003</v>
      </c>
      <c r="D8" s="27">
        <f t="shared" si="0"/>
        <v>69408937.471000016</v>
      </c>
      <c r="E8" s="16">
        <f>(C8/C11)*100</f>
        <v>19.611712070806185</v>
      </c>
      <c r="F8" s="16">
        <f>(D8/D11)*100</f>
        <v>20.873794115835871</v>
      </c>
      <c r="G8" s="17" t="s">
        <v>21</v>
      </c>
      <c r="H8" s="20"/>
      <c r="I8" s="19"/>
    </row>
    <row r="9" spans="1:10" ht="19.2">
      <c r="A9" s="14" t="s">
        <v>22</v>
      </c>
      <c r="B9" s="15">
        <v>3.55</v>
      </c>
      <c r="C9" s="27">
        <v>6632155.6300000008</v>
      </c>
      <c r="D9" s="27">
        <f t="shared" si="0"/>
        <v>23544152.486500002</v>
      </c>
      <c r="E9" s="16">
        <f>(C9/C11)*100</f>
        <v>5.5281120490009963</v>
      </c>
      <c r="F9" s="16">
        <f>(D9/D11)*100</f>
        <v>7.0805837049498566</v>
      </c>
      <c r="G9" s="17" t="s">
        <v>23</v>
      </c>
      <c r="H9" s="19"/>
    </row>
    <row r="10" spans="1:10" ht="19.2">
      <c r="A10" s="14" t="s">
        <v>24</v>
      </c>
      <c r="B10" s="15">
        <v>3.85</v>
      </c>
      <c r="C10" s="27">
        <v>16404881</v>
      </c>
      <c r="D10" s="27">
        <f t="shared" si="0"/>
        <v>63158791.850000001</v>
      </c>
      <c r="E10" s="16">
        <f>(C10/C11)*100</f>
        <v>13.673988575947742</v>
      </c>
      <c r="F10" s="16">
        <f>(D10/D11)*100</f>
        <v>18.99414781032576</v>
      </c>
      <c r="G10" s="17" t="s">
        <v>29</v>
      </c>
      <c r="H10" s="19"/>
    </row>
    <row r="11" spans="1:10" ht="19.2">
      <c r="A11" s="21" t="s">
        <v>25</v>
      </c>
      <c r="B11" s="22"/>
      <c r="C11" s="23">
        <f>SUM(C6:C10)</f>
        <v>119971440</v>
      </c>
      <c r="D11" s="23">
        <f>SUM(D6:D10)</f>
        <v>332517112.53750002</v>
      </c>
      <c r="E11" s="24">
        <f>(C11/C11)*100</f>
        <v>100</v>
      </c>
      <c r="F11" s="24">
        <f>(D11/D11)*100</f>
        <v>100</v>
      </c>
      <c r="G11" s="13" t="s">
        <v>26</v>
      </c>
      <c r="H11" s="19"/>
    </row>
    <row r="12" spans="1:10" ht="19.2">
      <c r="A12" s="25" t="s">
        <v>27</v>
      </c>
      <c r="B12" s="26"/>
      <c r="C12" s="27"/>
      <c r="D12" s="27"/>
      <c r="E12" s="28"/>
      <c r="F12" s="29"/>
      <c r="G12" s="13" t="s">
        <v>28</v>
      </c>
      <c r="H12" s="19"/>
      <c r="J12" s="30"/>
    </row>
    <row r="13" spans="1:10" ht="19.2">
      <c r="A13" s="14" t="s">
        <v>16</v>
      </c>
      <c r="B13" s="15">
        <v>3.3</v>
      </c>
      <c r="C13" s="27">
        <v>7974359.2699999977</v>
      </c>
      <c r="D13" s="27">
        <f>B13*C13</f>
        <v>26315385.590999991</v>
      </c>
      <c r="E13" s="16">
        <f>(C13/C18)*100</f>
        <v>7.1166625191857413</v>
      </c>
      <c r="F13" s="16">
        <f>(D13/D18)*100</f>
        <v>5.7462585276413884</v>
      </c>
      <c r="G13" s="17" t="s">
        <v>17</v>
      </c>
      <c r="H13" s="19"/>
    </row>
    <row r="14" spans="1:10" ht="19.2">
      <c r="A14" s="14" t="s">
        <v>18</v>
      </c>
      <c r="B14" s="15">
        <v>3.35</v>
      </c>
      <c r="C14" s="27">
        <v>12808312.73</v>
      </c>
      <c r="D14" s="27">
        <f t="shared" ref="D14:D17" si="1">B14*C14</f>
        <v>42907847.645500004</v>
      </c>
      <c r="E14" s="16">
        <f>(C14/C18)*100</f>
        <v>11.430691301120751</v>
      </c>
      <c r="F14" s="16">
        <f>(D14/D18)*100</f>
        <v>9.369408043939762</v>
      </c>
      <c r="G14" s="17" t="s">
        <v>19</v>
      </c>
      <c r="H14" s="19"/>
    </row>
    <row r="15" spans="1:10" ht="19.2">
      <c r="A15" s="14" t="s">
        <v>20</v>
      </c>
      <c r="B15" s="15">
        <v>3.65</v>
      </c>
      <c r="C15" s="27">
        <v>9838424.2899999991</v>
      </c>
      <c r="D15" s="27">
        <f t="shared" si="1"/>
        <v>35910248.658499993</v>
      </c>
      <c r="E15" s="16">
        <f>(C15/C18)*100</f>
        <v>8.7802346272379079</v>
      </c>
      <c r="F15" s="16">
        <f>(D15/D18)*100</f>
        <v>7.8414041044567107</v>
      </c>
      <c r="G15" s="17" t="s">
        <v>21</v>
      </c>
      <c r="H15" s="19"/>
    </row>
    <row r="16" spans="1:10" ht="19.2">
      <c r="A16" s="14" t="s">
        <v>22</v>
      </c>
      <c r="B16" s="15">
        <v>4</v>
      </c>
      <c r="C16" s="27">
        <v>4002388.71</v>
      </c>
      <c r="D16" s="27">
        <f t="shared" si="1"/>
        <v>16009554.84</v>
      </c>
      <c r="E16" s="16">
        <f>(C16/C18)*100</f>
        <v>3.5719044948007683</v>
      </c>
      <c r="F16" s="16">
        <f>(D16/D18)*100</f>
        <v>3.4958652118156799</v>
      </c>
      <c r="G16" s="17" t="s">
        <v>23</v>
      </c>
      <c r="H16" s="19"/>
    </row>
    <row r="17" spans="1:13" ht="21.75" customHeight="1">
      <c r="A17" s="14" t="s">
        <v>24</v>
      </c>
      <c r="B17" s="15">
        <v>4.3499999999999996</v>
      </c>
      <c r="C17" s="27">
        <v>77428467</v>
      </c>
      <c r="D17" s="27">
        <f t="shared" si="1"/>
        <v>336813831.44999999</v>
      </c>
      <c r="E17" s="16">
        <f>(C17/C18)*100</f>
        <v>69.100507057654823</v>
      </c>
      <c r="F17" s="16">
        <f>(D17/D18)*100</f>
        <v>73.547064112146472</v>
      </c>
      <c r="G17" s="17" t="s">
        <v>29</v>
      </c>
      <c r="H17" s="19"/>
    </row>
    <row r="18" spans="1:13" ht="21.75" customHeight="1">
      <c r="A18" s="31" t="s">
        <v>25</v>
      </c>
      <c r="B18" s="32"/>
      <c r="C18" s="33">
        <f>SUM(C13:C17)</f>
        <v>112051952</v>
      </c>
      <c r="D18" s="33">
        <f>SUM(D13:D17)</f>
        <v>457956868.18499994</v>
      </c>
      <c r="E18" s="34">
        <f>(C18/C18)*100</f>
        <v>100</v>
      </c>
      <c r="F18" s="34">
        <f>(D18/D18)*100</f>
        <v>100</v>
      </c>
      <c r="G18" s="35" t="s">
        <v>26</v>
      </c>
    </row>
    <row r="19" spans="1:13" ht="21.75" customHeight="1">
      <c r="A19" s="36" t="s">
        <v>1</v>
      </c>
      <c r="B19" s="37"/>
      <c r="C19" s="37"/>
      <c r="D19" s="37"/>
      <c r="E19" s="38"/>
      <c r="F19" s="38"/>
      <c r="G19" s="41" t="s">
        <v>30</v>
      </c>
      <c r="H19" s="39"/>
      <c r="M19" s="40"/>
    </row>
  </sheetData>
  <mergeCells count="4">
    <mergeCell ref="A1:G1"/>
    <mergeCell ref="A2:G2"/>
    <mergeCell ref="A3:A4"/>
    <mergeCell ref="G3:G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12.5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2015-01-20T04:35:08Z</cp:lastPrinted>
  <dcterms:created xsi:type="dcterms:W3CDTF">2015-01-12T08:51:45Z</dcterms:created>
  <dcterms:modified xsi:type="dcterms:W3CDTF">2015-01-20T04:42:21Z</dcterms:modified>
</cp:coreProperties>
</file>