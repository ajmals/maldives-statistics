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11" sheetId="11" r:id="rId1"/>
  </sheets>
  <calcPr calcId="124519"/>
</workbook>
</file>

<file path=xl/calcChain.xml><?xml version="1.0" encoding="utf-8"?>
<calcChain xmlns="http://schemas.openxmlformats.org/spreadsheetml/2006/main">
  <c r="L6" i="11"/>
  <c r="I18" l="1"/>
  <c r="F18"/>
  <c r="I17"/>
  <c r="F17"/>
  <c r="I16"/>
  <c r="F16"/>
  <c r="I15"/>
  <c r="F15"/>
  <c r="I14"/>
  <c r="F14"/>
  <c r="I13"/>
  <c r="F13"/>
  <c r="I12"/>
  <c r="F12"/>
  <c r="I11"/>
  <c r="F11"/>
  <c r="I10"/>
  <c r="F10"/>
  <c r="I9"/>
  <c r="F9"/>
  <c r="I8"/>
  <c r="F8"/>
  <c r="I7"/>
  <c r="F7"/>
  <c r="K6"/>
  <c r="J6"/>
  <c r="I6"/>
  <c r="H6"/>
  <c r="G6"/>
  <c r="F6"/>
  <c r="E6"/>
  <c r="D6"/>
  <c r="C6"/>
  <c r="B6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<sst xmlns="http://schemas.openxmlformats.org/spreadsheetml/2006/main" count="33" uniqueCount="33">
  <si>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</si>
  <si>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</si>
  <si>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</si>
  <si>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</si>
  <si>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</si>
  <si>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</si>
  <si>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</si>
  <si>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</si>
  <si>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>2013- 2008 ,urwvcnim unuverukcnunEb cnef iawgElWm cnutog eguhwmcswm  : 12.11  ulwvWt</t>
  </si>
  <si>
    <t>Table 12.11 : WATER DISTRIBUTION  IN MALE', BY MONTH 2008 - 2013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</si>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</sst>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8" formatCode="#,##0.0"/>
    <numFmt numFmtId="169" formatCode="0.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sz val="10"/>
      <name val="Garamond"/>
      <family val="1"/>
    </font>
    <font>
      <b/>
      <sz val="10"/>
      <name val="A_Randhoo"/>
    </font>
    <font>
      <sz val="14"/>
      <name val="A_Utheem"/>
    </font>
    <font>
      <b/>
      <sz val="10"/>
      <name val="A_Randhoo Aa"/>
    </font>
    <font>
      <sz val="9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</cellStyleXfs>
  <cellXfs count="34">
    <xf numFmtId="0" fontId="0" fillId="0" borderId="0" xfId="0"/>
    <xf numFmtId="0" fontId="4" fillId="2" borderId="0" xfId="2" applyFont="1" applyFill="1"/>
    <xf numFmtId="0" fontId="5" fillId="2" borderId="0" xfId="5" applyFont="1" applyFill="1"/>
    <xf numFmtId="0" fontId="14" fillId="2" borderId="0" xfId="2" applyFont="1" applyFill="1" applyAlignment="1">
      <alignment horizontal="center" vertical="center"/>
    </xf>
    <xf numFmtId="0" fontId="12" fillId="2" borderId="0" xfId="5" applyFill="1"/>
    <xf numFmtId="0" fontId="12" fillId="2" borderId="0" xfId="5" applyFill="1" applyBorder="1"/>
    <xf numFmtId="0" fontId="8" fillId="2" borderId="1" xfId="5" applyFont="1" applyFill="1" applyBorder="1" applyAlignment="1">
      <alignment horizontal="center"/>
    </xf>
    <xf numFmtId="0" fontId="16" fillId="2" borderId="0" xfId="5" applyFont="1" applyFill="1" applyBorder="1"/>
    <xf numFmtId="0" fontId="16" fillId="2" borderId="0" xfId="5" applyFont="1" applyFill="1"/>
    <xf numFmtId="0" fontId="10" fillId="2" borderId="2" xfId="5" applyFont="1" applyFill="1" applyBorder="1"/>
    <xf numFmtId="0" fontId="10" fillId="2" borderId="2" xfId="5" applyFont="1" applyFill="1" applyBorder="1" applyAlignment="1">
      <alignment horizontal="right"/>
    </xf>
    <xf numFmtId="0" fontId="13" fillId="2" borderId="2" xfId="5" applyFont="1" applyFill="1" applyBorder="1" applyAlignment="1">
      <alignment horizontal="right"/>
    </xf>
    <xf numFmtId="0" fontId="10" fillId="2" borderId="0" xfId="5" applyFont="1" applyFill="1" applyBorder="1"/>
    <xf numFmtId="168" fontId="10" fillId="2" borderId="0" xfId="5" applyNumberFormat="1" applyFont="1" applyFill="1"/>
    <xf numFmtId="0" fontId="13" fillId="2" borderId="0" xfId="5" applyFont="1" applyFill="1" applyBorder="1" applyAlignment="1">
      <alignment horizontal="right"/>
    </xf>
    <xf numFmtId="0" fontId="9" fillId="2" borderId="0" xfId="5" applyFont="1" applyFill="1" applyBorder="1"/>
    <xf numFmtId="168" fontId="9" fillId="2" borderId="0" xfId="5" applyNumberFormat="1" applyFont="1" applyFill="1"/>
    <xf numFmtId="0" fontId="11" fillId="2" borderId="0" xfId="5" applyFont="1" applyFill="1" applyBorder="1" applyAlignment="1">
      <alignment horizontal="right"/>
    </xf>
    <xf numFmtId="169" fontId="8" fillId="2" borderId="0" xfId="5" applyNumberFormat="1" applyFont="1" applyFill="1" applyBorder="1"/>
    <xf numFmtId="0" fontId="9" fillId="2" borderId="0" xfId="5" applyFont="1" applyFill="1"/>
    <xf numFmtId="169" fontId="3" fillId="2" borderId="0" xfId="5" applyNumberFormat="1" applyFont="1" applyFill="1" applyBorder="1"/>
    <xf numFmtId="0" fontId="9" fillId="2" borderId="1" xfId="5" applyFont="1" applyFill="1" applyBorder="1"/>
    <xf numFmtId="168" fontId="9" fillId="2" borderId="1" xfId="5" applyNumberFormat="1" applyFont="1" applyFill="1" applyBorder="1"/>
    <xf numFmtId="0" fontId="11" fillId="2" borderId="1" xfId="5" applyFont="1" applyFill="1" applyBorder="1" applyAlignment="1">
      <alignment horizontal="right"/>
    </xf>
    <xf numFmtId="0" fontId="6" fillId="2" borderId="0" xfId="5" applyFont="1" applyFill="1"/>
    <xf numFmtId="0" fontId="7" fillId="2" borderId="0" xfId="5" applyFont="1" applyFill="1" applyAlignment="1">
      <alignment horizontal="right"/>
    </xf>
    <xf numFmtId="0" fontId="1" fillId="2" borderId="0" xfId="2" applyFill="1"/>
    <xf numFmtId="0" fontId="3" fillId="2" borderId="0" xfId="5" applyFont="1" applyFill="1"/>
    <xf numFmtId="0" fontId="8" fillId="2" borderId="0" xfId="5" applyFont="1" applyFill="1" applyBorder="1" applyAlignment="1">
      <alignment horizontal="right"/>
    </xf>
    <xf numFmtId="168" fontId="3" fillId="2" borderId="0" xfId="5" applyNumberFormat="1" applyFont="1" applyFill="1" applyAlignment="1">
      <alignment horizontal="right"/>
    </xf>
    <xf numFmtId="0" fontId="13" fillId="2" borderId="0" xfId="2" applyFont="1" applyFill="1" applyAlignment="1">
      <alignment horizontal="center" vertical="center"/>
    </xf>
    <xf numFmtId="0" fontId="2" fillId="2" borderId="0" xfId="5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 vertical="center"/>
    </xf>
    <xf numFmtId="0" fontId="7" fillId="2" borderId="0" xfId="5" applyFont="1" applyFill="1" applyAlignment="1">
      <alignment horizontal="right"/>
    </xf>
  </cellXfs>
  <cellStyles count="6">
    <cellStyle name="Comma 2" xfId="1"/>
    <cellStyle name="Comma 4" xfId="3"/>
    <cellStyle name="Comma 4 2" xfId="4"/>
    <cellStyle name="Normal" xfId="0" builtinId="0"/>
    <cellStyle name="Normal 2" xfId="2"/>
    <cellStyle name="Normal_X-5 (Electricity)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P49"/>
  <sheetViews>
    <sheetView tabSelected="1" workbookViewId="0">
      <selection activeCell="I22" sqref="I22"/>
    </sheetView>
  </sheetViews>
  <sheetFormatPr defaultColWidth="9.109375" defaultRowHeight="13.2"/>
  <cols>
    <col min="1" max="1" width="13.33203125" style="4" customWidth="1"/>
    <col min="2" max="6" width="0" style="4" hidden="1" customWidth="1"/>
    <col min="7" max="12" width="11.5546875" style="4" customWidth="1"/>
    <col min="13" max="13" width="13.5546875" style="4" customWidth="1"/>
    <col min="14" max="16384" width="9.109375" style="4"/>
  </cols>
  <sheetData>
    <row r="1" spans="1:16" ht="21">
      <c r="A1" s="30" t="s">
        <v>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"/>
      <c r="O1" s="3"/>
      <c r="P1" s="3"/>
    </row>
    <row r="2" spans="1:16">
      <c r="A2" s="31" t="s">
        <v>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5"/>
      <c r="O2" s="5"/>
      <c r="P2" s="5"/>
    </row>
    <row r="3" spans="1:16" s="1" customFormat="1" ht="15">
      <c r="A3" s="32" t="s">
        <v>10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6" s="8" customFormat="1" ht="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</row>
    <row r="5" spans="1:16" s="8" customFormat="1" ht="16.8">
      <c r="A5" s="9" t="s">
        <v>5</v>
      </c>
      <c r="B5" s="10">
        <v>2001</v>
      </c>
      <c r="C5" s="10">
        <v>2002</v>
      </c>
      <c r="D5" s="10">
        <v>2005</v>
      </c>
      <c r="E5" s="10">
        <v>2006</v>
      </c>
      <c r="F5" s="10">
        <v>2007</v>
      </c>
      <c r="G5" s="10">
        <v>2008</v>
      </c>
      <c r="H5" s="10">
        <v>2009</v>
      </c>
      <c r="I5" s="10">
        <v>2010</v>
      </c>
      <c r="J5" s="10">
        <v>2011</v>
      </c>
      <c r="K5" s="10">
        <v>2012</v>
      </c>
      <c r="L5" s="10">
        <v>2013</v>
      </c>
      <c r="M5" s="11" t="s">
        <v>6</v>
      </c>
      <c r="N5" s="7"/>
      <c r="O5" s="7"/>
      <c r="P5" s="7"/>
    </row>
    <row r="6" spans="1:16" s="8" customFormat="1" ht="21" customHeight="1">
      <c r="A6" s="12" t="s">
        <v>11</v>
      </c>
      <c r="B6" s="13">
        <f>SUM(B7:B18)</f>
        <v>1206.8999999999999</v>
      </c>
      <c r="C6" s="13">
        <f>SUM(C7:C18)</f>
        <v>1352.8</v>
      </c>
      <c r="D6" s="13">
        <f t="shared" ref="D6:I6" si="0">SUM(D7:D18)</f>
        <v>1969.3999999999999</v>
      </c>
      <c r="E6" s="13">
        <f t="shared" si="0"/>
        <v>2147.41</v>
      </c>
      <c r="F6" s="13">
        <f t="shared" si="0"/>
        <v>2444.4589999999998</v>
      </c>
      <c r="G6" s="13">
        <f t="shared" si="0"/>
        <v>2880.63</v>
      </c>
      <c r="H6" s="13">
        <f t="shared" si="0"/>
        <v>3275.12</v>
      </c>
      <c r="I6" s="13">
        <f t="shared" si="0"/>
        <v>3649.7796999999996</v>
      </c>
      <c r="J6" s="13">
        <f>SUM(J7:J18)</f>
        <v>3997.5260000000007</v>
      </c>
      <c r="K6" s="13">
        <f>SUM(K7:K18)</f>
        <v>4414.3680000000004</v>
      </c>
      <c r="L6" s="13">
        <f>SUM(L7:L18)</f>
        <v>4668.1615999999995</v>
      </c>
      <c r="M6" s="14" t="s">
        <v>0</v>
      </c>
      <c r="N6" s="7"/>
      <c r="O6" s="7"/>
      <c r="P6" s="7"/>
    </row>
    <row r="7" spans="1:16" s="8" customFormat="1" ht="21" customHeight="1">
      <c r="A7" s="15" t="s">
        <v>12</v>
      </c>
      <c r="B7" s="16">
        <v>97.8</v>
      </c>
      <c r="C7" s="16">
        <v>107.4</v>
      </c>
      <c r="D7" s="16">
        <v>154.6</v>
      </c>
      <c r="E7" s="16">
        <v>165.52</v>
      </c>
      <c r="F7" s="16">
        <f>181364/1000</f>
        <v>181.364</v>
      </c>
      <c r="G7" s="16">
        <v>219.124</v>
      </c>
      <c r="H7" s="16">
        <v>260.2</v>
      </c>
      <c r="I7" s="16">
        <f>295741/1000</f>
        <v>295.74099999999999</v>
      </c>
      <c r="J7" s="16">
        <v>320.04599999999999</v>
      </c>
      <c r="K7" s="16">
        <v>353.44220000000001</v>
      </c>
      <c r="L7" s="16">
        <v>382.14709999999991</v>
      </c>
      <c r="M7" s="17" t="s">
        <v>13</v>
      </c>
      <c r="N7" s="7"/>
      <c r="O7" s="7"/>
      <c r="P7" s="7"/>
    </row>
    <row r="8" spans="1:16" s="8" customFormat="1" ht="21" customHeight="1">
      <c r="A8" s="15" t="s">
        <v>14</v>
      </c>
      <c r="B8" s="16">
        <v>93.1</v>
      </c>
      <c r="C8" s="16">
        <v>97.3</v>
      </c>
      <c r="D8" s="16">
        <v>160.19999999999999</v>
      </c>
      <c r="E8" s="16">
        <v>166</v>
      </c>
      <c r="F8" s="16">
        <f>181386/1000</f>
        <v>181.386</v>
      </c>
      <c r="G8" s="16">
        <v>223.71199999999999</v>
      </c>
      <c r="H8" s="16">
        <v>247.34700000000001</v>
      </c>
      <c r="I8" s="16">
        <f>274551/1000</f>
        <v>274.55099999999999</v>
      </c>
      <c r="J8" s="16">
        <v>297.03500000000003</v>
      </c>
      <c r="K8" s="16">
        <v>339.09740000000005</v>
      </c>
      <c r="L8" s="16">
        <v>355.79900000000004</v>
      </c>
      <c r="M8" s="17" t="s">
        <v>15</v>
      </c>
      <c r="N8" s="7"/>
      <c r="O8" s="7"/>
      <c r="P8" s="7"/>
    </row>
    <row r="9" spans="1:16" s="8" customFormat="1" ht="21" customHeight="1">
      <c r="A9" s="15" t="s">
        <v>16</v>
      </c>
      <c r="B9" s="16">
        <v>106.7</v>
      </c>
      <c r="C9" s="16">
        <v>114</v>
      </c>
      <c r="D9" s="16">
        <v>185.2</v>
      </c>
      <c r="E9" s="16">
        <v>188.21</v>
      </c>
      <c r="F9" s="16">
        <f>211312/1000</f>
        <v>211.31200000000001</v>
      </c>
      <c r="G9" s="16">
        <v>237.709</v>
      </c>
      <c r="H9" s="16">
        <v>293.916</v>
      </c>
      <c r="I9" s="16">
        <f>313092/1000</f>
        <v>313.09199999999998</v>
      </c>
      <c r="J9" s="16">
        <v>343.32100000000003</v>
      </c>
      <c r="K9" s="16">
        <v>376.41240000000005</v>
      </c>
      <c r="L9" s="16">
        <v>398.83529999999996</v>
      </c>
      <c r="M9" s="17" t="s">
        <v>1</v>
      </c>
      <c r="N9" s="7"/>
      <c r="O9" s="7"/>
      <c r="P9" s="7"/>
    </row>
    <row r="10" spans="1:16" s="8" customFormat="1" ht="21" customHeight="1">
      <c r="A10" s="15" t="s">
        <v>17</v>
      </c>
      <c r="B10" s="16">
        <v>104.7</v>
      </c>
      <c r="C10" s="16">
        <v>113.3</v>
      </c>
      <c r="D10" s="16">
        <v>184.6</v>
      </c>
      <c r="E10" s="16">
        <v>186.82</v>
      </c>
      <c r="F10" s="16">
        <f>203846/1000</f>
        <v>203.846</v>
      </c>
      <c r="G10" s="16">
        <v>236.82400000000001</v>
      </c>
      <c r="H10" s="16">
        <v>279.74200000000002</v>
      </c>
      <c r="I10" s="16">
        <f>312807/1000</f>
        <v>312.80700000000002</v>
      </c>
      <c r="J10" s="16">
        <v>335.017</v>
      </c>
      <c r="K10" s="16">
        <v>369.5412</v>
      </c>
      <c r="L10" s="16">
        <v>392.56910000000005</v>
      </c>
      <c r="M10" s="17" t="s">
        <v>18</v>
      </c>
      <c r="N10" s="7"/>
      <c r="O10" s="7"/>
      <c r="P10" s="7"/>
    </row>
    <row r="11" spans="1:16" s="8" customFormat="1" ht="21" customHeight="1">
      <c r="A11" s="15" t="s">
        <v>19</v>
      </c>
      <c r="B11" s="16">
        <v>101.8</v>
      </c>
      <c r="C11" s="16">
        <v>119</v>
      </c>
      <c r="D11" s="16">
        <v>177.9</v>
      </c>
      <c r="E11" s="16">
        <v>191.31</v>
      </c>
      <c r="F11" s="16">
        <f>206556/1000</f>
        <v>206.55600000000001</v>
      </c>
      <c r="G11" s="16">
        <v>242.27</v>
      </c>
      <c r="H11" s="16">
        <v>282.65800000000002</v>
      </c>
      <c r="I11" s="16">
        <f>310407/1000</f>
        <v>310.40699999999998</v>
      </c>
      <c r="J11" s="16">
        <v>335.98899999999998</v>
      </c>
      <c r="K11" s="16">
        <v>379.00309999999996</v>
      </c>
      <c r="L11" s="16">
        <v>389.09369999999996</v>
      </c>
      <c r="M11" s="17" t="s">
        <v>2</v>
      </c>
      <c r="N11" s="7"/>
      <c r="O11" s="18"/>
      <c r="P11" s="18"/>
    </row>
    <row r="12" spans="1:16" s="8" customFormat="1" ht="21" customHeight="1">
      <c r="A12" s="15" t="s">
        <v>20</v>
      </c>
      <c r="B12" s="16">
        <v>101.5</v>
      </c>
      <c r="C12" s="19">
        <v>113.8</v>
      </c>
      <c r="D12" s="16">
        <v>159.1</v>
      </c>
      <c r="E12" s="16">
        <v>183.01</v>
      </c>
      <c r="F12" s="16">
        <f>202094/1000</f>
        <v>202.09399999999999</v>
      </c>
      <c r="G12" s="16">
        <v>233.53</v>
      </c>
      <c r="H12" s="16">
        <v>269.745</v>
      </c>
      <c r="I12" s="16">
        <f>294377/1000</f>
        <v>294.37700000000001</v>
      </c>
      <c r="J12" s="16">
        <v>334.27</v>
      </c>
      <c r="K12" s="16">
        <v>369.7373</v>
      </c>
      <c r="L12" s="16">
        <v>382.38879999999995</v>
      </c>
      <c r="M12" s="17" t="s">
        <v>3</v>
      </c>
      <c r="N12" s="7"/>
      <c r="O12" s="20"/>
      <c r="P12" s="20"/>
    </row>
    <row r="13" spans="1:16" s="8" customFormat="1" ht="21" customHeight="1">
      <c r="A13" s="15" t="s">
        <v>21</v>
      </c>
      <c r="B13" s="16">
        <v>100.4</v>
      </c>
      <c r="C13" s="16">
        <v>121.5</v>
      </c>
      <c r="D13" s="16">
        <v>158.1</v>
      </c>
      <c r="E13" s="16">
        <v>188.97</v>
      </c>
      <c r="F13" s="16">
        <f>205875/1000</f>
        <v>205.875</v>
      </c>
      <c r="G13" s="16">
        <v>247.09399999999999</v>
      </c>
      <c r="H13" s="16">
        <v>276.39100000000002</v>
      </c>
      <c r="I13" s="16">
        <f>303286/1000</f>
        <v>303.286</v>
      </c>
      <c r="J13" s="16">
        <v>351.95</v>
      </c>
      <c r="K13" s="16">
        <v>390.94749999999999</v>
      </c>
      <c r="L13" s="16">
        <v>413.60250000000013</v>
      </c>
      <c r="M13" s="17" t="s">
        <v>4</v>
      </c>
      <c r="N13" s="7"/>
      <c r="O13" s="20"/>
      <c r="P13" s="20"/>
    </row>
    <row r="14" spans="1:16" s="8" customFormat="1" ht="21" customHeight="1">
      <c r="A14" s="15" t="s">
        <v>22</v>
      </c>
      <c r="B14" s="16">
        <v>107.7</v>
      </c>
      <c r="C14" s="16">
        <v>116.2</v>
      </c>
      <c r="D14" s="16">
        <v>159.80000000000001</v>
      </c>
      <c r="E14" s="16">
        <v>187.66</v>
      </c>
      <c r="F14" s="16">
        <f>217567/1000</f>
        <v>217.56700000000001</v>
      </c>
      <c r="G14" s="16">
        <v>256.178</v>
      </c>
      <c r="H14" s="16">
        <v>277.029</v>
      </c>
      <c r="I14" s="16">
        <f>322184/1000</f>
        <v>322.18400000000003</v>
      </c>
      <c r="J14" s="16">
        <v>349.80599999999998</v>
      </c>
      <c r="K14" s="16">
        <v>383.09249999999997</v>
      </c>
      <c r="L14" s="16">
        <v>398.67930000000001</v>
      </c>
      <c r="M14" s="17" t="s">
        <v>23</v>
      </c>
      <c r="N14" s="7"/>
      <c r="O14" s="20"/>
      <c r="P14" s="20"/>
    </row>
    <row r="15" spans="1:16" s="8" customFormat="1" ht="21" customHeight="1">
      <c r="A15" s="15" t="s">
        <v>24</v>
      </c>
      <c r="B15" s="16">
        <v>96</v>
      </c>
      <c r="C15" s="16">
        <v>117.4</v>
      </c>
      <c r="D15" s="16">
        <v>154.9</v>
      </c>
      <c r="E15" s="16">
        <v>175.29</v>
      </c>
      <c r="F15" s="16">
        <f>207674/1000</f>
        <v>207.67400000000001</v>
      </c>
      <c r="G15" s="16">
        <v>257.17</v>
      </c>
      <c r="H15" s="16">
        <v>273.44600000000003</v>
      </c>
      <c r="I15" s="16">
        <f>306307/1000</f>
        <v>306.30700000000002</v>
      </c>
      <c r="J15" s="16">
        <v>334.33600000000001</v>
      </c>
      <c r="K15" s="16">
        <v>370.42849999999999</v>
      </c>
      <c r="L15" s="16">
        <v>389.27629999999994</v>
      </c>
      <c r="M15" s="17" t="s">
        <v>25</v>
      </c>
      <c r="N15" s="7"/>
      <c r="O15" s="20"/>
      <c r="P15" s="20"/>
    </row>
    <row r="16" spans="1:16" s="8" customFormat="1" ht="21" customHeight="1">
      <c r="A16" s="15" t="s">
        <v>26</v>
      </c>
      <c r="B16" s="16">
        <v>99</v>
      </c>
      <c r="C16" s="16">
        <v>118.6</v>
      </c>
      <c r="D16" s="16">
        <v>159.30000000000001</v>
      </c>
      <c r="E16" s="16">
        <v>190.22</v>
      </c>
      <c r="F16" s="16">
        <f>211456/1000</f>
        <v>211.45599999999999</v>
      </c>
      <c r="G16" s="16">
        <v>251.91200000000001</v>
      </c>
      <c r="H16" s="16">
        <v>293.12799999999999</v>
      </c>
      <c r="I16" s="16">
        <f>328865/1000</f>
        <v>328.86500000000001</v>
      </c>
      <c r="J16" s="16">
        <v>349.01900000000001</v>
      </c>
      <c r="K16" s="16">
        <v>370.55220000000003</v>
      </c>
      <c r="L16" s="16">
        <v>392.36540000000008</v>
      </c>
      <c r="M16" s="17" t="s">
        <v>27</v>
      </c>
      <c r="N16" s="7"/>
      <c r="O16" s="20"/>
      <c r="P16" s="20"/>
    </row>
    <row r="17" spans="1:16" s="8" customFormat="1" ht="21" customHeight="1">
      <c r="A17" s="15" t="s">
        <v>28</v>
      </c>
      <c r="B17" s="16">
        <v>103</v>
      </c>
      <c r="C17" s="16">
        <v>112.6</v>
      </c>
      <c r="D17" s="16">
        <v>153.9</v>
      </c>
      <c r="E17" s="16">
        <v>167.42</v>
      </c>
      <c r="F17" s="16">
        <f>216417/1000</f>
        <v>216.417</v>
      </c>
      <c r="G17" s="16">
        <v>245.80699999999999</v>
      </c>
      <c r="H17" s="16">
        <v>253.59700000000001</v>
      </c>
      <c r="I17" s="16">
        <f>289327/1000</f>
        <v>289.327</v>
      </c>
      <c r="J17" s="16">
        <v>314.78800000000001</v>
      </c>
      <c r="K17" s="16">
        <v>360.53520000000003</v>
      </c>
      <c r="L17" s="16">
        <v>387.43509999999998</v>
      </c>
      <c r="M17" s="17" t="s">
        <v>29</v>
      </c>
      <c r="N17" s="7"/>
      <c r="O17" s="20"/>
      <c r="P17" s="20"/>
    </row>
    <row r="18" spans="1:16" s="8" customFormat="1" ht="21" customHeight="1">
      <c r="A18" s="21" t="s">
        <v>30</v>
      </c>
      <c r="B18" s="22">
        <v>95.2</v>
      </c>
      <c r="C18" s="22">
        <v>101.7</v>
      </c>
      <c r="D18" s="22">
        <v>161.80000000000001</v>
      </c>
      <c r="E18" s="22">
        <v>156.97999999999999</v>
      </c>
      <c r="F18" s="22">
        <f>198912/1000</f>
        <v>198.91200000000001</v>
      </c>
      <c r="G18" s="22">
        <v>229.3</v>
      </c>
      <c r="H18" s="22">
        <v>267.92099999999999</v>
      </c>
      <c r="I18" s="22">
        <f>298835.7/1000</f>
        <v>298.83570000000003</v>
      </c>
      <c r="J18" s="22">
        <v>331.94900000000001</v>
      </c>
      <c r="K18" s="22">
        <v>351.57850000000002</v>
      </c>
      <c r="L18" s="22">
        <v>385.97000000000008</v>
      </c>
      <c r="M18" s="23" t="s">
        <v>31</v>
      </c>
      <c r="N18" s="7"/>
      <c r="O18" s="20"/>
      <c r="P18" s="20"/>
    </row>
    <row r="19" spans="1:16" s="8" customFormat="1" ht="14.4">
      <c r="A19" s="2" t="s">
        <v>32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 t="s">
        <v>7</v>
      </c>
      <c r="N19" s="7"/>
      <c r="O19" s="20"/>
      <c r="P19" s="20"/>
    </row>
    <row r="20" spans="1:16" s="8" customForma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N20" s="26"/>
      <c r="O20" s="26"/>
      <c r="P20" s="26"/>
    </row>
    <row r="21" spans="1:16" s="8" customFormat="1">
      <c r="A21" s="27"/>
      <c r="B21" s="27"/>
      <c r="C21" s="27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6"/>
    </row>
    <row r="22" spans="1:16" s="8" customFormat="1">
      <c r="A22" s="27"/>
      <c r="B22" s="27"/>
      <c r="C22" s="2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26"/>
    </row>
    <row r="23" spans="1:16" s="8" customFormat="1">
      <c r="A23" s="26"/>
      <c r="C23" s="2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28"/>
    </row>
    <row r="24" spans="1:16" s="8" customFormat="1">
      <c r="A24" s="2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29"/>
    </row>
    <row r="25" spans="1:16" s="8" customFormat="1">
      <c r="A25" s="26"/>
      <c r="P25" s="29"/>
    </row>
    <row r="26" spans="1:16" s="8" customFormat="1">
      <c r="A26" s="26"/>
      <c r="P26" s="29"/>
    </row>
    <row r="27" spans="1:16" s="8" customFormat="1">
      <c r="A27" s="2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29"/>
    </row>
    <row r="28" spans="1:16">
      <c r="A28" s="26"/>
      <c r="P28" s="29"/>
    </row>
    <row r="29" spans="1:16">
      <c r="A29" s="26"/>
      <c r="P29" s="29"/>
    </row>
    <row r="30" spans="1:16">
      <c r="A30" s="26"/>
      <c r="P30" s="29"/>
    </row>
    <row r="31" spans="1:16">
      <c r="A31" s="26"/>
      <c r="P31" s="29"/>
    </row>
    <row r="32" spans="1:16">
      <c r="A32" s="26"/>
      <c r="P32" s="29"/>
    </row>
    <row r="33" spans="1:16">
      <c r="A33" s="26"/>
      <c r="P33" s="29"/>
    </row>
    <row r="34" spans="1:16">
      <c r="A34" s="26"/>
      <c r="P34" s="29"/>
    </row>
    <row r="35" spans="1:16">
      <c r="A35" s="26"/>
      <c r="C35" s="5"/>
      <c r="P35" s="29"/>
    </row>
    <row r="36" spans="1:16">
      <c r="A36" s="26"/>
    </row>
    <row r="49" spans="3:16" ht="15.6"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</row>
  </sheetData>
  <mergeCells count="4">
    <mergeCell ref="A1:M1"/>
    <mergeCell ref="A2:M2"/>
    <mergeCell ref="A3:M3"/>
    <mergeCell ref="C49:P49"/>
  </mergeCells>
  <pageMargins left="0.21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2015-01-20T04:45:56Z</dcterms:modified>
</cp:coreProperties>
</file>