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 tabRatio="924"/>
  </bookViews>
  <sheets>
    <sheet name="12.4" sheetId="4" r:id="rId1"/>
  </sheets>
  <calcPr calcId="124519"/>
</workbook>
</file>

<file path=xl/calcChain.xml><?xml version="1.0" encoding="utf-8"?>
<calcChain xmlns="http://schemas.openxmlformats.org/spreadsheetml/2006/main">
  <c r="B6" i="4"/>
  <c r="N5"/>
  <c r="B5"/>
  <c r="B33" l="1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M5"/>
  <c r="L5"/>
  <c r="K5"/>
  <c r="J5"/>
  <c r="I5"/>
  <c r="H5"/>
  <c r="G5"/>
  <c r="F5"/>
  <c r="E5"/>
  <c r="D5"/>
  <c r="C5"/>
</calcChain>
</file>

<file path=xl/sharedStrings.xml><?xml version="1.0" encoding="utf-8"?>
<sst xmlns="http://schemas.openxmlformats.org/spreadsheetml/2006/main" count="78" uniqueCount="77">
  <si>
    <t>Source: State Electric Company Limited</t>
  </si>
  <si>
    <t>cDeTimil Inepcmok ckircTckeliacTETcs :ctWrwf ivcaedutWmUluAwm</t>
  </si>
  <si>
    <t>Locality</t>
  </si>
  <si>
    <t>wlcmuj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</si>
  <si>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</si>
  <si>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</si>
  <si>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</si>
  <si>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</si>
  <si>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</si>
  <si>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</si>
  <si>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</si>
  <si>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</si>
  <si>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</si>
  <si>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</si>
  <si>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</si>
  <si>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</si>
  <si>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</si>
  <si>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</si>
  <si>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</si>
  <si>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</si>
  <si>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</si>
  <si>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</si>
  <si>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</si>
  <si>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</si>
  <si>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</si>
  <si>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</si>
  <si>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</si>
  <si>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K.Hulhumale</t>
  </si>
  <si>
    <t>ކ. ހުޅުމާލެ</t>
  </si>
  <si>
    <t>K.Thilafushi</t>
  </si>
  <si>
    <t>ކ. ތިލަފުށި</t>
  </si>
  <si>
    <t>K.Gulhifalhu</t>
  </si>
  <si>
    <t>ކ. ގުޅިފަޅު</t>
  </si>
  <si>
    <t>K.Male'</t>
  </si>
  <si>
    <t>ކ. މާލެ</t>
  </si>
  <si>
    <t>K.Villingili</t>
  </si>
  <si>
    <t>ކ. ވިލިނގިލި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</si>
  <si>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</si>
  <si>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</si>
  <si>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</si>
  <si>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</si>
  <si>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</si>
  <si>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</si>
  <si>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</si>
  <si>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</si>
  <si>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</si>
  <si>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</si>
  <si>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</si>
  <si>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</si>
  <si>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</si>
  <si>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</si>
  <si>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</si>
  <si>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</si>
  <si>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</si>
  <si>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</si>
  <si>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</si>
  <si>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</si>
  <si>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</si>
  <si>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</si>
  <si>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</si>
  <si>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</si>
  <si>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</si>
  <si>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</si>
  <si>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ADh.Dhihdhoo</t>
  </si>
  <si>
    <t>އދ.ދިއްދޫ</t>
  </si>
  <si>
    <t>V.Fulidhoo</t>
  </si>
  <si>
    <t>ވ.ފެލިދޫ</t>
  </si>
  <si>
    <t>V.Thinadhoo</t>
  </si>
  <si>
    <t>ވ.ތިނަދޫ</t>
  </si>
  <si>
    <t>V.Keyodhoo</t>
  </si>
  <si>
    <t>ވ.ކެޔޮދޫ</t>
  </si>
  <si>
    <t>V.Rakeedhoo</t>
  </si>
  <si>
    <t>ވ.ރަކީދޫ</t>
  </si>
  <si>
    <t>ތާވަލު 12.4: މާލެއާއި އަތޮޅުތަކުގައި ސަރުކާރުގެ ފަރާތުން ސަރުކާރުގެ ފަރާތުން އެކިމަސްމަހު ކަރަންޓް އުފެއްދުމަށްޓަކާ އަޑީތެޔޮ ބޭނުންކުރެވިފައިވާ މިންވަރު، 2013</t>
  </si>
  <si>
    <t>(In '000 litres)</t>
  </si>
  <si>
    <t xml:space="preserve"> </t>
  </si>
  <si>
    <t>Table  12.4 :   MONTHLY CONSUMPTION OF LUBRICATION OIL FOR ELECTRICITY GENERATION IN SELECTED LOCALITIES BY PUBLIC SECTOR, 2013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</si>
</sst>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6" formatCode="_(* #,##0.0_);_(* \(#,##0.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Faruma"/>
    </font>
    <font>
      <sz val="10"/>
      <color theme="1"/>
      <name val="Arial"/>
      <family val="2"/>
    </font>
    <font>
      <b/>
      <sz val="12"/>
      <color theme="1"/>
      <name val="Faruma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_Faseyha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_Faseyha"/>
    </font>
    <font>
      <i/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8" fillId="2" borderId="3" xfId="3" applyFont="1" applyFill="1" applyBorder="1" applyAlignment="1">
      <alignment vertical="center"/>
    </xf>
    <xf numFmtId="0" fontId="9" fillId="2" borderId="3" xfId="3" applyFont="1" applyFill="1" applyBorder="1" applyAlignment="1">
      <alignment vertical="center"/>
    </xf>
    <xf numFmtId="0" fontId="12" fillId="2" borderId="11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right" vertical="center"/>
    </xf>
    <xf numFmtId="0" fontId="13" fillId="2" borderId="3" xfId="3" applyFont="1" applyFill="1" applyBorder="1" applyAlignment="1">
      <alignment vertical="center"/>
    </xf>
    <xf numFmtId="0" fontId="10" fillId="2" borderId="6" xfId="3" applyFont="1" applyFill="1" applyBorder="1" applyAlignment="1">
      <alignment vertical="center"/>
    </xf>
    <xf numFmtId="0" fontId="10" fillId="2" borderId="6" xfId="3" applyFont="1" applyFill="1" applyBorder="1" applyAlignment="1">
      <alignment horizontal="right" vertical="center"/>
    </xf>
    <xf numFmtId="0" fontId="10" fillId="2" borderId="6" xfId="3" applyFont="1" applyFill="1" applyBorder="1" applyAlignment="1" applyProtection="1">
      <alignment horizontal="right" vertical="center"/>
    </xf>
    <xf numFmtId="0" fontId="16" fillId="2" borderId="6" xfId="3" applyFont="1" applyFill="1" applyBorder="1" applyAlignment="1">
      <alignment vertical="center"/>
    </xf>
    <xf numFmtId="0" fontId="16" fillId="2" borderId="3" xfId="3" applyFont="1" applyFill="1" applyBorder="1" applyAlignment="1">
      <alignment vertical="center"/>
    </xf>
    <xf numFmtId="166" fontId="10" fillId="2" borderId="3" xfId="1" applyNumberFormat="1" applyFont="1" applyFill="1" applyBorder="1" applyAlignment="1">
      <alignment horizontal="right" vertical="center"/>
    </xf>
    <xf numFmtId="0" fontId="6" fillId="2" borderId="3" xfId="3" applyFont="1" applyFill="1" applyBorder="1" applyAlignment="1">
      <alignment vertical="center"/>
    </xf>
    <xf numFmtId="0" fontId="15" fillId="2" borderId="3" xfId="3" applyFont="1" applyFill="1" applyBorder="1" applyAlignment="1">
      <alignment vertical="center"/>
    </xf>
    <xf numFmtId="0" fontId="3" fillId="2" borderId="7" xfId="3" applyFont="1" applyFill="1" applyBorder="1" applyAlignment="1" applyProtection="1">
      <alignment horizontal="left" vertical="top"/>
    </xf>
    <xf numFmtId="0" fontId="14" fillId="2" borderId="0" xfId="0" applyFont="1" applyFill="1" applyBorder="1" applyAlignment="1">
      <alignment horizontal="right" vertical="top"/>
    </xf>
    <xf numFmtId="0" fontId="13" fillId="2" borderId="3" xfId="3" applyFont="1" applyFill="1" applyBorder="1" applyAlignment="1">
      <alignment vertical="top"/>
    </xf>
    <xf numFmtId="166" fontId="4" fillId="2" borderId="3" xfId="1" applyNumberFormat="1" applyFont="1" applyFill="1" applyBorder="1" applyAlignment="1">
      <alignment horizontal="right" vertical="center"/>
    </xf>
    <xf numFmtId="166" fontId="10" fillId="2" borderId="8" xfId="1" applyNumberFormat="1" applyFont="1" applyFill="1" applyBorder="1" applyAlignment="1">
      <alignment horizontal="right" vertical="center"/>
    </xf>
    <xf numFmtId="166" fontId="4" fillId="2" borderId="8" xfId="1" applyNumberFormat="1" applyFont="1" applyFill="1" applyBorder="1" applyAlignment="1">
      <alignment horizontal="right" vertical="center"/>
    </xf>
    <xf numFmtId="43" fontId="4" fillId="2" borderId="3" xfId="1" applyFont="1" applyFill="1" applyBorder="1" applyAlignment="1">
      <alignment horizontal="right" vertical="center"/>
    </xf>
    <xf numFmtId="0" fontId="7" fillId="2" borderId="12" xfId="3" applyFont="1" applyFill="1" applyBorder="1" applyAlignment="1">
      <alignment horizontal="center" vertical="center"/>
    </xf>
    <xf numFmtId="0" fontId="7" fillId="2" borderId="1" xfId="3" applyFont="1" applyFill="1" applyBorder="1" applyAlignment="1">
      <alignment horizontal="center" vertical="center"/>
    </xf>
    <xf numFmtId="0" fontId="7" fillId="2" borderId="2" xfId="3" applyFont="1" applyFill="1" applyBorder="1" applyAlignment="1">
      <alignment horizontal="center" vertical="center"/>
    </xf>
    <xf numFmtId="0" fontId="10" fillId="2" borderId="12" xfId="3" applyFont="1" applyFill="1" applyBorder="1" applyAlignment="1" applyProtection="1">
      <alignment horizontal="center" vertical="center"/>
    </xf>
    <xf numFmtId="0" fontId="10" fillId="2" borderId="1" xfId="3" applyFont="1" applyFill="1" applyBorder="1" applyAlignment="1" applyProtection="1">
      <alignment horizontal="center" vertical="center"/>
    </xf>
    <xf numFmtId="0" fontId="10" fillId="2" borderId="2" xfId="3" applyFont="1" applyFill="1" applyBorder="1" applyAlignment="1" applyProtection="1">
      <alignment horizontal="center" vertical="center"/>
    </xf>
    <xf numFmtId="0" fontId="12" fillId="2" borderId="10" xfId="3" applyFont="1" applyFill="1" applyBorder="1" applyAlignment="1" applyProtection="1">
      <alignment horizontal="center" vertical="center"/>
    </xf>
    <xf numFmtId="0" fontId="12" fillId="2" borderId="4" xfId="3" applyFont="1" applyFill="1" applyBorder="1" applyAlignment="1" applyProtection="1">
      <alignment horizontal="center" vertical="center"/>
    </xf>
    <xf numFmtId="0" fontId="12" fillId="2" borderId="5" xfId="3" applyFont="1" applyFill="1" applyBorder="1" applyAlignment="1" applyProtection="1">
      <alignment horizontal="center" vertical="center"/>
    </xf>
  </cellXfs>
  <cellStyles count="6">
    <cellStyle name="Comma" xfId="1" builtinId="3"/>
    <cellStyle name="Comma 2" xfId="2"/>
    <cellStyle name="Comma 4" xfId="4"/>
    <cellStyle name="Comma 4 2" xfId="5"/>
    <cellStyle name="Normal" xfId="0" builtinId="0"/>
    <cellStyle name="Normal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II35"/>
  <sheetViews>
    <sheetView tabSelected="1" workbookViewId="0">
      <selection activeCell="H4" sqref="H4"/>
    </sheetView>
  </sheetViews>
  <sheetFormatPr defaultColWidth="9.109375" defaultRowHeight="15.75" customHeight="1"/>
  <cols>
    <col min="1" max="1" width="14" style="1" customWidth="1"/>
    <col min="2" max="14" width="9.44140625" style="1" customWidth="1"/>
    <col min="15" max="15" width="13.5546875" style="1" customWidth="1"/>
    <col min="16" max="16" width="3.5546875" style="1" customWidth="1"/>
    <col min="17" max="16384" width="9.109375" style="1"/>
  </cols>
  <sheetData>
    <row r="1" spans="1:243" ht="23.25" customHeight="1">
      <c r="A1" s="25" t="s">
        <v>73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7"/>
    </row>
    <row r="2" spans="1:243" s="2" customFormat="1" ht="15.75" customHeight="1">
      <c r="A2" s="28" t="s">
        <v>76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</row>
    <row r="3" spans="1:243" s="2" customFormat="1" ht="15.75" customHeight="1">
      <c r="A3" s="31" t="s">
        <v>74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</row>
    <row r="4" spans="1:243" s="14" customFormat="1" ht="15.75" customHeight="1">
      <c r="A4" s="10" t="s">
        <v>2</v>
      </c>
      <c r="B4" s="11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3"/>
    </row>
    <row r="5" spans="1:243" s="16" customFormat="1" ht="18" customHeight="1">
      <c r="A5" s="3" t="s">
        <v>4</v>
      </c>
      <c r="B5" s="15">
        <f>SUM(C5:N5)</f>
        <v>294.63600000000002</v>
      </c>
      <c r="C5" s="15">
        <f>SUM(C6:C33)</f>
        <v>25.098000000000003</v>
      </c>
      <c r="D5" s="15">
        <f t="shared" ref="D5:M5" si="0">SUM(D6:D33)</f>
        <v>22.216999999999999</v>
      </c>
      <c r="E5" s="15">
        <f t="shared" si="0"/>
        <v>35.461999999999996</v>
      </c>
      <c r="F5" s="15">
        <f t="shared" si="0"/>
        <v>21.43</v>
      </c>
      <c r="G5" s="15">
        <f t="shared" si="0"/>
        <v>34.790000000000006</v>
      </c>
      <c r="H5" s="15">
        <f t="shared" si="0"/>
        <v>21.048999999999999</v>
      </c>
      <c r="I5" s="15">
        <f t="shared" si="0"/>
        <v>24.329000000000008</v>
      </c>
      <c r="J5" s="15">
        <f t="shared" si="0"/>
        <v>23.024999999999991</v>
      </c>
      <c r="K5" s="15">
        <f t="shared" si="0"/>
        <v>22.725999999999992</v>
      </c>
      <c r="L5" s="15">
        <f t="shared" si="0"/>
        <v>24.777999999999995</v>
      </c>
      <c r="M5" s="15">
        <f t="shared" si="0"/>
        <v>19.328999999999997</v>
      </c>
      <c r="N5" s="15">
        <f>SUM(N6:N33)</f>
        <v>20.402999999999999</v>
      </c>
      <c r="O5" s="4" t="s">
        <v>3</v>
      </c>
    </row>
    <row r="6" spans="1:243" s="16" customFormat="1" ht="18" customHeight="1">
      <c r="A6" s="5" t="s">
        <v>17</v>
      </c>
      <c r="B6" s="15">
        <f>SUM(C6:N6)</f>
        <v>1.8609999999999998</v>
      </c>
      <c r="C6" s="21">
        <v>9.6000000000000002E-2</v>
      </c>
      <c r="D6" s="21">
        <v>0.13700000000000001</v>
      </c>
      <c r="E6" s="21">
        <v>0.17599999999999999</v>
      </c>
      <c r="F6" s="21">
        <v>0.11</v>
      </c>
      <c r="G6" s="21">
        <v>0.14199999999999999</v>
      </c>
      <c r="H6" s="21">
        <v>0.156</v>
      </c>
      <c r="I6" s="21">
        <v>0.185</v>
      </c>
      <c r="J6" s="21">
        <v>0.182</v>
      </c>
      <c r="K6" s="21">
        <v>0.14599999999999999</v>
      </c>
      <c r="L6" s="21">
        <v>0.19400000000000001</v>
      </c>
      <c r="M6" s="21">
        <v>0.14599999999999999</v>
      </c>
      <c r="N6" s="21">
        <v>0.191</v>
      </c>
      <c r="O6" s="6" t="s">
        <v>18</v>
      </c>
    </row>
    <row r="7" spans="1:243" s="16" customFormat="1" ht="18" customHeight="1">
      <c r="A7" s="5" t="s">
        <v>19</v>
      </c>
      <c r="B7" s="15">
        <f t="shared" ref="B7:B33" si="1">SUM(C7:N7)</f>
        <v>0.78</v>
      </c>
      <c r="C7" s="21">
        <v>0.05</v>
      </c>
      <c r="D7" s="21">
        <v>0.05</v>
      </c>
      <c r="E7" s="21">
        <v>0.08</v>
      </c>
      <c r="F7" s="21">
        <v>0.08</v>
      </c>
      <c r="G7" s="21">
        <v>0.06</v>
      </c>
      <c r="H7" s="21">
        <v>0.04</v>
      </c>
      <c r="I7" s="21">
        <v>0.03</v>
      </c>
      <c r="J7" s="21">
        <v>0.06</v>
      </c>
      <c r="K7" s="21">
        <v>0.03</v>
      </c>
      <c r="L7" s="21">
        <v>7.0000000000000007E-2</v>
      </c>
      <c r="M7" s="21">
        <v>0.11</v>
      </c>
      <c r="N7" s="21">
        <v>0.12</v>
      </c>
      <c r="O7" s="6" t="s">
        <v>20</v>
      </c>
    </row>
    <row r="8" spans="1:243" s="16" customFormat="1" ht="18" customHeight="1">
      <c r="A8" s="5" t="s">
        <v>21</v>
      </c>
      <c r="B8" s="15">
        <f t="shared" si="1"/>
        <v>0.91999999999999993</v>
      </c>
      <c r="C8" s="21">
        <v>0.09</v>
      </c>
      <c r="D8" s="21">
        <v>0.06</v>
      </c>
      <c r="E8" s="21">
        <v>0.1</v>
      </c>
      <c r="F8" s="21">
        <v>0.06</v>
      </c>
      <c r="G8" s="21">
        <v>0.1</v>
      </c>
      <c r="H8" s="21">
        <v>0.09</v>
      </c>
      <c r="I8" s="21">
        <v>0.05</v>
      </c>
      <c r="J8" s="21">
        <v>0.06</v>
      </c>
      <c r="K8" s="21">
        <v>0.09</v>
      </c>
      <c r="L8" s="21">
        <v>7.0000000000000007E-2</v>
      </c>
      <c r="M8" s="21">
        <v>0.08</v>
      </c>
      <c r="N8" s="21">
        <v>7.0000000000000007E-2</v>
      </c>
      <c r="O8" s="6" t="s">
        <v>22</v>
      </c>
    </row>
    <row r="9" spans="1:243" s="16" customFormat="1" ht="18" customHeight="1">
      <c r="A9" s="5" t="s">
        <v>23</v>
      </c>
      <c r="B9" s="15">
        <f t="shared" si="1"/>
        <v>2.4200000000000004</v>
      </c>
      <c r="C9" s="21">
        <v>0.2</v>
      </c>
      <c r="D9" s="21">
        <v>0.22</v>
      </c>
      <c r="E9" s="21">
        <v>0.22</v>
      </c>
      <c r="F9" s="21">
        <v>0.2</v>
      </c>
      <c r="G9" s="21">
        <v>0.21</v>
      </c>
      <c r="H9" s="21">
        <v>0.22</v>
      </c>
      <c r="I9" s="21">
        <v>0.28000000000000003</v>
      </c>
      <c r="J9" s="21">
        <v>0.18</v>
      </c>
      <c r="K9" s="21">
        <v>0.18</v>
      </c>
      <c r="L9" s="21">
        <v>0.21</v>
      </c>
      <c r="M9" s="21">
        <v>0.1</v>
      </c>
      <c r="N9" s="21">
        <v>0.2</v>
      </c>
      <c r="O9" s="6" t="s">
        <v>24</v>
      </c>
    </row>
    <row r="10" spans="1:243" s="16" customFormat="1" ht="18" customHeight="1">
      <c r="A10" s="5" t="s">
        <v>25</v>
      </c>
      <c r="B10" s="15">
        <f t="shared" si="1"/>
        <v>2.52</v>
      </c>
      <c r="C10" s="21">
        <v>0.19</v>
      </c>
      <c r="D10" s="21">
        <v>0.18</v>
      </c>
      <c r="E10" s="21">
        <v>0.15</v>
      </c>
      <c r="F10" s="21">
        <v>0.18</v>
      </c>
      <c r="G10" s="21">
        <v>0.2</v>
      </c>
      <c r="H10" s="21">
        <v>0.22</v>
      </c>
      <c r="I10" s="21">
        <v>0.33</v>
      </c>
      <c r="J10" s="21">
        <v>0.18</v>
      </c>
      <c r="K10" s="21">
        <v>0.27</v>
      </c>
      <c r="L10" s="21">
        <v>0.27</v>
      </c>
      <c r="M10" s="21">
        <v>0.16</v>
      </c>
      <c r="N10" s="21">
        <v>0.19</v>
      </c>
      <c r="O10" s="6" t="s">
        <v>26</v>
      </c>
    </row>
    <row r="11" spans="1:243" s="16" customFormat="1" ht="18" customHeight="1">
      <c r="A11" s="5" t="s">
        <v>27</v>
      </c>
      <c r="B11" s="15">
        <f t="shared" si="1"/>
        <v>18.129999999999995</v>
      </c>
      <c r="C11" s="21">
        <v>1.48</v>
      </c>
      <c r="D11" s="21">
        <v>1.07</v>
      </c>
      <c r="E11" s="21">
        <v>1.22</v>
      </c>
      <c r="F11" s="21">
        <v>1.93</v>
      </c>
      <c r="G11" s="21">
        <v>0.99</v>
      </c>
      <c r="H11" s="21">
        <v>1.43</v>
      </c>
      <c r="I11" s="21">
        <v>1.76</v>
      </c>
      <c r="J11" s="21">
        <v>2.04</v>
      </c>
      <c r="K11" s="21">
        <v>1.64</v>
      </c>
      <c r="L11" s="21">
        <v>1.36</v>
      </c>
      <c r="M11" s="21">
        <v>1.74</v>
      </c>
      <c r="N11" s="21">
        <v>1.47</v>
      </c>
      <c r="O11" s="6" t="s">
        <v>28</v>
      </c>
    </row>
    <row r="12" spans="1:243" s="16" customFormat="1" ht="18" customHeight="1">
      <c r="A12" s="5" t="s">
        <v>29</v>
      </c>
      <c r="B12" s="15">
        <f t="shared" si="1"/>
        <v>2.4800000000000004</v>
      </c>
      <c r="C12" s="21">
        <v>0.13</v>
      </c>
      <c r="D12" s="21">
        <v>0.22</v>
      </c>
      <c r="E12" s="21">
        <v>0.26</v>
      </c>
      <c r="F12" s="21">
        <v>0.12</v>
      </c>
      <c r="G12" s="21">
        <v>0.22</v>
      </c>
      <c r="H12" s="21">
        <v>0.13</v>
      </c>
      <c r="I12" s="21">
        <v>0.31</v>
      </c>
      <c r="J12" s="21">
        <v>0.22</v>
      </c>
      <c r="K12" s="21">
        <v>0.19</v>
      </c>
      <c r="L12" s="21">
        <v>0.26</v>
      </c>
      <c r="M12" s="21">
        <v>0.22</v>
      </c>
      <c r="N12" s="21">
        <v>0.2</v>
      </c>
      <c r="O12" s="6" t="s">
        <v>30</v>
      </c>
    </row>
    <row r="13" spans="1:243" s="16" customFormat="1" ht="18" customHeight="1">
      <c r="A13" s="5" t="s">
        <v>31</v>
      </c>
      <c r="B13" s="15">
        <f t="shared" si="1"/>
        <v>0.28500000000000003</v>
      </c>
      <c r="C13" s="21">
        <v>0.03</v>
      </c>
      <c r="D13" s="21">
        <v>0.02</v>
      </c>
      <c r="E13" s="21">
        <v>0.03</v>
      </c>
      <c r="F13" s="21">
        <v>0.02</v>
      </c>
      <c r="G13" s="21">
        <v>1.4999999999999999E-2</v>
      </c>
      <c r="H13" s="21">
        <v>0.01</v>
      </c>
      <c r="I13" s="21">
        <v>0.02</v>
      </c>
      <c r="J13" s="21">
        <v>0.02</v>
      </c>
      <c r="K13" s="21">
        <v>0.03</v>
      </c>
      <c r="L13" s="21">
        <v>0.04</v>
      </c>
      <c r="M13" s="21">
        <v>0.02</v>
      </c>
      <c r="N13" s="21">
        <v>0.03</v>
      </c>
      <c r="O13" s="6" t="s">
        <v>32</v>
      </c>
    </row>
    <row r="14" spans="1:243" s="16" customFormat="1" ht="18" customHeight="1">
      <c r="A14" s="5" t="s">
        <v>33</v>
      </c>
      <c r="B14" s="15">
        <f t="shared" si="1"/>
        <v>241.88100000000003</v>
      </c>
      <c r="C14" s="21">
        <v>20.66</v>
      </c>
      <c r="D14" s="21">
        <v>18.32</v>
      </c>
      <c r="E14" s="21">
        <v>31.01</v>
      </c>
      <c r="F14" s="21">
        <v>16.809999999999999</v>
      </c>
      <c r="G14" s="21">
        <v>30.8</v>
      </c>
      <c r="H14" s="21">
        <v>16.84</v>
      </c>
      <c r="I14" s="21">
        <v>19.260000000000002</v>
      </c>
      <c r="J14" s="21">
        <v>18.11</v>
      </c>
      <c r="K14" s="21">
        <v>18.36</v>
      </c>
      <c r="L14" s="21">
        <v>20.34</v>
      </c>
      <c r="M14" s="21">
        <v>14.94</v>
      </c>
      <c r="N14" s="21">
        <v>16.431000000000001</v>
      </c>
      <c r="O14" s="6" t="s">
        <v>34</v>
      </c>
    </row>
    <row r="15" spans="1:243" s="16" customFormat="1" ht="18" customHeight="1">
      <c r="A15" s="5" t="s">
        <v>35</v>
      </c>
      <c r="B15" s="15">
        <f t="shared" si="1"/>
        <v>6.65</v>
      </c>
      <c r="C15" s="21">
        <v>0.66</v>
      </c>
      <c r="D15" s="21">
        <v>0.57999999999999996</v>
      </c>
      <c r="E15" s="21">
        <v>0.69</v>
      </c>
      <c r="F15" s="21">
        <v>0.48</v>
      </c>
      <c r="G15" s="21">
        <v>0.44</v>
      </c>
      <c r="H15" s="21">
        <v>0.46</v>
      </c>
      <c r="I15" s="21">
        <v>0.76</v>
      </c>
      <c r="J15" s="21">
        <v>0.62</v>
      </c>
      <c r="K15" s="21">
        <v>0.28999999999999998</v>
      </c>
      <c r="L15" s="21">
        <v>0.68</v>
      </c>
      <c r="M15" s="21">
        <v>0.67</v>
      </c>
      <c r="N15" s="21">
        <v>0.32</v>
      </c>
      <c r="O15" s="6" t="s">
        <v>36</v>
      </c>
    </row>
    <row r="16" spans="1:243" s="16" customFormat="1" ht="18" customHeight="1">
      <c r="A16" s="5" t="s">
        <v>37</v>
      </c>
      <c r="B16" s="15">
        <f t="shared" si="1"/>
        <v>0.78</v>
      </c>
      <c r="C16" s="21">
        <v>0.05</v>
      </c>
      <c r="D16" s="21">
        <v>7.0000000000000007E-2</v>
      </c>
      <c r="E16" s="21">
        <v>0.03</v>
      </c>
      <c r="F16" s="21">
        <v>0.08</v>
      </c>
      <c r="G16" s="21">
        <v>0.06</v>
      </c>
      <c r="H16" s="21">
        <v>0.08</v>
      </c>
      <c r="I16" s="21">
        <v>0.1</v>
      </c>
      <c r="J16" s="21">
        <v>7.0000000000000007E-2</v>
      </c>
      <c r="K16" s="21">
        <v>0.04</v>
      </c>
      <c r="L16" s="21">
        <v>0.08</v>
      </c>
      <c r="M16" s="21">
        <v>0.03</v>
      </c>
      <c r="N16" s="21">
        <v>0.09</v>
      </c>
      <c r="O16" s="6" t="s">
        <v>38</v>
      </c>
    </row>
    <row r="17" spans="1:18" s="16" customFormat="1" ht="18.600000000000001">
      <c r="A17" s="5" t="s">
        <v>39</v>
      </c>
      <c r="B17" s="15">
        <f t="shared" si="1"/>
        <v>3.5199999999999996</v>
      </c>
      <c r="C17" s="21">
        <v>0.24</v>
      </c>
      <c r="D17" s="21">
        <v>0.23</v>
      </c>
      <c r="E17" s="21">
        <v>0.32</v>
      </c>
      <c r="F17" s="21">
        <v>0.28000000000000003</v>
      </c>
      <c r="G17" s="21">
        <v>0.36</v>
      </c>
      <c r="H17" s="21">
        <v>0.3</v>
      </c>
      <c r="I17" s="21">
        <v>0.31</v>
      </c>
      <c r="J17" s="21">
        <v>0.33</v>
      </c>
      <c r="K17" s="21">
        <v>0.31</v>
      </c>
      <c r="L17" s="21">
        <v>0.32</v>
      </c>
      <c r="M17" s="21">
        <v>0.26</v>
      </c>
      <c r="N17" s="21">
        <v>0.26</v>
      </c>
      <c r="O17" s="6" t="s">
        <v>40</v>
      </c>
    </row>
    <row r="18" spans="1:18" s="16" customFormat="1" ht="18.600000000000001">
      <c r="A18" s="5" t="s">
        <v>41</v>
      </c>
      <c r="B18" s="15">
        <f t="shared" si="1"/>
        <v>2.2199999999999998</v>
      </c>
      <c r="C18" s="21">
        <v>0.27</v>
      </c>
      <c r="D18" s="21">
        <v>0.19</v>
      </c>
      <c r="E18" s="21">
        <v>0.26</v>
      </c>
      <c r="F18" s="21">
        <v>0.27</v>
      </c>
      <c r="G18" s="21">
        <v>0.28999999999999998</v>
      </c>
      <c r="H18" s="21">
        <v>0.26</v>
      </c>
      <c r="I18" s="21">
        <v>0.13</v>
      </c>
      <c r="J18" s="21">
        <v>0.08</v>
      </c>
      <c r="K18" s="21">
        <v>0.13</v>
      </c>
      <c r="L18" s="21">
        <v>0.13</v>
      </c>
      <c r="M18" s="21">
        <v>0.12</v>
      </c>
      <c r="N18" s="21">
        <v>0.09</v>
      </c>
      <c r="O18" s="6" t="s">
        <v>42</v>
      </c>
    </row>
    <row r="19" spans="1:18" s="16" customFormat="1" ht="18.600000000000001">
      <c r="A19" s="5" t="s">
        <v>43</v>
      </c>
      <c r="B19" s="15">
        <f t="shared" si="1"/>
        <v>1.2</v>
      </c>
      <c r="C19" s="21">
        <v>0.12</v>
      </c>
      <c r="D19" s="21">
        <v>0.09</v>
      </c>
      <c r="E19" s="21">
        <v>0.16</v>
      </c>
      <c r="F19" s="21">
        <v>0.11</v>
      </c>
      <c r="G19" s="21">
        <v>0.1</v>
      </c>
      <c r="H19" s="21">
        <v>0.06</v>
      </c>
      <c r="I19" s="21">
        <v>0.1</v>
      </c>
      <c r="J19" s="21">
        <v>0.1</v>
      </c>
      <c r="K19" s="21">
        <v>0.1</v>
      </c>
      <c r="L19" s="21">
        <v>0.1</v>
      </c>
      <c r="M19" s="21">
        <v>0.06</v>
      </c>
      <c r="N19" s="21">
        <v>0.1</v>
      </c>
      <c r="O19" s="6" t="s">
        <v>44</v>
      </c>
    </row>
    <row r="20" spans="1:18" s="16" customFormat="1" ht="18.600000000000001">
      <c r="A20" s="5" t="s">
        <v>45</v>
      </c>
      <c r="B20" s="15">
        <f t="shared" si="1"/>
        <v>0.81999999999999984</v>
      </c>
      <c r="C20" s="21">
        <v>7.0000000000000007E-2</v>
      </c>
      <c r="D20" s="21">
        <v>7.0000000000000007E-2</v>
      </c>
      <c r="E20" s="21">
        <v>0.08</v>
      </c>
      <c r="F20" s="21">
        <v>0.06</v>
      </c>
      <c r="G20" s="21">
        <v>7.0000000000000007E-2</v>
      </c>
      <c r="H20" s="21">
        <v>0.08</v>
      </c>
      <c r="I20" s="21">
        <v>0.06</v>
      </c>
      <c r="J20" s="21">
        <v>0.05</v>
      </c>
      <c r="K20" s="21">
        <v>0.08</v>
      </c>
      <c r="L20" s="21">
        <v>0.06</v>
      </c>
      <c r="M20" s="21">
        <v>0.08</v>
      </c>
      <c r="N20" s="21">
        <v>0.06</v>
      </c>
      <c r="O20" s="6" t="s">
        <v>46</v>
      </c>
    </row>
    <row r="21" spans="1:18" s="16" customFormat="1" ht="18.600000000000001">
      <c r="A21" s="5" t="s">
        <v>47</v>
      </c>
      <c r="B21" s="15">
        <f t="shared" si="1"/>
        <v>0.30000000000000004</v>
      </c>
      <c r="C21" s="21">
        <v>0.02</v>
      </c>
      <c r="D21" s="21">
        <v>0.02</v>
      </c>
      <c r="E21" s="21">
        <v>0.02</v>
      </c>
      <c r="F21" s="21">
        <v>0.02</v>
      </c>
      <c r="G21" s="21">
        <v>0.03</v>
      </c>
      <c r="H21" s="21">
        <v>0.02</v>
      </c>
      <c r="I21" s="21">
        <v>0.04</v>
      </c>
      <c r="J21" s="21">
        <v>0.04</v>
      </c>
      <c r="K21" s="21">
        <v>0.02</v>
      </c>
      <c r="L21" s="21">
        <v>0.02</v>
      </c>
      <c r="M21" s="21">
        <v>0.03</v>
      </c>
      <c r="N21" s="21">
        <v>0.02</v>
      </c>
      <c r="O21" s="6" t="s">
        <v>48</v>
      </c>
    </row>
    <row r="22" spans="1:18" s="16" customFormat="1" ht="18.600000000000001">
      <c r="A22" s="5" t="s">
        <v>49</v>
      </c>
      <c r="B22" s="15">
        <f t="shared" si="1"/>
        <v>0.57000000000000006</v>
      </c>
      <c r="C22" s="21">
        <v>0.05</v>
      </c>
      <c r="D22" s="21">
        <v>0.05</v>
      </c>
      <c r="E22" s="21">
        <v>0.01</v>
      </c>
      <c r="F22" s="21">
        <v>0.05</v>
      </c>
      <c r="G22" s="21">
        <v>0.01</v>
      </c>
      <c r="H22" s="21">
        <v>0.09</v>
      </c>
      <c r="I22" s="21">
        <v>7.0000000000000007E-2</v>
      </c>
      <c r="J22" s="21">
        <v>0.04</v>
      </c>
      <c r="K22" s="21">
        <v>0.06</v>
      </c>
      <c r="L22" s="21">
        <v>0.04</v>
      </c>
      <c r="M22" s="21">
        <v>0.04</v>
      </c>
      <c r="N22" s="21">
        <v>0.06</v>
      </c>
      <c r="O22" s="6" t="s">
        <v>50</v>
      </c>
    </row>
    <row r="23" spans="1:18" s="16" customFormat="1" ht="18.600000000000001">
      <c r="A23" s="5" t="s">
        <v>51</v>
      </c>
      <c r="B23" s="15">
        <f t="shared" si="1"/>
        <v>0.57000000000000006</v>
      </c>
      <c r="C23" s="21">
        <v>0.03</v>
      </c>
      <c r="D23" s="21">
        <v>0.04</v>
      </c>
      <c r="E23" s="21">
        <v>0.03</v>
      </c>
      <c r="F23" s="21">
        <v>0.04</v>
      </c>
      <c r="G23" s="21">
        <v>0.05</v>
      </c>
      <c r="H23" s="21">
        <v>0.05</v>
      </c>
      <c r="I23" s="21">
        <v>0.05</v>
      </c>
      <c r="J23" s="21">
        <v>0.06</v>
      </c>
      <c r="K23" s="21">
        <v>0.05</v>
      </c>
      <c r="L23" s="21">
        <v>0.06</v>
      </c>
      <c r="M23" s="21">
        <v>7.0000000000000007E-2</v>
      </c>
      <c r="N23" s="21">
        <v>0.04</v>
      </c>
      <c r="O23" s="6" t="s">
        <v>52</v>
      </c>
    </row>
    <row r="24" spans="1:18" s="16" customFormat="1" ht="18.600000000000001">
      <c r="A24" s="5" t="s">
        <v>53</v>
      </c>
      <c r="B24" s="15">
        <f t="shared" si="1"/>
        <v>0.46</v>
      </c>
      <c r="C24" s="21">
        <v>0.04</v>
      </c>
      <c r="D24" s="21">
        <v>0.04</v>
      </c>
      <c r="E24" s="21">
        <v>0.03</v>
      </c>
      <c r="F24" s="21">
        <v>0.02</v>
      </c>
      <c r="G24" s="21">
        <v>0.06</v>
      </c>
      <c r="H24" s="21">
        <v>0.01</v>
      </c>
      <c r="I24" s="21">
        <v>0.03</v>
      </c>
      <c r="J24" s="21">
        <v>0.04</v>
      </c>
      <c r="K24" s="21">
        <v>0.08</v>
      </c>
      <c r="L24" s="21">
        <v>0.01</v>
      </c>
      <c r="M24" s="21">
        <v>0.06</v>
      </c>
      <c r="N24" s="21">
        <v>0.04</v>
      </c>
      <c r="O24" s="6" t="s">
        <v>54</v>
      </c>
    </row>
    <row r="25" spans="1:18" s="16" customFormat="1" ht="18.600000000000001">
      <c r="A25" s="5" t="s">
        <v>55</v>
      </c>
      <c r="B25" s="15">
        <f t="shared" si="1"/>
        <v>0.85000000000000009</v>
      </c>
      <c r="C25" s="21">
        <v>0.05</v>
      </c>
      <c r="D25" s="21">
        <v>0.06</v>
      </c>
      <c r="E25" s="21">
        <v>7.0000000000000007E-2</v>
      </c>
      <c r="F25" s="21">
        <v>7.0000000000000007E-2</v>
      </c>
      <c r="G25" s="21">
        <v>7.0000000000000007E-2</v>
      </c>
      <c r="H25" s="21">
        <v>0.06</v>
      </c>
      <c r="I25" s="21">
        <v>0.11</v>
      </c>
      <c r="J25" s="21">
        <v>0.08</v>
      </c>
      <c r="K25" s="21">
        <v>0.12</v>
      </c>
      <c r="L25" s="21">
        <v>0.06</v>
      </c>
      <c r="M25" s="21">
        <v>0.04</v>
      </c>
      <c r="N25" s="21">
        <v>0.06</v>
      </c>
      <c r="O25" s="6" t="s">
        <v>56</v>
      </c>
    </row>
    <row r="26" spans="1:18" s="16" customFormat="1" ht="18.600000000000001">
      <c r="A26" s="5" t="s">
        <v>57</v>
      </c>
      <c r="B26" s="15">
        <f t="shared" si="1"/>
        <v>0.46499999999999997</v>
      </c>
      <c r="C26" s="21">
        <v>0.03</v>
      </c>
      <c r="D26" s="21">
        <v>0.02</v>
      </c>
      <c r="E26" s="21">
        <v>6.5000000000000002E-2</v>
      </c>
      <c r="F26" s="21">
        <v>0.03</v>
      </c>
      <c r="G26" s="21">
        <v>0.06</v>
      </c>
      <c r="H26" s="21">
        <v>0.03</v>
      </c>
      <c r="I26" s="21">
        <v>0.05</v>
      </c>
      <c r="J26" s="21">
        <v>0.04</v>
      </c>
      <c r="K26" s="21">
        <v>0.05</v>
      </c>
      <c r="L26" s="21">
        <v>0.04</v>
      </c>
      <c r="M26" s="21">
        <v>0.02</v>
      </c>
      <c r="N26" s="21">
        <v>0.03</v>
      </c>
      <c r="O26" s="6" t="s">
        <v>58</v>
      </c>
    </row>
    <row r="27" spans="1:18" s="16" customFormat="1" ht="18.600000000000001">
      <c r="A27" s="5" t="s">
        <v>59</v>
      </c>
      <c r="B27" s="15">
        <f t="shared" si="1"/>
        <v>1.1100000000000001</v>
      </c>
      <c r="C27" s="21">
        <v>0.11</v>
      </c>
      <c r="D27" s="21">
        <v>0.09</v>
      </c>
      <c r="E27" s="21">
        <v>0.13</v>
      </c>
      <c r="F27" s="21">
        <v>0.1</v>
      </c>
      <c r="G27" s="21">
        <v>0.11</v>
      </c>
      <c r="H27" s="21">
        <v>0.1</v>
      </c>
      <c r="I27" s="21">
        <v>0.1</v>
      </c>
      <c r="J27" s="21">
        <v>0.1</v>
      </c>
      <c r="K27" s="21">
        <v>0.06</v>
      </c>
      <c r="L27" s="21">
        <v>7.0000000000000007E-2</v>
      </c>
      <c r="M27" s="21">
        <v>7.0000000000000007E-2</v>
      </c>
      <c r="N27" s="21">
        <v>7.0000000000000007E-2</v>
      </c>
      <c r="O27" s="6" t="s">
        <v>60</v>
      </c>
    </row>
    <row r="28" spans="1:18" s="16" customFormat="1" ht="18.600000000000001">
      <c r="A28" s="5" t="s">
        <v>61</v>
      </c>
      <c r="B28" s="15">
        <f t="shared" si="1"/>
        <v>0.76000000000000023</v>
      </c>
      <c r="C28" s="21">
        <v>0.06</v>
      </c>
      <c r="D28" s="21">
        <v>0.06</v>
      </c>
      <c r="E28" s="21">
        <v>0.06</v>
      </c>
      <c r="F28" s="21">
        <v>0.06</v>
      </c>
      <c r="G28" s="21">
        <v>0.08</v>
      </c>
      <c r="H28" s="21">
        <v>0.06</v>
      </c>
      <c r="I28" s="21">
        <v>0.05</v>
      </c>
      <c r="J28" s="21">
        <v>0.09</v>
      </c>
      <c r="K28" s="21">
        <v>0.06</v>
      </c>
      <c r="L28" s="21">
        <v>0.06</v>
      </c>
      <c r="M28" s="21">
        <v>0.06</v>
      </c>
      <c r="N28" s="21">
        <v>0.06</v>
      </c>
      <c r="O28" s="6" t="s">
        <v>62</v>
      </c>
    </row>
    <row r="29" spans="1:18" s="16" customFormat="1" ht="18.600000000000001">
      <c r="A29" s="5" t="s">
        <v>63</v>
      </c>
      <c r="B29" s="15">
        <f t="shared" si="1"/>
        <v>0.16</v>
      </c>
      <c r="C29" s="21">
        <v>0.01</v>
      </c>
      <c r="D29" s="21">
        <v>0.04</v>
      </c>
      <c r="E29" s="21">
        <v>0.01</v>
      </c>
      <c r="F29" s="21">
        <v>0.03</v>
      </c>
      <c r="G29" s="21">
        <v>3.0000000000000001E-3</v>
      </c>
      <c r="H29" s="21">
        <v>3.0000000000000001E-3</v>
      </c>
      <c r="I29" s="21">
        <v>4.0000000000000001E-3</v>
      </c>
      <c r="J29" s="21">
        <v>2.3E-2</v>
      </c>
      <c r="K29" s="21">
        <v>0.02</v>
      </c>
      <c r="L29" s="21">
        <v>4.0000000000000001E-3</v>
      </c>
      <c r="M29" s="21">
        <v>3.0000000000000001E-3</v>
      </c>
      <c r="N29" s="21">
        <v>0.01</v>
      </c>
      <c r="O29" s="6" t="s">
        <v>64</v>
      </c>
    </row>
    <row r="30" spans="1:18" s="16" customFormat="1" ht="18.600000000000001">
      <c r="A30" s="5" t="s">
        <v>65</v>
      </c>
      <c r="B30" s="15">
        <f t="shared" si="1"/>
        <v>1.4600000000000002</v>
      </c>
      <c r="C30" s="21">
        <v>0.1</v>
      </c>
      <c r="D30" s="21">
        <v>0.05</v>
      </c>
      <c r="E30" s="21">
        <v>0.15</v>
      </c>
      <c r="F30" s="21">
        <v>0.1</v>
      </c>
      <c r="G30" s="21">
        <v>0.15</v>
      </c>
      <c r="H30" s="21">
        <v>0.15</v>
      </c>
      <c r="I30" s="21">
        <v>0.05</v>
      </c>
      <c r="J30" s="21">
        <v>0.15</v>
      </c>
      <c r="K30" s="21">
        <v>0.2</v>
      </c>
      <c r="L30" s="21">
        <v>0.16</v>
      </c>
      <c r="M30" s="21">
        <v>0.1</v>
      </c>
      <c r="N30" s="21">
        <v>0.1</v>
      </c>
      <c r="O30" s="6" t="s">
        <v>66</v>
      </c>
    </row>
    <row r="31" spans="1:18" s="16" customFormat="1" ht="18.600000000000001">
      <c r="A31" s="5" t="s">
        <v>67</v>
      </c>
      <c r="B31" s="15">
        <f t="shared" si="1"/>
        <v>0.253</v>
      </c>
      <c r="C31" s="24">
        <v>2E-3</v>
      </c>
      <c r="D31" s="21">
        <v>0.01</v>
      </c>
      <c r="E31" s="21">
        <v>1E-3</v>
      </c>
      <c r="F31" s="21">
        <v>0.03</v>
      </c>
      <c r="G31" s="21">
        <v>0.03</v>
      </c>
      <c r="H31" s="21">
        <v>0.01</v>
      </c>
      <c r="I31" s="21">
        <v>0.02</v>
      </c>
      <c r="J31" s="21">
        <v>0.02</v>
      </c>
      <c r="K31" s="21">
        <v>0.03</v>
      </c>
      <c r="L31" s="21">
        <v>0.02</v>
      </c>
      <c r="M31" s="21">
        <v>0.04</v>
      </c>
      <c r="N31" s="21">
        <v>0.04</v>
      </c>
      <c r="O31" s="6" t="s">
        <v>68</v>
      </c>
    </row>
    <row r="32" spans="1:18" s="17" customFormat="1" ht="18.600000000000001">
      <c r="A32" s="5" t="s">
        <v>69</v>
      </c>
      <c r="B32" s="15">
        <f t="shared" si="1"/>
        <v>0.90000000000000036</v>
      </c>
      <c r="C32" s="21">
        <v>0.23</v>
      </c>
      <c r="D32" s="21">
        <v>0.19</v>
      </c>
      <c r="E32" s="21">
        <v>0.04</v>
      </c>
      <c r="F32" s="21">
        <v>7.0000000000000007E-2</v>
      </c>
      <c r="G32" s="21">
        <v>0.06</v>
      </c>
      <c r="H32" s="21">
        <v>7.0000000000000007E-2</v>
      </c>
      <c r="I32" s="21">
        <v>0.04</v>
      </c>
      <c r="J32" s="21">
        <v>0.02</v>
      </c>
      <c r="K32" s="21">
        <v>0.06</v>
      </c>
      <c r="L32" s="21">
        <v>0.04</v>
      </c>
      <c r="M32" s="21">
        <v>0.04</v>
      </c>
      <c r="N32" s="21">
        <v>0.04</v>
      </c>
      <c r="O32" s="6" t="s">
        <v>70</v>
      </c>
      <c r="P32" s="16"/>
      <c r="R32" s="17" t="s">
        <v>75</v>
      </c>
    </row>
    <row r="33" spans="1:15" s="16" customFormat="1" ht="18" customHeight="1">
      <c r="A33" s="7" t="s">
        <v>71</v>
      </c>
      <c r="B33" s="22">
        <f t="shared" si="1"/>
        <v>0.311</v>
      </c>
      <c r="C33" s="23">
        <v>0.03</v>
      </c>
      <c r="D33" s="23">
        <v>0.04</v>
      </c>
      <c r="E33" s="23">
        <v>0.06</v>
      </c>
      <c r="F33" s="23">
        <v>0.02</v>
      </c>
      <c r="G33" s="23">
        <v>0.02</v>
      </c>
      <c r="H33" s="23">
        <v>0.02</v>
      </c>
      <c r="I33" s="23">
        <v>0.03</v>
      </c>
      <c r="J33" s="23">
        <v>0.02</v>
      </c>
      <c r="K33" s="23">
        <v>0.03</v>
      </c>
      <c r="L33" s="23">
        <v>0.01</v>
      </c>
      <c r="M33" s="23">
        <v>0.02</v>
      </c>
      <c r="N33" s="23">
        <v>1.0999999999999999E-2</v>
      </c>
      <c r="O33" s="8" t="s">
        <v>72</v>
      </c>
    </row>
    <row r="34" spans="1:15" s="9" customFormat="1" ht="16.5" customHeight="1">
      <c r="A34" s="18" t="s">
        <v>0</v>
      </c>
      <c r="O34" s="19" t="s">
        <v>1</v>
      </c>
    </row>
    <row r="35" spans="1:15" s="9" customFormat="1" ht="11.4">
      <c r="O35" s="20"/>
    </row>
  </sheetData>
  <mergeCells count="3">
    <mergeCell ref="A1:O1"/>
    <mergeCell ref="A2:O2"/>
    <mergeCell ref="A3:O3"/>
  </mergeCells>
  <pageMargins left="0.7" right="0.7" top="0.42" bottom="0.47" header="0.3" footer="0.3"/>
  <pageSetup paperSize="9" scale="85" orientation="landscape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2015-01-20T04:35:08Z</cp:lastPrinted>
  <dcterms:created xsi:type="dcterms:W3CDTF">2015-01-12T08:51:45Z</dcterms:created>
  <dcterms:modified xsi:type="dcterms:W3CDTF">2015-01-20T04:41:33Z</dcterms:modified>
</cp:coreProperties>
</file>