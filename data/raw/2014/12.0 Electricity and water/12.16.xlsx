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6" sheetId="6" r:id="rId1"/>
  </sheets>
  <calcPr calcId="124519"/>
</workbook>
</file>

<file path=xl/calcChain.xml><?xml version="1.0" encoding="utf-8"?>
<calcChain xmlns="http://schemas.openxmlformats.org/spreadsheetml/2006/main">
  <c r="D17" i="6"/>
  <c r="F30" l="1"/>
  <c r="D30"/>
  <c r="B30"/>
  <c r="F17"/>
  <c r="B17"/>
</calcChain>
</file>

<file path=xl/sharedStrings.xml><?xml version="1.0" encoding="utf-8"?>
<sst xmlns="http://schemas.openxmlformats.org/spreadsheetml/2006/main" count="66" uniqueCount="43">
  <si>
    <t>Source: State Electric Company Limited</t>
  </si>
  <si>
    <t>Total</t>
  </si>
  <si>
    <t>ޖުމްލަ</t>
  </si>
  <si>
    <t>cDeTimil Inepcmok ckircTckeliacTETcs :ctWrwfivcaedutWmUluAwm</t>
  </si>
  <si>
    <t>2013 ,urwvcnim unuved IDiscbws cTcnwrwk iawgElWm : 12.6  ulwvWt</t>
  </si>
  <si>
    <t>TABLE 12.6 ELECTRICITY SUBSIDY MALE',  2013</t>
  </si>
  <si>
    <t>Month</t>
  </si>
  <si>
    <t xml:space="preserve">ޖުމްލަ ގޭބިސީ އަދަދު </t>
  </si>
  <si>
    <t>ކަރަންޓް ބިލްގެ ޖުމްލަ
(ސަބްސިޑީ ނުލާ)</t>
  </si>
  <si>
    <t xml:space="preserve">ޖުމްލަ ސަބްސިޑީ (ރުފިޔާއިން) </t>
  </si>
  <si>
    <t>cswm</t>
  </si>
  <si>
    <t>Total Electricity bill (MVR)
(excluding subsidy)</t>
  </si>
  <si>
    <t>Total amount on electricity subsidy (MVR)</t>
  </si>
  <si>
    <t>Monthly government subsidy (usage based)</t>
  </si>
  <si>
    <t>މަހުގެގޮތުން ސަރުކާރުން ސަބްސިޑީ ދެއްވި ވަރު (ބޭނުންކުރި މިންވަރުން)</t>
  </si>
  <si>
    <t>less than 100 Rf</t>
  </si>
  <si>
    <t>100 ރުފިޔާއަށްވުރެ ދަށް</t>
  </si>
  <si>
    <t>100-199</t>
  </si>
  <si>
    <t>199 - 100</t>
  </si>
  <si>
    <t>200-299</t>
  </si>
  <si>
    <t>299 - 200</t>
  </si>
  <si>
    <t>300-399</t>
  </si>
  <si>
    <t>399 - 300</t>
  </si>
  <si>
    <t>400-499</t>
  </si>
  <si>
    <t>499 - 400</t>
  </si>
  <si>
    <t>500-599</t>
  </si>
  <si>
    <t>599 - 500</t>
  </si>
  <si>
    <t>600-699</t>
  </si>
  <si>
    <t>699 - 600</t>
  </si>
  <si>
    <t>700-799</t>
  </si>
  <si>
    <t>799 - 700</t>
  </si>
  <si>
    <t>800-899</t>
  </si>
  <si>
    <t>899 - 800</t>
  </si>
  <si>
    <t>900-999</t>
  </si>
  <si>
    <t>999 - 900</t>
  </si>
  <si>
    <t>1000+</t>
  </si>
  <si>
    <t>1000 ރުފިޔާއަށްވުރެ މަތި</t>
  </si>
  <si>
    <t>Monthly government subsidy fuel surcharge</t>
  </si>
  <si>
    <t xml:space="preserve">މަހުގެގޮތުން ސަރުކާރުން ސަބްސިޑީ ފިއުލް ސަރ ޗާރޖް ދެއްވި ވަރު </t>
  </si>
  <si>
    <t>* Please note that the Total Electricity Bill values are derived after deducting the subsidies</t>
  </si>
  <si>
    <t>*ކަރަންޓް ބިލްގެ ޖުމްލަ އަދަދުތައް ނެގިފައިވަނީ ސަބްސިޑީއަށްވާ އަދަދު ކެނޑުމަށްފަހުއެވެ.</t>
  </si>
  <si>
    <t>less than 100 MVR</t>
  </si>
  <si>
    <t xml:space="preserve">No of Households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</si>
</sst>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9"/>
      <color theme="1"/>
      <name val="Faruma"/>
    </font>
    <font>
      <b/>
      <sz val="11"/>
      <color theme="1"/>
      <name val="A_Randhoo"/>
    </font>
    <font>
      <b/>
      <sz val="10"/>
      <color theme="1"/>
      <name val="Faruma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167" fontId="3" fillId="2" borderId="2" xfId="0" applyNumberFormat="1" applyFont="1" applyFill="1" applyBorder="1"/>
    <xf numFmtId="167" fontId="10" fillId="2" borderId="20" xfId="2" applyNumberFormat="1" applyFont="1" applyFill="1" applyBorder="1" applyAlignment="1" applyProtection="1">
      <alignment horizontal="right" vertical="center" wrapText="1" readingOrder="2"/>
    </xf>
    <xf numFmtId="0" fontId="8" fillId="2" borderId="15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167" fontId="6" fillId="2" borderId="2" xfId="0" applyNumberFormat="1" applyFont="1" applyFill="1" applyBorder="1"/>
    <xf numFmtId="0" fontId="5" fillId="2" borderId="23" xfId="0" applyFont="1" applyFill="1" applyBorder="1" applyAlignment="1">
      <alignment horizontal="right" vertical="center" wrapText="1"/>
    </xf>
    <xf numFmtId="167" fontId="5" fillId="2" borderId="6" xfId="2" applyNumberFormat="1" applyFont="1" applyFill="1" applyBorder="1" applyAlignment="1" applyProtection="1">
      <alignment horizontal="left" vertical="center" wrapText="1"/>
    </xf>
    <xf numFmtId="167" fontId="5" fillId="2" borderId="6" xfId="0" applyNumberFormat="1" applyFont="1" applyFill="1" applyBorder="1"/>
    <xf numFmtId="0" fontId="12" fillId="2" borderId="14" xfId="2" applyFont="1" applyFill="1" applyBorder="1" applyAlignment="1">
      <alignment horizontal="right" vertical="center" wrapText="1" readingOrder="2"/>
    </xf>
    <xf numFmtId="167" fontId="5" fillId="2" borderId="2" xfId="0" applyNumberFormat="1" applyFont="1" applyFill="1" applyBorder="1"/>
    <xf numFmtId="167" fontId="3" fillId="2" borderId="2" xfId="2" applyNumberFormat="1" applyFont="1" applyFill="1" applyBorder="1" applyAlignment="1" applyProtection="1">
      <alignment horizontal="left" vertical="center"/>
    </xf>
    <xf numFmtId="167" fontId="4" fillId="2" borderId="2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right" vertical="center"/>
    </xf>
    <xf numFmtId="167" fontId="5" fillId="2" borderId="7" xfId="2" applyNumberFormat="1" applyFont="1" applyFill="1" applyBorder="1" applyAlignment="1" applyProtection="1">
      <alignment horizontal="left" vertical="center"/>
    </xf>
    <xf numFmtId="164" fontId="5" fillId="2" borderId="7" xfId="3" applyNumberFormat="1" applyFont="1" applyFill="1" applyBorder="1" applyAlignment="1">
      <alignment horizontal="right"/>
    </xf>
    <xf numFmtId="167" fontId="12" fillId="2" borderId="7" xfId="2" applyNumberFormat="1" applyFont="1" applyFill="1" applyBorder="1" applyAlignment="1" applyProtection="1">
      <alignment horizontal="right" vertical="center" readingOrder="2"/>
    </xf>
    <xf numFmtId="164" fontId="5" fillId="2" borderId="24" xfId="3" applyNumberFormat="1" applyFont="1" applyFill="1" applyBorder="1" applyAlignment="1">
      <alignment horizontal="right"/>
    </xf>
    <xf numFmtId="0" fontId="12" fillId="2" borderId="0" xfId="2" applyFont="1" applyFill="1" applyBorder="1" applyAlignment="1">
      <alignment horizontal="right" vertical="center" wrapText="1" readingOrder="2"/>
    </xf>
    <xf numFmtId="167" fontId="5" fillId="2" borderId="1" xfId="0" applyNumberFormat="1" applyFont="1" applyFill="1" applyBorder="1"/>
    <xf numFmtId="167" fontId="3" fillId="2" borderId="2" xfId="0" applyNumberFormat="1" applyFont="1" applyFill="1" applyBorder="1" applyAlignment="1">
      <alignment vertical="center"/>
    </xf>
    <xf numFmtId="167" fontId="5" fillId="2" borderId="8" xfId="2" applyNumberFormat="1" applyFont="1" applyFill="1" applyBorder="1" applyAlignment="1" applyProtection="1">
      <alignment horizontal="left" vertical="center"/>
    </xf>
    <xf numFmtId="164" fontId="5" fillId="2" borderId="8" xfId="3" applyNumberFormat="1" applyFont="1" applyFill="1" applyBorder="1" applyAlignment="1">
      <alignment horizontal="right"/>
    </xf>
    <xf numFmtId="167" fontId="12" fillId="2" borderId="8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/>
    <xf numFmtId="0" fontId="2" fillId="2" borderId="5" xfId="0" applyFont="1" applyFill="1" applyBorder="1" applyAlignment="1" applyProtection="1">
      <alignment horizontal="left" vertical="center"/>
    </xf>
    <xf numFmtId="167" fontId="3" fillId="2" borderId="6" xfId="0" applyNumberFormat="1" applyFont="1" applyFill="1" applyBorder="1"/>
    <xf numFmtId="43" fontId="3" fillId="2" borderId="6" xfId="3" applyFont="1" applyFill="1" applyBorder="1"/>
    <xf numFmtId="164" fontId="3" fillId="2" borderId="12" xfId="4" applyNumberFormat="1" applyFont="1" applyFill="1" applyBorder="1" applyAlignment="1">
      <alignment horizontal="right" vertical="center"/>
    </xf>
    <xf numFmtId="164" fontId="3" fillId="2" borderId="2" xfId="4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vertical="center"/>
    </xf>
    <xf numFmtId="0" fontId="8" fillId="2" borderId="1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67" fontId="9" fillId="2" borderId="10" xfId="2" applyNumberFormat="1" applyFont="1" applyFill="1" applyBorder="1" applyAlignment="1">
      <alignment horizontal="center" vertical="center" wrapText="1"/>
    </xf>
    <xf numFmtId="167" fontId="9" fillId="2" borderId="3" xfId="2" applyNumberFormat="1" applyFont="1" applyFill="1" applyBorder="1" applyAlignment="1">
      <alignment horizontal="center" vertical="center" wrapText="1"/>
    </xf>
    <xf numFmtId="167" fontId="9" fillId="2" borderId="4" xfId="2" applyNumberFormat="1" applyFont="1" applyFill="1" applyBorder="1" applyAlignment="1">
      <alignment horizontal="center" vertical="center" wrapText="1"/>
    </xf>
    <xf numFmtId="167" fontId="5" fillId="2" borderId="18" xfId="2" applyNumberFormat="1" applyFont="1" applyFill="1" applyBorder="1" applyAlignment="1">
      <alignment horizontal="left" vertical="center"/>
    </xf>
    <xf numFmtId="167" fontId="5" fillId="2" borderId="21" xfId="2" applyNumberFormat="1" applyFont="1" applyFill="1" applyBorder="1" applyAlignment="1">
      <alignment horizontal="left" vertical="center"/>
    </xf>
    <xf numFmtId="167" fontId="10" fillId="2" borderId="18" xfId="2" applyNumberFormat="1" applyFont="1" applyFill="1" applyBorder="1" applyAlignment="1" applyProtection="1">
      <alignment horizontal="right" vertical="center" wrapText="1" readingOrder="2"/>
    </xf>
    <xf numFmtId="167" fontId="10" fillId="2" borderId="17" xfId="2" applyNumberFormat="1" applyFont="1" applyFill="1" applyBorder="1" applyAlignment="1" applyProtection="1">
      <alignment horizontal="right" vertical="center" wrapText="1" readingOrder="2"/>
    </xf>
    <xf numFmtId="167" fontId="10" fillId="2" borderId="16" xfId="2" applyNumberFormat="1" applyFont="1" applyFill="1" applyBorder="1" applyAlignment="1" applyProtection="1">
      <alignment horizontal="right" vertical="center" wrapText="1" readingOrder="2"/>
    </xf>
    <xf numFmtId="167" fontId="10" fillId="2" borderId="19" xfId="2" applyNumberFormat="1" applyFont="1" applyFill="1" applyBorder="1" applyAlignment="1" applyProtection="1">
      <alignment horizontal="right" vertical="center" wrapText="1" readingOrder="2"/>
    </xf>
    <xf numFmtId="0" fontId="11" fillId="2" borderId="13" xfId="2" applyFont="1" applyFill="1" applyBorder="1" applyAlignment="1">
      <alignment horizontal="right" vertical="center"/>
    </xf>
    <xf numFmtId="0" fontId="11" fillId="2" borderId="23" xfId="2" applyFont="1" applyFill="1" applyBorder="1" applyAlignment="1">
      <alignment horizontal="right" vertical="center"/>
    </xf>
    <xf numFmtId="0" fontId="5" fillId="2" borderId="22" xfId="0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right" vertical="center" wrapText="1"/>
    </xf>
    <xf numFmtId="3" fontId="5" fillId="2" borderId="9" xfId="2" applyNumberFormat="1" applyFont="1" applyFill="1" applyBorder="1" applyAlignment="1">
      <alignment horizontal="center"/>
    </xf>
    <xf numFmtId="3" fontId="5" fillId="2" borderId="11" xfId="2" applyNumberFormat="1" applyFont="1" applyFill="1" applyBorder="1" applyAlignment="1">
      <alignment horizontal="center"/>
    </xf>
    <xf numFmtId="164" fontId="3" fillId="2" borderId="12" xfId="4" applyNumberFormat="1" applyFont="1" applyFill="1" applyBorder="1" applyAlignment="1">
      <alignment horizontal="right" vertical="center"/>
    </xf>
    <xf numFmtId="164" fontId="3" fillId="2" borderId="1" xfId="4" applyNumberFormat="1" applyFont="1" applyFill="1" applyBorder="1" applyAlignment="1">
      <alignment horizontal="right" vertical="center"/>
    </xf>
    <xf numFmtId="164" fontId="3" fillId="2" borderId="12" xfId="4" applyNumberFormat="1" applyFont="1" applyFill="1" applyBorder="1" applyAlignment="1">
      <alignment horizontal="right"/>
    </xf>
    <xf numFmtId="164" fontId="3" fillId="2" borderId="1" xfId="4" applyNumberFormat="1" applyFont="1" applyFill="1" applyBorder="1" applyAlignment="1">
      <alignment horizontal="right"/>
    </xf>
    <xf numFmtId="164" fontId="5" fillId="2" borderId="7" xfId="3" applyNumberFormat="1" applyFont="1" applyFill="1" applyBorder="1" applyAlignment="1">
      <alignment horizontal="right"/>
    </xf>
    <xf numFmtId="164" fontId="5" fillId="2" borderId="24" xfId="3" applyNumberFormat="1" applyFont="1" applyFill="1" applyBorder="1" applyAlignment="1">
      <alignment horizontal="right"/>
    </xf>
    <xf numFmtId="164" fontId="5" fillId="2" borderId="5" xfId="3" applyNumberFormat="1" applyFont="1" applyFill="1" applyBorder="1" applyAlignment="1">
      <alignment horizontal="right"/>
    </xf>
    <xf numFmtId="167" fontId="7" fillId="2" borderId="18" xfId="2" applyNumberFormat="1" applyFont="1" applyFill="1" applyBorder="1" applyAlignment="1" applyProtection="1">
      <alignment horizontal="right" vertical="center" wrapText="1" readingOrder="2"/>
    </xf>
    <xf numFmtId="167" fontId="7" fillId="2" borderId="13" xfId="2" applyNumberFormat="1" applyFont="1" applyFill="1" applyBorder="1" applyAlignment="1" applyProtection="1">
      <alignment horizontal="right" vertical="center" wrapText="1" readingOrder="2"/>
    </xf>
    <xf numFmtId="164" fontId="5" fillId="2" borderId="8" xfId="3" applyNumberFormat="1" applyFont="1" applyFill="1" applyBorder="1" applyAlignment="1">
      <alignment horizontal="right"/>
    </xf>
    <xf numFmtId="167" fontId="2" fillId="2" borderId="9" xfId="0" applyNumberFormat="1" applyFont="1" applyFill="1" applyBorder="1" applyAlignment="1">
      <alignment horizontal="left" vertical="center" wrapText="1"/>
    </xf>
    <xf numFmtId="167" fontId="2" fillId="2" borderId="25" xfId="0" applyNumberFormat="1" applyFont="1" applyFill="1" applyBorder="1" applyAlignment="1">
      <alignment horizontal="left" vertical="center" wrapText="1"/>
    </xf>
    <xf numFmtId="167" fontId="2" fillId="2" borderId="11" xfId="0" applyNumberFormat="1" applyFont="1" applyFill="1" applyBorder="1" applyAlignment="1">
      <alignment horizontal="left" vertical="center" wrapText="1"/>
    </xf>
  </cellXfs>
  <cellStyles count="5">
    <cellStyle name="Comma 2" xfId="1"/>
    <cellStyle name="Comma 4" xfId="3"/>
    <cellStyle name="Comma 4 2" xfId="4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2"/>
  <sheetViews>
    <sheetView tabSelected="1" workbookViewId="0">
      <selection activeCell="K3" sqref="K3"/>
    </sheetView>
  </sheetViews>
  <sheetFormatPr defaultColWidth="9.109375" defaultRowHeight="21.75" customHeight="1"/>
  <cols>
    <col min="1" max="1" width="20" style="1" customWidth="1"/>
    <col min="2" max="2" width="5.33203125" style="1" customWidth="1"/>
    <col min="3" max="3" width="9.88671875" style="1" customWidth="1"/>
    <col min="4" max="4" width="4" style="1" customWidth="1"/>
    <col min="5" max="5" width="17.109375" style="1" customWidth="1"/>
    <col min="6" max="6" width="20.88671875" style="1" customWidth="1"/>
    <col min="7" max="7" width="27.88671875" style="1" customWidth="1"/>
    <col min="8" max="8" width="1.6640625" style="1" customWidth="1"/>
    <col min="9" max="16384" width="9.109375" style="1"/>
  </cols>
  <sheetData>
    <row r="1" spans="1:12" ht="21.75" customHeight="1">
      <c r="A1" s="33" t="s">
        <v>4</v>
      </c>
      <c r="B1" s="33"/>
      <c r="C1" s="33"/>
      <c r="D1" s="33"/>
      <c r="E1" s="33"/>
      <c r="F1" s="33"/>
      <c r="G1" s="34"/>
    </row>
    <row r="2" spans="1:12" ht="19.5" customHeight="1">
      <c r="A2" s="35" t="s">
        <v>5</v>
      </c>
      <c r="B2" s="36"/>
      <c r="C2" s="36"/>
      <c r="D2" s="36"/>
      <c r="E2" s="36"/>
      <c r="F2" s="36"/>
      <c r="G2" s="37"/>
    </row>
    <row r="3" spans="1:12" s="5" customFormat="1" ht="35.25" customHeight="1">
      <c r="A3" s="38" t="s">
        <v>6</v>
      </c>
      <c r="B3" s="40" t="s">
        <v>7</v>
      </c>
      <c r="C3" s="41"/>
      <c r="D3" s="42" t="s">
        <v>8</v>
      </c>
      <c r="E3" s="43"/>
      <c r="F3" s="2" t="s">
        <v>9</v>
      </c>
      <c r="G3" s="44" t="s">
        <v>10</v>
      </c>
      <c r="H3" s="3"/>
      <c r="I3" s="3"/>
      <c r="J3" s="3"/>
      <c r="K3" s="3"/>
      <c r="L3" s="4"/>
    </row>
    <row r="4" spans="1:12" s="5" customFormat="1" ht="30.75" customHeight="1">
      <c r="A4" s="39"/>
      <c r="B4" s="46" t="s">
        <v>42</v>
      </c>
      <c r="C4" s="46"/>
      <c r="D4" s="47" t="s">
        <v>11</v>
      </c>
      <c r="E4" s="47"/>
      <c r="F4" s="6" t="s">
        <v>12</v>
      </c>
      <c r="G4" s="45"/>
    </row>
    <row r="5" spans="1:12" s="10" customFormat="1" ht="34.5" customHeight="1">
      <c r="A5" s="7" t="s">
        <v>13</v>
      </c>
      <c r="B5" s="48"/>
      <c r="C5" s="49"/>
      <c r="D5" s="48"/>
      <c r="E5" s="49"/>
      <c r="F5" s="8"/>
      <c r="G5" s="9" t="s">
        <v>14</v>
      </c>
    </row>
    <row r="6" spans="1:12" s="14" customFormat="1" ht="20.25" customHeight="1">
      <c r="A6" s="11" t="s">
        <v>41</v>
      </c>
      <c r="B6" s="50">
        <v>691</v>
      </c>
      <c r="C6" s="51"/>
      <c r="D6" s="50">
        <v>50365.97</v>
      </c>
      <c r="E6" s="51"/>
      <c r="F6" s="30">
        <v>15364.7</v>
      </c>
      <c r="G6" s="12" t="s">
        <v>16</v>
      </c>
      <c r="H6" s="13"/>
    </row>
    <row r="7" spans="1:12" ht="21.75" customHeight="1">
      <c r="A7" s="11" t="s">
        <v>17</v>
      </c>
      <c r="B7" s="52">
        <v>1209</v>
      </c>
      <c r="C7" s="53"/>
      <c r="D7" s="52">
        <v>182567.19</v>
      </c>
      <c r="E7" s="53"/>
      <c r="F7" s="31">
        <v>70789.2</v>
      </c>
      <c r="G7" s="15" t="s">
        <v>18</v>
      </c>
    </row>
    <row r="8" spans="1:12" ht="21.75" customHeight="1">
      <c r="A8" s="11" t="s">
        <v>19</v>
      </c>
      <c r="B8" s="52">
        <v>1748</v>
      </c>
      <c r="C8" s="53"/>
      <c r="D8" s="52">
        <v>443760.59</v>
      </c>
      <c r="E8" s="53"/>
      <c r="F8" s="31">
        <v>187103.59</v>
      </c>
      <c r="G8" s="15" t="s">
        <v>20</v>
      </c>
    </row>
    <row r="9" spans="1:12" ht="21.75" customHeight="1">
      <c r="A9" s="11" t="s">
        <v>21</v>
      </c>
      <c r="B9" s="52">
        <v>2087</v>
      </c>
      <c r="C9" s="53"/>
      <c r="D9" s="52">
        <v>731354.54</v>
      </c>
      <c r="E9" s="53"/>
      <c r="F9" s="31">
        <v>300072.12</v>
      </c>
      <c r="G9" s="15" t="s">
        <v>22</v>
      </c>
    </row>
    <row r="10" spans="1:12" ht="21.75" customHeight="1">
      <c r="A10" s="11" t="s">
        <v>23</v>
      </c>
      <c r="B10" s="52">
        <v>2178</v>
      </c>
      <c r="C10" s="53"/>
      <c r="D10" s="52">
        <v>981050.85</v>
      </c>
      <c r="E10" s="53"/>
      <c r="F10" s="31">
        <v>350163.16</v>
      </c>
      <c r="G10" s="15" t="s">
        <v>24</v>
      </c>
    </row>
    <row r="11" spans="1:12" ht="21.75" customHeight="1">
      <c r="A11" s="11" t="s">
        <v>25</v>
      </c>
      <c r="B11" s="52">
        <v>1943</v>
      </c>
      <c r="C11" s="53"/>
      <c r="D11" s="52">
        <v>1065226.53</v>
      </c>
      <c r="E11" s="53"/>
      <c r="F11" s="31">
        <v>339439.89</v>
      </c>
      <c r="G11" s="15" t="s">
        <v>26</v>
      </c>
    </row>
    <row r="12" spans="1:12" ht="21.75" customHeight="1">
      <c r="A12" s="11" t="s">
        <v>27</v>
      </c>
      <c r="B12" s="52">
        <v>1619</v>
      </c>
      <c r="C12" s="53"/>
      <c r="D12" s="52">
        <v>1049741.1499999999</v>
      </c>
      <c r="E12" s="53"/>
      <c r="F12" s="31">
        <v>298610.74</v>
      </c>
      <c r="G12" s="15" t="s">
        <v>28</v>
      </c>
    </row>
    <row r="13" spans="1:12" ht="21.75" customHeight="1">
      <c r="A13" s="11" t="s">
        <v>29</v>
      </c>
      <c r="B13" s="52">
        <v>1468</v>
      </c>
      <c r="C13" s="53"/>
      <c r="D13" s="52">
        <v>1098328.9099999999</v>
      </c>
      <c r="E13" s="53"/>
      <c r="F13" s="31">
        <v>292718.18</v>
      </c>
      <c r="G13" s="15" t="s">
        <v>30</v>
      </c>
    </row>
    <row r="14" spans="1:12" ht="21.75" customHeight="1">
      <c r="A14" s="11" t="s">
        <v>31</v>
      </c>
      <c r="B14" s="52">
        <v>1181</v>
      </c>
      <c r="C14" s="53"/>
      <c r="D14" s="52">
        <v>1000743.47</v>
      </c>
      <c r="E14" s="53"/>
      <c r="F14" s="31">
        <v>231600.71</v>
      </c>
      <c r="G14" s="15" t="s">
        <v>32</v>
      </c>
    </row>
    <row r="15" spans="1:12" ht="21.75" customHeight="1">
      <c r="A15" s="11" t="s">
        <v>33</v>
      </c>
      <c r="B15" s="52">
        <v>1039</v>
      </c>
      <c r="C15" s="53"/>
      <c r="D15" s="52">
        <v>986267.98</v>
      </c>
      <c r="E15" s="53"/>
      <c r="F15" s="31">
        <v>202249.93</v>
      </c>
      <c r="G15" s="15" t="s">
        <v>34</v>
      </c>
    </row>
    <row r="16" spans="1:12" ht="21.75" customHeight="1">
      <c r="A16" s="11" t="s">
        <v>35</v>
      </c>
      <c r="B16" s="52">
        <v>8559</v>
      </c>
      <c r="C16" s="53"/>
      <c r="D16" s="52">
        <v>18838113.859999999</v>
      </c>
      <c r="E16" s="53"/>
      <c r="F16" s="31">
        <v>1452665.19</v>
      </c>
      <c r="G16" s="12" t="s">
        <v>36</v>
      </c>
    </row>
    <row r="17" spans="1:8" ht="18.600000000000001">
      <c r="A17" s="16" t="s">
        <v>1</v>
      </c>
      <c r="B17" s="54">
        <f>SUM(B6:C16)</f>
        <v>23722</v>
      </c>
      <c r="C17" s="54"/>
      <c r="D17" s="54">
        <f>SUM(D6:E16)</f>
        <v>26427521.039999999</v>
      </c>
      <c r="E17" s="54"/>
      <c r="F17" s="17">
        <f>SUM(F6:F16)</f>
        <v>3740777.41</v>
      </c>
      <c r="G17" s="18" t="s">
        <v>2</v>
      </c>
    </row>
    <row r="18" spans="1:8" s="10" customFormat="1" ht="37.200000000000003">
      <c r="A18" s="7" t="s">
        <v>37</v>
      </c>
      <c r="B18" s="55"/>
      <c r="C18" s="56"/>
      <c r="D18" s="55"/>
      <c r="E18" s="56"/>
      <c r="F18" s="19"/>
      <c r="G18" s="20" t="s">
        <v>38</v>
      </c>
      <c r="H18" s="21"/>
    </row>
    <row r="19" spans="1:8" s="22" customFormat="1" ht="18.600000000000001">
      <c r="A19" s="11" t="s">
        <v>15</v>
      </c>
      <c r="B19" s="50">
        <v>691</v>
      </c>
      <c r="C19" s="51"/>
      <c r="D19" s="50">
        <v>50365.97</v>
      </c>
      <c r="E19" s="51"/>
      <c r="F19" s="30">
        <v>44708.89</v>
      </c>
      <c r="G19" s="12" t="s">
        <v>16</v>
      </c>
    </row>
    <row r="20" spans="1:8" ht="13.8">
      <c r="A20" s="11" t="s">
        <v>17</v>
      </c>
      <c r="B20" s="52">
        <v>1209</v>
      </c>
      <c r="C20" s="53"/>
      <c r="D20" s="52">
        <v>182567.19</v>
      </c>
      <c r="E20" s="53"/>
      <c r="F20" s="31">
        <v>204313.68</v>
      </c>
      <c r="G20" s="15" t="s">
        <v>18</v>
      </c>
    </row>
    <row r="21" spans="1:8" ht="13.8">
      <c r="A21" s="11" t="s">
        <v>19</v>
      </c>
      <c r="B21" s="52">
        <v>1748</v>
      </c>
      <c r="C21" s="53"/>
      <c r="D21" s="52">
        <v>443760.59</v>
      </c>
      <c r="E21" s="53"/>
      <c r="F21" s="31">
        <v>524859.09</v>
      </c>
      <c r="G21" s="15" t="s">
        <v>20</v>
      </c>
    </row>
    <row r="22" spans="1:8" ht="13.8">
      <c r="A22" s="11" t="s">
        <v>21</v>
      </c>
      <c r="B22" s="52">
        <v>2087</v>
      </c>
      <c r="C22" s="53"/>
      <c r="D22" s="52">
        <v>731354.54</v>
      </c>
      <c r="E22" s="53"/>
      <c r="F22" s="31">
        <v>863530.48</v>
      </c>
      <c r="G22" s="15" t="s">
        <v>22</v>
      </c>
    </row>
    <row r="23" spans="1:8" ht="13.8">
      <c r="A23" s="11" t="s">
        <v>23</v>
      </c>
      <c r="B23" s="52">
        <v>2178</v>
      </c>
      <c r="C23" s="53"/>
      <c r="D23" s="52">
        <v>981050.85</v>
      </c>
      <c r="E23" s="53"/>
      <c r="F23" s="31">
        <v>1105791.73</v>
      </c>
      <c r="G23" s="15" t="s">
        <v>24</v>
      </c>
    </row>
    <row r="24" spans="1:8" ht="13.8">
      <c r="A24" s="11" t="s">
        <v>25</v>
      </c>
      <c r="B24" s="52">
        <v>1943</v>
      </c>
      <c r="C24" s="53"/>
      <c r="D24" s="52">
        <v>1065226.53</v>
      </c>
      <c r="E24" s="53"/>
      <c r="F24" s="31">
        <v>1149322.8899999999</v>
      </c>
      <c r="G24" s="15" t="s">
        <v>26</v>
      </c>
    </row>
    <row r="25" spans="1:8" ht="13.8">
      <c r="A25" s="11" t="s">
        <v>27</v>
      </c>
      <c r="B25" s="52">
        <v>1619</v>
      </c>
      <c r="C25" s="53"/>
      <c r="D25" s="52">
        <v>1049741.1499999999</v>
      </c>
      <c r="E25" s="53"/>
      <c r="F25" s="31">
        <v>1050477.06</v>
      </c>
      <c r="G25" s="15" t="s">
        <v>28</v>
      </c>
    </row>
    <row r="26" spans="1:8" ht="13.8">
      <c r="A26" s="11" t="s">
        <v>29</v>
      </c>
      <c r="B26" s="52">
        <v>1468</v>
      </c>
      <c r="C26" s="53"/>
      <c r="D26" s="52">
        <v>1098328.9099999999</v>
      </c>
      <c r="E26" s="53"/>
      <c r="F26" s="31">
        <v>1059484.3500000001</v>
      </c>
      <c r="G26" s="15" t="s">
        <v>30</v>
      </c>
    </row>
    <row r="27" spans="1:8" ht="13.8">
      <c r="A27" s="11" t="s">
        <v>31</v>
      </c>
      <c r="B27" s="52">
        <v>1181</v>
      </c>
      <c r="C27" s="53"/>
      <c r="D27" s="52">
        <v>1000743.47</v>
      </c>
      <c r="E27" s="53"/>
      <c r="F27" s="31">
        <v>877149.45</v>
      </c>
      <c r="G27" s="15" t="s">
        <v>32</v>
      </c>
    </row>
    <row r="28" spans="1:8" ht="13.8">
      <c r="A28" s="11" t="s">
        <v>33</v>
      </c>
      <c r="B28" s="52">
        <v>1039</v>
      </c>
      <c r="C28" s="53"/>
      <c r="D28" s="52">
        <v>986267.98</v>
      </c>
      <c r="E28" s="53"/>
      <c r="F28" s="31">
        <v>828564.99</v>
      </c>
      <c r="G28" s="15" t="s">
        <v>34</v>
      </c>
    </row>
    <row r="29" spans="1:8" ht="18.600000000000001">
      <c r="A29" s="11" t="s">
        <v>35</v>
      </c>
      <c r="B29" s="52">
        <v>8559</v>
      </c>
      <c r="C29" s="53"/>
      <c r="D29" s="52">
        <v>18838113.859999999</v>
      </c>
      <c r="E29" s="53"/>
      <c r="F29" s="31">
        <v>9743405.5299999993</v>
      </c>
      <c r="G29" s="12" t="s">
        <v>36</v>
      </c>
    </row>
    <row r="30" spans="1:8" ht="18.600000000000001">
      <c r="A30" s="23" t="s">
        <v>1</v>
      </c>
      <c r="B30" s="59">
        <f>SUM(B19:C29)</f>
        <v>23722</v>
      </c>
      <c r="C30" s="59"/>
      <c r="D30" s="59">
        <f>SUM(D19:E29)</f>
        <v>26427521.039999999</v>
      </c>
      <c r="E30" s="59"/>
      <c r="F30" s="24">
        <f>SUM(F19:F29)</f>
        <v>17451608.140000001</v>
      </c>
      <c r="G30" s="25" t="s">
        <v>2</v>
      </c>
    </row>
    <row r="31" spans="1:8" ht="24.6" customHeight="1">
      <c r="A31" s="60" t="s">
        <v>39</v>
      </c>
      <c r="B31" s="61"/>
      <c r="C31" s="61"/>
      <c r="D31" s="61"/>
      <c r="E31" s="62"/>
      <c r="F31" s="57" t="s">
        <v>40</v>
      </c>
      <c r="G31" s="58"/>
      <c r="H31" s="26"/>
    </row>
    <row r="32" spans="1:8" ht="14.4">
      <c r="A32" s="27" t="s">
        <v>0</v>
      </c>
      <c r="B32" s="28"/>
      <c r="C32" s="28"/>
      <c r="D32" s="28"/>
      <c r="E32" s="28"/>
      <c r="F32" s="29"/>
      <c r="G32" s="32" t="s">
        <v>3</v>
      </c>
    </row>
  </sheetData>
  <mergeCells count="62">
    <mergeCell ref="F31:G31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A31:E31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A1:G1"/>
    <mergeCell ref="A2:G2"/>
    <mergeCell ref="A3:A4"/>
    <mergeCell ref="B3:C3"/>
    <mergeCell ref="D3:E3"/>
    <mergeCell ref="G3:G4"/>
    <mergeCell ref="B4:C4"/>
    <mergeCell ref="D4:E4"/>
  </mergeCells>
  <pageMargins left="0.2" right="0.1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2015-01-20T04:48:40Z</dcterms:modified>
</cp:coreProperties>
</file>