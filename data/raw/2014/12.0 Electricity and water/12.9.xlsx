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44" windowWidth="15252" windowHeight="8688" tabRatio="924"/>
  </bookViews>
  <sheets>
    <sheet name="12.9" sheetId="9" r:id="rId1"/>
  </sheets>
  <calcPr calcId="124519"/>
</workbook>
</file>

<file path=xl/calcChain.xml><?xml version="1.0" encoding="utf-8"?>
<calcChain xmlns="http://schemas.openxmlformats.org/spreadsheetml/2006/main">
  <c r="H16" i="9"/>
  <c r="H15"/>
  <c r="H14"/>
  <c r="H13"/>
  <c r="H12"/>
  <c r="H11"/>
  <c r="H10"/>
  <c r="G16" l="1"/>
  <c r="D16"/>
  <c r="C16"/>
  <c r="G15"/>
  <c r="D15"/>
  <c r="C15"/>
  <c r="G14"/>
  <c r="D14"/>
  <c r="C14"/>
  <c r="E8"/>
  <c r="F16" s="1"/>
  <c r="E7"/>
  <c r="F15" s="1"/>
  <c r="E6"/>
  <c r="F14" s="1"/>
  <c r="H5"/>
  <c r="G5"/>
  <c r="G13" s="1"/>
  <c r="F5"/>
  <c r="F13" s="1"/>
  <c r="E5"/>
  <c r="E13" s="1"/>
  <c r="D5"/>
  <c r="D13" s="1"/>
  <c r="C5"/>
  <c r="C13" s="1"/>
  <c r="C10" l="1"/>
  <c r="D10"/>
  <c r="E10"/>
  <c r="F10"/>
  <c r="G10"/>
  <c r="M10"/>
  <c r="C11"/>
  <c r="D11"/>
  <c r="E11"/>
  <c r="F11"/>
  <c r="G11"/>
  <c r="C12"/>
  <c r="D12"/>
  <c r="E12"/>
  <c r="F12"/>
  <c r="G12"/>
  <c r="E14"/>
  <c r="E15"/>
  <c r="E16"/>
  <c r="H9" l="1"/>
  <c r="G9"/>
  <c r="F9"/>
  <c r="E9"/>
  <c r="D9"/>
  <c r="C9"/>
</calcChain>
</file>

<file path=xl/sharedStrings.xml><?xml version="1.0" encoding="utf-8"?>
<sst xmlns="http://schemas.openxmlformats.org/spreadsheetml/2006/main" count="32" uniqueCount="20">
  <si>
    <t xml:space="preserve"> % cnutogWviawfiheb</t>
  </si>
  <si>
    <t>% change over previous year</t>
  </si>
  <si>
    <t xml:space="preserve"> % urwvcnim ivurutia eruvcSwrwhwa Iruk</t>
  </si>
  <si>
    <t>cnwt</t>
  </si>
  <si>
    <t>(In '000 metric tons)</t>
  </si>
  <si>
    <t>(cnunwT ckircTem '000)</t>
  </si>
  <si>
    <t>Type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</si>
  <si>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</si>
  <si>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</si>
  <si>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</si>
  <si>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</si>
  <si>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</si>
  <si>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</si>
  <si>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</si>
  <si>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</si>
  <si>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% share</t>
  </si>
  <si>
    <t>cDeTimil Inepcmok cjErevcs cDcnea rwTOv ElWm :ctWrwf ivcaedutWmUluawm</t>
  </si>
  <si>
    <r>
      <t xml:space="preserve">2013 - 2007  ,urwvcnim unuverukcnunEb </t>
    </r>
    <r>
      <rPr>
        <b/>
        <sz val="11"/>
        <color theme="1"/>
        <rFont val="A_Reethi"/>
      </rPr>
      <t>ވިލިނގިލީގައި</t>
    </r>
    <r>
      <rPr>
        <b/>
        <sz val="11"/>
        <color theme="1"/>
        <rFont val="A_Randhoo"/>
      </rPr>
      <t xml:space="preserve"> cnef Everukclib   :12.9 ulwvWt</t>
    </r>
  </si>
  <si>
    <t>Table 12.9 : BILLED WATER CONSUMPTION IN VILLINGILI, 2007 - 2013</t>
  </si>
  <si>
    <t>Source: Male' Water &amp; Sewerage Company Private Limited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</si>
</sst>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_Randhoo"/>
    </font>
    <font>
      <b/>
      <sz val="12"/>
      <color theme="1"/>
      <name val="A_Randhoo"/>
    </font>
    <font>
      <b/>
      <sz val="11"/>
      <color theme="1"/>
      <name val="A_Randhoo"/>
    </font>
    <font>
      <b/>
      <sz val="10"/>
      <name val="A_Funa"/>
    </font>
    <font>
      <sz val="9"/>
      <color theme="1"/>
      <name val="A_Randhoo"/>
    </font>
    <font>
      <sz val="10"/>
      <name val="Garamond"/>
      <family val="1"/>
    </font>
    <font>
      <b/>
      <sz val="11"/>
      <color theme="1"/>
      <name val="A_Reethi"/>
    </font>
    <font>
      <b/>
      <sz val="10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</cellStyleXfs>
  <cellXfs count="39">
    <xf numFmtId="0" fontId="0" fillId="0" borderId="0" xfId="0"/>
    <xf numFmtId="0" fontId="0" fillId="2" borderId="0" xfId="0" applyFill="1"/>
    <xf numFmtId="0" fontId="7" fillId="2" borderId="0" xfId="2" applyFont="1" applyFill="1" applyBorder="1" applyAlignment="1">
      <alignment horizontal="center" vertical="center" wrapText="1"/>
    </xf>
    <xf numFmtId="0" fontId="1" fillId="2" borderId="0" xfId="2" applyFont="1" applyFill="1" applyBorder="1"/>
    <xf numFmtId="0" fontId="13" fillId="2" borderId="0" xfId="5" applyFont="1" applyFill="1" applyAlignment="1">
      <alignment horizontal="right"/>
    </xf>
    <xf numFmtId="0" fontId="10" fillId="2" borderId="0" xfId="0" applyFont="1" applyFill="1" applyAlignment="1">
      <alignment vertical="center"/>
    </xf>
    <xf numFmtId="0" fontId="4" fillId="2" borderId="0" xfId="2" applyFont="1" applyFill="1"/>
    <xf numFmtId="0" fontId="2" fillId="2" borderId="1" xfId="2" applyFont="1" applyFill="1" applyBorder="1" applyAlignment="1">
      <alignment vertical="center"/>
    </xf>
    <xf numFmtId="0" fontId="2" fillId="2" borderId="1" xfId="2" applyFont="1" applyFill="1" applyBorder="1" applyAlignment="1">
      <alignment horizontal="right" vertical="center"/>
    </xf>
    <xf numFmtId="0" fontId="2" fillId="2" borderId="2" xfId="2" applyFont="1" applyFill="1" applyBorder="1" applyAlignment="1">
      <alignment horizontal="right" vertical="center"/>
    </xf>
    <xf numFmtId="0" fontId="16" fillId="2" borderId="2" xfId="0" applyFont="1" applyFill="1" applyBorder="1" applyAlignment="1">
      <alignment horizontal="right" vertical="center"/>
    </xf>
    <xf numFmtId="0" fontId="2" fillId="2" borderId="0" xfId="2" applyFont="1" applyFill="1" applyAlignment="1">
      <alignment vertical="center"/>
    </xf>
    <xf numFmtId="3" fontId="2" fillId="2" borderId="0" xfId="2" applyNumberFormat="1" applyFont="1" applyFill="1" applyAlignment="1">
      <alignment horizontal="right" vertical="center" readingOrder="2"/>
    </xf>
    <xf numFmtId="0" fontId="16" fillId="2" borderId="0" xfId="0" applyFont="1" applyFill="1" applyAlignment="1">
      <alignment horizontal="right"/>
    </xf>
    <xf numFmtId="0" fontId="4" fillId="2" borderId="0" xfId="2" applyFont="1" applyFill="1" applyAlignment="1">
      <alignment vertical="center"/>
    </xf>
    <xf numFmtId="3" fontId="4" fillId="2" borderId="0" xfId="2" applyNumberFormat="1" applyFont="1" applyFill="1" applyAlignment="1">
      <alignment horizontal="right" vertical="center" readingOrder="2"/>
    </xf>
    <xf numFmtId="0" fontId="9" fillId="2" borderId="0" xfId="0" applyFont="1" applyFill="1" applyAlignment="1">
      <alignment horizontal="right"/>
    </xf>
    <xf numFmtId="0" fontId="4" fillId="2" borderId="3" xfId="2" applyFont="1" applyFill="1" applyBorder="1" applyAlignment="1">
      <alignment vertical="center"/>
    </xf>
    <xf numFmtId="3" fontId="4" fillId="2" borderId="3" xfId="2" applyNumberFormat="1" applyFont="1" applyFill="1" applyBorder="1" applyAlignment="1">
      <alignment horizontal="right" vertical="center" readingOrder="2"/>
    </xf>
    <xf numFmtId="0" fontId="9" fillId="2" borderId="3" xfId="0" applyFont="1" applyFill="1" applyBorder="1" applyAlignment="1">
      <alignment horizontal="right"/>
    </xf>
    <xf numFmtId="3" fontId="2" fillId="2" borderId="0" xfId="2" applyNumberFormat="1" applyFont="1" applyFill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3" fontId="4" fillId="2" borderId="0" xfId="2" applyNumberFormat="1" applyFont="1" applyFill="1"/>
    <xf numFmtId="3" fontId="2" fillId="2" borderId="0" xfId="2" applyNumberFormat="1" applyFont="1" applyFill="1" applyAlignment="1">
      <alignment horizontal="right" vertical="center" readingOrder="1"/>
    </xf>
    <xf numFmtId="3" fontId="4" fillId="2" borderId="0" xfId="2" applyNumberFormat="1" applyFont="1" applyFill="1" applyAlignment="1">
      <alignment horizontal="right" vertical="center" readingOrder="1"/>
    </xf>
    <xf numFmtId="3" fontId="4" fillId="2" borderId="0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/>
    </xf>
    <xf numFmtId="3" fontId="4" fillId="2" borderId="1" xfId="2" applyNumberFormat="1" applyFont="1" applyFill="1" applyBorder="1" applyAlignment="1">
      <alignment horizontal="right" vertical="center"/>
    </xf>
    <xf numFmtId="3" fontId="4" fillId="2" borderId="1" xfId="2" applyNumberFormat="1" applyFont="1" applyFill="1" applyBorder="1" applyAlignment="1">
      <alignment horizontal="right" vertical="center" readingOrder="2"/>
    </xf>
    <xf numFmtId="3" fontId="4" fillId="2" borderId="1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/>
    </xf>
    <xf numFmtId="0" fontId="5" fillId="2" borderId="0" xfId="5" applyFont="1" applyFill="1"/>
    <xf numFmtId="0" fontId="6" fillId="2" borderId="0" xfId="5" applyFont="1" applyFill="1" applyAlignment="1">
      <alignment horizontal="right"/>
    </xf>
    <xf numFmtId="0" fontId="4" fillId="2" borderId="0" xfId="2" applyFont="1" applyFill="1" applyBorder="1"/>
    <xf numFmtId="0" fontId="7" fillId="2" borderId="0" xfId="2" applyFont="1" applyFill="1" applyBorder="1" applyAlignment="1">
      <alignment vertical="center" wrapText="1"/>
    </xf>
    <xf numFmtId="0" fontId="12" fillId="2" borderId="1" xfId="2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center" vertical="center"/>
    </xf>
    <xf numFmtId="0" fontId="8" fillId="2" borderId="0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right" vertical="center"/>
    </xf>
  </cellXfs>
  <cellStyles count="6">
    <cellStyle name="Comma 2" xfId="1"/>
    <cellStyle name="Comma 4" xfId="3"/>
    <cellStyle name="Comma 4 2" xfId="4"/>
    <cellStyle name="Normal" xfId="0" builtinId="0"/>
    <cellStyle name="Normal 2" xfId="2"/>
    <cellStyle name="Normal_X-5 (Electricity)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S18"/>
  <sheetViews>
    <sheetView tabSelected="1" workbookViewId="0">
      <selection activeCell="I18" sqref="I18"/>
    </sheetView>
  </sheetViews>
  <sheetFormatPr defaultColWidth="9.109375" defaultRowHeight="13.8"/>
  <cols>
    <col min="1" max="1" width="24.5546875" style="6" customWidth="1"/>
    <col min="2" max="8" width="9.109375" style="6"/>
    <col min="9" max="9" width="31.33203125" style="6" customWidth="1"/>
    <col min="10" max="10" width="2.33203125" style="6" customWidth="1"/>
    <col min="11" max="16384" width="9.109375" style="6"/>
  </cols>
  <sheetData>
    <row r="1" spans="1:19" ht="19.2">
      <c r="A1" s="36" t="s">
        <v>17</v>
      </c>
      <c r="B1" s="36"/>
      <c r="C1" s="36"/>
      <c r="D1" s="36"/>
      <c r="E1" s="36"/>
      <c r="F1" s="36"/>
      <c r="G1" s="36"/>
      <c r="H1" s="36"/>
      <c r="I1" s="36"/>
      <c r="J1" s="5"/>
      <c r="K1" s="5"/>
      <c r="L1" s="5"/>
      <c r="M1" s="5"/>
      <c r="N1" s="5"/>
    </row>
    <row r="2" spans="1:19" ht="14.4">
      <c r="A2" s="37" t="s">
        <v>18</v>
      </c>
      <c r="B2" s="37"/>
      <c r="C2" s="37"/>
      <c r="D2" s="37"/>
      <c r="E2" s="37"/>
      <c r="F2" s="37"/>
      <c r="G2" s="37"/>
      <c r="H2" s="37"/>
      <c r="I2" s="37"/>
    </row>
    <row r="3" spans="1:19" s="3" customFormat="1" ht="15.75" customHeight="1">
      <c r="A3" s="38" t="s">
        <v>4</v>
      </c>
      <c r="B3" s="38"/>
      <c r="C3" s="38"/>
      <c r="D3" s="38"/>
      <c r="E3" s="38"/>
      <c r="F3" s="35" t="s">
        <v>5</v>
      </c>
      <c r="G3" s="35"/>
      <c r="H3" s="35"/>
      <c r="I3" s="35"/>
      <c r="J3" s="1"/>
      <c r="K3" s="34"/>
      <c r="L3" s="34"/>
      <c r="M3" s="34"/>
      <c r="N3" s="34"/>
      <c r="O3" s="34"/>
      <c r="P3" s="34"/>
      <c r="Q3" s="34"/>
      <c r="R3" s="34"/>
      <c r="S3" s="2"/>
    </row>
    <row r="4" spans="1:19" ht="20.25" customHeight="1">
      <c r="A4" s="7" t="s">
        <v>6</v>
      </c>
      <c r="B4" s="8">
        <v>2007</v>
      </c>
      <c r="C4" s="8">
        <v>2008</v>
      </c>
      <c r="D4" s="9">
        <v>2009</v>
      </c>
      <c r="E4" s="9">
        <v>2010</v>
      </c>
      <c r="F4" s="9">
        <v>2011</v>
      </c>
      <c r="G4" s="9">
        <v>2012</v>
      </c>
      <c r="H4" s="9">
        <v>2013</v>
      </c>
      <c r="I4" s="10" t="s">
        <v>3</v>
      </c>
    </row>
    <row r="5" spans="1:19" ht="21.75" customHeight="1">
      <c r="A5" s="11" t="s">
        <v>7</v>
      </c>
      <c r="B5" s="12">
        <v>83.596000000000004</v>
      </c>
      <c r="C5" s="12">
        <f t="shared" ref="C5:H5" si="0">SUM(C6:C8)</f>
        <v>106.88800000000001</v>
      </c>
      <c r="D5" s="12">
        <f t="shared" si="0"/>
        <v>124.364</v>
      </c>
      <c r="E5" s="12">
        <f t="shared" si="0"/>
        <v>128.46899999999999</v>
      </c>
      <c r="F5" s="12">
        <f t="shared" si="0"/>
        <v>141.505</v>
      </c>
      <c r="G5" s="12">
        <f t="shared" si="0"/>
        <v>172.8</v>
      </c>
      <c r="H5" s="20">
        <f t="shared" si="0"/>
        <v>191.95517000000004</v>
      </c>
      <c r="I5" s="13" t="s">
        <v>8</v>
      </c>
    </row>
    <row r="6" spans="1:19" ht="21.75" customHeight="1">
      <c r="A6" s="14" t="s">
        <v>9</v>
      </c>
      <c r="B6" s="15">
        <v>62.323</v>
      </c>
      <c r="C6" s="15">
        <v>80.188000000000002</v>
      </c>
      <c r="D6" s="15">
        <v>96.51</v>
      </c>
      <c r="E6" s="15">
        <f>103588/1000</f>
        <v>103.58799999999999</v>
      </c>
      <c r="F6" s="15">
        <v>120.59399999999999</v>
      </c>
      <c r="G6" s="15">
        <v>147</v>
      </c>
      <c r="H6" s="15">
        <v>158.71820000000002</v>
      </c>
      <c r="I6" s="16" t="s">
        <v>10</v>
      </c>
    </row>
    <row r="7" spans="1:19" ht="21.75" customHeight="1">
      <c r="A7" s="14" t="s">
        <v>11</v>
      </c>
      <c r="B7" s="15">
        <v>16.853000000000002</v>
      </c>
      <c r="C7" s="15">
        <v>20.242000000000001</v>
      </c>
      <c r="D7" s="15">
        <v>20.561</v>
      </c>
      <c r="E7" s="15">
        <f>18390/1000</f>
        <v>18.39</v>
      </c>
      <c r="F7" s="15">
        <v>14.449</v>
      </c>
      <c r="G7" s="15">
        <v>19</v>
      </c>
      <c r="H7" s="15">
        <v>23.310820000000003</v>
      </c>
      <c r="I7" s="16" t="s">
        <v>12</v>
      </c>
    </row>
    <row r="8" spans="1:19" ht="21.75" customHeight="1">
      <c r="A8" s="17" t="s">
        <v>13</v>
      </c>
      <c r="B8" s="18">
        <v>4.42</v>
      </c>
      <c r="C8" s="18">
        <v>6.4580000000000002</v>
      </c>
      <c r="D8" s="18">
        <v>7.2930000000000001</v>
      </c>
      <c r="E8" s="18">
        <f>6491/1000</f>
        <v>6.4909999999999997</v>
      </c>
      <c r="F8" s="18">
        <v>6.4619999999999997</v>
      </c>
      <c r="G8" s="18">
        <v>6.8</v>
      </c>
      <c r="H8" s="18">
        <v>9.9261499999999998</v>
      </c>
      <c r="I8" s="19" t="s">
        <v>14</v>
      </c>
    </row>
    <row r="9" spans="1:19" ht="21.75" customHeight="1">
      <c r="A9" s="11" t="s">
        <v>15</v>
      </c>
      <c r="B9" s="20">
        <v>100</v>
      </c>
      <c r="C9" s="20">
        <f t="shared" ref="C9:H9" si="1">SUM(C10:C12)</f>
        <v>100</v>
      </c>
      <c r="D9" s="20">
        <f t="shared" si="1"/>
        <v>100</v>
      </c>
      <c r="E9" s="20">
        <f t="shared" si="1"/>
        <v>99.999999999999986</v>
      </c>
      <c r="F9" s="20">
        <f t="shared" si="1"/>
        <v>100</v>
      </c>
      <c r="G9" s="20">
        <f t="shared" si="1"/>
        <v>100</v>
      </c>
      <c r="H9" s="20">
        <f t="shared" si="1"/>
        <v>100</v>
      </c>
      <c r="I9" s="21" t="s">
        <v>0</v>
      </c>
    </row>
    <row r="10" spans="1:19" ht="21.75" customHeight="1">
      <c r="A10" s="14" t="s">
        <v>9</v>
      </c>
      <c r="B10" s="15">
        <v>74.552610172735498</v>
      </c>
      <c r="C10" s="15">
        <f t="shared" ref="C10:G10" si="2">C6/C5*100</f>
        <v>75.020582291744631</v>
      </c>
      <c r="D10" s="15">
        <f t="shared" si="2"/>
        <v>77.602843266540162</v>
      </c>
      <c r="E10" s="15">
        <f t="shared" si="2"/>
        <v>80.632681814289825</v>
      </c>
      <c r="F10" s="15">
        <f t="shared" si="2"/>
        <v>85.22243030281615</v>
      </c>
      <c r="G10" s="15">
        <f t="shared" si="2"/>
        <v>85.069444444444443</v>
      </c>
      <c r="H10" s="15">
        <f>H6/H5*100</f>
        <v>82.685035261097681</v>
      </c>
      <c r="I10" s="16" t="s">
        <v>10</v>
      </c>
      <c r="M10" s="22">
        <f>F5-G5</f>
        <v>-31.295000000000016</v>
      </c>
    </row>
    <row r="11" spans="1:19" ht="21.75" customHeight="1">
      <c r="A11" s="14" t="s">
        <v>11</v>
      </c>
      <c r="B11" s="15">
        <v>20.160055505048089</v>
      </c>
      <c r="C11" s="15">
        <f t="shared" ref="C11:G11" si="3">C7/C5*100</f>
        <v>18.937579522490832</v>
      </c>
      <c r="D11" s="15">
        <f t="shared" si="3"/>
        <v>16.532919494387443</v>
      </c>
      <c r="E11" s="15">
        <f t="shared" si="3"/>
        <v>14.31473740746795</v>
      </c>
      <c r="F11" s="15">
        <f t="shared" si="3"/>
        <v>10.210946609660436</v>
      </c>
      <c r="G11" s="15">
        <f t="shared" si="3"/>
        <v>10.995370370370368</v>
      </c>
      <c r="H11" s="15">
        <f>H7/H5*100</f>
        <v>12.143887554578498</v>
      </c>
      <c r="I11" s="16" t="s">
        <v>12</v>
      </c>
    </row>
    <row r="12" spans="1:19" ht="21.75" customHeight="1">
      <c r="A12" s="17" t="s">
        <v>13</v>
      </c>
      <c r="B12" s="18">
        <v>5.287334322216374</v>
      </c>
      <c r="C12" s="18">
        <f t="shared" ref="C12:G12" si="4">C8/C5*100</f>
        <v>6.0418381857645382</v>
      </c>
      <c r="D12" s="18">
        <f t="shared" si="4"/>
        <v>5.8642372390724002</v>
      </c>
      <c r="E12" s="18">
        <f t="shared" si="4"/>
        <v>5.0525807782422216</v>
      </c>
      <c r="F12" s="18">
        <f t="shared" si="4"/>
        <v>4.5666230875234088</v>
      </c>
      <c r="G12" s="18">
        <f t="shared" si="4"/>
        <v>3.9351851851851847</v>
      </c>
      <c r="H12" s="18">
        <f>H8/H5*100</f>
        <v>5.1710771843238179</v>
      </c>
      <c r="I12" s="19" t="s">
        <v>14</v>
      </c>
    </row>
    <row r="13" spans="1:19" ht="21.75" customHeight="1">
      <c r="A13" s="11" t="s">
        <v>1</v>
      </c>
      <c r="B13" s="20">
        <v>6.0580302203727499</v>
      </c>
      <c r="C13" s="12">
        <f>(C5-B5)/B5*100</f>
        <v>27.862577156801759</v>
      </c>
      <c r="D13" s="12">
        <f t="shared" ref="C13:F16" si="5">(D5-C5)/C5*100</f>
        <v>16.349824114961454</v>
      </c>
      <c r="E13" s="12">
        <f>(E5-D5)/D5*100</f>
        <v>3.3007944421215059</v>
      </c>
      <c r="F13" s="12">
        <f>(F5-E5)/E5*100</f>
        <v>10.147195043162165</v>
      </c>
      <c r="G13" s="23">
        <f>(G5-F5)/F5*100</f>
        <v>22.115826295890617</v>
      </c>
      <c r="H13" s="23">
        <f>(H5-G5)/G5*100</f>
        <v>11.085167824074089</v>
      </c>
      <c r="I13" s="21" t="s">
        <v>2</v>
      </c>
    </row>
    <row r="14" spans="1:19" ht="21.75" customHeight="1">
      <c r="A14" s="14" t="s">
        <v>9</v>
      </c>
      <c r="B14" s="15">
        <v>5.3661093171482186</v>
      </c>
      <c r="C14" s="15">
        <f>(C6-B6)/B6*100</f>
        <v>28.665179789162913</v>
      </c>
      <c r="D14" s="15">
        <f t="shared" si="5"/>
        <v>20.354666533645936</v>
      </c>
      <c r="E14" s="15">
        <f t="shared" si="5"/>
        <v>7.3339550305667691</v>
      </c>
      <c r="F14" s="15">
        <f>(F6-E6)/E6*100</f>
        <v>16.416959493377611</v>
      </c>
      <c r="G14" s="24">
        <f>(G6-F6)/F6*100</f>
        <v>21.896611771729944</v>
      </c>
      <c r="H14" s="24">
        <f>(H6-G6)/G6*100</f>
        <v>7.9715646258503563</v>
      </c>
      <c r="I14" s="16" t="s">
        <v>10</v>
      </c>
    </row>
    <row r="15" spans="1:19" ht="21.75" customHeight="1">
      <c r="A15" s="14" t="s">
        <v>11</v>
      </c>
      <c r="B15" s="25">
        <v>-1.2828022492970801</v>
      </c>
      <c r="C15" s="15">
        <f t="shared" si="5"/>
        <v>20.109179374592053</v>
      </c>
      <c r="D15" s="15">
        <f t="shared" si="5"/>
        <v>1.5759312320916861</v>
      </c>
      <c r="E15" s="25">
        <f t="shared" si="5"/>
        <v>-10.558824959875489</v>
      </c>
      <c r="F15" s="25">
        <f t="shared" si="5"/>
        <v>-21.43012506797173</v>
      </c>
      <c r="G15" s="25">
        <f>(G7-F7)/F7*100</f>
        <v>31.496989411031905</v>
      </c>
      <c r="H15" s="25">
        <f>(H7-G7)/G7*100</f>
        <v>22.688526315789488</v>
      </c>
      <c r="I15" s="16" t="s">
        <v>12</v>
      </c>
    </row>
    <row r="16" spans="1:19" ht="21.75" customHeight="1">
      <c r="A16" s="26" t="s">
        <v>13</v>
      </c>
      <c r="B16" s="27">
        <v>70</v>
      </c>
      <c r="C16" s="28">
        <f t="shared" si="5"/>
        <v>46.10859728506788</v>
      </c>
      <c r="D16" s="29">
        <f t="shared" si="5"/>
        <v>12.929699597398574</v>
      </c>
      <c r="E16" s="29">
        <f t="shared" si="5"/>
        <v>-10.996846290963944</v>
      </c>
      <c r="F16" s="29">
        <f t="shared" si="5"/>
        <v>-0.44677245416730726</v>
      </c>
      <c r="G16" s="29">
        <f>(G8-F8)/F8*100</f>
        <v>5.2305787681832268</v>
      </c>
      <c r="H16" s="29">
        <f>(H8-G8)/G8*100</f>
        <v>45.972794117647062</v>
      </c>
      <c r="I16" s="30" t="s">
        <v>14</v>
      </c>
    </row>
    <row r="17" spans="1:9" ht="15.6">
      <c r="A17" s="31" t="s">
        <v>19</v>
      </c>
      <c r="B17" s="32"/>
      <c r="E17" s="33"/>
      <c r="F17" s="33"/>
      <c r="G17" s="33"/>
      <c r="H17" s="33"/>
      <c r="I17" s="4" t="s">
        <v>16</v>
      </c>
    </row>
    <row r="18" spans="1:9" ht="15.6">
      <c r="G18" s="4"/>
      <c r="H18" s="4"/>
    </row>
  </sheetData>
  <mergeCells count="4">
    <mergeCell ref="A1:I1"/>
    <mergeCell ref="A2:I2"/>
    <mergeCell ref="A3:E3"/>
    <mergeCell ref="F3:I3"/>
  </mergeCells>
  <pageMargins left="0.7" right="0.35" top="0.75" bottom="0.75" header="0.3" footer="0.3"/>
  <pageSetup paperSize="9"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2015-01-20T04:35:08Z</cp:lastPrinted>
  <dcterms:created xsi:type="dcterms:W3CDTF">2015-01-12T08:51:45Z</dcterms:created>
  <dcterms:modified xsi:type="dcterms:W3CDTF">2015-01-20T04:44:36Z</dcterms:modified>
</cp:coreProperties>
</file>