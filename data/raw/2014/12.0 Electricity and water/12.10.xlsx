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144" windowWidth="15252" windowHeight="8688" tabRatio="924"/>
  </bookViews>
  <sheets>
    <sheet name="12.10" sheetId="10" r:id="rId1"/>
  </sheets>
  <calcPr calcId="124519"/>
</workbook>
</file>

<file path=xl/calcChain.xml><?xml version="1.0" encoding="utf-8"?>
<calcChain xmlns="http://schemas.openxmlformats.org/spreadsheetml/2006/main">
  <c r="G15" i="10"/>
  <c r="H18"/>
  <c r="H17"/>
  <c r="H16"/>
  <c r="H15"/>
  <c r="G18" l="1"/>
  <c r="G17"/>
  <c r="G16"/>
  <c r="E8"/>
  <c r="F18" s="1"/>
  <c r="D8"/>
  <c r="D18" s="1"/>
  <c r="C8"/>
  <c r="C18" s="1"/>
  <c r="E7"/>
  <c r="F17" s="1"/>
  <c r="D7"/>
  <c r="D17" s="1"/>
  <c r="C7"/>
  <c r="C17" s="1"/>
  <c r="E6"/>
  <c r="F16" s="1"/>
  <c r="D6"/>
  <c r="D16" s="1"/>
  <c r="C6"/>
  <c r="C16" s="1"/>
  <c r="H5"/>
  <c r="G5"/>
  <c r="F5"/>
  <c r="F15" s="1"/>
  <c r="E5"/>
  <c r="E15" s="1"/>
  <c r="D5"/>
  <c r="D15" s="1"/>
  <c r="C5"/>
  <c r="C15" s="1"/>
  <c r="B5"/>
  <c r="B13" s="1"/>
  <c r="B11" l="1"/>
  <c r="C11"/>
  <c r="D11"/>
  <c r="E11"/>
  <c r="F11"/>
  <c r="G11"/>
  <c r="H11"/>
  <c r="B12"/>
  <c r="C12"/>
  <c r="D12"/>
  <c r="E12"/>
  <c r="F12"/>
  <c r="G12"/>
  <c r="H12"/>
  <c r="C13"/>
  <c r="D13"/>
  <c r="E13"/>
  <c r="F13"/>
  <c r="G13"/>
  <c r="H13"/>
  <c r="E16"/>
  <c r="E17"/>
  <c r="E18"/>
  <c r="H10" l="1"/>
  <c r="G10"/>
  <c r="F10"/>
  <c r="E10"/>
  <c r="D10"/>
  <c r="C10"/>
  <c r="B10"/>
</calcChain>
</file>

<file path=xl/sharedStrings.xml><?xml version="1.0" encoding="utf-8"?>
<sst xmlns="http://schemas.openxmlformats.org/spreadsheetml/2006/main" count="34" uniqueCount="21">
  <si>
    <t xml:space="preserve"> % cnutogWviawfiheb</t>
  </si>
  <si>
    <t>% change over previous year</t>
  </si>
  <si>
    <t xml:space="preserve"> % urwvcnim ivurutia eruvcSwrwhwa Iruk</t>
  </si>
  <si>
    <t>cnwt</t>
  </si>
  <si>
    <t>(In '000 metric tons)</t>
  </si>
  <si>
    <t>(cnunwT ckircTem '000)</t>
  </si>
  <si>
    <t>Type</t>
  </si>
  <si>
    <t>Total (In '000 metric tons)</t>
  </si>
  <si>
    <t>( cnunwT ckircTem '000 ) wlcmuj</t>
  </si>
  <si>
    <t>Residential</t>
  </si>
  <si>
    <t>cniaegEg ELuairid</t>
  </si>
  <si>
    <t>Institution</t>
  </si>
  <si>
    <t xml:space="preserve"> cnwxuaiTiTcscnia</t>
  </si>
  <si>
    <t>Commercial</t>
  </si>
  <si>
    <t>cnwtcnwtELug iaWairWfwyiv</t>
  </si>
  <si>
    <t>% share</t>
  </si>
  <si>
    <t>cDeTimil Inepcmok cjErevcs cDcnea rwTOv ElWm :ctWrwf ivcaedutWmUluawm</t>
  </si>
  <si>
    <t>Source: Male' Water &amp; Sewerage Company Private Limited</t>
  </si>
  <si>
    <r>
      <t>2013 - 2008  ,urwvcnim unuverukcnunEb iawgElWm</t>
    </r>
    <r>
      <rPr>
        <b/>
        <sz val="11"/>
        <color theme="1"/>
        <rFont val="A_Reethi"/>
      </rPr>
      <t>ހުޅު</t>
    </r>
    <r>
      <rPr>
        <b/>
        <sz val="11"/>
        <color theme="1"/>
        <rFont val="A_Randhoo"/>
      </rPr>
      <t xml:space="preserve"> cnef Everukclib :12.10 ulwvWt</t>
    </r>
  </si>
  <si>
    <t xml:space="preserve"> Table 12.10 : BILLED WATER CONSUMPTION IN HULHUMALE', 2008 - 2013  </t>
  </si>
  <si>
    <t xml:space="preserve">Total </t>
  </si>
</sst>
</file>

<file path=xl/styles.xml><?xml version="1.0" encoding="utf-8"?>
<styleSheet xmlns="http://schemas.openxmlformats.org/spreadsheetml/2006/main">
  <numFmts count="2">
    <numFmt numFmtId="43" formatCode="_(* #,##0.00_);_(* \(#,##0.00\);_(* &quot;-&quot;??_);_(@_)"/>
    <numFmt numFmtId="164" formatCode="_(* #,##0_);_(* \(#,##0\);_(* &quot;-&quot;??_);_(@_)"/>
  </numFmts>
  <fonts count="17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_Randhoo"/>
    </font>
    <font>
      <b/>
      <sz val="12"/>
      <color theme="1"/>
      <name val="A_Randhoo"/>
    </font>
    <font>
      <b/>
      <sz val="11"/>
      <color theme="1"/>
      <name val="A_Randhoo"/>
    </font>
    <font>
      <b/>
      <sz val="10"/>
      <name val="A_Funa"/>
    </font>
    <font>
      <sz val="9"/>
      <color theme="1"/>
      <name val="A_Randhoo"/>
    </font>
    <font>
      <sz val="10"/>
      <name val="Garamond"/>
      <family val="1"/>
    </font>
    <font>
      <b/>
      <sz val="11"/>
      <color theme="1"/>
      <name val="A_Reethi"/>
    </font>
    <font>
      <b/>
      <sz val="10"/>
      <name val="A_Randhoo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theme="1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4" fillId="0" borderId="0"/>
  </cellStyleXfs>
  <cellXfs count="37">
    <xf numFmtId="0" fontId="0" fillId="0" borderId="0" xfId="0"/>
    <xf numFmtId="0" fontId="0" fillId="2" borderId="0" xfId="0" applyFill="1"/>
    <xf numFmtId="0" fontId="6" fillId="2" borderId="0" xfId="2" applyFont="1" applyFill="1" applyBorder="1" applyAlignment="1">
      <alignment horizontal="center" vertical="center" wrapText="1"/>
    </xf>
    <xf numFmtId="0" fontId="1" fillId="2" borderId="0" xfId="2" applyFont="1" applyFill="1" applyBorder="1"/>
    <xf numFmtId="0" fontId="13" fillId="2" borderId="0" xfId="5" applyFont="1" applyFill="1" applyAlignment="1">
      <alignment horizontal="right"/>
    </xf>
    <xf numFmtId="0" fontId="10" fillId="2" borderId="0" xfId="0" applyFont="1" applyFill="1" applyAlignment="1">
      <alignment vertical="center"/>
    </xf>
    <xf numFmtId="0" fontId="16" fillId="2" borderId="2" xfId="0" applyFont="1" applyFill="1" applyBorder="1" applyAlignment="1">
      <alignment horizontal="right" vertical="center"/>
    </xf>
    <xf numFmtId="0" fontId="16" fillId="2" borderId="0" xfId="0" applyFont="1" applyFill="1" applyAlignment="1">
      <alignment horizontal="right" vertical="center"/>
    </xf>
    <xf numFmtId="0" fontId="4" fillId="2" borderId="0" xfId="2" applyFont="1" applyFill="1" applyBorder="1"/>
    <xf numFmtId="0" fontId="0" fillId="2" borderId="0" xfId="0" applyFill="1" applyBorder="1"/>
    <xf numFmtId="0" fontId="8" fillId="2" borderId="2" xfId="2" applyFont="1" applyFill="1" applyBorder="1" applyAlignment="1">
      <alignment vertical="center"/>
    </xf>
    <xf numFmtId="0" fontId="2" fillId="2" borderId="0" xfId="0" applyFont="1" applyFill="1" applyAlignment="1">
      <alignment horizontal="left" vertical="center"/>
    </xf>
    <xf numFmtId="1" fontId="8" fillId="2" borderId="0" xfId="2" applyNumberFormat="1" applyFont="1" applyFill="1" applyBorder="1" applyAlignment="1">
      <alignment horizontal="right" vertical="center"/>
    </xf>
    <xf numFmtId="1" fontId="7" fillId="2" borderId="0" xfId="2" applyNumberFormat="1" applyFont="1" applyFill="1" applyBorder="1" applyAlignment="1">
      <alignment horizontal="right" vertical="center"/>
    </xf>
    <xf numFmtId="0" fontId="9" fillId="2" borderId="0" xfId="0" applyFont="1" applyFill="1" applyAlignment="1">
      <alignment horizontal="right" vertical="center"/>
    </xf>
    <xf numFmtId="1" fontId="7" fillId="2" borderId="3" xfId="2" applyNumberFormat="1" applyFont="1" applyFill="1" applyBorder="1" applyAlignment="1">
      <alignment horizontal="right" vertical="center"/>
    </xf>
    <xf numFmtId="0" fontId="9" fillId="2" borderId="3" xfId="0" applyFont="1" applyFill="1" applyBorder="1" applyAlignment="1">
      <alignment horizontal="right" vertical="center"/>
    </xf>
    <xf numFmtId="0" fontId="2" fillId="2" borderId="0" xfId="0" applyFont="1" applyFill="1" applyBorder="1" applyAlignment="1">
      <alignment horizontal="left" vertical="center"/>
    </xf>
    <xf numFmtId="0" fontId="8" fillId="2" borderId="0" xfId="2" applyFont="1" applyFill="1" applyBorder="1" applyAlignment="1">
      <alignment horizontal="right" vertical="center"/>
    </xf>
    <xf numFmtId="1" fontId="7" fillId="2" borderId="0" xfId="2" applyNumberFormat="1" applyFont="1" applyFill="1" applyBorder="1" applyAlignment="1"/>
    <xf numFmtId="0" fontId="2" fillId="2" borderId="0" xfId="0" applyFont="1" applyFill="1" applyBorder="1" applyAlignment="1" applyProtection="1">
      <alignment horizontal="left" vertical="center"/>
    </xf>
    <xf numFmtId="1" fontId="7" fillId="2" borderId="1" xfId="2" applyNumberFormat="1" applyFont="1" applyFill="1" applyBorder="1" applyAlignment="1">
      <alignment horizontal="right" vertical="center"/>
    </xf>
    <xf numFmtId="0" fontId="9" fillId="2" borderId="1" xfId="0" applyFont="1" applyFill="1" applyBorder="1" applyAlignment="1">
      <alignment horizontal="right" vertical="center"/>
    </xf>
    <xf numFmtId="0" fontId="7" fillId="2" borderId="0" xfId="2" applyFont="1" applyFill="1" applyBorder="1"/>
    <xf numFmtId="0" fontId="7" fillId="2" borderId="0" xfId="2" applyFont="1" applyFill="1" applyBorder="1" applyAlignment="1">
      <alignment horizontal="left" vertical="center"/>
    </xf>
    <xf numFmtId="0" fontId="7" fillId="2" borderId="1" xfId="2" applyFont="1" applyFill="1" applyBorder="1" applyAlignment="1">
      <alignment horizontal="left" vertical="center"/>
    </xf>
    <xf numFmtId="0" fontId="6" fillId="2" borderId="0" xfId="2" applyFont="1" applyFill="1" applyBorder="1" applyAlignment="1">
      <alignment vertical="center" wrapText="1"/>
    </xf>
    <xf numFmtId="0" fontId="7" fillId="2" borderId="3" xfId="2" applyFont="1" applyFill="1" applyBorder="1" applyAlignment="1">
      <alignment horizontal="left" vertical="center"/>
    </xf>
    <xf numFmtId="0" fontId="1" fillId="2" borderId="0" xfId="2" applyFont="1" applyFill="1" applyBorder="1" applyAlignment="1">
      <alignment horizontal="right" vertical="center"/>
    </xf>
    <xf numFmtId="0" fontId="1" fillId="2" borderId="0" xfId="2" applyFont="1" applyFill="1" applyBorder="1" applyAlignment="1">
      <alignment vertical="center"/>
    </xf>
    <xf numFmtId="0" fontId="8" fillId="2" borderId="0" xfId="2" applyFont="1" applyFill="1" applyBorder="1" applyAlignment="1">
      <alignment horizontal="left" vertical="center"/>
    </xf>
    <xf numFmtId="1" fontId="7" fillId="2" borderId="0" xfId="2" applyNumberFormat="1" applyFont="1" applyFill="1" applyBorder="1"/>
    <xf numFmtId="0" fontId="5" fillId="2" borderId="0" xfId="5" applyFont="1" applyFill="1" applyBorder="1" applyAlignment="1">
      <alignment vertical="center"/>
    </xf>
    <xf numFmtId="0" fontId="12" fillId="2" borderId="1" xfId="2" applyFont="1" applyFill="1" applyBorder="1" applyAlignment="1">
      <alignment horizontal="left" vertical="center" wrapText="1"/>
    </xf>
    <xf numFmtId="0" fontId="11" fillId="2" borderId="0" xfId="0" applyFont="1" applyFill="1" applyAlignment="1">
      <alignment horizontal="center" vertical="center"/>
    </xf>
    <xf numFmtId="0" fontId="8" fillId="2" borderId="0" xfId="2" applyFont="1" applyFill="1" applyBorder="1" applyAlignment="1">
      <alignment horizontal="center" vertical="center" wrapText="1"/>
    </xf>
    <xf numFmtId="0" fontId="3" fillId="2" borderId="1" xfId="2" applyFont="1" applyFill="1" applyBorder="1" applyAlignment="1">
      <alignment horizontal="right"/>
    </xf>
  </cellXfs>
  <cellStyles count="6">
    <cellStyle name="Comma 2" xfId="1"/>
    <cellStyle name="Comma 4" xfId="3"/>
    <cellStyle name="Comma 4 2" xfId="4"/>
    <cellStyle name="Normal" xfId="0" builtinId="0"/>
    <cellStyle name="Normal 2" xfId="2"/>
    <cellStyle name="Normal_X-5 (Electricity)" xf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S25"/>
  <sheetViews>
    <sheetView tabSelected="1" workbookViewId="0">
      <selection activeCell="G10" sqref="G10"/>
    </sheetView>
  </sheetViews>
  <sheetFormatPr defaultColWidth="9.109375" defaultRowHeight="14.4"/>
  <cols>
    <col min="1" max="1" width="22" style="3" customWidth="1"/>
    <col min="2" max="2" width="6.6640625" style="3" hidden="1" customWidth="1"/>
    <col min="3" max="8" width="9.109375" style="3"/>
    <col min="9" max="9" width="32.109375" style="3" customWidth="1"/>
    <col min="10" max="10" width="9.109375" style="1"/>
    <col min="11" max="16384" width="9.109375" style="3"/>
  </cols>
  <sheetData>
    <row r="1" spans="1:19" ht="19.2">
      <c r="A1" s="34" t="s">
        <v>18</v>
      </c>
      <c r="B1" s="34"/>
      <c r="C1" s="34"/>
      <c r="D1" s="34"/>
      <c r="E1" s="34"/>
      <c r="F1" s="34"/>
      <c r="G1" s="34"/>
      <c r="H1" s="34"/>
      <c r="I1" s="34"/>
      <c r="J1" s="5"/>
      <c r="K1" s="5"/>
      <c r="L1" s="5"/>
      <c r="M1" s="5"/>
      <c r="N1" s="5"/>
    </row>
    <row r="2" spans="1:19" ht="15.75" customHeight="1">
      <c r="A2" s="35" t="s">
        <v>19</v>
      </c>
      <c r="B2" s="35"/>
      <c r="C2" s="35"/>
      <c r="D2" s="35"/>
      <c r="E2" s="35"/>
      <c r="F2" s="35"/>
      <c r="G2" s="35"/>
      <c r="H2" s="35"/>
      <c r="I2" s="35"/>
      <c r="J2" s="9"/>
      <c r="K2" s="26"/>
      <c r="L2" s="26"/>
      <c r="M2" s="26"/>
      <c r="N2" s="26"/>
      <c r="O2" s="26"/>
      <c r="P2" s="26"/>
      <c r="Q2" s="26"/>
      <c r="R2" s="26"/>
      <c r="S2" s="2"/>
    </row>
    <row r="3" spans="1:19" ht="15.75" customHeight="1">
      <c r="A3" s="36" t="s">
        <v>4</v>
      </c>
      <c r="B3" s="36"/>
      <c r="C3" s="36"/>
      <c r="D3" s="36"/>
      <c r="E3" s="36"/>
      <c r="F3" s="33" t="s">
        <v>5</v>
      </c>
      <c r="G3" s="33"/>
      <c r="H3" s="33"/>
      <c r="I3" s="33"/>
      <c r="K3" s="26"/>
      <c r="L3" s="26"/>
      <c r="M3" s="26"/>
      <c r="N3" s="26"/>
      <c r="O3" s="26"/>
      <c r="P3" s="26"/>
      <c r="Q3" s="26"/>
      <c r="R3" s="26"/>
      <c r="S3" s="2"/>
    </row>
    <row r="4" spans="1:19" ht="19.5" customHeight="1">
      <c r="A4" s="10" t="s">
        <v>6</v>
      </c>
      <c r="B4" s="10">
        <v>2007</v>
      </c>
      <c r="C4" s="10">
        <v>2008</v>
      </c>
      <c r="D4" s="10">
        <v>2009</v>
      </c>
      <c r="E4" s="10">
        <v>2010</v>
      </c>
      <c r="F4" s="10">
        <v>2011</v>
      </c>
      <c r="G4" s="10">
        <v>2012</v>
      </c>
      <c r="H4" s="10">
        <v>2013</v>
      </c>
      <c r="I4" s="6" t="s">
        <v>3</v>
      </c>
    </row>
    <row r="5" spans="1:19" ht="21.75" customHeight="1">
      <c r="A5" s="11" t="s">
        <v>7</v>
      </c>
      <c r="B5" s="12">
        <f t="shared" ref="B5:F5" si="0">SUM(B6:B8)</f>
        <v>72.960000000000008</v>
      </c>
      <c r="C5" s="12">
        <f t="shared" si="0"/>
        <v>107.78069000000001</v>
      </c>
      <c r="D5" s="12">
        <f t="shared" si="0"/>
        <v>122.2706</v>
      </c>
      <c r="E5" s="12">
        <f>SUM(E6:E8)</f>
        <v>188.84636</v>
      </c>
      <c r="F5" s="12">
        <f t="shared" si="0"/>
        <v>251.88413</v>
      </c>
      <c r="G5" s="12">
        <f>SUM(G6:G8)</f>
        <v>377.17785000000003</v>
      </c>
      <c r="H5" s="12">
        <f>SUM(H6:H8)</f>
        <v>354.32618999999988</v>
      </c>
      <c r="I5" s="7" t="s">
        <v>8</v>
      </c>
    </row>
    <row r="6" spans="1:19" ht="21.75" customHeight="1">
      <c r="A6" s="24" t="s">
        <v>9</v>
      </c>
      <c r="B6" s="13">
        <v>50.837000000000003</v>
      </c>
      <c r="C6" s="13">
        <f>67273.08/1000</f>
        <v>67.273080000000007</v>
      </c>
      <c r="D6" s="13">
        <f>97095.04/1000</f>
        <v>97.095039999999997</v>
      </c>
      <c r="E6" s="13">
        <f>158773.64/1000</f>
        <v>158.77364</v>
      </c>
      <c r="F6" s="13">
        <v>184.73041000000001</v>
      </c>
      <c r="G6" s="13">
        <v>240.75651000000002</v>
      </c>
      <c r="H6" s="13">
        <v>285.77676999999994</v>
      </c>
      <c r="I6" s="14" t="s">
        <v>10</v>
      </c>
    </row>
    <row r="7" spans="1:19" ht="21.75" customHeight="1">
      <c r="A7" s="24" t="s">
        <v>11</v>
      </c>
      <c r="B7" s="13">
        <v>12.263</v>
      </c>
      <c r="C7" s="13">
        <f>9060.07/1000</f>
        <v>9.0600699999999996</v>
      </c>
      <c r="D7" s="13">
        <f>8291.15/1000</f>
        <v>8.29115</v>
      </c>
      <c r="E7" s="13">
        <f>9923.29/1000</f>
        <v>9.9232900000000015</v>
      </c>
      <c r="F7" s="13">
        <v>14.06274</v>
      </c>
      <c r="G7" s="13">
        <v>8.3097900000000013</v>
      </c>
      <c r="H7" s="13">
        <v>11.965609999999998</v>
      </c>
      <c r="I7" s="14" t="s">
        <v>12</v>
      </c>
    </row>
    <row r="8" spans="1:19" ht="21.75" customHeight="1">
      <c r="A8" s="27" t="s">
        <v>13</v>
      </c>
      <c r="B8" s="15">
        <v>9.86</v>
      </c>
      <c r="C8" s="15">
        <f>31447.54/1000</f>
        <v>31.44754</v>
      </c>
      <c r="D8" s="15">
        <f>16884.41/1000</f>
        <v>16.884409999999999</v>
      </c>
      <c r="E8" s="15">
        <f>20149.43/1000</f>
        <v>20.149429999999999</v>
      </c>
      <c r="F8" s="15">
        <v>53.090980000000002</v>
      </c>
      <c r="G8" s="15">
        <v>128.11154999999999</v>
      </c>
      <c r="H8" s="15">
        <v>56.58381</v>
      </c>
      <c r="I8" s="16" t="s">
        <v>14</v>
      </c>
      <c r="J8" s="3"/>
    </row>
    <row r="9" spans="1:19" ht="21.75" customHeight="1">
      <c r="A9" s="17" t="s">
        <v>15</v>
      </c>
      <c r="B9" s="28"/>
      <c r="C9" s="18"/>
      <c r="D9" s="18"/>
      <c r="E9" s="18"/>
      <c r="F9" s="18"/>
      <c r="G9" s="18"/>
      <c r="H9" s="18"/>
      <c r="I9" s="29"/>
      <c r="J9" s="3"/>
      <c r="K9" s="19"/>
      <c r="L9" s="19"/>
      <c r="M9" s="19"/>
      <c r="N9" s="19"/>
      <c r="O9" s="19"/>
      <c r="P9" s="19"/>
      <c r="Q9" s="19"/>
      <c r="R9" s="19"/>
      <c r="S9" s="19"/>
    </row>
    <row r="10" spans="1:19" ht="21.75" customHeight="1">
      <c r="A10" s="30" t="s">
        <v>20</v>
      </c>
      <c r="B10" s="12">
        <f t="shared" ref="B10:G10" si="1">SUM(B11:B13)</f>
        <v>100</v>
      </c>
      <c r="C10" s="12">
        <f t="shared" si="1"/>
        <v>100</v>
      </c>
      <c r="D10" s="12">
        <f t="shared" si="1"/>
        <v>100</v>
      </c>
      <c r="E10" s="12">
        <f t="shared" si="1"/>
        <v>100</v>
      </c>
      <c r="F10" s="12">
        <f t="shared" si="1"/>
        <v>100.00000000000001</v>
      </c>
      <c r="G10" s="12">
        <f t="shared" si="1"/>
        <v>100</v>
      </c>
      <c r="H10" s="12">
        <f>SUM(H11:H13)</f>
        <v>100.00000000000003</v>
      </c>
      <c r="I10" s="7" t="s">
        <v>0</v>
      </c>
      <c r="J10" s="3"/>
      <c r="K10" s="19"/>
      <c r="L10" s="19"/>
      <c r="M10" s="19"/>
      <c r="N10" s="19"/>
      <c r="O10" s="19"/>
      <c r="P10" s="19"/>
      <c r="Q10" s="19"/>
      <c r="R10" s="19"/>
      <c r="S10" s="19"/>
    </row>
    <row r="11" spans="1:19" ht="21.75" customHeight="1">
      <c r="A11" s="24" t="s">
        <v>9</v>
      </c>
      <c r="B11" s="13">
        <f t="shared" ref="B11:G11" si="2">B6/B5*100</f>
        <v>69.677905701754383</v>
      </c>
      <c r="C11" s="13">
        <f t="shared" si="2"/>
        <v>62.416635113395543</v>
      </c>
      <c r="D11" s="13">
        <f t="shared" si="2"/>
        <v>79.409964455887177</v>
      </c>
      <c r="E11" s="13">
        <f t="shared" si="2"/>
        <v>84.075562801422279</v>
      </c>
      <c r="F11" s="13">
        <f t="shared" si="2"/>
        <v>73.339439844820717</v>
      </c>
      <c r="G11" s="13">
        <f t="shared" si="2"/>
        <v>63.831030904916609</v>
      </c>
      <c r="H11" s="13">
        <f>H6/H5*100</f>
        <v>80.653583637156501</v>
      </c>
      <c r="I11" s="14" t="s">
        <v>10</v>
      </c>
      <c r="J11" s="3"/>
      <c r="K11" s="19"/>
      <c r="L11" s="19"/>
      <c r="M11" s="19"/>
      <c r="N11" s="19"/>
      <c r="O11" s="19"/>
      <c r="P11" s="19"/>
      <c r="Q11" s="19"/>
      <c r="R11" s="19"/>
      <c r="S11" s="19"/>
    </row>
    <row r="12" spans="1:19" ht="21.75" customHeight="1">
      <c r="A12" s="24" t="s">
        <v>11</v>
      </c>
      <c r="B12" s="13">
        <f t="shared" ref="B12:G12" si="3">B7/B5*100</f>
        <v>16.807839912280702</v>
      </c>
      <c r="C12" s="13">
        <f t="shared" si="3"/>
        <v>8.4060233795126003</v>
      </c>
      <c r="D12" s="13">
        <f t="shared" si="3"/>
        <v>6.7809841450029689</v>
      </c>
      <c r="E12" s="13">
        <f t="shared" si="3"/>
        <v>5.2546895794020072</v>
      </c>
      <c r="F12" s="13">
        <f t="shared" si="3"/>
        <v>5.5830194621630191</v>
      </c>
      <c r="G12" s="13">
        <f t="shared" si="3"/>
        <v>2.2031489919145568</v>
      </c>
      <c r="H12" s="13">
        <f>H7/H5*100</f>
        <v>3.3770041102521948</v>
      </c>
      <c r="I12" s="14" t="s">
        <v>12</v>
      </c>
      <c r="J12" s="3"/>
      <c r="K12" s="19"/>
      <c r="L12" s="19"/>
      <c r="M12" s="19"/>
      <c r="N12" s="19"/>
      <c r="O12" s="19"/>
      <c r="P12" s="19"/>
      <c r="Q12" s="19"/>
      <c r="R12" s="19"/>
      <c r="S12" s="19"/>
    </row>
    <row r="13" spans="1:19" ht="21.75" customHeight="1">
      <c r="A13" s="27" t="s">
        <v>13</v>
      </c>
      <c r="B13" s="15">
        <f t="shared" ref="B13:G13" si="4">B8/B5*100</f>
        <v>13.514254385964911</v>
      </c>
      <c r="C13" s="15">
        <f t="shared" si="4"/>
        <v>29.177341507091853</v>
      </c>
      <c r="D13" s="15">
        <f t="shared" si="4"/>
        <v>13.809051399109842</v>
      </c>
      <c r="E13" s="15">
        <f t="shared" si="4"/>
        <v>10.669747619175714</v>
      </c>
      <c r="F13" s="15">
        <f t="shared" si="4"/>
        <v>21.077540693016271</v>
      </c>
      <c r="G13" s="15">
        <f t="shared" si="4"/>
        <v>33.965820103168831</v>
      </c>
      <c r="H13" s="15">
        <f>H8/H5*100</f>
        <v>15.969412252591326</v>
      </c>
      <c r="I13" s="16" t="s">
        <v>14</v>
      </c>
      <c r="J13" s="3"/>
      <c r="K13" s="19"/>
      <c r="L13" s="19"/>
      <c r="M13" s="19"/>
      <c r="N13" s="19"/>
      <c r="O13" s="19"/>
      <c r="P13" s="19"/>
      <c r="Q13" s="19"/>
      <c r="R13" s="19"/>
      <c r="S13" s="19"/>
    </row>
    <row r="14" spans="1:19" ht="21.75" customHeight="1">
      <c r="A14" s="20" t="s">
        <v>1</v>
      </c>
      <c r="B14" s="13"/>
      <c r="C14" s="28"/>
      <c r="D14" s="18"/>
      <c r="E14" s="18"/>
      <c r="F14" s="18"/>
      <c r="G14" s="18"/>
      <c r="H14" s="18"/>
      <c r="I14" s="29"/>
      <c r="J14" s="3"/>
      <c r="K14" s="19"/>
      <c r="L14" s="19"/>
      <c r="M14" s="19"/>
      <c r="N14" s="19"/>
      <c r="O14" s="19"/>
      <c r="P14" s="19"/>
      <c r="Q14" s="19"/>
      <c r="R14" s="19"/>
      <c r="S14" s="19"/>
    </row>
    <row r="15" spans="1:19" ht="21.75" customHeight="1">
      <c r="A15" s="30" t="s">
        <v>20</v>
      </c>
      <c r="B15" s="13"/>
      <c r="C15" s="12">
        <f t="shared" ref="C15:G18" si="5">(C5-B5)/B5*100</f>
        <v>47.725726425438594</v>
      </c>
      <c r="D15" s="12">
        <f t="shared" si="5"/>
        <v>13.443883129714603</v>
      </c>
      <c r="E15" s="12">
        <f t="shared" si="5"/>
        <v>54.449524251946087</v>
      </c>
      <c r="F15" s="12">
        <f t="shared" si="5"/>
        <v>33.380452765941584</v>
      </c>
      <c r="G15" s="12">
        <f>(G5-F5)/F5*100</f>
        <v>49.742601886033881</v>
      </c>
      <c r="H15" s="12">
        <f>(H5-G5)/G5*100</f>
        <v>-6.0585901319497291</v>
      </c>
      <c r="I15" s="7" t="s">
        <v>2</v>
      </c>
      <c r="J15" s="3"/>
      <c r="K15" s="19"/>
      <c r="L15" s="19"/>
      <c r="M15" s="19"/>
      <c r="N15" s="19"/>
      <c r="O15" s="19"/>
      <c r="P15" s="19"/>
      <c r="Q15" s="19"/>
      <c r="R15" s="19"/>
      <c r="S15" s="19"/>
    </row>
    <row r="16" spans="1:19" ht="21.75" customHeight="1">
      <c r="A16" s="24" t="s">
        <v>9</v>
      </c>
      <c r="B16" s="13"/>
      <c r="C16" s="13">
        <f>(C6-B6)/B6*100</f>
        <v>32.330940063339696</v>
      </c>
      <c r="D16" s="13">
        <f>(D6-C6)/C6*100</f>
        <v>44.329708109098007</v>
      </c>
      <c r="E16" s="13">
        <f t="shared" si="5"/>
        <v>63.523945198436508</v>
      </c>
      <c r="F16" s="13">
        <f>(F6-E6)/E6*100</f>
        <v>16.348286781105482</v>
      </c>
      <c r="G16" s="13">
        <f>(G6-F6)/F6*100</f>
        <v>30.32857448862914</v>
      </c>
      <c r="H16" s="13">
        <f>(H6-G6)/G6*100</f>
        <v>18.699498509926034</v>
      </c>
      <c r="I16" s="14" t="s">
        <v>10</v>
      </c>
      <c r="J16" s="3"/>
      <c r="K16" s="19"/>
      <c r="L16" s="19"/>
      <c r="M16" s="19"/>
      <c r="N16" s="19"/>
      <c r="O16" s="19"/>
      <c r="P16" s="19"/>
      <c r="Q16" s="19"/>
      <c r="R16" s="19"/>
      <c r="S16" s="19"/>
    </row>
    <row r="17" spans="1:19" ht="21.75" customHeight="1">
      <c r="A17" s="24" t="s">
        <v>11</v>
      </c>
      <c r="B17" s="13"/>
      <c r="C17" s="13">
        <f>(C7-B7)/B7*100</f>
        <v>-26.118649596346739</v>
      </c>
      <c r="D17" s="13">
        <f t="shared" si="5"/>
        <v>-8.4869101452858491</v>
      </c>
      <c r="E17" s="13">
        <f t="shared" si="5"/>
        <v>19.685327125911382</v>
      </c>
      <c r="F17" s="13">
        <f t="shared" si="5"/>
        <v>41.714491867112599</v>
      </c>
      <c r="G17" s="13">
        <f t="shared" si="5"/>
        <v>-40.909168483524539</v>
      </c>
      <c r="H17" s="13">
        <f>(H7-G7)/G7*100</f>
        <v>43.994132222354551</v>
      </c>
      <c r="I17" s="14" t="s">
        <v>12</v>
      </c>
      <c r="J17" s="3"/>
      <c r="K17" s="19"/>
      <c r="L17" s="19"/>
      <c r="M17" s="19"/>
      <c r="N17" s="19"/>
      <c r="O17" s="19"/>
      <c r="P17" s="19"/>
      <c r="Q17" s="19"/>
      <c r="R17" s="19"/>
      <c r="S17" s="19"/>
    </row>
    <row r="18" spans="1:19" ht="21.75" customHeight="1">
      <c r="A18" s="25" t="s">
        <v>13</v>
      </c>
      <c r="B18" s="21"/>
      <c r="C18" s="21">
        <f>(C8-B8)/B8*100</f>
        <v>218.94056795131846</v>
      </c>
      <c r="D18" s="21">
        <f t="shared" si="5"/>
        <v>-46.30928206149035</v>
      </c>
      <c r="E18" s="21">
        <f t="shared" si="5"/>
        <v>19.3374835128974</v>
      </c>
      <c r="F18" s="21">
        <f>(F8-E8)/E8*100</f>
        <v>163.48626239054906</v>
      </c>
      <c r="G18" s="21">
        <f>(G8-F8)/F8*100</f>
        <v>141.30567942049666</v>
      </c>
      <c r="H18" s="21">
        <f>(H8-G8)/G8*100</f>
        <v>-55.832389819653258</v>
      </c>
      <c r="I18" s="22" t="s">
        <v>14</v>
      </c>
      <c r="J18" s="3"/>
      <c r="K18" s="19"/>
      <c r="L18" s="19"/>
      <c r="M18" s="19"/>
      <c r="N18" s="19"/>
      <c r="O18" s="19"/>
      <c r="P18" s="19"/>
      <c r="Q18" s="19"/>
      <c r="R18" s="19"/>
      <c r="S18" s="19"/>
    </row>
    <row r="19" spans="1:19" ht="16.2">
      <c r="A19" s="32" t="s">
        <v>17</v>
      </c>
      <c r="B19" s="31"/>
      <c r="C19" s="19"/>
      <c r="D19" s="19"/>
      <c r="E19" s="19"/>
      <c r="F19" s="19"/>
      <c r="G19" s="19"/>
      <c r="H19" s="19"/>
      <c r="I19" s="4" t="s">
        <v>16</v>
      </c>
      <c r="J19" s="3"/>
      <c r="K19" s="19"/>
      <c r="L19" s="19"/>
      <c r="M19" s="19"/>
      <c r="N19" s="19"/>
      <c r="O19" s="19"/>
      <c r="P19" s="19"/>
      <c r="Q19" s="19"/>
      <c r="R19" s="19"/>
      <c r="S19" s="19"/>
    </row>
    <row r="20" spans="1:19">
      <c r="A20" s="23"/>
      <c r="B20" s="31"/>
      <c r="C20" s="19"/>
      <c r="D20" s="19"/>
      <c r="E20" s="19"/>
      <c r="F20" s="19"/>
      <c r="G20" s="19"/>
      <c r="H20" s="19"/>
      <c r="J20" s="3"/>
      <c r="K20" s="19"/>
      <c r="L20" s="19"/>
      <c r="M20" s="19"/>
      <c r="N20" s="19"/>
      <c r="O20" s="19"/>
      <c r="P20" s="19"/>
      <c r="Q20" s="19"/>
      <c r="R20" s="19"/>
      <c r="S20" s="19"/>
    </row>
    <row r="21" spans="1:19">
      <c r="A21" s="23"/>
      <c r="B21" s="31"/>
      <c r="C21" s="19"/>
      <c r="D21" s="19"/>
      <c r="E21" s="19"/>
      <c r="F21" s="19"/>
      <c r="G21" s="19"/>
      <c r="H21" s="19"/>
      <c r="I21" s="19"/>
      <c r="J21" s="3"/>
      <c r="K21" s="19"/>
      <c r="L21" s="19"/>
      <c r="M21" s="19"/>
      <c r="N21" s="19"/>
      <c r="O21" s="19"/>
      <c r="P21" s="19"/>
      <c r="Q21" s="19"/>
      <c r="R21" s="19"/>
      <c r="S21" s="19"/>
    </row>
    <row r="22" spans="1:19">
      <c r="A22" s="23"/>
      <c r="B22" s="31"/>
      <c r="C22" s="19"/>
      <c r="D22" s="19"/>
      <c r="E22" s="19"/>
      <c r="F22" s="19"/>
      <c r="G22" s="19"/>
      <c r="H22" s="19"/>
      <c r="I22" s="19"/>
      <c r="J22" s="3"/>
      <c r="K22" s="19"/>
      <c r="L22" s="19"/>
      <c r="M22" s="19"/>
      <c r="N22" s="19"/>
      <c r="O22" s="19"/>
      <c r="P22" s="19"/>
      <c r="Q22" s="19"/>
      <c r="R22" s="19"/>
      <c r="S22" s="19"/>
    </row>
    <row r="23" spans="1:19" ht="13.8">
      <c r="B23" s="8"/>
      <c r="C23" s="8"/>
      <c r="D23" s="8"/>
      <c r="E23" s="8"/>
      <c r="F23" s="8"/>
      <c r="G23" s="8"/>
      <c r="H23" s="8"/>
      <c r="I23" s="8"/>
      <c r="J23" s="3"/>
      <c r="K23" s="8"/>
      <c r="L23" s="8"/>
      <c r="M23" s="8"/>
      <c r="N23" s="8"/>
      <c r="O23" s="8"/>
      <c r="P23" s="8"/>
      <c r="Q23" s="8"/>
      <c r="R23" s="8"/>
      <c r="S23" s="8"/>
    </row>
    <row r="24" spans="1:19" ht="13.2">
      <c r="J24" s="3"/>
    </row>
    <row r="25" spans="1:19" ht="13.2">
      <c r="J25" s="3"/>
    </row>
  </sheetData>
  <mergeCells count="4">
    <mergeCell ref="A1:I1"/>
    <mergeCell ref="A2:I2"/>
    <mergeCell ref="A3:E3"/>
    <mergeCell ref="F3:I3"/>
  </mergeCells>
  <pageMargins left="0.7" right="0.7" top="0.75" bottom="0.75" header="0.3" footer="0.3"/>
  <pageSetup paperSize="9" scale="10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12.10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F.shifaza</cp:lastModifiedBy>
  <cp:lastPrinted>2015-01-20T04:35:08Z</cp:lastPrinted>
  <dcterms:created xsi:type="dcterms:W3CDTF">2015-01-12T08:51:45Z</dcterms:created>
  <dcterms:modified xsi:type="dcterms:W3CDTF">2015-01-20T04:45:34Z</dcterms:modified>
</cp:coreProperties>
</file>