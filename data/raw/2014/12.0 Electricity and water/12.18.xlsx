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6" yWindow="144" windowWidth="15252" windowHeight="8688" tabRatio="924"/>
  </bookViews>
  <sheets>
    <sheet name="12.18" sheetId="20" r:id="rId1"/>
  </sheets>
  <definedNames>
    <definedName name="_xlnm.Print_Area" localSheetId="0">'12.18'!$A$1:$E$48</definedName>
    <definedName name="_xlnm.Print_Titles" localSheetId="0">'12.18'!$5:$6</definedName>
  </definedNames>
  <calcPr calcId="144525"/>
</workbook>
</file>

<file path=xl/calcChain.xml><?xml version="1.0" encoding="utf-8"?>
<calcChain xmlns="http://schemas.openxmlformats.org/spreadsheetml/2006/main">
  <c r="C46" i="20" l="1"/>
  <c r="C41" i="20"/>
  <c r="C34" i="20"/>
  <c r="C36" i="20"/>
  <c r="C38" i="20"/>
  <c r="C30" i="20"/>
  <c r="C28" i="20"/>
  <c r="C26" i="20"/>
  <c r="C21" i="20"/>
  <c r="C18" i="20"/>
  <c r="C14" i="20"/>
  <c r="C7" i="20"/>
</calcChain>
</file>

<file path=xl/sharedStrings.xml><?xml version="1.0" encoding="utf-8"?>
<sst xmlns="http://schemas.openxmlformats.org/spreadsheetml/2006/main" count="89" uniqueCount="89">
  <si>
    <t>Total</t>
  </si>
  <si>
    <t>AA.Himandhoo</t>
  </si>
  <si>
    <t>Source: National Disaster Management Centre</t>
  </si>
  <si>
    <t>މަޢުލޫމާތު ދެއްވި ފަރާތް: ނެޝަނަލް ޑިޒާސްޓަރ މެނޭޖްމަންޓް ސެންޓަރ</t>
  </si>
  <si>
    <t>Atoll / Island</t>
  </si>
  <si>
    <t xml:space="preserve">Quantity (ton)          </t>
  </si>
  <si>
    <t>އަތޮޅު / ރަށް</t>
  </si>
  <si>
    <r>
      <t xml:space="preserve">   </t>
    </r>
    <r>
      <rPr>
        <b/>
        <sz val="10"/>
        <color theme="1"/>
        <rFont val="Faruma"/>
      </rPr>
      <t xml:space="preserve">ފެން ފޯރުކޮށްދެވުނުނު ވަރު (ޓަނުން) </t>
    </r>
  </si>
  <si>
    <t>HA.Maarandhoo</t>
  </si>
  <si>
    <t>ހއ. މާރަންދޫ</t>
  </si>
  <si>
    <t>HA.Hoarafushi</t>
  </si>
  <si>
    <t>ހއ. ހޯރަފުށި</t>
  </si>
  <si>
    <t>ހދ. މަކުނުދޫ</t>
  </si>
  <si>
    <t>B.Maalhos</t>
  </si>
  <si>
    <t>ބ. މާޅޮސް</t>
  </si>
  <si>
    <t>B.Kihaadhoo</t>
  </si>
  <si>
    <t>ބ. ކިހާދޫ</t>
  </si>
  <si>
    <t>B.Dharavandhoo</t>
  </si>
  <si>
    <t>ބ. ދަރަވަންދޫ</t>
  </si>
  <si>
    <t>އއ. ހިމަންދޫ</t>
  </si>
  <si>
    <t>M.Naalaafushi</t>
  </si>
  <si>
    <t>މ. ނާލާފުށި</t>
  </si>
  <si>
    <t>ތާވަލު 12.18: އިމަޖެންސީގައި ފެން ފޯރުކޮށްދެވުނު ރަށްރަށާއި ފެންފޯރުކޮށްދެވުނު މިންވަރު، 2013</t>
  </si>
  <si>
    <t>Table 12.18:  Islands supplied with emergency water and quanity supplied, 2013</t>
  </si>
  <si>
    <t>HA.Ihavandhoo</t>
  </si>
  <si>
    <t>ހއ. އިހަވަންދޫ</t>
  </si>
  <si>
    <t>HA.Thuraakunu</t>
  </si>
  <si>
    <t>ހއ. ތުރާކުނު</t>
  </si>
  <si>
    <t>HA.Dhihdhoo</t>
  </si>
  <si>
    <t>ހއ.ދިއްދޫ</t>
  </si>
  <si>
    <t>HA.Nehllaidhoo</t>
  </si>
  <si>
    <t>ހދ. ނެއްލައިދޫ</t>
  </si>
  <si>
    <t>ހދ. ނޮޅިވަރަމް</t>
  </si>
  <si>
    <t>ހދ. ފިނޭ</t>
  </si>
  <si>
    <t>ށ. ނޫމަރާ</t>
  </si>
  <si>
    <t>ށ. ފޭދޫ</t>
  </si>
  <si>
    <t>B.Hithaadhoo</t>
  </si>
  <si>
    <t>ބ. ހިތާދޫ</t>
  </si>
  <si>
    <t>އދ. ހަންޏާމީދޫ</t>
  </si>
  <si>
    <t>M.raiymandhoo</t>
  </si>
  <si>
    <t>މ. ރަތްމަންދޫ</t>
  </si>
  <si>
    <t>M.Veyvah</t>
  </si>
  <si>
    <t>މ. ވޭވަށް</t>
  </si>
  <si>
    <t>F.Bilaiydhoo</t>
  </si>
  <si>
    <t>ފ. ބިލެއްދޫ</t>
  </si>
  <si>
    <t>ތ. ބުރުނީ</t>
  </si>
  <si>
    <t>GA.Gemanafushi</t>
  </si>
  <si>
    <t>ގއ. ގެމަނަފުށި</t>
  </si>
  <si>
    <t>GA.Nilandhoo</t>
  </si>
  <si>
    <t>ގއ.ނިލަންދޫ</t>
  </si>
  <si>
    <t>S.Hithadhoo</t>
  </si>
  <si>
    <t>S.Maradhoo</t>
  </si>
  <si>
    <t>S.Meedhoo</t>
  </si>
  <si>
    <t>S.Feydhoo</t>
  </si>
  <si>
    <t>28 islands</t>
  </si>
  <si>
    <t>ޖުމްލަ 28 ރަށް</t>
  </si>
  <si>
    <t>Addu City</t>
  </si>
  <si>
    <t>އައްޑޫ ސިޓީ</t>
  </si>
  <si>
    <t>ސ.ހިތަދޫ</t>
  </si>
  <si>
    <t>ސ.މަރަދޫ</t>
  </si>
  <si>
    <t>ސ.މިދޫ</t>
  </si>
  <si>
    <t>ސ.ފޭދޫ</t>
  </si>
  <si>
    <t>HA. Atoll</t>
  </si>
  <si>
    <t>GA.  Atoll</t>
  </si>
  <si>
    <t>Th. Atoll</t>
  </si>
  <si>
    <t>F. Atoll</t>
  </si>
  <si>
    <t>M. Atoll</t>
  </si>
  <si>
    <t>ADh. Atoll</t>
  </si>
  <si>
    <t>B. Atoll</t>
  </si>
  <si>
    <t>HDh. Atoll</t>
  </si>
  <si>
    <t>ހއ. އަތޮޅު</t>
  </si>
  <si>
    <t>ހދ. އަތޮޅު</t>
  </si>
  <si>
    <t>Sh. Atoll</t>
  </si>
  <si>
    <t>Sh.Noomaraa</t>
  </si>
  <si>
    <t>Sh.Feydhoo</t>
  </si>
  <si>
    <t>AA. Atoll</t>
  </si>
  <si>
    <t>ގއ. އަތޮޅު</t>
  </si>
  <si>
    <t>ތ. އަތޮޅު</t>
  </si>
  <si>
    <t>ފ. އަތޮޅު</t>
  </si>
  <si>
    <t>މ. އަތޮޅު</t>
  </si>
  <si>
    <t>އދ. އަތޮޅު</t>
  </si>
  <si>
    <t>އއ. އަތޮޅު</t>
  </si>
  <si>
    <t>ބ. އަތޮޅު</t>
  </si>
  <si>
    <t>ށ. އަތޮޅު</t>
  </si>
  <si>
    <t>Th.Burunee</t>
  </si>
  <si>
    <t>ADh.Hanyyaameedhoo</t>
  </si>
  <si>
    <t>HDh.Nolhivaram</t>
  </si>
  <si>
    <t>HDh.Makunudhoo</t>
  </si>
  <si>
    <t>HDh.Finey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</si>
</sst>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Farum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1"/>
      <name val="Faruma"/>
    </font>
    <font>
      <b/>
      <sz val="10"/>
      <color theme="1"/>
      <name val="Faruma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44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1" fontId="0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2" borderId="0" xfId="0" applyFill="1" applyBorder="1" applyAlignment="1">
      <alignment vertical="top"/>
    </xf>
    <xf numFmtId="0" fontId="5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0" fillId="2" borderId="0" xfId="3" applyFont="1" applyFill="1" applyBorder="1" applyAlignment="1">
      <alignment vertical="center" readingOrder="2"/>
    </xf>
    <xf numFmtId="0" fontId="0" fillId="2" borderId="0" xfId="6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ill="1" applyBorder="1" applyAlignment="1"/>
    <xf numFmtId="0" fontId="6" fillId="2" borderId="0" xfId="0" applyFont="1" applyFill="1" applyAlignment="1">
      <alignment horizontal="right"/>
    </xf>
    <xf numFmtId="0" fontId="10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37" fontId="7" fillId="2" borderId="0" xfId="1" applyNumberFormat="1" applyFont="1" applyFill="1" applyBorder="1" applyAlignment="1">
      <alignment horizontal="center" vertical="center"/>
    </xf>
    <xf numFmtId="37" fontId="0" fillId="2" borderId="0" xfId="1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6" applyFont="1" applyFill="1" applyBorder="1" applyAlignment="1">
      <alignment horizontal="left" vertical="center" wrapText="1"/>
    </xf>
    <xf numFmtId="37" fontId="2" fillId="2" borderId="6" xfId="1" applyNumberFormat="1" applyFont="1" applyFill="1" applyBorder="1" applyAlignment="1">
      <alignment horizontal="center" vertical="center"/>
    </xf>
    <xf numFmtId="0" fontId="9" fillId="2" borderId="6" xfId="3" applyFont="1" applyFill="1" applyBorder="1" applyAlignment="1">
      <alignment vertical="center" readingOrder="2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/>
    <xf numFmtId="37" fontId="5" fillId="2" borderId="0" xfId="0" applyNumberFormat="1" applyFont="1" applyFill="1" applyBorder="1" applyAlignment="1">
      <alignment horizontal="center" vertical="center"/>
    </xf>
    <xf numFmtId="37" fontId="8" fillId="2" borderId="0" xfId="1" applyNumberFormat="1" applyFont="1" applyFill="1" applyBorder="1" applyAlignment="1">
      <alignment horizontal="center" vertical="center"/>
    </xf>
    <xf numFmtId="0" fontId="2" fillId="2" borderId="0" xfId="6" applyFont="1" applyFill="1" applyBorder="1" applyAlignment="1">
      <alignment horizontal="left" vertical="center" wrapText="1"/>
    </xf>
    <xf numFmtId="37" fontId="2" fillId="2" borderId="0" xfId="1" applyNumberFormat="1" applyFont="1" applyFill="1" applyBorder="1" applyAlignment="1">
      <alignment horizontal="center" vertical="center"/>
    </xf>
    <xf numFmtId="0" fontId="9" fillId="2" borderId="0" xfId="3" applyFont="1" applyFill="1" applyBorder="1" applyAlignment="1">
      <alignment vertical="center" readingOrder="2"/>
    </xf>
    <xf numFmtId="0" fontId="0" fillId="2" borderId="3" xfId="0" applyFont="1" applyFill="1" applyBorder="1" applyAlignment="1">
      <alignment horizontal="center" vertical="center"/>
    </xf>
    <xf numFmtId="0" fontId="0" fillId="2" borderId="3" xfId="6" applyFont="1" applyFill="1" applyBorder="1" applyAlignment="1">
      <alignment horizontal="left" vertical="center" wrapText="1"/>
    </xf>
    <xf numFmtId="37" fontId="7" fillId="2" borderId="3" xfId="1" applyNumberFormat="1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vertical="center" readingOrder="2"/>
    </xf>
    <xf numFmtId="37" fontId="0" fillId="2" borderId="3" xfId="1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1" zoomScaleNormal="100" workbookViewId="0">
      <selection activeCell="H36" sqref="H36"/>
    </sheetView>
  </sheetViews>
  <sheetFormatPr defaultColWidth="9.109375" defaultRowHeight="14.4" x14ac:dyDescent="0.3"/>
  <cols>
    <col min="1" max="1" width="8" style="2" customWidth="1"/>
    <col min="2" max="2" width="22.88671875" style="1" customWidth="1"/>
    <col min="3" max="3" width="34.33203125" style="1" customWidth="1"/>
    <col min="4" max="4" width="16.88671875" style="1" customWidth="1"/>
    <col min="5" max="5" width="6" style="1" customWidth="1"/>
    <col min="6" max="6" width="10.109375" style="1" bestFit="1" customWidth="1"/>
    <col min="7" max="7" width="9.109375" style="1"/>
    <col min="8" max="8" width="11.6640625" style="1" bestFit="1" customWidth="1"/>
    <col min="9" max="9" width="12.44140625" style="1" bestFit="1" customWidth="1"/>
    <col min="10" max="16384" width="9.109375" style="1"/>
  </cols>
  <sheetData>
    <row r="1" spans="1:5" ht="19.2" x14ac:dyDescent="0.3">
      <c r="C1" s="16"/>
      <c r="D1" s="16"/>
      <c r="E1" s="16"/>
    </row>
    <row r="2" spans="1:5" ht="19.2" x14ac:dyDescent="0.3">
      <c r="A2" s="38" t="s">
        <v>22</v>
      </c>
      <c r="B2" s="38"/>
      <c r="C2" s="38"/>
      <c r="D2" s="38"/>
    </row>
    <row r="3" spans="1:5" x14ac:dyDescent="0.3">
      <c r="A3" s="39" t="s">
        <v>23</v>
      </c>
      <c r="B3" s="39"/>
      <c r="C3" s="39"/>
      <c r="D3" s="39"/>
      <c r="E3" s="5"/>
    </row>
    <row r="4" spans="1:5" x14ac:dyDescent="0.3">
      <c r="A4" s="17"/>
      <c r="B4" s="17"/>
      <c r="C4" s="17"/>
      <c r="D4" s="5"/>
      <c r="E4" s="5"/>
    </row>
    <row r="5" spans="1:5" x14ac:dyDescent="0.3">
      <c r="A5" s="40"/>
      <c r="B5" s="42" t="s">
        <v>4</v>
      </c>
      <c r="C5" s="6" t="s">
        <v>5</v>
      </c>
      <c r="D5" s="18"/>
      <c r="E5" s="7"/>
    </row>
    <row r="6" spans="1:5" ht="19.2" x14ac:dyDescent="0.3">
      <c r="A6" s="41"/>
      <c r="B6" s="43"/>
      <c r="C6" s="8" t="s">
        <v>7</v>
      </c>
      <c r="D6" s="19" t="s">
        <v>6</v>
      </c>
      <c r="E6" s="7"/>
    </row>
    <row r="7" spans="1:5" ht="19.2" x14ac:dyDescent="0.3">
      <c r="A7" s="7"/>
      <c r="B7" s="26" t="s">
        <v>62</v>
      </c>
      <c r="C7" s="28">
        <f>SUM(C8:C13)</f>
        <v>270</v>
      </c>
      <c r="D7" s="32" t="s">
        <v>70</v>
      </c>
      <c r="E7" s="7"/>
    </row>
    <row r="8" spans="1:5" ht="19.2" x14ac:dyDescent="0.3">
      <c r="A8" s="3">
        <v>1</v>
      </c>
      <c r="B8" s="13" t="s">
        <v>10</v>
      </c>
      <c r="C8" s="20">
        <v>30</v>
      </c>
      <c r="D8" s="10" t="s">
        <v>11</v>
      </c>
    </row>
    <row r="9" spans="1:5" ht="19.2" x14ac:dyDescent="0.3">
      <c r="A9" s="9">
        <v>2</v>
      </c>
      <c r="B9" s="13" t="s">
        <v>24</v>
      </c>
      <c r="C9" s="20">
        <v>60</v>
      </c>
      <c r="D9" s="10" t="s">
        <v>25</v>
      </c>
    </row>
    <row r="10" spans="1:5" ht="19.2" x14ac:dyDescent="0.3">
      <c r="A10" s="9">
        <v>3</v>
      </c>
      <c r="B10" s="11" t="s">
        <v>8</v>
      </c>
      <c r="C10" s="20">
        <v>20</v>
      </c>
      <c r="D10" s="10" t="s">
        <v>9</v>
      </c>
    </row>
    <row r="11" spans="1:5" ht="19.2" x14ac:dyDescent="0.3">
      <c r="A11" s="9">
        <v>4</v>
      </c>
      <c r="B11" s="11" t="s">
        <v>26</v>
      </c>
      <c r="C11" s="20">
        <v>30</v>
      </c>
      <c r="D11" s="12" t="s">
        <v>27</v>
      </c>
    </row>
    <row r="12" spans="1:5" ht="19.2" x14ac:dyDescent="0.3">
      <c r="A12" s="9">
        <v>5</v>
      </c>
      <c r="B12" s="11" t="s">
        <v>28</v>
      </c>
      <c r="C12" s="21">
        <v>100</v>
      </c>
      <c r="D12" s="10" t="s">
        <v>29</v>
      </c>
    </row>
    <row r="13" spans="1:5" ht="19.2" x14ac:dyDescent="0.3">
      <c r="A13" s="33">
        <v>6</v>
      </c>
      <c r="B13" s="34" t="s">
        <v>30</v>
      </c>
      <c r="C13" s="35">
        <v>30</v>
      </c>
      <c r="D13" s="36" t="s">
        <v>31</v>
      </c>
    </row>
    <row r="14" spans="1:5" ht="19.2" x14ac:dyDescent="0.3">
      <c r="A14" s="9"/>
      <c r="B14" s="26" t="s">
        <v>69</v>
      </c>
      <c r="C14" s="29">
        <f>SUM(C15:C17)</f>
        <v>130</v>
      </c>
      <c r="D14" s="32" t="s">
        <v>71</v>
      </c>
    </row>
    <row r="15" spans="1:5" ht="19.2" x14ac:dyDescent="0.3">
      <c r="A15" s="9">
        <v>7</v>
      </c>
      <c r="B15" s="11" t="s">
        <v>86</v>
      </c>
      <c r="C15" s="20">
        <v>30</v>
      </c>
      <c r="D15" s="12" t="s">
        <v>32</v>
      </c>
    </row>
    <row r="16" spans="1:5" ht="19.2" x14ac:dyDescent="0.3">
      <c r="A16" s="9">
        <v>8</v>
      </c>
      <c r="B16" s="11" t="s">
        <v>87</v>
      </c>
      <c r="C16" s="21">
        <v>60</v>
      </c>
      <c r="D16" s="10" t="s">
        <v>12</v>
      </c>
    </row>
    <row r="17" spans="1:4" ht="19.2" x14ac:dyDescent="0.3">
      <c r="A17" s="33">
        <v>9</v>
      </c>
      <c r="B17" s="34" t="s">
        <v>88</v>
      </c>
      <c r="C17" s="37">
        <v>40</v>
      </c>
      <c r="D17" s="36" t="s">
        <v>33</v>
      </c>
    </row>
    <row r="18" spans="1:4" s="27" customFormat="1" ht="19.2" x14ac:dyDescent="0.3">
      <c r="A18" s="7"/>
      <c r="B18" s="26" t="s">
        <v>72</v>
      </c>
      <c r="C18" s="31">
        <f>SUM(C19:C20)</f>
        <v>70</v>
      </c>
      <c r="D18" s="32" t="s">
        <v>83</v>
      </c>
    </row>
    <row r="19" spans="1:4" ht="19.2" x14ac:dyDescent="0.3">
      <c r="A19" s="9">
        <v>10</v>
      </c>
      <c r="B19" s="11" t="s">
        <v>73</v>
      </c>
      <c r="C19" s="20">
        <v>40</v>
      </c>
      <c r="D19" s="10" t="s">
        <v>34</v>
      </c>
    </row>
    <row r="20" spans="1:4" ht="19.2" x14ac:dyDescent="0.3">
      <c r="A20" s="33">
        <v>11</v>
      </c>
      <c r="B20" s="34" t="s">
        <v>74</v>
      </c>
      <c r="C20" s="35">
        <v>30</v>
      </c>
      <c r="D20" s="36" t="s">
        <v>35</v>
      </c>
    </row>
    <row r="21" spans="1:4" s="27" customFormat="1" ht="19.2" x14ac:dyDescent="0.3">
      <c r="A21" s="7"/>
      <c r="B21" s="26" t="s">
        <v>68</v>
      </c>
      <c r="C21" s="29">
        <f>SUM(C22:C25)</f>
        <v>158</v>
      </c>
      <c r="D21" s="32" t="s">
        <v>82</v>
      </c>
    </row>
    <row r="22" spans="1:4" ht="19.2" x14ac:dyDescent="0.3">
      <c r="A22" s="9">
        <v>12</v>
      </c>
      <c r="B22" s="11" t="s">
        <v>36</v>
      </c>
      <c r="C22" s="21">
        <v>60</v>
      </c>
      <c r="D22" s="10" t="s">
        <v>37</v>
      </c>
    </row>
    <row r="23" spans="1:4" ht="19.2" x14ac:dyDescent="0.3">
      <c r="A23" s="9">
        <v>13</v>
      </c>
      <c r="B23" s="11" t="s">
        <v>15</v>
      </c>
      <c r="C23" s="20">
        <v>30</v>
      </c>
      <c r="D23" s="10" t="s">
        <v>16</v>
      </c>
    </row>
    <row r="24" spans="1:4" ht="19.2" x14ac:dyDescent="0.3">
      <c r="A24" s="9">
        <v>14</v>
      </c>
      <c r="B24" s="11" t="s">
        <v>13</v>
      </c>
      <c r="C24" s="20">
        <v>28</v>
      </c>
      <c r="D24" s="10" t="s">
        <v>14</v>
      </c>
    </row>
    <row r="25" spans="1:4" ht="19.2" x14ac:dyDescent="0.3">
      <c r="A25" s="33">
        <v>15</v>
      </c>
      <c r="B25" s="34" t="s">
        <v>17</v>
      </c>
      <c r="C25" s="37">
        <v>40</v>
      </c>
      <c r="D25" s="36" t="s">
        <v>18</v>
      </c>
    </row>
    <row r="26" spans="1:4" ht="19.2" x14ac:dyDescent="0.3">
      <c r="A26" s="9"/>
      <c r="B26" s="26" t="s">
        <v>75</v>
      </c>
      <c r="C26" s="31">
        <f>SUM(C27)</f>
        <v>60</v>
      </c>
      <c r="D26" s="32" t="s">
        <v>81</v>
      </c>
    </row>
    <row r="27" spans="1:4" ht="19.2" x14ac:dyDescent="0.3">
      <c r="A27" s="33">
        <v>16</v>
      </c>
      <c r="B27" s="34" t="s">
        <v>1</v>
      </c>
      <c r="C27" s="35">
        <v>60</v>
      </c>
      <c r="D27" s="36" t="s">
        <v>19</v>
      </c>
    </row>
    <row r="28" spans="1:4" ht="19.2" x14ac:dyDescent="0.3">
      <c r="A28" s="9"/>
      <c r="B28" s="26" t="s">
        <v>67</v>
      </c>
      <c r="C28" s="29">
        <f>SUM(C29)</f>
        <v>35</v>
      </c>
      <c r="D28" s="32" t="s">
        <v>80</v>
      </c>
    </row>
    <row r="29" spans="1:4" ht="19.2" x14ac:dyDescent="0.3">
      <c r="A29" s="33">
        <v>17</v>
      </c>
      <c r="B29" s="34" t="s">
        <v>85</v>
      </c>
      <c r="C29" s="37">
        <v>35</v>
      </c>
      <c r="D29" s="36" t="s">
        <v>38</v>
      </c>
    </row>
    <row r="30" spans="1:4" ht="19.2" x14ac:dyDescent="0.3">
      <c r="A30" s="9"/>
      <c r="B30" s="26" t="s">
        <v>66</v>
      </c>
      <c r="C30" s="31">
        <f>SUM(C31:C33)</f>
        <v>85</v>
      </c>
      <c r="D30" s="32" t="s">
        <v>79</v>
      </c>
    </row>
    <row r="31" spans="1:4" ht="19.2" x14ac:dyDescent="0.3">
      <c r="A31" s="9">
        <v>18</v>
      </c>
      <c r="B31" s="11" t="s">
        <v>20</v>
      </c>
      <c r="C31" s="20">
        <v>40</v>
      </c>
      <c r="D31" s="10" t="s">
        <v>21</v>
      </c>
    </row>
    <row r="32" spans="1:4" ht="19.2" x14ac:dyDescent="0.3">
      <c r="A32" s="9">
        <v>19</v>
      </c>
      <c r="B32" s="11" t="s">
        <v>39</v>
      </c>
      <c r="C32" s="21">
        <v>35</v>
      </c>
      <c r="D32" s="10" t="s">
        <v>40</v>
      </c>
    </row>
    <row r="33" spans="1:4" ht="19.2" x14ac:dyDescent="0.3">
      <c r="A33" s="33">
        <v>20</v>
      </c>
      <c r="B33" s="34" t="s">
        <v>41</v>
      </c>
      <c r="C33" s="37">
        <v>10</v>
      </c>
      <c r="D33" s="36" t="s">
        <v>42</v>
      </c>
    </row>
    <row r="34" spans="1:4" ht="19.2" x14ac:dyDescent="0.3">
      <c r="A34" s="9"/>
      <c r="B34" s="26" t="s">
        <v>65</v>
      </c>
      <c r="C34" s="31">
        <f>C35</f>
        <v>62</v>
      </c>
      <c r="D34" s="32" t="s">
        <v>78</v>
      </c>
    </row>
    <row r="35" spans="1:4" ht="19.2" x14ac:dyDescent="0.3">
      <c r="A35" s="33">
        <v>21</v>
      </c>
      <c r="B35" s="34" t="s">
        <v>43</v>
      </c>
      <c r="C35" s="37">
        <v>62</v>
      </c>
      <c r="D35" s="36" t="s">
        <v>44</v>
      </c>
    </row>
    <row r="36" spans="1:4" ht="19.2" x14ac:dyDescent="0.3">
      <c r="A36" s="9"/>
      <c r="B36" s="26" t="s">
        <v>64</v>
      </c>
      <c r="C36" s="31">
        <f>C37</f>
        <v>30</v>
      </c>
      <c r="D36" s="32" t="s">
        <v>77</v>
      </c>
    </row>
    <row r="37" spans="1:4" ht="19.2" x14ac:dyDescent="0.3">
      <c r="A37" s="33">
        <v>22</v>
      </c>
      <c r="B37" s="34" t="s">
        <v>84</v>
      </c>
      <c r="C37" s="35">
        <v>30</v>
      </c>
      <c r="D37" s="36" t="s">
        <v>45</v>
      </c>
    </row>
    <row r="38" spans="1:4" ht="19.2" x14ac:dyDescent="0.3">
      <c r="A38" s="9"/>
      <c r="B38" s="30" t="s">
        <v>63</v>
      </c>
      <c r="C38" s="29">
        <f>SUM(C39:C40)</f>
        <v>75</v>
      </c>
      <c r="D38" s="32" t="s">
        <v>76</v>
      </c>
    </row>
    <row r="39" spans="1:4" ht="19.2" x14ac:dyDescent="0.3">
      <c r="A39" s="9">
        <v>23</v>
      </c>
      <c r="B39" s="11" t="s">
        <v>46</v>
      </c>
      <c r="C39" s="21">
        <v>55</v>
      </c>
      <c r="D39" s="10" t="s">
        <v>47</v>
      </c>
    </row>
    <row r="40" spans="1:4" ht="19.2" x14ac:dyDescent="0.3">
      <c r="A40" s="33">
        <v>24</v>
      </c>
      <c r="B40" s="34" t="s">
        <v>48</v>
      </c>
      <c r="C40" s="37">
        <v>20</v>
      </c>
      <c r="D40" s="36" t="s">
        <v>49</v>
      </c>
    </row>
    <row r="41" spans="1:4" s="27" customFormat="1" ht="19.2" x14ac:dyDescent="0.3">
      <c r="A41" s="7"/>
      <c r="B41" s="30" t="s">
        <v>56</v>
      </c>
      <c r="C41" s="31">
        <f>SUM(C42:C45)</f>
        <v>250</v>
      </c>
      <c r="D41" s="32" t="s">
        <v>57</v>
      </c>
    </row>
    <row r="42" spans="1:4" ht="19.2" x14ac:dyDescent="0.3">
      <c r="A42" s="9">
        <v>25</v>
      </c>
      <c r="B42" s="11" t="s">
        <v>50</v>
      </c>
      <c r="C42" s="21">
        <v>100</v>
      </c>
      <c r="D42" s="10" t="s">
        <v>58</v>
      </c>
    </row>
    <row r="43" spans="1:4" ht="19.2" x14ac:dyDescent="0.3">
      <c r="A43" s="9">
        <v>26</v>
      </c>
      <c r="B43" s="11" t="s">
        <v>51</v>
      </c>
      <c r="C43" s="21">
        <v>50</v>
      </c>
      <c r="D43" s="10" t="s">
        <v>59</v>
      </c>
    </row>
    <row r="44" spans="1:4" ht="19.2" x14ac:dyDescent="0.3">
      <c r="A44" s="9">
        <v>27</v>
      </c>
      <c r="B44" s="11" t="s">
        <v>52</v>
      </c>
      <c r="C44" s="21">
        <v>50</v>
      </c>
      <c r="D44" s="10" t="s">
        <v>60</v>
      </c>
    </row>
    <row r="45" spans="1:4" ht="19.2" x14ac:dyDescent="0.3">
      <c r="A45" s="9">
        <v>28</v>
      </c>
      <c r="B45" s="11" t="s">
        <v>53</v>
      </c>
      <c r="C45" s="21">
        <v>50</v>
      </c>
      <c r="D45" s="10" t="s">
        <v>61</v>
      </c>
    </row>
    <row r="46" spans="1:4" ht="19.8" thickBot="1" x14ac:dyDescent="0.35">
      <c r="A46" s="22" t="s">
        <v>0</v>
      </c>
      <c r="B46" s="23" t="s">
        <v>54</v>
      </c>
      <c r="C46" s="24">
        <f>C41+C38+C36+C30+C28+C21+C18+C14+C7+C26+C34</f>
        <v>1225</v>
      </c>
      <c r="D46" s="25" t="s">
        <v>55</v>
      </c>
    </row>
    <row r="47" spans="1:4" s="14" customFormat="1" ht="17.399999999999999" x14ac:dyDescent="0.55000000000000004">
      <c r="A47" s="4" t="s">
        <v>2</v>
      </c>
      <c r="D47" s="15" t="s">
        <v>3</v>
      </c>
    </row>
    <row r="48" spans="1:4" ht="19.2" x14ac:dyDescent="0.3">
      <c r="D48" s="12"/>
    </row>
    <row r="49" spans="1:4" ht="19.2" x14ac:dyDescent="0.3">
      <c r="D49" s="12"/>
    </row>
    <row r="50" spans="1:4" ht="19.2" x14ac:dyDescent="0.3">
      <c r="D50" s="12"/>
    </row>
    <row r="51" spans="1:4" ht="19.2" x14ac:dyDescent="0.3">
      <c r="D51" s="12"/>
    </row>
    <row r="52" spans="1:4" ht="19.2" x14ac:dyDescent="0.3">
      <c r="D52" s="12"/>
    </row>
    <row r="53" spans="1:4" ht="19.2" x14ac:dyDescent="0.3">
      <c r="D53" s="12"/>
    </row>
    <row r="54" spans="1:4" ht="19.2" x14ac:dyDescent="0.3">
      <c r="A54" s="1"/>
      <c r="D54" s="12"/>
    </row>
    <row r="55" spans="1:4" ht="19.2" x14ac:dyDescent="0.3">
      <c r="A55" s="1"/>
      <c r="D55" s="12"/>
    </row>
    <row r="56" spans="1:4" ht="19.2" x14ac:dyDescent="0.3">
      <c r="A56" s="1"/>
      <c r="D56" s="12"/>
    </row>
    <row r="57" spans="1:4" ht="19.2" x14ac:dyDescent="0.3">
      <c r="A57" s="1"/>
      <c r="D57" s="12"/>
    </row>
    <row r="58" spans="1:4" ht="19.2" x14ac:dyDescent="0.3">
      <c r="A58" s="1"/>
      <c r="D58" s="12"/>
    </row>
    <row r="59" spans="1:4" ht="19.2" x14ac:dyDescent="0.3">
      <c r="A59" s="1"/>
      <c r="D59" s="12"/>
    </row>
    <row r="60" spans="1:4" ht="19.2" x14ac:dyDescent="0.3">
      <c r="A60" s="1"/>
      <c r="D60" s="12"/>
    </row>
    <row r="61" spans="1:4" ht="19.2" x14ac:dyDescent="0.3">
      <c r="A61" s="1"/>
      <c r="D61" s="12"/>
    </row>
    <row r="62" spans="1:4" ht="19.2" x14ac:dyDescent="0.3">
      <c r="A62" s="1"/>
      <c r="D62" s="12"/>
    </row>
    <row r="63" spans="1:4" ht="19.2" x14ac:dyDescent="0.3">
      <c r="A63" s="1"/>
      <c r="D63" s="12"/>
    </row>
  </sheetData>
  <mergeCells count="4">
    <mergeCell ref="A2:D2"/>
    <mergeCell ref="A3:D3"/>
    <mergeCell ref="A5:A6"/>
    <mergeCell ref="B5:B6"/>
  </mergeCells>
  <pageMargins left="0.7" right="0.7" top="0.75" bottom="0.75" header="0.3" footer="0.3"/>
  <pageSetup scale="99" orientation="portrait" r:id="rId1"/>
  <rowBreaks count="1" manualBreakCount="1">
    <brk id="35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12.18</vt:lpstr>
      <vt:lpstr>'12.18'!Print_Area</vt:lpstr>
      <vt:lpstr>'12.18'!Print_Titles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2015-05-19T03:30:18Z</cp:lastPrinted>
  <dcterms:created xsi:type="dcterms:W3CDTF">2015-01-12T08:51:45Z</dcterms:created>
  <dcterms:modified xsi:type="dcterms:W3CDTF">2015-05-19T03:33:25Z</dcterms:modified>
</cp:coreProperties>
</file>