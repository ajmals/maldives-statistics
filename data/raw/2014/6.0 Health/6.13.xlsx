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32" windowWidth="15300" windowHeight="8736" tabRatio="863"/>
  </bookViews>
  <sheets>
    <sheet name="6.13" sheetId="1" r:id="rId1"/>
  </sheets>
  <definedNames>
    <definedName name="_xlnm.Print_Area" localSheetId="0">'6.13'!$A$1:$G$39</definedName>
  </definedNames>
  <calcPr calcId="144525"/>
</workbook>
</file>

<file path=xl/calcChain.xml><?xml version="1.0" encoding="utf-8"?>
<calcChain xmlns="http://schemas.openxmlformats.org/spreadsheetml/2006/main">
  <c r="B17" i="1" l="1"/>
  <c r="B16" i="1"/>
  <c r="B15" i="1"/>
  <c r="B14" i="1"/>
  <c r="B13" i="1"/>
  <c r="B12" i="1"/>
  <c r="B11" i="1"/>
  <c r="B10" i="1"/>
  <c r="B9" i="1"/>
  <c r="B8" i="1"/>
  <c r="B7" i="1"/>
  <c r="B6" i="1"/>
  <c r="B5" i="1"/>
</calcChain>
</file>

<file path=xl/sharedStrings.xml><?xml version="1.0" encoding="utf-8"?>
<sst xmlns="http://schemas.openxmlformats.org/spreadsheetml/2006/main" count="13" uniqueCount="13">
  <si>
    <t>ތާވަލު 6.13: މަސްތުވާތަކެތި ބޭނުންކުރާމީހުންގެ އަދަދު އަދި އުމުރުފުރާ، 2001 - 2013</t>
  </si>
  <si>
    <t>Table 6.13 : DRUG ABUSE CASES REPORTED, BY AGE GROUP, 2001-2013</t>
  </si>
  <si>
    <t>Year</t>
  </si>
  <si>
    <t>Total</t>
  </si>
  <si>
    <r>
      <t xml:space="preserve">Age Group   </t>
    </r>
    <r>
      <rPr>
        <b/>
        <sz val="9"/>
        <rFont val="Faruma"/>
        <family val="3"/>
      </rPr>
      <t xml:space="preserve"> ޢުމުރުފުރާ</t>
    </r>
    <r>
      <rPr>
        <b/>
        <sz val="9"/>
        <rFont val="Arial"/>
        <family val="2"/>
      </rPr>
      <t xml:space="preserve">  </t>
    </r>
  </si>
  <si>
    <t>Under 16</t>
  </si>
  <si>
    <t>16 - 24</t>
  </si>
  <si>
    <t>25 - 39</t>
  </si>
  <si>
    <t>40 +</t>
  </si>
  <si>
    <t>Note:  This table includes use of  Narcotic drugs only.</t>
  </si>
  <si>
    <t>Source: Maldives Police Service</t>
  </si>
  <si>
    <t xml:space="preserve">ނޯޓު: މިތާވަލުގައި ހިމެނެނީ ހަމައެކަނި މަސްތުވާތަކެތި (ހިކި ތަކެތި) ބޭނުންކުރި މީހުންގެ ޢަދަދެވެ. </t>
  </si>
  <si>
    <t>މަޢުލޫމާތު ދެއްވި ފަރާތް: މޯލްޑިވްސް ޕޮލިސް ސަރވިސް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</si>
</sst>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General_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1"/>
      <name val="Faruma"/>
      <family val="3"/>
    </font>
    <font>
      <b/>
      <sz val="10"/>
      <name val="Arial"/>
      <family val="2"/>
    </font>
    <font>
      <b/>
      <sz val="9"/>
      <name val="Arial"/>
      <family val="2"/>
    </font>
    <font>
      <b/>
      <sz val="9"/>
      <name val="Faruma"/>
      <family val="3"/>
    </font>
    <font>
      <sz val="10"/>
      <name val="A_Randhoo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9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i/>
      <sz val="9"/>
      <name val="Arial"/>
      <family val="2"/>
    </font>
    <font>
      <i/>
      <sz val="9"/>
      <name val="Courier"/>
      <family val="3"/>
    </font>
    <font>
      <sz val="9"/>
      <name val="Courier"/>
      <family val="3"/>
    </font>
    <font>
      <sz val="10"/>
      <name val="Arial"/>
      <family val="2"/>
    </font>
    <font>
      <sz val="9"/>
      <color theme="1"/>
      <name val="Faruma"/>
      <family val="3"/>
    </font>
    <font>
      <sz val="9"/>
      <name val="Faruma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2" fillId="0" borderId="0"/>
  </cellStyleXfs>
  <cellXfs count="37">
    <xf numFmtId="0" fontId="0" fillId="0" borderId="0" xfId="0"/>
    <xf numFmtId="164" fontId="3" fillId="2" borderId="0" xfId="2" applyFont="1" applyFill="1" applyAlignment="1">
      <alignment horizontal="center"/>
    </xf>
    <xf numFmtId="164" fontId="2" fillId="2" borderId="0" xfId="2" applyFill="1"/>
    <xf numFmtId="164" fontId="4" fillId="2" borderId="0" xfId="2" applyFont="1" applyFill="1" applyAlignment="1">
      <alignment horizontal="center" vertical="center"/>
    </xf>
    <xf numFmtId="164" fontId="5" fillId="2" borderId="1" xfId="2" applyFont="1" applyFill="1" applyBorder="1" applyAlignment="1">
      <alignment horizontal="left" vertical="center"/>
    </xf>
    <xf numFmtId="164" fontId="5" fillId="2" borderId="1" xfId="2" applyFont="1" applyFill="1" applyBorder="1" applyAlignment="1">
      <alignment horizontal="center" vertical="center"/>
    </xf>
    <xf numFmtId="164" fontId="5" fillId="2" borderId="2" xfId="2" applyFont="1" applyFill="1" applyBorder="1" applyAlignment="1">
      <alignment horizontal="center" vertical="center"/>
    </xf>
    <xf numFmtId="164" fontId="7" fillId="2" borderId="0" xfId="2" applyFont="1" applyFill="1"/>
    <xf numFmtId="164" fontId="5" fillId="2" borderId="3" xfId="2" applyFont="1" applyFill="1" applyBorder="1" applyAlignment="1">
      <alignment horizontal="left" vertical="center"/>
    </xf>
    <xf numFmtId="164" fontId="5" fillId="2" borderId="3" xfId="2" applyFont="1" applyFill="1" applyBorder="1" applyAlignment="1">
      <alignment horizontal="center" vertical="center"/>
    </xf>
    <xf numFmtId="164" fontId="5" fillId="2" borderId="3" xfId="2" applyFont="1" applyFill="1" applyBorder="1" applyAlignment="1">
      <alignment horizontal="right" vertical="center"/>
    </xf>
    <xf numFmtId="164" fontId="8" fillId="2" borderId="0" xfId="2" applyFont="1" applyFill="1" applyAlignment="1">
      <alignment horizontal="left" vertical="center"/>
    </xf>
    <xf numFmtId="38" fontId="8" fillId="2" borderId="0" xfId="1" applyNumberFormat="1" applyFont="1" applyFill="1" applyAlignment="1">
      <alignment horizontal="right" vertical="center"/>
    </xf>
    <xf numFmtId="38" fontId="9" fillId="2" borderId="0" xfId="1" applyNumberFormat="1" applyFont="1" applyFill="1" applyAlignment="1">
      <alignment horizontal="right" vertical="center"/>
    </xf>
    <xf numFmtId="164" fontId="9" fillId="2" borderId="0" xfId="2" applyFont="1" applyFill="1"/>
    <xf numFmtId="164" fontId="8" fillId="2" borderId="0" xfId="2" applyFont="1" applyFill="1" applyBorder="1" applyAlignment="1">
      <alignment horizontal="left" vertical="center"/>
    </xf>
    <xf numFmtId="38" fontId="8" fillId="2" borderId="0" xfId="1" applyNumberFormat="1" applyFont="1" applyFill="1" applyBorder="1" applyAlignment="1">
      <alignment horizontal="right" vertical="center"/>
    </xf>
    <xf numFmtId="38" fontId="9" fillId="2" borderId="0" xfId="1" applyNumberFormat="1" applyFont="1" applyFill="1" applyBorder="1" applyAlignment="1">
      <alignment horizontal="right" vertical="center"/>
    </xf>
    <xf numFmtId="164" fontId="9" fillId="2" borderId="0" xfId="2" applyFont="1" applyFill="1" applyBorder="1"/>
    <xf numFmtId="164" fontId="8" fillId="2" borderId="3" xfId="2" applyFont="1" applyFill="1" applyBorder="1" applyAlignment="1">
      <alignment horizontal="left" vertical="center"/>
    </xf>
    <xf numFmtId="164" fontId="10" fillId="2" borderId="0" xfId="0" applyNumberFormat="1" applyFont="1" applyFill="1" applyAlignment="1">
      <alignment horizontal="right" vertical="center"/>
    </xf>
    <xf numFmtId="164" fontId="10" fillId="2" borderId="0" xfId="0" applyNumberFormat="1" applyFont="1" applyFill="1" applyBorder="1" applyAlignment="1">
      <alignment horizontal="right" vertical="center"/>
    </xf>
    <xf numFmtId="38" fontId="8" fillId="2" borderId="3" xfId="1" applyNumberFormat="1" applyFont="1" applyFill="1" applyBorder="1" applyAlignment="1">
      <alignment horizontal="right" vertical="center"/>
    </xf>
    <xf numFmtId="164" fontId="9" fillId="2" borderId="3" xfId="0" applyNumberFormat="1" applyFont="1" applyFill="1" applyBorder="1" applyAlignment="1">
      <alignment horizontal="right" vertical="center"/>
    </xf>
    <xf numFmtId="164" fontId="11" fillId="2" borderId="0" xfId="2" applyFont="1" applyFill="1" applyBorder="1" applyAlignment="1">
      <alignment horizontal="left" vertical="center"/>
    </xf>
    <xf numFmtId="38" fontId="12" fillId="2" borderId="0" xfId="1" applyNumberFormat="1" applyFont="1" applyFill="1" applyBorder="1" applyAlignment="1">
      <alignment horizontal="right" vertical="center"/>
    </xf>
    <xf numFmtId="164" fontId="13" fillId="2" borderId="0" xfId="0" applyNumberFormat="1" applyFont="1" applyFill="1" applyBorder="1" applyAlignment="1">
      <alignment horizontal="right"/>
    </xf>
    <xf numFmtId="164" fontId="14" fillId="2" borderId="0" xfId="2" applyFont="1" applyFill="1" applyBorder="1"/>
    <xf numFmtId="164" fontId="11" fillId="2" borderId="0" xfId="2" applyFont="1" applyFill="1" applyAlignment="1">
      <alignment vertical="center"/>
    </xf>
    <xf numFmtId="164" fontId="15" fillId="2" borderId="0" xfId="2" applyFont="1" applyFill="1" applyAlignment="1">
      <alignment vertical="center"/>
    </xf>
    <xf numFmtId="164" fontId="16" fillId="2" borderId="0" xfId="2" applyFont="1" applyFill="1" applyAlignment="1">
      <alignment vertical="center"/>
    </xf>
    <xf numFmtId="164" fontId="17" fillId="2" borderId="0" xfId="2" applyFont="1" applyFill="1" applyAlignment="1">
      <alignment vertical="center"/>
    </xf>
    <xf numFmtId="164" fontId="17" fillId="2" borderId="0" xfId="2" applyFont="1" applyFill="1"/>
    <xf numFmtId="164" fontId="18" fillId="2" borderId="0" xfId="2" applyFont="1" applyFill="1"/>
    <xf numFmtId="164" fontId="19" fillId="2" borderId="0" xfId="0" applyNumberFormat="1" applyFont="1" applyFill="1" applyBorder="1" applyAlignment="1">
      <alignment horizontal="right"/>
    </xf>
    <xf numFmtId="3" fontId="20" fillId="2" borderId="0" xfId="2" applyNumberFormat="1" applyFont="1" applyFill="1" applyAlignment="1">
      <alignment horizontal="right" vertical="center"/>
    </xf>
    <xf numFmtId="164" fontId="2" fillId="2" borderId="0" xfId="2" applyFont="1" applyFill="1"/>
  </cellXfs>
  <cellStyles count="3">
    <cellStyle name="Comma" xfId="1" builtinId="3"/>
    <cellStyle name="Normal" xfId="0" builtinId="0"/>
    <cellStyle name="Normal_6 Health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/>
          <a:lstStyle/>
          <a:p>
            <a:pPr>
              <a:defRPr sz="1100">
                <a:latin typeface="+mn-lt"/>
              </a:defRPr>
            </a:pPr>
            <a:r>
              <a:rPr lang="en-US" sz="1100">
                <a:latin typeface="+mn-lt"/>
              </a:rPr>
              <a:t>FIGURE 6.4:  DRUG ABUSE CASES REPORTED BY AGE GROUP, 2001 - 2013</a:t>
            </a:r>
          </a:p>
        </c:rich>
      </c:tx>
      <c:layout>
        <c:manualLayout>
          <c:xMode val="edge"/>
          <c:yMode val="edge"/>
          <c:x val="0.14377030005871475"/>
          <c:y val="3.92088037188122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4899586769804844E-2"/>
          <c:y val="0.19017796756596647"/>
          <c:w val="0.88022179989919369"/>
          <c:h val="0.6980156163865114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'[1]6.13'!$M$12</c:f>
              <c:strCache>
                <c:ptCount val="1"/>
                <c:pt idx="0">
                  <c:v>Under 16</c:v>
                </c:pt>
              </c:strCache>
            </c:strRef>
          </c:tx>
          <c:invertIfNegative val="0"/>
          <c:cat>
            <c:numRef>
              <c:f>'[1]6.13'!$N$11:$Z$11</c:f>
              <c:numCache>
                <c:formatCode>General_)</c:formatCode>
                <c:ptCount val="13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</c:numCache>
            </c:numRef>
          </c:cat>
          <c:val>
            <c:numRef>
              <c:f>'[1]6.13'!$N$12:$Z$12</c:f>
              <c:numCache>
                <c:formatCode>#,##0_);[Red]\(#,##0\)</c:formatCode>
                <c:ptCount val="13"/>
                <c:pt idx="0">
                  <c:v>2</c:v>
                </c:pt>
                <c:pt idx="1">
                  <c:v>6</c:v>
                </c:pt>
                <c:pt idx="2">
                  <c:v>2</c:v>
                </c:pt>
                <c:pt idx="3">
                  <c:v>3</c:v>
                </c:pt>
                <c:pt idx="4">
                  <c:v>1</c:v>
                </c:pt>
                <c:pt idx="5">
                  <c:v>7</c:v>
                </c:pt>
                <c:pt idx="6">
                  <c:v>23</c:v>
                </c:pt>
                <c:pt idx="7" formatCode="General_)">
                  <c:v>15</c:v>
                </c:pt>
                <c:pt idx="8" formatCode="General_)">
                  <c:v>5</c:v>
                </c:pt>
                <c:pt idx="9" formatCode="General_)">
                  <c:v>3</c:v>
                </c:pt>
                <c:pt idx="10" formatCode="General_)">
                  <c:v>5</c:v>
                </c:pt>
                <c:pt idx="11" formatCode="General_)">
                  <c:v>8</c:v>
                </c:pt>
                <c:pt idx="12" formatCode="General_)">
                  <c:v>11</c:v>
                </c:pt>
              </c:numCache>
            </c:numRef>
          </c:val>
        </c:ser>
        <c:ser>
          <c:idx val="1"/>
          <c:order val="1"/>
          <c:tx>
            <c:strRef>
              <c:f>'[1]6.13'!$M$13</c:f>
              <c:strCache>
                <c:ptCount val="1"/>
                <c:pt idx="0">
                  <c:v>16 - 24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</c:spPr>
          <c:invertIfNegative val="0"/>
          <c:cat>
            <c:numRef>
              <c:f>'[1]6.13'!$N$11:$Z$11</c:f>
              <c:numCache>
                <c:formatCode>General_)</c:formatCode>
                <c:ptCount val="13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</c:numCache>
            </c:numRef>
          </c:cat>
          <c:val>
            <c:numRef>
              <c:f>'[1]6.13'!$N$13:$Z$13</c:f>
              <c:numCache>
                <c:formatCode>#,##0_);[Red]\(#,##0\)</c:formatCode>
                <c:ptCount val="13"/>
                <c:pt idx="0">
                  <c:v>123</c:v>
                </c:pt>
                <c:pt idx="1">
                  <c:v>168</c:v>
                </c:pt>
                <c:pt idx="2">
                  <c:v>180</c:v>
                </c:pt>
                <c:pt idx="3">
                  <c:v>347</c:v>
                </c:pt>
                <c:pt idx="4">
                  <c:v>325</c:v>
                </c:pt>
                <c:pt idx="5">
                  <c:v>363</c:v>
                </c:pt>
                <c:pt idx="6">
                  <c:v>601</c:v>
                </c:pt>
                <c:pt idx="7" formatCode="General_)">
                  <c:v>936</c:v>
                </c:pt>
                <c:pt idx="8" formatCode="General_)">
                  <c:v>410</c:v>
                </c:pt>
                <c:pt idx="9" formatCode="General_)">
                  <c:v>284</c:v>
                </c:pt>
                <c:pt idx="10" formatCode="General_)">
                  <c:v>196</c:v>
                </c:pt>
                <c:pt idx="11" formatCode="General_)">
                  <c:v>398</c:v>
                </c:pt>
                <c:pt idx="12" formatCode="General_)">
                  <c:v>629</c:v>
                </c:pt>
              </c:numCache>
            </c:numRef>
          </c:val>
        </c:ser>
        <c:ser>
          <c:idx val="2"/>
          <c:order val="2"/>
          <c:tx>
            <c:strRef>
              <c:f>'[1]6.13'!$M$14</c:f>
              <c:strCache>
                <c:ptCount val="1"/>
                <c:pt idx="0">
                  <c:v>25 - 39</c:v>
                </c:pt>
              </c:strCache>
            </c:strRef>
          </c:tx>
          <c:invertIfNegative val="0"/>
          <c:cat>
            <c:numRef>
              <c:f>'[1]6.13'!$N$11:$Z$11</c:f>
              <c:numCache>
                <c:formatCode>General_)</c:formatCode>
                <c:ptCount val="13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</c:numCache>
            </c:numRef>
          </c:cat>
          <c:val>
            <c:numRef>
              <c:f>'[1]6.13'!$N$14:$Z$14</c:f>
              <c:numCache>
                <c:formatCode>#,##0_);[Red]\(#,##0\)</c:formatCode>
                <c:ptCount val="13"/>
                <c:pt idx="0">
                  <c:v>87</c:v>
                </c:pt>
                <c:pt idx="1">
                  <c:v>119</c:v>
                </c:pt>
                <c:pt idx="2">
                  <c:v>139</c:v>
                </c:pt>
                <c:pt idx="3">
                  <c:v>322</c:v>
                </c:pt>
                <c:pt idx="4">
                  <c:v>260</c:v>
                </c:pt>
                <c:pt idx="5">
                  <c:v>361</c:v>
                </c:pt>
                <c:pt idx="6">
                  <c:v>509</c:v>
                </c:pt>
                <c:pt idx="7" formatCode="General_)">
                  <c:v>776</c:v>
                </c:pt>
                <c:pt idx="8" formatCode="General_)">
                  <c:v>441</c:v>
                </c:pt>
                <c:pt idx="9" formatCode="General_)">
                  <c:v>275</c:v>
                </c:pt>
                <c:pt idx="10" formatCode="General_)">
                  <c:v>265</c:v>
                </c:pt>
                <c:pt idx="11" formatCode="General_)">
                  <c:v>493</c:v>
                </c:pt>
                <c:pt idx="12" formatCode="General_)">
                  <c:v>1021</c:v>
                </c:pt>
              </c:numCache>
            </c:numRef>
          </c:val>
        </c:ser>
        <c:ser>
          <c:idx val="3"/>
          <c:order val="3"/>
          <c:tx>
            <c:strRef>
              <c:f>'[1]6.13'!$M$15</c:f>
              <c:strCache>
                <c:ptCount val="1"/>
                <c:pt idx="0">
                  <c:v>40 +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</c:spPr>
          <c:invertIfNegative val="0"/>
          <c:cat>
            <c:numRef>
              <c:f>'[1]6.13'!$N$11:$Z$11</c:f>
              <c:numCache>
                <c:formatCode>General_)</c:formatCode>
                <c:ptCount val="13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</c:numCache>
            </c:numRef>
          </c:cat>
          <c:val>
            <c:numRef>
              <c:f>'[1]6.13'!$N$15:$Z$15</c:f>
              <c:numCache>
                <c:formatCode>#,##0_);[Red]\(#,##0\)</c:formatCode>
                <c:ptCount val="13"/>
                <c:pt idx="0">
                  <c:v>4</c:v>
                </c:pt>
                <c:pt idx="1">
                  <c:v>7</c:v>
                </c:pt>
                <c:pt idx="2">
                  <c:v>19</c:v>
                </c:pt>
                <c:pt idx="3">
                  <c:v>25</c:v>
                </c:pt>
                <c:pt idx="4">
                  <c:v>29</c:v>
                </c:pt>
                <c:pt idx="5">
                  <c:v>52</c:v>
                </c:pt>
                <c:pt idx="6">
                  <c:v>54</c:v>
                </c:pt>
                <c:pt idx="7" formatCode="General_)">
                  <c:v>77</c:v>
                </c:pt>
                <c:pt idx="8" formatCode="General_)">
                  <c:v>62</c:v>
                </c:pt>
                <c:pt idx="9" formatCode="General_)">
                  <c:v>60</c:v>
                </c:pt>
                <c:pt idx="10" formatCode="General_)">
                  <c:v>68</c:v>
                </c:pt>
                <c:pt idx="11" formatCode="General_)">
                  <c:v>106</c:v>
                </c:pt>
                <c:pt idx="12" formatCode="General_)">
                  <c:v>175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82633216"/>
        <c:axId val="182635136"/>
      </c:barChart>
      <c:catAx>
        <c:axId val="182633216"/>
        <c:scaling>
          <c:orientation val="minMax"/>
        </c:scaling>
        <c:delete val="0"/>
        <c:axPos val="b"/>
        <c:numFmt formatCode="General_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900"/>
            </a:pPr>
            <a:endParaRPr lang="en-US"/>
          </a:p>
        </c:txPr>
        <c:crossAx val="18263513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82635136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 sz="800"/>
                </a:pPr>
                <a:r>
                  <a:rPr lang="en-US" sz="800"/>
                  <a:t>Number of cases</a:t>
                </a:r>
              </a:p>
            </c:rich>
          </c:tx>
          <c:layout>
            <c:manualLayout>
              <c:xMode val="edge"/>
              <c:yMode val="edge"/>
              <c:x val="1.1189078303125169E-2"/>
              <c:y val="0.10344827586206895"/>
            </c:manualLayout>
          </c:layout>
          <c:overlay val="0"/>
        </c:title>
        <c:numFmt formatCode="#,##0_);[Red]\(#,##0\)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82633216"/>
        <c:crosses val="autoZero"/>
        <c:crossBetween val="between"/>
      </c:valAx>
      <c:spPr>
        <a:ln>
          <a:solidFill>
            <a:schemeClr val="bg1">
              <a:lumMod val="5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2733430748913727"/>
          <c:y val="0.21697814881573538"/>
          <c:w val="0.40770881943730136"/>
          <c:h val="7.5235109717868343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000000000000422" r="0.75000000000000422" t="1" header="0.5" footer="0.5"/>
    <c:pageSetup orientation="landscape" horizontalDpi="300" verticalDpi="30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49529</xdr:colOff>
      <xdr:row>21</xdr:row>
      <xdr:rowOff>140970</xdr:rowOff>
    </xdr:from>
    <xdr:to>
      <xdr:col>6</xdr:col>
      <xdr:colOff>327660</xdr:colOff>
      <xdr:row>38</xdr:row>
      <xdr:rowOff>137160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tabSelected="1" topLeftCell="A19" zoomScaleNormal="100" workbookViewId="0">
      <selection activeCell="I13" sqref="I13"/>
    </sheetView>
  </sheetViews>
  <sheetFormatPr defaultColWidth="9.109375" defaultRowHeight="13.2" x14ac:dyDescent="0.25"/>
  <cols>
    <col min="1" max="1" width="10.5546875" style="33" customWidth="1"/>
    <col min="2" max="2" width="9.5546875" style="33" customWidth="1"/>
    <col min="3" max="6" width="15.109375" style="2" customWidth="1"/>
    <col min="7" max="16384" width="9.109375" style="2"/>
  </cols>
  <sheetData>
    <row r="1" spans="1:6" ht="19.2" x14ac:dyDescent="0.6">
      <c r="A1" s="1" t="s">
        <v>0</v>
      </c>
      <c r="B1" s="1"/>
      <c r="C1" s="1"/>
      <c r="D1" s="1"/>
      <c r="E1" s="1"/>
      <c r="F1" s="1"/>
    </row>
    <row r="2" spans="1:6" x14ac:dyDescent="0.2">
      <c r="A2" s="3" t="s">
        <v>1</v>
      </c>
      <c r="B2" s="3"/>
      <c r="C2" s="3"/>
      <c r="D2" s="3"/>
      <c r="E2" s="3"/>
      <c r="F2" s="3"/>
    </row>
    <row r="3" spans="1:6" s="7" customFormat="1" ht="16.8" x14ac:dyDescent="0.5">
      <c r="A3" s="4" t="s">
        <v>2</v>
      </c>
      <c r="B3" s="5" t="s">
        <v>3</v>
      </c>
      <c r="C3" s="6" t="s">
        <v>4</v>
      </c>
      <c r="D3" s="6"/>
      <c r="E3" s="6"/>
      <c r="F3" s="6"/>
    </row>
    <row r="4" spans="1:6" ht="12" x14ac:dyDescent="0.2">
      <c r="A4" s="8"/>
      <c r="B4" s="9"/>
      <c r="C4" s="10" t="s">
        <v>5</v>
      </c>
      <c r="D4" s="10" t="s">
        <v>6</v>
      </c>
      <c r="E4" s="10" t="s">
        <v>7</v>
      </c>
      <c r="F4" s="10" t="s">
        <v>8</v>
      </c>
    </row>
    <row r="5" spans="1:6" s="14" customFormat="1" ht="22.2" customHeight="1" x14ac:dyDescent="0.3">
      <c r="A5" s="11">
        <v>2001</v>
      </c>
      <c r="B5" s="12">
        <f t="shared" ref="B5:B9" si="0">SUM(C5:F5)</f>
        <v>216</v>
      </c>
      <c r="C5" s="13">
        <v>2</v>
      </c>
      <c r="D5" s="13">
        <v>123</v>
      </c>
      <c r="E5" s="13">
        <v>87</v>
      </c>
      <c r="F5" s="13">
        <v>4</v>
      </c>
    </row>
    <row r="6" spans="1:6" s="14" customFormat="1" ht="22.2" customHeight="1" x14ac:dyDescent="0.3">
      <c r="A6" s="11">
        <v>2002</v>
      </c>
      <c r="B6" s="12">
        <f t="shared" si="0"/>
        <v>300</v>
      </c>
      <c r="C6" s="13">
        <v>6</v>
      </c>
      <c r="D6" s="13">
        <v>168</v>
      </c>
      <c r="E6" s="13">
        <v>119</v>
      </c>
      <c r="F6" s="13">
        <v>7</v>
      </c>
    </row>
    <row r="7" spans="1:6" s="14" customFormat="1" ht="22.2" customHeight="1" x14ac:dyDescent="0.3">
      <c r="A7" s="15">
        <v>2003</v>
      </c>
      <c r="B7" s="16">
        <f t="shared" si="0"/>
        <v>340</v>
      </c>
      <c r="C7" s="17">
        <v>2</v>
      </c>
      <c r="D7" s="17">
        <v>180</v>
      </c>
      <c r="E7" s="17">
        <v>139</v>
      </c>
      <c r="F7" s="17">
        <v>19</v>
      </c>
    </row>
    <row r="8" spans="1:6" s="14" customFormat="1" ht="22.2" customHeight="1" x14ac:dyDescent="0.3">
      <c r="A8" s="15">
        <v>2004</v>
      </c>
      <c r="B8" s="16">
        <f t="shared" si="0"/>
        <v>697</v>
      </c>
      <c r="C8" s="17">
        <v>3</v>
      </c>
      <c r="D8" s="17">
        <v>347</v>
      </c>
      <c r="E8" s="17">
        <v>322</v>
      </c>
      <c r="F8" s="17">
        <v>25</v>
      </c>
    </row>
    <row r="9" spans="1:6" s="18" customFormat="1" ht="22.2" customHeight="1" x14ac:dyDescent="0.3">
      <c r="A9" s="15">
        <v>2005</v>
      </c>
      <c r="B9" s="16">
        <f t="shared" si="0"/>
        <v>615</v>
      </c>
      <c r="C9" s="17">
        <v>1</v>
      </c>
      <c r="D9" s="17">
        <v>325</v>
      </c>
      <c r="E9" s="17">
        <v>260</v>
      </c>
      <c r="F9" s="17">
        <v>29</v>
      </c>
    </row>
    <row r="10" spans="1:6" s="18" customFormat="1" ht="22.2" customHeight="1" x14ac:dyDescent="0.3">
      <c r="A10" s="15">
        <v>2006</v>
      </c>
      <c r="B10" s="16">
        <f>SUM(C10:F10)</f>
        <v>783</v>
      </c>
      <c r="C10" s="17">
        <v>7</v>
      </c>
      <c r="D10" s="17">
        <v>363</v>
      </c>
      <c r="E10" s="17">
        <v>361</v>
      </c>
      <c r="F10" s="17">
        <v>52</v>
      </c>
    </row>
    <row r="11" spans="1:6" s="18" customFormat="1" ht="22.2" customHeight="1" x14ac:dyDescent="0.3">
      <c r="A11" s="15">
        <v>2007</v>
      </c>
      <c r="B11" s="16">
        <f>SUM(C11:F11)</f>
        <v>1187</v>
      </c>
      <c r="C11" s="17">
        <v>23</v>
      </c>
      <c r="D11" s="17">
        <v>601</v>
      </c>
      <c r="E11" s="17">
        <v>509</v>
      </c>
      <c r="F11" s="17">
        <v>54</v>
      </c>
    </row>
    <row r="12" spans="1:6" s="18" customFormat="1" ht="22.2" customHeight="1" x14ac:dyDescent="0.3">
      <c r="A12" s="15">
        <v>2008</v>
      </c>
      <c r="B12" s="16">
        <f>SUM(C12:F12)</f>
        <v>1804</v>
      </c>
      <c r="C12" s="20">
        <v>15</v>
      </c>
      <c r="D12" s="20">
        <v>936</v>
      </c>
      <c r="E12" s="20">
        <v>776</v>
      </c>
      <c r="F12" s="20">
        <v>77</v>
      </c>
    </row>
    <row r="13" spans="1:6" s="18" customFormat="1" ht="22.2" customHeight="1" x14ac:dyDescent="0.3">
      <c r="A13" s="15">
        <v>2009</v>
      </c>
      <c r="B13" s="16">
        <f t="shared" ref="B13:B17" si="1">SUM(C13:F13)</f>
        <v>918</v>
      </c>
      <c r="C13" s="20">
        <v>5</v>
      </c>
      <c r="D13" s="20">
        <v>410</v>
      </c>
      <c r="E13" s="20">
        <v>441</v>
      </c>
      <c r="F13" s="20">
        <v>62</v>
      </c>
    </row>
    <row r="14" spans="1:6" s="18" customFormat="1" ht="22.2" customHeight="1" x14ac:dyDescent="0.3">
      <c r="A14" s="15">
        <v>2010</v>
      </c>
      <c r="B14" s="16">
        <f t="shared" si="1"/>
        <v>622</v>
      </c>
      <c r="C14" s="20">
        <v>3</v>
      </c>
      <c r="D14" s="20">
        <v>284</v>
      </c>
      <c r="E14" s="20">
        <v>275</v>
      </c>
      <c r="F14" s="20">
        <v>60</v>
      </c>
    </row>
    <row r="15" spans="1:6" s="18" customFormat="1" ht="22.2" customHeight="1" x14ac:dyDescent="0.3">
      <c r="A15" s="15">
        <v>2011</v>
      </c>
      <c r="B15" s="16">
        <f t="shared" si="1"/>
        <v>534</v>
      </c>
      <c r="C15" s="20">
        <v>5</v>
      </c>
      <c r="D15" s="20">
        <v>196</v>
      </c>
      <c r="E15" s="20">
        <v>265</v>
      </c>
      <c r="F15" s="20">
        <v>68</v>
      </c>
    </row>
    <row r="16" spans="1:6" s="18" customFormat="1" ht="22.2" customHeight="1" x14ac:dyDescent="0.3">
      <c r="A16" s="15">
        <v>2012</v>
      </c>
      <c r="B16" s="16">
        <f t="shared" si="1"/>
        <v>1005</v>
      </c>
      <c r="C16" s="21">
        <v>8</v>
      </c>
      <c r="D16" s="21">
        <v>398</v>
      </c>
      <c r="E16" s="21">
        <v>493</v>
      </c>
      <c r="F16" s="21">
        <v>106</v>
      </c>
    </row>
    <row r="17" spans="1:6" s="18" customFormat="1" ht="22.2" customHeight="1" x14ac:dyDescent="0.3">
      <c r="A17" s="19">
        <v>2013</v>
      </c>
      <c r="B17" s="22">
        <f t="shared" si="1"/>
        <v>1836</v>
      </c>
      <c r="C17" s="23">
        <v>11</v>
      </c>
      <c r="D17" s="23">
        <v>629</v>
      </c>
      <c r="E17" s="23">
        <v>1021</v>
      </c>
      <c r="F17" s="23">
        <v>175</v>
      </c>
    </row>
    <row r="18" spans="1:6" s="27" customFormat="1" ht="12" x14ac:dyDescent="0.25">
      <c r="A18" s="24" t="s">
        <v>9</v>
      </c>
      <c r="B18" s="25"/>
      <c r="C18" s="26"/>
      <c r="D18" s="26"/>
      <c r="E18" s="26"/>
    </row>
    <row r="19" spans="1:6" s="32" customFormat="1" ht="12" x14ac:dyDescent="0.15">
      <c r="A19" s="28" t="s">
        <v>10</v>
      </c>
      <c r="B19" s="29"/>
      <c r="C19" s="30"/>
      <c r="D19" s="31"/>
      <c r="E19" s="31"/>
    </row>
    <row r="20" spans="1:6" ht="16.8" x14ac:dyDescent="0.55000000000000004">
      <c r="F20" s="34" t="s">
        <v>11</v>
      </c>
    </row>
    <row r="21" spans="1:6" ht="16.8" x14ac:dyDescent="0.25">
      <c r="F21" s="35" t="s">
        <v>12</v>
      </c>
    </row>
    <row r="23" spans="1:6" x14ac:dyDescent="0.25">
      <c r="B23" s="36"/>
      <c r="C23" s="36"/>
      <c r="D23" s="33"/>
      <c r="E23" s="33"/>
      <c r="F23" s="33"/>
    </row>
    <row r="24" spans="1:6" x14ac:dyDescent="0.25">
      <c r="B24" s="36"/>
      <c r="C24" s="36"/>
      <c r="D24" s="33"/>
      <c r="E24" s="33"/>
      <c r="F24" s="33"/>
    </row>
    <row r="25" spans="1:6" x14ac:dyDescent="0.25">
      <c r="C25" s="33"/>
      <c r="D25" s="33"/>
      <c r="E25" s="33"/>
      <c r="F25" s="33"/>
    </row>
    <row r="26" spans="1:6" x14ac:dyDescent="0.25">
      <c r="C26" s="33"/>
      <c r="D26" s="33"/>
      <c r="E26" s="33"/>
      <c r="F26" s="33"/>
    </row>
  </sheetData>
  <mergeCells count="5">
    <mergeCell ref="A1:F1"/>
    <mergeCell ref="A2:F2"/>
    <mergeCell ref="A3:A4"/>
    <mergeCell ref="B3:B4"/>
    <mergeCell ref="C3:F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6.13</vt:lpstr>
      <vt:lpstr>'6.13'!Print_Area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dcterms:created xsi:type="dcterms:W3CDTF">2015-05-20T04:50:40Z</dcterms:created>
  <dcterms:modified xsi:type="dcterms:W3CDTF">2015-05-20T04:51:58Z</dcterms:modified>
</cp:coreProperties>
</file>