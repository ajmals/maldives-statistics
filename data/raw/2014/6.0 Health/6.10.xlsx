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10" sheetId="3" r:id="rId1"/>
  </sheets>
  <definedNames>
    <definedName name="_xlnm.Print_Area" localSheetId="0">'6.10'!$A$1:$W$378</definedName>
  </definedNames>
  <calcPr calcId="124519"/>
</workbook>
</file>

<file path=xl/calcChain.xml><?xml version="1.0" encoding="utf-8"?>
<calcChain xmlns="http://schemas.openxmlformats.org/spreadsheetml/2006/main">
  <c r="C11" i="3"/>
  <c r="C9" s="1"/>
  <c r="D11"/>
  <c r="D9" s="1"/>
  <c r="E11"/>
  <c r="E9" s="1"/>
  <c r="F11"/>
  <c r="F9" s="1"/>
  <c r="G11"/>
  <c r="G9" s="1"/>
  <c r="H11"/>
  <c r="H9" s="1"/>
  <c r="I11"/>
  <c r="I9" s="1"/>
  <c r="J11"/>
  <c r="J9" s="1"/>
  <c r="K11"/>
  <c r="K9" s="1"/>
  <c r="L11"/>
  <c r="L9" s="1"/>
  <c r="M11"/>
  <c r="M9" s="1"/>
  <c r="N11"/>
  <c r="N9" s="1"/>
  <c r="O11"/>
  <c r="O9" s="1"/>
  <c r="P11"/>
  <c r="P9" s="1"/>
  <c r="Q11"/>
  <c r="Q9" s="1"/>
  <c r="R11"/>
  <c r="R9" s="1"/>
  <c r="S11"/>
  <c r="S9" s="1"/>
  <c r="T11"/>
  <c r="T9" s="1"/>
  <c r="U11"/>
  <c r="U9" s="1"/>
  <c r="V11"/>
  <c r="V9" s="1"/>
  <c r="B11"/>
  <c r="B9" s="1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</calcChain>
</file>

<file path=xl/sharedStrings.xml><?xml version="1.0" encoding="utf-8"?>
<sst xmlns="http://schemas.openxmlformats.org/spreadsheetml/2006/main" count="118" uniqueCount="105">
  <si>
    <t xml:space="preserve">މަޢުލޫމާތު ދެއްވީ: ހެލްތް ޕްރޮޓެކްޝަން އޭޖެންސީ </t>
  </si>
  <si>
    <t>2013 ,WzWdcnwa egurwvcnim Wviawfivedcnisckev  :6.10 ulwvWt</t>
  </si>
  <si>
    <t>Table 6.10: ESTIMATED IMMUNIZATION COVERAGE, 2013</t>
  </si>
  <si>
    <t>ބީ.ސީ.ޖީ</t>
  </si>
  <si>
    <t>cswnwTeT csiseTrWp WairItcpiD</t>
  </si>
  <si>
    <t>ޓެޓްނަސް ޓޮކްސައިޑް</t>
  </si>
  <si>
    <t>ހެޕަޓައިޓިސް ބީ</t>
  </si>
  <si>
    <t>ޕެންޓަވަލެންޓް ވެކްސިން</t>
  </si>
  <si>
    <t>cnisckev OailOp clwrOa</t>
  </si>
  <si>
    <t>އަތޮޅު</t>
  </si>
  <si>
    <t>މީސްލްސް</t>
  </si>
  <si>
    <t>އެމް އެމް އާރް</t>
  </si>
  <si>
    <t>uzOD (IjIsIb) cnireaug</t>
  </si>
  <si>
    <t>uzOD (ITIpID)</t>
  </si>
  <si>
    <t>uzOD (ITIT)</t>
  </si>
  <si>
    <t>uzOD (IvIpOa)</t>
  </si>
  <si>
    <t>Locality</t>
  </si>
  <si>
    <t>csclcsIm</t>
  </si>
  <si>
    <t>Bacillus Calmette–Guérin</t>
  </si>
  <si>
    <t xml:space="preserve">Diptheria Partasis Tatnus </t>
  </si>
  <si>
    <t>Tetanus Toxide</t>
  </si>
  <si>
    <t>Hepatitis B</t>
  </si>
  <si>
    <t>Pentavalent Vaccine</t>
  </si>
  <si>
    <t>Oral Polio Vaccine</t>
  </si>
  <si>
    <t xml:space="preserve">Measles </t>
  </si>
  <si>
    <t>MMR</t>
  </si>
  <si>
    <t>(DPT) Dozes</t>
  </si>
  <si>
    <t>(TT) Dozes *</t>
  </si>
  <si>
    <t>(OPV) Dozes</t>
  </si>
  <si>
    <t>(BCG) Dozes</t>
  </si>
  <si>
    <t>1st</t>
  </si>
  <si>
    <t>2nd</t>
  </si>
  <si>
    <t>3rd</t>
  </si>
  <si>
    <t>4th</t>
  </si>
  <si>
    <t>5th</t>
  </si>
  <si>
    <t>Republic</t>
  </si>
  <si>
    <t>ejcaWriLum</t>
  </si>
  <si>
    <t>Male'</t>
  </si>
  <si>
    <t>elWm</t>
  </si>
  <si>
    <t>Atolls</t>
  </si>
  <si>
    <t>cawtuLotwa</t>
  </si>
  <si>
    <t xml:space="preserve"> North Thiladhunmathi (H.A)</t>
  </si>
  <si>
    <t>ah</t>
  </si>
  <si>
    <t xml:space="preserve"> South Thiladhunmathi (H.Dh)</t>
  </si>
  <si>
    <t>dh</t>
  </si>
  <si>
    <t xml:space="preserve"> North Miladhunmadulu (Sh)</t>
  </si>
  <si>
    <t>S</t>
  </si>
  <si>
    <t xml:space="preserve"> South Miladhunmadulu (N)</t>
  </si>
  <si>
    <t>n</t>
  </si>
  <si>
    <t xml:space="preserve"> North Maalhosmadulu (R)</t>
  </si>
  <si>
    <t>r</t>
  </si>
  <si>
    <t xml:space="preserve"> South Maalhosmadulu (B)</t>
  </si>
  <si>
    <t>b</t>
  </si>
  <si>
    <t xml:space="preserve"> Faadhippolhu (Lh)</t>
  </si>
  <si>
    <t>L</t>
  </si>
  <si>
    <t xml:space="preserve"> Male' Atoll (K)</t>
  </si>
  <si>
    <t>k</t>
  </si>
  <si>
    <t xml:space="preserve"> North Ari Atoll (AA)</t>
  </si>
  <si>
    <t xml:space="preserve"> aa</t>
  </si>
  <si>
    <t xml:space="preserve"> South Ari Atoll (ADh)</t>
  </si>
  <si>
    <t>da</t>
  </si>
  <si>
    <t xml:space="preserve"> Felidhu Atoll (V)</t>
  </si>
  <si>
    <t>v</t>
  </si>
  <si>
    <t xml:space="preserve"> Mulakatholhu (M)</t>
  </si>
  <si>
    <t>m</t>
  </si>
  <si>
    <t xml:space="preserve"> North Nilandhe Atoll (F)</t>
  </si>
  <si>
    <t>f</t>
  </si>
  <si>
    <t xml:space="preserve"> South Nilandhe Atoll (D)</t>
  </si>
  <si>
    <t>d</t>
  </si>
  <si>
    <t xml:space="preserve"> Kolhumadulu (Th)</t>
  </si>
  <si>
    <t>t</t>
  </si>
  <si>
    <t xml:space="preserve"> Hadhdhunmathi (L)</t>
  </si>
  <si>
    <t>l</t>
  </si>
  <si>
    <t xml:space="preserve"> North Huvadhu Atoll (GA)</t>
  </si>
  <si>
    <t>ag</t>
  </si>
  <si>
    <t xml:space="preserve"> South Huvadhu Atoll (GDh)</t>
  </si>
  <si>
    <t>dg</t>
  </si>
  <si>
    <t xml:space="preserve"> Fuvahmulah (Gn)</t>
  </si>
  <si>
    <t>N</t>
  </si>
  <si>
    <t xml:space="preserve"> Addu Atoll (S)</t>
  </si>
  <si>
    <t>s</t>
  </si>
  <si>
    <t>Children vaccinated</t>
  </si>
  <si>
    <t>cniduk unuvedcnisckev</t>
  </si>
  <si>
    <t>Eligible children</t>
  </si>
  <si>
    <t>cniduk EhejcnEdcnisckev</t>
  </si>
  <si>
    <t>Coverage</t>
  </si>
  <si>
    <t>urwvcnim unuvedcnisckev</t>
  </si>
  <si>
    <t>* TT Dose is given to 15 - 49 yrs woman</t>
  </si>
  <si>
    <t>Note: BCG -Bacillus Climate Guerin</t>
  </si>
  <si>
    <t xml:space="preserve">           OPV - Oral Polio Vaccine</t>
  </si>
  <si>
    <t>.eveSwnunehcnwa egudemed iaWrwhwa 45 iawWrwhwa 15 Ineved czOD cDiawsckoT cswncTeT</t>
  </si>
  <si>
    <t>Estimated coverage based on data's received from atoll health facilities</t>
  </si>
  <si>
    <t xml:space="preserve">             DPT - Diptheria Partasis Tatnus</t>
  </si>
  <si>
    <t xml:space="preserve">             TT - Tetanus Toxide</t>
  </si>
  <si>
    <t>ސިއްޚީ ފަރުވާދޭ ތަންތަނުން ލިބިފައިވާ މަޢުލޫމާތަށް ބިނާކޮށް ހަދާފައިވާ އަންދާޒީއެކެވެ.</t>
  </si>
  <si>
    <r>
      <rPr>
        <b/>
        <i/>
        <sz val="10"/>
        <rFont val="Calibri"/>
        <family val="2"/>
        <scheme val="minor"/>
      </rPr>
      <t>At Birth:</t>
    </r>
    <r>
      <rPr>
        <i/>
        <sz val="10"/>
        <rFont val="Calibri"/>
        <family val="2"/>
        <scheme val="minor"/>
      </rPr>
      <t xml:space="preserve"> BCG, Hepatitis B1, OPV0       </t>
    </r>
  </si>
  <si>
    <r>
      <rPr>
        <b/>
        <i/>
        <sz val="10"/>
        <rFont val="Calibri"/>
        <family val="2"/>
        <scheme val="minor"/>
      </rPr>
      <t>2 months:</t>
    </r>
    <r>
      <rPr>
        <i/>
        <sz val="10"/>
        <rFont val="Calibri"/>
        <family val="2"/>
        <scheme val="minor"/>
      </rPr>
      <t xml:space="preserve"> OPV1, Pentavalent 1  </t>
    </r>
  </si>
  <si>
    <r>
      <rPr>
        <b/>
        <i/>
        <sz val="10"/>
        <rFont val="Calibri"/>
        <family val="2"/>
        <scheme val="minor"/>
      </rPr>
      <t>4 months:</t>
    </r>
    <r>
      <rPr>
        <i/>
        <sz val="10"/>
        <rFont val="Calibri"/>
        <family val="2"/>
        <scheme val="minor"/>
      </rPr>
      <t xml:space="preserve"> OPV2, Pentavalent 2</t>
    </r>
  </si>
  <si>
    <r>
      <rPr>
        <b/>
        <i/>
        <sz val="10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months:</t>
    </r>
    <r>
      <rPr>
        <i/>
        <sz val="10"/>
        <rFont val="Calibri"/>
        <family val="2"/>
        <scheme val="minor"/>
      </rPr>
      <t xml:space="preserve"> OPV3, Pentavalent 3</t>
    </r>
  </si>
  <si>
    <r>
      <rPr>
        <b/>
        <i/>
        <sz val="10"/>
        <rFont val="Calibri"/>
        <family val="2"/>
        <scheme val="minor"/>
      </rPr>
      <t>9 Months:</t>
    </r>
    <r>
      <rPr>
        <i/>
        <sz val="10"/>
        <rFont val="Calibri"/>
        <family val="2"/>
        <scheme val="minor"/>
      </rPr>
      <t xml:space="preserve"> Measles, Vitamin A  1</t>
    </r>
  </si>
  <si>
    <r>
      <rPr>
        <b/>
        <i/>
        <sz val="10"/>
        <rFont val="Calibri"/>
        <family val="2"/>
        <scheme val="minor"/>
      </rPr>
      <t>18 Months:</t>
    </r>
    <r>
      <rPr>
        <i/>
        <sz val="10"/>
        <rFont val="Calibri"/>
        <family val="2"/>
        <scheme val="minor"/>
      </rPr>
      <t xml:space="preserve"> Measles-Mumps-Rubella (MMR), Vitamin A 2</t>
    </r>
  </si>
  <si>
    <r>
      <rPr>
        <b/>
        <i/>
        <sz val="10"/>
        <rFont val="Calibri"/>
        <family val="2"/>
        <scheme val="minor"/>
      </rPr>
      <t>Childhood vaccine not completed:</t>
    </r>
    <r>
      <rPr>
        <i/>
        <sz val="10"/>
        <rFont val="Calibri"/>
        <family val="2"/>
        <scheme val="minor"/>
      </rPr>
      <t xml:space="preserve"> TT1st dose, TT2nd dose, TT3rd dose, TT4th dose, TT5th dose                                                                                               </t>
    </r>
  </si>
  <si>
    <r>
      <rPr>
        <b/>
        <i/>
        <sz val="10"/>
        <color theme="1"/>
        <rFont val="Times New Roman"/>
        <family val="1"/>
      </rPr>
      <t>Childhood vaccine completed:</t>
    </r>
    <r>
      <rPr>
        <i/>
        <sz val="10"/>
        <color theme="1"/>
        <rFont val="Times New Roman"/>
        <family val="1"/>
      </rPr>
      <t xml:space="preserve"> TT3rd dose, TT4th dose , TT5th dose</t>
    </r>
  </si>
  <si>
    <r>
      <rPr>
        <b/>
        <i/>
        <sz val="10"/>
        <rFont val="Calibri"/>
        <family val="2"/>
        <scheme val="minor"/>
      </rPr>
      <t>1st Pregnancy:</t>
    </r>
    <r>
      <rPr>
        <i/>
        <sz val="10"/>
        <rFont val="Calibri"/>
        <family val="2"/>
        <scheme val="minor"/>
      </rPr>
      <t xml:space="preserve"> TT1, TT2 </t>
    </r>
  </si>
  <si>
    <t>Source: Health Protection Agency / EPI program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</si>
</sst>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6" formatCode="#,##0.0"/>
    <numFmt numFmtId="167" formatCode="0.0"/>
    <numFmt numFmtId="168" formatCode="0.0%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i/>
      <sz val="10"/>
      <name val="Calibri"/>
      <family val="2"/>
      <scheme val="minor"/>
    </font>
    <font>
      <sz val="9"/>
      <name val="A_Faseyha"/>
    </font>
    <font>
      <b/>
      <sz val="10"/>
      <color theme="1"/>
      <name val="A_Faseyha"/>
    </font>
    <font>
      <b/>
      <sz val="11"/>
      <color theme="1"/>
      <name val="A_Faseyha"/>
    </font>
    <font>
      <b/>
      <sz val="11"/>
      <name val="Calibri"/>
      <family val="2"/>
      <scheme val="minor"/>
    </font>
    <font>
      <b/>
      <sz val="8"/>
      <name val="A_Ilham"/>
    </font>
    <font>
      <b/>
      <sz val="9"/>
      <name val="Faruma"/>
    </font>
    <font>
      <b/>
      <sz val="8"/>
      <name val="Faruma"/>
    </font>
    <font>
      <b/>
      <sz val="10"/>
      <name val="Faruma"/>
    </font>
    <font>
      <sz val="8"/>
      <name val="A_Huraa"/>
    </font>
    <font>
      <b/>
      <sz val="8"/>
      <name val="A_Huraa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theme="1" tint="4.9989318521683403E-2"/>
      </bottom>
      <diagonal/>
    </border>
    <border>
      <left/>
      <right/>
      <top style="thin">
        <color theme="0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 style="hair">
        <color indexed="64"/>
      </left>
      <right style="thin">
        <color theme="0"/>
      </right>
      <top/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/>
      <top style="hair">
        <color theme="1" tint="4.9989318521683403E-2"/>
      </top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theme="0"/>
      </bottom>
      <diagonal/>
    </border>
    <border>
      <left/>
      <right style="hair">
        <color indexed="64"/>
      </right>
      <top style="hair">
        <color theme="1" tint="4.9989318521683403E-2"/>
      </top>
      <bottom style="thin">
        <color theme="0"/>
      </bottom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/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164" fontId="31" fillId="0" borderId="0"/>
  </cellStyleXfs>
  <cellXfs count="156">
    <xf numFmtId="0" fontId="0" fillId="0" borderId="0" xfId="0"/>
    <xf numFmtId="164" fontId="4" fillId="2" borderId="0" xfId="3" applyNumberFormat="1" applyFont="1" applyFill="1" applyBorder="1" applyAlignment="1">
      <alignment vertical="center"/>
    </xf>
    <xf numFmtId="3" fontId="5" fillId="2" borderId="0" xfId="4" applyNumberFormat="1" applyFont="1" applyFill="1" applyBorder="1" applyAlignment="1">
      <alignment vertical="center"/>
    </xf>
    <xf numFmtId="3" fontId="12" fillId="2" borderId="8" xfId="4" applyNumberFormat="1" applyFont="1" applyFill="1" applyBorder="1" applyAlignment="1">
      <alignment vertical="center"/>
    </xf>
    <xf numFmtId="3" fontId="2" fillId="2" borderId="43" xfId="4" applyNumberFormat="1" applyFont="1" applyFill="1" applyBorder="1" applyAlignment="1" applyProtection="1">
      <alignment horizontal="center" vertical="center" wrapText="1"/>
    </xf>
    <xf numFmtId="3" fontId="2" fillId="2" borderId="44" xfId="4" applyNumberFormat="1" applyFont="1" applyFill="1" applyBorder="1" applyAlignment="1" applyProtection="1">
      <alignment horizontal="center" vertical="center" wrapText="1"/>
    </xf>
    <xf numFmtId="3" fontId="22" fillId="2" borderId="0" xfId="4" applyNumberFormat="1" applyFont="1" applyFill="1" applyBorder="1" applyAlignment="1">
      <alignment horizontal="right" vertical="center"/>
    </xf>
    <xf numFmtId="3" fontId="23" fillId="2" borderId="0" xfId="4" applyNumberFormat="1" applyFont="1" applyFill="1" applyBorder="1" applyAlignment="1">
      <alignment vertical="center"/>
    </xf>
    <xf numFmtId="3" fontId="21" fillId="2" borderId="47" xfId="4" applyNumberFormat="1" applyFont="1" applyFill="1" applyBorder="1" applyAlignment="1" applyProtection="1">
      <alignment horizontal="left" vertical="center"/>
    </xf>
    <xf numFmtId="0" fontId="6" fillId="2" borderId="47" xfId="4" applyFont="1" applyFill="1" applyBorder="1" applyAlignment="1" applyProtection="1">
      <alignment horizontal="left" vertical="center"/>
    </xf>
    <xf numFmtId="164" fontId="24" fillId="2" borderId="0" xfId="0" applyNumberFormat="1" applyFont="1" applyFill="1" applyBorder="1" applyAlignment="1">
      <alignment horizontal="right" vertical="center"/>
    </xf>
    <xf numFmtId="3" fontId="21" fillId="2" borderId="51" xfId="4" applyNumberFormat="1" applyFont="1" applyFill="1" applyBorder="1" applyAlignment="1" applyProtection="1">
      <alignment horizontal="left" vertical="center"/>
    </xf>
    <xf numFmtId="3" fontId="22" fillId="2" borderId="7" xfId="4" applyNumberFormat="1" applyFont="1" applyFill="1" applyBorder="1" applyAlignment="1">
      <alignment horizontal="right" vertical="center"/>
    </xf>
    <xf numFmtId="3" fontId="25" fillId="2" borderId="0" xfId="4" applyNumberFormat="1" applyFont="1" applyFill="1" applyBorder="1" applyAlignment="1" applyProtection="1">
      <alignment horizontal="left" vertical="center"/>
    </xf>
    <xf numFmtId="9" fontId="26" fillId="2" borderId="0" xfId="4" applyNumberFormat="1" applyFont="1" applyFill="1" applyBorder="1" applyAlignment="1">
      <alignment horizontal="center" vertical="center"/>
    </xf>
    <xf numFmtId="3" fontId="25" fillId="2" borderId="0" xfId="4" applyNumberFormat="1" applyFont="1" applyFill="1" applyBorder="1" applyAlignment="1">
      <alignment vertical="center"/>
    </xf>
    <xf numFmtId="9" fontId="26" fillId="2" borderId="0" xfId="4" applyNumberFormat="1" applyFont="1" applyFill="1" applyBorder="1" applyAlignment="1">
      <alignment horizontal="left" vertical="center"/>
    </xf>
    <xf numFmtId="168" fontId="26" fillId="2" borderId="0" xfId="4" applyNumberFormat="1" applyFont="1" applyFill="1" applyBorder="1" applyAlignment="1">
      <alignment horizontal="left" vertical="center"/>
    </xf>
    <xf numFmtId="9" fontId="16" fillId="2" borderId="0" xfId="4" applyNumberFormat="1" applyFont="1" applyFill="1" applyBorder="1" applyAlignment="1">
      <alignment horizontal="center" vertical="center"/>
    </xf>
    <xf numFmtId="168" fontId="16" fillId="2" borderId="0" xfId="4" applyNumberFormat="1" applyFont="1" applyFill="1" applyBorder="1" applyAlignment="1">
      <alignment horizontal="center" vertical="center"/>
    </xf>
    <xf numFmtId="3" fontId="11" fillId="2" borderId="0" xfId="4" applyNumberFormat="1" applyFont="1" applyFill="1" applyBorder="1" applyAlignment="1">
      <alignment horizontal="right" vertical="center"/>
    </xf>
    <xf numFmtId="3" fontId="8" fillId="2" borderId="0" xfId="4" applyNumberFormat="1" applyFont="1" applyFill="1" applyBorder="1" applyAlignment="1" applyProtection="1">
      <alignment horizontal="left" vertical="center"/>
    </xf>
    <xf numFmtId="3" fontId="25" fillId="2" borderId="0" xfId="4" applyNumberFormat="1" applyFont="1" applyFill="1" applyBorder="1" applyAlignment="1">
      <alignment horizontal="left" vertical="center"/>
    </xf>
    <xf numFmtId="3" fontId="9" fillId="2" borderId="0" xfId="4" applyNumberFormat="1" applyFont="1" applyFill="1" applyBorder="1" applyAlignment="1">
      <alignment horizontal="right" vertical="center"/>
    </xf>
    <xf numFmtId="3" fontId="9" fillId="2" borderId="0" xfId="4" applyNumberFormat="1" applyFont="1" applyFill="1" applyBorder="1" applyAlignment="1">
      <alignment vertical="center"/>
    </xf>
    <xf numFmtId="3" fontId="10" fillId="2" borderId="0" xfId="4" applyNumberFormat="1" applyFont="1" applyFill="1" applyBorder="1" applyAlignment="1">
      <alignment vertical="center"/>
    </xf>
    <xf numFmtId="3" fontId="24" fillId="2" borderId="0" xfId="4" applyNumberFormat="1" applyFont="1" applyFill="1" applyBorder="1" applyAlignment="1">
      <alignment horizontal="right" vertical="center"/>
    </xf>
    <xf numFmtId="3" fontId="7" fillId="2" borderId="0" xfId="4" applyNumberFormat="1" applyFont="1" applyFill="1" applyBorder="1" applyAlignment="1">
      <alignment vertical="center"/>
    </xf>
    <xf numFmtId="3" fontId="21" fillId="2" borderId="48" xfId="4" applyNumberFormat="1" applyFont="1" applyFill="1" applyBorder="1" applyAlignment="1" applyProtection="1">
      <alignment horizontal="right" vertical="center"/>
    </xf>
    <xf numFmtId="3" fontId="21" fillId="2" borderId="49" xfId="4" applyNumberFormat="1" applyFont="1" applyFill="1" applyBorder="1" applyAlignment="1" applyProtection="1">
      <alignment horizontal="right" vertical="center"/>
    </xf>
    <xf numFmtId="3" fontId="21" fillId="2" borderId="50" xfId="4" applyNumberFormat="1" applyFont="1" applyFill="1" applyBorder="1" applyAlignment="1" applyProtection="1">
      <alignment horizontal="right" vertical="center"/>
    </xf>
    <xf numFmtId="3" fontId="21" fillId="2" borderId="0" xfId="4" applyNumberFormat="1" applyFont="1" applyFill="1" applyBorder="1" applyAlignment="1" applyProtection="1">
      <alignment horizontal="right" vertical="center"/>
    </xf>
    <xf numFmtId="3" fontId="21" fillId="2" borderId="48" xfId="4" applyNumberFormat="1" applyFont="1" applyFill="1" applyBorder="1" applyAlignment="1">
      <alignment horizontal="right" vertical="center"/>
    </xf>
    <xf numFmtId="3" fontId="21" fillId="2" borderId="49" xfId="4" applyNumberFormat="1" applyFont="1" applyFill="1" applyBorder="1" applyAlignment="1">
      <alignment horizontal="right" vertical="center"/>
    </xf>
    <xf numFmtId="3" fontId="21" fillId="2" borderId="50" xfId="4" applyNumberFormat="1" applyFont="1" applyFill="1" applyBorder="1" applyAlignment="1">
      <alignment horizontal="right" vertical="center"/>
    </xf>
    <xf numFmtId="164" fontId="3" fillId="2" borderId="48" xfId="0" applyNumberFormat="1" applyFont="1" applyFill="1" applyBorder="1" applyAlignment="1">
      <alignment horizontal="right"/>
    </xf>
    <xf numFmtId="164" fontId="3" fillId="2" borderId="49" xfId="0" applyNumberFormat="1" applyFont="1" applyFill="1" applyBorder="1" applyAlignment="1">
      <alignment horizontal="right"/>
    </xf>
    <xf numFmtId="164" fontId="3" fillId="2" borderId="50" xfId="0" applyNumberFormat="1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right"/>
    </xf>
    <xf numFmtId="164" fontId="6" fillId="2" borderId="48" xfId="0" applyNumberFormat="1" applyFont="1" applyFill="1" applyBorder="1" applyAlignment="1">
      <alignment horizontal="right"/>
    </xf>
    <xf numFmtId="164" fontId="6" fillId="2" borderId="49" xfId="0" applyNumberFormat="1" applyFont="1" applyFill="1" applyBorder="1" applyAlignment="1">
      <alignment horizontal="right"/>
    </xf>
    <xf numFmtId="164" fontId="6" fillId="2" borderId="50" xfId="0" applyNumberFormat="1" applyFont="1" applyFill="1" applyBorder="1" applyAlignment="1">
      <alignment horizontal="right"/>
    </xf>
    <xf numFmtId="164" fontId="6" fillId="2" borderId="0" xfId="0" applyNumberFormat="1" applyFont="1" applyFill="1" applyBorder="1" applyAlignment="1">
      <alignment horizontal="right"/>
    </xf>
    <xf numFmtId="164" fontId="6" fillId="2" borderId="48" xfId="0" applyNumberFormat="1" applyFont="1" applyFill="1" applyBorder="1" applyAlignment="1">
      <alignment horizontal="right" vertical="center"/>
    </xf>
    <xf numFmtId="0" fontId="6" fillId="2" borderId="48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right" vertical="center"/>
    </xf>
    <xf numFmtId="166" fontId="21" fillId="2" borderId="52" xfId="4" applyNumberFormat="1" applyFont="1" applyFill="1" applyBorder="1" applyAlignment="1">
      <alignment horizontal="right" vertical="center"/>
    </xf>
    <xf numFmtId="166" fontId="21" fillId="2" borderId="53" xfId="4" applyNumberFormat="1" applyFont="1" applyFill="1" applyBorder="1" applyAlignment="1">
      <alignment horizontal="right" vertical="center"/>
    </xf>
    <xf numFmtId="166" fontId="21" fillId="2" borderId="7" xfId="4" applyNumberFormat="1" applyFont="1" applyFill="1" applyBorder="1" applyAlignment="1">
      <alignment horizontal="right" vertical="center"/>
    </xf>
    <xf numFmtId="167" fontId="21" fillId="2" borderId="54" xfId="2" applyNumberFormat="1" applyFont="1" applyFill="1" applyBorder="1" applyAlignment="1">
      <alignment horizontal="right" vertical="center"/>
    </xf>
    <xf numFmtId="3" fontId="2" fillId="2" borderId="55" xfId="4" applyNumberFormat="1" applyFont="1" applyFill="1" applyBorder="1" applyAlignment="1">
      <alignment vertical="center"/>
    </xf>
    <xf numFmtId="3" fontId="3" fillId="2" borderId="4" xfId="4" applyNumberFormat="1" applyFont="1" applyFill="1" applyBorder="1" applyAlignment="1">
      <alignment vertical="center"/>
    </xf>
    <xf numFmtId="3" fontId="12" fillId="2" borderId="14" xfId="4" applyNumberFormat="1" applyFont="1" applyFill="1" applyBorder="1" applyAlignment="1">
      <alignment horizontal="center" vertical="center"/>
    </xf>
    <xf numFmtId="3" fontId="12" fillId="2" borderId="22" xfId="4" applyNumberFormat="1" applyFont="1" applyFill="1" applyBorder="1" applyAlignment="1">
      <alignment horizontal="center" vertical="center"/>
    </xf>
    <xf numFmtId="3" fontId="2" fillId="2" borderId="5" xfId="4" applyNumberFormat="1" applyFont="1" applyFill="1" applyBorder="1" applyAlignment="1">
      <alignment horizontal="center" vertical="center"/>
    </xf>
    <xf numFmtId="3" fontId="2" fillId="2" borderId="56" xfId="4" applyNumberFormat="1" applyFont="1" applyFill="1" applyBorder="1" applyAlignment="1" applyProtection="1">
      <alignment horizontal="center" vertical="center" wrapText="1"/>
    </xf>
    <xf numFmtId="37" fontId="3" fillId="2" borderId="0" xfId="1" applyNumberFormat="1" applyFont="1" applyFill="1" applyBorder="1" applyAlignment="1">
      <alignment horizontal="right" vertical="center"/>
    </xf>
    <xf numFmtId="3" fontId="2" fillId="2" borderId="0" xfId="4" applyNumberFormat="1" applyFont="1" applyFill="1" applyBorder="1" applyAlignment="1">
      <alignment horizontal="right" vertical="center"/>
    </xf>
    <xf numFmtId="3" fontId="3" fillId="2" borderId="0" xfId="4" applyNumberFormat="1" applyFont="1" applyFill="1" applyBorder="1" applyAlignment="1">
      <alignment horizontal="right" vertical="center"/>
    </xf>
    <xf numFmtId="3" fontId="30" fillId="2" borderId="0" xfId="4" applyNumberFormat="1" applyFont="1" applyFill="1" applyBorder="1" applyAlignment="1">
      <alignment horizontal="right" vertical="center"/>
    </xf>
    <xf numFmtId="37" fontId="3" fillId="2" borderId="7" xfId="1" applyNumberFormat="1" applyFont="1" applyFill="1" applyBorder="1" applyAlignment="1">
      <alignment horizontal="right" vertical="center"/>
    </xf>
    <xf numFmtId="3" fontId="2" fillId="2" borderId="3" xfId="4" applyNumberFormat="1" applyFont="1" applyFill="1" applyBorder="1" applyAlignment="1" applyProtection="1">
      <alignment horizontal="center" vertical="center"/>
    </xf>
    <xf numFmtId="3" fontId="2" fillId="2" borderId="2" xfId="4" applyNumberFormat="1" applyFont="1" applyFill="1" applyBorder="1" applyAlignment="1" applyProtection="1">
      <alignment horizontal="center" vertical="center"/>
    </xf>
    <xf numFmtId="3" fontId="2" fillId="2" borderId="57" xfId="4" applyNumberFormat="1" applyFont="1" applyFill="1" applyBorder="1" applyAlignment="1" applyProtection="1">
      <alignment horizontal="center" vertical="center" wrapText="1"/>
    </xf>
    <xf numFmtId="3" fontId="2" fillId="2" borderId="5" xfId="4" applyNumberFormat="1" applyFont="1" applyFill="1" applyBorder="1" applyAlignment="1" applyProtection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3" fillId="2" borderId="2" xfId="4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3" fontId="2" fillId="2" borderId="2" xfId="4" applyNumberFormat="1" applyFont="1" applyFill="1" applyBorder="1" applyAlignment="1">
      <alignment vertical="center"/>
    </xf>
    <xf numFmtId="3" fontId="2" fillId="2" borderId="2" xfId="4" applyNumberFormat="1" applyFont="1" applyFill="1" applyBorder="1" applyAlignment="1">
      <alignment horizontal="center" vertical="center"/>
    </xf>
    <xf numFmtId="38" fontId="3" fillId="2" borderId="2" xfId="1" applyNumberFormat="1" applyFont="1" applyFill="1" applyBorder="1" applyAlignment="1">
      <alignment horizontal="center" vertical="center"/>
    </xf>
    <xf numFmtId="3" fontId="3" fillId="2" borderId="5" xfId="4" applyNumberFormat="1" applyFont="1" applyFill="1" applyBorder="1" applyAlignment="1">
      <alignment horizontal="center" vertical="center"/>
    </xf>
    <xf numFmtId="3" fontId="3" fillId="2" borderId="8" xfId="4" applyNumberFormat="1" applyFont="1" applyFill="1" applyBorder="1" applyAlignment="1">
      <alignment horizontal="center" vertical="center"/>
    </xf>
    <xf numFmtId="3" fontId="3" fillId="2" borderId="1" xfId="4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3" fontId="15" fillId="2" borderId="10" xfId="4" applyNumberFormat="1" applyFont="1" applyFill="1" applyBorder="1" applyAlignment="1" applyProtection="1">
      <alignment horizontal="left" vertical="center"/>
    </xf>
    <xf numFmtId="3" fontId="15" fillId="2" borderId="10" xfId="4" applyNumberFormat="1" applyFont="1" applyFill="1" applyBorder="1" applyAlignment="1">
      <alignment horizontal="right" vertical="center" wrapText="1"/>
    </xf>
    <xf numFmtId="3" fontId="15" fillId="2" borderId="11" xfId="4" applyNumberFormat="1" applyFont="1" applyFill="1" applyBorder="1" applyAlignment="1">
      <alignment horizontal="right" vertical="center" wrapText="1"/>
    </xf>
    <xf numFmtId="3" fontId="15" fillId="2" borderId="12" xfId="4" applyNumberFormat="1" applyFont="1" applyFill="1" applyBorder="1" applyAlignment="1">
      <alignment horizontal="center" vertical="center"/>
    </xf>
    <xf numFmtId="3" fontId="15" fillId="2" borderId="1" xfId="4" applyNumberFormat="1" applyFont="1" applyFill="1" applyBorder="1" applyAlignment="1">
      <alignment vertical="center"/>
    </xf>
    <xf numFmtId="3" fontId="19" fillId="2" borderId="17" xfId="4" applyNumberFormat="1" applyFont="1" applyFill="1" applyBorder="1" applyAlignment="1">
      <alignment vertical="center"/>
    </xf>
    <xf numFmtId="3" fontId="17" fillId="2" borderId="18" xfId="4" applyNumberFormat="1" applyFont="1" applyFill="1" applyBorder="1" applyAlignment="1">
      <alignment horizontal="center" vertical="center"/>
    </xf>
    <xf numFmtId="3" fontId="20" fillId="2" borderId="19" xfId="4" applyNumberFormat="1" applyFont="1" applyFill="1" applyBorder="1" applyAlignment="1">
      <alignment horizontal="center" vertical="center"/>
    </xf>
    <xf numFmtId="3" fontId="20" fillId="2" borderId="1" xfId="4" applyNumberFormat="1" applyFont="1" applyFill="1" applyBorder="1" applyAlignment="1">
      <alignment vertical="center"/>
    </xf>
    <xf numFmtId="3" fontId="21" fillId="2" borderId="17" xfId="4" applyNumberFormat="1" applyFont="1" applyFill="1" applyBorder="1" applyAlignment="1" applyProtection="1">
      <alignment horizontal="left" vertical="center"/>
    </xf>
    <xf numFmtId="3" fontId="20" fillId="2" borderId="17" xfId="4" applyNumberFormat="1" applyFont="1" applyFill="1" applyBorder="1" applyAlignment="1">
      <alignment horizontal="right" vertical="center"/>
    </xf>
    <xf numFmtId="3" fontId="21" fillId="2" borderId="18" xfId="4" applyNumberFormat="1" applyFont="1" applyFill="1" applyBorder="1" applyAlignment="1" applyProtection="1">
      <alignment horizontal="right" vertical="center"/>
    </xf>
    <xf numFmtId="3" fontId="21" fillId="2" borderId="1" xfId="4" applyNumberFormat="1" applyFont="1" applyFill="1" applyBorder="1" applyAlignment="1">
      <alignment vertical="center"/>
    </xf>
    <xf numFmtId="3" fontId="21" fillId="2" borderId="17" xfId="4" applyNumberFormat="1" applyFont="1" applyFill="1" applyBorder="1" applyAlignment="1" applyProtection="1">
      <alignment horizontal="right" vertical="center"/>
    </xf>
    <xf numFmtId="3" fontId="21" fillId="2" borderId="40" xfId="4" applyNumberFormat="1" applyFont="1" applyFill="1" applyBorder="1" applyAlignment="1" applyProtection="1">
      <alignment horizontal="right" vertical="center"/>
    </xf>
    <xf numFmtId="3" fontId="21" fillId="2" borderId="41" xfId="4" applyNumberFormat="1" applyFont="1" applyFill="1" applyBorder="1" applyAlignment="1" applyProtection="1">
      <alignment horizontal="right" vertical="center"/>
    </xf>
    <xf numFmtId="3" fontId="21" fillId="2" borderId="42" xfId="4" applyNumberFormat="1" applyFont="1" applyFill="1" applyBorder="1" applyAlignment="1" applyProtection="1">
      <alignment horizontal="right" vertical="center" wrapText="1"/>
    </xf>
    <xf numFmtId="3" fontId="21" fillId="2" borderId="50" xfId="4" applyNumberFormat="1" applyFont="1" applyFill="1" applyBorder="1" applyAlignment="1" applyProtection="1">
      <alignment horizontal="center" vertical="center"/>
    </xf>
    <xf numFmtId="3" fontId="21" fillId="2" borderId="50" xfId="4" applyNumberFormat="1" applyFont="1" applyFill="1" applyBorder="1" applyAlignment="1">
      <alignment horizontal="center" vertical="center"/>
    </xf>
    <xf numFmtId="3" fontId="21" fillId="2" borderId="0" xfId="4" applyNumberFormat="1" applyFont="1" applyFill="1" applyBorder="1" applyAlignment="1">
      <alignment horizontal="right" vertical="center"/>
    </xf>
    <xf numFmtId="164" fontId="3" fillId="2" borderId="50" xfId="0" applyNumberFormat="1" applyFont="1" applyFill="1" applyBorder="1" applyAlignment="1">
      <alignment horizontal="center"/>
    </xf>
    <xf numFmtId="164" fontId="6" fillId="2" borderId="50" xfId="0" applyNumberFormat="1" applyFont="1" applyFill="1" applyBorder="1" applyAlignment="1">
      <alignment horizontal="center"/>
    </xf>
    <xf numFmtId="164" fontId="6" fillId="2" borderId="50" xfId="0" applyNumberFormat="1" applyFont="1" applyFill="1" applyBorder="1" applyAlignment="1">
      <alignment horizontal="center" vertical="center"/>
    </xf>
    <xf numFmtId="167" fontId="21" fillId="2" borderId="52" xfId="2" applyNumberFormat="1" applyFont="1" applyFill="1" applyBorder="1" applyAlignment="1">
      <alignment horizontal="center" vertical="center"/>
    </xf>
    <xf numFmtId="166" fontId="21" fillId="2" borderId="54" xfId="4" applyNumberFormat="1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3" fontId="21" fillId="2" borderId="49" xfId="4" applyNumberFormat="1" applyFont="1" applyFill="1" applyBorder="1" applyAlignment="1">
      <alignment horizontal="center" vertical="center"/>
    </xf>
    <xf numFmtId="3" fontId="21" fillId="2" borderId="59" xfId="4" applyNumberFormat="1" applyFont="1" applyFill="1" applyBorder="1" applyAlignment="1">
      <alignment vertical="center"/>
    </xf>
    <xf numFmtId="3" fontId="21" fillId="2" borderId="59" xfId="4" applyNumberFormat="1" applyFont="1" applyFill="1" applyBorder="1" applyAlignment="1" applyProtection="1">
      <alignment horizontal="right" vertical="center"/>
    </xf>
    <xf numFmtId="3" fontId="21" fillId="2" borderId="60" xfId="4" applyNumberFormat="1" applyFont="1" applyFill="1" applyBorder="1" applyAlignment="1" applyProtection="1">
      <alignment horizontal="right" vertical="center"/>
    </xf>
    <xf numFmtId="3" fontId="21" fillId="2" borderId="63" xfId="4" applyNumberFormat="1" applyFont="1" applyFill="1" applyBorder="1" applyAlignment="1" applyProtection="1">
      <alignment horizontal="center" vertical="center"/>
    </xf>
    <xf numFmtId="3" fontId="21" fillId="2" borderId="43" xfId="4" applyNumberFormat="1" applyFont="1" applyFill="1" applyBorder="1" applyAlignment="1" applyProtection="1">
      <alignment horizontal="right" vertical="center"/>
    </xf>
    <xf numFmtId="3" fontId="21" fillId="2" borderId="56" xfId="4" applyNumberFormat="1" applyFont="1" applyFill="1" applyBorder="1" applyAlignment="1" applyProtection="1">
      <alignment horizontal="right" vertical="center"/>
    </xf>
    <xf numFmtId="3" fontId="21" fillId="2" borderId="44" xfId="4" applyNumberFormat="1" applyFont="1" applyFill="1" applyBorder="1" applyAlignment="1" applyProtection="1">
      <alignment horizontal="right" vertical="center" wrapText="1"/>
    </xf>
    <xf numFmtId="3" fontId="21" fillId="2" borderId="41" xfId="4" applyNumberFormat="1" applyFont="1" applyFill="1" applyBorder="1" applyAlignment="1" applyProtection="1">
      <alignment horizontal="right" vertical="center" wrapText="1"/>
    </xf>
    <xf numFmtId="3" fontId="21" fillId="2" borderId="62" xfId="4" applyNumberFormat="1" applyFont="1" applyFill="1" applyBorder="1" applyAlignment="1" applyProtection="1">
      <alignment horizontal="right" vertical="center" wrapText="1"/>
    </xf>
    <xf numFmtId="3" fontId="21" fillId="2" borderId="61" xfId="4" applyNumberFormat="1" applyFont="1" applyFill="1" applyBorder="1" applyAlignment="1" applyProtection="1">
      <alignment horizontal="right" vertical="center"/>
    </xf>
    <xf numFmtId="3" fontId="13" fillId="2" borderId="0" xfId="4" applyNumberFormat="1" applyFont="1" applyFill="1" applyBorder="1" applyAlignment="1">
      <alignment horizontal="center" vertical="center"/>
    </xf>
    <xf numFmtId="3" fontId="14" fillId="2" borderId="0" xfId="4" applyNumberFormat="1" applyFont="1" applyFill="1" applyBorder="1" applyAlignment="1" applyProtection="1">
      <alignment horizontal="center" vertical="center"/>
    </xf>
    <xf numFmtId="3" fontId="15" fillId="2" borderId="13" xfId="4" applyNumberFormat="1" applyFont="1" applyFill="1" applyBorder="1" applyAlignment="1">
      <alignment horizontal="center" vertical="center"/>
    </xf>
    <xf numFmtId="3" fontId="15" fillId="2" borderId="14" xfId="4" applyNumberFormat="1" applyFont="1" applyFill="1" applyBorder="1" applyAlignment="1">
      <alignment horizontal="center" vertical="center"/>
    </xf>
    <xf numFmtId="3" fontId="15" fillId="2" borderId="12" xfId="4" applyNumberFormat="1" applyFont="1" applyFill="1" applyBorder="1" applyAlignment="1">
      <alignment horizontal="center" vertical="center"/>
    </xf>
    <xf numFmtId="3" fontId="16" fillId="2" borderId="13" xfId="4" applyNumberFormat="1" applyFont="1" applyFill="1" applyBorder="1" applyAlignment="1">
      <alignment horizontal="center" vertical="center"/>
    </xf>
    <xf numFmtId="3" fontId="16" fillId="2" borderId="14" xfId="4" applyNumberFormat="1" applyFont="1" applyFill="1" applyBorder="1" applyAlignment="1">
      <alignment horizontal="center" vertical="center"/>
    </xf>
    <xf numFmtId="3" fontId="16" fillId="2" borderId="12" xfId="4" applyNumberFormat="1" applyFont="1" applyFill="1" applyBorder="1" applyAlignment="1">
      <alignment horizontal="center" vertical="center"/>
    </xf>
    <xf numFmtId="3" fontId="17" fillId="2" borderId="15" xfId="4" applyNumberFormat="1" applyFont="1" applyFill="1" applyBorder="1" applyAlignment="1">
      <alignment horizontal="center" vertical="center"/>
    </xf>
    <xf numFmtId="3" fontId="17" fillId="2" borderId="6" xfId="4" applyNumberFormat="1" applyFont="1" applyFill="1" applyBorder="1" applyAlignment="1">
      <alignment horizontal="center" vertical="center"/>
    </xf>
    <xf numFmtId="3" fontId="17" fillId="2" borderId="24" xfId="4" applyNumberFormat="1" applyFont="1" applyFill="1" applyBorder="1" applyAlignment="1">
      <alignment horizontal="center" vertical="center"/>
    </xf>
    <xf numFmtId="3" fontId="17" fillId="2" borderId="9" xfId="4" applyNumberFormat="1" applyFont="1" applyFill="1" applyBorder="1" applyAlignment="1">
      <alignment horizontal="center" vertical="center"/>
    </xf>
    <xf numFmtId="3" fontId="17" fillId="2" borderId="46" xfId="4" applyNumberFormat="1" applyFont="1" applyFill="1" applyBorder="1" applyAlignment="1">
      <alignment horizontal="center" vertical="center"/>
    </xf>
    <xf numFmtId="3" fontId="17" fillId="2" borderId="58" xfId="4" applyNumberFormat="1" applyFont="1" applyFill="1" applyBorder="1" applyAlignment="1">
      <alignment horizontal="center" vertical="center"/>
    </xf>
    <xf numFmtId="3" fontId="18" fillId="2" borderId="16" xfId="4" applyNumberFormat="1" applyFont="1" applyFill="1" applyBorder="1" applyAlignment="1">
      <alignment horizontal="right" vertical="center"/>
    </xf>
    <xf numFmtId="3" fontId="18" fillId="2" borderId="25" xfId="4" applyNumberFormat="1" applyFont="1" applyFill="1" applyBorder="1" applyAlignment="1">
      <alignment horizontal="right" vertical="center"/>
    </xf>
    <xf numFmtId="3" fontId="18" fillId="2" borderId="45" xfId="4" applyNumberFormat="1" applyFont="1" applyFill="1" applyBorder="1" applyAlignment="1">
      <alignment horizontal="right" vertical="center"/>
    </xf>
    <xf numFmtId="3" fontId="20" fillId="2" borderId="20" xfId="4" applyNumberFormat="1" applyFont="1" applyFill="1" applyBorder="1" applyAlignment="1">
      <alignment horizontal="center" vertical="center"/>
    </xf>
    <xf numFmtId="3" fontId="20" fillId="2" borderId="2" xfId="4" applyNumberFormat="1" applyFont="1" applyFill="1" applyBorder="1" applyAlignment="1">
      <alignment horizontal="center" vertical="center"/>
    </xf>
    <xf numFmtId="3" fontId="20" fillId="2" borderId="19" xfId="4" applyNumberFormat="1" applyFont="1" applyFill="1" applyBorder="1" applyAlignment="1">
      <alignment horizontal="center" vertical="center"/>
    </xf>
    <xf numFmtId="3" fontId="20" fillId="2" borderId="21" xfId="4" applyNumberFormat="1" applyFont="1" applyFill="1" applyBorder="1" applyAlignment="1">
      <alignment horizontal="center" vertical="center"/>
    </xf>
    <xf numFmtId="3" fontId="20" fillId="2" borderId="22" xfId="4" applyNumberFormat="1" applyFont="1" applyFill="1" applyBorder="1" applyAlignment="1">
      <alignment horizontal="center" vertical="center"/>
    </xf>
    <xf numFmtId="3" fontId="20" fillId="2" borderId="23" xfId="4" applyNumberFormat="1" applyFont="1" applyFill="1" applyBorder="1" applyAlignment="1">
      <alignment horizontal="center" vertical="center"/>
    </xf>
    <xf numFmtId="3" fontId="21" fillId="2" borderId="26" xfId="4" applyNumberFormat="1" applyFont="1" applyFill="1" applyBorder="1" applyAlignment="1" applyProtection="1">
      <alignment horizontal="center" vertical="center" wrapText="1"/>
    </xf>
    <xf numFmtId="3" fontId="21" fillId="2" borderId="33" xfId="4" applyNumberFormat="1" applyFont="1" applyFill="1" applyBorder="1" applyAlignment="1" applyProtection="1">
      <alignment horizontal="center" vertical="center" wrapText="1"/>
    </xf>
    <xf numFmtId="3" fontId="21" fillId="2" borderId="20" xfId="4" applyNumberFormat="1" applyFont="1" applyFill="1" applyBorder="1" applyAlignment="1" applyProtection="1">
      <alignment horizontal="center" vertical="center"/>
    </xf>
    <xf numFmtId="3" fontId="21" fillId="2" borderId="2" xfId="4" applyNumberFormat="1" applyFont="1" applyFill="1" applyBorder="1" applyAlignment="1" applyProtection="1">
      <alignment horizontal="center" vertical="center"/>
    </xf>
    <xf numFmtId="3" fontId="21" fillId="2" borderId="19" xfId="4" applyNumberFormat="1" applyFont="1" applyFill="1" applyBorder="1" applyAlignment="1" applyProtection="1">
      <alignment horizontal="center" vertical="center"/>
    </xf>
    <xf numFmtId="3" fontId="21" fillId="2" borderId="27" xfId="4" applyNumberFormat="1" applyFont="1" applyFill="1" applyBorder="1" applyAlignment="1" applyProtection="1">
      <alignment horizontal="center" vertical="center"/>
    </xf>
    <xf numFmtId="3" fontId="21" fillId="2" borderId="28" xfId="4" applyNumberFormat="1" applyFont="1" applyFill="1" applyBorder="1" applyAlignment="1" applyProtection="1">
      <alignment horizontal="center" vertical="center"/>
    </xf>
    <xf numFmtId="3" fontId="21" fillId="2" borderId="29" xfId="4" applyNumberFormat="1" applyFont="1" applyFill="1" applyBorder="1" applyAlignment="1" applyProtection="1">
      <alignment horizontal="center" vertical="center"/>
    </xf>
    <xf numFmtId="3" fontId="21" fillId="2" borderId="30" xfId="4" applyNumberFormat="1" applyFont="1" applyFill="1" applyBorder="1" applyAlignment="1" applyProtection="1">
      <alignment horizontal="center" vertical="center"/>
    </xf>
    <xf numFmtId="3" fontId="21" fillId="2" borderId="31" xfId="4" applyNumberFormat="1" applyFont="1" applyFill="1" applyBorder="1" applyAlignment="1" applyProtection="1">
      <alignment horizontal="center" vertical="center"/>
    </xf>
    <xf numFmtId="3" fontId="21" fillId="2" borderId="37" xfId="4" applyNumberFormat="1" applyFont="1" applyFill="1" applyBorder="1" applyAlignment="1" applyProtection="1">
      <alignment horizontal="center" vertical="center"/>
    </xf>
    <xf numFmtId="3" fontId="21" fillId="2" borderId="38" xfId="4" applyNumberFormat="1" applyFont="1" applyFill="1" applyBorder="1" applyAlignment="1" applyProtection="1">
      <alignment horizontal="center" vertical="center"/>
    </xf>
    <xf numFmtId="3" fontId="2" fillId="2" borderId="30" xfId="4" applyNumberFormat="1" applyFont="1" applyFill="1" applyBorder="1" applyAlignment="1">
      <alignment horizontal="center" vertical="center"/>
    </xf>
    <xf numFmtId="3" fontId="2" fillId="2" borderId="31" xfId="4" applyNumberFormat="1" applyFont="1" applyFill="1" applyBorder="1" applyAlignment="1">
      <alignment horizontal="center" vertical="center"/>
    </xf>
    <xf numFmtId="3" fontId="2" fillId="2" borderId="32" xfId="4" applyNumberFormat="1" applyFont="1" applyFill="1" applyBorder="1" applyAlignment="1">
      <alignment horizontal="center" vertical="center"/>
    </xf>
    <xf numFmtId="3" fontId="2" fillId="2" borderId="37" xfId="4" applyNumberFormat="1" applyFont="1" applyFill="1" applyBorder="1" applyAlignment="1">
      <alignment horizontal="center" vertical="center"/>
    </xf>
    <xf numFmtId="3" fontId="2" fillId="2" borderId="38" xfId="4" applyNumberFormat="1" applyFont="1" applyFill="1" applyBorder="1" applyAlignment="1">
      <alignment horizontal="center" vertical="center"/>
    </xf>
    <xf numFmtId="3" fontId="2" fillId="2" borderId="39" xfId="4" applyNumberFormat="1" applyFont="1" applyFill="1" applyBorder="1" applyAlignment="1">
      <alignment horizontal="center" vertical="center"/>
    </xf>
    <xf numFmtId="3" fontId="21" fillId="2" borderId="34" xfId="4" applyNumberFormat="1" applyFont="1" applyFill="1" applyBorder="1" applyAlignment="1" applyProtection="1">
      <alignment horizontal="center" vertical="center"/>
    </xf>
    <xf numFmtId="3" fontId="21" fillId="2" borderId="35" xfId="4" applyNumberFormat="1" applyFont="1" applyFill="1" applyBorder="1" applyAlignment="1" applyProtection="1">
      <alignment horizontal="center" vertical="center"/>
    </xf>
    <xf numFmtId="3" fontId="21" fillId="2" borderId="36" xfId="4" applyNumberFormat="1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 2" xfId="3"/>
    <cellStyle name="Normal 9" xfId="5"/>
    <cellStyle name="Normal_immunization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W378"/>
  <sheetViews>
    <sheetView tabSelected="1" workbookViewId="0">
      <selection activeCell="B10" sqref="B10:B11"/>
    </sheetView>
  </sheetViews>
  <sheetFormatPr defaultColWidth="11.109375" defaultRowHeight="18.600000000000001"/>
  <cols>
    <col min="1" max="1" width="24.5546875" style="2" customWidth="1"/>
    <col min="2" max="2" width="9.5546875" style="27" customWidth="1"/>
    <col min="3" max="3" width="9.88671875" style="27" customWidth="1"/>
    <col min="4" max="4" width="16.6640625" style="27" customWidth="1"/>
    <col min="5" max="5" width="10.33203125" style="27" customWidth="1"/>
    <col min="6" max="6" width="11.33203125" style="27" customWidth="1"/>
    <col min="7" max="7" width="8.88671875" style="27" customWidth="1"/>
    <col min="8" max="12" width="7.88671875" style="27" customWidth="1"/>
    <col min="13" max="15" width="8.5546875" style="27" customWidth="1"/>
    <col min="16" max="16" width="8.6640625" style="73" customWidth="1"/>
    <col min="17" max="18" width="7.5546875" style="73" customWidth="1"/>
    <col min="19" max="22" width="9.44140625" style="27" customWidth="1"/>
    <col min="23" max="23" width="19.5546875" style="27" customWidth="1"/>
    <col min="24" max="16384" width="11.109375" style="2"/>
  </cols>
  <sheetData>
    <row r="1" spans="1:23" ht="16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2"/>
      <c r="T1" s="2"/>
      <c r="U1" s="2"/>
      <c r="V1" s="2"/>
      <c r="W1" s="2"/>
    </row>
    <row r="2" spans="1:23" ht="17.25" customHeight="1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 spans="1:23" ht="22.5" customHeight="1">
      <c r="A3" s="113" t="s">
        <v>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</row>
    <row r="4" spans="1:23" s="79" customFormat="1" ht="15" customHeight="1">
      <c r="A4" s="75"/>
      <c r="B4" s="76"/>
      <c r="C4" s="77"/>
      <c r="D4" s="78" t="s">
        <v>3</v>
      </c>
      <c r="E4" s="114" t="s">
        <v>4</v>
      </c>
      <c r="F4" s="115"/>
      <c r="G4" s="116"/>
      <c r="H4" s="117" t="s">
        <v>5</v>
      </c>
      <c r="I4" s="118"/>
      <c r="J4" s="118"/>
      <c r="K4" s="118"/>
      <c r="L4" s="119"/>
      <c r="M4" s="120" t="s">
        <v>6</v>
      </c>
      <c r="N4" s="121"/>
      <c r="O4" s="121"/>
      <c r="P4" s="120" t="s">
        <v>7</v>
      </c>
      <c r="Q4" s="121"/>
      <c r="R4" s="124"/>
      <c r="S4" s="115" t="s">
        <v>8</v>
      </c>
      <c r="T4" s="115"/>
      <c r="U4" s="115"/>
      <c r="V4" s="116"/>
      <c r="W4" s="126" t="s">
        <v>9</v>
      </c>
    </row>
    <row r="5" spans="1:23" s="83" customFormat="1" ht="15" customHeight="1">
      <c r="A5" s="80"/>
      <c r="B5" s="81" t="s">
        <v>10</v>
      </c>
      <c r="C5" s="81" t="s">
        <v>11</v>
      </c>
      <c r="D5" s="82" t="s">
        <v>12</v>
      </c>
      <c r="E5" s="129" t="s">
        <v>13</v>
      </c>
      <c r="F5" s="130"/>
      <c r="G5" s="131"/>
      <c r="H5" s="132" t="s">
        <v>14</v>
      </c>
      <c r="I5" s="133"/>
      <c r="J5" s="133"/>
      <c r="K5" s="133"/>
      <c r="L5" s="134"/>
      <c r="M5" s="122"/>
      <c r="N5" s="123"/>
      <c r="O5" s="123"/>
      <c r="P5" s="122"/>
      <c r="Q5" s="123"/>
      <c r="R5" s="125"/>
      <c r="S5" s="133" t="s">
        <v>15</v>
      </c>
      <c r="T5" s="133"/>
      <c r="U5" s="133"/>
      <c r="V5" s="134"/>
      <c r="W5" s="127"/>
    </row>
    <row r="6" spans="1:23" s="87" customFormat="1" ht="15" customHeight="1">
      <c r="A6" s="84" t="s">
        <v>16</v>
      </c>
      <c r="B6" s="85" t="s">
        <v>17</v>
      </c>
      <c r="C6" s="86"/>
      <c r="D6" s="135" t="s">
        <v>18</v>
      </c>
      <c r="E6" s="137" t="s">
        <v>19</v>
      </c>
      <c r="F6" s="138"/>
      <c r="G6" s="139"/>
      <c r="H6" s="140" t="s">
        <v>20</v>
      </c>
      <c r="I6" s="141"/>
      <c r="J6" s="141"/>
      <c r="K6" s="141"/>
      <c r="L6" s="142"/>
      <c r="M6" s="143" t="s">
        <v>21</v>
      </c>
      <c r="N6" s="144"/>
      <c r="O6" s="144"/>
      <c r="P6" s="147" t="s">
        <v>22</v>
      </c>
      <c r="Q6" s="148"/>
      <c r="R6" s="149"/>
      <c r="S6" s="141" t="s">
        <v>23</v>
      </c>
      <c r="T6" s="141"/>
      <c r="U6" s="141"/>
      <c r="V6" s="142"/>
      <c r="W6" s="127"/>
    </row>
    <row r="7" spans="1:23" s="87" customFormat="1" ht="15" customHeight="1">
      <c r="A7" s="84"/>
      <c r="B7" s="88" t="s">
        <v>24</v>
      </c>
      <c r="C7" s="86" t="s">
        <v>25</v>
      </c>
      <c r="D7" s="136"/>
      <c r="E7" s="153" t="s">
        <v>26</v>
      </c>
      <c r="F7" s="154"/>
      <c r="G7" s="155"/>
      <c r="H7" s="153" t="s">
        <v>27</v>
      </c>
      <c r="I7" s="154"/>
      <c r="J7" s="154"/>
      <c r="K7" s="154"/>
      <c r="L7" s="155"/>
      <c r="M7" s="145"/>
      <c r="N7" s="146"/>
      <c r="O7" s="146"/>
      <c r="P7" s="150"/>
      <c r="Q7" s="151"/>
      <c r="R7" s="152"/>
      <c r="S7" s="154" t="s">
        <v>28</v>
      </c>
      <c r="T7" s="154"/>
      <c r="U7" s="154"/>
      <c r="V7" s="155"/>
      <c r="W7" s="127"/>
    </row>
    <row r="8" spans="1:23" s="87" customFormat="1" ht="13.8">
      <c r="A8" s="102"/>
      <c r="B8" s="103"/>
      <c r="C8" s="104"/>
      <c r="D8" s="105" t="s">
        <v>29</v>
      </c>
      <c r="E8" s="106" t="s">
        <v>30</v>
      </c>
      <c r="F8" s="107" t="s">
        <v>31</v>
      </c>
      <c r="G8" s="108" t="s">
        <v>32</v>
      </c>
      <c r="H8" s="89" t="s">
        <v>30</v>
      </c>
      <c r="I8" s="90" t="s">
        <v>31</v>
      </c>
      <c r="J8" s="109" t="s">
        <v>32</v>
      </c>
      <c r="K8" s="109" t="s">
        <v>33</v>
      </c>
      <c r="L8" s="110" t="s">
        <v>34</v>
      </c>
      <c r="M8" s="89" t="s">
        <v>30</v>
      </c>
      <c r="N8" s="90" t="s">
        <v>31</v>
      </c>
      <c r="O8" s="91" t="s">
        <v>32</v>
      </c>
      <c r="P8" s="4" t="s">
        <v>30</v>
      </c>
      <c r="Q8" s="55" t="s">
        <v>31</v>
      </c>
      <c r="R8" s="5" t="s">
        <v>32</v>
      </c>
      <c r="S8" s="111" t="s">
        <v>30</v>
      </c>
      <c r="T8" s="90" t="s">
        <v>31</v>
      </c>
      <c r="U8" s="109" t="s">
        <v>32</v>
      </c>
      <c r="V8" s="110" t="s">
        <v>33</v>
      </c>
      <c r="W8" s="128"/>
    </row>
    <row r="9" spans="1:23" s="7" customFormat="1" ht="23.25" customHeight="1">
      <c r="A9" s="8" t="s">
        <v>35</v>
      </c>
      <c r="B9" s="32">
        <f>B10+B11</f>
        <v>7897</v>
      </c>
      <c r="C9" s="33">
        <f t="shared" ref="C9:V9" si="0">C10+C11</f>
        <v>8041</v>
      </c>
      <c r="D9" s="101">
        <f>D10+D11</f>
        <v>6780</v>
      </c>
      <c r="E9" s="94">
        <f>E10+E11</f>
        <v>1139</v>
      </c>
      <c r="F9" s="94">
        <f t="shared" si="0"/>
        <v>1590</v>
      </c>
      <c r="G9" s="94">
        <f t="shared" si="0"/>
        <v>2162</v>
      </c>
      <c r="H9" s="32">
        <f t="shared" si="0"/>
        <v>3633</v>
      </c>
      <c r="I9" s="94">
        <f t="shared" si="0"/>
        <v>2121</v>
      </c>
      <c r="J9" s="94">
        <f t="shared" si="0"/>
        <v>1460</v>
      </c>
      <c r="K9" s="94">
        <f t="shared" si="0"/>
        <v>1304</v>
      </c>
      <c r="L9" s="34">
        <f t="shared" si="0"/>
        <v>1263</v>
      </c>
      <c r="M9" s="94">
        <f t="shared" si="0"/>
        <v>6974</v>
      </c>
      <c r="N9" s="94">
        <f t="shared" si="0"/>
        <v>1309</v>
      </c>
      <c r="O9" s="94">
        <f t="shared" si="0"/>
        <v>1707</v>
      </c>
      <c r="P9" s="32">
        <f t="shared" si="0"/>
        <v>5996</v>
      </c>
      <c r="Q9" s="94">
        <f t="shared" si="0"/>
        <v>4875</v>
      </c>
      <c r="R9" s="34">
        <f t="shared" si="0"/>
        <v>3593</v>
      </c>
      <c r="S9" s="94">
        <f t="shared" si="0"/>
        <v>6924</v>
      </c>
      <c r="T9" s="94">
        <f t="shared" si="0"/>
        <v>6767</v>
      </c>
      <c r="U9" s="94">
        <f t="shared" si="0"/>
        <v>6232</v>
      </c>
      <c r="V9" s="34">
        <f t="shared" si="0"/>
        <v>5705</v>
      </c>
      <c r="W9" s="6" t="s">
        <v>36</v>
      </c>
    </row>
    <row r="10" spans="1:23" s="7" customFormat="1" ht="23.25" customHeight="1">
      <c r="A10" s="8" t="s">
        <v>37</v>
      </c>
      <c r="B10" s="28">
        <v>3227</v>
      </c>
      <c r="C10" s="29">
        <v>3510</v>
      </c>
      <c r="D10" s="92">
        <v>4414</v>
      </c>
      <c r="E10" s="28">
        <v>345</v>
      </c>
      <c r="F10" s="31">
        <v>436</v>
      </c>
      <c r="G10" s="30">
        <v>607</v>
      </c>
      <c r="H10" s="28">
        <v>1764</v>
      </c>
      <c r="I10" s="31">
        <v>854</v>
      </c>
      <c r="J10" s="31">
        <v>76</v>
      </c>
      <c r="K10" s="31">
        <v>0</v>
      </c>
      <c r="L10" s="30">
        <v>0</v>
      </c>
      <c r="M10" s="31">
        <v>4593</v>
      </c>
      <c r="N10" s="31">
        <v>384</v>
      </c>
      <c r="O10" s="31">
        <v>473</v>
      </c>
      <c r="P10" s="28">
        <v>2631</v>
      </c>
      <c r="Q10" s="31">
        <v>2101</v>
      </c>
      <c r="R10" s="30">
        <v>1626</v>
      </c>
      <c r="S10" s="31">
        <v>4458</v>
      </c>
      <c r="T10" s="31">
        <v>2913</v>
      </c>
      <c r="U10" s="31">
        <v>2476</v>
      </c>
      <c r="V10" s="30">
        <v>2283</v>
      </c>
      <c r="W10" s="6" t="s">
        <v>38</v>
      </c>
    </row>
    <row r="11" spans="1:23" s="7" customFormat="1" ht="23.25" customHeight="1">
      <c r="A11" s="8" t="s">
        <v>39</v>
      </c>
      <c r="B11" s="32">
        <f>SUM(B12:B31)</f>
        <v>4670</v>
      </c>
      <c r="C11" s="33">
        <f t="shared" ref="C11:V11" si="1">SUM(C12:C31)</f>
        <v>4531</v>
      </c>
      <c r="D11" s="101">
        <f t="shared" si="1"/>
        <v>2366</v>
      </c>
      <c r="E11" s="94">
        <f t="shared" si="1"/>
        <v>794</v>
      </c>
      <c r="F11" s="94">
        <f t="shared" si="1"/>
        <v>1154</v>
      </c>
      <c r="G11" s="94">
        <f t="shared" si="1"/>
        <v>1555</v>
      </c>
      <c r="H11" s="32">
        <f t="shared" si="1"/>
        <v>1869</v>
      </c>
      <c r="I11" s="94">
        <f t="shared" si="1"/>
        <v>1267</v>
      </c>
      <c r="J11" s="94">
        <f t="shared" si="1"/>
        <v>1384</v>
      </c>
      <c r="K11" s="94">
        <f t="shared" si="1"/>
        <v>1304</v>
      </c>
      <c r="L11" s="34">
        <f t="shared" si="1"/>
        <v>1263</v>
      </c>
      <c r="M11" s="94">
        <f t="shared" si="1"/>
        <v>2381</v>
      </c>
      <c r="N11" s="94">
        <f t="shared" si="1"/>
        <v>925</v>
      </c>
      <c r="O11" s="94">
        <f t="shared" si="1"/>
        <v>1234</v>
      </c>
      <c r="P11" s="32">
        <f t="shared" si="1"/>
        <v>3365</v>
      </c>
      <c r="Q11" s="94">
        <f t="shared" si="1"/>
        <v>2774</v>
      </c>
      <c r="R11" s="34">
        <f t="shared" si="1"/>
        <v>1967</v>
      </c>
      <c r="S11" s="94">
        <f t="shared" si="1"/>
        <v>2466</v>
      </c>
      <c r="T11" s="94">
        <f t="shared" si="1"/>
        <v>3854</v>
      </c>
      <c r="U11" s="94">
        <f t="shared" si="1"/>
        <v>3756</v>
      </c>
      <c r="V11" s="34">
        <f t="shared" si="1"/>
        <v>3422</v>
      </c>
      <c r="W11" s="6" t="s">
        <v>40</v>
      </c>
    </row>
    <row r="12" spans="1:23" ht="23.25" customHeight="1">
      <c r="A12" s="9" t="s">
        <v>41</v>
      </c>
      <c r="B12" s="35">
        <v>303</v>
      </c>
      <c r="C12" s="36">
        <v>309</v>
      </c>
      <c r="D12" s="95">
        <v>99</v>
      </c>
      <c r="E12" s="35">
        <v>88</v>
      </c>
      <c r="F12" s="38">
        <v>107</v>
      </c>
      <c r="G12" s="37">
        <v>134</v>
      </c>
      <c r="H12" s="35">
        <v>166</v>
      </c>
      <c r="I12" s="38">
        <v>159</v>
      </c>
      <c r="J12" s="38">
        <v>129</v>
      </c>
      <c r="K12" s="38">
        <v>176</v>
      </c>
      <c r="L12" s="38">
        <v>128</v>
      </c>
      <c r="M12" s="35">
        <v>90</v>
      </c>
      <c r="N12" s="38">
        <v>83</v>
      </c>
      <c r="O12" s="38">
        <v>112</v>
      </c>
      <c r="P12" s="35">
        <v>227</v>
      </c>
      <c r="Q12" s="38">
        <v>166</v>
      </c>
      <c r="R12" s="37">
        <v>127</v>
      </c>
      <c r="S12" s="38">
        <v>105</v>
      </c>
      <c r="T12" s="38">
        <v>301</v>
      </c>
      <c r="U12" s="38">
        <v>270</v>
      </c>
      <c r="V12" s="37">
        <v>241</v>
      </c>
      <c r="W12" s="10" t="s">
        <v>42</v>
      </c>
    </row>
    <row r="13" spans="1:23" ht="23.25" customHeight="1">
      <c r="A13" s="9" t="s">
        <v>43</v>
      </c>
      <c r="B13" s="39">
        <v>516</v>
      </c>
      <c r="C13" s="40">
        <v>529</v>
      </c>
      <c r="D13" s="96">
        <v>617</v>
      </c>
      <c r="E13" s="39">
        <v>58</v>
      </c>
      <c r="F13" s="42">
        <v>112</v>
      </c>
      <c r="G13" s="41">
        <v>148</v>
      </c>
      <c r="H13" s="39">
        <v>320</v>
      </c>
      <c r="I13" s="42">
        <v>156</v>
      </c>
      <c r="J13" s="42">
        <v>151</v>
      </c>
      <c r="K13" s="42">
        <v>206</v>
      </c>
      <c r="L13" s="42">
        <v>176</v>
      </c>
      <c r="M13" s="39">
        <v>626</v>
      </c>
      <c r="N13" s="42">
        <v>54</v>
      </c>
      <c r="O13" s="42">
        <v>98</v>
      </c>
      <c r="P13" s="39">
        <v>418</v>
      </c>
      <c r="Q13" s="42">
        <v>342</v>
      </c>
      <c r="R13" s="41">
        <v>216</v>
      </c>
      <c r="S13" s="42">
        <v>614</v>
      </c>
      <c r="T13" s="42">
        <v>433</v>
      </c>
      <c r="U13" s="42">
        <v>424</v>
      </c>
      <c r="V13" s="41">
        <v>386</v>
      </c>
      <c r="W13" s="10" t="s">
        <v>44</v>
      </c>
    </row>
    <row r="14" spans="1:23" ht="23.25" customHeight="1">
      <c r="A14" s="9" t="s">
        <v>45</v>
      </c>
      <c r="B14" s="39">
        <v>296</v>
      </c>
      <c r="C14" s="40">
        <v>335</v>
      </c>
      <c r="D14" s="96">
        <v>33</v>
      </c>
      <c r="E14" s="39">
        <v>39</v>
      </c>
      <c r="F14" s="42">
        <v>55</v>
      </c>
      <c r="G14" s="41">
        <v>78</v>
      </c>
      <c r="H14" s="39">
        <v>1</v>
      </c>
      <c r="I14" s="42">
        <v>11</v>
      </c>
      <c r="J14" s="42">
        <v>124</v>
      </c>
      <c r="K14" s="42">
        <v>126</v>
      </c>
      <c r="L14" s="42">
        <v>117</v>
      </c>
      <c r="M14" s="39">
        <v>37</v>
      </c>
      <c r="N14" s="42">
        <v>42</v>
      </c>
      <c r="O14" s="42">
        <v>55</v>
      </c>
      <c r="P14" s="39">
        <v>232</v>
      </c>
      <c r="Q14" s="42">
        <v>202</v>
      </c>
      <c r="R14" s="41">
        <v>131</v>
      </c>
      <c r="S14" s="42">
        <v>30</v>
      </c>
      <c r="T14" s="42">
        <v>275</v>
      </c>
      <c r="U14" s="42">
        <v>265</v>
      </c>
      <c r="V14" s="41">
        <v>207</v>
      </c>
      <c r="W14" s="10" t="s">
        <v>46</v>
      </c>
    </row>
    <row r="15" spans="1:23" ht="23.25" customHeight="1">
      <c r="A15" s="9" t="s">
        <v>47</v>
      </c>
      <c r="B15" s="39">
        <v>298</v>
      </c>
      <c r="C15" s="40">
        <v>255</v>
      </c>
      <c r="D15" s="96">
        <v>35</v>
      </c>
      <c r="E15" s="39">
        <v>54</v>
      </c>
      <c r="F15" s="42">
        <v>69</v>
      </c>
      <c r="G15" s="41">
        <v>117</v>
      </c>
      <c r="H15" s="39">
        <v>47</v>
      </c>
      <c r="I15" s="42">
        <v>39</v>
      </c>
      <c r="J15" s="42">
        <v>75</v>
      </c>
      <c r="K15" s="42">
        <v>50</v>
      </c>
      <c r="L15" s="42">
        <v>71</v>
      </c>
      <c r="M15" s="39">
        <v>49</v>
      </c>
      <c r="N15" s="42">
        <v>54</v>
      </c>
      <c r="O15" s="42">
        <v>57</v>
      </c>
      <c r="P15" s="39">
        <v>181</v>
      </c>
      <c r="Q15" s="42">
        <v>165</v>
      </c>
      <c r="R15" s="41">
        <v>101</v>
      </c>
      <c r="S15" s="42">
        <v>44</v>
      </c>
      <c r="T15" s="42">
        <v>220</v>
      </c>
      <c r="U15" s="42">
        <v>183</v>
      </c>
      <c r="V15" s="41">
        <v>200</v>
      </c>
      <c r="W15" s="10" t="s">
        <v>48</v>
      </c>
    </row>
    <row r="16" spans="1:23" ht="23.25" customHeight="1">
      <c r="A16" s="9" t="s">
        <v>49</v>
      </c>
      <c r="B16" s="39">
        <v>393</v>
      </c>
      <c r="C16" s="40">
        <v>433</v>
      </c>
      <c r="D16" s="96">
        <v>218</v>
      </c>
      <c r="E16" s="39">
        <v>74</v>
      </c>
      <c r="F16" s="42">
        <v>97</v>
      </c>
      <c r="G16" s="41">
        <v>145</v>
      </c>
      <c r="H16" s="39">
        <v>274</v>
      </c>
      <c r="I16" s="42">
        <v>170</v>
      </c>
      <c r="J16" s="42">
        <v>146</v>
      </c>
      <c r="K16" s="42">
        <v>122</v>
      </c>
      <c r="L16" s="42">
        <v>158</v>
      </c>
      <c r="M16" s="39">
        <v>226</v>
      </c>
      <c r="N16" s="42">
        <v>69</v>
      </c>
      <c r="O16" s="42">
        <v>97</v>
      </c>
      <c r="P16" s="39">
        <v>300</v>
      </c>
      <c r="Q16" s="42">
        <v>254</v>
      </c>
      <c r="R16" s="41">
        <v>213</v>
      </c>
      <c r="S16" s="42">
        <v>222</v>
      </c>
      <c r="T16" s="42">
        <v>310</v>
      </c>
      <c r="U16" s="42">
        <v>339</v>
      </c>
      <c r="V16" s="41">
        <v>321</v>
      </c>
      <c r="W16" s="10" t="s">
        <v>50</v>
      </c>
    </row>
    <row r="17" spans="1:23" ht="23.25" customHeight="1">
      <c r="A17" s="9" t="s">
        <v>51</v>
      </c>
      <c r="B17" s="39">
        <v>211</v>
      </c>
      <c r="C17" s="40">
        <v>210</v>
      </c>
      <c r="D17" s="96">
        <v>119</v>
      </c>
      <c r="E17" s="39">
        <v>25</v>
      </c>
      <c r="F17" s="42">
        <v>37</v>
      </c>
      <c r="G17" s="41">
        <v>64</v>
      </c>
      <c r="H17" s="39">
        <v>22</v>
      </c>
      <c r="I17" s="42">
        <v>18</v>
      </c>
      <c r="J17" s="42">
        <v>107</v>
      </c>
      <c r="K17" s="42">
        <v>88</v>
      </c>
      <c r="L17" s="42">
        <v>106</v>
      </c>
      <c r="M17" s="39">
        <v>122</v>
      </c>
      <c r="N17" s="42">
        <v>26</v>
      </c>
      <c r="O17" s="42">
        <v>38</v>
      </c>
      <c r="P17" s="39">
        <v>163</v>
      </c>
      <c r="Q17" s="42">
        <v>136</v>
      </c>
      <c r="R17" s="41">
        <v>105</v>
      </c>
      <c r="S17" s="42">
        <v>123</v>
      </c>
      <c r="T17" s="42">
        <v>174</v>
      </c>
      <c r="U17" s="42">
        <v>170</v>
      </c>
      <c r="V17" s="41">
        <v>161</v>
      </c>
      <c r="W17" s="10" t="s">
        <v>52</v>
      </c>
    </row>
    <row r="18" spans="1:23" ht="23.25" customHeight="1">
      <c r="A18" s="9" t="s">
        <v>53</v>
      </c>
      <c r="B18" s="39">
        <v>166</v>
      </c>
      <c r="C18" s="40">
        <v>162</v>
      </c>
      <c r="D18" s="96">
        <v>21</v>
      </c>
      <c r="E18" s="39">
        <v>28</v>
      </c>
      <c r="F18" s="42">
        <v>32</v>
      </c>
      <c r="G18" s="41">
        <v>52</v>
      </c>
      <c r="H18" s="39">
        <v>60</v>
      </c>
      <c r="I18" s="42">
        <v>59</v>
      </c>
      <c r="J18" s="42">
        <v>96</v>
      </c>
      <c r="K18" s="42">
        <v>82</v>
      </c>
      <c r="L18" s="42">
        <v>74</v>
      </c>
      <c r="M18" s="39">
        <v>23</v>
      </c>
      <c r="N18" s="42">
        <v>161</v>
      </c>
      <c r="O18" s="42">
        <v>129</v>
      </c>
      <c r="P18" s="39">
        <v>130</v>
      </c>
      <c r="Q18" s="42">
        <v>95</v>
      </c>
      <c r="R18" s="41">
        <v>69</v>
      </c>
      <c r="S18" s="42">
        <v>123</v>
      </c>
      <c r="T18" s="42">
        <v>21</v>
      </c>
      <c r="U18" s="42">
        <v>23</v>
      </c>
      <c r="V18" s="41">
        <v>35</v>
      </c>
      <c r="W18" s="10" t="s">
        <v>54</v>
      </c>
    </row>
    <row r="19" spans="1:23" ht="23.25" customHeight="1">
      <c r="A19" s="9" t="s">
        <v>55</v>
      </c>
      <c r="B19" s="39">
        <v>225</v>
      </c>
      <c r="C19" s="40">
        <v>228</v>
      </c>
      <c r="D19" s="96">
        <v>14</v>
      </c>
      <c r="E19" s="39">
        <v>43</v>
      </c>
      <c r="F19" s="42">
        <v>66</v>
      </c>
      <c r="G19" s="41">
        <v>92</v>
      </c>
      <c r="H19" s="39">
        <v>108</v>
      </c>
      <c r="I19" s="42">
        <v>80</v>
      </c>
      <c r="J19" s="42">
        <v>64</v>
      </c>
      <c r="K19" s="42">
        <v>75</v>
      </c>
      <c r="L19" s="42">
        <v>63</v>
      </c>
      <c r="M19" s="39">
        <v>20</v>
      </c>
      <c r="N19" s="42">
        <v>44</v>
      </c>
      <c r="O19" s="42">
        <v>71</v>
      </c>
      <c r="P19" s="39">
        <v>137</v>
      </c>
      <c r="Q19" s="42">
        <v>136</v>
      </c>
      <c r="R19" s="41">
        <v>96</v>
      </c>
      <c r="S19" s="42">
        <v>19</v>
      </c>
      <c r="T19" s="42">
        <v>191</v>
      </c>
      <c r="U19" s="42">
        <v>197</v>
      </c>
      <c r="V19" s="41">
        <v>187</v>
      </c>
      <c r="W19" s="10" t="s">
        <v>56</v>
      </c>
    </row>
    <row r="20" spans="1:23" ht="23.25" customHeight="1">
      <c r="A20" s="9" t="s">
        <v>57</v>
      </c>
      <c r="B20" s="39">
        <v>178</v>
      </c>
      <c r="C20" s="40">
        <v>185</v>
      </c>
      <c r="D20" s="96">
        <v>19</v>
      </c>
      <c r="E20" s="39">
        <v>28</v>
      </c>
      <c r="F20" s="42">
        <v>35</v>
      </c>
      <c r="G20" s="41">
        <v>48</v>
      </c>
      <c r="H20" s="39">
        <v>16</v>
      </c>
      <c r="I20" s="42">
        <v>14</v>
      </c>
      <c r="J20" s="42">
        <v>48</v>
      </c>
      <c r="K20" s="42">
        <v>46</v>
      </c>
      <c r="L20" s="42">
        <v>52</v>
      </c>
      <c r="M20" s="39">
        <v>25</v>
      </c>
      <c r="N20" s="42">
        <v>28</v>
      </c>
      <c r="O20" s="42">
        <v>37</v>
      </c>
      <c r="P20" s="39">
        <v>110</v>
      </c>
      <c r="Q20" s="42">
        <v>92</v>
      </c>
      <c r="R20" s="41">
        <v>72</v>
      </c>
      <c r="S20" s="42">
        <v>24</v>
      </c>
      <c r="T20" s="42">
        <v>140</v>
      </c>
      <c r="U20" s="42">
        <v>126</v>
      </c>
      <c r="V20" s="41">
        <v>133</v>
      </c>
      <c r="W20" s="10" t="s">
        <v>58</v>
      </c>
    </row>
    <row r="21" spans="1:23" ht="23.25" customHeight="1">
      <c r="A21" s="9" t="s">
        <v>59</v>
      </c>
      <c r="B21" s="39">
        <v>217</v>
      </c>
      <c r="C21" s="40">
        <v>208</v>
      </c>
      <c r="D21" s="97">
        <v>105</v>
      </c>
      <c r="E21" s="39">
        <v>44</v>
      </c>
      <c r="F21" s="42">
        <v>72</v>
      </c>
      <c r="G21" s="41">
        <v>73</v>
      </c>
      <c r="H21" s="39">
        <v>24</v>
      </c>
      <c r="I21" s="42">
        <v>56</v>
      </c>
      <c r="J21" s="42">
        <v>54</v>
      </c>
      <c r="K21" s="42">
        <v>50</v>
      </c>
      <c r="L21" s="42">
        <v>52</v>
      </c>
      <c r="M21" s="43">
        <v>99</v>
      </c>
      <c r="N21" s="42">
        <v>40</v>
      </c>
      <c r="O21" s="42">
        <v>66</v>
      </c>
      <c r="P21" s="39">
        <v>138</v>
      </c>
      <c r="Q21" s="42">
        <v>109</v>
      </c>
      <c r="R21" s="41">
        <v>67</v>
      </c>
      <c r="S21" s="74">
        <v>104</v>
      </c>
      <c r="T21" s="42">
        <v>176</v>
      </c>
      <c r="U21" s="42">
        <v>172</v>
      </c>
      <c r="V21" s="41">
        <v>146</v>
      </c>
      <c r="W21" s="10" t="s">
        <v>60</v>
      </c>
    </row>
    <row r="22" spans="1:23" ht="23.25" customHeight="1">
      <c r="A22" s="9" t="s">
        <v>61</v>
      </c>
      <c r="B22" s="39">
        <v>38</v>
      </c>
      <c r="C22" s="40">
        <v>45</v>
      </c>
      <c r="D22" s="96">
        <v>0</v>
      </c>
      <c r="E22" s="39">
        <v>7</v>
      </c>
      <c r="F22" s="42">
        <v>7</v>
      </c>
      <c r="G22" s="41">
        <v>6</v>
      </c>
      <c r="H22" s="39">
        <v>16</v>
      </c>
      <c r="I22" s="42">
        <v>6</v>
      </c>
      <c r="J22" s="42">
        <v>7</v>
      </c>
      <c r="K22" s="42">
        <v>1</v>
      </c>
      <c r="L22" s="42">
        <v>0</v>
      </c>
      <c r="M22" s="39">
        <v>1</v>
      </c>
      <c r="N22" s="42">
        <v>6</v>
      </c>
      <c r="O22" s="42">
        <v>8</v>
      </c>
      <c r="P22" s="39">
        <v>21</v>
      </c>
      <c r="Q22" s="42">
        <v>24</v>
      </c>
      <c r="R22" s="41">
        <v>15</v>
      </c>
      <c r="S22" s="42">
        <v>0</v>
      </c>
      <c r="T22" s="42">
        <v>12</v>
      </c>
      <c r="U22" s="42">
        <v>25</v>
      </c>
      <c r="V22" s="41">
        <v>48</v>
      </c>
      <c r="W22" s="10" t="s">
        <v>62</v>
      </c>
    </row>
    <row r="23" spans="1:23" ht="23.25" customHeight="1">
      <c r="A23" s="9" t="s">
        <v>63</v>
      </c>
      <c r="B23" s="39">
        <v>100</v>
      </c>
      <c r="C23" s="40">
        <v>103</v>
      </c>
      <c r="D23" s="96">
        <v>3</v>
      </c>
      <c r="E23" s="39">
        <v>26</v>
      </c>
      <c r="F23" s="42">
        <v>30</v>
      </c>
      <c r="G23" s="41">
        <v>21</v>
      </c>
      <c r="H23" s="39">
        <v>61</v>
      </c>
      <c r="I23" s="42">
        <v>47</v>
      </c>
      <c r="J23" s="42">
        <v>40</v>
      </c>
      <c r="K23" s="42">
        <v>10</v>
      </c>
      <c r="L23" s="42">
        <v>27</v>
      </c>
      <c r="M23" s="39">
        <v>6</v>
      </c>
      <c r="N23" s="42">
        <v>27</v>
      </c>
      <c r="O23" s="42">
        <v>22</v>
      </c>
      <c r="P23" s="39">
        <v>84</v>
      </c>
      <c r="Q23" s="42">
        <v>75</v>
      </c>
      <c r="R23" s="41">
        <v>49</v>
      </c>
      <c r="S23" s="42">
        <v>1</v>
      </c>
      <c r="T23" s="42">
        <v>96</v>
      </c>
      <c r="U23" s="42">
        <v>111</v>
      </c>
      <c r="V23" s="41">
        <v>82</v>
      </c>
      <c r="W23" s="10" t="s">
        <v>64</v>
      </c>
    </row>
    <row r="24" spans="1:23" ht="23.25" customHeight="1">
      <c r="A24" s="9" t="s">
        <v>65</v>
      </c>
      <c r="B24" s="39">
        <v>104</v>
      </c>
      <c r="C24" s="40">
        <v>73</v>
      </c>
      <c r="D24" s="96">
        <v>35</v>
      </c>
      <c r="E24" s="39">
        <v>20</v>
      </c>
      <c r="F24" s="42">
        <v>26</v>
      </c>
      <c r="G24" s="41">
        <v>53</v>
      </c>
      <c r="H24" s="35">
        <v>20</v>
      </c>
      <c r="I24" s="38">
        <v>15</v>
      </c>
      <c r="J24" s="38">
        <v>46</v>
      </c>
      <c r="K24" s="38">
        <v>38</v>
      </c>
      <c r="L24" s="38">
        <v>27</v>
      </c>
      <c r="M24" s="39">
        <v>40</v>
      </c>
      <c r="N24" s="42">
        <v>18</v>
      </c>
      <c r="O24" s="42">
        <v>33</v>
      </c>
      <c r="P24" s="39">
        <v>73</v>
      </c>
      <c r="Q24" s="42">
        <v>60</v>
      </c>
      <c r="R24" s="41">
        <v>48</v>
      </c>
      <c r="S24" s="42">
        <v>36</v>
      </c>
      <c r="T24" s="42">
        <v>89</v>
      </c>
      <c r="U24" s="42">
        <v>88</v>
      </c>
      <c r="V24" s="41">
        <v>83</v>
      </c>
      <c r="W24" s="10" t="s">
        <v>66</v>
      </c>
    </row>
    <row r="25" spans="1:23" ht="23.25" customHeight="1">
      <c r="A25" s="9" t="s">
        <v>67</v>
      </c>
      <c r="B25" s="39">
        <v>184</v>
      </c>
      <c r="C25" s="40">
        <v>102</v>
      </c>
      <c r="D25" s="96">
        <v>27</v>
      </c>
      <c r="E25" s="39">
        <v>27</v>
      </c>
      <c r="F25" s="42">
        <v>34</v>
      </c>
      <c r="G25" s="41">
        <v>54</v>
      </c>
      <c r="H25" s="39">
        <v>49</v>
      </c>
      <c r="I25" s="42">
        <v>27</v>
      </c>
      <c r="J25" s="42">
        <v>37</v>
      </c>
      <c r="K25" s="42">
        <v>6</v>
      </c>
      <c r="L25" s="42">
        <v>5</v>
      </c>
      <c r="M25" s="39">
        <v>27</v>
      </c>
      <c r="N25" s="42">
        <v>27</v>
      </c>
      <c r="O25" s="42">
        <v>34</v>
      </c>
      <c r="P25" s="39">
        <v>89</v>
      </c>
      <c r="Q25" s="42">
        <v>63</v>
      </c>
      <c r="R25" s="41">
        <v>57</v>
      </c>
      <c r="S25" s="42">
        <v>27</v>
      </c>
      <c r="T25" s="42">
        <v>109</v>
      </c>
      <c r="U25" s="42">
        <v>105</v>
      </c>
      <c r="V25" s="41">
        <v>109</v>
      </c>
      <c r="W25" s="10" t="s">
        <v>68</v>
      </c>
    </row>
    <row r="26" spans="1:23" ht="23.25" customHeight="1">
      <c r="A26" s="9" t="s">
        <v>69</v>
      </c>
      <c r="B26" s="39">
        <v>224</v>
      </c>
      <c r="C26" s="40">
        <v>248</v>
      </c>
      <c r="D26" s="96">
        <v>181</v>
      </c>
      <c r="E26" s="39">
        <v>36</v>
      </c>
      <c r="F26" s="42">
        <v>54</v>
      </c>
      <c r="G26" s="41">
        <v>57</v>
      </c>
      <c r="H26" s="39">
        <v>73</v>
      </c>
      <c r="I26" s="42">
        <v>75</v>
      </c>
      <c r="J26" s="42">
        <v>74</v>
      </c>
      <c r="K26" s="42">
        <v>53</v>
      </c>
      <c r="L26" s="42">
        <v>30</v>
      </c>
      <c r="M26" s="39">
        <v>172</v>
      </c>
      <c r="N26" s="42">
        <v>39</v>
      </c>
      <c r="O26" s="42">
        <v>56</v>
      </c>
      <c r="P26" s="39">
        <v>190</v>
      </c>
      <c r="Q26" s="42">
        <v>133</v>
      </c>
      <c r="R26" s="41">
        <v>104</v>
      </c>
      <c r="S26" s="42">
        <v>180</v>
      </c>
      <c r="T26" s="42">
        <v>237</v>
      </c>
      <c r="U26" s="42">
        <v>186</v>
      </c>
      <c r="V26" s="41">
        <v>150</v>
      </c>
      <c r="W26" s="10" t="s">
        <v>70</v>
      </c>
    </row>
    <row r="27" spans="1:23" ht="23.25" customHeight="1">
      <c r="A27" s="9" t="s">
        <v>71</v>
      </c>
      <c r="B27" s="39">
        <v>290</v>
      </c>
      <c r="C27" s="40">
        <v>283</v>
      </c>
      <c r="D27" s="96">
        <v>214</v>
      </c>
      <c r="E27" s="39">
        <v>38</v>
      </c>
      <c r="F27" s="42">
        <v>61</v>
      </c>
      <c r="G27" s="41">
        <v>74</v>
      </c>
      <c r="H27" s="39">
        <v>33</v>
      </c>
      <c r="I27" s="42">
        <v>20</v>
      </c>
      <c r="J27" s="42">
        <v>111</v>
      </c>
      <c r="K27" s="42">
        <v>118</v>
      </c>
      <c r="L27" s="42">
        <v>126</v>
      </c>
      <c r="M27" s="39">
        <v>213</v>
      </c>
      <c r="N27" s="42">
        <v>30</v>
      </c>
      <c r="O27" s="42">
        <v>64</v>
      </c>
      <c r="P27" s="39">
        <v>228</v>
      </c>
      <c r="Q27" s="42">
        <v>202</v>
      </c>
      <c r="R27" s="41">
        <v>142</v>
      </c>
      <c r="S27" s="42">
        <v>215</v>
      </c>
      <c r="T27" s="42">
        <v>228</v>
      </c>
      <c r="U27" s="42">
        <v>283</v>
      </c>
      <c r="V27" s="41">
        <v>226</v>
      </c>
      <c r="W27" s="10" t="s">
        <v>72</v>
      </c>
    </row>
    <row r="28" spans="1:23" ht="23.25" customHeight="1">
      <c r="A28" s="9" t="s">
        <v>73</v>
      </c>
      <c r="B28" s="39">
        <v>137</v>
      </c>
      <c r="C28" s="40">
        <v>153</v>
      </c>
      <c r="D28" s="96">
        <v>10</v>
      </c>
      <c r="E28" s="39">
        <v>8</v>
      </c>
      <c r="F28" s="42">
        <v>22</v>
      </c>
      <c r="G28" s="41">
        <v>39</v>
      </c>
      <c r="H28" s="35">
        <v>89</v>
      </c>
      <c r="I28" s="38">
        <v>59</v>
      </c>
      <c r="J28" s="38">
        <v>25</v>
      </c>
      <c r="K28" s="38">
        <v>19</v>
      </c>
      <c r="L28" s="38">
        <v>35</v>
      </c>
      <c r="M28" s="39">
        <v>8</v>
      </c>
      <c r="N28" s="42">
        <v>10</v>
      </c>
      <c r="O28" s="42">
        <v>21</v>
      </c>
      <c r="P28" s="39">
        <v>90</v>
      </c>
      <c r="Q28" s="42">
        <v>87</v>
      </c>
      <c r="R28" s="41">
        <v>53</v>
      </c>
      <c r="S28" s="42">
        <v>10</v>
      </c>
      <c r="T28" s="42">
        <v>95</v>
      </c>
      <c r="U28" s="42">
        <v>107</v>
      </c>
      <c r="V28" s="41">
        <v>101</v>
      </c>
      <c r="W28" s="10" t="s">
        <v>74</v>
      </c>
    </row>
    <row r="29" spans="1:23" ht="23.25" customHeight="1">
      <c r="A29" s="9" t="s">
        <v>75</v>
      </c>
      <c r="B29" s="39">
        <v>251</v>
      </c>
      <c r="C29" s="40">
        <v>229</v>
      </c>
      <c r="D29" s="96">
        <v>254</v>
      </c>
      <c r="E29" s="39">
        <v>61</v>
      </c>
      <c r="F29" s="42">
        <v>95</v>
      </c>
      <c r="G29" s="41">
        <v>95</v>
      </c>
      <c r="H29" s="39">
        <v>186</v>
      </c>
      <c r="I29" s="42">
        <v>102</v>
      </c>
      <c r="J29" s="42">
        <v>34</v>
      </c>
      <c r="K29" s="42">
        <v>34</v>
      </c>
      <c r="L29" s="42">
        <v>13</v>
      </c>
      <c r="M29" s="39">
        <v>223</v>
      </c>
      <c r="N29" s="42">
        <v>73</v>
      </c>
      <c r="O29" s="42">
        <v>92</v>
      </c>
      <c r="P29" s="39">
        <v>150</v>
      </c>
      <c r="Q29" s="42">
        <v>124</v>
      </c>
      <c r="R29" s="41">
        <v>92</v>
      </c>
      <c r="S29" s="42">
        <v>216</v>
      </c>
      <c r="T29" s="42">
        <v>220</v>
      </c>
      <c r="U29" s="42">
        <v>221</v>
      </c>
      <c r="V29" s="41">
        <v>190</v>
      </c>
      <c r="W29" s="10" t="s">
        <v>76</v>
      </c>
    </row>
    <row r="30" spans="1:23" ht="23.25" customHeight="1">
      <c r="A30" s="9" t="s">
        <v>77</v>
      </c>
      <c r="B30" s="35">
        <v>179</v>
      </c>
      <c r="C30" s="36">
        <v>143</v>
      </c>
      <c r="D30" s="95">
        <v>146</v>
      </c>
      <c r="E30" s="35">
        <v>34</v>
      </c>
      <c r="F30" s="38">
        <v>48</v>
      </c>
      <c r="G30" s="37">
        <v>72</v>
      </c>
      <c r="H30" s="35">
        <v>119</v>
      </c>
      <c r="I30" s="38">
        <v>48</v>
      </c>
      <c r="J30" s="38">
        <v>16</v>
      </c>
      <c r="K30" s="38">
        <v>4</v>
      </c>
      <c r="L30" s="38">
        <v>3</v>
      </c>
      <c r="M30" s="35">
        <v>157</v>
      </c>
      <c r="N30" s="38">
        <v>36</v>
      </c>
      <c r="O30" s="38">
        <v>46</v>
      </c>
      <c r="P30" s="35">
        <v>160</v>
      </c>
      <c r="Q30" s="38">
        <v>119</v>
      </c>
      <c r="R30" s="37">
        <v>79</v>
      </c>
      <c r="S30" s="38">
        <v>156</v>
      </c>
      <c r="T30" s="38">
        <v>194</v>
      </c>
      <c r="U30" s="38">
        <v>165</v>
      </c>
      <c r="V30" s="37">
        <v>153</v>
      </c>
      <c r="W30" s="10" t="s">
        <v>78</v>
      </c>
    </row>
    <row r="31" spans="1:23" ht="23.25" customHeight="1">
      <c r="A31" s="9" t="s">
        <v>79</v>
      </c>
      <c r="B31" s="39">
        <v>360</v>
      </c>
      <c r="C31" s="40">
        <v>298</v>
      </c>
      <c r="D31" s="96">
        <v>216</v>
      </c>
      <c r="E31" s="39">
        <v>56</v>
      </c>
      <c r="F31" s="42">
        <v>95</v>
      </c>
      <c r="G31" s="41">
        <v>133</v>
      </c>
      <c r="H31" s="44">
        <v>185</v>
      </c>
      <c r="I31" s="45">
        <v>106</v>
      </c>
      <c r="J31" s="45">
        <v>0</v>
      </c>
      <c r="K31" s="45">
        <v>0</v>
      </c>
      <c r="L31" s="45">
        <v>0</v>
      </c>
      <c r="M31" s="39">
        <v>217</v>
      </c>
      <c r="N31" s="42">
        <v>58</v>
      </c>
      <c r="O31" s="42">
        <v>98</v>
      </c>
      <c r="P31" s="39">
        <v>244</v>
      </c>
      <c r="Q31" s="42">
        <v>190</v>
      </c>
      <c r="R31" s="41">
        <v>131</v>
      </c>
      <c r="S31" s="42">
        <v>217</v>
      </c>
      <c r="T31" s="42">
        <v>333</v>
      </c>
      <c r="U31" s="42">
        <v>296</v>
      </c>
      <c r="V31" s="41">
        <v>263</v>
      </c>
      <c r="W31" s="10" t="s">
        <v>80</v>
      </c>
    </row>
    <row r="32" spans="1:23" s="7" customFormat="1" ht="23.25" customHeight="1">
      <c r="A32" s="8" t="s">
        <v>81</v>
      </c>
      <c r="B32" s="32">
        <v>7897</v>
      </c>
      <c r="C32" s="33">
        <v>8041</v>
      </c>
      <c r="D32" s="93">
        <v>6780</v>
      </c>
      <c r="E32" s="28">
        <v>1139</v>
      </c>
      <c r="F32" s="31">
        <v>1590</v>
      </c>
      <c r="G32" s="30">
        <v>2162</v>
      </c>
      <c r="H32" s="28">
        <v>3633</v>
      </c>
      <c r="I32" s="31">
        <v>2121</v>
      </c>
      <c r="J32" s="31">
        <v>1460</v>
      </c>
      <c r="K32" s="31">
        <v>1304</v>
      </c>
      <c r="L32" s="30">
        <v>1263</v>
      </c>
      <c r="M32" s="31">
        <v>6974</v>
      </c>
      <c r="N32" s="31">
        <v>1309</v>
      </c>
      <c r="O32" s="31">
        <v>1707</v>
      </c>
      <c r="P32" s="28">
        <v>5996</v>
      </c>
      <c r="Q32" s="31">
        <v>4875</v>
      </c>
      <c r="R32" s="30">
        <v>3593</v>
      </c>
      <c r="S32" s="31">
        <v>6924</v>
      </c>
      <c r="T32" s="31">
        <v>6767</v>
      </c>
      <c r="U32" s="31">
        <v>6232</v>
      </c>
      <c r="V32" s="30">
        <v>5705</v>
      </c>
      <c r="W32" s="6" t="s">
        <v>82</v>
      </c>
    </row>
    <row r="33" spans="1:23" s="7" customFormat="1" ht="23.25" customHeight="1">
      <c r="A33" s="8" t="s">
        <v>83</v>
      </c>
      <c r="B33" s="32">
        <v>7944</v>
      </c>
      <c r="C33" s="33">
        <v>8153</v>
      </c>
      <c r="D33" s="93">
        <v>6802</v>
      </c>
      <c r="E33" s="28">
        <v>1147</v>
      </c>
      <c r="F33" s="31">
        <v>1599</v>
      </c>
      <c r="G33" s="30">
        <v>2174</v>
      </c>
      <c r="H33" s="28">
        <v>3671</v>
      </c>
      <c r="I33" s="31">
        <v>2143</v>
      </c>
      <c r="J33" s="31">
        <v>1465</v>
      </c>
      <c r="K33" s="31">
        <v>1321</v>
      </c>
      <c r="L33" s="30">
        <v>1281</v>
      </c>
      <c r="M33" s="31">
        <v>6985</v>
      </c>
      <c r="N33" s="31">
        <v>1316</v>
      </c>
      <c r="O33" s="31">
        <v>1720</v>
      </c>
      <c r="P33" s="28">
        <v>6024</v>
      </c>
      <c r="Q33" s="31">
        <v>4901</v>
      </c>
      <c r="R33" s="30">
        <v>3619</v>
      </c>
      <c r="S33" s="31">
        <v>6936</v>
      </c>
      <c r="T33" s="31">
        <v>6790</v>
      </c>
      <c r="U33" s="31">
        <v>6266</v>
      </c>
      <c r="V33" s="30">
        <v>5740</v>
      </c>
      <c r="W33" s="6" t="s">
        <v>84</v>
      </c>
    </row>
    <row r="34" spans="1:23" s="7" customFormat="1" ht="23.25" customHeight="1">
      <c r="A34" s="11" t="s">
        <v>85</v>
      </c>
      <c r="B34" s="46">
        <f t="shared" ref="B34:G34" si="2">B32/B33*100</f>
        <v>99.40835850956698</v>
      </c>
      <c r="C34" s="46">
        <f t="shared" si="2"/>
        <v>98.626272537716176</v>
      </c>
      <c r="D34" s="98">
        <f t="shared" si="2"/>
        <v>99.676565715965893</v>
      </c>
      <c r="E34" s="47">
        <f t="shared" si="2"/>
        <v>99.302528334786402</v>
      </c>
      <c r="F34" s="48">
        <f t="shared" si="2"/>
        <v>99.437148217636022</v>
      </c>
      <c r="G34" s="49">
        <f t="shared" si="2"/>
        <v>99.448022079116839</v>
      </c>
      <c r="H34" s="47">
        <f>H32/H33*100</f>
        <v>98.964859711250341</v>
      </c>
      <c r="I34" s="48">
        <f>I32/I33*100</f>
        <v>98.973401773215116</v>
      </c>
      <c r="J34" s="48">
        <f>J32/J33*100</f>
        <v>99.658703071672349</v>
      </c>
      <c r="K34" s="48">
        <f>K32/K33*100</f>
        <v>98.71309613928841</v>
      </c>
      <c r="L34" s="99">
        <f>L32/L33*100</f>
        <v>98.594847775175637</v>
      </c>
      <c r="M34" s="47">
        <f t="shared" ref="M34:R34" si="3">M32/M33*100</f>
        <v>99.842519685039363</v>
      </c>
      <c r="N34" s="48">
        <f t="shared" si="3"/>
        <v>99.468085106382972</v>
      </c>
      <c r="O34" s="48">
        <f t="shared" si="3"/>
        <v>99.244186046511629</v>
      </c>
      <c r="P34" s="47">
        <f t="shared" si="3"/>
        <v>99.535192563081011</v>
      </c>
      <c r="Q34" s="48">
        <f t="shared" si="3"/>
        <v>99.469496021220166</v>
      </c>
      <c r="R34" s="49">
        <f t="shared" si="3"/>
        <v>99.281569494335457</v>
      </c>
      <c r="S34" s="48">
        <f>S32/S33*100</f>
        <v>99.826989619377159</v>
      </c>
      <c r="T34" s="48">
        <f>T32/T33*100</f>
        <v>99.661266568483057</v>
      </c>
      <c r="U34" s="48">
        <f>U32/U33*100</f>
        <v>99.457389083945102</v>
      </c>
      <c r="V34" s="49">
        <f>V32/V33*100</f>
        <v>99.390243902439025</v>
      </c>
      <c r="W34" s="12" t="s">
        <v>86</v>
      </c>
    </row>
    <row r="35" spans="1:23" ht="16.8">
      <c r="A35" s="13" t="s">
        <v>87</v>
      </c>
      <c r="B35" s="14"/>
      <c r="C35" s="14"/>
      <c r="D35" s="14"/>
      <c r="E35" s="15"/>
      <c r="F35" s="13" t="s">
        <v>88</v>
      </c>
      <c r="G35" s="16"/>
      <c r="H35" s="17"/>
      <c r="I35" s="13" t="s">
        <v>89</v>
      </c>
      <c r="J35" s="16"/>
      <c r="K35" s="14"/>
      <c r="L35" s="14"/>
      <c r="M35" s="18"/>
      <c r="N35" s="18"/>
      <c r="O35" s="19"/>
      <c r="P35" s="56"/>
      <c r="Q35" s="56"/>
      <c r="R35" s="56"/>
      <c r="S35" s="18"/>
      <c r="T35" s="18"/>
      <c r="U35" s="19"/>
      <c r="V35" s="18"/>
      <c r="W35" s="20" t="s">
        <v>90</v>
      </c>
    </row>
    <row r="36" spans="1:23" ht="14.25" customHeight="1">
      <c r="A36" s="21" t="s">
        <v>91</v>
      </c>
      <c r="B36" s="14"/>
      <c r="C36" s="14"/>
      <c r="D36" s="14"/>
      <c r="E36" s="15"/>
      <c r="F36" s="13" t="s">
        <v>92</v>
      </c>
      <c r="G36" s="22"/>
      <c r="H36" s="17"/>
      <c r="I36" s="13" t="s">
        <v>93</v>
      </c>
      <c r="J36" s="22"/>
      <c r="K36" s="14"/>
      <c r="L36" s="14"/>
      <c r="M36" s="18"/>
      <c r="N36" s="18"/>
      <c r="O36" s="19"/>
      <c r="P36" s="100"/>
      <c r="Q36" s="100"/>
      <c r="R36" s="100"/>
      <c r="S36" s="18"/>
      <c r="T36" s="18"/>
      <c r="U36" s="19"/>
      <c r="V36" s="18"/>
      <c r="W36" s="23" t="s">
        <v>94</v>
      </c>
    </row>
    <row r="37" spans="1:23" ht="18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4"/>
      <c r="N37" s="24"/>
      <c r="O37" s="24"/>
      <c r="P37" s="56"/>
      <c r="Q37" s="56"/>
      <c r="R37" s="56"/>
      <c r="S37" s="24"/>
      <c r="T37" s="24"/>
      <c r="U37" s="24"/>
      <c r="V37" s="23"/>
      <c r="W37" s="1" t="s">
        <v>0</v>
      </c>
    </row>
    <row r="38" spans="1:23" ht="16.5" customHeight="1">
      <c r="A38" s="25" t="s">
        <v>95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4"/>
      <c r="N38" s="24"/>
      <c r="O38" s="24"/>
      <c r="P38" s="56"/>
      <c r="Q38" s="56"/>
      <c r="R38" s="56"/>
      <c r="S38" s="24"/>
      <c r="T38" s="24"/>
      <c r="U38" s="24"/>
      <c r="V38" s="23"/>
      <c r="W38" s="26"/>
    </row>
    <row r="39" spans="1:23" ht="16.5" customHeight="1">
      <c r="A39" s="25" t="s">
        <v>96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4"/>
      <c r="N39" s="24"/>
      <c r="O39" s="24"/>
      <c r="P39" s="56"/>
      <c r="Q39" s="56"/>
      <c r="R39" s="56"/>
      <c r="S39" s="24"/>
      <c r="T39" s="24"/>
      <c r="U39" s="24"/>
      <c r="V39" s="23"/>
      <c r="W39" s="26"/>
    </row>
    <row r="40" spans="1:23" ht="16.5" customHeight="1">
      <c r="A40" s="25" t="s">
        <v>97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4"/>
      <c r="N40" s="24"/>
      <c r="O40" s="24"/>
      <c r="P40" s="56"/>
      <c r="Q40" s="56"/>
      <c r="R40" s="56"/>
      <c r="S40" s="24"/>
      <c r="T40" s="24"/>
      <c r="U40" s="24"/>
      <c r="V40" s="23"/>
      <c r="W40" s="26"/>
    </row>
    <row r="41" spans="1:23" ht="16.5" customHeight="1">
      <c r="A41" s="25" t="s">
        <v>98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4"/>
      <c r="N41" s="24"/>
      <c r="O41" s="24"/>
      <c r="P41" s="56"/>
      <c r="Q41" s="56"/>
      <c r="R41" s="56"/>
      <c r="S41" s="24"/>
      <c r="T41" s="24"/>
      <c r="U41" s="24"/>
      <c r="V41" s="23"/>
      <c r="W41" s="26"/>
    </row>
    <row r="42" spans="1:23" ht="16.5" customHeight="1">
      <c r="A42" s="25" t="s">
        <v>99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4"/>
      <c r="N42" s="24"/>
      <c r="O42" s="24"/>
      <c r="P42" s="56"/>
      <c r="Q42" s="56"/>
      <c r="R42" s="56"/>
      <c r="S42" s="24"/>
      <c r="T42" s="24"/>
      <c r="U42" s="24"/>
      <c r="V42" s="23"/>
      <c r="W42" s="26"/>
    </row>
    <row r="43" spans="1:23" ht="16.5" customHeight="1">
      <c r="A43" s="25" t="s">
        <v>100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4"/>
      <c r="N43" s="24"/>
      <c r="O43" s="24"/>
      <c r="P43" s="56"/>
      <c r="Q43" s="56"/>
      <c r="R43" s="56"/>
      <c r="S43" s="24"/>
      <c r="T43" s="24"/>
      <c r="U43" s="24"/>
      <c r="V43" s="23"/>
      <c r="W43" s="26"/>
    </row>
    <row r="44" spans="1:23" ht="16.5" customHeight="1">
      <c r="A44" s="25" t="s">
        <v>101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4"/>
      <c r="N44" s="24"/>
      <c r="O44" s="24"/>
      <c r="P44" s="56"/>
      <c r="Q44" s="56"/>
      <c r="R44" s="56"/>
      <c r="S44" s="24"/>
      <c r="T44" s="24"/>
      <c r="U44" s="24"/>
      <c r="V44" s="23"/>
      <c r="W44" s="26"/>
    </row>
    <row r="45" spans="1:23" ht="16.5" customHeight="1">
      <c r="A45" s="25" t="s">
        <v>102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4"/>
      <c r="N45" s="24"/>
      <c r="O45" s="24"/>
      <c r="P45" s="56"/>
      <c r="Q45" s="56"/>
      <c r="R45" s="56"/>
      <c r="S45" s="24"/>
      <c r="T45" s="24"/>
      <c r="U45" s="24"/>
      <c r="V45" s="23"/>
      <c r="W45" s="26"/>
    </row>
    <row r="46" spans="1:23" ht="16.5" customHeight="1">
      <c r="A46" s="25" t="s">
        <v>103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4"/>
      <c r="N46" s="24"/>
      <c r="O46" s="24"/>
      <c r="P46" s="56"/>
      <c r="Q46" s="56"/>
      <c r="R46" s="56"/>
      <c r="S46" s="24"/>
      <c r="T46" s="24"/>
      <c r="U46" s="24"/>
      <c r="V46" s="23"/>
      <c r="W46" s="26"/>
    </row>
    <row r="47" spans="1:23" ht="16.5" customHeight="1">
      <c r="A47" s="13" t="s">
        <v>104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24"/>
      <c r="N47" s="24"/>
      <c r="O47" s="24"/>
      <c r="P47" s="56"/>
      <c r="Q47" s="56"/>
      <c r="R47" s="56"/>
      <c r="S47" s="24"/>
      <c r="T47" s="24"/>
      <c r="U47" s="24"/>
      <c r="V47" s="23"/>
      <c r="W47" s="26"/>
    </row>
    <row r="48" spans="1:23" ht="16.5" customHeight="1">
      <c r="A48" s="1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4"/>
      <c r="N48" s="24"/>
      <c r="O48" s="24"/>
      <c r="P48" s="56"/>
      <c r="Q48" s="56"/>
      <c r="R48" s="56"/>
      <c r="S48" s="24"/>
      <c r="T48" s="24"/>
      <c r="U48" s="24"/>
      <c r="V48" s="23"/>
      <c r="W48" s="26"/>
    </row>
    <row r="49" spans="16:18">
      <c r="P49" s="56"/>
      <c r="Q49" s="56"/>
      <c r="R49" s="56"/>
    </row>
    <row r="50" spans="16:18">
      <c r="P50" s="56"/>
      <c r="Q50" s="56"/>
      <c r="R50" s="56"/>
    </row>
    <row r="51" spans="16:18">
      <c r="P51" s="56"/>
      <c r="Q51" s="56"/>
      <c r="R51" s="56"/>
    </row>
    <row r="52" spans="16:18">
      <c r="P52" s="56"/>
      <c r="Q52" s="56"/>
      <c r="R52" s="56"/>
    </row>
    <row r="53" spans="16:18">
      <c r="P53" s="57"/>
      <c r="Q53" s="57"/>
      <c r="R53" s="57"/>
    </row>
    <row r="54" spans="16:18">
      <c r="P54" s="100"/>
      <c r="Q54" s="100"/>
      <c r="R54" s="100"/>
    </row>
    <row r="55" spans="16:18">
      <c r="P55" s="56"/>
      <c r="Q55" s="56"/>
      <c r="R55" s="56"/>
    </row>
    <row r="56" spans="16:18">
      <c r="P56" s="56"/>
      <c r="Q56" s="56"/>
      <c r="R56" s="56"/>
    </row>
    <row r="57" spans="16:18">
      <c r="P57" s="56"/>
      <c r="Q57" s="56"/>
      <c r="R57" s="56"/>
    </row>
    <row r="58" spans="16:18">
      <c r="P58" s="56"/>
      <c r="Q58" s="56"/>
      <c r="R58" s="56"/>
    </row>
    <row r="59" spans="16:18">
      <c r="P59" s="56"/>
      <c r="Q59" s="56"/>
      <c r="R59" s="56"/>
    </row>
    <row r="60" spans="16:18">
      <c r="P60" s="56"/>
      <c r="Q60" s="56"/>
      <c r="R60" s="56"/>
    </row>
    <row r="61" spans="16:18">
      <c r="P61" s="56"/>
      <c r="Q61" s="56"/>
      <c r="R61" s="56"/>
    </row>
    <row r="62" spans="16:18">
      <c r="P62" s="56"/>
      <c r="Q62" s="56"/>
      <c r="R62" s="56"/>
    </row>
    <row r="63" spans="16:18">
      <c r="P63" s="58"/>
      <c r="Q63" s="58"/>
      <c r="R63" s="58"/>
    </row>
    <row r="64" spans="16:18">
      <c r="P64" s="100"/>
      <c r="Q64" s="100"/>
      <c r="R64" s="100"/>
    </row>
    <row r="65" spans="16:18">
      <c r="P65" s="56"/>
      <c r="Q65" s="56"/>
      <c r="R65" s="56"/>
    </row>
    <row r="66" spans="16:18">
      <c r="P66" s="56"/>
      <c r="Q66" s="56"/>
      <c r="R66" s="56"/>
    </row>
    <row r="67" spans="16:18">
      <c r="P67" s="56"/>
      <c r="Q67" s="56"/>
      <c r="R67" s="56"/>
    </row>
    <row r="68" spans="16:18">
      <c r="P68" s="56"/>
      <c r="Q68" s="56"/>
      <c r="R68" s="56"/>
    </row>
    <row r="69" spans="16:18">
      <c r="P69" s="56"/>
      <c r="Q69" s="56"/>
      <c r="R69" s="56"/>
    </row>
    <row r="70" spans="16:18">
      <c r="P70" s="58"/>
      <c r="Q70" s="58"/>
      <c r="R70" s="58"/>
    </row>
    <row r="71" spans="16:18">
      <c r="P71" s="100"/>
      <c r="Q71" s="100"/>
      <c r="R71" s="100"/>
    </row>
    <row r="72" spans="16:18">
      <c r="P72" s="56"/>
      <c r="Q72" s="56"/>
      <c r="R72" s="56"/>
    </row>
    <row r="73" spans="16:18">
      <c r="P73" s="56"/>
      <c r="Q73" s="56"/>
      <c r="R73" s="56"/>
    </row>
    <row r="74" spans="16:18">
      <c r="P74" s="56"/>
      <c r="Q74" s="56"/>
      <c r="R74" s="56"/>
    </row>
    <row r="75" spans="16:18">
      <c r="P75" s="56"/>
      <c r="Q75" s="56"/>
      <c r="R75" s="56"/>
    </row>
    <row r="76" spans="16:18">
      <c r="P76" s="56"/>
      <c r="Q76" s="56"/>
      <c r="R76" s="56"/>
    </row>
    <row r="77" spans="16:18">
      <c r="P77" s="56"/>
      <c r="Q77" s="56"/>
      <c r="R77" s="56"/>
    </row>
    <row r="78" spans="16:18">
      <c r="P78" s="56"/>
      <c r="Q78" s="56"/>
      <c r="R78" s="56"/>
    </row>
    <row r="79" spans="16:18">
      <c r="P79" s="58"/>
      <c r="Q79" s="58"/>
      <c r="R79" s="58"/>
    </row>
    <row r="80" spans="16:18">
      <c r="P80" s="100"/>
      <c r="Q80" s="100"/>
      <c r="R80" s="100"/>
    </row>
    <row r="81" spans="16:18">
      <c r="P81" s="56"/>
      <c r="Q81" s="56"/>
      <c r="R81" s="56"/>
    </row>
    <row r="82" spans="16:18">
      <c r="P82" s="56"/>
      <c r="Q82" s="56"/>
      <c r="R82" s="56"/>
    </row>
    <row r="83" spans="16:18">
      <c r="P83" s="56"/>
      <c r="Q83" s="56"/>
      <c r="R83" s="56"/>
    </row>
    <row r="84" spans="16:18">
      <c r="P84" s="56"/>
      <c r="Q84" s="56"/>
      <c r="R84" s="56"/>
    </row>
    <row r="85" spans="16:18">
      <c r="P85" s="56"/>
      <c r="Q85" s="56"/>
      <c r="R85" s="56"/>
    </row>
    <row r="86" spans="16:18">
      <c r="P86" s="56"/>
      <c r="Q86" s="56"/>
      <c r="R86" s="56"/>
    </row>
    <row r="87" spans="16:18">
      <c r="P87" s="56"/>
      <c r="Q87" s="56"/>
      <c r="R87" s="56"/>
    </row>
    <row r="88" spans="16:18">
      <c r="P88" s="56"/>
      <c r="Q88" s="56"/>
      <c r="R88" s="56"/>
    </row>
    <row r="89" spans="16:18">
      <c r="P89" s="56"/>
      <c r="Q89" s="56"/>
      <c r="R89" s="56"/>
    </row>
    <row r="90" spans="16:18">
      <c r="P90" s="56"/>
      <c r="Q90" s="56"/>
      <c r="R90" s="56"/>
    </row>
    <row r="91" spans="16:18">
      <c r="P91" s="56"/>
      <c r="Q91" s="56"/>
      <c r="R91" s="56"/>
    </row>
    <row r="92" spans="16:18">
      <c r="P92" s="56"/>
      <c r="Q92" s="56"/>
      <c r="R92" s="56"/>
    </row>
    <row r="93" spans="16:18">
      <c r="P93" s="56"/>
      <c r="Q93" s="56"/>
      <c r="R93" s="56"/>
    </row>
    <row r="94" spans="16:18">
      <c r="P94" s="57"/>
      <c r="Q94" s="57"/>
      <c r="R94" s="57"/>
    </row>
    <row r="95" spans="16:18">
      <c r="P95" s="100"/>
      <c r="Q95" s="100"/>
      <c r="R95" s="100"/>
    </row>
    <row r="96" spans="16:18">
      <c r="P96" s="56"/>
      <c r="Q96" s="56"/>
      <c r="R96" s="56"/>
    </row>
    <row r="97" spans="16:18">
      <c r="P97" s="56"/>
      <c r="Q97" s="56"/>
      <c r="R97" s="56"/>
    </row>
    <row r="98" spans="16:18">
      <c r="P98" s="56"/>
      <c r="Q98" s="56"/>
      <c r="R98" s="56"/>
    </row>
    <row r="99" spans="16:18">
      <c r="P99" s="56"/>
      <c r="Q99" s="56"/>
      <c r="R99" s="56"/>
    </row>
    <row r="100" spans="16:18">
      <c r="P100" s="56"/>
      <c r="Q100" s="56"/>
      <c r="R100" s="56"/>
    </row>
    <row r="101" spans="16:18">
      <c r="P101" s="56"/>
      <c r="Q101" s="56"/>
      <c r="R101" s="56"/>
    </row>
    <row r="102" spans="16:18">
      <c r="P102" s="56"/>
      <c r="Q102" s="56"/>
      <c r="R102" s="56"/>
    </row>
    <row r="103" spans="16:18">
      <c r="P103" s="56"/>
      <c r="Q103" s="56"/>
      <c r="R103" s="56"/>
    </row>
    <row r="104" spans="16:18">
      <c r="P104" s="56"/>
      <c r="Q104" s="56"/>
      <c r="R104" s="56"/>
    </row>
    <row r="105" spans="16:18">
      <c r="P105" s="56"/>
      <c r="Q105" s="56"/>
      <c r="R105" s="56"/>
    </row>
    <row r="106" spans="16:18">
      <c r="P106" s="56"/>
      <c r="Q106" s="56"/>
      <c r="R106" s="56"/>
    </row>
    <row r="107" spans="16:18">
      <c r="P107" s="57"/>
      <c r="Q107" s="57"/>
      <c r="R107" s="57"/>
    </row>
    <row r="108" spans="16:18">
      <c r="P108" s="100"/>
      <c r="Q108" s="100"/>
      <c r="R108" s="100"/>
    </row>
    <row r="109" spans="16:18">
      <c r="P109" s="56"/>
      <c r="Q109" s="56"/>
      <c r="R109" s="56"/>
    </row>
    <row r="110" spans="16:18">
      <c r="P110" s="56"/>
      <c r="Q110" s="56"/>
      <c r="R110" s="56"/>
    </row>
    <row r="111" spans="16:18">
      <c r="P111" s="56"/>
      <c r="Q111" s="56"/>
      <c r="R111" s="56"/>
    </row>
    <row r="112" spans="16:18">
      <c r="P112" s="56"/>
      <c r="Q112" s="56"/>
      <c r="R112" s="56"/>
    </row>
    <row r="113" spans="16:18">
      <c r="P113" s="56"/>
      <c r="Q113" s="56"/>
      <c r="R113" s="56"/>
    </row>
    <row r="114" spans="16:18">
      <c r="P114" s="56"/>
      <c r="Q114" s="56"/>
      <c r="R114" s="56"/>
    </row>
    <row r="115" spans="16:18">
      <c r="P115" s="56"/>
      <c r="Q115" s="56"/>
      <c r="R115" s="56"/>
    </row>
    <row r="116" spans="16:18">
      <c r="P116" s="56"/>
      <c r="Q116" s="56"/>
      <c r="R116" s="56"/>
    </row>
    <row r="117" spans="16:18">
      <c r="P117" s="56"/>
      <c r="Q117" s="56"/>
      <c r="R117" s="56"/>
    </row>
    <row r="118" spans="16:18">
      <c r="P118" s="57"/>
      <c r="Q118" s="57"/>
      <c r="R118" s="57"/>
    </row>
    <row r="119" spans="16:18">
      <c r="P119" s="100"/>
      <c r="Q119" s="100"/>
      <c r="R119" s="100"/>
    </row>
    <row r="120" spans="16:18">
      <c r="P120" s="56"/>
      <c r="Q120" s="56"/>
      <c r="R120" s="56"/>
    </row>
    <row r="121" spans="16:18">
      <c r="P121" s="56"/>
      <c r="Q121" s="56"/>
      <c r="R121" s="56"/>
    </row>
    <row r="122" spans="16:18">
      <c r="P122" s="56"/>
      <c r="Q122" s="56"/>
      <c r="R122" s="56"/>
    </row>
    <row r="123" spans="16:18">
      <c r="P123" s="56"/>
      <c r="Q123" s="56"/>
      <c r="R123" s="56"/>
    </row>
    <row r="124" spans="16:18">
      <c r="P124" s="56"/>
      <c r="Q124" s="56"/>
      <c r="R124" s="56"/>
    </row>
    <row r="125" spans="16:18">
      <c r="P125" s="56"/>
      <c r="Q125" s="56"/>
      <c r="R125" s="56"/>
    </row>
    <row r="126" spans="16:18">
      <c r="P126" s="56"/>
      <c r="Q126" s="56"/>
      <c r="R126" s="56"/>
    </row>
    <row r="127" spans="16:18">
      <c r="P127" s="56"/>
      <c r="Q127" s="56"/>
      <c r="R127" s="56"/>
    </row>
    <row r="128" spans="16:18">
      <c r="P128" s="56"/>
      <c r="Q128" s="56"/>
      <c r="R128" s="56"/>
    </row>
    <row r="129" spans="16:18">
      <c r="P129" s="57"/>
      <c r="Q129" s="57"/>
      <c r="R129" s="57"/>
    </row>
    <row r="130" spans="16:18">
      <c r="P130" s="100"/>
      <c r="Q130" s="100"/>
      <c r="R130" s="100"/>
    </row>
    <row r="131" spans="16:18">
      <c r="P131" s="56"/>
      <c r="Q131" s="56"/>
      <c r="R131" s="56"/>
    </row>
    <row r="132" spans="16:18">
      <c r="P132" s="59"/>
      <c r="Q132" s="59"/>
      <c r="R132" s="59"/>
    </row>
    <row r="133" spans="16:18">
      <c r="P133" s="100"/>
      <c r="Q133" s="100"/>
      <c r="R133" s="100"/>
    </row>
    <row r="134" spans="16:18">
      <c r="P134" s="56"/>
      <c r="Q134" s="56"/>
      <c r="R134" s="56"/>
    </row>
    <row r="135" spans="16:18">
      <c r="P135" s="56"/>
      <c r="Q135" s="56"/>
      <c r="R135" s="56"/>
    </row>
    <row r="136" spans="16:18">
      <c r="P136" s="56"/>
      <c r="Q136" s="56"/>
      <c r="R136" s="56"/>
    </row>
    <row r="137" spans="16:18">
      <c r="P137" s="56"/>
      <c r="Q137" s="56"/>
      <c r="R137" s="56"/>
    </row>
    <row r="138" spans="16:18">
      <c r="P138" s="56"/>
      <c r="Q138" s="56"/>
      <c r="R138" s="56"/>
    </row>
    <row r="139" spans="16:18">
      <c r="P139" s="60"/>
      <c r="Q139" s="60"/>
      <c r="R139" s="60"/>
    </row>
    <row r="140" spans="16:18">
      <c r="P140" s="50"/>
      <c r="Q140" s="50"/>
      <c r="R140" s="50"/>
    </row>
    <row r="141" spans="16:18">
      <c r="P141" s="51"/>
      <c r="Q141" s="51"/>
      <c r="R141" s="51"/>
    </row>
    <row r="145" spans="16:18">
      <c r="P145" s="27"/>
      <c r="Q145" s="27"/>
      <c r="R145" s="27"/>
    </row>
    <row r="146" spans="16:18">
      <c r="P146" s="27"/>
      <c r="Q146" s="27"/>
      <c r="R146" s="27"/>
    </row>
    <row r="147" spans="16:18">
      <c r="P147" s="61"/>
      <c r="Q147" s="61"/>
      <c r="R147" s="61"/>
    </row>
    <row r="148" spans="16:18">
      <c r="P148" s="52"/>
      <c r="Q148" s="52"/>
      <c r="R148" s="52"/>
    </row>
    <row r="149" spans="16:18">
      <c r="P149" s="53"/>
      <c r="Q149" s="53"/>
      <c r="R149" s="53"/>
    </row>
    <row r="150" spans="16:18">
      <c r="P150" s="54"/>
      <c r="Q150" s="54"/>
      <c r="R150" s="54"/>
    </row>
    <row r="151" spans="16:18">
      <c r="P151" s="62"/>
      <c r="Q151" s="62"/>
      <c r="R151" s="62"/>
    </row>
    <row r="152" spans="16:18">
      <c r="P152" s="63"/>
      <c r="Q152" s="63"/>
      <c r="R152" s="63"/>
    </row>
    <row r="153" spans="16:18">
      <c r="P153" s="64"/>
      <c r="Q153" s="64"/>
      <c r="R153" s="64"/>
    </row>
    <row r="154" spans="16:18">
      <c r="P154" s="65"/>
      <c r="Q154" s="65"/>
      <c r="R154" s="65"/>
    </row>
    <row r="155" spans="16:18">
      <c r="P155" s="66"/>
      <c r="Q155" s="66"/>
      <c r="R155" s="66"/>
    </row>
    <row r="156" spans="16:18">
      <c r="P156" s="67"/>
      <c r="Q156" s="67"/>
      <c r="R156" s="67"/>
    </row>
    <row r="157" spans="16:18">
      <c r="P157" s="67"/>
      <c r="Q157" s="67"/>
      <c r="R157" s="67"/>
    </row>
    <row r="158" spans="16:18">
      <c r="P158" s="67"/>
      <c r="Q158" s="67"/>
      <c r="R158" s="67"/>
    </row>
    <row r="159" spans="16:18">
      <c r="P159" s="67"/>
      <c r="Q159" s="67"/>
      <c r="R159" s="67"/>
    </row>
    <row r="160" spans="16:18">
      <c r="P160" s="66"/>
      <c r="Q160" s="66"/>
      <c r="R160" s="66"/>
    </row>
    <row r="161" spans="16:18">
      <c r="P161" s="67"/>
      <c r="Q161" s="67"/>
      <c r="R161" s="67"/>
    </row>
    <row r="162" spans="16:18">
      <c r="P162" s="67"/>
      <c r="Q162" s="67"/>
      <c r="R162" s="67"/>
    </row>
    <row r="163" spans="16:18">
      <c r="P163" s="67"/>
      <c r="Q163" s="67"/>
      <c r="R163" s="67"/>
    </row>
    <row r="164" spans="16:18">
      <c r="P164" s="67"/>
      <c r="Q164" s="67"/>
      <c r="R164" s="67"/>
    </row>
    <row r="165" spans="16:18">
      <c r="P165" s="67"/>
      <c r="Q165" s="67"/>
      <c r="R165" s="67"/>
    </row>
    <row r="166" spans="16:18">
      <c r="P166" s="67"/>
      <c r="Q166" s="67"/>
      <c r="R166" s="67"/>
    </row>
    <row r="167" spans="16:18">
      <c r="P167" s="67"/>
      <c r="Q167" s="67"/>
      <c r="R167" s="67"/>
    </row>
    <row r="168" spans="16:18">
      <c r="P168" s="67"/>
      <c r="Q168" s="67"/>
      <c r="R168" s="67"/>
    </row>
    <row r="169" spans="16:18">
      <c r="P169" s="68"/>
      <c r="Q169" s="68"/>
      <c r="R169" s="68"/>
    </row>
    <row r="170" spans="16:18">
      <c r="P170" s="69"/>
      <c r="Q170" s="69"/>
      <c r="R170" s="69"/>
    </row>
    <row r="171" spans="16:18">
      <c r="P171" s="70"/>
      <c r="Q171" s="70"/>
      <c r="R171" s="70"/>
    </row>
    <row r="172" spans="16:18">
      <c r="P172" s="70"/>
      <c r="Q172" s="70"/>
      <c r="R172" s="70"/>
    </row>
    <row r="173" spans="16:18">
      <c r="P173" s="70"/>
      <c r="Q173" s="70"/>
      <c r="R173" s="70"/>
    </row>
    <row r="174" spans="16:18">
      <c r="P174" s="70"/>
      <c r="Q174" s="70"/>
      <c r="R174" s="70"/>
    </row>
    <row r="175" spans="16:18">
      <c r="P175" s="70"/>
      <c r="Q175" s="70"/>
      <c r="R175" s="70"/>
    </row>
    <row r="176" spans="16:18">
      <c r="P176" s="70"/>
      <c r="Q176" s="70"/>
      <c r="R176" s="70"/>
    </row>
    <row r="177" spans="16:18">
      <c r="P177" s="70"/>
      <c r="Q177" s="70"/>
      <c r="R177" s="70"/>
    </row>
    <row r="178" spans="16:18">
      <c r="P178" s="70"/>
      <c r="Q178" s="70"/>
      <c r="R178" s="70"/>
    </row>
    <row r="179" spans="16:18">
      <c r="P179" s="70"/>
      <c r="Q179" s="70"/>
      <c r="R179" s="70"/>
    </row>
    <row r="180" spans="16:18">
      <c r="P180" s="70"/>
      <c r="Q180" s="70"/>
      <c r="R180" s="70"/>
    </row>
    <row r="181" spans="16:18">
      <c r="P181" s="70"/>
      <c r="Q181" s="70"/>
      <c r="R181" s="70"/>
    </row>
    <row r="182" spans="16:18">
      <c r="P182" s="70"/>
      <c r="Q182" s="70"/>
      <c r="R182" s="70"/>
    </row>
    <row r="183" spans="16:18">
      <c r="P183" s="70"/>
      <c r="Q183" s="70"/>
      <c r="R183" s="70"/>
    </row>
    <row r="184" spans="16:18">
      <c r="P184" s="68"/>
      <c r="Q184" s="68"/>
      <c r="R184" s="68"/>
    </row>
    <row r="185" spans="16:18">
      <c r="P185" s="69"/>
      <c r="Q185" s="69"/>
      <c r="R185" s="69"/>
    </row>
    <row r="186" spans="16:18">
      <c r="P186" s="66"/>
      <c r="Q186" s="66"/>
      <c r="R186" s="66"/>
    </row>
    <row r="187" spans="16:18">
      <c r="P187" s="66"/>
      <c r="Q187" s="66"/>
      <c r="R187" s="66"/>
    </row>
    <row r="188" spans="16:18">
      <c r="P188" s="66"/>
      <c r="Q188" s="66"/>
      <c r="R188" s="66"/>
    </row>
    <row r="189" spans="16:18">
      <c r="P189" s="66"/>
      <c r="Q189" s="66"/>
      <c r="R189" s="66"/>
    </row>
    <row r="190" spans="16:18">
      <c r="P190" s="66"/>
      <c r="Q190" s="66"/>
      <c r="R190" s="66"/>
    </row>
    <row r="191" spans="16:18">
      <c r="P191" s="66"/>
      <c r="Q191" s="66"/>
      <c r="R191" s="66"/>
    </row>
    <row r="192" spans="16:18">
      <c r="P192" s="66"/>
      <c r="Q192" s="66"/>
      <c r="R192" s="66"/>
    </row>
    <row r="193" spans="16:18">
      <c r="P193" s="66"/>
      <c r="Q193" s="66"/>
      <c r="R193" s="66"/>
    </row>
    <row r="194" spans="16:18">
      <c r="P194" s="66"/>
      <c r="Q194" s="66"/>
      <c r="R194" s="66"/>
    </row>
    <row r="195" spans="16:18">
      <c r="P195" s="66"/>
      <c r="Q195" s="66"/>
      <c r="R195" s="66"/>
    </row>
    <row r="196" spans="16:18">
      <c r="P196" s="66"/>
      <c r="Q196" s="66"/>
      <c r="R196" s="66"/>
    </row>
    <row r="197" spans="16:18">
      <c r="P197" s="66"/>
      <c r="Q197" s="66"/>
      <c r="R197" s="66"/>
    </row>
    <row r="198" spans="16:18">
      <c r="P198" s="66"/>
      <c r="Q198" s="66"/>
      <c r="R198" s="66"/>
    </row>
    <row r="199" spans="16:18">
      <c r="P199" s="66"/>
      <c r="Q199" s="66"/>
      <c r="R199" s="66"/>
    </row>
    <row r="200" spans="16:18">
      <c r="P200" s="68"/>
      <c r="Q200" s="68"/>
      <c r="R200" s="68"/>
    </row>
    <row r="201" spans="16:18">
      <c r="P201" s="69"/>
      <c r="Q201" s="69"/>
      <c r="R201" s="69"/>
    </row>
    <row r="202" spans="16:18">
      <c r="P202" s="66"/>
      <c r="Q202" s="66"/>
      <c r="R202" s="66"/>
    </row>
    <row r="203" spans="16:18">
      <c r="P203" s="66"/>
      <c r="Q203" s="66"/>
      <c r="R203" s="66"/>
    </row>
    <row r="204" spans="16:18">
      <c r="P204" s="66"/>
      <c r="Q204" s="66"/>
      <c r="R204" s="66"/>
    </row>
    <row r="205" spans="16:18">
      <c r="P205" s="66"/>
      <c r="Q205" s="66"/>
      <c r="R205" s="66"/>
    </row>
    <row r="206" spans="16:18">
      <c r="P206" s="66"/>
      <c r="Q206" s="66"/>
      <c r="R206" s="66"/>
    </row>
    <row r="207" spans="16:18">
      <c r="P207" s="66"/>
      <c r="Q207" s="66"/>
      <c r="R207" s="66"/>
    </row>
    <row r="208" spans="16:18">
      <c r="P208" s="66"/>
      <c r="Q208" s="66"/>
      <c r="R208" s="66"/>
    </row>
    <row r="209" spans="16:18">
      <c r="P209" s="66"/>
      <c r="Q209" s="66"/>
      <c r="R209" s="66"/>
    </row>
    <row r="210" spans="16:18">
      <c r="P210" s="66"/>
      <c r="Q210" s="66"/>
      <c r="R210" s="66"/>
    </row>
    <row r="211" spans="16:18">
      <c r="P211" s="66"/>
      <c r="Q211" s="66"/>
      <c r="R211" s="66"/>
    </row>
    <row r="212" spans="16:18">
      <c r="P212" s="66"/>
      <c r="Q212" s="66"/>
      <c r="R212" s="66"/>
    </row>
    <row r="213" spans="16:18">
      <c r="P213" s="66"/>
      <c r="Q213" s="66"/>
      <c r="R213" s="66"/>
    </row>
    <row r="214" spans="16:18">
      <c r="P214" s="66"/>
      <c r="Q214" s="66"/>
      <c r="R214" s="66"/>
    </row>
    <row r="215" spans="16:18">
      <c r="P215" s="68"/>
      <c r="Q215" s="68"/>
      <c r="R215" s="68"/>
    </row>
    <row r="216" spans="16:18">
      <c r="P216" s="69"/>
      <c r="Q216" s="69"/>
      <c r="R216" s="69"/>
    </row>
    <row r="217" spans="16:18">
      <c r="P217" s="66"/>
      <c r="Q217" s="66"/>
      <c r="R217" s="66"/>
    </row>
    <row r="218" spans="16:18">
      <c r="P218" s="66"/>
      <c r="Q218" s="66"/>
      <c r="R218" s="66"/>
    </row>
    <row r="219" spans="16:18">
      <c r="P219" s="66"/>
      <c r="Q219" s="66"/>
      <c r="R219" s="66"/>
    </row>
    <row r="220" spans="16:18">
      <c r="P220" s="66"/>
      <c r="Q220" s="66"/>
      <c r="R220" s="66"/>
    </row>
    <row r="221" spans="16:18">
      <c r="P221" s="66"/>
      <c r="Q221" s="66"/>
      <c r="R221" s="66"/>
    </row>
    <row r="222" spans="16:18">
      <c r="P222" s="66"/>
      <c r="Q222" s="66"/>
      <c r="R222" s="66"/>
    </row>
    <row r="223" spans="16:18">
      <c r="P223" s="66"/>
      <c r="Q223" s="66"/>
      <c r="R223" s="66"/>
    </row>
    <row r="224" spans="16:18">
      <c r="P224" s="66"/>
      <c r="Q224" s="66"/>
      <c r="R224" s="66"/>
    </row>
    <row r="225" spans="16:18">
      <c r="P225" s="66"/>
      <c r="Q225" s="66"/>
      <c r="R225" s="66"/>
    </row>
    <row r="226" spans="16:18">
      <c r="P226" s="66"/>
      <c r="Q226" s="66"/>
      <c r="R226" s="66"/>
    </row>
    <row r="227" spans="16:18">
      <c r="P227" s="66"/>
      <c r="Q227" s="66"/>
      <c r="R227" s="66"/>
    </row>
    <row r="228" spans="16:18">
      <c r="P228" s="66"/>
      <c r="Q228" s="66"/>
      <c r="R228" s="66"/>
    </row>
    <row r="229" spans="16:18">
      <c r="P229" s="66"/>
      <c r="Q229" s="66"/>
      <c r="R229" s="66"/>
    </row>
    <row r="230" spans="16:18">
      <c r="P230" s="66"/>
      <c r="Q230" s="66"/>
      <c r="R230" s="66"/>
    </row>
    <row r="231" spans="16:18">
      <c r="P231" s="66"/>
      <c r="Q231" s="66"/>
      <c r="R231" s="66"/>
    </row>
    <row r="232" spans="16:18">
      <c r="P232" s="68"/>
      <c r="Q232" s="68"/>
      <c r="R232" s="68"/>
    </row>
    <row r="233" spans="16:18">
      <c r="P233" s="69"/>
      <c r="Q233" s="69"/>
      <c r="R233" s="69"/>
    </row>
    <row r="234" spans="16:18">
      <c r="P234" s="66"/>
      <c r="Q234" s="66"/>
      <c r="R234" s="66"/>
    </row>
    <row r="235" spans="16:18">
      <c r="P235" s="66"/>
      <c r="Q235" s="66"/>
      <c r="R235" s="66"/>
    </row>
    <row r="236" spans="16:18">
      <c r="P236" s="66"/>
      <c r="Q236" s="66"/>
      <c r="R236" s="66"/>
    </row>
    <row r="237" spans="16:18">
      <c r="P237" s="66"/>
      <c r="Q237" s="66"/>
      <c r="R237" s="66"/>
    </row>
    <row r="238" spans="16:18">
      <c r="P238" s="66"/>
      <c r="Q238" s="66"/>
      <c r="R238" s="66"/>
    </row>
    <row r="239" spans="16:18">
      <c r="P239" s="66"/>
      <c r="Q239" s="66"/>
      <c r="R239" s="66"/>
    </row>
    <row r="240" spans="16:18">
      <c r="P240" s="66"/>
      <c r="Q240" s="66"/>
      <c r="R240" s="66"/>
    </row>
    <row r="241" spans="16:18">
      <c r="P241" s="66"/>
      <c r="Q241" s="66"/>
      <c r="R241" s="66"/>
    </row>
    <row r="242" spans="16:18">
      <c r="P242" s="66"/>
      <c r="Q242" s="66"/>
      <c r="R242" s="66"/>
    </row>
    <row r="243" spans="16:18">
      <c r="P243" s="66"/>
      <c r="Q243" s="66"/>
      <c r="R243" s="66"/>
    </row>
    <row r="244" spans="16:18">
      <c r="P244" s="66"/>
      <c r="Q244" s="66"/>
      <c r="R244" s="66"/>
    </row>
    <row r="245" spans="16:18">
      <c r="P245" s="66"/>
      <c r="Q245" s="66"/>
      <c r="R245" s="66"/>
    </row>
    <row r="246" spans="16:18">
      <c r="P246" s="66"/>
      <c r="Q246" s="66"/>
      <c r="R246" s="66"/>
    </row>
    <row r="247" spans="16:18">
      <c r="P247" s="68"/>
      <c r="Q247" s="68"/>
      <c r="R247" s="68"/>
    </row>
    <row r="248" spans="16:18">
      <c r="P248" s="69"/>
      <c r="Q248" s="69"/>
      <c r="R248" s="69"/>
    </row>
    <row r="249" spans="16:18">
      <c r="P249" s="66"/>
      <c r="Q249" s="66"/>
      <c r="R249" s="66"/>
    </row>
    <row r="250" spans="16:18">
      <c r="P250" s="66"/>
      <c r="Q250" s="66"/>
      <c r="R250" s="66"/>
    </row>
    <row r="251" spans="16:18">
      <c r="P251" s="66"/>
      <c r="Q251" s="66"/>
      <c r="R251" s="66"/>
    </row>
    <row r="252" spans="16:18">
      <c r="P252" s="66"/>
      <c r="Q252" s="66"/>
      <c r="R252" s="66"/>
    </row>
    <row r="253" spans="16:18">
      <c r="P253" s="68"/>
      <c r="Q253" s="68"/>
      <c r="R253" s="68"/>
    </row>
    <row r="254" spans="16:18">
      <c r="P254" s="69"/>
      <c r="Q254" s="69"/>
      <c r="R254" s="69"/>
    </row>
    <row r="255" spans="16:18">
      <c r="P255" s="66"/>
      <c r="Q255" s="66"/>
      <c r="R255" s="66"/>
    </row>
    <row r="256" spans="16:18">
      <c r="P256" s="66"/>
      <c r="Q256" s="66"/>
      <c r="R256" s="66"/>
    </row>
    <row r="257" spans="16:18">
      <c r="P257" s="66"/>
      <c r="Q257" s="66"/>
      <c r="R257" s="66"/>
    </row>
    <row r="258" spans="16:18">
      <c r="P258" s="66"/>
      <c r="Q258" s="66"/>
      <c r="R258" s="66"/>
    </row>
    <row r="259" spans="16:18">
      <c r="P259" s="66"/>
      <c r="Q259" s="66"/>
      <c r="R259" s="66"/>
    </row>
    <row r="260" spans="16:18">
      <c r="P260" s="66"/>
      <c r="Q260" s="66"/>
      <c r="R260" s="66"/>
    </row>
    <row r="261" spans="16:18">
      <c r="P261" s="66"/>
      <c r="Q261" s="66"/>
      <c r="R261" s="66"/>
    </row>
    <row r="262" spans="16:18">
      <c r="P262" s="66"/>
      <c r="Q262" s="66"/>
      <c r="R262" s="66"/>
    </row>
    <row r="263" spans="16:18">
      <c r="P263" s="66"/>
      <c r="Q263" s="66"/>
      <c r="R263" s="66"/>
    </row>
    <row r="264" spans="16:18">
      <c r="P264" s="68"/>
      <c r="Q264" s="68"/>
      <c r="R264" s="68"/>
    </row>
    <row r="265" spans="16:18">
      <c r="P265" s="69"/>
      <c r="Q265" s="69"/>
      <c r="R265" s="69"/>
    </row>
    <row r="266" spans="16:18">
      <c r="P266" s="66"/>
      <c r="Q266" s="66"/>
      <c r="R266" s="66"/>
    </row>
    <row r="267" spans="16:18">
      <c r="P267" s="66"/>
      <c r="Q267" s="66"/>
      <c r="R267" s="66"/>
    </row>
    <row r="268" spans="16:18">
      <c r="P268" s="66"/>
      <c r="Q268" s="66"/>
      <c r="R268" s="66"/>
    </row>
    <row r="269" spans="16:18">
      <c r="P269" s="66"/>
      <c r="Q269" s="66"/>
      <c r="R269" s="66"/>
    </row>
    <row r="270" spans="16:18">
      <c r="P270" s="66"/>
      <c r="Q270" s="66"/>
      <c r="R270" s="66"/>
    </row>
    <row r="271" spans="16:18">
      <c r="P271" s="66"/>
      <c r="Q271" s="66"/>
      <c r="R271" s="66"/>
    </row>
    <row r="272" spans="16:18">
      <c r="P272" s="66"/>
      <c r="Q272" s="66"/>
      <c r="R272" s="66"/>
    </row>
    <row r="273" spans="16:18">
      <c r="P273" s="66"/>
      <c r="Q273" s="66"/>
      <c r="R273" s="66"/>
    </row>
    <row r="274" spans="16:18">
      <c r="P274" s="68"/>
      <c r="Q274" s="68"/>
      <c r="R274" s="68"/>
    </row>
    <row r="275" spans="16:18">
      <c r="P275" s="69"/>
      <c r="Q275" s="69"/>
      <c r="R275" s="69"/>
    </row>
    <row r="276" spans="16:18">
      <c r="P276" s="66"/>
      <c r="Q276" s="66"/>
      <c r="R276" s="66"/>
    </row>
    <row r="277" spans="16:18">
      <c r="P277" s="66"/>
      <c r="Q277" s="66"/>
      <c r="R277" s="66"/>
    </row>
    <row r="278" spans="16:18">
      <c r="P278" s="66"/>
      <c r="Q278" s="66"/>
      <c r="R278" s="66"/>
    </row>
    <row r="279" spans="16:18">
      <c r="P279" s="66"/>
      <c r="Q279" s="66"/>
      <c r="R279" s="66"/>
    </row>
    <row r="280" spans="16:18">
      <c r="P280" s="66"/>
      <c r="Q280" s="66"/>
      <c r="R280" s="66"/>
    </row>
    <row r="281" spans="16:18">
      <c r="P281" s="66"/>
      <c r="Q281" s="66"/>
      <c r="R281" s="66"/>
    </row>
    <row r="282" spans="16:18">
      <c r="P282" s="66"/>
      <c r="Q282" s="66"/>
      <c r="R282" s="66"/>
    </row>
    <row r="283" spans="16:18">
      <c r="P283" s="66"/>
      <c r="Q283" s="66"/>
      <c r="R283" s="66"/>
    </row>
    <row r="284" spans="16:18">
      <c r="P284" s="66"/>
      <c r="Q284" s="66"/>
      <c r="R284" s="66"/>
    </row>
    <row r="285" spans="16:18">
      <c r="P285" s="66"/>
      <c r="Q285" s="66"/>
      <c r="R285" s="66"/>
    </row>
    <row r="286" spans="16:18">
      <c r="P286" s="68"/>
      <c r="Q286" s="68"/>
      <c r="R286" s="68"/>
    </row>
    <row r="287" spans="16:18">
      <c r="P287" s="69"/>
      <c r="Q287" s="69"/>
      <c r="R287" s="69"/>
    </row>
    <row r="288" spans="16:18">
      <c r="P288" s="66"/>
      <c r="Q288" s="66"/>
      <c r="R288" s="66"/>
    </row>
    <row r="289" spans="16:18">
      <c r="P289" s="66"/>
      <c r="Q289" s="66"/>
      <c r="R289" s="66"/>
    </row>
    <row r="290" spans="16:18">
      <c r="P290" s="66"/>
      <c r="Q290" s="66"/>
      <c r="R290" s="66"/>
    </row>
    <row r="291" spans="16:18">
      <c r="P291" s="66"/>
      <c r="Q291" s="66"/>
      <c r="R291" s="66"/>
    </row>
    <row r="292" spans="16:18">
      <c r="P292" s="68"/>
      <c r="Q292" s="68"/>
      <c r="R292" s="68"/>
    </row>
    <row r="293" spans="16:18">
      <c r="P293" s="69"/>
      <c r="Q293" s="69"/>
      <c r="R293" s="69"/>
    </row>
    <row r="294" spans="16:18">
      <c r="P294" s="66"/>
      <c r="Q294" s="66"/>
      <c r="R294" s="66"/>
    </row>
    <row r="295" spans="16:18">
      <c r="P295" s="66"/>
      <c r="Q295" s="66"/>
      <c r="R295" s="66"/>
    </row>
    <row r="296" spans="16:18">
      <c r="P296" s="66"/>
      <c r="Q296" s="66"/>
      <c r="R296" s="66"/>
    </row>
    <row r="297" spans="16:18">
      <c r="P297" s="66"/>
      <c r="Q297" s="66"/>
      <c r="R297" s="66"/>
    </row>
    <row r="298" spans="16:18">
      <c r="P298" s="66"/>
      <c r="Q298" s="66"/>
      <c r="R298" s="66"/>
    </row>
    <row r="299" spans="16:18">
      <c r="P299" s="66"/>
      <c r="Q299" s="66"/>
      <c r="R299" s="66"/>
    </row>
    <row r="300" spans="16:18">
      <c r="P300" s="66"/>
      <c r="Q300" s="66"/>
      <c r="R300" s="66"/>
    </row>
    <row r="301" spans="16:18">
      <c r="P301" s="66"/>
      <c r="Q301" s="66"/>
      <c r="R301" s="66"/>
    </row>
    <row r="302" spans="16:18">
      <c r="P302" s="66"/>
      <c r="Q302" s="66"/>
      <c r="R302" s="66"/>
    </row>
    <row r="303" spans="16:18">
      <c r="P303" s="69"/>
      <c r="Q303" s="69"/>
      <c r="R303" s="69"/>
    </row>
    <row r="304" spans="16:18">
      <c r="P304" s="66"/>
      <c r="Q304" s="66"/>
      <c r="R304" s="66"/>
    </row>
    <row r="305" spans="16:18">
      <c r="P305" s="66"/>
      <c r="Q305" s="66"/>
      <c r="R305" s="66"/>
    </row>
    <row r="306" spans="16:18">
      <c r="P306" s="66"/>
      <c r="Q306" s="66"/>
      <c r="R306" s="66"/>
    </row>
    <row r="307" spans="16:18">
      <c r="P307" s="66"/>
      <c r="Q307" s="66"/>
      <c r="R307" s="66"/>
    </row>
    <row r="308" spans="16:18">
      <c r="P308" s="66"/>
      <c r="Q308" s="66"/>
      <c r="R308" s="66"/>
    </row>
    <row r="309" spans="16:18">
      <c r="P309" s="68"/>
      <c r="Q309" s="68"/>
      <c r="R309" s="68"/>
    </row>
    <row r="310" spans="16:18">
      <c r="P310" s="69"/>
      <c r="Q310" s="69"/>
      <c r="R310" s="69"/>
    </row>
    <row r="311" spans="16:18">
      <c r="P311" s="66"/>
      <c r="Q311" s="66"/>
      <c r="R311" s="66"/>
    </row>
    <row r="312" spans="16:18">
      <c r="P312" s="66"/>
      <c r="Q312" s="66"/>
      <c r="R312" s="66"/>
    </row>
    <row r="313" spans="16:18">
      <c r="P313" s="66"/>
      <c r="Q313" s="66"/>
      <c r="R313" s="66"/>
    </row>
    <row r="314" spans="16:18">
      <c r="P314" s="66"/>
      <c r="Q314" s="66"/>
      <c r="R314" s="66"/>
    </row>
    <row r="315" spans="16:18">
      <c r="P315" s="66"/>
      <c r="Q315" s="66"/>
      <c r="R315" s="66"/>
    </row>
    <row r="316" spans="16:18">
      <c r="P316" s="69"/>
      <c r="Q316" s="69"/>
      <c r="R316" s="69"/>
    </row>
    <row r="317" spans="16:18">
      <c r="P317" s="66"/>
      <c r="Q317" s="66"/>
      <c r="R317" s="66"/>
    </row>
    <row r="318" spans="16:18">
      <c r="P318" s="68"/>
      <c r="Q318" s="68"/>
      <c r="R318" s="68"/>
    </row>
    <row r="319" spans="16:18">
      <c r="P319" s="69"/>
      <c r="Q319" s="69"/>
      <c r="R319" s="69"/>
    </row>
    <row r="320" spans="16:18">
      <c r="P320" s="66"/>
      <c r="Q320" s="66"/>
      <c r="R320" s="66"/>
    </row>
    <row r="321" spans="16:18">
      <c r="P321" s="66"/>
      <c r="Q321" s="66"/>
      <c r="R321" s="66"/>
    </row>
    <row r="322" spans="16:18">
      <c r="P322" s="66"/>
      <c r="Q322" s="66"/>
      <c r="R322" s="66"/>
    </row>
    <row r="323" spans="16:18">
      <c r="P323" s="66"/>
      <c r="Q323" s="66"/>
      <c r="R323" s="66"/>
    </row>
    <row r="324" spans="16:18">
      <c r="P324" s="66"/>
      <c r="Q324" s="66"/>
      <c r="R324" s="66"/>
    </row>
    <row r="325" spans="16:18">
      <c r="P325" s="66"/>
      <c r="Q325" s="66"/>
      <c r="R325" s="66"/>
    </row>
    <row r="326" spans="16:18">
      <c r="P326" s="66"/>
      <c r="Q326" s="66"/>
      <c r="R326" s="66"/>
    </row>
    <row r="327" spans="16:18">
      <c r="P327" s="66"/>
      <c r="Q327" s="66"/>
      <c r="R327" s="66"/>
    </row>
    <row r="328" spans="16:18">
      <c r="P328" s="66"/>
      <c r="Q328" s="66"/>
      <c r="R328" s="66"/>
    </row>
    <row r="329" spans="16:18">
      <c r="P329" s="66"/>
      <c r="Q329" s="66"/>
      <c r="R329" s="66"/>
    </row>
    <row r="330" spans="16:18">
      <c r="P330" s="66"/>
      <c r="Q330" s="66"/>
      <c r="R330" s="66"/>
    </row>
    <row r="331" spans="16:18">
      <c r="P331" s="66"/>
      <c r="Q331" s="66"/>
      <c r="R331" s="66"/>
    </row>
    <row r="332" spans="16:18">
      <c r="P332" s="66"/>
      <c r="Q332" s="66"/>
      <c r="R332" s="66"/>
    </row>
    <row r="333" spans="16:18">
      <c r="P333" s="68"/>
      <c r="Q333" s="68"/>
      <c r="R333" s="68"/>
    </row>
    <row r="334" spans="16:18">
      <c r="P334" s="69"/>
      <c r="Q334" s="69"/>
      <c r="R334" s="69"/>
    </row>
    <row r="335" spans="16:18">
      <c r="P335" s="66"/>
      <c r="Q335" s="66"/>
      <c r="R335" s="66"/>
    </row>
    <row r="336" spans="16:18">
      <c r="P336" s="66"/>
      <c r="Q336" s="66"/>
      <c r="R336" s="66"/>
    </row>
    <row r="337" spans="16:18">
      <c r="P337" s="66"/>
      <c r="Q337" s="66"/>
      <c r="R337" s="66"/>
    </row>
    <row r="338" spans="16:18">
      <c r="P338" s="66"/>
      <c r="Q338" s="66"/>
      <c r="R338" s="66"/>
    </row>
    <row r="339" spans="16:18">
      <c r="P339" s="66"/>
      <c r="Q339" s="66"/>
      <c r="R339" s="66"/>
    </row>
    <row r="340" spans="16:18">
      <c r="P340" s="66"/>
      <c r="Q340" s="66"/>
      <c r="R340" s="66"/>
    </row>
    <row r="341" spans="16:18">
      <c r="P341" s="66"/>
      <c r="Q341" s="66"/>
      <c r="R341" s="66"/>
    </row>
    <row r="342" spans="16:18">
      <c r="P342" s="66"/>
      <c r="Q342" s="66"/>
      <c r="R342" s="66"/>
    </row>
    <row r="343" spans="16:18">
      <c r="P343" s="66"/>
      <c r="Q343" s="66"/>
      <c r="R343" s="66"/>
    </row>
    <row r="344" spans="16:18">
      <c r="P344" s="66"/>
      <c r="Q344" s="66"/>
      <c r="R344" s="66"/>
    </row>
    <row r="345" spans="16:18">
      <c r="P345" s="66"/>
      <c r="Q345" s="66"/>
      <c r="R345" s="66"/>
    </row>
    <row r="346" spans="16:18">
      <c r="P346" s="68"/>
      <c r="Q346" s="68"/>
      <c r="R346" s="68"/>
    </row>
    <row r="347" spans="16:18">
      <c r="P347" s="69"/>
      <c r="Q347" s="69"/>
      <c r="R347" s="69"/>
    </row>
    <row r="348" spans="16:18">
      <c r="P348" s="66"/>
      <c r="Q348" s="66"/>
      <c r="R348" s="66"/>
    </row>
    <row r="349" spans="16:18">
      <c r="P349" s="66"/>
      <c r="Q349" s="66"/>
      <c r="R349" s="66"/>
    </row>
    <row r="350" spans="16:18">
      <c r="P350" s="66"/>
      <c r="Q350" s="66"/>
      <c r="R350" s="66"/>
    </row>
    <row r="351" spans="16:18">
      <c r="P351" s="66"/>
      <c r="Q351" s="66"/>
      <c r="R351" s="66"/>
    </row>
    <row r="352" spans="16:18">
      <c r="P352" s="66"/>
      <c r="Q352" s="66"/>
      <c r="R352" s="66"/>
    </row>
    <row r="353" spans="16:18">
      <c r="P353" s="66"/>
      <c r="Q353" s="66"/>
      <c r="R353" s="66"/>
    </row>
    <row r="354" spans="16:18">
      <c r="P354" s="66"/>
      <c r="Q354" s="66"/>
      <c r="R354" s="66"/>
    </row>
    <row r="355" spans="16:18">
      <c r="P355" s="66"/>
      <c r="Q355" s="66"/>
      <c r="R355" s="66"/>
    </row>
    <row r="356" spans="16:18">
      <c r="P356" s="68"/>
      <c r="Q356" s="68"/>
      <c r="R356" s="68"/>
    </row>
    <row r="357" spans="16:18">
      <c r="P357" s="69"/>
      <c r="Q357" s="69"/>
      <c r="R357" s="69"/>
    </row>
    <row r="358" spans="16:18">
      <c r="P358" s="66"/>
      <c r="Q358" s="66"/>
      <c r="R358" s="66"/>
    </row>
    <row r="359" spans="16:18">
      <c r="P359" s="66"/>
      <c r="Q359" s="66"/>
      <c r="R359" s="66"/>
    </row>
    <row r="360" spans="16:18">
      <c r="P360" s="66"/>
      <c r="Q360" s="66"/>
      <c r="R360" s="66"/>
    </row>
    <row r="361" spans="16:18">
      <c r="P361" s="66"/>
      <c r="Q361" s="66"/>
      <c r="R361" s="66"/>
    </row>
    <row r="362" spans="16:18">
      <c r="P362" s="66"/>
      <c r="Q362" s="66"/>
      <c r="R362" s="66"/>
    </row>
    <row r="363" spans="16:18">
      <c r="P363" s="66"/>
      <c r="Q363" s="66"/>
      <c r="R363" s="66"/>
    </row>
    <row r="364" spans="16:18">
      <c r="P364" s="66"/>
      <c r="Q364" s="66"/>
      <c r="R364" s="66"/>
    </row>
    <row r="365" spans="16:18">
      <c r="P365" s="66"/>
      <c r="Q365" s="66"/>
      <c r="R365" s="66"/>
    </row>
    <row r="366" spans="16:18">
      <c r="P366" s="66"/>
      <c r="Q366" s="66"/>
      <c r="R366" s="66"/>
    </row>
    <row r="367" spans="16:18">
      <c r="P367" s="68"/>
      <c r="Q367" s="68"/>
      <c r="R367" s="68"/>
    </row>
    <row r="368" spans="16:18">
      <c r="P368" s="69"/>
      <c r="Q368" s="69"/>
      <c r="R368" s="69"/>
    </row>
    <row r="369" spans="16:18">
      <c r="P369" s="66"/>
      <c r="Q369" s="66"/>
      <c r="R369" s="66"/>
    </row>
    <row r="370" spans="16:18">
      <c r="P370" s="68"/>
      <c r="Q370" s="68"/>
      <c r="R370" s="68"/>
    </row>
    <row r="371" spans="16:18">
      <c r="P371" s="69"/>
      <c r="Q371" s="69"/>
      <c r="R371" s="69"/>
    </row>
    <row r="372" spans="16:18">
      <c r="P372" s="71"/>
      <c r="Q372" s="71"/>
      <c r="R372" s="71"/>
    </row>
    <row r="373" spans="16:18">
      <c r="P373" s="66"/>
      <c r="Q373" s="66"/>
      <c r="R373" s="66"/>
    </row>
    <row r="374" spans="16:18">
      <c r="P374" s="66"/>
      <c r="Q374" s="66"/>
      <c r="R374" s="66"/>
    </row>
    <row r="375" spans="16:18">
      <c r="P375" s="66"/>
      <c r="Q375" s="66"/>
      <c r="R375" s="66"/>
    </row>
    <row r="376" spans="16:18">
      <c r="P376" s="66"/>
      <c r="Q376" s="66"/>
      <c r="R376" s="66"/>
    </row>
    <row r="377" spans="16:18">
      <c r="P377" s="72"/>
      <c r="Q377" s="72"/>
      <c r="R377" s="72"/>
    </row>
    <row r="378" spans="16:18">
      <c r="P378" s="51"/>
      <c r="Q378" s="51"/>
      <c r="R378" s="51"/>
    </row>
  </sheetData>
  <mergeCells count="20">
    <mergeCell ref="S6:V6"/>
    <mergeCell ref="E7:G7"/>
    <mergeCell ref="H7:L7"/>
    <mergeCell ref="S7:V7"/>
    <mergeCell ref="A2:W2"/>
    <mergeCell ref="A3:W3"/>
    <mergeCell ref="E4:G4"/>
    <mergeCell ref="H4:L4"/>
    <mergeCell ref="M4:O5"/>
    <mergeCell ref="P4:R5"/>
    <mergeCell ref="S4:V4"/>
    <mergeCell ref="W4:W8"/>
    <mergeCell ref="E5:G5"/>
    <mergeCell ref="H5:L5"/>
    <mergeCell ref="S5:V5"/>
    <mergeCell ref="D6:D7"/>
    <mergeCell ref="E6:G6"/>
    <mergeCell ref="H6:L6"/>
    <mergeCell ref="M6:O7"/>
    <mergeCell ref="P6:R7"/>
  </mergeCells>
  <pageMargins left="0.17" right="0.16" top="0.23" bottom="0.18" header="0.17" footer="0.17"/>
  <pageSetup paperSize="9" scale="60" orientation="landscape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2014-10-08T07:59:56Z</dcterms:modified>
</cp:coreProperties>
</file>