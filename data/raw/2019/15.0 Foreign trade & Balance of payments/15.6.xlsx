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6" sheetId="6" r:id="rId1"/>
  </sheets>
  <definedNames>
    <definedName name="_xlnm.Print_Titles" localSheetId="0">'15.6'!$4:$5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8" i="6" l="1"/>
  <c r="K68" i="6"/>
  <c r="J68" i="6"/>
  <c r="I68" i="6"/>
  <c r="H68" i="6"/>
  <c r="G68" i="6"/>
  <c r="F68" i="6"/>
  <c r="E68" i="6"/>
  <c r="D68" i="6"/>
  <c r="C68" i="6"/>
  <c r="B68" i="6"/>
  <c r="L48" i="6"/>
  <c r="K48" i="6"/>
  <c r="J48" i="6"/>
  <c r="I48" i="6"/>
  <c r="H48" i="6"/>
  <c r="G48" i="6"/>
  <c r="F48" i="6"/>
  <c r="E48" i="6"/>
  <c r="D48" i="6"/>
  <c r="C48" i="6"/>
  <c r="B48" i="6"/>
  <c r="L45" i="6"/>
  <c r="K45" i="6"/>
  <c r="J45" i="6"/>
  <c r="I45" i="6"/>
  <c r="H45" i="6"/>
  <c r="G45" i="6"/>
  <c r="F45" i="6"/>
  <c r="E45" i="6"/>
  <c r="D45" i="6"/>
  <c r="C45" i="6"/>
  <c r="B45" i="6"/>
  <c r="L38" i="6"/>
  <c r="K38" i="6"/>
  <c r="J38" i="6"/>
  <c r="I38" i="6"/>
  <c r="H38" i="6"/>
  <c r="G38" i="6"/>
  <c r="F38" i="6"/>
  <c r="E38" i="6"/>
  <c r="D38" i="6"/>
  <c r="C38" i="6"/>
  <c r="B38" i="6"/>
  <c r="L31" i="6"/>
  <c r="K31" i="6"/>
  <c r="J31" i="6"/>
  <c r="I31" i="6"/>
  <c r="I6" i="6" s="1"/>
  <c r="H31" i="6"/>
  <c r="G31" i="6"/>
  <c r="G6" i="6" s="1"/>
  <c r="F31" i="6"/>
  <c r="E31" i="6"/>
  <c r="D31" i="6"/>
  <c r="C31" i="6"/>
  <c r="B31" i="6"/>
  <c r="L7" i="6"/>
  <c r="K7" i="6"/>
  <c r="J7" i="6"/>
  <c r="I7" i="6"/>
  <c r="H7" i="6"/>
  <c r="H6" i="6" s="1"/>
  <c r="G7" i="6"/>
  <c r="F7" i="6"/>
  <c r="E7" i="6"/>
  <c r="D7" i="6"/>
  <c r="C7" i="6"/>
  <c r="B7" i="6"/>
  <c r="B6" i="6" s="1"/>
  <c r="J6" i="6" l="1"/>
  <c r="D6" i="6"/>
  <c r="L6" i="6"/>
  <c r="F6" i="6"/>
  <c r="C6" i="6"/>
  <c r="E6" i="6"/>
  <c r="K6" i="6"/>
</calcChain>
</file>

<file path=xl/sharedStrings.xml><?xml version="1.0" encoding="utf-8"?>
<sst xmlns="http://schemas.openxmlformats.org/spreadsheetml/2006/main" count="160" uniqueCount="156">
  <si>
    <t>Country</t>
  </si>
  <si>
    <t>Total</t>
  </si>
  <si>
    <t>Europe</t>
  </si>
  <si>
    <t>Netherland</t>
  </si>
  <si>
    <t>Germany</t>
  </si>
  <si>
    <t>Italy</t>
  </si>
  <si>
    <t>U.K</t>
  </si>
  <si>
    <t>Asia</t>
  </si>
  <si>
    <t>France</t>
  </si>
  <si>
    <t>Middle East</t>
  </si>
  <si>
    <t>Switzerland</t>
  </si>
  <si>
    <t>America</t>
  </si>
  <si>
    <t>Sweden</t>
  </si>
  <si>
    <t>Oceania</t>
  </si>
  <si>
    <t>Africa</t>
  </si>
  <si>
    <t>Singapore</t>
  </si>
  <si>
    <t>India</t>
  </si>
  <si>
    <t>Malaysia</t>
  </si>
  <si>
    <t>Sri Lanka</t>
  </si>
  <si>
    <t>Thailand</t>
  </si>
  <si>
    <t>China</t>
  </si>
  <si>
    <t>Indonesia</t>
  </si>
  <si>
    <t>Japan</t>
  </si>
  <si>
    <t>South Africa</t>
  </si>
  <si>
    <t>Mauritius</t>
  </si>
  <si>
    <t>Canada</t>
  </si>
  <si>
    <t>Brazil</t>
  </si>
  <si>
    <t>itwmuriaudem</t>
  </si>
  <si>
    <t>Oman</t>
  </si>
  <si>
    <t>Bahrain</t>
  </si>
  <si>
    <t>Australia</t>
  </si>
  <si>
    <t>New Zealand</t>
  </si>
  <si>
    <t>Source:  Maldives Customs Services</t>
  </si>
  <si>
    <t>-</t>
  </si>
  <si>
    <t xml:space="preserve">cswsivrWs ccscmwTcswk cscviDclOm :ctWrwfivcaed utWmUluAwm     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</si>
  <si>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</si>
  <si>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</si>
  <si>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</si>
  <si>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</si>
  <si>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</si>
  <si>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</si>
  <si>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</si>
  <si>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</si>
  <si>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2018 - 2008 ,cawtumuawq unuvunof Wdum unuverukurEb cnEjcaWr : 15.6 ulwvWt</t>
  </si>
  <si>
    <t>Table  15.6 :   EXPORTS BY COUNTRY OF DESTINATION, 2008 - 2018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</si>
  <si>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(cniaWyifur '000 ) ugwa</t>
    </r>
  </si>
  <si>
    <t>ޤައުމު</t>
  </si>
  <si>
    <t>ޖުމްލަ</t>
  </si>
  <si>
    <t>ޔޫރަޕް</t>
  </si>
  <si>
    <t>Austria</t>
  </si>
  <si>
    <t>އޮސްޓްރިއާ</t>
  </si>
  <si>
    <t>Belgium</t>
  </si>
  <si>
    <t>ބެލްޖިއަމް</t>
  </si>
  <si>
    <t>Czech Republic</t>
  </si>
  <si>
    <t>ޗެކްރިޕަބްލިކް</t>
  </si>
  <si>
    <t>ޑެންމާކް</t>
  </si>
  <si>
    <t>Finland</t>
  </si>
  <si>
    <t>ފިންލަންޑް</t>
  </si>
  <si>
    <t>ފްރާންސް</t>
  </si>
  <si>
    <t>ޖަރމަނީ</t>
  </si>
  <si>
    <t>Greece</t>
  </si>
  <si>
    <t>ގްރީސް</t>
  </si>
  <si>
    <t>Hungary</t>
  </si>
  <si>
    <t>ހަންގެރީ</t>
  </si>
  <si>
    <t>އިޓަލީ</t>
  </si>
  <si>
    <t>Ireland</t>
  </si>
  <si>
    <t>އަޔަލެންޑް</t>
  </si>
  <si>
    <t>Luxembourg</t>
  </si>
  <si>
    <t>ލަކްސަމްބާގް</t>
  </si>
  <si>
    <t>Malta</t>
  </si>
  <si>
    <t>މޯލްޓާ</t>
  </si>
  <si>
    <t>ނެދަލެންޑް</t>
  </si>
  <si>
    <t>Norway</t>
  </si>
  <si>
    <t>ނޯވޭ</t>
  </si>
  <si>
    <t>Poland</t>
  </si>
  <si>
    <t>ޕޮލެންޑް</t>
  </si>
  <si>
    <t>Portugal</t>
  </si>
  <si>
    <t>ޕޯޗުގަލް</t>
  </si>
  <si>
    <t>Russia</t>
  </si>
  <si>
    <t>ރަޝިޔާ</t>
  </si>
  <si>
    <t>ސްޕޭން</t>
  </si>
  <si>
    <t>ސްވިޑްން</t>
  </si>
  <si>
    <t>ސްވިޒަލަންޑް</t>
  </si>
  <si>
    <t>Ukraine</t>
  </si>
  <si>
    <t>ޔުކްރެއިން</t>
  </si>
  <si>
    <t>ޔޫ.ކޭ</t>
  </si>
  <si>
    <t>އެޕްރިކާ</t>
  </si>
  <si>
    <t>މޮރީޝަސް</t>
  </si>
  <si>
    <t>ސައުތް އެޕްރިކާ</t>
  </si>
  <si>
    <t>Seychelles</t>
  </si>
  <si>
    <t>ސީޝެލްސް</t>
  </si>
  <si>
    <t>Tanzania</t>
  </si>
  <si>
    <t>ޓެންޒޭނިއާ</t>
  </si>
  <si>
    <t>Reunion</t>
  </si>
  <si>
    <t>Tunisia</t>
  </si>
  <si>
    <t>ޓިއުނީޝިއާ</t>
  </si>
  <si>
    <t>އެމެރިކާ</t>
  </si>
  <si>
    <t>ބްރެޒިލް</t>
  </si>
  <si>
    <t>ކެނެޑާ</t>
  </si>
  <si>
    <t>Costa rica</t>
  </si>
  <si>
    <t>ކޯސްޓަރ ރިކާ</t>
  </si>
  <si>
    <t>Ecuador</t>
  </si>
  <si>
    <t>ޢިކުއިޑާ</t>
  </si>
  <si>
    <t>Jamaica</t>
  </si>
  <si>
    <t>ޖެމެއިކާ</t>
  </si>
  <si>
    <t>ޔޫ.އެސް.އޭ</t>
  </si>
  <si>
    <t>އޯޝަނިއާ</t>
  </si>
  <si>
    <t>އޮސްޓްރޭލިއާ</t>
  </si>
  <si>
    <t>އޭޝިއާ</t>
  </si>
  <si>
    <t>Bangladesh</t>
  </si>
  <si>
    <t>ބަންގްލަދޭޝް</t>
  </si>
  <si>
    <t>ޗައިނާ</t>
  </si>
  <si>
    <t>Cambodia</t>
  </si>
  <si>
    <t>ކެމްބޯޑިއާ</t>
  </si>
  <si>
    <t>Georgia</t>
  </si>
  <si>
    <t>ޖޯޖިއާ</t>
  </si>
  <si>
    <t>ހޮންކޮންގ</t>
  </si>
  <si>
    <t>އިންޑިއާ</t>
  </si>
  <si>
    <t>އިންޑޮނީޝިއާ</t>
  </si>
  <si>
    <t>ޖަޕާން</t>
  </si>
  <si>
    <t>މެލޭޝިއާ</t>
  </si>
  <si>
    <t>Nepal</t>
  </si>
  <si>
    <t>ނޭޕާލް</t>
  </si>
  <si>
    <t>Pakisthan</t>
  </si>
  <si>
    <t>ޕާކިސްތާން</t>
  </si>
  <si>
    <t>Philippines</t>
  </si>
  <si>
    <t>ފިލިޕީންސް</t>
  </si>
  <si>
    <t>ސިންގަޕޯރ</t>
  </si>
  <si>
    <t>South Korea</t>
  </si>
  <si>
    <t>ސައުތް ކޮރެއާ</t>
  </si>
  <si>
    <t>ސްރީލަންކާ</t>
  </si>
  <si>
    <t>Kazakhstan</t>
  </si>
  <si>
    <t>ކަޒަކިސްތާން</t>
  </si>
  <si>
    <t>ތައިލެންޑް</t>
  </si>
  <si>
    <t>Vietnam</t>
  </si>
  <si>
    <t>ވިއެޓްނާމް</t>
  </si>
  <si>
    <t>ބަހުރެއިން</t>
  </si>
  <si>
    <t>Cyprus</t>
  </si>
  <si>
    <t>ސައިޕްރަސް</t>
  </si>
  <si>
    <t>އިރާން</t>
  </si>
  <si>
    <t>Iraq</t>
  </si>
  <si>
    <t>އިރާގު</t>
  </si>
  <si>
    <t>Kuwait</t>
  </si>
  <si>
    <t>ކުވެއިތް</t>
  </si>
  <si>
    <t>Lebanon</t>
  </si>
  <si>
    <t>ލެބަނަން</t>
  </si>
  <si>
    <t>އޮމާން</t>
  </si>
  <si>
    <t>Qatar</t>
  </si>
  <si>
    <t>ގަތަރު</t>
  </si>
  <si>
    <t>Saudi Arabia</t>
  </si>
  <si>
    <t>ސައުދީ އަރަބިއާ</t>
  </si>
  <si>
    <t>Turkey</t>
  </si>
  <si>
    <t>ތުރުކީ</t>
  </si>
  <si>
    <t>ޔޫ.އޭ.އީ</t>
  </si>
  <si>
    <t>Yemen</t>
  </si>
  <si>
    <t>ޔަމަން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</si>
</sst>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9"/>
      <name val="A_Randhoo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</font>
    <font>
      <b/>
      <sz val="12"/>
      <name val="Calibri"/>
      <family val="2"/>
      <scheme val="minor"/>
    </font>
    <font>
      <b/>
      <sz val="12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i/>
      <sz val="9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hair">
        <color theme="1"/>
      </bottom>
      <diagonal/>
    </border>
  </borders>
  <cellStyleXfs count="72">
    <xf numFmtId="0" fontId="0" fillId="0" borderId="0"/>
    <xf numFmtId="43" fontId="9" fillId="0" borderId="0" applyFont="0" applyFill="0" applyBorder="0" applyAlignment="0" applyProtection="0"/>
    <xf numFmtId="171" fontId="16" fillId="0" borderId="0"/>
    <xf numFmtId="40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20" applyNumberFormat="0" applyAlignment="0" applyProtection="0"/>
    <xf numFmtId="0" fontId="31" fillId="7" borderId="21" applyNumberFormat="0" applyAlignment="0" applyProtection="0"/>
    <xf numFmtId="0" fontId="32" fillId="7" borderId="20" applyNumberFormat="0" applyAlignment="0" applyProtection="0"/>
    <xf numFmtId="0" fontId="33" fillId="0" borderId="22" applyNumberFormat="0" applyFill="0" applyAlignment="0" applyProtection="0"/>
    <xf numFmtId="0" fontId="34" fillId="8" borderId="23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3" borderId="0" applyNumberFormat="0" applyBorder="0" applyAlignment="0" applyProtection="0"/>
    <xf numFmtId="0" fontId="38" fillId="0" borderId="0"/>
    <xf numFmtId="0" fontId="9" fillId="0" borderId="0"/>
    <xf numFmtId="172" fontId="9" fillId="0" borderId="0" applyFont="0" applyFill="0" applyBorder="0" applyAlignment="0" applyProtection="0"/>
    <xf numFmtId="173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1" fillId="34" borderId="0" applyNumberFormat="0" applyBorder="0" applyAlignment="0" applyProtection="0"/>
  </cellStyleXfs>
  <cellXfs count="68">
    <xf numFmtId="0" fontId="0" fillId="0" borderId="0" xfId="0"/>
    <xf numFmtId="171" fontId="4" fillId="2" borderId="5" xfId="2" applyFont="1" applyFill="1" applyBorder="1" applyAlignment="1">
      <alignment vertical="center"/>
    </xf>
    <xf numFmtId="171" fontId="4" fillId="2" borderId="5" xfId="2" applyFont="1" applyFill="1" applyBorder="1" applyAlignment="1"/>
    <xf numFmtId="0" fontId="11" fillId="2" borderId="8" xfId="0" applyFont="1" applyFill="1" applyBorder="1" applyAlignment="1">
      <alignment horizontal="right" readingOrder="2"/>
    </xf>
    <xf numFmtId="171" fontId="12" fillId="2" borderId="5" xfId="2" applyFont="1" applyFill="1" applyBorder="1" applyAlignment="1">
      <alignment vertical="center"/>
    </xf>
    <xf numFmtId="171" fontId="7" fillId="2" borderId="5" xfId="2" applyFont="1" applyFill="1" applyBorder="1" applyAlignment="1" applyProtection="1">
      <alignment horizontal="center" vertical="center"/>
    </xf>
    <xf numFmtId="171" fontId="7" fillId="2" borderId="5" xfId="2" applyFont="1" applyFill="1" applyBorder="1" applyAlignment="1" applyProtection="1">
      <alignment horizontal="right" vertical="center"/>
    </xf>
    <xf numFmtId="0" fontId="2" fillId="2" borderId="2" xfId="1" applyNumberFormat="1" applyFont="1" applyFill="1" applyBorder="1" applyAlignment="1" applyProtection="1">
      <alignment horizontal="right" vertical="center"/>
    </xf>
    <xf numFmtId="171" fontId="21" fillId="2" borderId="8" xfId="2" applyFont="1" applyFill="1" applyBorder="1" applyAlignment="1" applyProtection="1">
      <alignment horizontal="left" vertical="center"/>
    </xf>
    <xf numFmtId="3" fontId="2" fillId="2" borderId="8" xfId="2" applyNumberFormat="1" applyFont="1" applyFill="1" applyBorder="1" applyAlignment="1" applyProtection="1">
      <alignment horizontal="right" vertical="center"/>
    </xf>
    <xf numFmtId="0" fontId="18" fillId="2" borderId="11" xfId="0" applyFont="1" applyFill="1" applyBorder="1" applyAlignment="1">
      <alignment horizontal="right" vertical="center"/>
    </xf>
    <xf numFmtId="0" fontId="13" fillId="2" borderId="5" xfId="0" applyFont="1" applyFill="1" applyBorder="1" applyAlignment="1">
      <alignment vertical="center"/>
    </xf>
    <xf numFmtId="171" fontId="19" fillId="2" borderId="5" xfId="2" applyFont="1" applyFill="1" applyBorder="1" applyAlignment="1">
      <alignment horizontal="left" vertical="center"/>
    </xf>
    <xf numFmtId="3" fontId="5" fillId="2" borderId="5" xfId="3" applyNumberFormat="1" applyFont="1" applyFill="1" applyBorder="1" applyAlignment="1">
      <alignment horizontal="right" vertical="center"/>
    </xf>
    <xf numFmtId="171" fontId="20" fillId="2" borderId="5" xfId="2" applyFont="1" applyFill="1" applyBorder="1" applyAlignment="1">
      <alignment horizontal="right" vertical="center"/>
    </xf>
    <xf numFmtId="171" fontId="6" fillId="2" borderId="5" xfId="2" applyFont="1" applyFill="1" applyBorder="1" applyAlignment="1" applyProtection="1">
      <alignment horizontal="left" vertical="center"/>
    </xf>
    <xf numFmtId="3" fontId="8" fillId="2" borderId="5" xfId="1" applyNumberFormat="1" applyFont="1" applyFill="1" applyBorder="1" applyAlignment="1">
      <alignment horizontal="right" vertical="center"/>
    </xf>
    <xf numFmtId="171" fontId="22" fillId="2" borderId="5" xfId="2" applyFont="1" applyFill="1" applyBorder="1" applyAlignment="1">
      <alignment horizontal="right" vertical="center"/>
    </xf>
    <xf numFmtId="3" fontId="8" fillId="2" borderId="1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171" fontId="6" fillId="2" borderId="15" xfId="2" applyFont="1" applyFill="1" applyBorder="1" applyAlignment="1" applyProtection="1">
      <alignment horizontal="left" vertical="center"/>
    </xf>
    <xf numFmtId="3" fontId="8" fillId="2" borderId="15" xfId="1" applyNumberFormat="1" applyFont="1" applyFill="1" applyBorder="1" applyAlignment="1">
      <alignment horizontal="right" vertical="center"/>
    </xf>
    <xf numFmtId="171" fontId="22" fillId="2" borderId="15" xfId="2" applyFont="1" applyFill="1" applyBorder="1" applyAlignment="1">
      <alignment horizontal="right" vertical="center"/>
    </xf>
    <xf numFmtId="171" fontId="19" fillId="2" borderId="8" xfId="2" applyFont="1" applyFill="1" applyBorder="1" applyAlignment="1">
      <alignment horizontal="left" vertical="center"/>
    </xf>
    <xf numFmtId="3" fontId="5" fillId="2" borderId="8" xfId="3" applyNumberFormat="1" applyFont="1" applyFill="1" applyBorder="1" applyAlignment="1">
      <alignment horizontal="right" vertical="center"/>
    </xf>
    <xf numFmtId="171" fontId="22" fillId="2" borderId="8" xfId="2" applyFont="1" applyFill="1" applyBorder="1" applyAlignment="1">
      <alignment horizontal="right" vertical="center"/>
    </xf>
    <xf numFmtId="1" fontId="6" fillId="2" borderId="5" xfId="0" applyNumberFormat="1" applyFont="1" applyFill="1" applyBorder="1" applyAlignment="1">
      <alignment horizontal="left" vertical="center"/>
    </xf>
    <xf numFmtId="3" fontId="8" fillId="2" borderId="5" xfId="4" applyNumberFormat="1" applyFont="1" applyFill="1" applyBorder="1" applyAlignment="1">
      <alignment horizontal="right" vertical="center"/>
    </xf>
    <xf numFmtId="3" fontId="8" fillId="2" borderId="6" xfId="1" applyNumberFormat="1" applyFont="1" applyFill="1" applyBorder="1" applyAlignment="1">
      <alignment horizontal="right" vertical="center"/>
    </xf>
    <xf numFmtId="171" fontId="22" fillId="2" borderId="4" xfId="2" applyFont="1" applyFill="1" applyBorder="1" applyAlignment="1">
      <alignment horizontal="right" vertical="center"/>
    </xf>
    <xf numFmtId="3" fontId="8" fillId="2" borderId="15" xfId="4" applyNumberFormat="1" applyFont="1" applyFill="1" applyBorder="1" applyAlignment="1">
      <alignment horizontal="right" vertical="center"/>
    </xf>
    <xf numFmtId="3" fontId="8" fillId="2" borderId="16" xfId="1" applyNumberFormat="1" applyFont="1" applyFill="1" applyBorder="1" applyAlignment="1">
      <alignment horizontal="right" vertical="center"/>
    </xf>
    <xf numFmtId="171" fontId="20" fillId="2" borderId="8" xfId="2" applyFont="1" applyFill="1" applyBorder="1" applyAlignment="1">
      <alignment horizontal="right" vertical="center"/>
    </xf>
    <xf numFmtId="171" fontId="6" fillId="2" borderId="5" xfId="2" applyFont="1" applyFill="1" applyBorder="1" applyAlignment="1">
      <alignment horizontal="left" vertical="center"/>
    </xf>
    <xf numFmtId="3" fontId="8" fillId="2" borderId="5" xfId="3" applyNumberFormat="1" applyFont="1" applyFill="1" applyBorder="1" applyAlignment="1">
      <alignment horizontal="right" vertical="center"/>
    </xf>
    <xf numFmtId="171" fontId="6" fillId="2" borderId="6" xfId="2" applyFont="1" applyFill="1" applyBorder="1" applyAlignment="1" applyProtection="1">
      <alignment horizontal="left" vertical="center"/>
    </xf>
    <xf numFmtId="171" fontId="22" fillId="2" borderId="6" xfId="2" applyFont="1" applyFill="1" applyBorder="1" applyAlignment="1">
      <alignment horizontal="right" vertical="center"/>
    </xf>
    <xf numFmtId="171" fontId="6" fillId="2" borderId="16" xfId="2" applyFont="1" applyFill="1" applyBorder="1" applyAlignment="1" applyProtection="1">
      <alignment horizontal="left" vertical="center"/>
    </xf>
    <xf numFmtId="171" fontId="22" fillId="2" borderId="16" xfId="2" applyFont="1" applyFill="1" applyBorder="1" applyAlignment="1">
      <alignment horizontal="right" vertical="center"/>
    </xf>
    <xf numFmtId="3" fontId="5" fillId="2" borderId="8" xfId="1" applyNumberFormat="1" applyFont="1" applyFill="1" applyBorder="1" applyAlignment="1">
      <alignment horizontal="right" vertical="center"/>
    </xf>
    <xf numFmtId="171" fontId="6" fillId="2" borderId="10" xfId="2" applyFont="1" applyFill="1" applyBorder="1" applyAlignment="1">
      <alignment horizontal="left" vertical="center"/>
    </xf>
    <xf numFmtId="3" fontId="8" fillId="2" borderId="10" xfId="1" applyNumberFormat="1" applyFont="1" applyFill="1" applyBorder="1" applyAlignment="1">
      <alignment horizontal="right" vertical="center"/>
    </xf>
    <xf numFmtId="171" fontId="22" fillId="2" borderId="10" xfId="2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/>
    </xf>
    <xf numFmtId="171" fontId="6" fillId="2" borderId="0" xfId="2" applyFont="1" applyFill="1" applyBorder="1" applyAlignment="1" applyProtection="1">
      <alignment horizontal="left" vertical="center"/>
    </xf>
    <xf numFmtId="171" fontId="22" fillId="2" borderId="0" xfId="2" applyFont="1" applyFill="1" applyBorder="1" applyAlignment="1">
      <alignment horizontal="right" vertical="center"/>
    </xf>
    <xf numFmtId="171" fontId="6" fillId="2" borderId="2" xfId="2" applyFont="1" applyFill="1" applyBorder="1" applyAlignment="1" applyProtection="1">
      <alignment horizontal="left" vertical="center"/>
    </xf>
    <xf numFmtId="3" fontId="8" fillId="2" borderId="2" xfId="1" applyNumberFormat="1" applyFont="1" applyFill="1" applyBorder="1" applyAlignment="1">
      <alignment horizontal="right" vertical="center"/>
    </xf>
    <xf numFmtId="171" fontId="22" fillId="2" borderId="2" xfId="2" applyFont="1" applyFill="1" applyBorder="1" applyAlignment="1">
      <alignment horizontal="right" vertical="center"/>
    </xf>
    <xf numFmtId="0" fontId="23" fillId="2" borderId="5" xfId="0" applyFont="1" applyFill="1" applyBorder="1" applyAlignment="1" applyProtection="1">
      <alignment horizontal="left" vertical="center"/>
    </xf>
    <xf numFmtId="171" fontId="14" fillId="2" borderId="8" xfId="2" applyFont="1" applyFill="1" applyBorder="1" applyAlignment="1">
      <alignment horizontal="right" vertical="center"/>
    </xf>
    <xf numFmtId="171" fontId="14" fillId="2" borderId="5" xfId="2" applyFont="1" applyFill="1" applyBorder="1" applyAlignment="1">
      <alignment vertical="center"/>
    </xf>
    <xf numFmtId="171" fontId="4" fillId="2" borderId="5" xfId="2" applyFont="1" applyFill="1" applyBorder="1" applyAlignment="1">
      <alignment horizontal="right" vertical="center"/>
    </xf>
    <xf numFmtId="171" fontId="4" fillId="2" borderId="26" xfId="2" applyFont="1" applyFill="1" applyBorder="1" applyAlignment="1">
      <alignment vertical="center"/>
    </xf>
    <xf numFmtId="3" fontId="8" fillId="2" borderId="27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171" fontId="19" fillId="2" borderId="1" xfId="2" applyFont="1" applyFill="1" applyBorder="1" applyAlignment="1" applyProtection="1">
      <alignment horizontal="center" vertical="center"/>
    </xf>
    <xf numFmtId="171" fontId="19" fillId="2" borderId="3" xfId="2" applyFont="1" applyFill="1" applyBorder="1" applyAlignment="1" applyProtection="1">
      <alignment horizontal="center" vertical="center"/>
    </xf>
    <xf numFmtId="171" fontId="19" fillId="2" borderId="4" xfId="2" applyFont="1" applyFill="1" applyBorder="1" applyAlignment="1" applyProtection="1">
      <alignment horizontal="center" vertical="center"/>
    </xf>
    <xf numFmtId="171" fontId="12" fillId="2" borderId="7" xfId="2" applyFont="1" applyFill="1" applyBorder="1" applyAlignment="1" applyProtection="1">
      <alignment horizontal="left" vertical="center"/>
    </xf>
    <xf numFmtId="171" fontId="12" fillId="2" borderId="2" xfId="2" applyFont="1" applyFill="1" applyBorder="1" applyAlignment="1" applyProtection="1">
      <alignment horizontal="left" vertical="center"/>
    </xf>
    <xf numFmtId="171" fontId="15" fillId="2" borderId="12" xfId="2" applyFont="1" applyFill="1" applyBorder="1" applyAlignment="1" applyProtection="1">
      <alignment horizontal="center" vertical="center"/>
    </xf>
    <xf numFmtId="171" fontId="15" fillId="2" borderId="13" xfId="2" applyFont="1" applyFill="1" applyBorder="1" applyAlignment="1" applyProtection="1">
      <alignment horizontal="center" vertical="center"/>
    </xf>
    <xf numFmtId="171" fontId="15" fillId="2" borderId="14" xfId="2" applyFont="1" applyFill="1" applyBorder="1" applyAlignment="1" applyProtection="1">
      <alignment horizontal="center" vertical="center"/>
    </xf>
    <xf numFmtId="171" fontId="20" fillId="2" borderId="7" xfId="2" applyFont="1" applyFill="1" applyBorder="1" applyAlignment="1">
      <alignment horizontal="right" vertical="center"/>
    </xf>
    <xf numFmtId="171" fontId="20" fillId="2" borderId="2" xfId="2" applyFont="1" applyFill="1" applyBorder="1" applyAlignment="1">
      <alignment horizontal="right" vertical="center"/>
    </xf>
  </cellXfs>
  <cellStyles count="72">
    <cellStyle name="1" xfId="48"/>
    <cellStyle name="20% - Accent1" xfId="24" builtinId="30" customBuiltin="1"/>
    <cellStyle name="20% - Accent1 2" xfId="59"/>
    <cellStyle name="20% - Accent2" xfId="28" builtinId="34" customBuiltin="1"/>
    <cellStyle name="20% - Accent2 2" xfId="61"/>
    <cellStyle name="20% - Accent3" xfId="32" builtinId="38" customBuiltin="1"/>
    <cellStyle name="20% - Accent3 2" xfId="63"/>
    <cellStyle name="20% - Accent4" xfId="36" builtinId="42" customBuiltin="1"/>
    <cellStyle name="20% - Accent4 2" xfId="65"/>
    <cellStyle name="20% - Accent5" xfId="40" builtinId="46" customBuiltin="1"/>
    <cellStyle name="20% - Accent5 2" xfId="67"/>
    <cellStyle name="20% - Accent6" xfId="44" builtinId="50" customBuiltin="1"/>
    <cellStyle name="20% - Accent6 2" xfId="69"/>
    <cellStyle name="40% - Accent1" xfId="25" builtinId="31" customBuiltin="1"/>
    <cellStyle name="40% - Accent1 2" xfId="60"/>
    <cellStyle name="40% - Accent2" xfId="29" builtinId="35" customBuiltin="1"/>
    <cellStyle name="40% - Accent2 2" xfId="62"/>
    <cellStyle name="40% - Accent3" xfId="33" builtinId="39" customBuiltin="1"/>
    <cellStyle name="40% - Accent3 2" xfId="64"/>
    <cellStyle name="40% - Accent4" xfId="37" builtinId="43" customBuiltin="1"/>
    <cellStyle name="40% - Accent4 2" xfId="66"/>
    <cellStyle name="40% - Accent5" xfId="41" builtinId="47" customBuiltin="1"/>
    <cellStyle name="40% - Accent5 2" xfId="68"/>
    <cellStyle name="40% - Accent6" xfId="45" builtinId="51" customBuiltin="1"/>
    <cellStyle name="40% - Accent6 2" xfId="70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49"/>
    <cellStyle name="Comma 3" xfId="1"/>
    <cellStyle name="Comma 4" xfId="53"/>
    <cellStyle name="Comma 5" xfId="56"/>
    <cellStyle name="Comma_XII7" xfId="4"/>
    <cellStyle name="Comma_XII-7 (Commerce)" xfId="3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/>
    <cellStyle name="Normal 2" xfId="6"/>
    <cellStyle name="Normal 3" xfId="52"/>
    <cellStyle name="Normal 4" xfId="55"/>
    <cellStyle name="Normal 5" xfId="5"/>
    <cellStyle name="Normal 6" xfId="58"/>
    <cellStyle name="Normal 7" xfId="47"/>
    <cellStyle name="Normal_XII-7 (Commerce)" xfId="2"/>
    <cellStyle name="Note 2" xfId="54"/>
    <cellStyle name="Note 3" xfId="57"/>
    <cellStyle name="Output" xfId="16" builtinId="21" customBuiltin="1"/>
    <cellStyle name="Percent 2" xfId="7"/>
    <cellStyle name="Title 2" xfId="51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topLeftCell="A29" zoomScaleNormal="100" workbookViewId="0">
      <selection activeCell="K53" sqref="K53"/>
    </sheetView>
  </sheetViews>
  <sheetFormatPr defaultColWidth="11" defaultRowHeight="15.75" x14ac:dyDescent="0.25"/>
  <cols>
    <col min="1" max="1" width="15.140625" style="4" customWidth="1"/>
    <col min="2" max="12" width="11.7109375" style="52" customWidth="1"/>
    <col min="13" max="13" width="17.140625" style="1" customWidth="1"/>
    <col min="14" max="16384" width="11" style="1"/>
  </cols>
  <sheetData>
    <row r="1" spans="1:13" ht="17.25" customHeight="1" x14ac:dyDescent="0.25">
      <c r="A1" s="55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13" s="4" customFormat="1" ht="21" customHeight="1" x14ac:dyDescent="0.25">
      <c r="A2" s="58" t="s">
        <v>44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s="4" customFormat="1" ht="14.25" hidden="1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4" customFormat="1" ht="16.5" customHeight="1" x14ac:dyDescent="0.25">
      <c r="A4" s="61" t="s">
        <v>0</v>
      </c>
      <c r="B4" s="63" t="s">
        <v>45</v>
      </c>
      <c r="C4" s="64"/>
      <c r="D4" s="64"/>
      <c r="E4" s="64"/>
      <c r="F4" s="64"/>
      <c r="G4" s="64"/>
      <c r="H4" s="64"/>
      <c r="I4" s="64"/>
      <c r="J4" s="64"/>
      <c r="K4" s="64"/>
      <c r="L4" s="65"/>
      <c r="M4" s="66" t="s">
        <v>46</v>
      </c>
    </row>
    <row r="5" spans="1:13" s="4" customFormat="1" ht="19.5" customHeight="1" x14ac:dyDescent="0.25">
      <c r="A5" s="62"/>
      <c r="B5" s="7">
        <v>2008</v>
      </c>
      <c r="C5" s="7">
        <v>2009</v>
      </c>
      <c r="D5" s="7">
        <v>2010</v>
      </c>
      <c r="E5" s="7">
        <v>2011</v>
      </c>
      <c r="F5" s="7">
        <v>2012</v>
      </c>
      <c r="G5" s="7">
        <v>2013</v>
      </c>
      <c r="H5" s="7">
        <v>2014</v>
      </c>
      <c r="I5" s="7">
        <v>2015</v>
      </c>
      <c r="J5" s="7">
        <v>2016</v>
      </c>
      <c r="K5" s="7">
        <v>2017</v>
      </c>
      <c r="L5" s="7">
        <v>2018</v>
      </c>
      <c r="M5" s="67"/>
    </row>
    <row r="6" spans="1:13" s="11" customFormat="1" ht="23.25" customHeight="1" x14ac:dyDescent="0.25">
      <c r="A6" s="8" t="s">
        <v>1</v>
      </c>
      <c r="B6" s="9">
        <f t="shared" ref="B6:G6" si="0">B7+B31+B38+B45+B48+B68</f>
        <v>1617442.1768099999</v>
      </c>
      <c r="C6" s="9">
        <f t="shared" si="0"/>
        <v>981317.9378099998</v>
      </c>
      <c r="D6" s="9">
        <f t="shared" si="0"/>
        <v>949797.71056999988</v>
      </c>
      <c r="E6" s="9">
        <f t="shared" si="0"/>
        <v>1770329.6312099998</v>
      </c>
      <c r="F6" s="9">
        <f t="shared" si="0"/>
        <v>2483060.1385299996</v>
      </c>
      <c r="G6" s="9">
        <f t="shared" si="0"/>
        <v>2558871.6254400006</v>
      </c>
      <c r="H6" s="9">
        <f>H7+H31+H38+H45+H48+H68</f>
        <v>2227692.94105</v>
      </c>
      <c r="I6" s="9">
        <f>I7+I31+I38+I45+I48+I68</f>
        <v>2215411.7713000001</v>
      </c>
      <c r="J6" s="9">
        <f>J7+J31+J38+J45+J48+J68</f>
        <v>2145317.2528799996</v>
      </c>
      <c r="K6" s="9">
        <f>K7+K31+K38+K45+K48+K68</f>
        <v>3068176.8116000001</v>
      </c>
      <c r="L6" s="9">
        <f>L7+L31+L38+L45+L48+L68</f>
        <v>2796375.7178800004</v>
      </c>
      <c r="M6" s="10" t="s">
        <v>47</v>
      </c>
    </row>
    <row r="7" spans="1:13" s="2" customFormat="1" ht="21.75" x14ac:dyDescent="0.25">
      <c r="A7" s="12" t="s">
        <v>2</v>
      </c>
      <c r="B7" s="13">
        <f t="shared" ref="B7:G7" si="1">SUM(B8:B30)</f>
        <v>501890.46439999994</v>
      </c>
      <c r="C7" s="13">
        <f t="shared" si="1"/>
        <v>421839.11106999998</v>
      </c>
      <c r="D7" s="13">
        <f t="shared" si="1"/>
        <v>337218.64825000003</v>
      </c>
      <c r="E7" s="13">
        <f t="shared" si="1"/>
        <v>812744.67657999997</v>
      </c>
      <c r="F7" s="13">
        <f t="shared" si="1"/>
        <v>1127850.1691099997</v>
      </c>
      <c r="G7" s="13">
        <f t="shared" si="1"/>
        <v>970103.98644999997</v>
      </c>
      <c r="H7" s="13">
        <f>SUM(H8:H30)</f>
        <v>888622.26572000002</v>
      </c>
      <c r="I7" s="13">
        <f>SUM(I8:I30)</f>
        <v>914364.13443999994</v>
      </c>
      <c r="J7" s="13">
        <f>SUM(J8:J30)</f>
        <v>825995.70250999986</v>
      </c>
      <c r="K7" s="13">
        <f>SUM(K8:K30)</f>
        <v>1013711.5098099997</v>
      </c>
      <c r="L7" s="13">
        <f>SUM(L8:L30)</f>
        <v>1134613.3933700002</v>
      </c>
      <c r="M7" s="14" t="s">
        <v>48</v>
      </c>
    </row>
    <row r="8" spans="1:13" s="2" customFormat="1" ht="21.75" x14ac:dyDescent="0.25">
      <c r="A8" s="15" t="s">
        <v>49</v>
      </c>
      <c r="B8" s="16">
        <v>25.216169999999998</v>
      </c>
      <c r="C8" s="16">
        <v>0</v>
      </c>
      <c r="D8" s="16">
        <v>168.27535999999998</v>
      </c>
      <c r="E8" s="16">
        <v>2.0787600000000004</v>
      </c>
      <c r="F8" s="16">
        <v>0</v>
      </c>
      <c r="G8" s="16">
        <v>1.5365</v>
      </c>
      <c r="H8" s="16">
        <v>0</v>
      </c>
      <c r="I8" s="16">
        <v>0</v>
      </c>
      <c r="J8" s="16">
        <v>0</v>
      </c>
      <c r="K8" s="16">
        <v>0</v>
      </c>
      <c r="L8" s="16">
        <v>151.81940999999998</v>
      </c>
      <c r="M8" s="17" t="s">
        <v>50</v>
      </c>
    </row>
    <row r="9" spans="1:13" s="2" customFormat="1" ht="21.75" x14ac:dyDescent="0.25">
      <c r="A9" s="15" t="s">
        <v>51</v>
      </c>
      <c r="B9" s="16">
        <v>136.69557999999998</v>
      </c>
      <c r="C9" s="16">
        <v>19.426849999999998</v>
      </c>
      <c r="D9" s="16">
        <v>3309.72453</v>
      </c>
      <c r="E9" s="16">
        <v>2091.0630500000002</v>
      </c>
      <c r="F9" s="16">
        <v>897.10344999999995</v>
      </c>
      <c r="G9" s="16">
        <v>381.34836999999999</v>
      </c>
      <c r="H9" s="16">
        <v>456.82468999999998</v>
      </c>
      <c r="I9" s="16">
        <v>4898.3760700000003</v>
      </c>
      <c r="J9" s="16">
        <v>6685.1913700000005</v>
      </c>
      <c r="K9" s="16">
        <v>8284.0731700000015</v>
      </c>
      <c r="L9" s="16">
        <v>9216.3705699999973</v>
      </c>
      <c r="M9" s="17" t="s">
        <v>52</v>
      </c>
    </row>
    <row r="10" spans="1:13" s="2" customFormat="1" ht="21.75" x14ac:dyDescent="0.25">
      <c r="A10" s="15" t="s">
        <v>53</v>
      </c>
      <c r="B10" s="16">
        <v>12.715159999999999</v>
      </c>
      <c r="C10" s="16">
        <v>27.53716</v>
      </c>
      <c r="D10" s="16">
        <v>123.3653</v>
      </c>
      <c r="E10" s="16">
        <v>5.0307700000000004</v>
      </c>
      <c r="F10" s="16">
        <v>1018.2782900000001</v>
      </c>
      <c r="G10" s="16">
        <v>0</v>
      </c>
      <c r="H10" s="16">
        <v>5.4507200000000005</v>
      </c>
      <c r="I10" s="16">
        <v>2710.3369500000003</v>
      </c>
      <c r="J10" s="16">
        <v>1399.2194299999994</v>
      </c>
      <c r="K10" s="16">
        <v>542.69511999999997</v>
      </c>
      <c r="L10" s="16">
        <v>0</v>
      </c>
      <c r="M10" s="17" t="s">
        <v>54</v>
      </c>
    </row>
    <row r="11" spans="1:13" s="2" customFormat="1" ht="21.75" x14ac:dyDescent="0.25">
      <c r="A11" s="15" t="s">
        <v>36</v>
      </c>
      <c r="B11" s="16">
        <v>6491.0110599999998</v>
      </c>
      <c r="C11" s="16">
        <v>4735.0923499999999</v>
      </c>
      <c r="D11" s="16">
        <v>503.90512999999999</v>
      </c>
      <c r="E11" s="16">
        <v>9750.6953300000005</v>
      </c>
      <c r="F11" s="16">
        <v>10682.216560000001</v>
      </c>
      <c r="G11" s="16">
        <v>4380.2525700000006</v>
      </c>
      <c r="H11" s="16">
        <v>437.6617</v>
      </c>
      <c r="I11" s="16">
        <v>804.31664000000001</v>
      </c>
      <c r="J11" s="16">
        <v>81.074569999999994</v>
      </c>
      <c r="K11" s="16">
        <v>0</v>
      </c>
      <c r="L11" s="16">
        <v>14.380469999999999</v>
      </c>
      <c r="M11" s="17" t="s">
        <v>55</v>
      </c>
    </row>
    <row r="12" spans="1:13" s="2" customFormat="1" ht="21.75" x14ac:dyDescent="0.25">
      <c r="A12" s="15" t="s">
        <v>56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14.64568</v>
      </c>
      <c r="I12" s="16">
        <v>1259.0487000000001</v>
      </c>
      <c r="J12" s="16">
        <v>3695.5675899999997</v>
      </c>
      <c r="K12" s="16">
        <v>2421.0405499999997</v>
      </c>
      <c r="L12" s="16">
        <v>4872.3673200000003</v>
      </c>
      <c r="M12" s="17" t="s">
        <v>57</v>
      </c>
    </row>
    <row r="13" spans="1:13" s="2" customFormat="1" ht="21.75" x14ac:dyDescent="0.25">
      <c r="A13" s="15" t="s">
        <v>8</v>
      </c>
      <c r="B13" s="16">
        <v>141451.09388999999</v>
      </c>
      <c r="C13" s="16">
        <v>110347.48964</v>
      </c>
      <c r="D13" s="16">
        <v>103389.08512</v>
      </c>
      <c r="E13" s="16">
        <v>295587.50266999996</v>
      </c>
      <c r="F13" s="16">
        <v>410733.49375999998</v>
      </c>
      <c r="G13" s="16">
        <v>345366.26675999997</v>
      </c>
      <c r="H13" s="16">
        <v>322181.28967000003</v>
      </c>
      <c r="I13" s="16">
        <v>232558.78039</v>
      </c>
      <c r="J13" s="16">
        <v>188612.58134999961</v>
      </c>
      <c r="K13" s="16">
        <v>213832.03654999999</v>
      </c>
      <c r="L13" s="16">
        <v>206197.43750000015</v>
      </c>
      <c r="M13" s="17" t="s">
        <v>58</v>
      </c>
    </row>
    <row r="14" spans="1:13" s="2" customFormat="1" ht="21.75" x14ac:dyDescent="0.25">
      <c r="A14" s="15" t="s">
        <v>4</v>
      </c>
      <c r="B14" s="16">
        <v>43164.361729999997</v>
      </c>
      <c r="C14" s="16">
        <v>33888.798379999993</v>
      </c>
      <c r="D14" s="16">
        <v>26841.330399999999</v>
      </c>
      <c r="E14" s="16">
        <v>45612.352340000005</v>
      </c>
      <c r="F14" s="16">
        <v>84795.587150000007</v>
      </c>
      <c r="G14" s="16">
        <v>153742.89004</v>
      </c>
      <c r="H14" s="16">
        <v>148550.84917</v>
      </c>
      <c r="I14" s="16">
        <v>154077.37527000002</v>
      </c>
      <c r="J14" s="16">
        <v>187349.15192000015</v>
      </c>
      <c r="K14" s="16">
        <v>220705.70510999995</v>
      </c>
      <c r="L14" s="16">
        <v>355433.42591000017</v>
      </c>
      <c r="M14" s="17" t="s">
        <v>59</v>
      </c>
    </row>
    <row r="15" spans="1:13" s="2" customFormat="1" ht="21.75" x14ac:dyDescent="0.25">
      <c r="A15" s="15" t="s">
        <v>60</v>
      </c>
      <c r="B15" s="16">
        <v>0</v>
      </c>
      <c r="C15" s="16">
        <v>66.849159999999998</v>
      </c>
      <c r="D15" s="16">
        <v>532.93329000000006</v>
      </c>
      <c r="E15" s="16">
        <v>30.626729999999998</v>
      </c>
      <c r="F15" s="16">
        <v>0</v>
      </c>
      <c r="G15" s="16">
        <v>0</v>
      </c>
      <c r="H15" s="16">
        <v>0</v>
      </c>
      <c r="I15" s="16">
        <v>0</v>
      </c>
      <c r="J15" s="16">
        <v>44.35886</v>
      </c>
      <c r="K15" s="16">
        <v>0</v>
      </c>
      <c r="L15" s="16">
        <v>0</v>
      </c>
      <c r="M15" s="17" t="s">
        <v>61</v>
      </c>
    </row>
    <row r="16" spans="1:13" s="2" customFormat="1" ht="21.75" x14ac:dyDescent="0.25">
      <c r="A16" s="15" t="s">
        <v>62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0.15365000000000001</v>
      </c>
      <c r="H16" s="18">
        <v>0</v>
      </c>
      <c r="I16" s="19">
        <v>0</v>
      </c>
      <c r="J16" s="19">
        <v>0</v>
      </c>
      <c r="K16" s="16">
        <v>92.4</v>
      </c>
      <c r="L16" s="16">
        <v>0</v>
      </c>
      <c r="M16" s="17" t="s">
        <v>63</v>
      </c>
    </row>
    <row r="17" spans="1:13" s="2" customFormat="1" ht="21.75" x14ac:dyDescent="0.25">
      <c r="A17" s="15" t="s">
        <v>5</v>
      </c>
      <c r="B17" s="16">
        <v>134426.35631</v>
      </c>
      <c r="C17" s="16">
        <v>125663.85926000001</v>
      </c>
      <c r="D17" s="16">
        <v>88064.559600000008</v>
      </c>
      <c r="E17" s="16">
        <v>177242.35548000003</v>
      </c>
      <c r="F17" s="16">
        <v>190472.78999000002</v>
      </c>
      <c r="G17" s="16">
        <v>126668.46704</v>
      </c>
      <c r="H17" s="16">
        <v>78885.759760000001</v>
      </c>
      <c r="I17" s="16">
        <v>124085.05331999999</v>
      </c>
      <c r="J17" s="16">
        <v>105654.97153000002</v>
      </c>
      <c r="K17" s="16">
        <v>88683.157289999988</v>
      </c>
      <c r="L17" s="16">
        <v>122151.57711999999</v>
      </c>
      <c r="M17" s="17" t="s">
        <v>64</v>
      </c>
    </row>
    <row r="18" spans="1:13" s="2" customFormat="1" ht="21.75" x14ac:dyDescent="0.25">
      <c r="A18" s="15" t="s">
        <v>65</v>
      </c>
      <c r="B18" s="16">
        <v>264.78555</v>
      </c>
      <c r="C18" s="16">
        <v>0</v>
      </c>
      <c r="D18" s="16">
        <v>61.879559999999998</v>
      </c>
      <c r="E18" s="16">
        <v>58254.643109999997</v>
      </c>
      <c r="F18" s="16">
        <v>108111.60755</v>
      </c>
      <c r="G18" s="16">
        <v>93104.506720000005</v>
      </c>
      <c r="H18" s="16">
        <v>129968.00895999999</v>
      </c>
      <c r="I18" s="16">
        <v>93758.629260000002</v>
      </c>
      <c r="J18" s="16">
        <v>106116.07953999998</v>
      </c>
      <c r="K18" s="16">
        <v>139856.43990999999</v>
      </c>
      <c r="L18" s="16">
        <v>9879.211830000002</v>
      </c>
      <c r="M18" s="17" t="s">
        <v>66</v>
      </c>
    </row>
    <row r="19" spans="1:13" s="2" customFormat="1" ht="21.75" x14ac:dyDescent="0.25">
      <c r="A19" s="15" t="s">
        <v>67</v>
      </c>
      <c r="B19" s="16">
        <v>146.66575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7" t="s">
        <v>68</v>
      </c>
    </row>
    <row r="20" spans="1:13" ht="21.75" x14ac:dyDescent="0.25">
      <c r="A20" s="15" t="s">
        <v>69</v>
      </c>
      <c r="B20" s="16">
        <v>66.433970000000002</v>
      </c>
      <c r="C20" s="16">
        <v>491.61836999999997</v>
      </c>
      <c r="D20" s="16">
        <v>202.06776000000002</v>
      </c>
      <c r="E20" s="16">
        <v>81.740499999999997</v>
      </c>
      <c r="F20" s="16">
        <v>0</v>
      </c>
      <c r="G20" s="16">
        <v>0</v>
      </c>
      <c r="H20" s="16">
        <v>74.216660000000005</v>
      </c>
      <c r="I20" s="16">
        <v>0</v>
      </c>
      <c r="J20" s="16">
        <v>0</v>
      </c>
      <c r="K20" s="16">
        <v>0</v>
      </c>
      <c r="L20" s="16">
        <v>0</v>
      </c>
      <c r="M20" s="17" t="s">
        <v>70</v>
      </c>
    </row>
    <row r="21" spans="1:13" ht="21.75" x14ac:dyDescent="0.25">
      <c r="A21" s="15" t="s">
        <v>3</v>
      </c>
      <c r="B21" s="16">
        <v>26543.30904</v>
      </c>
      <c r="C21" s="16">
        <v>22690.00978</v>
      </c>
      <c r="D21" s="16">
        <v>4283.7419600000003</v>
      </c>
      <c r="E21" s="16">
        <v>48266.869429999999</v>
      </c>
      <c r="F21" s="16">
        <v>60907.614139999998</v>
      </c>
      <c r="G21" s="16">
        <v>40617.725859999999</v>
      </c>
      <c r="H21" s="16">
        <v>15023.796869999998</v>
      </c>
      <c r="I21" s="16">
        <v>79772.600709999999</v>
      </c>
      <c r="J21" s="16">
        <v>38876.185309999979</v>
      </c>
      <c r="K21" s="16">
        <v>10599.19361</v>
      </c>
      <c r="L21" s="16">
        <v>17857.254080000002</v>
      </c>
      <c r="M21" s="17" t="s">
        <v>71</v>
      </c>
    </row>
    <row r="22" spans="1:13" ht="21.75" x14ac:dyDescent="0.25">
      <c r="A22" s="15" t="s">
        <v>72</v>
      </c>
      <c r="B22" s="16">
        <v>0</v>
      </c>
      <c r="C22" s="16">
        <v>0</v>
      </c>
      <c r="D22" s="16">
        <v>0</v>
      </c>
      <c r="E22" s="16">
        <v>0</v>
      </c>
      <c r="F22" s="16">
        <v>187.77665999999999</v>
      </c>
      <c r="G22" s="16">
        <v>0</v>
      </c>
      <c r="H22" s="16">
        <v>96.535499999999999</v>
      </c>
      <c r="I22" s="16">
        <v>444.59595000000002</v>
      </c>
      <c r="J22" s="16">
        <v>573.09799999999984</v>
      </c>
      <c r="K22" s="16">
        <v>1502.0757699999999</v>
      </c>
      <c r="L22" s="16">
        <v>1302.6832899999999</v>
      </c>
      <c r="M22" s="17" t="s">
        <v>73</v>
      </c>
    </row>
    <row r="23" spans="1:13" ht="21.75" x14ac:dyDescent="0.25">
      <c r="A23" s="15" t="s">
        <v>74</v>
      </c>
      <c r="B23" s="16">
        <v>0</v>
      </c>
      <c r="C23" s="16">
        <v>0</v>
      </c>
      <c r="D23" s="16">
        <v>26.55452</v>
      </c>
      <c r="E23" s="16">
        <v>8.7187199999999994</v>
      </c>
      <c r="F23" s="16">
        <v>0</v>
      </c>
      <c r="G23" s="16">
        <v>11.861040000000001</v>
      </c>
      <c r="H23" s="16">
        <v>61.248489999999997</v>
      </c>
      <c r="I23" s="16">
        <v>953.09923000000003</v>
      </c>
      <c r="J23" s="16">
        <v>3609.7664099999997</v>
      </c>
      <c r="K23" s="16">
        <v>4196.5313799999994</v>
      </c>
      <c r="L23" s="16">
        <v>5164.4495800000013</v>
      </c>
      <c r="M23" s="17" t="s">
        <v>75</v>
      </c>
    </row>
    <row r="24" spans="1:13" ht="21.75" x14ac:dyDescent="0.25">
      <c r="A24" s="15" t="s">
        <v>76</v>
      </c>
      <c r="B24" s="16">
        <v>0.90295999999999998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47.692699999999995</v>
      </c>
      <c r="I24" s="16">
        <v>399.56471000000005</v>
      </c>
      <c r="J24" s="16">
        <v>510.26470000000006</v>
      </c>
      <c r="K24" s="16">
        <v>462.49250999999998</v>
      </c>
      <c r="L24" s="16">
        <v>334.90672999999998</v>
      </c>
      <c r="M24" s="17" t="s">
        <v>77</v>
      </c>
    </row>
    <row r="25" spans="1:13" ht="21.75" x14ac:dyDescent="0.25">
      <c r="A25" s="15" t="s">
        <v>78</v>
      </c>
      <c r="B25" s="16">
        <v>0</v>
      </c>
      <c r="C25" s="16">
        <v>0</v>
      </c>
      <c r="D25" s="16">
        <v>12.156090000000001</v>
      </c>
      <c r="E25" s="16">
        <v>0</v>
      </c>
      <c r="F25" s="16">
        <v>19.219099999999997</v>
      </c>
      <c r="G25" s="16">
        <v>1774.57619</v>
      </c>
      <c r="H25" s="16">
        <v>8493.3487799999984</v>
      </c>
      <c r="I25" s="16">
        <v>147.18095000000002</v>
      </c>
      <c r="J25" s="16">
        <v>0</v>
      </c>
      <c r="K25" s="16">
        <v>3.6490000000000002E-2</v>
      </c>
      <c r="L25" s="16">
        <v>115.36507</v>
      </c>
      <c r="M25" s="17" t="s">
        <v>79</v>
      </c>
    </row>
    <row r="26" spans="1:13" ht="21.75" x14ac:dyDescent="0.25">
      <c r="A26" s="15" t="s">
        <v>35</v>
      </c>
      <c r="B26" s="16">
        <v>25133.824350000003</v>
      </c>
      <c r="C26" s="16">
        <v>20697.92165</v>
      </c>
      <c r="D26" s="16">
        <v>7511.9376700000003</v>
      </c>
      <c r="E26" s="16">
        <v>42375.93649</v>
      </c>
      <c r="F26" s="16">
        <v>57565.46413</v>
      </c>
      <c r="G26" s="16">
        <v>32338.50923</v>
      </c>
      <c r="H26" s="16">
        <v>24090.784899999999</v>
      </c>
      <c r="I26" s="16">
        <v>23866.289929999999</v>
      </c>
      <c r="J26" s="16">
        <v>29675.590509999976</v>
      </c>
      <c r="K26" s="16">
        <v>62741.776270000002</v>
      </c>
      <c r="L26" s="16">
        <v>56278.4859</v>
      </c>
      <c r="M26" s="17" t="s">
        <v>80</v>
      </c>
    </row>
    <row r="27" spans="1:13" ht="21.75" x14ac:dyDescent="0.25">
      <c r="A27" s="15" t="s">
        <v>12</v>
      </c>
      <c r="B27" s="16">
        <v>577.16165999999998</v>
      </c>
      <c r="C27" s="16">
        <v>138.57592000000002</v>
      </c>
      <c r="D27" s="16">
        <v>1552.6096699999998</v>
      </c>
      <c r="E27" s="16">
        <v>294.81790000000001</v>
      </c>
      <c r="F27" s="16">
        <v>99.324010000000001</v>
      </c>
      <c r="G27" s="16">
        <v>16.793560000000003</v>
      </c>
      <c r="H27" s="16">
        <v>277.61890999999997</v>
      </c>
      <c r="I27" s="16">
        <v>113.60444</v>
      </c>
      <c r="J27" s="16">
        <v>0</v>
      </c>
      <c r="K27" s="16">
        <v>0</v>
      </c>
      <c r="L27" s="16">
        <v>60.403680000000001</v>
      </c>
      <c r="M27" s="17" t="s">
        <v>81</v>
      </c>
    </row>
    <row r="28" spans="1:13" ht="21.75" x14ac:dyDescent="0.25">
      <c r="A28" s="15" t="s">
        <v>10</v>
      </c>
      <c r="B28" s="16">
        <v>4.6725099999999999</v>
      </c>
      <c r="C28" s="16">
        <v>4981.1777699999993</v>
      </c>
      <c r="D28" s="16">
        <v>10045.143400000001</v>
      </c>
      <c r="E28" s="16">
        <v>7393.3400700000002</v>
      </c>
      <c r="F28" s="16">
        <v>18115.232309999999</v>
      </c>
      <c r="G28" s="16">
        <v>31999.26886</v>
      </c>
      <c r="H28" s="16">
        <v>55821.694159999999</v>
      </c>
      <c r="I28" s="16">
        <v>67137.805069999988</v>
      </c>
      <c r="J28" s="16">
        <v>64396.726770000016</v>
      </c>
      <c r="K28" s="16">
        <v>84434.491730000009</v>
      </c>
      <c r="L28" s="16">
        <v>87095.37595999999</v>
      </c>
      <c r="M28" s="17" t="s">
        <v>82</v>
      </c>
    </row>
    <row r="29" spans="1:13" ht="21.75" x14ac:dyDescent="0.25">
      <c r="A29" s="15" t="s">
        <v>83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118.84996000000001</v>
      </c>
      <c r="H29" s="16">
        <v>30.643900000000002</v>
      </c>
      <c r="I29" s="16">
        <v>0</v>
      </c>
      <c r="J29" s="16">
        <v>2.31318</v>
      </c>
      <c r="K29" s="16">
        <v>0</v>
      </c>
      <c r="L29" s="16">
        <v>428.74532999999991</v>
      </c>
      <c r="M29" s="17" t="s">
        <v>84</v>
      </c>
    </row>
    <row r="30" spans="1:13" ht="21.75" x14ac:dyDescent="0.25">
      <c r="A30" s="20" t="s">
        <v>6</v>
      </c>
      <c r="B30" s="21">
        <v>123445.25870999999</v>
      </c>
      <c r="C30" s="21">
        <v>98090.754780000003</v>
      </c>
      <c r="D30" s="21">
        <v>90589.378890000007</v>
      </c>
      <c r="E30" s="21">
        <v>125746.90523</v>
      </c>
      <c r="F30" s="21">
        <v>184244.46200999999</v>
      </c>
      <c r="G30" s="21">
        <v>139580.98009999999</v>
      </c>
      <c r="H30" s="21">
        <v>104104.1945</v>
      </c>
      <c r="I30" s="21">
        <v>127377.47684999999</v>
      </c>
      <c r="J30" s="21">
        <v>88713.561470000001</v>
      </c>
      <c r="K30" s="21">
        <v>175357.36434999996</v>
      </c>
      <c r="L30" s="21">
        <v>258059.13361999998</v>
      </c>
      <c r="M30" s="22" t="s">
        <v>85</v>
      </c>
    </row>
    <row r="31" spans="1:13" ht="21.75" x14ac:dyDescent="0.25">
      <c r="A31" s="23" t="s">
        <v>14</v>
      </c>
      <c r="B31" s="24">
        <f t="shared" ref="B31:L31" si="2">SUM(B32:B37)</f>
        <v>1474.7194300000001</v>
      </c>
      <c r="C31" s="24">
        <f t="shared" si="2"/>
        <v>24448.0602</v>
      </c>
      <c r="D31" s="24">
        <f t="shared" si="2"/>
        <v>5135.28287</v>
      </c>
      <c r="E31" s="24">
        <f t="shared" si="2"/>
        <v>2067.8895699999998</v>
      </c>
      <c r="F31" s="24">
        <f t="shared" si="2"/>
        <v>1.84344</v>
      </c>
      <c r="G31" s="24">
        <f t="shared" si="2"/>
        <v>350.95159000000001</v>
      </c>
      <c r="H31" s="24">
        <f t="shared" si="2"/>
        <v>129.80619999999999</v>
      </c>
      <c r="I31" s="24">
        <f t="shared" si="2"/>
        <v>2396.2584499999998</v>
      </c>
      <c r="J31" s="24">
        <f t="shared" si="2"/>
        <v>50.37229</v>
      </c>
      <c r="K31" s="24">
        <f t="shared" si="2"/>
        <v>625.16800000000001</v>
      </c>
      <c r="L31" s="24">
        <f t="shared" si="2"/>
        <v>6677.9539799999993</v>
      </c>
      <c r="M31" s="25" t="s">
        <v>86</v>
      </c>
    </row>
    <row r="32" spans="1:13" ht="21.75" x14ac:dyDescent="0.25">
      <c r="A32" s="26" t="s">
        <v>24</v>
      </c>
      <c r="B32" s="16">
        <v>0</v>
      </c>
      <c r="C32" s="16">
        <v>21910.853510000001</v>
      </c>
      <c r="D32" s="16">
        <v>0</v>
      </c>
      <c r="E32" s="16">
        <v>4.1506699999999999</v>
      </c>
      <c r="F32" s="16">
        <v>1.84344</v>
      </c>
      <c r="G32" s="16">
        <v>0</v>
      </c>
      <c r="H32" s="16">
        <v>0</v>
      </c>
      <c r="I32" s="16">
        <v>3.8968099999999999</v>
      </c>
      <c r="J32" s="16">
        <v>0</v>
      </c>
      <c r="K32" s="16">
        <v>0</v>
      </c>
      <c r="L32" s="16">
        <v>1226.03097</v>
      </c>
      <c r="M32" s="17" t="s">
        <v>87</v>
      </c>
    </row>
    <row r="33" spans="1:13" ht="21.75" x14ac:dyDescent="0.25">
      <c r="A33" s="15" t="s">
        <v>23</v>
      </c>
      <c r="B33" s="27">
        <v>425.90242999999998</v>
      </c>
      <c r="C33" s="16">
        <v>0</v>
      </c>
      <c r="D33" s="16">
        <v>4.1447500000000002</v>
      </c>
      <c r="E33" s="16">
        <v>0</v>
      </c>
      <c r="F33" s="16">
        <v>0</v>
      </c>
      <c r="G33" s="16">
        <v>350.95159000000001</v>
      </c>
      <c r="H33" s="16">
        <v>129.80619999999999</v>
      </c>
      <c r="I33" s="16">
        <v>274.36448999999999</v>
      </c>
      <c r="J33" s="16">
        <v>0</v>
      </c>
      <c r="K33" s="16">
        <v>0</v>
      </c>
      <c r="L33" s="16">
        <v>566.57860999999991</v>
      </c>
      <c r="M33" s="17" t="s">
        <v>88</v>
      </c>
    </row>
    <row r="34" spans="1:13" ht="21.75" x14ac:dyDescent="0.25">
      <c r="A34" s="15" t="s">
        <v>89</v>
      </c>
      <c r="B34" s="16">
        <v>0</v>
      </c>
      <c r="C34" s="16">
        <v>0</v>
      </c>
      <c r="D34" s="16">
        <v>243.88657000000001</v>
      </c>
      <c r="E34" s="16">
        <v>0</v>
      </c>
      <c r="F34" s="16">
        <v>0</v>
      </c>
      <c r="G34" s="16">
        <v>0</v>
      </c>
      <c r="H34" s="16">
        <v>0</v>
      </c>
      <c r="I34" s="28">
        <v>2117.9971499999997</v>
      </c>
      <c r="J34" s="28">
        <v>50.37229</v>
      </c>
      <c r="K34" s="28">
        <v>625.16800000000001</v>
      </c>
      <c r="L34" s="28">
        <v>4186.64167</v>
      </c>
      <c r="M34" s="17" t="s">
        <v>90</v>
      </c>
    </row>
    <row r="35" spans="1:13" ht="21.75" hidden="1" x14ac:dyDescent="0.25">
      <c r="A35" s="15" t="s">
        <v>91</v>
      </c>
      <c r="B35" s="1"/>
      <c r="C35" s="1"/>
      <c r="D35" s="1"/>
      <c r="E35" s="1"/>
      <c r="F35" s="1"/>
      <c r="G35" s="1"/>
      <c r="H35" s="1"/>
      <c r="I35" s="1"/>
      <c r="J35" s="1"/>
      <c r="K35" s="19" t="s">
        <v>33</v>
      </c>
      <c r="L35" s="19" t="s">
        <v>33</v>
      </c>
      <c r="M35" s="29" t="s">
        <v>92</v>
      </c>
    </row>
    <row r="36" spans="1:13" x14ac:dyDescent="0.25">
      <c r="A36" s="1" t="s">
        <v>93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9">
        <v>698.70273000000009</v>
      </c>
      <c r="M36" s="1">
        <v>0</v>
      </c>
    </row>
    <row r="37" spans="1:13" ht="21.75" x14ac:dyDescent="0.25">
      <c r="A37" s="20" t="s">
        <v>94</v>
      </c>
      <c r="B37" s="30">
        <v>1048.817</v>
      </c>
      <c r="C37" s="30">
        <v>2537.20669</v>
      </c>
      <c r="D37" s="21">
        <v>4887.25155</v>
      </c>
      <c r="E37" s="21">
        <v>2063.7388999999998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22" t="s">
        <v>95</v>
      </c>
    </row>
    <row r="38" spans="1:13" ht="21.75" x14ac:dyDescent="0.25">
      <c r="A38" s="23" t="s">
        <v>11</v>
      </c>
      <c r="B38" s="24">
        <f>SUM(B40:B44)</f>
        <v>19422.227800000001</v>
      </c>
      <c r="C38" s="24">
        <f>SUM(C40:C44)</f>
        <v>7644.4892799999998</v>
      </c>
      <c r="D38" s="24">
        <f>SUM(D40:D44)</f>
        <v>6445.1383699999997</v>
      </c>
      <c r="E38" s="24">
        <f>SUM(E40:E44)</f>
        <v>17034.936679999999</v>
      </c>
      <c r="F38" s="24">
        <f>SUM(F40:F44)</f>
        <v>93126.190189999994</v>
      </c>
      <c r="G38" s="24">
        <f t="shared" ref="G38:K38" si="3">SUM(G39:G44)</f>
        <v>123909.6972</v>
      </c>
      <c r="H38" s="24">
        <f t="shared" si="3"/>
        <v>208448.00935000001</v>
      </c>
      <c r="I38" s="24">
        <f t="shared" si="3"/>
        <v>233868.07108000002</v>
      </c>
      <c r="J38" s="24">
        <f t="shared" si="3"/>
        <v>194037.17799</v>
      </c>
      <c r="K38" s="24">
        <f t="shared" si="3"/>
        <v>226921.45573999983</v>
      </c>
      <c r="L38" s="24">
        <f>SUM(L39:L44)</f>
        <v>248219.53900999995</v>
      </c>
      <c r="M38" s="32" t="s">
        <v>96</v>
      </c>
    </row>
    <row r="39" spans="1:13" ht="21.75" x14ac:dyDescent="0.25">
      <c r="A39" s="33" t="s">
        <v>26</v>
      </c>
      <c r="B39" s="34">
        <v>0</v>
      </c>
      <c r="C39" s="34">
        <v>0</v>
      </c>
      <c r="D39" s="34">
        <v>0</v>
      </c>
      <c r="E39" s="34">
        <v>0</v>
      </c>
      <c r="F39" s="34">
        <v>0</v>
      </c>
      <c r="G39" s="34">
        <v>14.010450000000001</v>
      </c>
      <c r="H39" s="34">
        <v>0</v>
      </c>
      <c r="I39" s="34">
        <v>0</v>
      </c>
      <c r="J39" s="34">
        <v>0</v>
      </c>
      <c r="K39" s="34">
        <v>0</v>
      </c>
      <c r="L39" s="34">
        <v>2192.3877499999999</v>
      </c>
      <c r="M39" s="17" t="s">
        <v>97</v>
      </c>
    </row>
    <row r="40" spans="1:13" ht="21.75" x14ac:dyDescent="0.25">
      <c r="A40" s="15" t="s">
        <v>25</v>
      </c>
      <c r="B40" s="16">
        <v>72.49969999999999</v>
      </c>
      <c r="C40" s="16">
        <v>41.189509999999999</v>
      </c>
      <c r="D40" s="16">
        <v>36.715519999999998</v>
      </c>
      <c r="E40" s="16">
        <v>538.09126000000003</v>
      </c>
      <c r="F40" s="16">
        <v>4530.6412499999997</v>
      </c>
      <c r="G40" s="16">
        <v>2913.29124</v>
      </c>
      <c r="H40" s="16">
        <v>7091.32474</v>
      </c>
      <c r="I40" s="16">
        <v>8323.4267799999998</v>
      </c>
      <c r="J40" s="16">
        <v>3925.717979999999</v>
      </c>
      <c r="K40" s="16">
        <v>1296.0057000000002</v>
      </c>
      <c r="L40" s="16">
        <v>14583.674070000001</v>
      </c>
      <c r="M40" s="17" t="s">
        <v>98</v>
      </c>
    </row>
    <row r="41" spans="1:13" ht="21.75" x14ac:dyDescent="0.25">
      <c r="A41" s="35" t="s">
        <v>99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0.15365000000000001</v>
      </c>
      <c r="H41" s="18">
        <v>0</v>
      </c>
      <c r="I41" s="19">
        <v>0</v>
      </c>
      <c r="J41" s="19">
        <v>0</v>
      </c>
      <c r="K41" s="28">
        <v>9196.9633000000013</v>
      </c>
      <c r="L41" s="19">
        <v>0</v>
      </c>
      <c r="M41" s="36" t="s">
        <v>100</v>
      </c>
    </row>
    <row r="42" spans="1:13" ht="21.75" x14ac:dyDescent="0.25">
      <c r="A42" s="35" t="s">
        <v>101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0.15365000000000001</v>
      </c>
      <c r="H42" s="18">
        <v>0</v>
      </c>
      <c r="I42" s="19">
        <v>0</v>
      </c>
      <c r="J42" s="19">
        <v>0</v>
      </c>
      <c r="K42" s="28">
        <v>2578.6624999999999</v>
      </c>
      <c r="L42" s="19">
        <v>0</v>
      </c>
      <c r="M42" s="36" t="s">
        <v>102</v>
      </c>
    </row>
    <row r="43" spans="1:13" ht="21.75" x14ac:dyDescent="0.25">
      <c r="A43" s="35" t="s">
        <v>103</v>
      </c>
      <c r="B43" s="28">
        <v>0</v>
      </c>
      <c r="C43" s="28">
        <v>0</v>
      </c>
      <c r="D43" s="28">
        <v>0</v>
      </c>
      <c r="E43" s="28">
        <v>25.61138</v>
      </c>
      <c r="F43" s="28">
        <v>12721.842189999999</v>
      </c>
      <c r="G43" s="28">
        <v>9599.6250899999995</v>
      </c>
      <c r="H43" s="28">
        <v>79.395270000000011</v>
      </c>
      <c r="I43" s="28">
        <v>0</v>
      </c>
      <c r="J43" s="28">
        <v>0</v>
      </c>
      <c r="K43" s="28">
        <v>0</v>
      </c>
      <c r="L43" s="28">
        <v>231443.47718999995</v>
      </c>
      <c r="M43" s="36" t="s">
        <v>104</v>
      </c>
    </row>
    <row r="44" spans="1:13" ht="21.75" x14ac:dyDescent="0.25">
      <c r="A44" s="37" t="s">
        <v>37</v>
      </c>
      <c r="B44" s="31">
        <v>19349.7281</v>
      </c>
      <c r="C44" s="31">
        <v>7603.2997699999996</v>
      </c>
      <c r="D44" s="31">
        <v>6408.4228499999999</v>
      </c>
      <c r="E44" s="31">
        <v>16471.234039999999</v>
      </c>
      <c r="F44" s="31">
        <v>75873.706749999998</v>
      </c>
      <c r="G44" s="31">
        <v>111382.46312</v>
      </c>
      <c r="H44" s="31">
        <v>201277.28934000002</v>
      </c>
      <c r="I44" s="31">
        <v>225544.64430000001</v>
      </c>
      <c r="J44" s="31">
        <v>190111.46001000001</v>
      </c>
      <c r="K44" s="31">
        <v>213849.82423999984</v>
      </c>
      <c r="L44" s="54">
        <v>0</v>
      </c>
      <c r="M44" s="38" t="s">
        <v>105</v>
      </c>
    </row>
    <row r="45" spans="1:13" ht="21.75" x14ac:dyDescent="0.25">
      <c r="A45" s="23" t="s">
        <v>13</v>
      </c>
      <c r="B45" s="39">
        <f t="shared" ref="B45" si="4">B47</f>
        <v>0</v>
      </c>
      <c r="C45" s="39">
        <f t="shared" ref="C45:J45" si="5">C47+C46</f>
        <v>0</v>
      </c>
      <c r="D45" s="39">
        <f t="shared" si="5"/>
        <v>7.7090000000000006E-2</v>
      </c>
      <c r="E45" s="39">
        <f t="shared" si="5"/>
        <v>1443.5039400000001</v>
      </c>
      <c r="F45" s="39">
        <f t="shared" si="5"/>
        <v>13354.008320000001</v>
      </c>
      <c r="G45" s="39">
        <f t="shared" si="5"/>
        <v>9366.7566999999999</v>
      </c>
      <c r="H45" s="39">
        <f t="shared" si="5"/>
        <v>6235.70118</v>
      </c>
      <c r="I45" s="39">
        <f t="shared" si="5"/>
        <v>3136.9294399999999</v>
      </c>
      <c r="J45" s="39">
        <f t="shared" si="5"/>
        <v>8726.4297100000022</v>
      </c>
      <c r="K45" s="39">
        <f>K47+K46</f>
        <v>10181.431139999997</v>
      </c>
      <c r="L45" s="39">
        <f>L47+L46</f>
        <v>8395.0911799999994</v>
      </c>
      <c r="M45" s="25" t="s">
        <v>106</v>
      </c>
    </row>
    <row r="46" spans="1:13" ht="21.75" x14ac:dyDescent="0.25">
      <c r="A46" s="40" t="s">
        <v>30</v>
      </c>
      <c r="B46" s="41">
        <v>0</v>
      </c>
      <c r="C46" s="41">
        <v>0</v>
      </c>
      <c r="D46" s="41">
        <v>7.7090000000000006E-2</v>
      </c>
      <c r="E46" s="41">
        <v>1443.5039400000001</v>
      </c>
      <c r="F46" s="41">
        <v>13354.008320000001</v>
      </c>
      <c r="G46" s="41">
        <v>9366.7566999999999</v>
      </c>
      <c r="H46" s="41">
        <v>6235.70118</v>
      </c>
      <c r="I46" s="41">
        <v>3136.9294399999999</v>
      </c>
      <c r="J46" s="41">
        <v>8726.4297100000022</v>
      </c>
      <c r="K46" s="41">
        <v>10181.431139999997</v>
      </c>
      <c r="L46" s="28">
        <v>8377.39516</v>
      </c>
      <c r="M46" s="42" t="s">
        <v>107</v>
      </c>
    </row>
    <row r="47" spans="1:13" ht="21.75" x14ac:dyDescent="0.25">
      <c r="A47" s="20" t="s">
        <v>31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17.696020000000001</v>
      </c>
      <c r="M47" s="22" t="s">
        <v>107</v>
      </c>
    </row>
    <row r="48" spans="1:13" ht="21.75" x14ac:dyDescent="0.25">
      <c r="A48" s="23" t="s">
        <v>7</v>
      </c>
      <c r="B48" s="39">
        <f t="shared" ref="B48:H48" si="6">SUM(B50:B67)</f>
        <v>1047633.3769699999</v>
      </c>
      <c r="C48" s="39">
        <f t="shared" si="6"/>
        <v>469915.08199999994</v>
      </c>
      <c r="D48" s="39">
        <f t="shared" si="6"/>
        <v>571604.85386999999</v>
      </c>
      <c r="E48" s="39">
        <f t="shared" si="6"/>
        <v>894713.68382999999</v>
      </c>
      <c r="F48" s="39">
        <f t="shared" si="6"/>
        <v>1163184.78082</v>
      </c>
      <c r="G48" s="39">
        <f t="shared" si="6"/>
        <v>1276541.3968800001</v>
      </c>
      <c r="H48" s="39">
        <f t="shared" si="6"/>
        <v>1098464.48795</v>
      </c>
      <c r="I48" s="39">
        <f>SUM(I49:I67)</f>
        <v>1047063.6766700001</v>
      </c>
      <c r="J48" s="39">
        <f>SUM(J49:J67)</f>
        <v>1107208.3564599999</v>
      </c>
      <c r="K48" s="39">
        <f>SUM(K49:K67)</f>
        <v>1808076.4558700006</v>
      </c>
      <c r="L48" s="39">
        <f>SUM(L49:L67)</f>
        <v>1388178.0647500004</v>
      </c>
      <c r="M48" s="32" t="s">
        <v>108</v>
      </c>
    </row>
    <row r="49" spans="1:13" ht="21.75" x14ac:dyDescent="0.25">
      <c r="A49" s="15" t="s">
        <v>109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1782.2464</v>
      </c>
      <c r="J49" s="16">
        <v>4378.3103499999997</v>
      </c>
      <c r="K49" s="16">
        <v>10548.560949999999</v>
      </c>
      <c r="L49" s="16">
        <v>32866.056649999999</v>
      </c>
      <c r="M49" s="17" t="s">
        <v>110</v>
      </c>
    </row>
    <row r="50" spans="1:13" ht="21.75" x14ac:dyDescent="0.25">
      <c r="A50" s="15" t="s">
        <v>20</v>
      </c>
      <c r="B50" s="16">
        <v>3.3153000000000001</v>
      </c>
      <c r="C50" s="16">
        <v>0</v>
      </c>
      <c r="D50" s="16">
        <v>3824.63402</v>
      </c>
      <c r="E50" s="16">
        <v>410.99133</v>
      </c>
      <c r="F50" s="16">
        <v>59636.553829999997</v>
      </c>
      <c r="G50" s="16">
        <v>2036.7355400000001</v>
      </c>
      <c r="H50" s="16">
        <v>1209.7565400000001</v>
      </c>
      <c r="I50" s="16">
        <v>535.03593999999998</v>
      </c>
      <c r="J50" s="16">
        <v>1712.1278599999996</v>
      </c>
      <c r="K50" s="16">
        <v>8254.4980999999989</v>
      </c>
      <c r="L50" s="16">
        <v>4167.2744799999991</v>
      </c>
      <c r="M50" s="17" t="s">
        <v>111</v>
      </c>
    </row>
    <row r="51" spans="1:13" ht="21.75" x14ac:dyDescent="0.25">
      <c r="A51" s="15" t="s">
        <v>112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0.15365000000000001</v>
      </c>
      <c r="H51" s="18">
        <v>0</v>
      </c>
      <c r="I51" s="19">
        <v>0</v>
      </c>
      <c r="J51" s="19">
        <v>0</v>
      </c>
      <c r="K51" s="16">
        <v>5.6481399999999997</v>
      </c>
      <c r="L51" s="16">
        <v>0</v>
      </c>
      <c r="M51" s="17" t="s">
        <v>113</v>
      </c>
    </row>
    <row r="52" spans="1:13" ht="21.75" x14ac:dyDescent="0.25">
      <c r="A52" s="15" t="s">
        <v>114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54.125610000000002</v>
      </c>
      <c r="I52" s="16">
        <v>0</v>
      </c>
      <c r="J52" s="16">
        <v>0</v>
      </c>
      <c r="K52" s="16" t="s">
        <v>33</v>
      </c>
      <c r="L52" s="16">
        <v>0</v>
      </c>
      <c r="M52" s="17" t="s">
        <v>115</v>
      </c>
    </row>
    <row r="53" spans="1:13" ht="21.75" x14ac:dyDescent="0.25">
      <c r="A53" s="15" t="s">
        <v>38</v>
      </c>
      <c r="B53" s="16">
        <v>13705.628480000001</v>
      </c>
      <c r="C53" s="16">
        <v>10723.59333</v>
      </c>
      <c r="D53" s="16">
        <v>13073.370070000001</v>
      </c>
      <c r="E53" s="16">
        <v>19114.618079999997</v>
      </c>
      <c r="F53" s="16">
        <v>38394.42138</v>
      </c>
      <c r="G53" s="16">
        <v>26068.722659999999</v>
      </c>
      <c r="H53" s="16">
        <v>34156.213100000001</v>
      </c>
      <c r="I53" s="16">
        <v>34490.467920000003</v>
      </c>
      <c r="J53" s="16">
        <v>24069.963009999996</v>
      </c>
      <c r="K53" s="16">
        <v>18840.906169999995</v>
      </c>
      <c r="L53" s="16">
        <v>22059.926910000009</v>
      </c>
      <c r="M53" s="17" t="s">
        <v>116</v>
      </c>
    </row>
    <row r="54" spans="1:13" ht="21.75" x14ac:dyDescent="0.25">
      <c r="A54" s="15" t="s">
        <v>16</v>
      </c>
      <c r="B54" s="16">
        <v>25025.00534</v>
      </c>
      <c r="C54" s="16">
        <v>22142.620760000002</v>
      </c>
      <c r="D54" s="16">
        <v>32113.870320000002</v>
      </c>
      <c r="E54" s="16">
        <v>35851.549359999997</v>
      </c>
      <c r="F54" s="16">
        <v>43726.893990000004</v>
      </c>
      <c r="G54" s="16">
        <v>38741.918939999996</v>
      </c>
      <c r="H54" s="16">
        <v>44624.855320000002</v>
      </c>
      <c r="I54" s="16">
        <v>46284.728729999995</v>
      </c>
      <c r="J54" s="16">
        <v>23950.067069999997</v>
      </c>
      <c r="K54" s="16">
        <v>44038.268859999996</v>
      </c>
      <c r="L54" s="16">
        <v>43345.408179999999</v>
      </c>
      <c r="M54" s="17" t="s">
        <v>117</v>
      </c>
    </row>
    <row r="55" spans="1:13" ht="21.75" x14ac:dyDescent="0.25">
      <c r="A55" s="15" t="s">
        <v>21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1723.69876</v>
      </c>
      <c r="K55" s="16" t="s">
        <v>33</v>
      </c>
      <c r="L55" s="16">
        <v>8113.1800200000007</v>
      </c>
      <c r="M55" s="17" t="s">
        <v>118</v>
      </c>
    </row>
    <row r="56" spans="1:13" ht="21.75" x14ac:dyDescent="0.25">
      <c r="A56" s="15" t="s">
        <v>22</v>
      </c>
      <c r="B56" s="16">
        <v>46273.105510000001</v>
      </c>
      <c r="C56" s="16">
        <v>38991.252990000001</v>
      </c>
      <c r="D56" s="16">
        <v>16480.233820000001</v>
      </c>
      <c r="E56" s="16">
        <v>54258.660210000002</v>
      </c>
      <c r="F56" s="16">
        <v>51316.106850000004</v>
      </c>
      <c r="G56" s="16">
        <v>78734.15376999999</v>
      </c>
      <c r="H56" s="16">
        <v>118060.99639</v>
      </c>
      <c r="I56" s="16">
        <v>72469.581260000006</v>
      </c>
      <c r="J56" s="16">
        <v>45597.044409999995</v>
      </c>
      <c r="K56" s="16">
        <v>49020.427200000013</v>
      </c>
      <c r="L56" s="16">
        <v>45114.810090000014</v>
      </c>
      <c r="M56" s="17" t="s">
        <v>119</v>
      </c>
    </row>
    <row r="57" spans="1:13" ht="21.75" x14ac:dyDescent="0.25">
      <c r="A57" s="15" t="s">
        <v>17</v>
      </c>
      <c r="B57" s="16">
        <v>802.66007999999999</v>
      </c>
      <c r="C57" s="16">
        <v>869.85021999999992</v>
      </c>
      <c r="D57" s="16">
        <v>4318.3847000000005</v>
      </c>
      <c r="E57" s="16">
        <v>16934.5046</v>
      </c>
      <c r="F57" s="16">
        <v>3567.9288500000002</v>
      </c>
      <c r="G57" s="16">
        <v>2006.98757</v>
      </c>
      <c r="H57" s="16">
        <v>2205.5906299999997</v>
      </c>
      <c r="I57" s="16">
        <v>218.18268</v>
      </c>
      <c r="J57" s="16">
        <v>31.26887</v>
      </c>
      <c r="K57" s="16">
        <v>1164.2822500000002</v>
      </c>
      <c r="L57" s="16">
        <v>2102.1164400000002</v>
      </c>
      <c r="M57" s="17" t="s">
        <v>120</v>
      </c>
    </row>
    <row r="58" spans="1:13" ht="21.75" x14ac:dyDescent="0.25">
      <c r="A58" s="15" t="s">
        <v>121</v>
      </c>
      <c r="B58" s="16">
        <v>0</v>
      </c>
      <c r="C58" s="16">
        <v>0</v>
      </c>
      <c r="D58" s="16">
        <v>0</v>
      </c>
      <c r="E58" s="16">
        <v>5.7246000000000006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7" t="s">
        <v>122</v>
      </c>
    </row>
    <row r="59" spans="1:13" ht="21.75" x14ac:dyDescent="0.25">
      <c r="A59" s="15" t="s">
        <v>123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0.15365000000000001</v>
      </c>
      <c r="H59" s="18">
        <v>0</v>
      </c>
      <c r="I59" s="19">
        <v>0</v>
      </c>
      <c r="J59" s="19">
        <v>0</v>
      </c>
      <c r="K59" s="16">
        <v>0.6157999999999999</v>
      </c>
      <c r="L59" s="16">
        <v>0</v>
      </c>
      <c r="M59" s="17" t="s">
        <v>124</v>
      </c>
    </row>
    <row r="60" spans="1:13" ht="21.75" x14ac:dyDescent="0.25">
      <c r="A60" s="15" t="s">
        <v>125</v>
      </c>
      <c r="B60" s="16">
        <v>0</v>
      </c>
      <c r="C60" s="16">
        <v>0</v>
      </c>
      <c r="D60" s="16">
        <v>0</v>
      </c>
      <c r="E60" s="16">
        <v>0</v>
      </c>
      <c r="F60" s="16">
        <v>645.42826000000002</v>
      </c>
      <c r="G60" s="16">
        <v>310.49171999999999</v>
      </c>
      <c r="H60" s="16">
        <v>334.11329000000001</v>
      </c>
      <c r="I60" s="16">
        <v>450.27459000000005</v>
      </c>
      <c r="J60" s="16">
        <v>4676.2546700000003</v>
      </c>
      <c r="K60" s="16">
        <v>3009.9229</v>
      </c>
      <c r="L60" s="16">
        <v>5083.3913300000004</v>
      </c>
      <c r="M60" s="17" t="s">
        <v>126</v>
      </c>
    </row>
    <row r="61" spans="1:13" ht="21.75" x14ac:dyDescent="0.25">
      <c r="A61" s="15" t="s">
        <v>15</v>
      </c>
      <c r="B61" s="16">
        <v>3083.3998099999999</v>
      </c>
      <c r="C61" s="16">
        <v>848.72860000000003</v>
      </c>
      <c r="D61" s="16">
        <v>1812.6787099999999</v>
      </c>
      <c r="E61" s="16">
        <v>1294.1433300000001</v>
      </c>
      <c r="F61" s="16">
        <v>2881.83808</v>
      </c>
      <c r="G61" s="16">
        <v>1872.9723700000002</v>
      </c>
      <c r="H61" s="16">
        <v>753.22016000000008</v>
      </c>
      <c r="I61" s="16">
        <v>18802.91977</v>
      </c>
      <c r="J61" s="16">
        <v>608.66312999999991</v>
      </c>
      <c r="K61" s="16">
        <v>1647.1818999999998</v>
      </c>
      <c r="L61" s="16">
        <v>3093.6271599999995</v>
      </c>
      <c r="M61" s="17" t="s">
        <v>127</v>
      </c>
    </row>
    <row r="62" spans="1:13" ht="21.75" x14ac:dyDescent="0.25">
      <c r="A62" s="15" t="s">
        <v>128</v>
      </c>
      <c r="B62" s="16">
        <v>1210.9696000000001</v>
      </c>
      <c r="C62" s="16">
        <v>0</v>
      </c>
      <c r="D62" s="16">
        <v>0.18040999999999999</v>
      </c>
      <c r="E62" s="16">
        <v>763.02257999999995</v>
      </c>
      <c r="F62" s="16">
        <v>63778.715409999997</v>
      </c>
      <c r="G62" s="16">
        <v>2033.22354</v>
      </c>
      <c r="H62" s="16">
        <v>10511.84223</v>
      </c>
      <c r="I62" s="16">
        <v>10225.818600000001</v>
      </c>
      <c r="J62" s="16">
        <v>5470.4243699999997</v>
      </c>
      <c r="K62" s="16">
        <v>2860.4639999999999</v>
      </c>
      <c r="L62" s="16">
        <v>19896.312979999999</v>
      </c>
      <c r="M62" s="17" t="s">
        <v>129</v>
      </c>
    </row>
    <row r="63" spans="1:13" ht="21.75" x14ac:dyDescent="0.25">
      <c r="A63" s="15" t="s">
        <v>18</v>
      </c>
      <c r="B63" s="16">
        <v>153947.83643999998</v>
      </c>
      <c r="C63" s="16">
        <v>167768.14257</v>
      </c>
      <c r="D63" s="16">
        <v>185936.75373</v>
      </c>
      <c r="E63" s="16">
        <v>191377.87302</v>
      </c>
      <c r="F63" s="16">
        <v>179041.12006000002</v>
      </c>
      <c r="G63" s="16">
        <v>145757.13890000002</v>
      </c>
      <c r="H63" s="16">
        <v>134475.08106</v>
      </c>
      <c r="I63" s="16">
        <v>265745.48710999999</v>
      </c>
      <c r="J63" s="16">
        <v>218607.09901000018</v>
      </c>
      <c r="K63" s="16">
        <v>115670.73841000005</v>
      </c>
      <c r="L63" s="16">
        <v>95499.532769999976</v>
      </c>
      <c r="M63" s="17" t="s">
        <v>130</v>
      </c>
    </row>
    <row r="64" spans="1:13" ht="21.75" x14ac:dyDescent="0.25">
      <c r="A64" s="15" t="s">
        <v>39</v>
      </c>
      <c r="B64" s="16">
        <v>5997.3564299999998</v>
      </c>
      <c r="C64" s="16">
        <v>25005.762059999997</v>
      </c>
      <c r="D64" s="16">
        <v>30391.28745</v>
      </c>
      <c r="E64" s="16">
        <v>99143.179940000002</v>
      </c>
      <c r="F64" s="16">
        <v>39560.130829999995</v>
      </c>
      <c r="G64" s="16">
        <v>30701.155260000003</v>
      </c>
      <c r="H64" s="16">
        <v>33576.012299999995</v>
      </c>
      <c r="I64" s="16">
        <v>30089.316559999999</v>
      </c>
      <c r="J64" s="16">
        <v>33303.357379999987</v>
      </c>
      <c r="K64" s="16">
        <v>37515.765119999996</v>
      </c>
      <c r="L64" s="16">
        <v>35005.961599999995</v>
      </c>
      <c r="M64" s="17" t="s">
        <v>40</v>
      </c>
    </row>
    <row r="65" spans="1:13" ht="21.75" x14ac:dyDescent="0.25">
      <c r="A65" s="15" t="s">
        <v>131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101.27744</v>
      </c>
      <c r="J65" s="16">
        <v>0</v>
      </c>
      <c r="K65" s="16">
        <v>0</v>
      </c>
      <c r="L65" s="16">
        <v>0</v>
      </c>
      <c r="M65" s="17" t="s">
        <v>132</v>
      </c>
    </row>
    <row r="66" spans="1:13" ht="21.75" x14ac:dyDescent="0.25">
      <c r="A66" s="15" t="s">
        <v>19</v>
      </c>
      <c r="B66" s="16">
        <v>792374.70192999998</v>
      </c>
      <c r="C66" s="16">
        <v>203565.13146999999</v>
      </c>
      <c r="D66" s="16">
        <v>283653.46064</v>
      </c>
      <c r="E66" s="16">
        <v>471377.23420999997</v>
      </c>
      <c r="F66" s="16">
        <v>680549.75017999997</v>
      </c>
      <c r="G66" s="16">
        <v>947437.27882000001</v>
      </c>
      <c r="H66" s="16">
        <v>717658.82430999994</v>
      </c>
      <c r="I66" s="16">
        <v>563446.57271000009</v>
      </c>
      <c r="J66" s="16">
        <v>738371.18641999969</v>
      </c>
      <c r="K66" s="16">
        <v>1492075.1333200005</v>
      </c>
      <c r="L66" s="16">
        <v>1014092.3380200005</v>
      </c>
      <c r="M66" s="17" t="s">
        <v>133</v>
      </c>
    </row>
    <row r="67" spans="1:13" ht="21.75" x14ac:dyDescent="0.25">
      <c r="A67" s="20" t="s">
        <v>134</v>
      </c>
      <c r="B67" s="21">
        <v>5209.3980499999998</v>
      </c>
      <c r="C67" s="21">
        <v>0</v>
      </c>
      <c r="D67" s="21">
        <v>0</v>
      </c>
      <c r="E67" s="21">
        <v>4182.1825699999999</v>
      </c>
      <c r="F67" s="21">
        <v>85.893100000000004</v>
      </c>
      <c r="G67" s="21">
        <v>840.31048999999996</v>
      </c>
      <c r="H67" s="21">
        <v>843.85701000000006</v>
      </c>
      <c r="I67" s="21">
        <v>2421.7669599999999</v>
      </c>
      <c r="J67" s="21">
        <v>4708.8911500000004</v>
      </c>
      <c r="K67" s="21">
        <v>23424.042750000004</v>
      </c>
      <c r="L67" s="21">
        <v>57738.128119999987</v>
      </c>
      <c r="M67" s="22" t="s">
        <v>135</v>
      </c>
    </row>
    <row r="68" spans="1:13" ht="19.5" x14ac:dyDescent="0.5">
      <c r="A68" s="23" t="s">
        <v>9</v>
      </c>
      <c r="B68" s="24">
        <f>SUM(B71:B80)</f>
        <v>47021.388210000005</v>
      </c>
      <c r="C68" s="24">
        <f>SUM(C71:C80)</f>
        <v>57471.19526</v>
      </c>
      <c r="D68" s="24">
        <f>SUM(D71:D80)</f>
        <v>29393.710120000003</v>
      </c>
      <c r="E68" s="24">
        <f>SUM(E71:E80)</f>
        <v>42324.940609999991</v>
      </c>
      <c r="F68" s="24">
        <f>SUM(F71:F80)</f>
        <v>85543.146649999995</v>
      </c>
      <c r="G68" s="24">
        <f t="shared" ref="G68:L68" si="7">SUM(G69:G80)</f>
        <v>178598.83662000002</v>
      </c>
      <c r="H68" s="24">
        <f t="shared" si="7"/>
        <v>25792.670649999996</v>
      </c>
      <c r="I68" s="24">
        <f t="shared" si="7"/>
        <v>14582.701219999999</v>
      </c>
      <c r="J68" s="24">
        <f t="shared" si="7"/>
        <v>9299.2139199999929</v>
      </c>
      <c r="K68" s="24">
        <f t="shared" si="7"/>
        <v>8660.7910400000037</v>
      </c>
      <c r="L68" s="24">
        <f t="shared" si="7"/>
        <v>10291.675589999997</v>
      </c>
      <c r="M68" s="43" t="s">
        <v>27</v>
      </c>
    </row>
    <row r="69" spans="1:13" ht="21.75" x14ac:dyDescent="0.25">
      <c r="A69" s="33" t="s">
        <v>29</v>
      </c>
      <c r="B69" s="34">
        <v>0</v>
      </c>
      <c r="C69" s="34">
        <v>0</v>
      </c>
      <c r="D69" s="34">
        <v>0</v>
      </c>
      <c r="E69" s="34">
        <v>0</v>
      </c>
      <c r="F69" s="34">
        <v>0</v>
      </c>
      <c r="G69" s="34">
        <v>235.81989000000002</v>
      </c>
      <c r="H69" s="34">
        <v>38.456249999999997</v>
      </c>
      <c r="I69" s="34">
        <v>253.6095</v>
      </c>
      <c r="J69" s="34">
        <v>51.414529999999999</v>
      </c>
      <c r="K69" s="34">
        <v>353.16810000000004</v>
      </c>
      <c r="L69" s="34">
        <v>0</v>
      </c>
      <c r="M69" s="17" t="s">
        <v>136</v>
      </c>
    </row>
    <row r="70" spans="1:13" ht="21.75" x14ac:dyDescent="0.25">
      <c r="A70" s="33" t="s">
        <v>137</v>
      </c>
      <c r="B70" s="34">
        <v>0</v>
      </c>
      <c r="C70" s="34">
        <v>0</v>
      </c>
      <c r="D70" s="34">
        <v>0</v>
      </c>
      <c r="E70" s="34">
        <v>0</v>
      </c>
      <c r="F70" s="34">
        <v>0</v>
      </c>
      <c r="G70" s="34">
        <v>235.81989000000002</v>
      </c>
      <c r="H70" s="34">
        <v>528.87081999999998</v>
      </c>
      <c r="I70" s="34">
        <v>267.94265999999999</v>
      </c>
      <c r="J70" s="34">
        <v>0</v>
      </c>
      <c r="K70" s="34">
        <v>0</v>
      </c>
      <c r="L70" s="34">
        <v>0</v>
      </c>
      <c r="M70" s="17" t="s">
        <v>138</v>
      </c>
    </row>
    <row r="71" spans="1:13" ht="21.75" x14ac:dyDescent="0.25">
      <c r="A71" s="15" t="s">
        <v>41</v>
      </c>
      <c r="B71" s="16">
        <v>46127.536610000003</v>
      </c>
      <c r="C71" s="16">
        <v>57414.48128</v>
      </c>
      <c r="D71" s="16">
        <v>28344.640500000001</v>
      </c>
      <c r="E71" s="16">
        <v>38350.337409999993</v>
      </c>
      <c r="F71" s="16">
        <v>76554.130209999988</v>
      </c>
      <c r="G71" s="16">
        <v>165792.30936000001</v>
      </c>
      <c r="H71" s="16">
        <v>10200.435449999999</v>
      </c>
      <c r="I71" s="16">
        <v>0</v>
      </c>
      <c r="J71" s="16">
        <v>0</v>
      </c>
      <c r="K71" s="16">
        <v>0</v>
      </c>
      <c r="L71" s="16">
        <v>0</v>
      </c>
      <c r="M71" s="17" t="s">
        <v>139</v>
      </c>
    </row>
    <row r="72" spans="1:13" ht="21.75" x14ac:dyDescent="0.25">
      <c r="A72" s="15" t="s">
        <v>140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2536.875</v>
      </c>
      <c r="I72" s="16">
        <v>0</v>
      </c>
      <c r="J72" s="16">
        <v>0</v>
      </c>
      <c r="K72" s="16">
        <v>0</v>
      </c>
      <c r="L72" s="16">
        <v>0</v>
      </c>
      <c r="M72" s="17" t="s">
        <v>141</v>
      </c>
    </row>
    <row r="73" spans="1:13" ht="21.75" x14ac:dyDescent="0.25">
      <c r="A73" s="26" t="s">
        <v>142</v>
      </c>
      <c r="B73" s="16">
        <v>0</v>
      </c>
      <c r="C73" s="16">
        <v>0</v>
      </c>
      <c r="D73" s="16">
        <v>0</v>
      </c>
      <c r="E73" s="16">
        <v>4.2661999999999995</v>
      </c>
      <c r="F73" s="16">
        <v>0</v>
      </c>
      <c r="G73" s="16">
        <v>0</v>
      </c>
      <c r="H73" s="16">
        <v>1.2385299999999999</v>
      </c>
      <c r="I73" s="16">
        <v>0</v>
      </c>
      <c r="J73" s="16">
        <v>0</v>
      </c>
      <c r="K73" s="16">
        <v>0</v>
      </c>
      <c r="L73" s="16">
        <v>0</v>
      </c>
      <c r="M73" s="17" t="s">
        <v>143</v>
      </c>
    </row>
    <row r="74" spans="1:13" ht="21.75" x14ac:dyDescent="0.25">
      <c r="A74" s="26" t="s">
        <v>144</v>
      </c>
      <c r="B74" s="16">
        <v>0</v>
      </c>
      <c r="C74" s="16">
        <v>1.2849999999999999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7" t="s">
        <v>145</v>
      </c>
    </row>
    <row r="75" spans="1:13" ht="21.75" x14ac:dyDescent="0.25">
      <c r="A75" s="26" t="s">
        <v>28</v>
      </c>
      <c r="B75" s="16">
        <v>0</v>
      </c>
      <c r="C75" s="16">
        <v>0</v>
      </c>
      <c r="D75" s="16">
        <v>0</v>
      </c>
      <c r="E75" s="16">
        <v>53.488120000000002</v>
      </c>
      <c r="F75" s="16">
        <v>0</v>
      </c>
      <c r="G75" s="16">
        <v>0</v>
      </c>
      <c r="H75" s="16">
        <v>1.95801</v>
      </c>
      <c r="I75" s="16">
        <v>0</v>
      </c>
      <c r="J75" s="16">
        <v>0</v>
      </c>
      <c r="K75" s="16">
        <v>0</v>
      </c>
      <c r="L75" s="16">
        <v>0</v>
      </c>
      <c r="M75" s="17" t="s">
        <v>146</v>
      </c>
    </row>
    <row r="76" spans="1:13" ht="21.75" x14ac:dyDescent="0.25">
      <c r="A76" s="26" t="s">
        <v>147</v>
      </c>
      <c r="B76" s="16">
        <v>0</v>
      </c>
      <c r="C76" s="16">
        <v>0</v>
      </c>
      <c r="D76" s="16">
        <v>0</v>
      </c>
      <c r="E76" s="16">
        <v>0</v>
      </c>
      <c r="F76" s="16">
        <v>20.715400000000002</v>
      </c>
      <c r="G76" s="16">
        <v>0</v>
      </c>
      <c r="H76" s="16">
        <v>0</v>
      </c>
      <c r="I76" s="16">
        <v>0</v>
      </c>
      <c r="J76" s="16">
        <v>50.727270000000004</v>
      </c>
      <c r="K76" s="34">
        <v>0</v>
      </c>
      <c r="L76" s="16">
        <v>127.10182</v>
      </c>
      <c r="M76" s="17" t="s">
        <v>148</v>
      </c>
    </row>
    <row r="77" spans="1:13" ht="21.75" x14ac:dyDescent="0.25">
      <c r="A77" s="15" t="s">
        <v>149</v>
      </c>
      <c r="B77" s="16">
        <v>0.66100000000000003</v>
      </c>
      <c r="C77" s="16">
        <v>0</v>
      </c>
      <c r="D77" s="16">
        <v>0</v>
      </c>
      <c r="E77" s="16">
        <v>0</v>
      </c>
      <c r="F77" s="16">
        <v>980.00161000000003</v>
      </c>
      <c r="G77" s="16">
        <v>0</v>
      </c>
      <c r="H77" s="16">
        <v>0</v>
      </c>
      <c r="I77" s="16">
        <v>92.304000000000002</v>
      </c>
      <c r="J77" s="16">
        <v>6.8996500000000003</v>
      </c>
      <c r="K77" s="16">
        <v>4.6300600000000003</v>
      </c>
      <c r="L77" s="16">
        <v>4.6523699999999995</v>
      </c>
      <c r="M77" s="17" t="s">
        <v>150</v>
      </c>
    </row>
    <row r="78" spans="1:13" ht="21.75" x14ac:dyDescent="0.25">
      <c r="A78" s="35" t="s">
        <v>151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28">
        <v>1082.3424</v>
      </c>
      <c r="H78" s="28">
        <v>0.31302999999999997</v>
      </c>
      <c r="I78" s="28">
        <v>0</v>
      </c>
      <c r="J78" s="28">
        <v>0</v>
      </c>
      <c r="K78" s="34">
        <v>0</v>
      </c>
      <c r="L78" s="28">
        <v>17.632999999999999</v>
      </c>
      <c r="M78" s="36" t="s">
        <v>152</v>
      </c>
    </row>
    <row r="79" spans="1:13" ht="21.75" x14ac:dyDescent="0.25">
      <c r="A79" s="44" t="s">
        <v>42</v>
      </c>
      <c r="B79" s="19">
        <v>893.19060000000002</v>
      </c>
      <c r="C79" s="19">
        <v>55.428980000000003</v>
      </c>
      <c r="D79" s="19">
        <v>1049.0696200000002</v>
      </c>
      <c r="E79" s="19">
        <v>3916.8488800000005</v>
      </c>
      <c r="F79" s="19">
        <v>7988.29943</v>
      </c>
      <c r="G79" s="19">
        <v>11252.54508</v>
      </c>
      <c r="H79" s="19">
        <v>12135.765150000001</v>
      </c>
      <c r="I79" s="19">
        <v>13968.84506</v>
      </c>
      <c r="J79" s="19">
        <v>9190.1724699999922</v>
      </c>
      <c r="K79" s="19">
        <v>8302.9928800000034</v>
      </c>
      <c r="L79" s="19">
        <v>10142.288399999998</v>
      </c>
      <c r="M79" s="45" t="s">
        <v>153</v>
      </c>
    </row>
    <row r="80" spans="1:13" ht="21.75" x14ac:dyDescent="0.25">
      <c r="A80" s="46" t="s">
        <v>154</v>
      </c>
      <c r="B80" s="47">
        <v>0</v>
      </c>
      <c r="C80" s="47">
        <v>0</v>
      </c>
      <c r="D80" s="47">
        <v>0</v>
      </c>
      <c r="E80" s="47">
        <v>0</v>
      </c>
      <c r="F80" s="47">
        <v>0</v>
      </c>
      <c r="G80" s="47">
        <v>0</v>
      </c>
      <c r="H80" s="47">
        <v>348.75840999999997</v>
      </c>
      <c r="I80" s="47">
        <v>0</v>
      </c>
      <c r="J80" s="47">
        <v>0</v>
      </c>
      <c r="K80" s="47">
        <v>0</v>
      </c>
      <c r="L80" s="47">
        <v>0</v>
      </c>
      <c r="M80" s="48" t="s">
        <v>155</v>
      </c>
    </row>
    <row r="81" spans="1:13" s="51" customFormat="1" ht="15" x14ac:dyDescent="0.4">
      <c r="A81" s="49" t="s">
        <v>32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3" t="s">
        <v>34</v>
      </c>
    </row>
  </sheetData>
  <mergeCells count="5">
    <mergeCell ref="A1:M1"/>
    <mergeCell ref="A2:M2"/>
    <mergeCell ref="A4:A5"/>
    <mergeCell ref="B4:L4"/>
    <mergeCell ref="M4:M5"/>
  </mergeCells>
  <pageMargins left="0.7" right="0.7" top="0.75" bottom="0.75" header="0.3" footer="0.3"/>
  <pageSetup paperSize="9" scale="5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15.6</vt:lpstr>
      <vt:lpstr>'15.6'!Print_Titles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2019-12-15T06:15:59Z</cp:lastPrinted>
  <dcterms:created xsi:type="dcterms:W3CDTF">2019-12-05T04:01:34Z</dcterms:created>
  <dcterms:modified xsi:type="dcterms:W3CDTF">2019-12-15T06:16:08Z</dcterms:modified>
</cp:coreProperties>
</file>